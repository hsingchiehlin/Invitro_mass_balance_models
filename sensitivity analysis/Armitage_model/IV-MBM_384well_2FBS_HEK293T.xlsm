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384well_1um\"/>
    </mc:Choice>
  </mc:AlternateContent>
  <xr:revisionPtr revIDLastSave="0" documentId="13_ncr:1_{872952E1-0A75-4C35-AAFA-4ED65512AE28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Mass Balance" sheetId="12" r:id="rId6"/>
    <sheet name="QA-QC" sheetId="17" r:id="rId7"/>
    <sheet name="Concentrations" sheetId="15" r:id="rId8"/>
    <sheet name="Mass Fractions" sheetId="11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<sst xmlns="http://schemas.openxmlformats.org/spreadsheetml/2006/main" count="3131" uniqueCount="515">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</sst>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6.9349999999999996</v>
      </c>
      <c r="K5" s="136">
        <v>7.3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2.774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1.387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0.69350000000000001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0.14599999999999999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0.1168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4.088E-2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2.2630000000000001E-2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1.46E-2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1.6789999999999999E-2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8.7600000000000004E-3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0.14599999999999999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1.4073600000000002E-2</v>
      </c>
      <c r="C9" s="75" t="s">
        <v>99</v>
      </c>
      <c r="F9" s="76" t="s">
        <v>68</v>
      </c>
      <c r="G9" s="89">
        <v>3.0000000000000001E-3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1.5200000000000001E-3</v>
      </c>
      <c r="C10" s="75" t="s">
        <v>99</v>
      </c>
      <c r="F10" s="76" t="s">
        <v>69</v>
      </c>
      <c r="G10" s="90">
        <v>7.0000000000000001E-3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8.43E-2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4.088E-2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4.088E-2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1.0219999999999999E-3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1.022E-5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1.0449729922195632E-12</v>
      </c>
      <c r="E2" s="14">
        <v>3.9028757953564773E-5</v>
      </c>
      <c r="F2" s="14">
        <v>2.3932015803350652E-9</v>
      </c>
      <c r="G2" s="14">
        <v>9.6045016684805605E-10</v>
      </c>
      <c r="H2" s="14">
        <v>0</v>
      </c>
      <c r="I2" s="14">
        <v>3.6377466918781368E-8</v>
      </c>
      <c r="J2" s="14">
        <v>9.3150988279627307E-7</v>
      </c>
      <c r="K2" s="14">
        <v>0</v>
      </c>
      <c r="L2" s="21"/>
      <c r="M2" s="102"/>
    </row>
    <row r="3" spans="1:23">
      <c r="A3" s="2" t="s">
        <v>361</v>
      </c>
      <c r="B3" s="3" t="s">
        <v>362</v>
      </c>
      <c r="D3" s="14">
        <v>1.002550880967235E-12</v>
      </c>
      <c r="E3" s="14">
        <v>2.3520043552595773E-5</v>
      </c>
      <c r="F3" s="14">
        <v>9.3112881389893646E-7</v>
      </c>
      <c r="G3" s="14">
        <v>2.2620279089237317E-7</v>
      </c>
      <c r="H3" s="14">
        <v>0</v>
      </c>
      <c r="I3" s="14">
        <v>2.0057663220702107E-7</v>
      </c>
      <c r="J3" s="14">
        <v>1.5122047207855021E-5</v>
      </c>
      <c r="K3" s="14">
        <v>0</v>
      </c>
      <c r="L3" s="21"/>
      <c r="M3" s="102"/>
    </row>
    <row r="4" spans="1:23">
      <c r="A4" s="2" t="s">
        <v>364</v>
      </c>
      <c r="B4" s="3" t="s">
        <v>365</v>
      </c>
      <c r="D4" s="14">
        <v>5.4190204030625234E-22</v>
      </c>
      <c r="E4" s="14">
        <v>3.9955857051510293E-5</v>
      </c>
      <c r="F4" s="14">
        <v>1.6803316255734612E-9</v>
      </c>
      <c r="G4" s="14">
        <v>1.8505066200303502E-12</v>
      </c>
      <c r="H4" s="14">
        <v>0</v>
      </c>
      <c r="I4" s="14">
        <v>4.163813876282824E-8</v>
      </c>
      <c r="J4" s="14">
        <v>8.2262759468621588E-10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1.5204275074256084E-14</v>
      </c>
      <c r="E5" s="14">
        <v>3.6895555030437482E-5</v>
      </c>
      <c r="F5" s="14">
        <v>3.0356283377416853E-6</v>
      </c>
      <c r="G5" s="14">
        <v>2.4093942195249113E-10</v>
      </c>
      <c r="H5" s="14">
        <v>0</v>
      </c>
      <c r="I5" s="14">
        <v>5.5945178606921321E-8</v>
      </c>
      <c r="J5" s="14">
        <v>1.2630498587692136E-8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1.8849452955880118E-15</v>
      </c>
      <c r="E6" s="14">
        <v>3.2999890037572852E-5</v>
      </c>
      <c r="F6" s="14">
        <v>6.8486826578918557E-6</v>
      </c>
      <c r="G6" s="14">
        <v>1.9860929466352011E-9</v>
      </c>
      <c r="H6" s="14">
        <v>0</v>
      </c>
      <c r="I6" s="14">
        <v>7.7874310701192349E-8</v>
      </c>
      <c r="J6" s="14">
        <v>7.1566899002520227E-8</v>
      </c>
      <c r="K6" s="14">
        <v>0</v>
      </c>
      <c r="L6" s="21"/>
      <c r="M6" s="12"/>
    </row>
    <row r="7" spans="1:23">
      <c r="A7" s="2" t="s">
        <v>366</v>
      </c>
      <c r="B7" s="3" t="s">
        <v>305</v>
      </c>
      <c r="D7" s="14">
        <v>3.2194487246829874E-11</v>
      </c>
      <c r="E7" s="14">
        <v>2.1457669453244038E-5</v>
      </c>
      <c r="F7" s="14">
        <v>1.7618831463967372E-5</v>
      </c>
      <c r="G7" s="14">
        <v>3.5865113120254396E-8</v>
      </c>
      <c r="H7" s="14">
        <v>0</v>
      </c>
      <c r="I7" s="14">
        <v>1.4734083322133715E-7</v>
      </c>
      <c r="J7" s="14">
        <v>7.40260941959756E-7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1.491560158548122E-21</v>
      </c>
      <c r="E8" s="14">
        <v>2.9885002750184784E-5</v>
      </c>
      <c r="F8" s="14">
        <v>9.9744245729252314E-6</v>
      </c>
      <c r="G8" s="14">
        <v>1.5167445237885258E-9</v>
      </c>
      <c r="H8" s="14">
        <v>0</v>
      </c>
      <c r="I8" s="14">
        <v>9.3971659860816115E-8</v>
      </c>
      <c r="J8" s="14">
        <v>4.5084272505384374E-8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2.9402555038998889E-17</v>
      </c>
      <c r="E9" s="14">
        <v>3.754837413873E-5</v>
      </c>
      <c r="F9" s="14">
        <v>2.3464196501113226E-6</v>
      </c>
      <c r="G9" s="14">
        <v>8.8936008790243789E-10</v>
      </c>
      <c r="H9" s="14">
        <v>0</v>
      </c>
      <c r="I9" s="14">
        <v>5.2198548074836854E-8</v>
      </c>
      <c r="J9" s="14">
        <v>5.2118302966536724E-8</v>
      </c>
      <c r="K9" s="14">
        <v>0</v>
      </c>
      <c r="L9" s="21"/>
      <c r="M9" s="12"/>
    </row>
    <row r="10" spans="1:23">
      <c r="A10" s="2" t="s">
        <v>367</v>
      </c>
      <c r="B10" s="3" t="s">
        <v>368</v>
      </c>
      <c r="D10" s="14">
        <v>2.6944470648238386E-9</v>
      </c>
      <c r="E10" s="14">
        <v>1.9260578196104643E-6</v>
      </c>
      <c r="F10" s="14">
        <v>1.3856191303742398E-5</v>
      </c>
      <c r="G10" s="14">
        <v>2.4201340729547428E-6</v>
      </c>
      <c r="H10" s="14">
        <v>0</v>
      </c>
      <c r="I10" s="14">
        <v>1.313879955788729E-6</v>
      </c>
      <c r="J10" s="14">
        <v>2.0481042400838844E-5</v>
      </c>
      <c r="K10" s="14">
        <v>0</v>
      </c>
      <c r="L10" s="21"/>
      <c r="M10" s="12"/>
    </row>
    <row r="11" spans="1:23">
      <c r="A11" s="2" t="s">
        <v>369</v>
      </c>
      <c r="B11" s="3" t="s">
        <v>370</v>
      </c>
      <c r="D11" s="14">
        <v>1.4884628481999362E-15</v>
      </c>
      <c r="E11" s="14">
        <v>1.5343697905307427E-7</v>
      </c>
      <c r="F11" s="14">
        <v>1.3950333487196156E-5</v>
      </c>
      <c r="G11" s="14">
        <v>1.0192458729619389E-5</v>
      </c>
      <c r="H11" s="14">
        <v>0</v>
      </c>
      <c r="I11" s="14">
        <v>1.127185407049716E-5</v>
      </c>
      <c r="J11" s="14">
        <v>4.4319167321457651E-6</v>
      </c>
      <c r="K11" s="14">
        <v>0</v>
      </c>
      <c r="L11" s="21"/>
      <c r="M11" s="12"/>
    </row>
    <row r="12" spans="1:23">
      <c r="A12" s="2" t="s">
        <v>371</v>
      </c>
      <c r="B12" s="3" t="s">
        <v>372</v>
      </c>
      <c r="D12" s="14">
        <v>2.9862306089696706E-6</v>
      </c>
      <c r="E12" s="14">
        <v>3.6812532228534722E-5</v>
      </c>
      <c r="F12" s="14">
        <v>1.0311430794921855E-10</v>
      </c>
      <c r="G12" s="14">
        <v>5.1110113609982939E-11</v>
      </c>
      <c r="H12" s="14">
        <v>0</v>
      </c>
      <c r="I12" s="14">
        <v>3.38894043647678E-8</v>
      </c>
      <c r="J12" s="14">
        <v>1.6719353370928629E-7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8.2987358935576731E-13</v>
      </c>
      <c r="E13" s="14">
        <v>2.4929387479955472E-5</v>
      </c>
      <c r="F13" s="14">
        <v>6.6571165171352272E-7</v>
      </c>
      <c r="G13" s="14">
        <v>1.7075825721990162E-7</v>
      </c>
      <c r="H13" s="14">
        <v>0</v>
      </c>
      <c r="I13" s="14">
        <v>1.1220235773896135E-7</v>
      </c>
      <c r="J13" s="14">
        <v>1.4121939423498555E-5</v>
      </c>
      <c r="K13" s="14">
        <v>0</v>
      </c>
      <c r="L13" s="21"/>
      <c r="M13" s="12"/>
    </row>
    <row r="14" spans="1:23">
      <c r="A14" s="2" t="s">
        <v>373</v>
      </c>
      <c r="B14" s="3" t="s">
        <v>374</v>
      </c>
      <c r="D14" s="14">
        <v>3.122734223907582E-11</v>
      </c>
      <c r="E14" s="14">
        <v>3.2166233668209626E-6</v>
      </c>
      <c r="F14" s="14">
        <v>3.5986098378629737E-5</v>
      </c>
      <c r="G14" s="14">
        <v>5.6376798955199807E-8</v>
      </c>
      <c r="H14" s="14">
        <v>0</v>
      </c>
      <c r="I14" s="14">
        <v>4.5628454783183467E-7</v>
      </c>
      <c r="J14" s="14">
        <v>2.845856804200325E-7</v>
      </c>
      <c r="K14" s="14">
        <v>0</v>
      </c>
      <c r="L14" s="21"/>
      <c r="M14" s="12"/>
    </row>
    <row r="15" spans="1:23">
      <c r="A15" s="2" t="s">
        <v>375</v>
      </c>
      <c r="B15" s="3" t="s">
        <v>376</v>
      </c>
      <c r="D15" s="14">
        <v>3.4729921945905673E-6</v>
      </c>
      <c r="E15" s="14">
        <v>3.1192017925138942E-5</v>
      </c>
      <c r="F15" s="14">
        <v>7.9392233911073031E-8</v>
      </c>
      <c r="G15" s="14">
        <v>2.4214392485647935E-8</v>
      </c>
      <c r="H15" s="14">
        <v>0</v>
      </c>
      <c r="I15" s="14">
        <v>4.1157981021480756E-8</v>
      </c>
      <c r="J15" s="14">
        <v>5.1902252728522948E-6</v>
      </c>
      <c r="K15" s="14">
        <v>0</v>
      </c>
      <c r="L15" s="21"/>
      <c r="M15" s="12"/>
    </row>
    <row r="16" spans="1:23">
      <c r="A16" s="2" t="s">
        <v>377</v>
      </c>
      <c r="B16" s="3" t="s">
        <v>378</v>
      </c>
      <c r="D16" s="14">
        <v>3.2398052069132268E-8</v>
      </c>
      <c r="E16" s="14">
        <v>2.3863743017101782E-5</v>
      </c>
      <c r="F16" s="14">
        <v>7.7838259072212247E-7</v>
      </c>
      <c r="G16" s="14">
        <v>1.9673818899517588E-7</v>
      </c>
      <c r="H16" s="14">
        <v>0</v>
      </c>
      <c r="I16" s="14">
        <v>1.2493699424148304E-7</v>
      </c>
      <c r="J16" s="14">
        <v>1.5003801156870315E-5</v>
      </c>
      <c r="K16" s="14">
        <v>0</v>
      </c>
      <c r="L16" s="21"/>
      <c r="M16" s="12"/>
      <c r="U16" s="22"/>
      <c r="W16" s="22"/>
    </row>
    <row r="17" spans="1:13">
      <c r="A17" s="2" t="s">
        <v>379</v>
      </c>
      <c r="B17" s="3" t="s">
        <v>380</v>
      </c>
      <c r="D17" s="14">
        <v>9.5790921450780802E-8</v>
      </c>
      <c r="E17" s="14">
        <v>2.4481837752880361E-5</v>
      </c>
      <c r="F17" s="14">
        <v>7.0469074184880132E-7</v>
      </c>
      <c r="G17" s="14">
        <v>1.7976043948505675E-7</v>
      </c>
      <c r="H17" s="14">
        <v>0</v>
      </c>
      <c r="I17" s="14">
        <v>1.1654242938544121E-7</v>
      </c>
      <c r="J17" s="14">
        <v>1.4421377714949558E-5</v>
      </c>
      <c r="K17" s="14">
        <v>0</v>
      </c>
      <c r="L17" s="21"/>
      <c r="M17" s="12"/>
    </row>
    <row r="18" spans="1:13">
      <c r="A18" s="2" t="s">
        <v>381</v>
      </c>
      <c r="B18" s="3" t="s">
        <v>382</v>
      </c>
      <c r="D18" s="14">
        <v>8.0449887633934933E-12</v>
      </c>
      <c r="E18" s="14">
        <v>1.254252878348972E-7</v>
      </c>
      <c r="F18" s="14">
        <v>4.6344655343264761E-6</v>
      </c>
      <c r="G18" s="14">
        <v>1.2557269415315207E-5</v>
      </c>
      <c r="H18" s="14">
        <v>0</v>
      </c>
      <c r="I18" s="14">
        <v>7.0222517082834954E-6</v>
      </c>
      <c r="J18" s="14">
        <v>1.5660580009251168E-5</v>
      </c>
      <c r="K18" s="14">
        <v>0</v>
      </c>
      <c r="L18" s="21"/>
      <c r="M18" s="12"/>
    </row>
    <row r="19" spans="1:13">
      <c r="A19" s="2" t="s">
        <v>383</v>
      </c>
      <c r="B19" s="3" t="s">
        <v>384</v>
      </c>
      <c r="D19" s="14">
        <v>4.7252672336753679E-7</v>
      </c>
      <c r="E19" s="14">
        <v>3.6381955574868639E-5</v>
      </c>
      <c r="F19" s="14">
        <v>2.5229032115793402E-8</v>
      </c>
      <c r="G19" s="14">
        <v>8.4682982438614183E-9</v>
      </c>
      <c r="H19" s="14">
        <v>0</v>
      </c>
      <c r="I19" s="14">
        <v>3.7785600772687486E-8</v>
      </c>
      <c r="J19" s="14">
        <v>3.0740347706314887E-6</v>
      </c>
      <c r="K19" s="14">
        <v>0</v>
      </c>
      <c r="L19" s="21"/>
      <c r="M19" s="12"/>
    </row>
    <row r="20" spans="1:13">
      <c r="A20" s="2" t="s">
        <v>385</v>
      </c>
      <c r="B20" s="3" t="s">
        <v>386</v>
      </c>
      <c r="D20" s="14">
        <v>8.8753159618197118E-7</v>
      </c>
      <c r="E20" s="14">
        <v>3.4925568769976289E-5</v>
      </c>
      <c r="F20" s="14">
        <v>4.5254111004386713E-8</v>
      </c>
      <c r="G20" s="14">
        <v>1.4506197738717975E-8</v>
      </c>
      <c r="H20" s="14">
        <v>0</v>
      </c>
      <c r="I20" s="14">
        <v>3.9559718616203672E-8</v>
      </c>
      <c r="J20" s="14">
        <v>4.0875796064824314E-6</v>
      </c>
      <c r="K20" s="14">
        <v>0</v>
      </c>
      <c r="L20" s="21"/>
      <c r="M20" s="12"/>
    </row>
    <row r="21" spans="1:13">
      <c r="A21" s="2" t="s">
        <v>387</v>
      </c>
      <c r="B21" s="3" t="s">
        <v>388</v>
      </c>
      <c r="D21" s="14">
        <v>2.8501959958149216E-7</v>
      </c>
      <c r="E21" s="14">
        <v>1.6289853697021555E-5</v>
      </c>
      <c r="F21" s="14">
        <v>1.2102406447937598E-5</v>
      </c>
      <c r="G21" s="14">
        <v>4.8841714017105013E-7</v>
      </c>
      <c r="H21" s="14">
        <v>0</v>
      </c>
      <c r="I21" s="14">
        <v>3.3637663608446567E-7</v>
      </c>
      <c r="J21" s="14">
        <v>1.0497926479203839E-5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2.6148861782985463E-6</v>
      </c>
      <c r="E22" s="14">
        <v>3.6165331807719047E-5</v>
      </c>
      <c r="F22" s="14">
        <v>4.0413550283038775E-9</v>
      </c>
      <c r="G22" s="14">
        <v>1.5517528787757385E-9</v>
      </c>
      <c r="H22" s="14">
        <v>0</v>
      </c>
      <c r="I22" s="14">
        <v>3.4044396342932734E-8</v>
      </c>
      <c r="J22" s="14">
        <v>1.1801445097323997E-6</v>
      </c>
      <c r="K22" s="14">
        <v>0</v>
      </c>
      <c r="L22" s="21"/>
      <c r="M22" s="12"/>
    </row>
    <row r="23" spans="1:13">
      <c r="A23" s="2" t="s">
        <v>389</v>
      </c>
      <c r="B23" s="3" t="s">
        <v>390</v>
      </c>
      <c r="D23" s="14">
        <v>2.8592039956354698E-6</v>
      </c>
      <c r="E23" s="14">
        <v>3.0070787841607296E-5</v>
      </c>
      <c r="F23" s="14">
        <v>1.3948238250260149E-7</v>
      </c>
      <c r="G23" s="14">
        <v>4.0701921498674522E-8</v>
      </c>
      <c r="H23" s="14">
        <v>0</v>
      </c>
      <c r="I23" s="14">
        <v>4.8698590538270214E-8</v>
      </c>
      <c r="J23" s="14">
        <v>6.8411252682177012E-6</v>
      </c>
      <c r="K23" s="14">
        <v>0</v>
      </c>
      <c r="L23" s="21"/>
    </row>
    <row r="24" spans="1:13">
      <c r="A24" s="2" t="s">
        <v>391</v>
      </c>
      <c r="B24" s="3" t="s">
        <v>392</v>
      </c>
      <c r="D24" s="14">
        <v>1.0568183924157363E-7</v>
      </c>
      <c r="E24" s="14">
        <v>2.0404221407965014E-5</v>
      </c>
      <c r="F24" s="14">
        <v>1.2435824310586661E-6</v>
      </c>
      <c r="G24" s="14">
        <v>3.0017196844025063E-7</v>
      </c>
      <c r="H24" s="14">
        <v>0</v>
      </c>
      <c r="I24" s="14">
        <v>1.7653319063184651E-7</v>
      </c>
      <c r="J24" s="14">
        <v>1.776980916266265E-5</v>
      </c>
      <c r="K24" s="14">
        <v>0</v>
      </c>
      <c r="L24" s="21"/>
    </row>
    <row r="25" spans="1:13">
      <c r="A25" s="2" t="s">
        <v>393</v>
      </c>
      <c r="B25" s="3" t="s">
        <v>394</v>
      </c>
      <c r="D25" s="14">
        <v>3.6161679198875491E-8</v>
      </c>
      <c r="E25" s="14">
        <v>1.7068220847893575E-7</v>
      </c>
      <c r="F25" s="14">
        <v>5.3966319970587587E-6</v>
      </c>
      <c r="G25" s="14">
        <v>1.1262073552144918E-5</v>
      </c>
      <c r="H25" s="14">
        <v>0</v>
      </c>
      <c r="I25" s="14">
        <v>6.2793638973257538E-6</v>
      </c>
      <c r="J25" s="14">
        <v>1.6855086665792768E-5</v>
      </c>
      <c r="K25" s="14">
        <v>0</v>
      </c>
      <c r="L25" s="21"/>
    </row>
    <row r="26" spans="1:13">
      <c r="A26" s="2" t="s">
        <v>395</v>
      </c>
      <c r="B26" s="3" t="s">
        <v>396</v>
      </c>
      <c r="D26" s="14">
        <v>9.1010538295444949E-6</v>
      </c>
      <c r="E26" s="14">
        <v>9.3573171111217856E-6</v>
      </c>
      <c r="F26" s="14">
        <v>2.621596798212073E-6</v>
      </c>
      <c r="G26" s="14">
        <v>5.6553755946009877E-7</v>
      </c>
      <c r="H26" s="14">
        <v>0</v>
      </c>
      <c r="I26" s="14">
        <v>3.0878012911667268E-7</v>
      </c>
      <c r="J26" s="14">
        <v>1.8045714572544881E-5</v>
      </c>
      <c r="K26" s="14">
        <v>0</v>
      </c>
    </row>
    <row r="27" spans="1:13">
      <c r="A27" s="2" t="s">
        <v>397</v>
      </c>
      <c r="B27" s="3" t="s">
        <v>398</v>
      </c>
      <c r="D27" s="14">
        <v>3.3106671391916087E-5</v>
      </c>
      <c r="E27" s="14">
        <v>8.8681939491568885E-7</v>
      </c>
      <c r="F27" s="14">
        <v>1.3950498702217312E-6</v>
      </c>
      <c r="G27" s="14">
        <v>2.6502405121423772E-7</v>
      </c>
      <c r="H27" s="14">
        <v>0</v>
      </c>
      <c r="I27" s="14">
        <v>1.430624009879497E-7</v>
      </c>
      <c r="J27" s="14">
        <v>4.2033728907443158E-6</v>
      </c>
      <c r="K27" s="14">
        <v>0</v>
      </c>
    </row>
    <row r="28" spans="1:13">
      <c r="A28" s="2" t="s">
        <v>399</v>
      </c>
      <c r="B28" s="3" t="s">
        <v>400</v>
      </c>
      <c r="D28" s="14">
        <v>3.4939479157810745E-5</v>
      </c>
      <c r="E28" s="14">
        <v>1.3322817878628721E-6</v>
      </c>
      <c r="F28" s="14">
        <v>5.1664310951609522E-7</v>
      </c>
      <c r="G28" s="14">
        <v>1.0881435620974581E-7</v>
      </c>
      <c r="H28" s="14">
        <v>0</v>
      </c>
      <c r="I28" s="14">
        <v>5.9102731471256746E-8</v>
      </c>
      <c r="J28" s="14">
        <v>3.0436788571292856E-6</v>
      </c>
      <c r="K28" s="14">
        <v>0</v>
      </c>
    </row>
    <row r="29" spans="1:13">
      <c r="A29" s="2" t="s">
        <v>297</v>
      </c>
      <c r="B29" s="3" t="s">
        <v>298</v>
      </c>
      <c r="D29" s="14">
        <v>3.7297956772378235E-5</v>
      </c>
      <c r="E29" s="14">
        <v>2.377084968464685E-6</v>
      </c>
      <c r="F29" s="14">
        <v>3.9551162794161121E-9</v>
      </c>
      <c r="G29" s="14">
        <v>1.244671689676868E-9</v>
      </c>
      <c r="H29" s="14">
        <v>0</v>
      </c>
      <c r="I29" s="14">
        <v>2.8254854011252635E-9</v>
      </c>
      <c r="J29" s="14">
        <v>3.1693298578686777E-7</v>
      </c>
      <c r="K29" s="14">
        <v>0</v>
      </c>
    </row>
    <row r="30" spans="1:13">
      <c r="A30" s="2" t="s">
        <v>401</v>
      </c>
      <c r="B30" s="3" t="s">
        <v>402</v>
      </c>
      <c r="D30" s="14">
        <v>3.8146087217261662E-5</v>
      </c>
      <c r="E30" s="14">
        <v>5.0455633331682463E-7</v>
      </c>
      <c r="F30" s="14">
        <v>1.8151988690981567E-7</v>
      </c>
      <c r="G30" s="14">
        <v>3.8443220946746162E-8</v>
      </c>
      <c r="H30" s="14">
        <v>0</v>
      </c>
      <c r="I30" s="14">
        <v>2.0901762522351101E-8</v>
      </c>
      <c r="J30" s="14">
        <v>1.1084915790426052E-6</v>
      </c>
      <c r="K30" s="14">
        <v>0</v>
      </c>
    </row>
    <row r="31" spans="1:13">
      <c r="A31" s="2" t="s">
        <v>299</v>
      </c>
      <c r="B31" s="3" t="s">
        <v>300</v>
      </c>
      <c r="D31" s="14">
        <v>3.9952478915961704E-5</v>
      </c>
      <c r="E31" s="14">
        <v>1.7988021396813825E-8</v>
      </c>
      <c r="F31" s="14">
        <v>2.8354235744618429E-9</v>
      </c>
      <c r="G31" s="14">
        <v>6.3813637544246606E-10</v>
      </c>
      <c r="H31" s="14">
        <v>0</v>
      </c>
      <c r="I31" s="14">
        <v>3.5399819230911818E-10</v>
      </c>
      <c r="J31" s="14">
        <v>2.5705504499270193E-8</v>
      </c>
      <c r="K31" s="14">
        <v>0</v>
      </c>
    </row>
    <row r="32" spans="1:13">
      <c r="A32" s="2" t="s">
        <v>343</v>
      </c>
      <c r="B32" s="3" t="s">
        <v>344</v>
      </c>
      <c r="D32" s="14">
        <v>9.0546706153640688E-8</v>
      </c>
      <c r="E32" s="14">
        <v>2.6008321257531129E-5</v>
      </c>
      <c r="F32" s="14">
        <v>5.5455786796107747E-7</v>
      </c>
      <c r="G32" s="14">
        <v>1.4462468522836446E-7</v>
      </c>
      <c r="H32" s="14">
        <v>0</v>
      </c>
      <c r="I32" s="14">
        <v>9.9422665068153639E-8</v>
      </c>
      <c r="J32" s="14">
        <v>1.310252681805763E-5</v>
      </c>
      <c r="K32" s="14">
        <v>0</v>
      </c>
    </row>
    <row r="33" spans="1:11">
      <c r="A33" s="2" t="s">
        <v>345</v>
      </c>
      <c r="B33" s="3" t="s">
        <v>346</v>
      </c>
      <c r="D33" s="14">
        <v>3.5675960679644847E-9</v>
      </c>
      <c r="E33" s="14">
        <v>3.0405723447404364E-5</v>
      </c>
      <c r="F33" s="14">
        <v>2.4448368984212976E-7</v>
      </c>
      <c r="G33" s="14">
        <v>6.8508655877661898E-8</v>
      </c>
      <c r="H33" s="14">
        <v>0</v>
      </c>
      <c r="I33" s="14">
        <v>6.3507217106550082E-8</v>
      </c>
      <c r="J33" s="14">
        <v>9.2142093937013343E-6</v>
      </c>
      <c r="K33" s="14">
        <v>0</v>
      </c>
    </row>
    <row r="34" spans="1:11">
      <c r="A34" s="2" t="s">
        <v>347</v>
      </c>
      <c r="B34" s="3" t="s">
        <v>348</v>
      </c>
      <c r="D34" s="14">
        <v>5.3380388450099117E-9</v>
      </c>
      <c r="E34" s="14">
        <v>1.2876605615595979E-5</v>
      </c>
      <c r="F34" s="14">
        <v>3.10495953544691E-6</v>
      </c>
      <c r="G34" s="14">
        <v>6.7725387735024668E-7</v>
      </c>
      <c r="H34" s="14">
        <v>0</v>
      </c>
      <c r="I34" s="14">
        <v>3.7096556421086646E-7</v>
      </c>
      <c r="J34" s="14">
        <v>2.2964877368550996E-5</v>
      </c>
      <c r="K34" s="14">
        <v>0</v>
      </c>
    </row>
    <row r="35" spans="1:11">
      <c r="A35" s="2" t="s">
        <v>349</v>
      </c>
      <c r="B35" s="3" t="s">
        <v>350</v>
      </c>
      <c r="D35" s="14">
        <v>1.9743868402384955E-6</v>
      </c>
      <c r="E35" s="14">
        <v>3.1013580786373421E-6</v>
      </c>
      <c r="F35" s="14">
        <v>1.0330146070401999E-5</v>
      </c>
      <c r="G35" s="14">
        <v>1.8569577298192738E-6</v>
      </c>
      <c r="H35" s="14">
        <v>0</v>
      </c>
      <c r="I35" s="14">
        <v>1.0044030663098476E-6</v>
      </c>
      <c r="J35" s="14">
        <v>2.173274821459305E-5</v>
      </c>
      <c r="K35" s="14">
        <v>0</v>
      </c>
    </row>
    <row r="36" spans="1:11">
      <c r="A36" s="2" t="s">
        <v>351</v>
      </c>
      <c r="B36" s="3" t="s">
        <v>352</v>
      </c>
      <c r="D36" s="14">
        <v>6.38963039356549E-8</v>
      </c>
      <c r="E36" s="14">
        <v>8.2348444813671731E-7</v>
      </c>
      <c r="F36" s="14">
        <v>1.0581566171434075E-5</v>
      </c>
      <c r="G36" s="14">
        <v>4.8847856091492548E-6</v>
      </c>
      <c r="H36" s="14">
        <v>0</v>
      </c>
      <c r="I36" s="14">
        <v>2.6782129046703053E-6</v>
      </c>
      <c r="J36" s="14">
        <v>2.0968054562673993E-5</v>
      </c>
      <c r="K36" s="14">
        <v>0</v>
      </c>
    </row>
    <row r="37" spans="1:11">
      <c r="A37" s="2" t="s">
        <v>353</v>
      </c>
      <c r="B37" s="3" t="s">
        <v>354</v>
      </c>
      <c r="D37" s="14">
        <v>4.6547871909138164E-7</v>
      </c>
      <c r="E37" s="14">
        <v>1.3522577995913727E-7</v>
      </c>
      <c r="F37" s="14">
        <v>4.7849129963296007E-6</v>
      </c>
      <c r="G37" s="14">
        <v>1.2057842333987676E-5</v>
      </c>
      <c r="H37" s="14">
        <v>0</v>
      </c>
      <c r="I37" s="14">
        <v>6.7374234178351904E-6</v>
      </c>
      <c r="J37" s="14">
        <v>1.5819116752797011E-5</v>
      </c>
      <c r="K37" s="14">
        <v>0</v>
      </c>
    </row>
    <row r="38" spans="1:11">
      <c r="A38" s="2" t="s">
        <v>355</v>
      </c>
      <c r="B38" s="3" t="s">
        <v>356</v>
      </c>
      <c r="D38" s="14">
        <v>2.4008346686189289E-8</v>
      </c>
      <c r="E38" s="14">
        <v>4.5501102338819615E-7</v>
      </c>
      <c r="F38" s="14">
        <v>8.4107837831466063E-6</v>
      </c>
      <c r="G38" s="14">
        <v>7.1405559107112623E-6</v>
      </c>
      <c r="H38" s="14">
        <v>0</v>
      </c>
      <c r="I38" s="14">
        <v>3.9413148060891904E-6</v>
      </c>
      <c r="J38" s="14">
        <v>2.0028326129978565E-5</v>
      </c>
      <c r="K38" s="14">
        <v>0</v>
      </c>
    </row>
    <row r="39" spans="1:11">
      <c r="A39" s="2" t="s">
        <v>357</v>
      </c>
      <c r="B39" s="3" t="s">
        <v>358</v>
      </c>
      <c r="D39" s="14">
        <v>4.4127172877724041E-6</v>
      </c>
      <c r="E39" s="14">
        <v>6.2253786027796814E-7</v>
      </c>
      <c r="F39" s="14">
        <v>8.875244355979233E-6</v>
      </c>
      <c r="G39" s="14">
        <v>4.8761367230447167E-6</v>
      </c>
      <c r="H39" s="14">
        <v>0</v>
      </c>
      <c r="I39" s="14">
        <v>2.6785381313591227E-6</v>
      </c>
      <c r="J39" s="14">
        <v>1.8534825641566562E-5</v>
      </c>
      <c r="K39" s="14">
        <v>0</v>
      </c>
    </row>
    <row r="40" spans="1:11">
      <c r="A40" s="2" t="s">
        <v>359</v>
      </c>
      <c r="B40" s="3" t="s">
        <v>360</v>
      </c>
      <c r="D40" s="14">
        <v>2.4008346686189289E-8</v>
      </c>
      <c r="E40" s="14">
        <v>4.5501102338819615E-7</v>
      </c>
      <c r="F40" s="14">
        <v>8.4107837831466063E-6</v>
      </c>
      <c r="G40" s="14">
        <v>7.1405559107112623E-6</v>
      </c>
      <c r="H40" s="14">
        <v>0</v>
      </c>
      <c r="I40" s="14">
        <v>3.9413148060891904E-6</v>
      </c>
      <c r="J40" s="14">
        <v>2.0028326129978565E-5</v>
      </c>
      <c r="K40" s="14">
        <v>0</v>
      </c>
    </row>
    <row r="41" spans="1:11">
      <c r="A41" s="2" t="s">
        <v>313</v>
      </c>
      <c r="B41" s="3" t="s">
        <v>314</v>
      </c>
      <c r="D41" s="14">
        <v>2.3304776420948306E-12</v>
      </c>
      <c r="E41" s="14">
        <v>3.9765112332034431E-5</v>
      </c>
      <c r="F41" s="14">
        <v>1.891196972695068E-7</v>
      </c>
      <c r="G41" s="14">
        <v>4.5004642259103422E-11</v>
      </c>
      <c r="H41" s="14">
        <v>0</v>
      </c>
      <c r="I41" s="14">
        <v>3.8232564735034713E-8</v>
      </c>
      <c r="J41" s="14">
        <v>7.4880708411262802E-9</v>
      </c>
      <c r="K41" s="14">
        <v>0</v>
      </c>
    </row>
    <row r="42" spans="1:11">
      <c r="A42" s="2" t="s">
        <v>315</v>
      </c>
      <c r="B42" s="3" t="s">
        <v>316</v>
      </c>
      <c r="D42" s="14">
        <v>6.7321530141694677E-7</v>
      </c>
      <c r="E42" s="14">
        <v>1.2331435706258566E-7</v>
      </c>
      <c r="F42" s="14">
        <v>4.5564666229545949E-6</v>
      </c>
      <c r="G42" s="14">
        <v>1.2345928250526428E-5</v>
      </c>
      <c r="H42" s="14">
        <v>0</v>
      </c>
      <c r="I42" s="14">
        <v>6.9040659143513699E-6</v>
      </c>
      <c r="J42" s="14">
        <v>1.5397009553688083E-5</v>
      </c>
      <c r="K42" s="14">
        <v>0</v>
      </c>
    </row>
    <row r="43" spans="1:11">
      <c r="A43" s="2" t="s">
        <v>317</v>
      </c>
      <c r="B43" s="3" t="s">
        <v>318</v>
      </c>
      <c r="D43" s="14">
        <v>2.4390973737729096E-16</v>
      </c>
      <c r="E43" s="14">
        <v>1.9615022159192935E-5</v>
      </c>
      <c r="F43" s="14">
        <v>1.3890035428793101E-6</v>
      </c>
      <c r="G43" s="14">
        <v>3.3158807908535094E-7</v>
      </c>
      <c r="H43" s="14">
        <v>0</v>
      </c>
      <c r="I43" s="14">
        <v>1.924874693057038E-7</v>
      </c>
      <c r="J43" s="14">
        <v>1.8471898749292792E-5</v>
      </c>
      <c r="K43" s="14">
        <v>0</v>
      </c>
    </row>
    <row r="44" spans="1:11">
      <c r="A44" s="2" t="s">
        <v>307</v>
      </c>
      <c r="B44" s="3" t="s">
        <v>308</v>
      </c>
      <c r="D44" s="14">
        <v>2.1681357677160316E-8</v>
      </c>
      <c r="E44" s="14">
        <v>1.2536783861852577E-6</v>
      </c>
      <c r="F44" s="14">
        <v>1.2211265923719236E-5</v>
      </c>
      <c r="G44" s="14">
        <v>3.5436942533849043E-6</v>
      </c>
      <c r="H44" s="14">
        <v>0</v>
      </c>
      <c r="I44" s="14">
        <v>1.9334033690826397E-6</v>
      </c>
      <c r="J44" s="14">
        <v>2.1036276709950807E-5</v>
      </c>
      <c r="K44" s="14">
        <v>0</v>
      </c>
    </row>
    <row r="45" spans="1:11">
      <c r="A45" s="2" t="s">
        <v>319</v>
      </c>
      <c r="B45" s="3" t="s">
        <v>320</v>
      </c>
      <c r="D45" s="14">
        <v>2.3699810687076235E-9</v>
      </c>
      <c r="E45" s="14">
        <v>5.9586042413266808E-8</v>
      </c>
      <c r="F45" s="14">
        <v>3.1399236777759936E-6</v>
      </c>
      <c r="G45" s="14">
        <v>1.542107492234022E-5</v>
      </c>
      <c r="H45" s="14">
        <v>0</v>
      </c>
      <c r="I45" s="14">
        <v>8.682204028226906E-6</v>
      </c>
      <c r="J45" s="14">
        <v>1.269484134817491E-5</v>
      </c>
      <c r="K45" s="14">
        <v>0</v>
      </c>
    </row>
    <row r="46" spans="1:11">
      <c r="A46" s="2" t="s">
        <v>321</v>
      </c>
      <c r="B46" s="3" t="s">
        <v>322</v>
      </c>
      <c r="D46" s="14">
        <v>3.3117307721488705E-9</v>
      </c>
      <c r="E46" s="14">
        <v>1.1286380509166476E-7</v>
      </c>
      <c r="F46" s="14">
        <v>4.3926766788631458E-6</v>
      </c>
      <c r="G46" s="14">
        <v>1.2984486935657477E-5</v>
      </c>
      <c r="H46" s="14">
        <v>0</v>
      </c>
      <c r="I46" s="14">
        <v>7.2683290981539955E-6</v>
      </c>
      <c r="J46" s="14">
        <v>1.5238331751461575E-5</v>
      </c>
      <c r="K46" s="14">
        <v>0</v>
      </c>
    </row>
    <row r="47" spans="1:11">
      <c r="A47" s="2" t="s">
        <v>323</v>
      </c>
      <c r="B47" s="3" t="s">
        <v>324</v>
      </c>
      <c r="D47" s="14">
        <v>2.9551675040435488E-8</v>
      </c>
      <c r="E47" s="14">
        <v>2.3753180392321362E-7</v>
      </c>
      <c r="F47" s="14">
        <v>6.3162064581576465E-6</v>
      </c>
      <c r="G47" s="14">
        <v>9.861701950547675E-6</v>
      </c>
      <c r="H47" s="14">
        <v>0</v>
      </c>
      <c r="I47" s="14">
        <v>5.4805825596112415E-6</v>
      </c>
      <c r="J47" s="14">
        <v>1.8074425552719799E-5</v>
      </c>
      <c r="K47" s="14">
        <v>0</v>
      </c>
    </row>
    <row r="48" spans="1:11">
      <c r="A48" s="2" t="s">
        <v>325</v>
      </c>
      <c r="B48" s="3" t="s">
        <v>326</v>
      </c>
      <c r="D48" s="14">
        <v>1.1241611328430557E-8</v>
      </c>
      <c r="E48" s="14">
        <v>6.6043218588329984E-6</v>
      </c>
      <c r="F48" s="14">
        <v>6.623732431979648E-6</v>
      </c>
      <c r="G48" s="14">
        <v>1.3007634823209355E-6</v>
      </c>
      <c r="H48" s="14">
        <v>0</v>
      </c>
      <c r="I48" s="14">
        <v>7.0220239365357827E-7</v>
      </c>
      <c r="J48" s="14">
        <v>2.475773822188441E-5</v>
      </c>
      <c r="K48" s="14">
        <v>0</v>
      </c>
    </row>
    <row r="49" spans="1:11">
      <c r="A49" s="2" t="s">
        <v>275</v>
      </c>
      <c r="B49" s="3" t="s">
        <v>276</v>
      </c>
      <c r="D49" s="14">
        <v>2.7760770929773226E-10</v>
      </c>
      <c r="E49" s="14">
        <v>1.1619065153877036E-6</v>
      </c>
      <c r="F49" s="14">
        <v>1.1920809214463147E-5</v>
      </c>
      <c r="G49" s="14">
        <v>3.77399475950113E-6</v>
      </c>
      <c r="H49" s="14">
        <v>0</v>
      </c>
      <c r="I49" s="14">
        <v>2.0609092664492065E-6</v>
      </c>
      <c r="J49" s="14">
        <v>2.108210263648952E-5</v>
      </c>
      <c r="K49" s="14">
        <v>0</v>
      </c>
    </row>
    <row r="50" spans="1:11">
      <c r="A50" s="2" t="s">
        <v>327</v>
      </c>
      <c r="B50" s="3" t="s">
        <v>328</v>
      </c>
      <c r="D50" s="14">
        <v>1.4373672592908081E-8</v>
      </c>
      <c r="E50" s="14">
        <v>1.0202519010408938E-6</v>
      </c>
      <c r="F50" s="14">
        <v>1.1414107619981475E-5</v>
      </c>
      <c r="G50" s="14">
        <v>4.1777025807635564E-6</v>
      </c>
      <c r="H50" s="14">
        <v>0</v>
      </c>
      <c r="I50" s="14">
        <v>2.2848477044170951E-6</v>
      </c>
      <c r="J50" s="14">
        <v>2.1088716521204076E-5</v>
      </c>
      <c r="K50" s="14">
        <v>0</v>
      </c>
    </row>
    <row r="51" spans="1:11">
      <c r="A51" s="2" t="s">
        <v>329</v>
      </c>
      <c r="B51" s="3" t="s">
        <v>330</v>
      </c>
      <c r="D51" s="14">
        <v>6.836121341366547E-9</v>
      </c>
      <c r="E51" s="14">
        <v>4.9266241041554591E-6</v>
      </c>
      <c r="F51" s="14">
        <v>8.3537981577590842E-6</v>
      </c>
      <c r="G51" s="14">
        <v>1.5782635736910335E-6</v>
      </c>
      <c r="H51" s="14">
        <v>0</v>
      </c>
      <c r="I51" s="14">
        <v>8.5204702424015042E-7</v>
      </c>
      <c r="J51" s="14">
        <v>2.4282431018812905E-5</v>
      </c>
      <c r="K51" s="14">
        <v>0</v>
      </c>
    </row>
    <row r="52" spans="1:11">
      <c r="A52" s="2" t="s">
        <v>277</v>
      </c>
      <c r="B52" s="3" t="s">
        <v>278</v>
      </c>
      <c r="D52" s="14">
        <v>1.7750689537518762E-8</v>
      </c>
      <c r="E52" s="14">
        <v>6.4282815894999527E-6</v>
      </c>
      <c r="F52" s="14">
        <v>6.7778108244402954E-6</v>
      </c>
      <c r="G52" s="14">
        <v>1.3261266367612613E-6</v>
      </c>
      <c r="H52" s="14">
        <v>0</v>
      </c>
      <c r="I52" s="14">
        <v>7.1584388072811961E-7</v>
      </c>
      <c r="J52" s="14">
        <v>2.4734186379032854E-5</v>
      </c>
      <c r="K52" s="14">
        <v>0</v>
      </c>
    </row>
    <row r="53" spans="1:11">
      <c r="A53" s="2" t="s">
        <v>331</v>
      </c>
      <c r="B53" s="3" t="s">
        <v>332</v>
      </c>
      <c r="D53" s="14">
        <v>9.4931869435930596E-9</v>
      </c>
      <c r="E53" s="14">
        <v>6.7095238000178307E-7</v>
      </c>
      <c r="F53" s="14">
        <v>9.817168566489615E-6</v>
      </c>
      <c r="G53" s="14">
        <v>5.6335454639413693E-6</v>
      </c>
      <c r="H53" s="14">
        <v>0</v>
      </c>
      <c r="I53" s="14">
        <v>3.0960693729756521E-6</v>
      </c>
      <c r="J53" s="14">
        <v>2.0772771029647996E-5</v>
      </c>
      <c r="K53" s="14">
        <v>0</v>
      </c>
    </row>
    <row r="54" spans="1:11">
      <c r="A54" s="2" t="s">
        <v>333</v>
      </c>
      <c r="B54" s="3" t="s">
        <v>334</v>
      </c>
      <c r="D54" s="14">
        <v>1.5693543163208589E-11</v>
      </c>
      <c r="E54" s="14">
        <v>1.0893330262446577E-6</v>
      </c>
      <c r="F54" s="14">
        <v>1.167065473578857E-5</v>
      </c>
      <c r="G54" s="14">
        <v>3.9727457934067855E-6</v>
      </c>
      <c r="H54" s="14">
        <v>0</v>
      </c>
      <c r="I54" s="14">
        <v>2.1710909260948111E-6</v>
      </c>
      <c r="J54" s="14">
        <v>2.1096159824922014E-5</v>
      </c>
      <c r="K54" s="14">
        <v>0</v>
      </c>
    </row>
    <row r="55" spans="1:11">
      <c r="A55" s="2" t="s">
        <v>335</v>
      </c>
      <c r="B55" s="3" t="s">
        <v>336</v>
      </c>
      <c r="D55" s="14">
        <v>7.6554562129524492E-8</v>
      </c>
      <c r="E55" s="14">
        <v>2.4503647784700844E-7</v>
      </c>
      <c r="F55" s="14">
        <v>6.4039110606637982E-6</v>
      </c>
      <c r="G55" s="14">
        <v>9.7127195092516032E-6</v>
      </c>
      <c r="H55" s="14">
        <v>0</v>
      </c>
      <c r="I55" s="14">
        <v>5.3960223440490697E-6</v>
      </c>
      <c r="J55" s="14">
        <v>1.8165756046058996E-5</v>
      </c>
      <c r="K55" s="14">
        <v>0</v>
      </c>
    </row>
    <row r="56" spans="1:11">
      <c r="A56" s="2" t="s">
        <v>337</v>
      </c>
      <c r="B56" s="3" t="s">
        <v>338</v>
      </c>
      <c r="D56" s="14">
        <v>5.5634390194613497E-9</v>
      </c>
      <c r="E56" s="14">
        <v>1.2227086838466588E-6</v>
      </c>
      <c r="F56" s="14">
        <v>1.2117626077530252E-5</v>
      </c>
      <c r="G56" s="14">
        <v>3.6200377748911351E-6</v>
      </c>
      <c r="H56" s="14">
        <v>0</v>
      </c>
      <c r="I56" s="14">
        <v>1.9756464628562838E-6</v>
      </c>
      <c r="J56" s="14">
        <v>2.105841756185621E-5</v>
      </c>
      <c r="K56" s="14">
        <v>0</v>
      </c>
    </row>
    <row r="57" spans="1:11">
      <c r="A57" s="2" t="s">
        <v>279</v>
      </c>
      <c r="B57" s="3" t="s">
        <v>280</v>
      </c>
      <c r="D57" s="14">
        <v>3.1494320634309474E-7</v>
      </c>
      <c r="E57" s="14">
        <v>7.3751678553536863E-6</v>
      </c>
      <c r="F57" s="14">
        <v>5.9061770197979695E-6</v>
      </c>
      <c r="G57" s="14">
        <v>1.1792394915863663E-6</v>
      </c>
      <c r="H57" s="14">
        <v>0</v>
      </c>
      <c r="I57" s="14">
        <v>6.3695700027857863E-7</v>
      </c>
      <c r="J57" s="14">
        <v>2.458751542664031E-5</v>
      </c>
      <c r="K57" s="14">
        <v>0</v>
      </c>
    </row>
    <row r="58" spans="1:11">
      <c r="A58" s="2" t="s">
        <v>339</v>
      </c>
      <c r="B58" s="3" t="s">
        <v>340</v>
      </c>
      <c r="D58" s="14">
        <v>5.4972308423984483E-11</v>
      </c>
      <c r="E58" s="14">
        <v>1.0752851273354617E-6</v>
      </c>
      <c r="F58" s="14">
        <v>1.1620322716847722E-5</v>
      </c>
      <c r="G58" s="14">
        <v>4.0134119986022109E-6</v>
      </c>
      <c r="H58" s="14">
        <v>0</v>
      </c>
      <c r="I58" s="14">
        <v>2.19364963172256E-6</v>
      </c>
      <c r="J58" s="14">
        <v>2.1097275553183628E-5</v>
      </c>
      <c r="K58" s="14">
        <v>0</v>
      </c>
    </row>
    <row r="59" spans="1:11">
      <c r="A59" s="2" t="s">
        <v>281</v>
      </c>
      <c r="B59" s="3" t="s">
        <v>282</v>
      </c>
      <c r="D59" s="14">
        <v>2.687687765851384E-9</v>
      </c>
      <c r="E59" s="14">
        <v>6.4307033946420174E-6</v>
      </c>
      <c r="F59" s="14">
        <v>6.7803643120058348E-6</v>
      </c>
      <c r="G59" s="14">
        <v>1.3266262446678572E-6</v>
      </c>
      <c r="H59" s="14">
        <v>0</v>
      </c>
      <c r="I59" s="14">
        <v>7.1611356934818475E-7</v>
      </c>
      <c r="J59" s="14">
        <v>2.4743504791570255E-5</v>
      </c>
      <c r="K59" s="14">
        <v>0</v>
      </c>
    </row>
    <row r="60" spans="1:11">
      <c r="A60" s="2" t="s">
        <v>341</v>
      </c>
      <c r="B60" s="3" t="s">
        <v>342</v>
      </c>
      <c r="D60" s="14">
        <v>7.9465759845999187E-8</v>
      </c>
      <c r="E60" s="14">
        <v>7.5857705965929893E-7</v>
      </c>
      <c r="F60" s="14">
        <v>1.0267252799809423E-5</v>
      </c>
      <c r="G60" s="14">
        <v>5.1707055913914884E-6</v>
      </c>
      <c r="H60" s="14">
        <v>0</v>
      </c>
      <c r="I60" s="14">
        <v>2.837654084332232E-6</v>
      </c>
      <c r="J60" s="14">
        <v>2.0886344704961562E-5</v>
      </c>
      <c r="K60" s="14">
        <v>0</v>
      </c>
    </row>
    <row r="61" spans="1:11">
      <c r="A61" s="2" t="s">
        <v>483</v>
      </c>
      <c r="B61" s="3" t="s">
        <v>484</v>
      </c>
      <c r="D61" s="14">
        <v>5.5327335932719741E-18</v>
      </c>
      <c r="E61" s="14">
        <v>2.0155792865833673E-5</v>
      </c>
      <c r="F61" s="14">
        <v>3.2354654577442444E-6</v>
      </c>
      <c r="G61" s="14">
        <v>5.3908142125913099E-7</v>
      </c>
      <c r="H61" s="14">
        <v>0</v>
      </c>
      <c r="I61" s="14">
        <v>1.8801634279347849E-6</v>
      </c>
      <c r="J61" s="14">
        <v>1.4189496827222633E-5</v>
      </c>
      <c r="K61" s="14">
        <v>0</v>
      </c>
    </row>
    <row r="62" spans="1:11">
      <c r="A62" s="2" t="s">
        <v>485</v>
      </c>
      <c r="B62" s="3" t="s">
        <v>486</v>
      </c>
      <c r="D62" s="14">
        <v>1.4737043153526549E-11</v>
      </c>
      <c r="E62" s="14">
        <v>1.3398926961056676E-5</v>
      </c>
      <c r="F62" s="14">
        <v>2.9233752791359251E-6</v>
      </c>
      <c r="G62" s="14">
        <v>6.4236241989530337E-7</v>
      </c>
      <c r="H62" s="14">
        <v>0</v>
      </c>
      <c r="I62" s="14">
        <v>3.5272468508979867E-7</v>
      </c>
      <c r="J62" s="14">
        <v>2.2682595917779146E-5</v>
      </c>
      <c r="K62" s="14">
        <v>0</v>
      </c>
    </row>
    <row r="63" spans="1:11">
      <c r="A63" s="2" t="s">
        <v>487</v>
      </c>
      <c r="B63" s="3" t="s">
        <v>488</v>
      </c>
      <c r="D63" s="14">
        <v>2.9369110063237096E-17</v>
      </c>
      <c r="E63" s="14">
        <v>3.8001884746860678E-5</v>
      </c>
      <c r="F63" s="14">
        <v>1.3098905149308867E-7</v>
      </c>
      <c r="G63" s="14">
        <v>1.7283502226230401E-8</v>
      </c>
      <c r="H63" s="14">
        <v>0</v>
      </c>
      <c r="I63" s="14">
        <v>2.0764900405141646E-7</v>
      </c>
      <c r="J63" s="14">
        <v>1.6421936953392185E-6</v>
      </c>
      <c r="K63" s="14">
        <v>0</v>
      </c>
    </row>
    <row r="64" spans="1:11">
      <c r="A64" s="2" t="s">
        <v>489</v>
      </c>
      <c r="B64" s="3" t="s">
        <v>490</v>
      </c>
      <c r="D64" s="14">
        <v>5.3109812672861145E-19</v>
      </c>
      <c r="E64" s="14">
        <v>3.9738248693156568E-5</v>
      </c>
      <c r="F64" s="14">
        <v>4.8978251139327484E-8</v>
      </c>
      <c r="G64" s="14">
        <v>6.0810788486041717E-10</v>
      </c>
      <c r="H64" s="14">
        <v>0</v>
      </c>
      <c r="I64" s="14">
        <v>3.7303824031762106E-8</v>
      </c>
      <c r="J64" s="14">
        <v>1.7486112378695276E-7</v>
      </c>
      <c r="K64" s="14">
        <v>0</v>
      </c>
    </row>
    <row r="65" spans="1:11">
      <c r="A65" s="2" t="s">
        <v>491</v>
      </c>
      <c r="B65" s="3" t="s">
        <v>492</v>
      </c>
      <c r="D65" s="14">
        <v>8.7695643651041142E-17</v>
      </c>
      <c r="E65" s="14">
        <v>3.9864269739474751E-5</v>
      </c>
      <c r="F65" s="14">
        <v>6.357469261382151E-9</v>
      </c>
      <c r="G65" s="14">
        <v>2.8276639138253633E-10</v>
      </c>
      <c r="H65" s="14">
        <v>0</v>
      </c>
      <c r="I65" s="14">
        <v>5.1836123549995762E-8</v>
      </c>
      <c r="J65" s="14">
        <v>7.7253901234803644E-8</v>
      </c>
      <c r="K65" s="14">
        <v>0</v>
      </c>
    </row>
    <row r="66" spans="1:11">
      <c r="A66" s="2" t="s">
        <v>493</v>
      </c>
      <c r="B66" s="3" t="s">
        <v>494</v>
      </c>
      <c r="D66" s="14">
        <v>1.3568574273715993E-15</v>
      </c>
      <c r="E66" s="14">
        <v>3.6514486285239835E-5</v>
      </c>
      <c r="F66" s="14">
        <v>9.4768798202402701E-7</v>
      </c>
      <c r="G66" s="14">
        <v>2.375079833147076E-8</v>
      </c>
      <c r="H66" s="14">
        <v>0</v>
      </c>
      <c r="I66" s="14">
        <v>1.6980360690043319E-6</v>
      </c>
      <c r="J66" s="14">
        <v>8.1603886404348482E-7</v>
      </c>
      <c r="K66" s="14">
        <v>0</v>
      </c>
    </row>
    <row r="67" spans="1:11">
      <c r="A67" s="2" t="s">
        <v>495</v>
      </c>
      <c r="B67" s="3" t="s">
        <v>496</v>
      </c>
      <c r="D67" s="14">
        <v>6.8498083801047661E-17</v>
      </c>
      <c r="E67" s="14">
        <v>3.9858237096350071E-5</v>
      </c>
      <c r="F67" s="14">
        <v>5.3599703468772428E-9</v>
      </c>
      <c r="G67" s="14">
        <v>2.9300654473338534E-10</v>
      </c>
      <c r="H67" s="14">
        <v>0</v>
      </c>
      <c r="I67" s="14">
        <v>4.9255901240987854E-8</v>
      </c>
      <c r="J67" s="14">
        <v>8.685402544882725E-8</v>
      </c>
      <c r="K67" s="14">
        <v>0</v>
      </c>
    </row>
    <row r="68" spans="1:11">
      <c r="A68" s="2" t="s">
        <v>497</v>
      </c>
      <c r="B68" s="3" t="s">
        <v>498</v>
      </c>
      <c r="D68" s="14">
        <v>6.1946693115961079E-16</v>
      </c>
      <c r="E68" s="14">
        <v>3.9925835907836962E-5</v>
      </c>
      <c r="F68" s="14">
        <v>6.374632258066538E-10</v>
      </c>
      <c r="G68" s="14">
        <v>4.918370171820101E-11</v>
      </c>
      <c r="H68" s="14">
        <v>0</v>
      </c>
      <c r="I68" s="14">
        <v>3.838498227423494E-8</v>
      </c>
      <c r="J68" s="14">
        <v>3.5092462341815397E-8</v>
      </c>
      <c r="K68" s="14">
        <v>0</v>
      </c>
    </row>
    <row r="69" spans="1:11">
      <c r="A69" s="2" t="s">
        <v>499</v>
      </c>
      <c r="B69" s="3" t="s">
        <v>500</v>
      </c>
      <c r="D69" s="14">
        <v>1.3936899335074787E-15</v>
      </c>
      <c r="E69" s="14">
        <v>1.3923994006991435E-6</v>
      </c>
      <c r="F69" s="14">
        <v>1.2622064004266627E-5</v>
      </c>
      <c r="G69" s="14">
        <v>3.2474010999396563E-6</v>
      </c>
      <c r="H69" s="14">
        <v>0</v>
      </c>
      <c r="I69" s="14">
        <v>1.7695775527114461E-6</v>
      </c>
      <c r="J69" s="14">
        <v>2.0968557940989437E-5</v>
      </c>
      <c r="K69" s="14">
        <v>0</v>
      </c>
    </row>
    <row r="70" spans="1:11">
      <c r="A70" s="2" t="s">
        <v>501</v>
      </c>
      <c r="B70" s="3" t="s">
        <v>411</v>
      </c>
      <c r="D70" s="14">
        <v>1.1413446158496041E-17</v>
      </c>
      <c r="E70" s="14">
        <v>3.9836067442149802E-5</v>
      </c>
      <c r="F70" s="14">
        <v>1.2384857368237657E-7</v>
      </c>
      <c r="G70" s="14">
        <v>1.1770275643188823E-11</v>
      </c>
      <c r="H70" s="14">
        <v>0</v>
      </c>
      <c r="I70" s="14">
        <v>3.7745734198537873E-8</v>
      </c>
      <c r="J70" s="14">
        <v>2.3264796822334491E-9</v>
      </c>
      <c r="K70" s="14">
        <v>0</v>
      </c>
    </row>
    <row r="71" spans="1:11">
      <c r="A71" s="2" t="s">
        <v>502</v>
      </c>
      <c r="B71" s="3" t="s">
        <v>412</v>
      </c>
      <c r="D71" s="14">
        <v>5.3422740533757581E-13</v>
      </c>
      <c r="E71" s="14">
        <v>3.9721556850119219E-5</v>
      </c>
      <c r="F71" s="14">
        <v>2.3659241227876351E-7</v>
      </c>
      <c r="G71" s="14">
        <v>2.1501419189295826E-11</v>
      </c>
      <c r="H71" s="14">
        <v>0</v>
      </c>
      <c r="I71" s="14">
        <v>3.8562975858408535E-8</v>
      </c>
      <c r="J71" s="14">
        <v>3.2657260970200083E-9</v>
      </c>
      <c r="K71" s="14">
        <v>0</v>
      </c>
    </row>
    <row r="72" spans="1:11">
      <c r="A72" s="2" t="s">
        <v>503</v>
      </c>
      <c r="B72" s="3" t="s">
        <v>413</v>
      </c>
      <c r="D72" s="14">
        <v>6.3646603064432087E-14</v>
      </c>
      <c r="E72" s="14">
        <v>1.4428291760596867E-6</v>
      </c>
      <c r="F72" s="14">
        <v>3.6740872560922242E-5</v>
      </c>
      <c r="G72" s="14">
        <v>1.6873836060654302E-8</v>
      </c>
      <c r="H72" s="14">
        <v>0</v>
      </c>
      <c r="I72" s="14">
        <v>1.766891187816511E-6</v>
      </c>
      <c r="J72" s="14">
        <v>3.2533175494316692E-8</v>
      </c>
      <c r="K72" s="14">
        <v>0</v>
      </c>
    </row>
    <row r="73" spans="1:11">
      <c r="A73" s="2" t="s">
        <v>504</v>
      </c>
      <c r="B73" s="3" t="s">
        <v>414</v>
      </c>
      <c r="D73" s="14">
        <v>6.757460840354581E-14</v>
      </c>
      <c r="E73" s="14">
        <v>1.0875349529367829E-5</v>
      </c>
      <c r="F73" s="14">
        <v>2.8923961467051192E-5</v>
      </c>
      <c r="G73" s="14">
        <v>1.6719455644221223E-9</v>
      </c>
      <c r="H73" s="14">
        <v>0</v>
      </c>
      <c r="I73" s="14">
        <v>1.77581433888502E-7</v>
      </c>
      <c r="J73" s="14">
        <v>2.143555655345345E-8</v>
      </c>
      <c r="K73" s="14">
        <v>0</v>
      </c>
    </row>
    <row r="74" spans="1:11">
      <c r="A74" s="2" t="s">
        <v>505</v>
      </c>
      <c r="B74" s="3" t="s">
        <v>415</v>
      </c>
      <c r="D74" s="14">
        <v>6.5725674659879974E-14</v>
      </c>
      <c r="E74" s="14">
        <v>3.9744289628959512E-5</v>
      </c>
      <c r="F74" s="14">
        <v>2.1419498057428273E-7</v>
      </c>
      <c r="G74" s="14">
        <v>1.9551210363661E-11</v>
      </c>
      <c r="H74" s="14">
        <v>0</v>
      </c>
      <c r="I74" s="14">
        <v>3.8403440358750102E-8</v>
      </c>
      <c r="J74" s="14">
        <v>3.0923331714151738E-9</v>
      </c>
      <c r="K74" s="14">
        <v>0</v>
      </c>
    </row>
    <row r="75" spans="1:11">
      <c r="A75" s="2" t="s">
        <v>506</v>
      </c>
      <c r="B75" s="3" t="s">
        <v>416</v>
      </c>
      <c r="D75" s="14">
        <v>2.7752653998876356E-13</v>
      </c>
      <c r="E75" s="14">
        <v>1.231357634805786E-5</v>
      </c>
      <c r="F75" s="14">
        <v>2.7490254335104019E-5</v>
      </c>
      <c r="G75" s="14">
        <v>1.6096932283431421E-9</v>
      </c>
      <c r="H75" s="14">
        <v>0</v>
      </c>
      <c r="I75" s="14">
        <v>1.7240516263278361E-7</v>
      </c>
      <c r="J75" s="14">
        <v>2.2154183450456604E-8</v>
      </c>
      <c r="K75" s="14">
        <v>0</v>
      </c>
    </row>
    <row r="76" spans="1:11">
      <c r="A76" s="2" t="s">
        <v>507</v>
      </c>
      <c r="B76" s="3" t="s">
        <v>417</v>
      </c>
      <c r="D76" s="14">
        <v>1.7655809627946546E-12</v>
      </c>
      <c r="E76" s="14">
        <v>3.5557214876648089E-5</v>
      </c>
      <c r="F76" s="14">
        <v>4.3647792761366272E-6</v>
      </c>
      <c r="G76" s="14">
        <v>3.1741584364125883E-10</v>
      </c>
      <c r="H76" s="14">
        <v>0</v>
      </c>
      <c r="I76" s="14">
        <v>6.3537161307832191E-8</v>
      </c>
      <c r="J76" s="14">
        <v>1.4149504482849247E-8</v>
      </c>
      <c r="K76" s="14">
        <v>0</v>
      </c>
    </row>
    <row r="77" spans="1:11">
      <c r="A77" s="2" t="s">
        <v>508</v>
      </c>
      <c r="B77" s="3" t="s">
        <v>418</v>
      </c>
      <c r="D77" s="14">
        <v>2.0670536628531826E-12</v>
      </c>
      <c r="E77" s="14">
        <v>1.1275397213860853E-5</v>
      </c>
      <c r="F77" s="14">
        <v>2.8525049103527629E-5</v>
      </c>
      <c r="G77" s="14">
        <v>1.6599412392853405E-9</v>
      </c>
      <c r="H77" s="14">
        <v>0</v>
      </c>
      <c r="I77" s="14">
        <v>1.7617439859758986E-7</v>
      </c>
      <c r="J77" s="14">
        <v>2.1717275720988936E-8</v>
      </c>
      <c r="K77" s="14">
        <v>0</v>
      </c>
    </row>
    <row r="78" spans="1:11">
      <c r="A78" s="2" t="s">
        <v>509</v>
      </c>
      <c r="B78" s="3" t="s">
        <v>419</v>
      </c>
      <c r="D78" s="14">
        <v>2.5681199773788947E-13</v>
      </c>
      <c r="E78" s="14">
        <v>1.6061089252299223E-6</v>
      </c>
      <c r="F78" s="14">
        <v>3.6862904054398611E-5</v>
      </c>
      <c r="G78" s="14">
        <v>1.4225053389884573E-8</v>
      </c>
      <c r="H78" s="14">
        <v>0</v>
      </c>
      <c r="I78" s="14">
        <v>1.4857899037883367E-6</v>
      </c>
      <c r="J78" s="14">
        <v>3.0971806381250137E-8</v>
      </c>
      <c r="K78" s="14">
        <v>0</v>
      </c>
    </row>
    <row r="79" spans="1:11">
      <c r="A79" s="2" t="s">
        <v>510</v>
      </c>
      <c r="B79" s="3" t="s">
        <v>420</v>
      </c>
      <c r="D79" s="14">
        <v>6.4508274328516644E-18</v>
      </c>
      <c r="E79" s="14">
        <v>1.6061092698645001E-6</v>
      </c>
      <c r="F79" s="14">
        <v>3.6862911964342442E-5</v>
      </c>
      <c r="G79" s="14">
        <v>1.4222805246285762E-8</v>
      </c>
      <c r="H79" s="14">
        <v>0</v>
      </c>
      <c r="I79" s="14">
        <v>1.4857890489785406E-6</v>
      </c>
      <c r="J79" s="14">
        <v>3.0966911561782595E-8</v>
      </c>
      <c r="K79" s="14">
        <v>0</v>
      </c>
    </row>
    <row r="80" spans="1:11">
      <c r="A80" s="2" t="s">
        <v>511</v>
      </c>
      <c r="B80" s="3" t="s">
        <v>421</v>
      </c>
      <c r="D80" s="14">
        <v>3.1220213327734005E-13</v>
      </c>
      <c r="E80" s="14">
        <v>2.6614330919289868E-5</v>
      </c>
      <c r="F80" s="14">
        <v>1.3252875035670748E-5</v>
      </c>
      <c r="G80" s="14">
        <v>8.6671130653558628E-10</v>
      </c>
      <c r="H80" s="14">
        <v>0</v>
      </c>
      <c r="I80" s="14">
        <v>1.1001981045609821E-7</v>
      </c>
      <c r="J80" s="14">
        <v>2.1907211074620899E-8</v>
      </c>
      <c r="K80" s="14">
        <v>0</v>
      </c>
    </row>
    <row r="81" spans="1:11">
      <c r="A81" s="2" t="s">
        <v>512</v>
      </c>
      <c r="B81" s="3" t="s">
        <v>422</v>
      </c>
      <c r="D81" s="14">
        <v>1.2393918072426738E-13</v>
      </c>
      <c r="E81" s="14">
        <v>3.9007517075126173E-5</v>
      </c>
      <c r="F81" s="14">
        <v>9.4250325264560165E-7</v>
      </c>
      <c r="G81" s="14">
        <v>7.7027750825478027E-11</v>
      </c>
      <c r="H81" s="14">
        <v>0</v>
      </c>
      <c r="I81" s="14">
        <v>4.3268759131557109E-8</v>
      </c>
      <c r="J81" s="14">
        <v>6.6337614066618133E-9</v>
      </c>
      <c r="K81" s="14">
        <v>0</v>
      </c>
    </row>
    <row r="82" spans="1:11">
      <c r="A82" s="2" t="s">
        <v>513</v>
      </c>
      <c r="B82" s="3" t="s">
        <v>423</v>
      </c>
      <c r="D82" s="14">
        <v>3.9701242336499396E-17</v>
      </c>
      <c r="E82" s="14">
        <v>3.7532177495211656E-5</v>
      </c>
      <c r="F82" s="14">
        <v>2.4047963932863117E-6</v>
      </c>
      <c r="G82" s="14">
        <v>1.8288325216668435E-10</v>
      </c>
      <c r="H82" s="14">
        <v>0</v>
      </c>
      <c r="I82" s="14">
        <v>5.2233932205291889E-8</v>
      </c>
      <c r="J82" s="14">
        <v>1.0609296004872058E-8</v>
      </c>
      <c r="K82" s="14">
        <v>0</v>
      </c>
    </row>
    <row r="83" spans="1:11">
      <c r="A83" s="2" t="s">
        <v>514</v>
      </c>
      <c r="B83" s="3" t="s">
        <v>424</v>
      </c>
      <c r="D83" s="14">
        <v>8.9841508635938924E-14</v>
      </c>
      <c r="E83" s="14">
        <v>1.063987981547189E-6</v>
      </c>
      <c r="F83" s="14">
        <v>3.6053818884008896E-5</v>
      </c>
      <c r="G83" s="14">
        <v>2.6724871883317653E-8</v>
      </c>
      <c r="H83" s="14">
        <v>0</v>
      </c>
      <c r="I83" s="14">
        <v>2.8185850008380389E-6</v>
      </c>
      <c r="J83" s="14">
        <v>3.6883171881052211E-8</v>
      </c>
      <c r="K83" s="14">
        <v>0</v>
      </c>
    </row>
    <row r="84" spans="1:11">
      <c r="A84" s="2" t="s">
        <v>403</v>
      </c>
      <c r="B84" s="3" t="s">
        <v>404</v>
      </c>
      <c r="D84" s="14">
        <v>2.7021274547577399E-48</v>
      </c>
      <c r="E84" s="14">
        <v>1.7220489591203887E-5</v>
      </c>
      <c r="F84" s="14">
        <v>1.865434673946398E-6</v>
      </c>
      <c r="G84" s="14">
        <v>4.315942005976025E-7</v>
      </c>
      <c r="H84" s="14">
        <v>0</v>
      </c>
      <c r="I84" s="14">
        <v>2.4351972385833401E-7</v>
      </c>
      <c r="J84" s="14">
        <v>2.0238961810393785E-5</v>
      </c>
      <c r="K84" s="14">
        <v>0</v>
      </c>
    </row>
    <row r="85" spans="1:11">
      <c r="A85" s="2" t="s">
        <v>405</v>
      </c>
      <c r="B85" s="3" t="s">
        <v>406</v>
      </c>
      <c r="D85" s="14">
        <v>1.0429500424919101E-12</v>
      </c>
      <c r="E85" s="14">
        <v>3.8193067853163587E-6</v>
      </c>
      <c r="F85" s="14">
        <v>5.9817795844514174E-6</v>
      </c>
      <c r="G85" s="14">
        <v>3.127189494863244E-7</v>
      </c>
      <c r="H85" s="14">
        <v>0</v>
      </c>
      <c r="I85" s="14">
        <v>2.8709490723495194E-5</v>
      </c>
      <c r="J85" s="14">
        <v>1.1767029143006688E-6</v>
      </c>
      <c r="K85" s="14">
        <v>0</v>
      </c>
    </row>
    <row r="86" spans="1:11">
      <c r="A86" s="2" t="s">
        <v>407</v>
      </c>
      <c r="B86" s="3" t="s">
        <v>408</v>
      </c>
      <c r="D86" s="14">
        <v>5.18955211321783E-9</v>
      </c>
      <c r="E86" s="14">
        <v>7.1800842790904248E-8</v>
      </c>
      <c r="F86" s="14">
        <v>3.4697972010844315E-6</v>
      </c>
      <c r="G86" s="14">
        <v>1.4740073453746803E-5</v>
      </c>
      <c r="H86" s="14">
        <v>0</v>
      </c>
      <c r="I86" s="14">
        <v>8.2851097096965949E-6</v>
      </c>
      <c r="J86" s="14">
        <v>1.3428029240568048E-5</v>
      </c>
      <c r="K86" s="14">
        <v>0</v>
      </c>
    </row>
    <row r="87" spans="1:11">
      <c r="A87" s="2" t="s">
        <v>409</v>
      </c>
      <c r="B87" s="3" t="s">
        <v>410</v>
      </c>
      <c r="D87" s="14">
        <v>6.9428317396563544E-10</v>
      </c>
      <c r="E87" s="14">
        <v>2.6882911647639629E-8</v>
      </c>
      <c r="F87" s="14">
        <v>2.0202766999089996E-6</v>
      </c>
      <c r="G87" s="14">
        <v>1.7984833040615736E-5</v>
      </c>
      <c r="H87" s="14">
        <v>0</v>
      </c>
      <c r="I87" s="14">
        <v>1.0194512390017808E-5</v>
      </c>
      <c r="J87" s="14">
        <v>9.7728006746358579E-6</v>
      </c>
      <c r="K87" s="14">
        <v>0</v>
      </c>
    </row>
    <row r="88" spans="1:11">
      <c r="A88" s="2" t="s">
        <v>301</v>
      </c>
      <c r="B88" s="3" t="s">
        <v>302</v>
      </c>
      <c r="D88" s="14">
        <v>9.2191919120936258E-11</v>
      </c>
      <c r="E88" s="14">
        <v>8.1124590969957107E-9</v>
      </c>
      <c r="F88" s="14">
        <v>1.0073191039581478E-6</v>
      </c>
      <c r="G88" s="14">
        <v>2.0799966038438214E-5</v>
      </c>
      <c r="H88" s="14">
        <v>0</v>
      </c>
      <c r="I88" s="14">
        <v>1.1904284439585492E-5</v>
      </c>
      <c r="J88" s="14">
        <v>6.2802257670020342E-6</v>
      </c>
      <c r="K88" s="14">
        <v>0</v>
      </c>
    </row>
    <row r="89" spans="1:11">
      <c r="A89" s="2" t="s">
        <v>303</v>
      </c>
      <c r="B89" s="3" t="s">
        <v>304</v>
      </c>
      <c r="D89" s="14">
        <v>4.177856957099225E-18</v>
      </c>
      <c r="E89" s="14">
        <v>3.2223110188043689E-8</v>
      </c>
      <c r="F89" s="14">
        <v>3.6698691103934113E-7</v>
      </c>
      <c r="G89" s="14">
        <v>9.5445762290499577E-7</v>
      </c>
      <c r="H89" s="14">
        <v>0</v>
      </c>
      <c r="I89" s="14">
        <v>3.8243736517370732E-5</v>
      </c>
      <c r="J89" s="14">
        <v>4.025958384927133E-7</v>
      </c>
      <c r="K89" s="14">
        <v>0</v>
      </c>
    </row>
    <row r="90" spans="1:11">
      <c r="A90" s="2" t="s">
        <v>425</v>
      </c>
      <c r="B90" s="3" t="s">
        <v>426</v>
      </c>
      <c r="D90" s="14">
        <v>6.3890079773951334E-18</v>
      </c>
      <c r="E90" s="14">
        <v>3.8956966244597359E-5</v>
      </c>
      <c r="F90" s="14">
        <v>3.6542619801683957E-9</v>
      </c>
      <c r="G90" s="14">
        <v>1.2269446362959091E-9</v>
      </c>
      <c r="H90" s="14">
        <v>0</v>
      </c>
      <c r="I90" s="14">
        <v>3.6452725970164476E-8</v>
      </c>
      <c r="J90" s="14">
        <v>1.0016998228096323E-6</v>
      </c>
      <c r="K90" s="14">
        <v>0</v>
      </c>
    </row>
    <row r="91" spans="1:11">
      <c r="A91" s="2" t="s">
        <v>427</v>
      </c>
      <c r="B91" s="3" t="s">
        <v>428</v>
      </c>
      <c r="D91" s="14">
        <v>3.5076805124044354E-9</v>
      </c>
      <c r="E91" s="14">
        <v>3.059987796358452E-5</v>
      </c>
      <c r="F91" s="14">
        <v>2.3404223934814435E-7</v>
      </c>
      <c r="G91" s="14">
        <v>6.5824838192727382E-8</v>
      </c>
      <c r="H91" s="14">
        <v>0</v>
      </c>
      <c r="I91" s="14">
        <v>6.2282465139489433E-8</v>
      </c>
      <c r="J91" s="14">
        <v>9.0344648132227169E-6</v>
      </c>
      <c r="K91" s="14">
        <v>0</v>
      </c>
    </row>
    <row r="92" spans="1:11">
      <c r="A92" s="2" t="s">
        <v>429</v>
      </c>
      <c r="B92" s="3" t="s">
        <v>430</v>
      </c>
      <c r="D92" s="14">
        <v>4.2217727255913075E-8</v>
      </c>
      <c r="E92" s="14">
        <v>1.0637376093085509E-5</v>
      </c>
      <c r="F92" s="14">
        <v>4.0231763044976618E-6</v>
      </c>
      <c r="G92" s="14">
        <v>8.4891580658813795E-7</v>
      </c>
      <c r="H92" s="14">
        <v>0</v>
      </c>
      <c r="I92" s="14">
        <v>4.6124140922625647E-7</v>
      </c>
      <c r="J92" s="14">
        <v>2.3987072659346529E-5</v>
      </c>
      <c r="K92" s="14">
        <v>0</v>
      </c>
    </row>
    <row r="93" spans="1:11">
      <c r="A93" s="2" t="s">
        <v>431</v>
      </c>
      <c r="B93" s="3" t="s">
        <v>432</v>
      </c>
      <c r="D93" s="14">
        <v>4.8191168925559408E-22</v>
      </c>
      <c r="E93" s="14">
        <v>3.9939515597406239E-5</v>
      </c>
      <c r="F93" s="14">
        <v>1.7438428445349027E-8</v>
      </c>
      <c r="G93" s="14">
        <v>1.3971057018287311E-11</v>
      </c>
      <c r="H93" s="14">
        <v>0</v>
      </c>
      <c r="I93" s="14">
        <v>3.6914954989252673E-8</v>
      </c>
      <c r="J93" s="14">
        <v>6.1170481021512278E-9</v>
      </c>
      <c r="K93" s="14">
        <v>0</v>
      </c>
    </row>
    <row r="94" spans="1:11">
      <c r="A94" s="2" t="s">
        <v>433</v>
      </c>
      <c r="B94" s="3" t="s">
        <v>434</v>
      </c>
      <c r="D94" s="14">
        <v>1.0145794399176651E-22</v>
      </c>
      <c r="E94" s="14">
        <v>3.996278272365177E-5</v>
      </c>
      <c r="F94" s="14">
        <v>6.7602113275807817E-11</v>
      </c>
      <c r="G94" s="14">
        <v>9.4331320543455797E-14</v>
      </c>
      <c r="H94" s="14">
        <v>0</v>
      </c>
      <c r="I94" s="14">
        <v>3.699542102423256E-8</v>
      </c>
      <c r="J94" s="14">
        <v>1.5415887940007546E-10</v>
      </c>
      <c r="K94" s="14">
        <v>0</v>
      </c>
    </row>
    <row r="95" spans="1:11">
      <c r="A95" s="2" t="s">
        <v>435</v>
      </c>
      <c r="B95" s="3" t="s">
        <v>436</v>
      </c>
      <c r="D95" s="14">
        <v>5.4518494436708394E-13</v>
      </c>
      <c r="E95" s="14">
        <v>3.762460250645503E-5</v>
      </c>
      <c r="F95" s="14">
        <v>1.4955097923393429E-8</v>
      </c>
      <c r="G95" s="14">
        <v>5.1870508715284806E-9</v>
      </c>
      <c r="H95" s="14">
        <v>0</v>
      </c>
      <c r="I95" s="14">
        <v>3.7683319228998758E-8</v>
      </c>
      <c r="J95" s="14">
        <v>2.3175714803361111E-6</v>
      </c>
      <c r="K95" s="14">
        <v>0</v>
      </c>
    </row>
    <row r="96" spans="1:11">
      <c r="A96" s="2" t="s">
        <v>437</v>
      </c>
      <c r="B96" s="163" t="s">
        <v>438</v>
      </c>
      <c r="D96" s="14">
        <v>9.4217342258464644E-12</v>
      </c>
      <c r="E96" s="14">
        <v>1.0145431284830057E-7</v>
      </c>
      <c r="F96" s="14">
        <v>4.1591546027241092E-6</v>
      </c>
      <c r="G96" s="14">
        <v>1.3412218485535065E-5</v>
      </c>
      <c r="H96" s="14">
        <v>0</v>
      </c>
      <c r="I96" s="14">
        <v>7.5151786386349175E-6</v>
      </c>
      <c r="J96" s="14">
        <v>1.4811984538523388E-5</v>
      </c>
      <c r="K96" s="14">
        <v>0</v>
      </c>
    </row>
    <row r="97" spans="1:11">
      <c r="A97" s="2" t="s">
        <v>439</v>
      </c>
      <c r="B97" s="3" t="s">
        <v>440</v>
      </c>
      <c r="D97" s="14">
        <v>1.7993090788121425E-9</v>
      </c>
      <c r="E97" s="14">
        <v>2.7157227834205825E-5</v>
      </c>
      <c r="F97" s="14">
        <v>4.6235971374501872E-7</v>
      </c>
      <c r="G97" s="14">
        <v>1.2259578576604988E-7</v>
      </c>
      <c r="H97" s="14">
        <v>0</v>
      </c>
      <c r="I97" s="14">
        <v>8.888669050636578E-8</v>
      </c>
      <c r="J97" s="14">
        <v>1.2167130666697931E-5</v>
      </c>
      <c r="K97" s="14">
        <v>0</v>
      </c>
    </row>
    <row r="98" spans="1:11">
      <c r="A98" s="2" t="s">
        <v>441</v>
      </c>
      <c r="B98" s="3" t="s">
        <v>442</v>
      </c>
      <c r="D98" s="14">
        <v>1.1666720154514314E-21</v>
      </c>
      <c r="E98" s="14">
        <v>3.0011551334471249E-5</v>
      </c>
      <c r="F98" s="14">
        <v>2.6669998767199304E-7</v>
      </c>
      <c r="G98" s="14">
        <v>7.4185418497183068E-8</v>
      </c>
      <c r="H98" s="14">
        <v>0</v>
      </c>
      <c r="I98" s="14">
        <v>6.6114496453502226E-8</v>
      </c>
      <c r="J98" s="14">
        <v>9.5814487629060778E-6</v>
      </c>
      <c r="K98" s="14">
        <v>0</v>
      </c>
    </row>
    <row r="99" spans="1:11">
      <c r="A99" s="2" t="s">
        <v>443</v>
      </c>
      <c r="B99" s="3" t="s">
        <v>444</v>
      </c>
      <c r="D99" s="14">
        <v>1.7038127044742468E-33</v>
      </c>
      <c r="E99" s="14">
        <v>3.5133508119486798E-5</v>
      </c>
      <c r="F99" s="14">
        <v>5.993714705286418E-8</v>
      </c>
      <c r="G99" s="14">
        <v>1.8827455183903221E-8</v>
      </c>
      <c r="H99" s="14">
        <v>0</v>
      </c>
      <c r="I99" s="14">
        <v>4.1983871479778065E-8</v>
      </c>
      <c r="J99" s="14">
        <v>4.7457434067966678E-6</v>
      </c>
      <c r="K99" s="14">
        <v>0</v>
      </c>
    </row>
    <row r="100" spans="1:11">
      <c r="A100" s="2" t="s">
        <v>445</v>
      </c>
      <c r="B100" s="3" t="s">
        <v>446</v>
      </c>
      <c r="D100" s="14">
        <v>8.8934091144583235E-12</v>
      </c>
      <c r="E100" s="14">
        <v>5.9960871392383067E-7</v>
      </c>
      <c r="F100" s="14">
        <v>9.4024814671188514E-6</v>
      </c>
      <c r="G100" s="14">
        <v>6.0595174634796482E-6</v>
      </c>
      <c r="H100" s="14">
        <v>0</v>
      </c>
      <c r="I100" s="14">
        <v>3.3344246995633728E-6</v>
      </c>
      <c r="J100" s="14">
        <v>2.0603958762505191E-5</v>
      </c>
      <c r="K100" s="14">
        <v>0</v>
      </c>
    </row>
    <row r="101" spans="1:11">
      <c r="A101" s="2" t="s">
        <v>447</v>
      </c>
      <c r="B101" s="3" t="s">
        <v>448</v>
      </c>
      <c r="D101" s="14">
        <v>3.2487863330027291E-13</v>
      </c>
      <c r="E101" s="14">
        <v>1.3007709041751305E-5</v>
      </c>
      <c r="F101" s="14">
        <v>3.0591119066725728E-6</v>
      </c>
      <c r="G101" s="14">
        <v>6.6848385033441189E-7</v>
      </c>
      <c r="H101" s="14">
        <v>0</v>
      </c>
      <c r="I101" s="14">
        <v>3.663785648284211E-7</v>
      </c>
      <c r="J101" s="14">
        <v>2.2898316311534653E-5</v>
      </c>
      <c r="K101" s="14">
        <v>0</v>
      </c>
    </row>
    <row r="102" spans="1:11">
      <c r="A102" s="2" t="s">
        <v>449</v>
      </c>
      <c r="B102" s="3" t="s">
        <v>450</v>
      </c>
      <c r="D102" s="14">
        <v>2.5168387372331952E-8</v>
      </c>
      <c r="E102" s="14">
        <v>4.9963753165528363E-6</v>
      </c>
      <c r="F102" s="14">
        <v>8.2628449714773171E-6</v>
      </c>
      <c r="G102" s="14">
        <v>1.5639582664469719E-6</v>
      </c>
      <c r="H102" s="14">
        <v>0</v>
      </c>
      <c r="I102" s="14">
        <v>8.4429320430220444E-7</v>
      </c>
      <c r="J102" s="14">
        <v>2.4307359853848345E-5</v>
      </c>
      <c r="K102" s="14">
        <v>0</v>
      </c>
    </row>
    <row r="103" spans="1:11">
      <c r="A103" s="2" t="s">
        <v>451</v>
      </c>
      <c r="B103" s="3" t="s">
        <v>452</v>
      </c>
      <c r="D103" s="14">
        <v>1.935613104269631E-23</v>
      </c>
      <c r="E103" s="14">
        <v>3.9492580074855704E-5</v>
      </c>
      <c r="F103" s="14">
        <v>4.6207243115926071E-7</v>
      </c>
      <c r="G103" s="14">
        <v>4.4842030108791724E-11</v>
      </c>
      <c r="H103" s="14">
        <v>0</v>
      </c>
      <c r="I103" s="14">
        <v>4.0121839197500103E-8</v>
      </c>
      <c r="J103" s="14">
        <v>5.1808127574272151E-9</v>
      </c>
      <c r="K103" s="14">
        <v>0</v>
      </c>
    </row>
    <row r="104" spans="1:11">
      <c r="A104" s="2" t="s">
        <v>453</v>
      </c>
      <c r="B104" s="3" t="s">
        <v>454</v>
      </c>
      <c r="D104" s="14">
        <v>4.0499017142945015E-24</v>
      </c>
      <c r="E104" s="14">
        <v>3.9987999050867325E-6</v>
      </c>
      <c r="F104" s="14">
        <v>3.5411491849062662E-5</v>
      </c>
      <c r="G104" s="14">
        <v>3.7498152749262619E-8</v>
      </c>
      <c r="H104" s="14">
        <v>0</v>
      </c>
      <c r="I104" s="14">
        <v>3.0336876853506624E-7</v>
      </c>
      <c r="J104" s="14">
        <v>2.4884132456628068E-7</v>
      </c>
      <c r="K104" s="14">
        <v>0</v>
      </c>
    </row>
    <row r="105" spans="1:11">
      <c r="A105" s="2" t="s">
        <v>455</v>
      </c>
      <c r="B105" s="163">
        <v>354656</v>
      </c>
      <c r="D105" s="14">
        <v>1.4698664977184095E-14</v>
      </c>
      <c r="E105" s="14">
        <v>3.8757660641361497E-5</v>
      </c>
      <c r="F105" s="14">
        <v>3.9187910377056127E-9</v>
      </c>
      <c r="G105" s="14">
        <v>1.5158200997842087E-9</v>
      </c>
      <c r="H105" s="14">
        <v>0</v>
      </c>
      <c r="I105" s="14">
        <v>3.6409908372673139E-8</v>
      </c>
      <c r="J105" s="14">
        <v>1.2004948244296736E-6</v>
      </c>
      <c r="K105" s="14">
        <v>0</v>
      </c>
    </row>
    <row r="106" spans="1:11">
      <c r="A106" s="2" t="s">
        <v>457</v>
      </c>
      <c r="B106" s="3" t="s">
        <v>458</v>
      </c>
      <c r="D106" s="14">
        <v>2.1863851595917161E-14</v>
      </c>
      <c r="E106" s="14">
        <v>3.7513762506765625E-5</v>
      </c>
      <c r="F106" s="14">
        <v>1.6215353123021384E-8</v>
      </c>
      <c r="G106" s="14">
        <v>5.5988896574056303E-9</v>
      </c>
      <c r="H106" s="14">
        <v>0</v>
      </c>
      <c r="I106" s="14">
        <v>3.7731895378951436E-8</v>
      </c>
      <c r="J106" s="14">
        <v>2.4266913332111473E-6</v>
      </c>
      <c r="K106" s="14">
        <v>0</v>
      </c>
    </row>
    <row r="107" spans="1:11">
      <c r="A107" s="2" t="s">
        <v>459</v>
      </c>
      <c r="B107" s="3" t="s">
        <v>460</v>
      </c>
      <c r="D107" s="14">
        <v>7.2892341565136302E-24</v>
      </c>
      <c r="E107" s="14">
        <v>3.3291518152225194E-6</v>
      </c>
      <c r="F107" s="14">
        <v>1.1297575302939562E-5</v>
      </c>
      <c r="G107" s="14">
        <v>1.9773039664961948E-6</v>
      </c>
      <c r="H107" s="14">
        <v>0</v>
      </c>
      <c r="I107" s="14">
        <v>1.6195697758621468E-6</v>
      </c>
      <c r="J107" s="14">
        <v>2.1776399139479575E-5</v>
      </c>
      <c r="K107" s="14">
        <v>0</v>
      </c>
    </row>
    <row r="108" spans="1:11">
      <c r="A108" s="2" t="s">
        <v>461</v>
      </c>
      <c r="B108" s="3" t="s">
        <v>462</v>
      </c>
      <c r="D108" s="14">
        <v>4.3835272040122373E-14</v>
      </c>
      <c r="E108" s="14">
        <v>3.996087369359597E-5</v>
      </c>
      <c r="F108" s="14">
        <v>3.5016303401640827E-11</v>
      </c>
      <c r="G108" s="14">
        <v>1.0149201577382461E-12</v>
      </c>
      <c r="H108" s="14">
        <v>0</v>
      </c>
      <c r="I108" s="14">
        <v>3.6876400119280279E-8</v>
      </c>
      <c r="J108" s="14">
        <v>2.2138312259172275E-9</v>
      </c>
      <c r="K108" s="14">
        <v>0</v>
      </c>
    </row>
    <row r="109" spans="1:11">
      <c r="A109" s="2" t="s">
        <v>463</v>
      </c>
      <c r="B109" s="3" t="s">
        <v>464</v>
      </c>
      <c r="D109" s="14">
        <v>1.1717176616244365E-16</v>
      </c>
      <c r="E109" s="14">
        <v>3.8524487173320523E-5</v>
      </c>
      <c r="F109" s="14">
        <v>2.4055809994128227E-7</v>
      </c>
      <c r="G109" s="14">
        <v>1.1957105487986225E-8</v>
      </c>
      <c r="H109" s="14">
        <v>0</v>
      </c>
      <c r="I109" s="14">
        <v>4.6312868399417319E-7</v>
      </c>
      <c r="J109" s="14">
        <v>7.5986893713887137E-7</v>
      </c>
      <c r="K109" s="14">
        <v>0</v>
      </c>
    </row>
    <row r="110" spans="1:11">
      <c r="A110" s="2" t="s">
        <v>465</v>
      </c>
      <c r="B110" s="3" t="s">
        <v>466</v>
      </c>
      <c r="D110" s="14">
        <v>8.3243830008228025E-16</v>
      </c>
      <c r="E110" s="14">
        <v>3.9713083527595387E-5</v>
      </c>
      <c r="F110" s="14">
        <v>8.9562902526036206E-10</v>
      </c>
      <c r="G110" s="14">
        <v>1.7135417299313467E-10</v>
      </c>
      <c r="H110" s="14">
        <v>0</v>
      </c>
      <c r="I110" s="14">
        <v>3.6615472175310679E-8</v>
      </c>
      <c r="J110" s="14">
        <v>2.4923401619861067E-7</v>
      </c>
      <c r="K110" s="14">
        <v>0</v>
      </c>
    </row>
    <row r="111" spans="1:11">
      <c r="A111" s="2" t="s">
        <v>467</v>
      </c>
      <c r="B111" s="3" t="s">
        <v>468</v>
      </c>
      <c r="D111" s="14">
        <v>1.4793521321245157E-34</v>
      </c>
      <c r="E111" s="14">
        <v>3.996295803620858E-5</v>
      </c>
      <c r="F111" s="14">
        <v>6.3634432793095398E-11</v>
      </c>
      <c r="G111" s="14">
        <v>5.2573165343200868E-14</v>
      </c>
      <c r="H111" s="14">
        <v>0</v>
      </c>
      <c r="I111" s="14">
        <v>3.6754468192711314E-8</v>
      </c>
      <c r="J111" s="14">
        <v>2.2380859274962244E-10</v>
      </c>
      <c r="K111" s="14">
        <v>0</v>
      </c>
    </row>
    <row r="112" spans="1:11">
      <c r="A112" s="2" t="s">
        <v>469</v>
      </c>
      <c r="B112" s="3" t="s">
        <v>470</v>
      </c>
      <c r="D112" s="14">
        <v>9.3520308109483866E-18</v>
      </c>
      <c r="E112" s="14">
        <v>3.9640177772177553E-5</v>
      </c>
      <c r="F112" s="14">
        <v>3.0887314051019282E-10</v>
      </c>
      <c r="G112" s="14">
        <v>1.4430311272002187E-10</v>
      </c>
      <c r="H112" s="14">
        <v>0</v>
      </c>
      <c r="I112" s="14">
        <v>3.6528314772459831E-8</v>
      </c>
      <c r="J112" s="14">
        <v>3.2284073678740926E-7</v>
      </c>
      <c r="K112" s="14">
        <v>0</v>
      </c>
    </row>
    <row r="113" spans="1:11">
      <c r="A113" s="2" t="s">
        <v>471</v>
      </c>
      <c r="B113" s="3" t="s">
        <v>472</v>
      </c>
      <c r="D113" s="14">
        <v>1.1540583258227131E-13</v>
      </c>
      <c r="E113" s="14">
        <v>3.8135322461710593E-5</v>
      </c>
      <c r="F113" s="14">
        <v>8.800391105089821E-9</v>
      </c>
      <c r="G113" s="14">
        <v>3.2032993733483946E-9</v>
      </c>
      <c r="H113" s="14">
        <v>0</v>
      </c>
      <c r="I113" s="14">
        <v>3.6697503462966629E-8</v>
      </c>
      <c r="J113" s="14">
        <v>1.8159762289421791E-6</v>
      </c>
      <c r="K113" s="14">
        <v>0</v>
      </c>
    </row>
    <row r="114" spans="1:11">
      <c r="A114" s="2" t="s">
        <v>473</v>
      </c>
      <c r="B114" s="3" t="s">
        <v>474</v>
      </c>
      <c r="D114" s="14">
        <v>9.1792916947191353E-21</v>
      </c>
      <c r="E114" s="14">
        <v>3.9795866350812034E-5</v>
      </c>
      <c r="F114" s="14">
        <v>8.9931640155390049E-11</v>
      </c>
      <c r="G114" s="14">
        <v>4.5308649525515752E-11</v>
      </c>
      <c r="H114" s="14">
        <v>0</v>
      </c>
      <c r="I114" s="14">
        <v>3.6622191709456579E-8</v>
      </c>
      <c r="J114" s="14">
        <v>1.6737621718882151E-7</v>
      </c>
      <c r="K114" s="14">
        <v>0</v>
      </c>
    </row>
    <row r="115" spans="1:11">
      <c r="A115" s="2" t="s">
        <v>475</v>
      </c>
      <c r="B115" s="3" t="s">
        <v>476</v>
      </c>
      <c r="D115" s="14">
        <v>4.8670590380775901E-17</v>
      </c>
      <c r="E115" s="14">
        <v>3.9847472051797411E-5</v>
      </c>
      <c r="F115" s="14">
        <v>1.1209218246650204E-7</v>
      </c>
      <c r="G115" s="14">
        <v>1.3426387532779653E-11</v>
      </c>
      <c r="H115" s="14">
        <v>0</v>
      </c>
      <c r="I115" s="14">
        <v>3.7658760777402891E-8</v>
      </c>
      <c r="J115" s="14">
        <v>2.7635785224881569E-9</v>
      </c>
      <c r="K115" s="14">
        <v>0</v>
      </c>
    </row>
    <row r="116" spans="1:11">
      <c r="A116" s="2" t="s">
        <v>477</v>
      </c>
      <c r="B116" s="3" t="s">
        <v>478</v>
      </c>
      <c r="D116" s="14">
        <v>3.8104546515709659E-21</v>
      </c>
      <c r="E116" s="14">
        <v>1.5233005196844431E-5</v>
      </c>
      <c r="F116" s="14">
        <v>9.3055714156200887E-6</v>
      </c>
      <c r="G116" s="14">
        <v>2.2538580842910932E-7</v>
      </c>
      <c r="H116" s="14">
        <v>0</v>
      </c>
      <c r="I116" s="14">
        <v>1.3060136249931492E-5</v>
      </c>
      <c r="J116" s="14">
        <v>2.1759013291748893E-6</v>
      </c>
      <c r="K116" s="14">
        <v>0</v>
      </c>
    </row>
    <row r="117" spans="1:11">
      <c r="A117" s="2" t="s">
        <v>291</v>
      </c>
      <c r="B117" s="3" t="s">
        <v>479</v>
      </c>
      <c r="D117" s="14">
        <v>1.449744385718413E-14</v>
      </c>
      <c r="E117" s="14">
        <v>2.3349151338639936E-5</v>
      </c>
      <c r="F117" s="14">
        <v>8.4171613140381511E-7</v>
      </c>
      <c r="G117" s="14">
        <v>2.1118409449087356E-7</v>
      </c>
      <c r="H117" s="14">
        <v>0</v>
      </c>
      <c r="I117" s="14">
        <v>1.3209690192049612E-7</v>
      </c>
      <c r="J117" s="14">
        <v>1.5465851519047434E-5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8.1062287634747456E-8</v>
      </c>
      <c r="J2" s="67" t="s">
        <v>231</v>
      </c>
      <c r="K2" s="68">
        <v>8.8985975828721536E-4</v>
      </c>
      <c r="L2" s="67" t="s">
        <v>231</v>
      </c>
      <c r="M2" s="68">
        <v>1.1362504745440333E-3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9.8984150152619203E-6</v>
      </c>
      <c r="J3" s="67" t="s">
        <v>231</v>
      </c>
      <c r="K3" s="68">
        <v>4.9064733905827074E-3</v>
      </c>
      <c r="L3" s="67" t="s">
        <v>231</v>
      </c>
      <c r="M3" s="68">
        <v>0.30385676770664583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9.1284299699238086E-15</v>
      </c>
      <c r="J4" s="67" t="s">
        <v>231</v>
      </c>
      <c r="K4" s="68">
        <v>1.0185454687580296E-3</v>
      </c>
      <c r="L4" s="67" t="s">
        <v>231</v>
      </c>
      <c r="M4" s="68">
        <v>3.0477259268492053E-3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2.0503749758112979E-10</v>
      </c>
      <c r="J5" s="67" t="s">
        <v>231</v>
      </c>
      <c r="K5" s="68">
        <v>1.3685219815783101E-3</v>
      </c>
      <c r="L5" s="67" t="s">
        <v>231</v>
      </c>
      <c r="M5" s="68">
        <v>7.5556963496211202E-2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8.9045327163152404E-7</v>
      </c>
      <c r="J6" s="67" t="s">
        <v>231</v>
      </c>
      <c r="K6" s="68">
        <v>1.9049488919078365E-3</v>
      </c>
      <c r="L6" s="67" t="s">
        <v>231</v>
      </c>
      <c r="M6" s="68">
        <v>0.16232355598669618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7.8615742174339843E-6</v>
      </c>
      <c r="J7" s="67" t="s">
        <v>231</v>
      </c>
      <c r="K7" s="68">
        <v>3.6042278185258597E-3</v>
      </c>
      <c r="L7" s="67" t="s">
        <v>231</v>
      </c>
      <c r="M7" s="68">
        <v>0.41916126171854784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1.7216807849596277E-8</v>
      </c>
      <c r="J8" s="67" t="s">
        <v>231</v>
      </c>
      <c r="K8" s="68">
        <v>2.2987196639142884E-3</v>
      </c>
      <c r="L8" s="67" t="s">
        <v>231</v>
      </c>
      <c r="M8" s="68">
        <v>0.22777938167783293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6.4028894306105006E-7</v>
      </c>
      <c r="J9" s="67" t="s">
        <v>231</v>
      </c>
      <c r="K9" s="68">
        <v>1.276872506723015E-3</v>
      </c>
      <c r="L9" s="67" t="s">
        <v>231</v>
      </c>
      <c r="M9" s="68">
        <v>6.0255759861414071E-2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9.7223171740559201E-4</v>
      </c>
      <c r="J10" s="67" t="s">
        <v>231</v>
      </c>
      <c r="K10" s="68">
        <v>3.2139920640624486E-2</v>
      </c>
      <c r="L10" s="67" t="s">
        <v>231</v>
      </c>
      <c r="M10" s="68">
        <v>3.1888836029423224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3.2938373035947923E-8</v>
      </c>
      <c r="J11" s="67" t="s">
        <v>231</v>
      </c>
      <c r="K11" s="68">
        <v>0.27573028548182876</v>
      </c>
      <c r="L11" s="67" t="s">
        <v>231</v>
      </c>
      <c r="M11" s="68">
        <v>33.186226271811485</v>
      </c>
      <c r="N11" s="67" t="s">
        <v>232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2.3949534634297823E-8</v>
      </c>
      <c r="J12" s="67" t="s">
        <v>231</v>
      </c>
      <c r="K12" s="68">
        <v>8.2899717134950581E-4</v>
      </c>
      <c r="L12" s="67" t="s">
        <v>231</v>
      </c>
      <c r="M12" s="68">
        <v>6.1359349614974144E-5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1.1196029013792604E-3</v>
      </c>
      <c r="J13" s="67" t="s">
        <v>231</v>
      </c>
      <c r="K13" s="68">
        <v>2.7446760699354538E-3</v>
      </c>
      <c r="L13" s="67" t="s">
        <v>231</v>
      </c>
      <c r="M13" s="68">
        <v>0.2136392058771823</v>
      </c>
      <c r="N13" s="67" t="s">
        <v>231</v>
      </c>
      <c r="P13" s="109" t="s">
        <v>192</v>
      </c>
      <c r="Q13" s="103">
        <f>COUNTIF(J2:J50000,"Yes")</f>
        <v>10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8.5233146115281945E-8</v>
      </c>
      <c r="J14" s="67" t="s">
        <v>231</v>
      </c>
      <c r="K14" s="68">
        <v>1.1161559389232745E-2</v>
      </c>
      <c r="L14" s="67" t="s">
        <v>231</v>
      </c>
      <c r="M14" s="68">
        <v>1.5279077389644264</v>
      </c>
      <c r="N14" s="67" t="s">
        <v>231</v>
      </c>
      <c r="P14" s="109" t="s">
        <v>229</v>
      </c>
      <c r="Q14" s="103">
        <f>COUNTIF(N2:N50000,"Yes")</f>
        <v>6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1.0873636092539474E-6</v>
      </c>
      <c r="J15" s="67" t="s">
        <v>231</v>
      </c>
      <c r="K15" s="68">
        <v>1.0067999271399402E-3</v>
      </c>
      <c r="L15" s="67" t="s">
        <v>231</v>
      </c>
      <c r="M15" s="68">
        <v>2.9646458353435278E-2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1.0063016871317622E-4</v>
      </c>
      <c r="J16" s="67" t="s">
        <v>231</v>
      </c>
      <c r="K16" s="68">
        <v>3.0561887045372563E-3</v>
      </c>
      <c r="L16" s="67" t="s">
        <v>231</v>
      </c>
      <c r="M16" s="68">
        <v>0.24659706914189902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2.2262781053948976E-6</v>
      </c>
      <c r="J17" s="67" t="s">
        <v>231</v>
      </c>
      <c r="K17" s="68">
        <v>2.8508422061017911E-3</v>
      </c>
      <c r="L17" s="67" t="s">
        <v>231</v>
      </c>
      <c r="M17" s="68">
        <v>0.22505743375985807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1.2207812513762576E-2</v>
      </c>
      <c r="J18" s="67" t="s">
        <v>232</v>
      </c>
      <c r="K18" s="68">
        <v>0.1717771944296354</v>
      </c>
      <c r="L18" s="67" t="s">
        <v>231</v>
      </c>
      <c r="M18" s="68">
        <v>17.282018010210511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1.8123479963703686E-6</v>
      </c>
      <c r="J19" s="67" t="s">
        <v>231</v>
      </c>
      <c r="K19" s="68">
        <v>9.2430530265869579E-4</v>
      </c>
      <c r="L19" s="67" t="s">
        <v>231</v>
      </c>
      <c r="M19" s="68">
        <v>1.0244608968625198E-2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5.0799374438900392E-6</v>
      </c>
      <c r="J20" s="67" t="s">
        <v>231</v>
      </c>
      <c r="K20" s="68">
        <v>9.6770348865468875E-4</v>
      </c>
      <c r="L20" s="67" t="s">
        <v>231</v>
      </c>
      <c r="M20" s="68">
        <v>1.7650330197461032E-2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7.7018635635342796E-6</v>
      </c>
      <c r="J21" s="67" t="s">
        <v>231</v>
      </c>
      <c r="K21" s="68">
        <v>8.2283912936513132E-3</v>
      </c>
      <c r="L21" s="67" t="s">
        <v>231</v>
      </c>
      <c r="M21" s="68">
        <v>0.83815141357600365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4.0128278127133388E-8</v>
      </c>
      <c r="J22" s="67" t="s">
        <v>231</v>
      </c>
      <c r="K22" s="68">
        <v>8.3278856024786535E-4</v>
      </c>
      <c r="L22" s="67" t="s">
        <v>231</v>
      </c>
      <c r="M22" s="68">
        <v>1.8459579382858267E-3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1.1158659382933256E-5</v>
      </c>
      <c r="J23" s="67" t="s">
        <v>231</v>
      </c>
      <c r="K23" s="68">
        <v>1.1912571071005433E-3</v>
      </c>
      <c r="L23" s="67" t="s">
        <v>231</v>
      </c>
      <c r="M23" s="68">
        <v>5.0108817444087385E-2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2.0831859263530734E-4</v>
      </c>
      <c r="J24" s="67" t="s">
        <v>231</v>
      </c>
      <c r="K24" s="68">
        <v>4.3183265810138576E-3</v>
      </c>
      <c r="L24" s="67" t="s">
        <v>231</v>
      </c>
      <c r="M24" s="68">
        <v>0.37841589870682646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4.0621927593955005E-3</v>
      </c>
      <c r="J25" s="67" t="s">
        <v>231</v>
      </c>
      <c r="K25" s="68">
        <v>0.153604792008947</v>
      </c>
      <c r="L25" s="67" t="s">
        <v>231</v>
      </c>
      <c r="M25" s="68">
        <v>15.435389770805591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2.9299206151048285E-4</v>
      </c>
      <c r="J26" s="67" t="s">
        <v>231</v>
      </c>
      <c r="K26" s="68">
        <v>7.5533299686074539E-3</v>
      </c>
      <c r="L26" s="67" t="s">
        <v>231</v>
      </c>
      <c r="M26" s="68">
        <v>0.72303728733652195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232</v>
      </c>
      <c r="H27" s="67" t="s">
        <v>231</v>
      </c>
      <c r="I27" s="68">
        <v>6.9695018090405248E-5</v>
      </c>
      <c r="J27" s="67" t="s">
        <v>231</v>
      </c>
      <c r="K27" s="68">
        <v>3.4995694957913335E-3</v>
      </c>
      <c r="L27" s="67" t="s">
        <v>231</v>
      </c>
      <c r="M27" s="68">
        <v>0.34425838710424206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2.7279599705431322E-5</v>
      </c>
      <c r="J28" s="67" t="s">
        <v>231</v>
      </c>
      <c r="K28" s="68">
        <v>1.4457615330542258E-3</v>
      </c>
      <c r="L28" s="67" t="s">
        <v>231</v>
      </c>
      <c r="M28" s="68">
        <v>0.13953573302953065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2.586968980632024E-7</v>
      </c>
      <c r="J29" s="67" t="s">
        <v>231</v>
      </c>
      <c r="K29" s="68">
        <v>6.911657047762386E-5</v>
      </c>
      <c r="L29" s="67" t="s">
        <v>231</v>
      </c>
      <c r="M29" s="68">
        <v>1.5179380685404293E-3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6.0292002513678062E-6</v>
      </c>
      <c r="J30" s="67" t="s">
        <v>231</v>
      </c>
      <c r="K30" s="68">
        <v>5.1129556072287432E-4</v>
      </c>
      <c r="L30" s="67" t="s">
        <v>231</v>
      </c>
      <c r="M30" s="68">
        <v>4.9262790507572492E-2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8.9781496743532735E-8</v>
      </c>
      <c r="J31" s="67" t="s">
        <v>231</v>
      </c>
      <c r="K31" s="68">
        <v>8.6594469742934961E-6</v>
      </c>
      <c r="L31" s="67" t="s">
        <v>231</v>
      </c>
      <c r="M31" s="68">
        <v>8.1154525444608161E-4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9.9799617737035987E-5</v>
      </c>
      <c r="J32" s="67" t="s">
        <v>231</v>
      </c>
      <c r="K32" s="68">
        <v>2.4320612785751869E-3</v>
      </c>
      <c r="L32" s="67" t="s">
        <v>231</v>
      </c>
      <c r="M32" s="68">
        <v>0.18056836598841311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3.127146719534964E-5</v>
      </c>
      <c r="J33" s="67" t="s">
        <v>231</v>
      </c>
      <c r="K33" s="68">
        <v>1.5535033538784267E-3</v>
      </c>
      <c r="L33" s="67" t="s">
        <v>231</v>
      </c>
      <c r="M33" s="68">
        <v>8.4770488949363676E-2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1.5039206332786566E-4</v>
      </c>
      <c r="J34" s="67" t="s">
        <v>231</v>
      </c>
      <c r="K34" s="68">
        <v>9.0745001030055391E-3</v>
      </c>
      <c r="L34" s="67" t="s">
        <v>231</v>
      </c>
      <c r="M34" s="68">
        <v>0.86467069709319466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1.5097684073059198E-3</v>
      </c>
      <c r="J35" s="67" t="s">
        <v>231</v>
      </c>
      <c r="K35" s="68">
        <v>2.4569546631845587E-2</v>
      </c>
      <c r="L35" s="67" t="s">
        <v>231</v>
      </c>
      <c r="M35" s="68">
        <v>2.4288531575654995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3.7096857860804871E-3</v>
      </c>
      <c r="J36" s="67" t="s">
        <v>231</v>
      </c>
      <c r="K36" s="68">
        <v>6.5514014302111179E-2</v>
      </c>
      <c r="L36" s="67" t="s">
        <v>231</v>
      </c>
      <c r="M36" s="68">
        <v>6.5364922227661237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2.600310962813223E-3</v>
      </c>
      <c r="J37" s="67" t="s">
        <v>231</v>
      </c>
      <c r="K37" s="68">
        <v>0.16480977049498999</v>
      </c>
      <c r="L37" s="67" t="s">
        <v>231</v>
      </c>
      <c r="M37" s="68">
        <v>16.575584131825821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1.3198472264512569E-3</v>
      </c>
      <c r="J38" s="67" t="s">
        <v>231</v>
      </c>
      <c r="K38" s="68">
        <v>9.6411810325078048E-2</v>
      </c>
      <c r="L38" s="67" t="s">
        <v>231</v>
      </c>
      <c r="M38" s="68">
        <v>9.6478660541298407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7.3770071295838199E-4</v>
      </c>
      <c r="J39" s="67" t="s">
        <v>231</v>
      </c>
      <c r="K39" s="68">
        <v>6.5521969945184028E-2</v>
      </c>
      <c r="L39" s="67" t="s">
        <v>231</v>
      </c>
      <c r="M39" s="68">
        <v>6.5429728119719979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1.3198472264512569E-3</v>
      </c>
      <c r="J40" s="67" t="s">
        <v>231</v>
      </c>
      <c r="K40" s="68">
        <v>9.6411810325078048E-2</v>
      </c>
      <c r="L40" s="67" t="s">
        <v>231</v>
      </c>
      <c r="M40" s="68">
        <v>9.6478660541298407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8.7799727067412452E-9</v>
      </c>
      <c r="J41" s="67" t="s">
        <v>231</v>
      </c>
      <c r="K41" s="68">
        <v>9.3523886338147538E-4</v>
      </c>
      <c r="L41" s="67" t="s">
        <v>231</v>
      </c>
      <c r="M41" s="68">
        <v>5.6865993730998883E-3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4.7460091094050074E-3</v>
      </c>
      <c r="J42" s="67" t="s">
        <v>231</v>
      </c>
      <c r="K42" s="68">
        <v>0.16888615250370279</v>
      </c>
      <c r="L42" s="67" t="s">
        <v>231</v>
      </c>
      <c r="M42" s="68">
        <v>16.99115845345656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2.4180962138848749E-3</v>
      </c>
      <c r="J43" s="67" t="s">
        <v>231</v>
      </c>
      <c r="K43" s="68">
        <v>4.7085975857559647E-3</v>
      </c>
      <c r="L43" s="67" t="s">
        <v>231</v>
      </c>
      <c r="M43" s="68">
        <v>0.41859896493900284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6.9849264635558289E-3</v>
      </c>
      <c r="J44" s="67" t="s">
        <v>231</v>
      </c>
      <c r="K44" s="68">
        <v>4.7294602961904103E-2</v>
      </c>
      <c r="L44" s="67" t="s">
        <v>231</v>
      </c>
      <c r="M44" s="68">
        <v>4.7071223362474344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1.3938505759266485E-2</v>
      </c>
      <c r="J45" s="67" t="s">
        <v>232</v>
      </c>
      <c r="K45" s="68">
        <v>0.21238268170809455</v>
      </c>
      <c r="L45" s="67" t="s">
        <v>231</v>
      </c>
      <c r="M45" s="68">
        <v>21.424657526539487</v>
      </c>
      <c r="N45" s="67" t="s">
        <v>232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1.9293510665249819E-3</v>
      </c>
      <c r="J46" s="67" t="s">
        <v>231</v>
      </c>
      <c r="K46" s="68">
        <v>0.17779670005269071</v>
      </c>
      <c r="L46" s="67" t="s">
        <v>231</v>
      </c>
      <c r="M46" s="68">
        <v>17.894684057320248</v>
      </c>
      <c r="N46" s="67" t="s">
        <v>231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3.5256187773410894E-3</v>
      </c>
      <c r="J47" s="142" t="s">
        <v>231</v>
      </c>
      <c r="K47" s="143">
        <v>0.13406513110595011</v>
      </c>
      <c r="L47" s="142" t="s">
        <v>231</v>
      </c>
      <c r="M47" s="143">
        <v>13.453990417658092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6.036566505466652E-4</v>
      </c>
      <c r="J48" s="142" t="s">
        <v>231</v>
      </c>
      <c r="K48" s="143">
        <v>1.7177162271369329E-2</v>
      </c>
      <c r="L48" s="142" t="s">
        <v>231</v>
      </c>
      <c r="M48" s="143">
        <v>1.6826646743716382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4.1901376610830651E-3</v>
      </c>
      <c r="J49" s="142" t="s">
        <v>231</v>
      </c>
      <c r="K49" s="143">
        <v>5.0413631762456133E-2</v>
      </c>
      <c r="L49" s="142" t="s">
        <v>231</v>
      </c>
      <c r="M49" s="143">
        <v>5.0199632069297584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1.0258088691116152E-3</v>
      </c>
      <c r="J50" s="142" t="s">
        <v>231</v>
      </c>
      <c r="K50" s="143">
        <v>5.5891577896699983E-2</v>
      </c>
      <c r="L50" s="142" t="s">
        <v>231</v>
      </c>
      <c r="M50" s="143">
        <v>5.5697635628634865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1.5069888934396804E-3</v>
      </c>
      <c r="J51" s="142" t="s">
        <v>231</v>
      </c>
      <c r="K51" s="143">
        <v>2.084263757926004E-2</v>
      </c>
      <c r="L51" s="142" t="s">
        <v>231</v>
      </c>
      <c r="M51" s="143">
        <v>2.0515342621456818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2.8541973971657697E-2</v>
      </c>
      <c r="J52" s="142" t="s">
        <v>232</v>
      </c>
      <c r="K52" s="143">
        <v>1.7510858139141869E-2</v>
      </c>
      <c r="L52" s="142" t="s">
        <v>231</v>
      </c>
      <c r="M52" s="143">
        <v>1.7162645802019374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9.7107339454889884E-3</v>
      </c>
      <c r="J53" s="142" t="s">
        <v>231</v>
      </c>
      <c r="K53" s="143">
        <v>7.5735552176508125E-2</v>
      </c>
      <c r="L53" s="142" t="s">
        <v>231</v>
      </c>
      <c r="M53" s="143">
        <v>7.5645142406793049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4.9325403502115048E-3</v>
      </c>
      <c r="J54" s="67" t="s">
        <v>231</v>
      </c>
      <c r="K54" s="68">
        <v>5.3108877839892633E-2</v>
      </c>
      <c r="L54" s="67" t="s">
        <v>231</v>
      </c>
      <c r="M54" s="68">
        <v>5.2904183705777328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3.6976149427260627E-3</v>
      </c>
      <c r="J55" s="67" t="s">
        <v>231</v>
      </c>
      <c r="K55" s="68">
        <v>0.13199663268221795</v>
      </c>
      <c r="L55" s="67" t="s">
        <v>231</v>
      </c>
      <c r="M55" s="68">
        <v>13.244637865826913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2.9398239438641221E-3</v>
      </c>
      <c r="J56" s="67" t="s">
        <v>231</v>
      </c>
      <c r="K56" s="68">
        <v>4.8327946743059784E-2</v>
      </c>
      <c r="L56" s="67" t="s">
        <v>231</v>
      </c>
      <c r="M56" s="68">
        <v>4.8107450723238081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4.1838770330548409E-3</v>
      </c>
      <c r="J57" s="67" t="s">
        <v>231</v>
      </c>
      <c r="K57" s="68">
        <v>1.5581139928536658E-2</v>
      </c>
      <c r="L57" s="67" t="s">
        <v>231</v>
      </c>
      <c r="M57" s="68">
        <v>1.5223035359498707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2.9973283994544565E-2</v>
      </c>
      <c r="J58" s="67" t="s">
        <v>232</v>
      </c>
      <c r="K58" s="68">
        <v>5.3660705276970651E-2</v>
      </c>
      <c r="L58" s="67" t="s">
        <v>231</v>
      </c>
      <c r="M58" s="68">
        <v>5.3458034384328723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2.9540888932498991E-3</v>
      </c>
      <c r="J59" s="67" t="s">
        <v>231</v>
      </c>
      <c r="K59" s="68">
        <v>1.7517455218889061E-2</v>
      </c>
      <c r="L59" s="67" t="s">
        <v>231</v>
      </c>
      <c r="M59" s="68">
        <v>1.7169111695474113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1.3997923430281283E-2</v>
      </c>
      <c r="J60" s="67" t="s">
        <v>232</v>
      </c>
      <c r="K60" s="68">
        <v>6.9414238853528182E-2</v>
      </c>
      <c r="L60" s="67" t="s">
        <v>231</v>
      </c>
      <c r="M60" s="68">
        <v>6.9286568352208189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4.5822795863686663E-5</v>
      </c>
      <c r="J61" s="67" t="s">
        <v>231</v>
      </c>
      <c r="K61" s="68">
        <v>4.5992256064940923E-2</v>
      </c>
      <c r="L61" s="67" t="s">
        <v>231</v>
      </c>
      <c r="M61" s="68">
        <v>1.4431266491539834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2.2521887513146657E-4</v>
      </c>
      <c r="J62" s="67" t="s">
        <v>231</v>
      </c>
      <c r="K62" s="68">
        <v>8.6282946450537846E-3</v>
      </c>
      <c r="L62" s="67" t="s">
        <v>231</v>
      </c>
      <c r="M62" s="68">
        <v>0.81936869426551817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1.7284080603765835E-6</v>
      </c>
      <c r="J63" s="67" t="s">
        <v>231</v>
      </c>
      <c r="K63" s="68">
        <v>5.0794766157391501E-3</v>
      </c>
      <c r="L63" s="67" t="s">
        <v>231</v>
      </c>
      <c r="M63" s="68">
        <v>0.11442196729844531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1.060210475918186E-7</v>
      </c>
      <c r="J64" s="67" t="s">
        <v>231</v>
      </c>
      <c r="K64" s="68">
        <v>9.1252015733273256E-4</v>
      </c>
      <c r="L64" s="67" t="s">
        <v>231</v>
      </c>
      <c r="M64" s="68">
        <v>2.2704091950545881E-3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2.0083589116293257E-8</v>
      </c>
      <c r="J65" s="67" t="s">
        <v>231</v>
      </c>
      <c r="K65" s="68">
        <v>1.2680069361544952E-3</v>
      </c>
      <c r="L65" s="67" t="s">
        <v>231</v>
      </c>
      <c r="M65" s="68">
        <v>9.5492259823076082E-3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1.716035223946585E-7</v>
      </c>
      <c r="J66" s="67" t="s">
        <v>231</v>
      </c>
      <c r="K66" s="68">
        <v>4.1537085836700877E-2</v>
      </c>
      <c r="L66" s="67" t="s">
        <v>231</v>
      </c>
      <c r="M66" s="68">
        <v>1.0454910924412579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1.9782563185697424E-8</v>
      </c>
      <c r="J67" s="67" t="s">
        <v>231</v>
      </c>
      <c r="K67" s="68">
        <v>1.2048899520789593E-3</v>
      </c>
      <c r="L67" s="67" t="s">
        <v>231</v>
      </c>
      <c r="M67" s="68">
        <v>7.9491472965835062E-3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6.4224872740585789E-9</v>
      </c>
      <c r="J68" s="67" t="s">
        <v>231</v>
      </c>
      <c r="K68" s="68">
        <v>9.3896727676699959E-4</v>
      </c>
      <c r="L68" s="67" t="s">
        <v>231</v>
      </c>
      <c r="M68" s="68">
        <v>1.0541952572481674E-3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1.6535773693911551E-4</v>
      </c>
      <c r="J69" s="67" t="s">
        <v>231</v>
      </c>
      <c r="K69" s="68">
        <v>4.3287122130906221E-2</v>
      </c>
      <c r="L69" s="67" t="s">
        <v>231</v>
      </c>
      <c r="M69" s="68">
        <v>4.3053174035771216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2.2829376755782419E-14</v>
      </c>
      <c r="J70" s="67" t="s">
        <v>231</v>
      </c>
      <c r="K70" s="68">
        <v>9.2333009291922384E-4</v>
      </c>
      <c r="L70" s="67" t="s">
        <v>231</v>
      </c>
      <c r="M70" s="68">
        <v>3.8064633548842257E-3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1.9818719364973764E-10</v>
      </c>
      <c r="J71" s="67" t="s">
        <v>231</v>
      </c>
      <c r="K71" s="68">
        <v>9.4332132726048271E-4</v>
      </c>
      <c r="L71" s="67" t="s">
        <v>231</v>
      </c>
      <c r="M71" s="68">
        <v>6.9732659762720287E-3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2.6758200427447273E-13</v>
      </c>
      <c r="J72" s="67" t="s">
        <v>231</v>
      </c>
      <c r="K72" s="68">
        <v>4.3221408703926399E-2</v>
      </c>
      <c r="L72" s="67" t="s">
        <v>231</v>
      </c>
      <c r="M72" s="68">
        <v>6.0615033434982646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1.1775052271628212E-10</v>
      </c>
      <c r="J73" s="67" t="s">
        <v>231</v>
      </c>
      <c r="K73" s="68">
        <v>4.3439685393469171E-3</v>
      </c>
      <c r="L73" s="67" t="s">
        <v>231</v>
      </c>
      <c r="M73" s="68">
        <v>0.57529242705751393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1.8582962433560265E-11</v>
      </c>
      <c r="J74" s="67" t="s">
        <v>231</v>
      </c>
      <c r="K74" s="68">
        <v>9.3941879546844678E-4</v>
      </c>
      <c r="L74" s="67" t="s">
        <v>231</v>
      </c>
      <c r="M74" s="68">
        <v>6.3538970273447825E-3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6.9799858387892503E-13</v>
      </c>
      <c r="J75" s="67" t="s">
        <v>231</v>
      </c>
      <c r="K75" s="68">
        <v>4.2173474225240606E-3</v>
      </c>
      <c r="L75" s="67" t="s">
        <v>231</v>
      </c>
      <c r="M75" s="68">
        <v>0.55298027578124787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1.6557860550125344E-8</v>
      </c>
      <c r="J76" s="67" t="s">
        <v>231</v>
      </c>
      <c r="K76" s="68">
        <v>1.5542358441250537E-3</v>
      </c>
      <c r="L76" s="67" t="s">
        <v>231</v>
      </c>
      <c r="M76" s="68">
        <v>0.10585166771513571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4.8913076647393273E-7</v>
      </c>
      <c r="J77" s="67" t="s">
        <v>231</v>
      </c>
      <c r="K77" s="68">
        <v>4.3095498678471095E-3</v>
      </c>
      <c r="L77" s="67" t="s">
        <v>231</v>
      </c>
      <c r="M77" s="68">
        <v>0.56919597305282976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2.6531212756809516E-12</v>
      </c>
      <c r="J78" s="67" t="s">
        <v>231</v>
      </c>
      <c r="K78" s="68">
        <v>3.6345154202258728E-2</v>
      </c>
      <c r="L78" s="67" t="s">
        <v>231</v>
      </c>
      <c r="M78" s="68">
        <v>5.0958945061000893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1.4596097480339889E-15</v>
      </c>
      <c r="J79" s="67" t="s">
        <v>231</v>
      </c>
      <c r="K79" s="68">
        <v>3.6345133292038666E-2</v>
      </c>
      <c r="L79" s="67" t="s">
        <v>231</v>
      </c>
      <c r="M79" s="68">
        <v>5.0958927945071535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8.2303260112534852E-14</v>
      </c>
      <c r="J80" s="67" t="s">
        <v>231</v>
      </c>
      <c r="K80" s="68">
        <v>2.6912869485346915E-3</v>
      </c>
      <c r="L80" s="67" t="s">
        <v>231</v>
      </c>
      <c r="M80" s="68">
        <v>0.29365742469035516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8.4660133790451196E-11</v>
      </c>
      <c r="J81" s="67" t="s">
        <v>231</v>
      </c>
      <c r="K81" s="68">
        <v>1.0584334425527667E-3</v>
      </c>
      <c r="L81" s="67" t="s">
        <v>231</v>
      </c>
      <c r="M81" s="68">
        <v>2.5381292879630306E-2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2.1407762796643061E-15</v>
      </c>
      <c r="J82" s="67" t="s">
        <v>231</v>
      </c>
      <c r="K82" s="68">
        <v>1.2777380676441265E-3</v>
      </c>
      <c r="L82" s="67" t="s">
        <v>231</v>
      </c>
      <c r="M82" s="68">
        <v>6.0814754192954165E-2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1.5434933825401152E-13</v>
      </c>
      <c r="J83" s="67" t="s">
        <v>231</v>
      </c>
      <c r="K83" s="68">
        <v>6.8947773993102715E-2</v>
      </c>
      <c r="L83" s="67" t="s">
        <v>231</v>
      </c>
      <c r="M83" s="68">
        <v>9.6734670258518829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5.0989880787294058E-2</v>
      </c>
      <c r="J84" s="67" t="s">
        <v>232</v>
      </c>
      <c r="K84" s="68">
        <v>5.9569404074934938E-3</v>
      </c>
      <c r="L84" s="67" t="s">
        <v>231</v>
      </c>
      <c r="M84" s="68">
        <v>0.54698427558889251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9.1976144817850472E-6</v>
      </c>
      <c r="J85" s="67" t="s">
        <v>231</v>
      </c>
      <c r="K85" s="68">
        <v>0.70228695507571415</v>
      </c>
      <c r="L85" s="67" t="s">
        <v>231</v>
      </c>
      <c r="M85" s="68">
        <v>18.003037773640724</v>
      </c>
      <c r="N85" s="67" t="s">
        <v>231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1.3284470745245486E-3</v>
      </c>
      <c r="J86" s="67" t="s">
        <v>231</v>
      </c>
      <c r="K86" s="68">
        <v>0.20266902420979929</v>
      </c>
      <c r="L86" s="67" t="s">
        <v>231</v>
      </c>
      <c r="M86" s="68">
        <v>20.431435878851925</v>
      </c>
      <c r="N86" s="67" t="s">
        <v>232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1.0377047944650616E-3</v>
      </c>
      <c r="J87" s="67" t="s">
        <v>231</v>
      </c>
      <c r="K87" s="68">
        <v>0.24937652617460393</v>
      </c>
      <c r="L87" s="67" t="s">
        <v>231</v>
      </c>
      <c r="M87" s="68">
        <v>25.223517589488335</v>
      </c>
      <c r="N87" s="67" t="s">
        <v>232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1.7073133227329684E-3</v>
      </c>
      <c r="J88" s="67" t="s">
        <v>231</v>
      </c>
      <c r="K88" s="68">
        <v>0.29120069568457663</v>
      </c>
      <c r="L88" s="67" t="s">
        <v>231</v>
      </c>
      <c r="M88" s="68">
        <v>29.563909703052538</v>
      </c>
      <c r="N88" s="67" t="s">
        <v>232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3.160283644483221E-7</v>
      </c>
      <c r="J89" s="67" t="s">
        <v>231</v>
      </c>
      <c r="K89" s="68">
        <v>0.93551214572824681</v>
      </c>
      <c r="L89" s="67" t="s">
        <v>231</v>
      </c>
      <c r="M89" s="68">
        <v>24.222920113856198</v>
      </c>
      <c r="N89" s="67" t="s">
        <v>232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1.9044328824793857E-5</v>
      </c>
      <c r="J90" s="67" t="s">
        <v>231</v>
      </c>
      <c r="K90" s="68">
        <v>8.917007331253542E-4</v>
      </c>
      <c r="L90" s="67" t="s">
        <v>231</v>
      </c>
      <c r="M90" s="68">
        <v>1.4763986658544691E-3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3.5473832903569293E-5</v>
      </c>
      <c r="J91" s="67" t="s">
        <v>231</v>
      </c>
      <c r="K91" s="68">
        <v>1.5235436677957296E-3</v>
      </c>
      <c r="L91" s="67" t="s">
        <v>231</v>
      </c>
      <c r="M91" s="68">
        <v>8.1412115769651044E-2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5.7901316545315554E-5</v>
      </c>
      <c r="J92" s="67" t="s">
        <v>231</v>
      </c>
      <c r="K92" s="68">
        <v>1.1282813337237196E-2</v>
      </c>
      <c r="L92" s="67" t="s">
        <v>231</v>
      </c>
      <c r="M92" s="68">
        <v>1.088338171134684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1.2892141928931975E-8</v>
      </c>
      <c r="J93" s="67" t="s">
        <v>231</v>
      </c>
      <c r="K93" s="68">
        <v>9.0300770521655274E-4</v>
      </c>
      <c r="L93" s="67" t="s">
        <v>231</v>
      </c>
      <c r="M93" s="68">
        <v>6.2157435516463052E-4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2.1053038092625811E-18</v>
      </c>
      <c r="J94" s="67" t="s">
        <v>231</v>
      </c>
      <c r="K94" s="68">
        <v>9.0497605245187286E-4</v>
      </c>
      <c r="L94" s="67" t="s">
        <v>231</v>
      </c>
      <c r="M94" s="68">
        <v>1.5083119805202105E-4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2.2749381591958337E-6</v>
      </c>
      <c r="J95" s="67" t="s">
        <v>231</v>
      </c>
      <c r="K95" s="68">
        <v>9.2180330795006758E-4</v>
      </c>
      <c r="L95" s="67" t="s">
        <v>231</v>
      </c>
      <c r="M95" s="68">
        <v>6.3808157603958606E-3</v>
      </c>
      <c r="N95" s="67" t="s">
        <v>231</v>
      </c>
      <c r="O95" s="65"/>
      <c r="P95" s="102"/>
    </row>
    <row r="96" spans="1:16">
      <c r="A96" s="65" t="s">
        <v>437</v>
      </c>
      <c r="B96" s="165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1.4352515070525354E-2</v>
      </c>
      <c r="J96" s="67" t="s">
        <v>232</v>
      </c>
      <c r="K96" s="68">
        <v>0.18383509390007136</v>
      </c>
      <c r="L96" s="67" t="s">
        <v>231</v>
      </c>
      <c r="M96" s="68">
        <v>18.509720495374452</v>
      </c>
      <c r="N96" s="67" t="s">
        <v>231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1.1124908308011748E-4</v>
      </c>
      <c r="J97" s="67" t="s">
        <v>231</v>
      </c>
      <c r="K97" s="68">
        <v>2.174331959549065E-3</v>
      </c>
      <c r="L97" s="67" t="s">
        <v>231</v>
      </c>
      <c r="M97" s="68">
        <v>0.15274773632028396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2.8820177322826339E-5</v>
      </c>
      <c r="J98" s="67" t="s">
        <v>231</v>
      </c>
      <c r="K98" s="68">
        <v>1.6172822028743207E-3</v>
      </c>
      <c r="L98" s="67" t="s">
        <v>231</v>
      </c>
      <c r="M98" s="68">
        <v>9.1879324221528433E-2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1.7856248540739793E-6</v>
      </c>
      <c r="J99" s="67" t="s">
        <v>231</v>
      </c>
      <c r="K99" s="68">
        <v>1.0270027270004418E-3</v>
      </c>
      <c r="L99" s="67" t="s">
        <v>231</v>
      </c>
      <c r="M99" s="68">
        <v>2.2966291022423493E-2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1.0169175539403996E-2</v>
      </c>
      <c r="J100" s="67" t="s">
        <v>232</v>
      </c>
      <c r="K100" s="68">
        <v>8.1566161926696981E-2</v>
      </c>
      <c r="L100" s="67" t="s">
        <v>231</v>
      </c>
      <c r="M100" s="68">
        <v>8.1514953046920127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3.3928886268136296E-2</v>
      </c>
      <c r="J101" s="67" t="s">
        <v>232</v>
      </c>
      <c r="K101" s="68">
        <v>8.9622936601864277E-3</v>
      </c>
      <c r="L101" s="67" t="s">
        <v>231</v>
      </c>
      <c r="M101" s="68">
        <v>0.85327723894702578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1.8114329459882408E-2</v>
      </c>
      <c r="J102" s="67" t="s">
        <v>232</v>
      </c>
      <c r="K102" s="68">
        <v>2.0652964880190913E-2</v>
      </c>
      <c r="L102" s="67" t="s">
        <v>231</v>
      </c>
      <c r="M102" s="68">
        <v>2.0324712038345871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1.7101911032908072E-9</v>
      </c>
      <c r="J103" s="67" t="s">
        <v>231</v>
      </c>
      <c r="K103" s="68">
        <v>9.8145399211105907E-4</v>
      </c>
      <c r="L103" s="67" t="s">
        <v>231</v>
      </c>
      <c r="M103" s="68">
        <v>1.3044599021581211E-2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2.2075862891776456E-6</v>
      </c>
      <c r="J104" s="67" t="s">
        <v>231</v>
      </c>
      <c r="K104" s="68">
        <v>7.4209581344194288E-3</v>
      </c>
      <c r="L104" s="67" t="s">
        <v>231</v>
      </c>
      <c r="M104" s="68">
        <v>1.0099656221792084</v>
      </c>
      <c r="N104" s="67" t="s">
        <v>231</v>
      </c>
      <c r="O104" s="65"/>
      <c r="P104" s="102"/>
    </row>
    <row r="105" spans="1:16">
      <c r="A105" s="65" t="s">
        <v>455</v>
      </c>
      <c r="B105" s="165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9.6909263214681889E-8</v>
      </c>
      <c r="J105" s="67" t="s">
        <v>231</v>
      </c>
      <c r="K105" s="68">
        <v>8.9065333592644653E-4</v>
      </c>
      <c r="L105" s="67" t="s">
        <v>231</v>
      </c>
      <c r="M105" s="68">
        <v>1.8015524176581295E-3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3.3245982169162068E-8</v>
      </c>
      <c r="J106" s="67" t="s">
        <v>231</v>
      </c>
      <c r="K106" s="68">
        <v>9.2299156993521129E-4</v>
      </c>
      <c r="L106" s="67" t="s">
        <v>231</v>
      </c>
      <c r="M106" s="68">
        <v>6.8621431988145102E-3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3.3757708248099452E-5</v>
      </c>
      <c r="J107" s="67" t="s">
        <v>231</v>
      </c>
      <c r="K107" s="68">
        <v>3.9617655965316703E-2</v>
      </c>
      <c r="L107" s="67" t="s">
        <v>231</v>
      </c>
      <c r="M107" s="68">
        <v>2.7672244885037198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2.6451537905762707E-10</v>
      </c>
      <c r="J108" s="67" t="s">
        <v>231</v>
      </c>
      <c r="K108" s="68">
        <v>9.0206458217417503E-4</v>
      </c>
      <c r="L108" s="67" t="s">
        <v>231</v>
      </c>
      <c r="M108" s="68">
        <v>7.806723749736857E-5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2.8706957572294312E-6</v>
      </c>
      <c r="J109" s="67" t="s">
        <v>231</v>
      </c>
      <c r="K109" s="68">
        <v>1.1328979549759617E-2</v>
      </c>
      <c r="L109" s="67" t="s">
        <v>231</v>
      </c>
      <c r="M109" s="68">
        <v>0.27076710821460453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5.8212684708088807E-6</v>
      </c>
      <c r="J110" s="67" t="s">
        <v>231</v>
      </c>
      <c r="K110" s="68">
        <v>8.9568180467981123E-4</v>
      </c>
      <c r="L110" s="67" t="s">
        <v>231</v>
      </c>
      <c r="M110" s="68">
        <v>2.2185476664197295E-4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8.1125841356072541E-14</v>
      </c>
      <c r="J111" s="67" t="s">
        <v>231</v>
      </c>
      <c r="K111" s="68">
        <v>8.9908190295282084E-4</v>
      </c>
      <c r="L111" s="67" t="s">
        <v>231</v>
      </c>
      <c r="M111" s="68">
        <v>3.2313578663443438E-6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9.1526409480615798E-9</v>
      </c>
      <c r="J112" s="67" t="s">
        <v>231</v>
      </c>
      <c r="K112" s="68">
        <v>8.9354977427739317E-4</v>
      </c>
      <c r="L112" s="67" t="s">
        <v>231</v>
      </c>
      <c r="M112" s="68">
        <v>1.6750390668436412E-4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4.2132458231986046E-7</v>
      </c>
      <c r="J113" s="67" t="s">
        <v>231</v>
      </c>
      <c r="K113" s="68">
        <v>8.9768844087491763E-4</v>
      </c>
      <c r="L113" s="67" t="s">
        <v>231</v>
      </c>
      <c r="M113" s="68">
        <v>3.8361605075745604E-3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5.6935771790165925E-8</v>
      </c>
      <c r="J114" s="67" t="s">
        <v>231</v>
      </c>
      <c r="K114" s="68">
        <v>8.9584617684580683E-4</v>
      </c>
      <c r="L114" s="67" t="s">
        <v>231</v>
      </c>
      <c r="M114" s="68">
        <v>5.2065696485421647E-5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4.8479104029575885E-11</v>
      </c>
      <c r="J115" s="67" t="s">
        <v>231</v>
      </c>
      <c r="K115" s="68">
        <v>9.2120256304801596E-4</v>
      </c>
      <c r="L115" s="67" t="s">
        <v>231</v>
      </c>
      <c r="M115" s="68">
        <v>3.4704439591003657E-3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2.680416217264753E-5</v>
      </c>
      <c r="J116" s="67" t="s">
        <v>231</v>
      </c>
      <c r="K116" s="68">
        <v>0.31947495719010499</v>
      </c>
      <c r="L116" s="67" t="s">
        <v>231</v>
      </c>
      <c r="M116" s="68">
        <v>8.2122459655795392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8.3165048481159619E-5</v>
      </c>
      <c r="J117" s="67" t="s">
        <v>231</v>
      </c>
      <c r="K117" s="68">
        <v>3.2313332172332712E-3</v>
      </c>
      <c r="L117" s="67" t="s">
        <v>231</v>
      </c>
      <c r="M117" s="68">
        <v>0.26494787896014688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0.9758027901327988</v>
      </c>
      <c r="F2" s="14">
        <v>0.9760994714570721</v>
      </c>
      <c r="G2" s="14">
        <v>2.9027027561654538E-10</v>
      </c>
      <c r="H2" s="14">
        <v>0.17004899814795538</v>
      </c>
      <c r="I2" s="14">
        <v>0.63187510976845773</v>
      </c>
      <c r="J2" s="14">
        <v>0</v>
      </c>
      <c r="K2" s="14">
        <v>1.0244857509319725</v>
      </c>
      <c r="L2" s="14">
        <v>0.9760994714570721</v>
      </c>
      <c r="M2" s="14">
        <v>0.80088961633052769</v>
      </c>
      <c r="N2" s="14">
        <v>0.88985975828721542</v>
      </c>
      <c r="O2" s="14">
        <v>172.80186646179436</v>
      </c>
      <c r="P2" s="8">
        <v>0.88985975828721542</v>
      </c>
      <c r="Q2" s="54">
        <v>1.5719229272187107E-2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0.61693437893467706</v>
      </c>
      <c r="F3" s="14">
        <v>0.58823040455580633</v>
      </c>
      <c r="G3" s="14">
        <v>2.7848635582423195E-10</v>
      </c>
      <c r="H3" s="14">
        <v>66.161381160395095</v>
      </c>
      <c r="I3" s="14">
        <v>148.8176255870876</v>
      </c>
      <c r="J3" s="14">
        <v>0</v>
      </c>
      <c r="K3" s="14">
        <v>1.7000141309511798</v>
      </c>
      <c r="L3" s="14">
        <v>0.58823040455580633</v>
      </c>
      <c r="M3" s="14">
        <v>0.48264304693803911</v>
      </c>
      <c r="N3" s="14">
        <v>4.9064733905827076</v>
      </c>
      <c r="O3" s="14">
        <v>1256.4987705943254</v>
      </c>
      <c r="P3" s="8">
        <v>4.9064733905827076</v>
      </c>
      <c r="Q3" s="54">
        <v>0.25518454663255347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0.99893848084106196</v>
      </c>
      <c r="F4" s="14">
        <v>0.99928598793729473</v>
      </c>
      <c r="G4" s="14">
        <v>1.5052834452951455E-19</v>
      </c>
      <c r="H4" s="14">
        <v>0.11939600568251627</v>
      </c>
      <c r="I4" s="14">
        <v>1.2174385658094409E-3</v>
      </c>
      <c r="J4" s="14">
        <v>0</v>
      </c>
      <c r="K4" s="14">
        <v>1.0007145222402039</v>
      </c>
      <c r="L4" s="14">
        <v>0.99928598793729473</v>
      </c>
      <c r="M4" s="14">
        <v>0.81991415310255034</v>
      </c>
      <c r="N4" s="14">
        <v>1.0185454687580295</v>
      </c>
      <c r="O4" s="14">
        <v>301.64224057269041</v>
      </c>
      <c r="P4" s="8">
        <v>1.0185454687580295</v>
      </c>
      <c r="Q4" s="54">
        <v>1.388184066032989E-5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0.99828560769002783</v>
      </c>
      <c r="F5" s="14">
        <v>0.92274860007519022</v>
      </c>
      <c r="G5" s="14">
        <v>4.2234097428489121E-12</v>
      </c>
      <c r="H5" s="14">
        <v>215.69664746345532</v>
      </c>
      <c r="I5" s="14">
        <v>0.15851277760032309</v>
      </c>
      <c r="J5" s="14">
        <v>0</v>
      </c>
      <c r="K5" s="14">
        <v>1.0837187939580888</v>
      </c>
      <c r="L5" s="14">
        <v>0.92274860007519033</v>
      </c>
      <c r="M5" s="14">
        <v>0.75711522636169359</v>
      </c>
      <c r="N5" s="14">
        <v>1.3685219815783101</v>
      </c>
      <c r="O5" s="14">
        <v>302.49809880806964</v>
      </c>
      <c r="P5" s="8">
        <v>1.3685219815783103</v>
      </c>
      <c r="Q5" s="54">
        <v>2.1313966366730475E-4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0.99626396971028341</v>
      </c>
      <c r="F6" s="14">
        <v>0.82531899329566771</v>
      </c>
      <c r="G6" s="14">
        <v>5.2359591544111445E-13</v>
      </c>
      <c r="H6" s="14">
        <v>486.63331755143349</v>
      </c>
      <c r="I6" s="14">
        <v>1.3066400964705269</v>
      </c>
      <c r="J6" s="14">
        <v>0</v>
      </c>
      <c r="K6" s="14">
        <v>1.2116527162507134</v>
      </c>
      <c r="L6" s="14">
        <v>0.82531899329566771</v>
      </c>
      <c r="M6" s="14">
        <v>0.67717423399909538</v>
      </c>
      <c r="N6" s="14">
        <v>1.9049488919078366</v>
      </c>
      <c r="O6" s="14">
        <v>438.63353185069843</v>
      </c>
      <c r="P6" s="8">
        <v>1.9049488919078366</v>
      </c>
      <c r="Q6" s="54">
        <v>1.2076914206675287E-3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0.97780915075829145</v>
      </c>
      <c r="F7" s="14">
        <v>0.53665094433524052</v>
      </c>
      <c r="G7" s="14">
        <v>8.9429131241194102E-9</v>
      </c>
      <c r="H7" s="14">
        <v>1251.9065103432931</v>
      </c>
      <c r="I7" s="14">
        <v>23.595469158062102</v>
      </c>
      <c r="J7" s="14">
        <v>0</v>
      </c>
      <c r="K7" s="14">
        <v>1.8634086281888846</v>
      </c>
      <c r="L7" s="14">
        <v>0.53665094433524052</v>
      </c>
      <c r="M7" s="14">
        <v>0.44032209982706488</v>
      </c>
      <c r="N7" s="14">
        <v>3.6042278185258598</v>
      </c>
      <c r="O7" s="14">
        <v>743.48011440551431</v>
      </c>
      <c r="P7" s="8">
        <v>3.6042278185258598</v>
      </c>
      <c r="Q7" s="54">
        <v>1.2491903395570882E-2</v>
      </c>
    </row>
    <row r="8" spans="1:20">
      <c r="A8" s="2" t="s">
        <v>289</v>
      </c>
      <c r="B8" s="16" t="s">
        <v>290</v>
      </c>
      <c r="D8" s="14">
        <v>1</v>
      </c>
      <c r="E8" s="14">
        <v>0.99652360169084497</v>
      </c>
      <c r="F8" s="14">
        <v>0.74741644158020504</v>
      </c>
      <c r="G8" s="14">
        <v>4.1432226626336717E-19</v>
      </c>
      <c r="H8" s="14">
        <v>708.73298750321385</v>
      </c>
      <c r="I8" s="14">
        <v>0.99785823933455642</v>
      </c>
      <c r="J8" s="14">
        <v>0</v>
      </c>
      <c r="K8" s="14">
        <v>1.337942202456474</v>
      </c>
      <c r="L8" s="14">
        <v>0.74741644158020504</v>
      </c>
      <c r="M8" s="14">
        <v>0.61325519031655829</v>
      </c>
      <c r="N8" s="14">
        <v>2.2987196639142886</v>
      </c>
      <c r="O8" s="14">
        <v>800.91990530101646</v>
      </c>
      <c r="P8" s="8">
        <v>2.2987196639142886</v>
      </c>
      <c r="Q8" s="54">
        <v>7.6079709852836127E-4</v>
      </c>
    </row>
    <row r="9" spans="1:20">
      <c r="A9" s="2" t="s">
        <v>291</v>
      </c>
      <c r="B9" s="16" t="s">
        <v>292</v>
      </c>
      <c r="D9" s="14">
        <v>1</v>
      </c>
      <c r="E9" s="14">
        <v>0.99739207872323055</v>
      </c>
      <c r="F9" s="14">
        <v>0.93907544263880827</v>
      </c>
      <c r="G9" s="14">
        <v>8.1673763997219144E-15</v>
      </c>
      <c r="H9" s="14">
        <v>166.72490692582724</v>
      </c>
      <c r="I9" s="14">
        <v>0.58510532098844592</v>
      </c>
      <c r="J9" s="14">
        <v>0</v>
      </c>
      <c r="K9" s="14">
        <v>1.0648771702409694</v>
      </c>
      <c r="L9" s="14">
        <v>0.93907544263880827</v>
      </c>
      <c r="M9" s="14">
        <v>0.77051140068514223</v>
      </c>
      <c r="N9" s="14">
        <v>1.2768725067230151</v>
      </c>
      <c r="O9" s="14">
        <v>393.69809999790721</v>
      </c>
      <c r="P9" s="8">
        <v>1.2768725067230151</v>
      </c>
      <c r="Q9" s="54">
        <v>8.7949636256030709E-4</v>
      </c>
    </row>
    <row r="10" spans="1:20">
      <c r="A10" s="2" t="s">
        <v>367</v>
      </c>
      <c r="B10" s="16" t="s">
        <v>368</v>
      </c>
      <c r="D10" s="14">
        <v>1</v>
      </c>
      <c r="E10" s="14">
        <v>0.45505957990769003</v>
      </c>
      <c r="F10" s="14">
        <v>4.8170224170452206E-2</v>
      </c>
      <c r="G10" s="14">
        <v>7.4845751800662185E-7</v>
      </c>
      <c r="H10" s="14">
        <v>984.55201964972684</v>
      </c>
      <c r="I10" s="14">
        <v>1592.1934690491726</v>
      </c>
      <c r="J10" s="14">
        <v>0</v>
      </c>
      <c r="K10" s="14">
        <v>20.75971239954087</v>
      </c>
      <c r="L10" s="14">
        <v>4.8170224170452206E-2</v>
      </c>
      <c r="M10" s="14">
        <v>3.9523668931856035E-2</v>
      </c>
      <c r="N10" s="14">
        <v>32.139920640624482</v>
      </c>
      <c r="O10" s="14">
        <v>8945.8255111114177</v>
      </c>
      <c r="P10" s="8">
        <v>32.139920640624489</v>
      </c>
      <c r="Q10" s="54">
        <v>0.34561759051415547</v>
      </c>
    </row>
    <row r="11" spans="1:20">
      <c r="A11" s="2" t="s">
        <v>369</v>
      </c>
      <c r="B11" s="16" t="s">
        <v>370</v>
      </c>
      <c r="D11" s="14">
        <v>1</v>
      </c>
      <c r="E11" s="14">
        <v>0.60740572989671537</v>
      </c>
      <c r="F11" s="14">
        <v>3.8374204563175465E-3</v>
      </c>
      <c r="G11" s="14">
        <v>4.1346190227776008E-13</v>
      </c>
      <c r="H11" s="14">
        <v>991.24129484965852</v>
      </c>
      <c r="I11" s="14">
        <v>6705.5649536969659</v>
      </c>
      <c r="J11" s="14">
        <v>0</v>
      </c>
      <c r="K11" s="14">
        <v>260.59172076223746</v>
      </c>
      <c r="L11" s="14">
        <v>3.8374204563175465E-3</v>
      </c>
      <c r="M11" s="14">
        <v>3.1486034844085469E-3</v>
      </c>
      <c r="N11" s="14">
        <v>275.73028548182879</v>
      </c>
      <c r="O11" s="14">
        <v>112194.65316255613</v>
      </c>
      <c r="P11" s="8">
        <v>275.73028548182879</v>
      </c>
      <c r="Q11" s="54">
        <v>7.4788594854959783E-2</v>
      </c>
    </row>
    <row r="12" spans="1:20">
      <c r="A12" s="2" t="s">
        <v>371</v>
      </c>
      <c r="B12" s="16" t="s">
        <v>372</v>
      </c>
      <c r="D12" s="14">
        <v>1</v>
      </c>
      <c r="E12" s="14">
        <v>0.92031716132390684</v>
      </c>
      <c r="F12" s="14">
        <v>0.92067222057183562</v>
      </c>
      <c r="G12" s="14">
        <v>8.2950850249157511E-4</v>
      </c>
      <c r="H12" s="14">
        <v>7.326789730361708E-3</v>
      </c>
      <c r="I12" s="14">
        <v>3.3625074743409825E-2</v>
      </c>
      <c r="J12" s="14">
        <v>0</v>
      </c>
      <c r="K12" s="14">
        <v>1.0861628901748479</v>
      </c>
      <c r="L12" s="14">
        <v>0.92067222057183562</v>
      </c>
      <c r="M12" s="14">
        <v>0.75541155697919116</v>
      </c>
      <c r="N12" s="14">
        <v>0.82899717134950579</v>
      </c>
      <c r="O12" s="14">
        <v>116.21711345148722</v>
      </c>
      <c r="P12" s="8">
        <v>0.8289971713495059</v>
      </c>
      <c r="Q12" s="54">
        <v>2.8213908813442055E-3</v>
      </c>
    </row>
    <row r="13" spans="1:20">
      <c r="A13" s="2" t="s">
        <v>293</v>
      </c>
      <c r="B13" s="16" t="s">
        <v>294</v>
      </c>
      <c r="D13" s="14">
        <v>1</v>
      </c>
      <c r="E13" s="14">
        <v>0.64414643472222233</v>
      </c>
      <c r="F13" s="14">
        <v>0.62347774356243701</v>
      </c>
      <c r="G13" s="14">
        <v>2.3052044148771315E-10</v>
      </c>
      <c r="H13" s="14">
        <v>47.302158062863988</v>
      </c>
      <c r="I13" s="14">
        <v>112.34095869730368</v>
      </c>
      <c r="J13" s="14">
        <v>0</v>
      </c>
      <c r="K13" s="14">
        <v>1.6039064911702925</v>
      </c>
      <c r="L13" s="14">
        <v>0.62347774356243713</v>
      </c>
      <c r="M13" s="14">
        <v>0.51156348859297962</v>
      </c>
      <c r="N13" s="14">
        <v>2.744676069935454</v>
      </c>
      <c r="O13" s="14">
        <v>906.73118646387661</v>
      </c>
      <c r="P13" s="8">
        <v>2.744676069935454</v>
      </c>
      <c r="Q13" s="54">
        <v>0.23830772777153811</v>
      </c>
    </row>
    <row r="14" spans="1:20">
      <c r="A14" s="2" t="s">
        <v>373</v>
      </c>
      <c r="B14" s="16" t="s">
        <v>374</v>
      </c>
      <c r="D14" s="14">
        <v>1</v>
      </c>
      <c r="E14" s="14">
        <v>0.98147746361014732</v>
      </c>
      <c r="F14" s="14">
        <v>8.0446945607799802E-2</v>
      </c>
      <c r="G14" s="14">
        <v>8.6742617330766179E-9</v>
      </c>
      <c r="H14" s="14">
        <v>2556.9931203551141</v>
      </c>
      <c r="I14" s="14">
        <v>37.089999312631448</v>
      </c>
      <c r="J14" s="14">
        <v>0</v>
      </c>
      <c r="K14" s="14">
        <v>12.430552738139559</v>
      </c>
      <c r="L14" s="14">
        <v>8.0446945607799802E-2</v>
      </c>
      <c r="M14" s="14">
        <v>6.6006718871199743E-2</v>
      </c>
      <c r="N14" s="14">
        <v>11.161559389232744</v>
      </c>
      <c r="O14" s="14">
        <v>2972.7697277282491</v>
      </c>
      <c r="P14" s="8">
        <v>11.161559389232746</v>
      </c>
      <c r="Q14" s="54">
        <v>4.802383357088047E-3</v>
      </c>
    </row>
    <row r="15" spans="1:20">
      <c r="A15" s="2" t="s">
        <v>375</v>
      </c>
      <c r="B15" s="16" t="s">
        <v>376</v>
      </c>
      <c r="D15" s="14">
        <v>1</v>
      </c>
      <c r="E15" s="14">
        <v>0.78239061378839136</v>
      </c>
      <c r="F15" s="14">
        <v>0.78010456409173889</v>
      </c>
      <c r="G15" s="14">
        <v>9.6472005405293538E-4</v>
      </c>
      <c r="H15" s="14">
        <v>5.641217166259735</v>
      </c>
      <c r="I15" s="14">
        <v>15.930521372136797</v>
      </c>
      <c r="J15" s="14">
        <v>0</v>
      </c>
      <c r="K15" s="14">
        <v>1.2818794377447096</v>
      </c>
      <c r="L15" s="14">
        <v>0.78010456409173889</v>
      </c>
      <c r="M15" s="14">
        <v>0.64007579483727173</v>
      </c>
      <c r="N15" s="14">
        <v>1.0067999271399402</v>
      </c>
      <c r="O15" s="14">
        <v>150.41590911470706</v>
      </c>
      <c r="P15" s="8">
        <v>1.0067999271399402</v>
      </c>
      <c r="Q15" s="54">
        <v>8.7585051479382461E-2</v>
      </c>
    </row>
    <row r="16" spans="1:20">
      <c r="A16" s="2" t="s">
        <v>377</v>
      </c>
      <c r="B16" s="16" t="s">
        <v>378</v>
      </c>
      <c r="D16" s="14">
        <v>1</v>
      </c>
      <c r="E16" s="14">
        <v>0.62097159492047693</v>
      </c>
      <c r="F16" s="14">
        <v>0.59682624216979197</v>
      </c>
      <c r="G16" s="14">
        <v>8.9994589080922974E-6</v>
      </c>
      <c r="H16" s="14">
        <v>55.307994452174448</v>
      </c>
      <c r="I16" s="14">
        <v>129.43301907577359</v>
      </c>
      <c r="J16" s="14">
        <v>0</v>
      </c>
      <c r="K16" s="14">
        <v>1.675529541671039</v>
      </c>
      <c r="L16" s="14">
        <v>0.59682624216979197</v>
      </c>
      <c r="M16" s="14">
        <v>0.48969593170031434</v>
      </c>
      <c r="N16" s="14">
        <v>3.0561887045372562</v>
      </c>
      <c r="O16" s="14">
        <v>679.2073776963598</v>
      </c>
      <c r="P16" s="8">
        <v>3.0561887045372562</v>
      </c>
      <c r="Q16" s="54">
        <v>0.25318914452218649</v>
      </c>
    </row>
    <row r="17" spans="1:21">
      <c r="A17" s="2" t="s">
        <v>379</v>
      </c>
      <c r="B17" s="16" t="s">
        <v>380</v>
      </c>
      <c r="D17" s="14">
        <v>1</v>
      </c>
      <c r="E17" s="14">
        <v>0.6341572233553554</v>
      </c>
      <c r="F17" s="14">
        <v>0.61228463686484436</v>
      </c>
      <c r="G17" s="14">
        <v>2.6608589291883557E-5</v>
      </c>
      <c r="H17" s="14">
        <v>50.071818287346602</v>
      </c>
      <c r="I17" s="14">
        <v>118.26344702964259</v>
      </c>
      <c r="J17" s="14">
        <v>0</v>
      </c>
      <c r="K17" s="14">
        <v>1.6332273256445269</v>
      </c>
      <c r="L17" s="14">
        <v>0.61228463686484436</v>
      </c>
      <c r="M17" s="14">
        <v>0.50237954454760481</v>
      </c>
      <c r="N17" s="14">
        <v>2.8508422061017913</v>
      </c>
      <c r="O17" s="14">
        <v>366.50427401644629</v>
      </c>
      <c r="P17" s="8">
        <v>2.8508422061017913</v>
      </c>
      <c r="Q17" s="54">
        <v>0.24336074893977377</v>
      </c>
    </row>
    <row r="18" spans="1:21">
      <c r="A18" s="2" t="s">
        <v>381</v>
      </c>
      <c r="B18" s="16" t="s">
        <v>382</v>
      </c>
      <c r="D18" s="14">
        <v>1</v>
      </c>
      <c r="E18" s="14">
        <v>0.43292900593691447</v>
      </c>
      <c r="F18" s="14">
        <v>3.1368550674519243E-3</v>
      </c>
      <c r="G18" s="14">
        <v>2.2347191009426369E-9</v>
      </c>
      <c r="H18" s="14">
        <v>329.30206445589442</v>
      </c>
      <c r="I18" s="14">
        <v>8261.3614574442145</v>
      </c>
      <c r="J18" s="14">
        <v>0</v>
      </c>
      <c r="K18" s="14">
        <v>318.79062898889447</v>
      </c>
      <c r="L18" s="14">
        <v>3.1368550674519243E-3</v>
      </c>
      <c r="M18" s="14">
        <v>2.573789582844304E-3</v>
      </c>
      <c r="N18" s="14">
        <v>171.77719442963541</v>
      </c>
      <c r="O18" s="14">
        <v>67214.698408372045</v>
      </c>
      <c r="P18" s="8">
        <v>171.77719442963541</v>
      </c>
      <c r="Q18" s="54">
        <v>0.26427228765611344</v>
      </c>
    </row>
    <row r="19" spans="1:21">
      <c r="A19" s="2" t="s">
        <v>383</v>
      </c>
      <c r="B19" s="16" t="s">
        <v>384</v>
      </c>
      <c r="D19" s="14">
        <v>1</v>
      </c>
      <c r="E19" s="14">
        <v>0.9103913226307071</v>
      </c>
      <c r="F19" s="14">
        <v>0.90990360619355426</v>
      </c>
      <c r="G19" s="14">
        <v>1.3125742315764911E-4</v>
      </c>
      <c r="H19" s="14">
        <v>1.7926495080003266</v>
      </c>
      <c r="I19" s="14">
        <v>5.5712488446456696</v>
      </c>
      <c r="J19" s="14">
        <v>0</v>
      </c>
      <c r="K19" s="14">
        <v>1.099017514814949</v>
      </c>
      <c r="L19" s="14">
        <v>0.90990360619355426</v>
      </c>
      <c r="M19" s="14">
        <v>0.74657590888181125</v>
      </c>
      <c r="N19" s="14">
        <v>0.9243053026586957</v>
      </c>
      <c r="O19" s="14">
        <v>86.080552836604326</v>
      </c>
      <c r="P19" s="8">
        <v>0.92430530265869582</v>
      </c>
      <c r="Q19" s="54">
        <v>5.1874336754406364E-2</v>
      </c>
    </row>
    <row r="20" spans="1:21">
      <c r="A20" s="2" t="s">
        <v>385</v>
      </c>
      <c r="B20" s="16" t="s">
        <v>386</v>
      </c>
      <c r="D20" s="14">
        <v>1</v>
      </c>
      <c r="E20" s="14">
        <v>0.87463322696798473</v>
      </c>
      <c r="F20" s="14">
        <v>0.87347973658991929</v>
      </c>
      <c r="G20" s="14">
        <v>2.4653655449499197E-4</v>
      </c>
      <c r="H20" s="14">
        <v>3.2155319892839573</v>
      </c>
      <c r="I20" s="14">
        <v>9.5435511438934029</v>
      </c>
      <c r="J20" s="14">
        <v>0</v>
      </c>
      <c r="K20" s="14">
        <v>1.1448462489857154</v>
      </c>
      <c r="L20" s="14">
        <v>0.8734797365899194</v>
      </c>
      <c r="M20" s="14">
        <v>0.71669012387202879</v>
      </c>
      <c r="N20" s="14">
        <v>0.96770348865468869</v>
      </c>
      <c r="O20" s="14">
        <v>107.53121165930901</v>
      </c>
      <c r="P20" s="8">
        <v>0.9677034886546888</v>
      </c>
      <c r="Q20" s="54">
        <v>6.8977905859391023E-2</v>
      </c>
    </row>
    <row r="21" spans="1:21">
      <c r="A21" s="2" t="s">
        <v>387</v>
      </c>
      <c r="B21" s="16" t="s">
        <v>388</v>
      </c>
      <c r="D21" s="14">
        <v>1</v>
      </c>
      <c r="E21" s="14">
        <v>0.72201693212825491</v>
      </c>
      <c r="F21" s="14">
        <v>0.40740516525516185</v>
      </c>
      <c r="G21" s="14">
        <v>7.9172110994858941E-5</v>
      </c>
      <c r="H21" s="14">
        <v>859.93679285595692</v>
      </c>
      <c r="I21" s="14">
        <v>321.32706590200667</v>
      </c>
      <c r="J21" s="14">
        <v>0</v>
      </c>
      <c r="K21" s="14">
        <v>2.4545589631238234</v>
      </c>
      <c r="L21" s="14">
        <v>0.40740516525516185</v>
      </c>
      <c r="M21" s="14">
        <v>0.33427593809186029</v>
      </c>
      <c r="N21" s="14">
        <v>8.2283912936513133</v>
      </c>
      <c r="O21" s="14">
        <v>1624.6958609314515</v>
      </c>
      <c r="P21" s="8">
        <v>8.2283912936513133</v>
      </c>
      <c r="Q21" s="54">
        <v>0.17715250933656473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0.90427312289065298</v>
      </c>
      <c r="F22" s="14">
        <v>0.90448589997622275</v>
      </c>
      <c r="G22" s="14">
        <v>7.2635727174959631E-4</v>
      </c>
      <c r="H22" s="14">
        <v>0.28715858261595301</v>
      </c>
      <c r="I22" s="14">
        <v>1.0208900518261437</v>
      </c>
      <c r="J22" s="14">
        <v>0</v>
      </c>
      <c r="K22" s="14">
        <v>1.1056004300634072</v>
      </c>
      <c r="L22" s="14">
        <v>0.90448589997622286</v>
      </c>
      <c r="M22" s="14">
        <v>0.74213068093049084</v>
      </c>
      <c r="N22" s="14">
        <v>0.83278856024786529</v>
      </c>
      <c r="O22" s="14">
        <v>48.368359579196017</v>
      </c>
      <c r="P22" s="8">
        <v>0.83278856024786541</v>
      </c>
      <c r="Q22" s="54">
        <v>1.9914938601734242E-2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0.7562743036402142</v>
      </c>
      <c r="F23" s="14">
        <v>0.75206288023341239</v>
      </c>
      <c r="G23" s="14">
        <v>7.9422333212096391E-4</v>
      </c>
      <c r="H23" s="14">
        <v>9.910924177367658</v>
      </c>
      <c r="I23" s="14">
        <v>26.777579933338497</v>
      </c>
      <c r="J23" s="14">
        <v>0</v>
      </c>
      <c r="K23" s="14">
        <v>1.3296760500792659</v>
      </c>
      <c r="L23" s="14">
        <v>0.7520628802334125</v>
      </c>
      <c r="M23" s="14">
        <v>0.61706759323151494</v>
      </c>
      <c r="N23" s="14">
        <v>1.1912571071005433</v>
      </c>
      <c r="O23" s="14">
        <v>127.64319902582322</v>
      </c>
      <c r="P23" s="8">
        <v>1.1912571071005433</v>
      </c>
      <c r="Q23" s="54">
        <v>0.1154439889011737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0.54869939518659816</v>
      </c>
      <c r="F24" s="14">
        <v>0.51030447229460463</v>
      </c>
      <c r="G24" s="14">
        <v>2.9356066455992678E-5</v>
      </c>
      <c r="H24" s="14">
        <v>88.362780742572326</v>
      </c>
      <c r="I24" s="14">
        <v>197.48155818437542</v>
      </c>
      <c r="J24" s="14">
        <v>0</v>
      </c>
      <c r="K24" s="14">
        <v>1.959614415102928</v>
      </c>
      <c r="L24" s="14">
        <v>0.51030447229460463</v>
      </c>
      <c r="M24" s="14">
        <v>0.41870481951772315</v>
      </c>
      <c r="N24" s="14">
        <v>4.3183265810138582</v>
      </c>
      <c r="O24" s="14">
        <v>699.65527265586525</v>
      </c>
      <c r="P24" s="8">
        <v>4.3183265810138582</v>
      </c>
      <c r="Q24" s="54">
        <v>0.29986552961993218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0.42073469394206525</v>
      </c>
      <c r="F25" s="14">
        <v>4.2687193295168121E-3</v>
      </c>
      <c r="G25" s="14">
        <v>1.0044910888576525E-5</v>
      </c>
      <c r="H25" s="14">
        <v>383.45782152816321</v>
      </c>
      <c r="I25" s="14">
        <v>7409.2589158848132</v>
      </c>
      <c r="J25" s="14">
        <v>0</v>
      </c>
      <c r="K25" s="14">
        <v>234.26229808207904</v>
      </c>
      <c r="L25" s="14">
        <v>4.2687193295168121E-3</v>
      </c>
      <c r="M25" s="14">
        <v>3.5024842098685441E-3</v>
      </c>
      <c r="N25" s="14">
        <v>153.60479200894702</v>
      </c>
      <c r="O25" s="14">
        <v>35849.822406968138</v>
      </c>
      <c r="P25" s="8">
        <v>153.60479200894702</v>
      </c>
      <c r="Q25" s="54">
        <v>0.28442958748525293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0.31361128671984889</v>
      </c>
      <c r="F26" s="14">
        <v>0.23402415975648408</v>
      </c>
      <c r="G26" s="14">
        <v>2.5280705082068038E-3</v>
      </c>
      <c r="H26" s="14">
        <v>186.27762606668318</v>
      </c>
      <c r="I26" s="14">
        <v>372.06418385532811</v>
      </c>
      <c r="J26" s="14">
        <v>0</v>
      </c>
      <c r="K26" s="14">
        <v>4.273063093317198</v>
      </c>
      <c r="L26" s="14">
        <v>0.23402415975648408</v>
      </c>
      <c r="M26" s="14">
        <v>0.19201682308019519</v>
      </c>
      <c r="N26" s="14">
        <v>7.5533299686074535</v>
      </c>
      <c r="O26" s="14">
        <v>968.11030207641727</v>
      </c>
      <c r="P26" s="8">
        <v>7.5533299686074535</v>
      </c>
      <c r="Q26" s="54">
        <v>0.3045214334116948</v>
      </c>
    </row>
    <row r="27" spans="1:21">
      <c r="A27" s="2" t="s">
        <v>397</v>
      </c>
      <c r="B27" s="16" t="s">
        <v>398</v>
      </c>
      <c r="D27" s="14">
        <v>1</v>
      </c>
      <c r="E27" s="14">
        <v>6.3672332908791443E-2</v>
      </c>
      <c r="F27" s="14">
        <v>2.2179131185393532E-2</v>
      </c>
      <c r="G27" s="14">
        <v>9.1962976088655803E-3</v>
      </c>
      <c r="H27" s="14">
        <v>99.125303420711901</v>
      </c>
      <c r="I27" s="14">
        <v>174.35792843041952</v>
      </c>
      <c r="J27" s="14">
        <v>0</v>
      </c>
      <c r="K27" s="14">
        <v>45.08742888263216</v>
      </c>
      <c r="L27" s="14">
        <v>2.2179131185393532E-2</v>
      </c>
      <c r="M27" s="14">
        <v>1.8197977137615392E-2</v>
      </c>
      <c r="N27" s="14">
        <v>3.499569495791333</v>
      </c>
      <c r="O27" s="14">
        <v>634.99688501133733</v>
      </c>
      <c r="P27" s="8">
        <v>3.4995694957913335</v>
      </c>
      <c r="Q27" s="54">
        <v>7.0931917531310326E-2</v>
      </c>
    </row>
    <row r="28" spans="1:21">
      <c r="A28" s="2" t="s">
        <v>399</v>
      </c>
      <c r="B28" s="16" t="s">
        <v>400</v>
      </c>
      <c r="D28" s="14">
        <v>1</v>
      </c>
      <c r="E28" s="14">
        <v>4.894348133971782E-2</v>
      </c>
      <c r="F28" s="14">
        <v>3.3320034178696022E-2</v>
      </c>
      <c r="G28" s="14">
        <v>9.7054108771696523E-3</v>
      </c>
      <c r="H28" s="14">
        <v>36.710089068617499</v>
      </c>
      <c r="I28" s="14">
        <v>71.588392243253821</v>
      </c>
      <c r="J28" s="14">
        <v>0</v>
      </c>
      <c r="K28" s="14">
        <v>30.011974016502492</v>
      </c>
      <c r="L28" s="14">
        <v>3.3320034178696022E-2</v>
      </c>
      <c r="M28" s="14">
        <v>2.7339088043620088E-2</v>
      </c>
      <c r="N28" s="14">
        <v>1.4457615330542259</v>
      </c>
      <c r="O28" s="14">
        <v>212.5269453589712</v>
      </c>
      <c r="P28" s="8">
        <v>1.4457615330542259</v>
      </c>
      <c r="Q28" s="54">
        <v>5.1362080714056686E-2</v>
      </c>
    </row>
    <row r="29" spans="1:21">
      <c r="A29" s="2" t="s">
        <v>297</v>
      </c>
      <c r="B29" s="16" t="s">
        <v>298</v>
      </c>
      <c r="D29" s="14">
        <v>1</v>
      </c>
      <c r="E29" s="14">
        <v>5.9557118910844441E-2</v>
      </c>
      <c r="F29" s="14">
        <v>5.9450300316692573E-2</v>
      </c>
      <c r="G29" s="14">
        <v>1.0360543547882843E-2</v>
      </c>
      <c r="H29" s="14">
        <v>0.28103088615678373</v>
      </c>
      <c r="I29" s="14">
        <v>0.81886295373478146</v>
      </c>
      <c r="J29" s="14">
        <v>0</v>
      </c>
      <c r="K29" s="14">
        <v>16.820772892197116</v>
      </c>
      <c r="L29" s="14">
        <v>5.9450300316692573E-2</v>
      </c>
      <c r="M29" s="14">
        <v>4.8778971409846258E-2</v>
      </c>
      <c r="N29" s="14">
        <v>6.9116570477623859E-2</v>
      </c>
      <c r="O29" s="14">
        <v>5.8700703306645954</v>
      </c>
      <c r="P29" s="8">
        <v>6.9116570477623873E-2</v>
      </c>
      <c r="Q29" s="54">
        <v>5.3482441351533931E-3</v>
      </c>
    </row>
    <row r="30" spans="1:21">
      <c r="A30" s="2" t="s">
        <v>401</v>
      </c>
      <c r="B30" s="16" t="s">
        <v>402</v>
      </c>
      <c r="D30" s="14">
        <v>1</v>
      </c>
      <c r="E30" s="14">
        <v>1.8112986029334657E-2</v>
      </c>
      <c r="F30" s="14">
        <v>1.2618827656694297E-2</v>
      </c>
      <c r="G30" s="14">
        <v>1.0596135338128242E-2</v>
      </c>
      <c r="H30" s="14">
        <v>12.897900104437788</v>
      </c>
      <c r="I30" s="14">
        <v>25.291592728122477</v>
      </c>
      <c r="J30" s="14">
        <v>0</v>
      </c>
      <c r="K30" s="14">
        <v>79.246664365805742</v>
      </c>
      <c r="L30" s="14">
        <v>1.2618827656694299E-2</v>
      </c>
      <c r="M30" s="14">
        <v>1.0353748092317672E-2</v>
      </c>
      <c r="N30" s="14">
        <v>0.5112955607228743</v>
      </c>
      <c r="O30" s="14">
        <v>84.788142834674247</v>
      </c>
      <c r="P30" s="8">
        <v>0.5112955607228743</v>
      </c>
      <c r="Q30" s="54">
        <v>1.8705795396343962E-2</v>
      </c>
    </row>
    <row r="31" spans="1:21">
      <c r="A31" s="2" t="s">
        <v>299</v>
      </c>
      <c r="B31" s="16" t="s">
        <v>300</v>
      </c>
      <c r="D31" s="14">
        <v>1</v>
      </c>
      <c r="E31" s="14">
        <v>5.365395336679533E-4</v>
      </c>
      <c r="F31" s="14">
        <v>4.4987591454687256E-4</v>
      </c>
      <c r="G31" s="14">
        <v>1.1097910809989363E-2</v>
      </c>
      <c r="H31" s="14">
        <v>0.20147109300121094</v>
      </c>
      <c r="I31" s="14">
        <v>0.41982656279109609</v>
      </c>
      <c r="J31" s="14">
        <v>0</v>
      </c>
      <c r="K31" s="14">
        <v>2222.8351589064901</v>
      </c>
      <c r="L31" s="14">
        <v>4.4987591454687256E-4</v>
      </c>
      <c r="M31" s="14">
        <v>3.6912318788570895E-4</v>
      </c>
      <c r="N31" s="14">
        <v>8.659446974293496E-3</v>
      </c>
      <c r="O31" s="14">
        <v>0.71128697446846778</v>
      </c>
      <c r="P31" s="8">
        <v>8.6594469742934978E-3</v>
      </c>
      <c r="Q31" s="54">
        <v>4.3378038842518447E-4</v>
      </c>
    </row>
    <row r="32" spans="1:21">
      <c r="A32" s="2" t="s">
        <v>343</v>
      </c>
      <c r="B32" s="16" t="s">
        <v>344</v>
      </c>
      <c r="D32" s="14">
        <v>1</v>
      </c>
      <c r="E32" s="14">
        <v>0.66768759526801413</v>
      </c>
      <c r="F32" s="14">
        <v>0.65046160739130354</v>
      </c>
      <c r="G32" s="14">
        <v>2.5151862820455749E-5</v>
      </c>
      <c r="H32" s="14">
        <v>39.404123178225717</v>
      </c>
      <c r="I32" s="14">
        <v>95.147819229187135</v>
      </c>
      <c r="J32" s="14">
        <v>0</v>
      </c>
      <c r="K32" s="14">
        <v>1.537369751937445</v>
      </c>
      <c r="L32" s="14">
        <v>0.65046160739130354</v>
      </c>
      <c r="M32" s="14">
        <v>0.53370374886456451</v>
      </c>
      <c r="N32" s="14">
        <v>2.4320612785751869</v>
      </c>
      <c r="O32" s="14">
        <v>399.34446194204565</v>
      </c>
      <c r="P32" s="8">
        <v>2.4320612785751869</v>
      </c>
      <c r="Q32" s="54">
        <v>0.22110514005472248</v>
      </c>
    </row>
    <row r="33" spans="1:17">
      <c r="A33" s="2" t="s">
        <v>345</v>
      </c>
      <c r="B33" s="16" t="s">
        <v>346</v>
      </c>
      <c r="D33" s="14">
        <v>1</v>
      </c>
      <c r="E33" s="14">
        <v>0.76796789482810379</v>
      </c>
      <c r="F33" s="14">
        <v>0.76043953593379743</v>
      </c>
      <c r="G33" s="14">
        <v>9.9099890776791252E-7</v>
      </c>
      <c r="H33" s="14">
        <v>17.371794696604258</v>
      </c>
      <c r="I33" s="14">
        <v>45.071484130040723</v>
      </c>
      <c r="J33" s="14">
        <v>0</v>
      </c>
      <c r="K33" s="14">
        <v>1.3150289441119463</v>
      </c>
      <c r="L33" s="14">
        <v>0.76043953593379743</v>
      </c>
      <c r="M33" s="14">
        <v>0.62394063923368082</v>
      </c>
      <c r="N33" s="14">
        <v>1.5535033538784269</v>
      </c>
      <c r="O33" s="14">
        <v>234.82756697226299</v>
      </c>
      <c r="P33" s="8">
        <v>1.5535033538784269</v>
      </c>
      <c r="Q33" s="54">
        <v>0.15548978351871001</v>
      </c>
    </row>
    <row r="34" spans="1:17">
      <c r="A34" s="2" t="s">
        <v>347</v>
      </c>
      <c r="B34" s="16" t="s">
        <v>348</v>
      </c>
      <c r="D34" s="14">
        <v>1</v>
      </c>
      <c r="E34" s="14">
        <v>0.41647047570982831</v>
      </c>
      <c r="F34" s="14">
        <v>0.32204068473043473</v>
      </c>
      <c r="G34" s="14">
        <v>1.4827885680583087E-6</v>
      </c>
      <c r="H34" s="14">
        <v>220.62297745046823</v>
      </c>
      <c r="I34" s="14">
        <v>445.56176141463595</v>
      </c>
      <c r="J34" s="14">
        <v>0</v>
      </c>
      <c r="K34" s="14">
        <v>3.1051977200863718</v>
      </c>
      <c r="L34" s="14">
        <v>0.32204068473043473</v>
      </c>
      <c r="M34" s="14">
        <v>0.2642343818213217</v>
      </c>
      <c r="N34" s="14">
        <v>9.0745001030055406</v>
      </c>
      <c r="O34" s="14">
        <v>1599.3806431547264</v>
      </c>
      <c r="P34" s="8">
        <v>9.0745001030055406</v>
      </c>
      <c r="Q34" s="54">
        <v>0.38753230559429797</v>
      </c>
    </row>
    <row r="35" spans="1:17">
      <c r="A35" s="2" t="s">
        <v>349</v>
      </c>
      <c r="B35" s="16" t="s">
        <v>350</v>
      </c>
      <c r="D35" s="14">
        <v>1</v>
      </c>
      <c r="E35" s="14">
        <v>0.38221154697146531</v>
      </c>
      <c r="F35" s="14">
        <v>7.7564189589603164E-2</v>
      </c>
      <c r="G35" s="14">
        <v>5.4844078895513763E-4</v>
      </c>
      <c r="H35" s="14">
        <v>734.0087874035072</v>
      </c>
      <c r="I35" s="14">
        <v>1221.6827169863643</v>
      </c>
      <c r="J35" s="14">
        <v>0</v>
      </c>
      <c r="K35" s="14">
        <v>12.8925475182692</v>
      </c>
      <c r="L35" s="14">
        <v>7.7564189589603164E-2</v>
      </c>
      <c r="M35" s="14">
        <v>6.3641417558269395E-2</v>
      </c>
      <c r="N35" s="14">
        <v>24.569546631845586</v>
      </c>
      <c r="O35" s="14">
        <v>4724.7238173039068</v>
      </c>
      <c r="P35" s="8">
        <v>24.56954663184559</v>
      </c>
      <c r="Q35" s="54">
        <v>0.36674012612125767</v>
      </c>
    </row>
    <row r="36" spans="1:17">
      <c r="A36" s="2" t="s">
        <v>351</v>
      </c>
      <c r="B36" s="16" t="s">
        <v>352</v>
      </c>
      <c r="D36" s="14">
        <v>1</v>
      </c>
      <c r="E36" s="14">
        <v>0.40724590571800112</v>
      </c>
      <c r="F36" s="14">
        <v>2.0595140012800519E-2</v>
      </c>
      <c r="G36" s="14">
        <v>1.7748973315459693E-5</v>
      </c>
      <c r="H36" s="14">
        <v>751.87344897070216</v>
      </c>
      <c r="I36" s="14">
        <v>3213.6747428613521</v>
      </c>
      <c r="J36" s="14">
        <v>0</v>
      </c>
      <c r="K36" s="14">
        <v>48.55514453305338</v>
      </c>
      <c r="L36" s="14">
        <v>2.0595140012800519E-2</v>
      </c>
      <c r="M36" s="14">
        <v>1.6898312380502826E-2</v>
      </c>
      <c r="N36" s="14">
        <v>65.514014302111178</v>
      </c>
      <c r="O36" s="14">
        <v>14568.351360360464</v>
      </c>
      <c r="P36" s="8">
        <v>65.514014302111178</v>
      </c>
      <c r="Q36" s="54">
        <v>0.3538359207451236</v>
      </c>
    </row>
    <row r="37" spans="1:17">
      <c r="A37" s="2" t="s">
        <v>353</v>
      </c>
      <c r="B37" s="16" t="s">
        <v>354</v>
      </c>
      <c r="D37" s="14">
        <v>1</v>
      </c>
      <c r="E37" s="14">
        <v>0.42444952775691031</v>
      </c>
      <c r="F37" s="14">
        <v>3.3819629234044918E-3</v>
      </c>
      <c r="G37" s="14">
        <v>1.2929964419205046E-4</v>
      </c>
      <c r="H37" s="14">
        <v>339.99211263142342</v>
      </c>
      <c r="I37" s="14">
        <v>7932.7910092024185</v>
      </c>
      <c r="J37" s="14">
        <v>0</v>
      </c>
      <c r="K37" s="14">
        <v>295.68626937912688</v>
      </c>
      <c r="L37" s="14">
        <v>3.3819629234044918E-3</v>
      </c>
      <c r="M37" s="14">
        <v>2.7749005786533855E-3</v>
      </c>
      <c r="N37" s="14">
        <v>164.80977049499</v>
      </c>
      <c r="O37" s="14">
        <v>38959.381647310685</v>
      </c>
      <c r="P37" s="8">
        <v>164.80977049499</v>
      </c>
      <c r="Q37" s="54">
        <v>0.26694759520344952</v>
      </c>
    </row>
    <row r="38" spans="1:17">
      <c r="A38" s="2" t="s">
        <v>355</v>
      </c>
      <c r="B38" s="16" t="s">
        <v>356</v>
      </c>
      <c r="D38" s="14">
        <v>1</v>
      </c>
      <c r="E38" s="14">
        <v>0.40015876793115157</v>
      </c>
      <c r="F38" s="14">
        <v>1.1379711851573118E-2</v>
      </c>
      <c r="G38" s="14">
        <v>6.6689851906081356E-6</v>
      </c>
      <c r="H38" s="14">
        <v>597.62845207669716</v>
      </c>
      <c r="I38" s="14">
        <v>4697.7341517837249</v>
      </c>
      <c r="J38" s="14">
        <v>0</v>
      </c>
      <c r="K38" s="14">
        <v>87.875687279529927</v>
      </c>
      <c r="L38" s="14">
        <v>1.137971185157312E-2</v>
      </c>
      <c r="M38" s="14">
        <v>9.3370535742157441E-3</v>
      </c>
      <c r="N38" s="14">
        <v>96.411810325078036</v>
      </c>
      <c r="O38" s="14">
        <v>24912.811788000163</v>
      </c>
      <c r="P38" s="8">
        <v>96.411810325078051</v>
      </c>
      <c r="Q38" s="54">
        <v>0.33797800344338819</v>
      </c>
    </row>
    <row r="39" spans="1:17">
      <c r="A39" s="2" t="s">
        <v>357</v>
      </c>
      <c r="B39" s="16" t="s">
        <v>358</v>
      </c>
      <c r="D39" s="14">
        <v>1</v>
      </c>
      <c r="E39" s="14">
        <v>0.35934797348254793</v>
      </c>
      <c r="F39" s="14">
        <v>1.5569516127116198E-2</v>
      </c>
      <c r="G39" s="14">
        <v>1.2257548021590012E-3</v>
      </c>
      <c r="H39" s="14">
        <v>630.63070969611408</v>
      </c>
      <c r="I39" s="14">
        <v>3207.9846862136292</v>
      </c>
      <c r="J39" s="14">
        <v>0</v>
      </c>
      <c r="K39" s="14">
        <v>64.228071819032252</v>
      </c>
      <c r="L39" s="14">
        <v>1.5569516127116198E-2</v>
      </c>
      <c r="M39" s="14">
        <v>1.277478798229884E-2</v>
      </c>
      <c r="N39" s="14">
        <v>65.521969945184026</v>
      </c>
      <c r="O39" s="14">
        <v>15488.73847534205</v>
      </c>
      <c r="P39" s="8">
        <v>65.521969945184026</v>
      </c>
      <c r="Q39" s="54">
        <v>0.31277518270143567</v>
      </c>
    </row>
    <row r="40" spans="1:17">
      <c r="A40" s="2" t="s">
        <v>359</v>
      </c>
      <c r="B40" s="16" t="s">
        <v>360</v>
      </c>
      <c r="D40" s="14">
        <v>1</v>
      </c>
      <c r="E40" s="14">
        <v>0.40015876793115157</v>
      </c>
      <c r="F40" s="14">
        <v>1.1379711851573118E-2</v>
      </c>
      <c r="G40" s="14">
        <v>6.6689851906081356E-6</v>
      </c>
      <c r="H40" s="14">
        <v>597.62845207669716</v>
      </c>
      <c r="I40" s="14">
        <v>4697.7341517837249</v>
      </c>
      <c r="J40" s="14">
        <v>0</v>
      </c>
      <c r="K40" s="14">
        <v>87.875687279529927</v>
      </c>
      <c r="L40" s="14">
        <v>1.137971185157312E-2</v>
      </c>
      <c r="M40" s="14">
        <v>9.3370535742157441E-3</v>
      </c>
      <c r="N40" s="14">
        <v>96.411810325078036</v>
      </c>
      <c r="O40" s="14">
        <v>24912.811788000163</v>
      </c>
      <c r="P40" s="8">
        <v>96.411810325078051</v>
      </c>
      <c r="Q40" s="54">
        <v>0.33797800344338819</v>
      </c>
    </row>
    <row r="41" spans="1:17">
      <c r="A41" s="2" t="s">
        <v>313</v>
      </c>
      <c r="B41" s="16" t="s">
        <v>314</v>
      </c>
      <c r="D41" s="14">
        <v>1</v>
      </c>
      <c r="E41" s="14">
        <v>0.99885692584865482</v>
      </c>
      <c r="F41" s="14">
        <v>0.99451551022736773</v>
      </c>
      <c r="G41" s="14">
        <v>6.4735490058189752E-10</v>
      </c>
      <c r="H41" s="14">
        <v>13.437904819627299</v>
      </c>
      <c r="I41" s="14">
        <v>2.9608317275725934E-2</v>
      </c>
      <c r="J41" s="14">
        <v>0</v>
      </c>
      <c r="K41" s="14">
        <v>1.0055147352818845</v>
      </c>
      <c r="L41" s="14">
        <v>0.99451551022736773</v>
      </c>
      <c r="M41" s="14">
        <v>0.81599997614155528</v>
      </c>
      <c r="N41" s="14">
        <v>0.93523886338147533</v>
      </c>
      <c r="O41" s="14">
        <v>172.18682713716345</v>
      </c>
      <c r="P41" s="8">
        <v>0.93523886338147544</v>
      </c>
      <c r="Q41" s="54">
        <v>1.2636119544400597E-4</v>
      </c>
    </row>
    <row r="42" spans="1:17">
      <c r="A42" s="2" t="s">
        <v>315</v>
      </c>
      <c r="B42" s="16" t="s">
        <v>316</v>
      </c>
      <c r="D42" s="14">
        <v>1</v>
      </c>
      <c r="E42" s="14">
        <v>0.42564273076359016</v>
      </c>
      <c r="F42" s="14">
        <v>3.0840612169894723E-3</v>
      </c>
      <c r="G42" s="14">
        <v>1.8700425039359632E-4</v>
      </c>
      <c r="H42" s="14">
        <v>323.75984985750586</v>
      </c>
      <c r="I42" s="14">
        <v>8122.3212174515966</v>
      </c>
      <c r="J42" s="14">
        <v>0</v>
      </c>
      <c r="K42" s="14">
        <v>324.24777902954759</v>
      </c>
      <c r="L42" s="14">
        <v>3.0840612169894723E-3</v>
      </c>
      <c r="M42" s="14">
        <v>2.5304722285398621E-3</v>
      </c>
      <c r="N42" s="14">
        <v>168.88615250370279</v>
      </c>
      <c r="O42" s="14">
        <v>61628.245910126192</v>
      </c>
      <c r="P42" s="8">
        <v>168.88615250370279</v>
      </c>
      <c r="Q42" s="54">
        <v>0.25982453621848639</v>
      </c>
    </row>
    <row r="43" spans="1:17">
      <c r="A43" s="2" t="s">
        <v>317</v>
      </c>
      <c r="B43" s="16" t="s">
        <v>318</v>
      </c>
      <c r="D43" s="14">
        <v>1</v>
      </c>
      <c r="E43" s="14">
        <v>0.53339034452893985</v>
      </c>
      <c r="F43" s="14">
        <v>0.49056679653978641</v>
      </c>
      <c r="G43" s="14">
        <v>6.7752704827025271E-14</v>
      </c>
      <c r="H43" s="14">
        <v>98.695681480169242</v>
      </c>
      <c r="I43" s="14">
        <v>218.15005202983613</v>
      </c>
      <c r="J43" s="14">
        <v>0</v>
      </c>
      <c r="K43" s="14">
        <v>2.0384583853891081</v>
      </c>
      <c r="L43" s="14">
        <v>0.49056679653978641</v>
      </c>
      <c r="M43" s="14">
        <v>0.40251005656089478</v>
      </c>
      <c r="N43" s="14">
        <v>4.7085975857559648</v>
      </c>
      <c r="O43" s="14">
        <v>1494.1321859120826</v>
      </c>
      <c r="P43" s="8">
        <v>4.7085975857559648</v>
      </c>
      <c r="Q43" s="54">
        <v>0.31171329139431581</v>
      </c>
    </row>
    <row r="44" spans="1:17">
      <c r="A44" s="2" t="s">
        <v>307</v>
      </c>
      <c r="B44" s="16" t="s">
        <v>308</v>
      </c>
      <c r="D44" s="14">
        <v>1</v>
      </c>
      <c r="E44" s="14">
        <v>0.42521596408223494</v>
      </c>
      <c r="F44" s="14">
        <v>3.1354182769242199E-2</v>
      </c>
      <c r="G44" s="14">
        <v>6.0225993547667543E-6</v>
      </c>
      <c r="H44" s="14">
        <v>867.67180563034583</v>
      </c>
      <c r="I44" s="14">
        <v>2331.3777982795423</v>
      </c>
      <c r="J44" s="14">
        <v>0</v>
      </c>
      <c r="K44" s="14">
        <v>31.893671327991978</v>
      </c>
      <c r="L44" s="14">
        <v>3.1354182769242199E-2</v>
      </c>
      <c r="M44" s="14">
        <v>2.5726106962163226E-2</v>
      </c>
      <c r="N44" s="14">
        <v>47.294602961904104</v>
      </c>
      <c r="O44" s="14">
        <v>16581.014852413959</v>
      </c>
      <c r="P44" s="8">
        <v>47.294602961904104</v>
      </c>
      <c r="Q44" s="54">
        <v>0.35498716948041981</v>
      </c>
    </row>
    <row r="45" spans="1:17">
      <c r="A45" s="2" t="s">
        <v>319</v>
      </c>
      <c r="B45" s="16" t="s">
        <v>320</v>
      </c>
      <c r="D45" s="14">
        <v>1</v>
      </c>
      <c r="E45" s="14">
        <v>0.46551461606323691</v>
      </c>
      <c r="F45" s="14">
        <v>1.4902320123793759E-3</v>
      </c>
      <c r="G45" s="14">
        <v>6.5832807464100658E-7</v>
      </c>
      <c r="H45" s="14">
        <v>223.10735545816229</v>
      </c>
      <c r="I45" s="14">
        <v>10145.444027855407</v>
      </c>
      <c r="J45" s="14">
        <v>0</v>
      </c>
      <c r="K45" s="14">
        <v>671.03645049427712</v>
      </c>
      <c r="L45" s="14">
        <v>1.4902320123793759E-3</v>
      </c>
      <c r="M45" s="14">
        <v>1.2227353661572781E-3</v>
      </c>
      <c r="N45" s="14">
        <v>212.38268170809454</v>
      </c>
      <c r="O45" s="14">
        <v>75287.536838702435</v>
      </c>
      <c r="P45" s="8">
        <v>212.38268170809457</v>
      </c>
      <c r="Q45" s="54">
        <v>0.21422544775045158</v>
      </c>
    </row>
    <row r="46" spans="1:17">
      <c r="A46" s="2" t="s">
        <v>321</v>
      </c>
      <c r="B46" s="16" t="s">
        <v>322</v>
      </c>
      <c r="D46" s="14">
        <v>1</v>
      </c>
      <c r="E46" s="14">
        <v>0.4372506854903071</v>
      </c>
      <c r="F46" s="14">
        <v>2.8226955269158313E-3</v>
      </c>
      <c r="G46" s="14">
        <v>9.1992521448579749E-7</v>
      </c>
      <c r="H46" s="14">
        <v>312.12175128347724</v>
      </c>
      <c r="I46" s="14">
        <v>8542.4256155641287</v>
      </c>
      <c r="J46" s="14">
        <v>0</v>
      </c>
      <c r="K46" s="14">
        <v>354.27129510232101</v>
      </c>
      <c r="L46" s="14">
        <v>2.8226955269158313E-3</v>
      </c>
      <c r="M46" s="14">
        <v>2.3160216798344397E-3</v>
      </c>
      <c r="N46" s="14">
        <v>177.79670005269071</v>
      </c>
      <c r="O46" s="14">
        <v>63027.152201678327</v>
      </c>
      <c r="P46" s="8">
        <v>177.79670005269071</v>
      </c>
      <c r="Q46" s="54">
        <v>0.25714684830591406</v>
      </c>
    </row>
    <row r="47" spans="1:17">
      <c r="A47" s="2" t="s">
        <v>323</v>
      </c>
      <c r="B47" s="16" t="s">
        <v>324</v>
      </c>
      <c r="D47" s="14">
        <v>1</v>
      </c>
      <c r="E47" s="14">
        <v>0.41038600531571329</v>
      </c>
      <c r="F47" s="14">
        <v>5.9406109858670701E-3</v>
      </c>
      <c r="G47" s="14">
        <v>8.2087986223431919E-6</v>
      </c>
      <c r="H47" s="14">
        <v>448.79820786136065</v>
      </c>
      <c r="I47" s="14">
        <v>6487.9618095708374</v>
      </c>
      <c r="J47" s="14">
        <v>0</v>
      </c>
      <c r="K47" s="14">
        <v>168.33285370461664</v>
      </c>
      <c r="L47" s="14">
        <v>5.9406109858670701E-3</v>
      </c>
      <c r="M47" s="14">
        <v>4.874271313903931E-3</v>
      </c>
      <c r="N47" s="14">
        <v>134.06513110595012</v>
      </c>
      <c r="O47" s="14">
        <v>42906.204559148282</v>
      </c>
      <c r="P47" s="8">
        <v>134.06513110595012</v>
      </c>
      <c r="Q47" s="54">
        <v>0.30500593120214653</v>
      </c>
    </row>
    <row r="48" spans="1:17">
      <c r="A48" s="2" t="s">
        <v>325</v>
      </c>
      <c r="B48" s="16" t="s">
        <v>326</v>
      </c>
      <c r="D48" s="14">
        <v>1</v>
      </c>
      <c r="E48" s="14">
        <v>0.3632204443283395</v>
      </c>
      <c r="F48" s="14">
        <v>0.16517243729377956</v>
      </c>
      <c r="G48" s="14">
        <v>3.1226698134529329E-6</v>
      </c>
      <c r="H48" s="14">
        <v>470.64947362292855</v>
      </c>
      <c r="I48" s="14">
        <v>855.76544889535228</v>
      </c>
      <c r="J48" s="14">
        <v>0</v>
      </c>
      <c r="K48" s="14">
        <v>6.0542788880772926</v>
      </c>
      <c r="L48" s="14">
        <v>0.16517243729377956</v>
      </c>
      <c r="M48" s="14">
        <v>0.13552398479954614</v>
      </c>
      <c r="N48" s="14">
        <v>17.17716227136933</v>
      </c>
      <c r="O48" s="14">
        <v>5227.8693372912558</v>
      </c>
      <c r="P48" s="8">
        <v>17.17716227136933</v>
      </c>
      <c r="Q48" s="54">
        <v>0.41778683249429938</v>
      </c>
    </row>
    <row r="49" spans="1:17">
      <c r="A49" s="2" t="s">
        <v>275</v>
      </c>
      <c r="B49" s="16" t="s">
        <v>276</v>
      </c>
      <c r="D49" s="14">
        <v>1</v>
      </c>
      <c r="E49" s="14">
        <v>0.42141776223379945</v>
      </c>
      <c r="F49" s="14">
        <v>2.9058991241838302E-2</v>
      </c>
      <c r="G49" s="14">
        <v>7.711325258270341E-8</v>
      </c>
      <c r="H49" s="14">
        <v>847.03339688943447</v>
      </c>
      <c r="I49" s="14">
        <v>2482.8912891454797</v>
      </c>
      <c r="J49" s="14">
        <v>0</v>
      </c>
      <c r="K49" s="14">
        <v>34.412756853039987</v>
      </c>
      <c r="L49" s="14">
        <v>2.9058991241838302E-2</v>
      </c>
      <c r="M49" s="14">
        <v>2.3842902313928327E-2</v>
      </c>
      <c r="N49" s="14">
        <v>50.413631762456134</v>
      </c>
      <c r="O49" s="14">
        <v>18677.746431672371</v>
      </c>
      <c r="P49" s="8">
        <v>50.413631762456134</v>
      </c>
      <c r="Q49" s="54">
        <v>0.3557604819907606</v>
      </c>
    </row>
    <row r="50" spans="1:17">
      <c r="A50" s="2" t="s">
        <v>327</v>
      </c>
      <c r="B50" s="16" t="s">
        <v>328</v>
      </c>
      <c r="D50" s="14">
        <v>1</v>
      </c>
      <c r="E50" s="14">
        <v>0.41530155254464807</v>
      </c>
      <c r="F50" s="14">
        <v>2.5516244778886941E-2</v>
      </c>
      <c r="G50" s="14">
        <v>3.9926868313633561E-6</v>
      </c>
      <c r="H50" s="14">
        <v>811.02970242023889</v>
      </c>
      <c r="I50" s="14">
        <v>2748.4885399760237</v>
      </c>
      <c r="J50" s="14">
        <v>0</v>
      </c>
      <c r="K50" s="14">
        <v>39.190719820474364</v>
      </c>
      <c r="L50" s="14">
        <v>2.5516244778886945E-2</v>
      </c>
      <c r="M50" s="14">
        <v>2.0936078841076736E-2</v>
      </c>
      <c r="N50" s="14">
        <v>55.891577896699978</v>
      </c>
      <c r="O50" s="14">
        <v>21289.66093663199</v>
      </c>
      <c r="P50" s="8">
        <v>55.891577896699985</v>
      </c>
      <c r="Q50" s="54">
        <v>0.35587209129531872</v>
      </c>
    </row>
    <row r="51" spans="1:17">
      <c r="A51" s="2" t="s">
        <v>329</v>
      </c>
      <c r="B51" s="16" t="s">
        <v>330</v>
      </c>
      <c r="D51" s="14">
        <v>1</v>
      </c>
      <c r="E51" s="14">
        <v>0.37146714589013935</v>
      </c>
      <c r="F51" s="14">
        <v>0.12321363620782572</v>
      </c>
      <c r="G51" s="14">
        <v>1.898922594824041E-6</v>
      </c>
      <c r="H51" s="14">
        <v>593.57933703949834</v>
      </c>
      <c r="I51" s="14">
        <v>1038.3312984809431</v>
      </c>
      <c r="J51" s="14">
        <v>0</v>
      </c>
      <c r="K51" s="14">
        <v>8.115984811237043</v>
      </c>
      <c r="L51" s="14">
        <v>0.12321363620782572</v>
      </c>
      <c r="M51" s="14">
        <v>0.101096788508521</v>
      </c>
      <c r="N51" s="14">
        <v>20.842637579260039</v>
      </c>
      <c r="O51" s="14">
        <v>5719.219751748954</v>
      </c>
      <c r="P51" s="8">
        <v>20.842637579260039</v>
      </c>
      <c r="Q51" s="54">
        <v>0.40976602344246771</v>
      </c>
    </row>
    <row r="52" spans="1:17">
      <c r="A52" s="2" t="s">
        <v>277</v>
      </c>
      <c r="B52" s="16" t="s">
        <v>278</v>
      </c>
      <c r="D52" s="14">
        <v>1</v>
      </c>
      <c r="E52" s="14">
        <v>0.36330547626753767</v>
      </c>
      <c r="F52" s="14">
        <v>0.16076971420288363</v>
      </c>
      <c r="G52" s="14">
        <v>4.9307470937552126E-6</v>
      </c>
      <c r="H52" s="14">
        <v>481.59751765293134</v>
      </c>
      <c r="I52" s="14">
        <v>872.45173471135604</v>
      </c>
      <c r="J52" s="14">
        <v>0</v>
      </c>
      <c r="K52" s="14">
        <v>6.2200769899861124</v>
      </c>
      <c r="L52" s="14">
        <v>0.16076971420288363</v>
      </c>
      <c r="M52" s="14">
        <v>0.13191155050346604</v>
      </c>
      <c r="N52" s="14">
        <v>17.51085813914187</v>
      </c>
      <c r="O52" s="14">
        <v>7125.693502561001</v>
      </c>
      <c r="P52" s="8">
        <v>17.51085813914187</v>
      </c>
      <c r="Q52" s="54">
        <v>0.41738939514617934</v>
      </c>
    </row>
    <row r="53" spans="1:17">
      <c r="A53" s="2" t="s">
        <v>331</v>
      </c>
      <c r="B53" s="16" t="s">
        <v>332</v>
      </c>
      <c r="D53" s="14">
        <v>1</v>
      </c>
      <c r="E53" s="14">
        <v>0.40304166026081911</v>
      </c>
      <c r="F53" s="14">
        <v>1.6780351152137725E-2</v>
      </c>
      <c r="G53" s="14">
        <v>2.6369963732202944E-6</v>
      </c>
      <c r="H53" s="14">
        <v>697.55915803274308</v>
      </c>
      <c r="I53" s="14">
        <v>3706.2799104877427</v>
      </c>
      <c r="J53" s="14">
        <v>0</v>
      </c>
      <c r="K53" s="14">
        <v>59.59350855852653</v>
      </c>
      <c r="L53" s="14">
        <v>1.6780351152137725E-2</v>
      </c>
      <c r="M53" s="14">
        <v>1.3768278120329002E-2</v>
      </c>
      <c r="N53" s="14">
        <v>75.735552176508122</v>
      </c>
      <c r="O53" s="14">
        <v>28848.42917955371</v>
      </c>
      <c r="P53" s="8">
        <v>75.735552176508122</v>
      </c>
      <c r="Q53" s="54">
        <v>0.35054051112530987</v>
      </c>
    </row>
    <row r="54" spans="1:17">
      <c r="A54" s="2" t="s">
        <v>333</v>
      </c>
      <c r="B54" s="16" t="s">
        <v>334</v>
      </c>
      <c r="D54" s="14">
        <v>1</v>
      </c>
      <c r="E54" s="14">
        <v>0.41831833888600028</v>
      </c>
      <c r="F54" s="14">
        <v>2.7243946436195127E-2</v>
      </c>
      <c r="G54" s="14">
        <v>4.3593175453357203E-9</v>
      </c>
      <c r="H54" s="14">
        <v>829.25866415050655</v>
      </c>
      <c r="I54" s="14">
        <v>2613.6485482939379</v>
      </c>
      <c r="J54" s="14">
        <v>0</v>
      </c>
      <c r="K54" s="14">
        <v>36.705401779510304</v>
      </c>
      <c r="L54" s="14">
        <v>2.7243946436195127E-2</v>
      </c>
      <c r="M54" s="14">
        <v>2.2353658050898104E-2</v>
      </c>
      <c r="N54" s="14">
        <v>53.108877839892635</v>
      </c>
      <c r="O54" s="14">
        <v>20419.301351881921</v>
      </c>
      <c r="P54" s="8">
        <v>53.108877839892635</v>
      </c>
      <c r="Q54" s="54">
        <v>0.35599769704555895</v>
      </c>
    </row>
    <row r="55" spans="1:17">
      <c r="A55" s="2" t="s">
        <v>335</v>
      </c>
      <c r="B55" s="16" t="s">
        <v>336</v>
      </c>
      <c r="D55" s="14">
        <v>1</v>
      </c>
      <c r="E55" s="14">
        <v>0.40904167619406023</v>
      </c>
      <c r="F55" s="14">
        <v>6.1283010030382347E-3</v>
      </c>
      <c r="G55" s="14">
        <v>2.1265156147090138E-5</v>
      </c>
      <c r="H55" s="14">
        <v>455.03006058604745</v>
      </c>
      <c r="I55" s="14">
        <v>6389.947045560265</v>
      </c>
      <c r="J55" s="14">
        <v>0</v>
      </c>
      <c r="K55" s="14">
        <v>163.17736343306714</v>
      </c>
      <c r="L55" s="14">
        <v>6.1283010030382347E-3</v>
      </c>
      <c r="M55" s="14">
        <v>5.0282709729928717E-3</v>
      </c>
      <c r="N55" s="14">
        <v>131.99663268221795</v>
      </c>
      <c r="O55" s="14">
        <v>49276.982912925603</v>
      </c>
      <c r="P55" s="8">
        <v>131.99663268221795</v>
      </c>
      <c r="Q55" s="54">
        <v>0.30654713327724553</v>
      </c>
    </row>
    <row r="56" spans="1:17">
      <c r="A56" s="2" t="s">
        <v>337</v>
      </c>
      <c r="B56" s="16" t="s">
        <v>338</v>
      </c>
      <c r="D56" s="14">
        <v>1</v>
      </c>
      <c r="E56" s="14">
        <v>0.42400931340670106</v>
      </c>
      <c r="F56" s="14">
        <v>3.0579638262346654E-2</v>
      </c>
      <c r="G56" s="14">
        <v>1.5453997276281529E-6</v>
      </c>
      <c r="H56" s="14">
        <v>861.0182240173267</v>
      </c>
      <c r="I56" s="14">
        <v>2381.6037992704837</v>
      </c>
      <c r="J56" s="14">
        <v>0</v>
      </c>
      <c r="K56" s="14">
        <v>32.701498671137671</v>
      </c>
      <c r="L56" s="14">
        <v>3.0579638262346658E-2</v>
      </c>
      <c r="M56" s="14">
        <v>2.5090593194255432E-2</v>
      </c>
      <c r="N56" s="14">
        <v>48.327946743059783</v>
      </c>
      <c r="O56" s="14">
        <v>18815.036226008033</v>
      </c>
      <c r="P56" s="8">
        <v>48.327946743059783</v>
      </c>
      <c r="Q56" s="54">
        <v>0.35536079635632351</v>
      </c>
    </row>
    <row r="57" spans="1:17">
      <c r="A57" s="2" t="s">
        <v>279</v>
      </c>
      <c r="B57" s="16" t="s">
        <v>280</v>
      </c>
      <c r="D57" s="14">
        <v>1</v>
      </c>
      <c r="E57" s="14">
        <v>0.36151460916845046</v>
      </c>
      <c r="F57" s="14">
        <v>0.18445110280175836</v>
      </c>
      <c r="G57" s="14">
        <v>8.7484223984192973E-5</v>
      </c>
      <c r="H57" s="14">
        <v>419.66355586331628</v>
      </c>
      <c r="I57" s="14">
        <v>775.81545499103038</v>
      </c>
      <c r="J57" s="14">
        <v>0</v>
      </c>
      <c r="K57" s="14">
        <v>5.4214910337227167</v>
      </c>
      <c r="L57" s="14">
        <v>0.18445110280175836</v>
      </c>
      <c r="M57" s="14">
        <v>0.15134212984884274</v>
      </c>
      <c r="N57" s="14">
        <v>15.581139928536659</v>
      </c>
      <c r="O57" s="14">
        <v>4531.4629254163165</v>
      </c>
      <c r="P57" s="8">
        <v>15.581139928536659</v>
      </c>
      <c r="Q57" s="54">
        <v>0.4149143228245552</v>
      </c>
    </row>
    <row r="58" spans="1:17">
      <c r="A58" s="2" t="s">
        <v>339</v>
      </c>
      <c r="B58" s="16" t="s">
        <v>340</v>
      </c>
      <c r="D58" s="14">
        <v>1</v>
      </c>
      <c r="E58" s="14">
        <v>0.41772549606963483</v>
      </c>
      <c r="F58" s="14">
        <v>2.6892611999248327E-2</v>
      </c>
      <c r="G58" s="14">
        <v>1.5270085673329023E-8</v>
      </c>
      <c r="H58" s="14">
        <v>825.68232128579177</v>
      </c>
      <c r="I58" s="14">
        <v>2640.4026306593487</v>
      </c>
      <c r="J58" s="14">
        <v>0</v>
      </c>
      <c r="K58" s="14">
        <v>37.184933915231099</v>
      </c>
      <c r="L58" s="14">
        <v>2.689261199924833E-2</v>
      </c>
      <c r="M58" s="14">
        <v>2.2065388145383256E-2</v>
      </c>
      <c r="N58" s="14">
        <v>53.660705276970653</v>
      </c>
      <c r="O58" s="14">
        <v>18547.822778984904</v>
      </c>
      <c r="P58" s="8">
        <v>53.660705276970653</v>
      </c>
      <c r="Q58" s="54">
        <v>0.35601652495997366</v>
      </c>
    </row>
    <row r="59" spans="1:17">
      <c r="A59" s="2" t="s">
        <v>281</v>
      </c>
      <c r="B59" s="16" t="s">
        <v>282</v>
      </c>
      <c r="D59" s="14">
        <v>1</v>
      </c>
      <c r="E59" s="14">
        <v>0.36344234878289267</v>
      </c>
      <c r="F59" s="14">
        <v>0.16083028294355312</v>
      </c>
      <c r="G59" s="14">
        <v>7.4657993495871777E-7</v>
      </c>
      <c r="H59" s="14">
        <v>481.77895577576692</v>
      </c>
      <c r="I59" s="14">
        <v>872.78042412359002</v>
      </c>
      <c r="J59" s="14">
        <v>0</v>
      </c>
      <c r="K59" s="14">
        <v>6.2177345068215271</v>
      </c>
      <c r="L59" s="14">
        <v>0.16083028294355314</v>
      </c>
      <c r="M59" s="14">
        <v>0.13196124715518534</v>
      </c>
      <c r="N59" s="14">
        <v>17.517455218889062</v>
      </c>
      <c r="O59" s="14">
        <v>5102.134007053628</v>
      </c>
      <c r="P59" s="8">
        <v>17.517455218889062</v>
      </c>
      <c r="Q59" s="54">
        <v>0.41754664335774799</v>
      </c>
    </row>
    <row r="60" spans="1:17">
      <c r="A60" s="2" t="s">
        <v>341</v>
      </c>
      <c r="B60" s="16" t="s">
        <v>342</v>
      </c>
      <c r="D60" s="14">
        <v>1</v>
      </c>
      <c r="E60" s="14">
        <v>0.40491338627150519</v>
      </c>
      <c r="F60" s="14">
        <v>1.897182246675291E-2</v>
      </c>
      <c r="G60" s="14">
        <v>2.207382217944422E-5</v>
      </c>
      <c r="H60" s="14">
        <v>729.53990448850482</v>
      </c>
      <c r="I60" s="14">
        <v>3401.7799943365058</v>
      </c>
      <c r="J60" s="14">
        <v>0</v>
      </c>
      <c r="K60" s="14">
        <v>52.709748984445</v>
      </c>
      <c r="L60" s="14">
        <v>1.897182246675291E-2</v>
      </c>
      <c r="M60" s="14">
        <v>1.5566380333970762E-2</v>
      </c>
      <c r="N60" s="14">
        <v>69.414238853528175</v>
      </c>
      <c r="O60" s="14">
        <v>23273.206002810926</v>
      </c>
      <c r="P60" s="8">
        <v>69.41423885352819</v>
      </c>
      <c r="Q60" s="54">
        <v>0.35245706689622636</v>
      </c>
    </row>
    <row r="61" spans="1:17">
      <c r="A61" s="2" t="s">
        <v>483</v>
      </c>
      <c r="B61" s="16" t="s">
        <v>484</v>
      </c>
      <c r="D61" s="14">
        <v>1</v>
      </c>
      <c r="E61" s="14">
        <v>0.59825849362092609</v>
      </c>
      <c r="F61" s="14">
        <v>0.50409133661250671</v>
      </c>
      <c r="G61" s="14">
        <v>1.5368704425755486E-15</v>
      </c>
      <c r="H61" s="14">
        <v>229.89607902343704</v>
      </c>
      <c r="I61" s="14">
        <v>354.65882977574404</v>
      </c>
      <c r="J61" s="14">
        <v>0</v>
      </c>
      <c r="K61" s="14">
        <v>1.9837674789652184</v>
      </c>
      <c r="L61" s="14">
        <v>0.50409133661250682</v>
      </c>
      <c r="M61" s="14">
        <v>0.41360694169056184</v>
      </c>
      <c r="N61" s="14">
        <v>45.992256064940925</v>
      </c>
      <c r="O61" s="14">
        <v>21430.09171345922</v>
      </c>
      <c r="P61" s="8">
        <v>45.992256064940925</v>
      </c>
      <c r="Q61" s="54">
        <v>0.23944775895938192</v>
      </c>
    </row>
    <row r="62" spans="1:17">
      <c r="A62" s="2" t="s">
        <v>485</v>
      </c>
      <c r="B62" s="16" t="s">
        <v>486</v>
      </c>
      <c r="D62" s="14">
        <v>1</v>
      </c>
      <c r="E62" s="14">
        <v>0.42411661650219756</v>
      </c>
      <c r="F62" s="14">
        <v>0.33510381089605656</v>
      </c>
      <c r="G62" s="14">
        <v>4.0936230982018193E-9</v>
      </c>
      <c r="H62" s="14">
        <v>207.72050357662036</v>
      </c>
      <c r="I62" s="14">
        <v>422.60685519427847</v>
      </c>
      <c r="J62" s="14">
        <v>0</v>
      </c>
      <c r="K62" s="14">
        <v>2.9841498887345774</v>
      </c>
      <c r="L62" s="14">
        <v>0.33510381089605656</v>
      </c>
      <c r="M62" s="14">
        <v>0.27495267684021441</v>
      </c>
      <c r="N62" s="14">
        <v>8.6282946450537832</v>
      </c>
      <c r="O62" s="14">
        <v>2798.9324999089968</v>
      </c>
      <c r="P62" s="8">
        <v>8.628294645053785</v>
      </c>
      <c r="Q62" s="54">
        <v>0.38276880611252306</v>
      </c>
    </row>
    <row r="63" spans="1:17">
      <c r="A63" s="2" t="s">
        <v>487</v>
      </c>
      <c r="B63" s="16" t="s">
        <v>488</v>
      </c>
      <c r="D63" s="14">
        <v>1</v>
      </c>
      <c r="E63" s="14">
        <v>0.9537539325144998</v>
      </c>
      <c r="F63" s="14">
        <v>0.95041762948019337</v>
      </c>
      <c r="G63" s="14">
        <v>8.1580861286769721E-15</v>
      </c>
      <c r="H63" s="14">
        <v>9.3074303300568904</v>
      </c>
      <c r="I63" s="14">
        <v>11.370725148835788</v>
      </c>
      <c r="J63" s="14">
        <v>0</v>
      </c>
      <c r="K63" s="14">
        <v>1.0521690349398551</v>
      </c>
      <c r="L63" s="14">
        <v>0.95041762948019348</v>
      </c>
      <c r="M63" s="14">
        <v>0.77981766498849869</v>
      </c>
      <c r="N63" s="14">
        <v>5.07947661573915</v>
      </c>
      <c r="O63" s="14">
        <v>2242.8936944457791</v>
      </c>
      <c r="P63" s="8">
        <v>5.0794766157391509</v>
      </c>
      <c r="Q63" s="54">
        <v>2.7712018608849309E-2</v>
      </c>
    </row>
    <row r="64" spans="1:17">
      <c r="A64" s="2" t="s">
        <v>489</v>
      </c>
      <c r="B64" s="16" t="s">
        <v>490</v>
      </c>
      <c r="D64" s="14">
        <v>1</v>
      </c>
      <c r="E64" s="14">
        <v>0.99469587630451883</v>
      </c>
      <c r="F64" s="14">
        <v>0.99384365734029168</v>
      </c>
      <c r="G64" s="14">
        <v>1.4752725742461429E-16</v>
      </c>
      <c r="H64" s="14">
        <v>3.4801508597180164</v>
      </c>
      <c r="I64" s="14">
        <v>0.40007097688185339</v>
      </c>
      <c r="J64" s="14">
        <v>0</v>
      </c>
      <c r="K64" s="14">
        <v>1.0061944779888055</v>
      </c>
      <c r="L64" s="14">
        <v>0.99384365734029168</v>
      </c>
      <c r="M64" s="14">
        <v>0.81544872084770936</v>
      </c>
      <c r="N64" s="14">
        <v>0.91252015733273251</v>
      </c>
      <c r="O64" s="14">
        <v>366.31296675807886</v>
      </c>
      <c r="P64" s="8">
        <v>0.91252015733273262</v>
      </c>
      <c r="Q64" s="54">
        <v>2.9507814639048273E-3</v>
      </c>
    </row>
    <row r="65" spans="1:17">
      <c r="A65" s="2" t="s">
        <v>491</v>
      </c>
      <c r="B65" s="16" t="s">
        <v>492</v>
      </c>
      <c r="D65" s="14">
        <v>1</v>
      </c>
      <c r="E65" s="14">
        <v>0.99677274937818772</v>
      </c>
      <c r="F65" s="14">
        <v>0.99699541217835208</v>
      </c>
      <c r="G65" s="14">
        <v>2.4359901014178095E-14</v>
      </c>
      <c r="H65" s="14">
        <v>0.45173013737651702</v>
      </c>
      <c r="I65" s="14">
        <v>0.18603052064640549</v>
      </c>
      <c r="J65" s="14">
        <v>0</v>
      </c>
      <c r="K65" s="14">
        <v>1.0030136425754288</v>
      </c>
      <c r="L65" s="14">
        <v>0.99699541217835219</v>
      </c>
      <c r="M65" s="14">
        <v>0.81803473569233798</v>
      </c>
      <c r="N65" s="14">
        <v>1.2680069361544952</v>
      </c>
      <c r="O65" s="14">
        <v>351.69440381181079</v>
      </c>
      <c r="P65" s="8">
        <v>1.2680069361544952</v>
      </c>
      <c r="Q65" s="54">
        <v>1.3036595833373114E-3</v>
      </c>
    </row>
    <row r="66" spans="1:17">
      <c r="A66" s="2" t="s">
        <v>493</v>
      </c>
      <c r="B66" s="16" t="s">
        <v>494</v>
      </c>
      <c r="D66" s="14">
        <v>1</v>
      </c>
      <c r="E66" s="14">
        <v>0.93714812663988312</v>
      </c>
      <c r="F66" s="14">
        <v>0.91321816610086848</v>
      </c>
      <c r="G66" s="14">
        <v>3.7690484093655533E-13</v>
      </c>
      <c r="H66" s="14">
        <v>67.337993265690855</v>
      </c>
      <c r="I66" s="14">
        <v>15.625525218072868</v>
      </c>
      <c r="J66" s="14">
        <v>0</v>
      </c>
      <c r="K66" s="14">
        <v>1.0950285891373146</v>
      </c>
      <c r="L66" s="14">
        <v>0.91321816610086859</v>
      </c>
      <c r="M66" s="14">
        <v>0.74929550528576272</v>
      </c>
      <c r="N66" s="14">
        <v>41.537085836700875</v>
      </c>
      <c r="O66" s="14">
        <v>13475.461387142499</v>
      </c>
      <c r="P66" s="8">
        <v>41.537085836700882</v>
      </c>
      <c r="Q66" s="54">
        <v>1.3770655830733806E-2</v>
      </c>
    </row>
    <row r="67" spans="1:17">
      <c r="A67" s="2" t="s">
        <v>495</v>
      </c>
      <c r="B67" s="16" t="s">
        <v>496</v>
      </c>
      <c r="D67" s="14">
        <v>1</v>
      </c>
      <c r="E67" s="14">
        <v>0.99659725183104186</v>
      </c>
      <c r="F67" s="14">
        <v>0.99684453728316613</v>
      </c>
      <c r="G67" s="14">
        <v>1.9027245500291016E-14</v>
      </c>
      <c r="H67" s="14">
        <v>0.38085282705755752</v>
      </c>
      <c r="I67" s="14">
        <v>0.19276746364038505</v>
      </c>
      <c r="J67" s="14">
        <v>0</v>
      </c>
      <c r="K67" s="14">
        <v>1.0031654511800143</v>
      </c>
      <c r="L67" s="14">
        <v>0.99684453728316613</v>
      </c>
      <c r="M67" s="14">
        <v>0.81791094284083787</v>
      </c>
      <c r="N67" s="14">
        <v>1.2048899520789593</v>
      </c>
      <c r="O67" s="14">
        <v>377.63660878058744</v>
      </c>
      <c r="P67" s="8">
        <v>1.2048899520789593</v>
      </c>
      <c r="Q67" s="54">
        <v>1.4656616794489596E-3</v>
      </c>
    </row>
    <row r="68" spans="1:17">
      <c r="A68" s="2" t="s">
        <v>497</v>
      </c>
      <c r="B68" s="16" t="s">
        <v>498</v>
      </c>
      <c r="D68" s="14">
        <v>1</v>
      </c>
      <c r="E68" s="14">
        <v>0.99816306386911202</v>
      </c>
      <c r="F68" s="14">
        <v>0.99853516664528885</v>
      </c>
      <c r="G68" s="14">
        <v>1.7207414754433635E-13</v>
      </c>
      <c r="H68" s="14">
        <v>4.5294965453519617E-2</v>
      </c>
      <c r="I68" s="14">
        <v>3.2357698498816451E-2</v>
      </c>
      <c r="J68" s="14">
        <v>0</v>
      </c>
      <c r="K68" s="14">
        <v>1.0014669822392259</v>
      </c>
      <c r="L68" s="14">
        <v>0.99853516664528896</v>
      </c>
      <c r="M68" s="14">
        <v>0.81929810423245963</v>
      </c>
      <c r="N68" s="14">
        <v>0.93896727676699954</v>
      </c>
      <c r="O68" s="14">
        <v>255.73712750026002</v>
      </c>
      <c r="P68" s="8">
        <v>0.93896727676699965</v>
      </c>
      <c r="Q68" s="54">
        <v>5.9218530201813474E-4</v>
      </c>
    </row>
    <row r="69" spans="1:17">
      <c r="A69" s="2" t="s">
        <v>499</v>
      </c>
      <c r="B69" s="16" t="s">
        <v>500</v>
      </c>
      <c r="D69" s="14">
        <v>1</v>
      </c>
      <c r="E69" s="14">
        <v>0.43154661262263566</v>
      </c>
      <c r="F69" s="14">
        <v>3.4823560634356279E-2</v>
      </c>
      <c r="G69" s="14">
        <v>3.871360926409663E-13</v>
      </c>
      <c r="H69" s="14">
        <v>896.86107351826297</v>
      </c>
      <c r="I69" s="14">
        <v>2136.4480920655633</v>
      </c>
      <c r="J69" s="14">
        <v>0</v>
      </c>
      <c r="K69" s="14">
        <v>28.716190469432306</v>
      </c>
      <c r="L69" s="14">
        <v>3.4823560634356286E-2</v>
      </c>
      <c r="M69" s="14">
        <v>2.8572731500489331E-2</v>
      </c>
      <c r="N69" s="14">
        <v>43.287122130906219</v>
      </c>
      <c r="O69" s="14">
        <v>18595.714796216002</v>
      </c>
      <c r="P69" s="8">
        <v>43.287122130906219</v>
      </c>
      <c r="Q69" s="54">
        <v>0.35384441525419669</v>
      </c>
    </row>
    <row r="70" spans="1:17">
      <c r="A70" s="2" t="s">
        <v>501</v>
      </c>
      <c r="B70" s="16" t="s">
        <v>411</v>
      </c>
      <c r="D70" s="14">
        <v>1</v>
      </c>
      <c r="E70" s="14">
        <v>0.99899819465269535</v>
      </c>
      <c r="F70" s="14">
        <v>0.99629007977844575</v>
      </c>
      <c r="G70" s="14">
        <v>3.1704017106933449E-15</v>
      </c>
      <c r="H70" s="14">
        <v>8.8000635006236188</v>
      </c>
      <c r="I70" s="14">
        <v>7.7436023968347504E-3</v>
      </c>
      <c r="J70" s="14">
        <v>0</v>
      </c>
      <c r="K70" s="14">
        <v>1.0037237349812609</v>
      </c>
      <c r="L70" s="14">
        <v>0.99629007977844575</v>
      </c>
      <c r="M70" s="14">
        <v>0.81745601045821481</v>
      </c>
      <c r="N70" s="14">
        <v>0.92333009291922385</v>
      </c>
      <c r="O70" s="14">
        <v>277.09136088505909</v>
      </c>
      <c r="P70" s="8">
        <v>0.92333009291922397</v>
      </c>
      <c r="Q70" s="54">
        <v>3.9259344637689451E-5</v>
      </c>
    </row>
    <row r="71" spans="1:17">
      <c r="A71" s="2" t="s">
        <v>502</v>
      </c>
      <c r="B71" s="16" t="s">
        <v>412</v>
      </c>
      <c r="D71" s="14">
        <v>1</v>
      </c>
      <c r="E71" s="14">
        <v>0.99895426909542906</v>
      </c>
      <c r="F71" s="14">
        <v>0.99342619852221214</v>
      </c>
      <c r="G71" s="14">
        <v>1.4839650148265995E-10</v>
      </c>
      <c r="H71" s="14">
        <v>16.81107977196762</v>
      </c>
      <c r="I71" s="14">
        <v>1.4145670519273569E-2</v>
      </c>
      <c r="J71" s="14">
        <v>0</v>
      </c>
      <c r="K71" s="14">
        <v>1.0066173023094889</v>
      </c>
      <c r="L71" s="14">
        <v>0.99342619852221226</v>
      </c>
      <c r="M71" s="14">
        <v>0.81510619588747513</v>
      </c>
      <c r="N71" s="14">
        <v>0.94332132726048279</v>
      </c>
      <c r="O71" s="14">
        <v>309.5508935405274</v>
      </c>
      <c r="P71" s="8">
        <v>0.94332132726048279</v>
      </c>
      <c r="Q71" s="54">
        <v>5.5109127887212637E-5</v>
      </c>
    </row>
    <row r="72" spans="1:17">
      <c r="A72" s="2" t="s">
        <v>503</v>
      </c>
      <c r="B72" s="16" t="s">
        <v>413</v>
      </c>
      <c r="D72" s="14">
        <v>1</v>
      </c>
      <c r="E72" s="14">
        <v>0.95501438932606442</v>
      </c>
      <c r="F72" s="14">
        <v>3.6084796698637157E-2</v>
      </c>
      <c r="G72" s="14">
        <v>1.767961196234225E-11</v>
      </c>
      <c r="H72" s="14">
        <v>2610.6236187558434</v>
      </c>
      <c r="I72" s="14">
        <v>11.101207934640987</v>
      </c>
      <c r="J72" s="14">
        <v>0</v>
      </c>
      <c r="K72" s="14">
        <v>27.712501981139546</v>
      </c>
      <c r="L72" s="14">
        <v>3.6084796698637157E-2</v>
      </c>
      <c r="M72" s="14">
        <v>2.9607575691231791E-2</v>
      </c>
      <c r="N72" s="14">
        <v>43.2214087039264</v>
      </c>
      <c r="O72" s="14">
        <v>20058.191351318164</v>
      </c>
      <c r="P72" s="8">
        <v>43.2214087039264</v>
      </c>
      <c r="Q72" s="54">
        <v>5.4899733646659413E-4</v>
      </c>
    </row>
    <row r="73" spans="1:17">
      <c r="A73" s="2" t="s">
        <v>504</v>
      </c>
      <c r="B73" s="16" t="s">
        <v>414</v>
      </c>
      <c r="D73" s="14">
        <v>1</v>
      </c>
      <c r="E73" s="14">
        <v>0.99502457354958584</v>
      </c>
      <c r="F73" s="14">
        <v>0.27198977072641567</v>
      </c>
      <c r="G73" s="14">
        <v>1.8770724556540501E-11</v>
      </c>
      <c r="H73" s="14">
        <v>2055.1928054691894</v>
      </c>
      <c r="I73" s="14">
        <v>1.0999641871198174</v>
      </c>
      <c r="J73" s="14">
        <v>0</v>
      </c>
      <c r="K73" s="14">
        <v>3.676608856756832</v>
      </c>
      <c r="L73" s="14">
        <v>0.27198977072641567</v>
      </c>
      <c r="M73" s="14">
        <v>0.22316760688102408</v>
      </c>
      <c r="N73" s="14">
        <v>4.3439685393469176</v>
      </c>
      <c r="O73" s="14">
        <v>1364.2233197818994</v>
      </c>
      <c r="P73" s="8">
        <v>4.3439685393469176</v>
      </c>
      <c r="Q73" s="54">
        <v>3.6172501683952692E-4</v>
      </c>
    </row>
    <row r="74" spans="1:17">
      <c r="A74" s="2" t="s">
        <v>505</v>
      </c>
      <c r="B74" s="16" t="s">
        <v>415</v>
      </c>
      <c r="D74" s="14">
        <v>1</v>
      </c>
      <c r="E74" s="14">
        <v>0.99896260401860382</v>
      </c>
      <c r="F74" s="14">
        <v>0.99399473963328633</v>
      </c>
      <c r="G74" s="14">
        <v>1.8257131849966661E-11</v>
      </c>
      <c r="H74" s="14">
        <v>15.219629702015311</v>
      </c>
      <c r="I74" s="14">
        <v>1.2862638397145394E-2</v>
      </c>
      <c r="J74" s="14">
        <v>0</v>
      </c>
      <c r="K74" s="14">
        <v>1.0060415413958117</v>
      </c>
      <c r="L74" s="14">
        <v>0.99399473963328633</v>
      </c>
      <c r="M74" s="14">
        <v>0.81557268386911141</v>
      </c>
      <c r="N74" s="14">
        <v>0.93941879546844675</v>
      </c>
      <c r="O74" s="14">
        <v>201.07319898206634</v>
      </c>
      <c r="P74" s="8">
        <v>0.93941879546844675</v>
      </c>
      <c r="Q74" s="54">
        <v>5.2183122267631049E-5</v>
      </c>
    </row>
    <row r="75" spans="1:17">
      <c r="A75" s="2" t="s">
        <v>506</v>
      </c>
      <c r="B75" s="16" t="s">
        <v>416</v>
      </c>
      <c r="D75" s="14">
        <v>1</v>
      </c>
      <c r="E75" s="14">
        <v>0.99513600940975533</v>
      </c>
      <c r="F75" s="14">
        <v>0.30795946361874355</v>
      </c>
      <c r="G75" s="14">
        <v>7.7090705552434319E-11</v>
      </c>
      <c r="H75" s="14">
        <v>1953.3207093497053</v>
      </c>
      <c r="I75" s="14">
        <v>1.0590087028573303</v>
      </c>
      <c r="J75" s="14">
        <v>0</v>
      </c>
      <c r="K75" s="14">
        <v>3.2471806134784296</v>
      </c>
      <c r="L75" s="14">
        <v>0.3079594636187436</v>
      </c>
      <c r="M75" s="14">
        <v>0.25268073989917911</v>
      </c>
      <c r="N75" s="14">
        <v>4.2173474225240604</v>
      </c>
      <c r="O75" s="14">
        <v>1746.2770472445377</v>
      </c>
      <c r="P75" s="8">
        <v>4.2173474225240613</v>
      </c>
      <c r="Q75" s="54">
        <v>3.7385184572645514E-4</v>
      </c>
    </row>
    <row r="76" spans="1:17">
      <c r="A76" s="2" t="s">
        <v>507</v>
      </c>
      <c r="B76" s="16" t="s">
        <v>417</v>
      </c>
      <c r="D76" s="14">
        <v>1</v>
      </c>
      <c r="E76" s="14">
        <v>0.99805778921570887</v>
      </c>
      <c r="F76" s="14">
        <v>0.88927704768046989</v>
      </c>
      <c r="G76" s="14">
        <v>4.9043915633184854E-10</v>
      </c>
      <c r="H76" s="14">
        <v>310.1395006349922</v>
      </c>
      <c r="I76" s="14">
        <v>0.2088262129218808</v>
      </c>
      <c r="J76" s="14">
        <v>0</v>
      </c>
      <c r="K76" s="14">
        <v>1.1245089509600323</v>
      </c>
      <c r="L76" s="14">
        <v>0.88927704768047</v>
      </c>
      <c r="M76" s="14">
        <v>0.72965181762182563</v>
      </c>
      <c r="N76" s="14">
        <v>1.5542358441250537</v>
      </c>
      <c r="O76" s="14">
        <v>665.47716137902432</v>
      </c>
      <c r="P76" s="8">
        <v>1.5542358441250537</v>
      </c>
      <c r="Q76" s="54">
        <v>2.3877288814808101E-4</v>
      </c>
    </row>
    <row r="77" spans="1:17">
      <c r="A77" s="2" t="s">
        <v>508</v>
      </c>
      <c r="B77" s="16" t="s">
        <v>418</v>
      </c>
      <c r="D77" s="14">
        <v>1</v>
      </c>
      <c r="E77" s="14">
        <v>0.99505265646569407</v>
      </c>
      <c r="F77" s="14">
        <v>0.28199486322400052</v>
      </c>
      <c r="G77" s="14">
        <v>5.74181573014773E-10</v>
      </c>
      <c r="H77" s="14">
        <v>2026.8480775016785</v>
      </c>
      <c r="I77" s="14">
        <v>1.092066604792987</v>
      </c>
      <c r="J77" s="14">
        <v>0</v>
      </c>
      <c r="K77" s="14">
        <v>3.5461638859912759</v>
      </c>
      <c r="L77" s="14">
        <v>0.28199486322400052</v>
      </c>
      <c r="M77" s="14">
        <v>0.23137678527529243</v>
      </c>
      <c r="N77" s="14">
        <v>4.3095498678471094</v>
      </c>
      <c r="O77" s="14">
        <v>2276.2180491994864</v>
      </c>
      <c r="P77" s="8">
        <v>4.3095498678471102</v>
      </c>
      <c r="Q77" s="54">
        <v>3.6647902779168818E-4</v>
      </c>
    </row>
    <row r="78" spans="1:17">
      <c r="A78" s="2" t="s">
        <v>509</v>
      </c>
      <c r="B78" s="16" t="s">
        <v>419</v>
      </c>
      <c r="D78" s="14">
        <v>1</v>
      </c>
      <c r="E78" s="14">
        <v>0.96208095082546041</v>
      </c>
      <c r="F78" s="14">
        <v>4.0168382372932313E-2</v>
      </c>
      <c r="G78" s="14">
        <v>7.1336666038302634E-11</v>
      </c>
      <c r="H78" s="14">
        <v>2619.2945695769813</v>
      </c>
      <c r="I78" s="14">
        <v>9.3585877565030078</v>
      </c>
      <c r="J78" s="14">
        <v>0</v>
      </c>
      <c r="K78" s="14">
        <v>24.895202169601323</v>
      </c>
      <c r="L78" s="14">
        <v>4.0168382372932313E-2</v>
      </c>
      <c r="M78" s="14">
        <v>3.2958157736990963E-2</v>
      </c>
      <c r="N78" s="14">
        <v>36.345154202258726</v>
      </c>
      <c r="O78" s="14">
        <v>20501.938033952127</v>
      </c>
      <c r="P78" s="8">
        <v>36.345154202258733</v>
      </c>
      <c r="Q78" s="54">
        <v>5.2264923268359595E-4</v>
      </c>
    </row>
    <row r="79" spans="1:17">
      <c r="A79" s="2" t="s">
        <v>510</v>
      </c>
      <c r="B79" s="16" t="s">
        <v>420</v>
      </c>
      <c r="D79" s="14">
        <v>1</v>
      </c>
      <c r="E79" s="14">
        <v>0.9620811009863306</v>
      </c>
      <c r="F79" s="14">
        <v>4.0168390992156883E-2</v>
      </c>
      <c r="G79" s="14">
        <v>1.7918965091254625E-15</v>
      </c>
      <c r="H79" s="14">
        <v>2619.2951316182384</v>
      </c>
      <c r="I79" s="14">
        <v>9.3571087146616847</v>
      </c>
      <c r="J79" s="14">
        <v>0</v>
      </c>
      <c r="K79" s="14">
        <v>24.895196827656253</v>
      </c>
      <c r="L79" s="14">
        <v>4.0168390992156883E-2</v>
      </c>
      <c r="M79" s="14">
        <v>3.2958164809064723E-2</v>
      </c>
      <c r="N79" s="14">
        <v>36.345133292038668</v>
      </c>
      <c r="O79" s="14">
        <v>18177.2915133473</v>
      </c>
      <c r="P79" s="8">
        <v>36.345133292038668</v>
      </c>
      <c r="Q79" s="54">
        <v>5.2256663260508119E-4</v>
      </c>
    </row>
    <row r="80" spans="1:17">
      <c r="A80" s="2" t="s">
        <v>511</v>
      </c>
      <c r="B80" s="16" t="s">
        <v>421</v>
      </c>
      <c r="D80" s="14">
        <v>1</v>
      </c>
      <c r="E80" s="14">
        <v>0.99670181665667856</v>
      </c>
      <c r="F80" s="14">
        <v>0.66561775740879481</v>
      </c>
      <c r="G80" s="14">
        <v>8.6722814799261116E-11</v>
      </c>
      <c r="H80" s="14">
        <v>941.68336713212989</v>
      </c>
      <c r="I80" s="14">
        <v>0.57020480693130671</v>
      </c>
      <c r="J80" s="14">
        <v>0</v>
      </c>
      <c r="K80" s="14">
        <v>1.5023637648925305</v>
      </c>
      <c r="L80" s="14">
        <v>0.66561775740879481</v>
      </c>
      <c r="M80" s="14">
        <v>0.54613936995391621</v>
      </c>
      <c r="N80" s="14">
        <v>2.6912869485346915</v>
      </c>
      <c r="O80" s="14">
        <v>979.78992648353983</v>
      </c>
      <c r="P80" s="8">
        <v>2.691286948534692</v>
      </c>
      <c r="Q80" s="54">
        <v>3.6968418688422761E-4</v>
      </c>
    </row>
    <row r="81" spans="1:17">
      <c r="A81" s="2" t="s">
        <v>512</v>
      </c>
      <c r="B81" s="16" t="s">
        <v>422</v>
      </c>
      <c r="D81" s="14">
        <v>1</v>
      </c>
      <c r="E81" s="14">
        <v>0.99875243388806489</v>
      </c>
      <c r="F81" s="14">
        <v>0.97556824240177209</v>
      </c>
      <c r="G81" s="14">
        <v>3.4427550201185381E-11</v>
      </c>
      <c r="H81" s="14">
        <v>66.969592190029672</v>
      </c>
      <c r="I81" s="14">
        <v>5.0676151858867119E-2</v>
      </c>
      <c r="J81" s="14">
        <v>0</v>
      </c>
      <c r="K81" s="14">
        <v>1.0250436171826165</v>
      </c>
      <c r="L81" s="14">
        <v>0.97556824240177209</v>
      </c>
      <c r="M81" s="14">
        <v>0.80045374289065407</v>
      </c>
      <c r="N81" s="14">
        <v>1.0584334425527668</v>
      </c>
      <c r="O81" s="14">
        <v>279.4793505060581</v>
      </c>
      <c r="P81" s="8">
        <v>1.0584334425527668</v>
      </c>
      <c r="Q81" s="54">
        <v>1.1194472373741808E-4</v>
      </c>
    </row>
    <row r="82" spans="1:17">
      <c r="A82" s="2" t="s">
        <v>513</v>
      </c>
      <c r="B82" s="16" t="s">
        <v>423</v>
      </c>
      <c r="D82" s="14">
        <v>1</v>
      </c>
      <c r="E82" s="14">
        <v>0.99842891929375321</v>
      </c>
      <c r="F82" s="14">
        <v>0.93867036863680076</v>
      </c>
      <c r="G82" s="14">
        <v>1.1028122871249832E-14</v>
      </c>
      <c r="H82" s="14">
        <v>170.87286787220833</v>
      </c>
      <c r="I82" s="14">
        <v>0.12031792905702918</v>
      </c>
      <c r="J82" s="14">
        <v>0</v>
      </c>
      <c r="K82" s="14">
        <v>1.0653367075518387</v>
      </c>
      <c r="L82" s="14">
        <v>0.93867036863680076</v>
      </c>
      <c r="M82" s="14">
        <v>0.77017903746649508</v>
      </c>
      <c r="N82" s="14">
        <v>1.2777380676441263</v>
      </c>
      <c r="O82" s="14">
        <v>511.23577824509141</v>
      </c>
      <c r="P82" s="8">
        <v>1.2777380676441266</v>
      </c>
      <c r="Q82" s="54">
        <v>1.7903187008221598E-4</v>
      </c>
    </row>
    <row r="83" spans="1:17">
      <c r="A83" s="2" t="s">
        <v>514</v>
      </c>
      <c r="B83" s="16" t="s">
        <v>424</v>
      </c>
      <c r="D83" s="14">
        <v>1</v>
      </c>
      <c r="E83" s="14">
        <v>0.92861329343598498</v>
      </c>
      <c r="F83" s="14">
        <v>2.661007320961976E-2</v>
      </c>
      <c r="G83" s="14">
        <v>2.4955974621094146E-11</v>
      </c>
      <c r="H83" s="14">
        <v>2561.8050025586126</v>
      </c>
      <c r="I83" s="14">
        <v>17.582152554814247</v>
      </c>
      <c r="J83" s="14">
        <v>0</v>
      </c>
      <c r="K83" s="14">
        <v>37.579753806858811</v>
      </c>
      <c r="L83" s="14">
        <v>2.6610073209619764E-2</v>
      </c>
      <c r="M83" s="14">
        <v>2.1833565068493016E-2</v>
      </c>
      <c r="N83" s="14">
        <v>68.947773993102714</v>
      </c>
      <c r="O83" s="14">
        <v>35444.671654374244</v>
      </c>
      <c r="P83" s="8">
        <v>68.947773993102714</v>
      </c>
      <c r="Q83" s="54">
        <v>6.2240352549275597E-4</v>
      </c>
    </row>
    <row r="84" spans="1:17">
      <c r="A84" s="2" t="s">
        <v>403</v>
      </c>
      <c r="B84" s="16" t="s">
        <v>404</v>
      </c>
      <c r="D84" s="14">
        <v>1</v>
      </c>
      <c r="E84" s="14">
        <v>0.48793796164369707</v>
      </c>
      <c r="F84" s="14">
        <v>0.43068013612436384</v>
      </c>
      <c r="G84" s="14">
        <v>7.5059095965492789E-46</v>
      </c>
      <c r="H84" s="14">
        <v>132.54850741433592</v>
      </c>
      <c r="I84" s="14">
        <v>283.94355302473843</v>
      </c>
      <c r="J84" s="14">
        <v>0</v>
      </c>
      <c r="K84" s="14">
        <v>2.3219088045222462</v>
      </c>
      <c r="L84" s="14">
        <v>0.43068013612436384</v>
      </c>
      <c r="M84" s="14">
        <v>0.35337305169004052</v>
      </c>
      <c r="N84" s="14">
        <v>5.9569404074934935</v>
      </c>
      <c r="O84" s="14">
        <v>7163.8761034557492</v>
      </c>
      <c r="P84" s="8">
        <v>5.9569404074934935</v>
      </c>
      <c r="Q84" s="54">
        <v>0.34153248055039509</v>
      </c>
    </row>
    <row r="85" spans="1:17">
      <c r="A85" s="2" t="s">
        <v>405</v>
      </c>
      <c r="B85" s="16" t="s">
        <v>406</v>
      </c>
      <c r="D85" s="14">
        <v>1</v>
      </c>
      <c r="E85" s="14">
        <v>0.25284513298135247</v>
      </c>
      <c r="F85" s="14">
        <v>9.5519907113498087E-2</v>
      </c>
      <c r="G85" s="14">
        <v>2.8970834513664175E-10</v>
      </c>
      <c r="H85" s="14">
        <v>425.03549798569065</v>
      </c>
      <c r="I85" s="14">
        <v>205.73615097784494</v>
      </c>
      <c r="J85" s="14">
        <v>0</v>
      </c>
      <c r="K85" s="14">
        <v>10.469021905682821</v>
      </c>
      <c r="L85" s="14">
        <v>9.5519907113498101E-2</v>
      </c>
      <c r="M85" s="14">
        <v>7.8374083786625193E-2</v>
      </c>
      <c r="N85" s="14">
        <v>702.2869550757141</v>
      </c>
      <c r="O85" s="14">
        <v>223931.21849544221</v>
      </c>
      <c r="P85" s="8">
        <v>702.28695507571422</v>
      </c>
      <c r="Q85" s="54">
        <v>1.9856861678823782E-2</v>
      </c>
    </row>
    <row r="86" spans="1:17">
      <c r="A86" s="2" t="s">
        <v>407</v>
      </c>
      <c r="B86" s="16" t="s">
        <v>408</v>
      </c>
      <c r="D86" s="14">
        <v>1</v>
      </c>
      <c r="E86" s="14">
        <v>0.4570417874405534</v>
      </c>
      <c r="F86" s="14">
        <v>1.7957211136915676E-3</v>
      </c>
      <c r="G86" s="14">
        <v>1.4415422536716198E-6</v>
      </c>
      <c r="H86" s="14">
        <v>246.54652690743168</v>
      </c>
      <c r="I86" s="14">
        <v>9697.4167458860538</v>
      </c>
      <c r="J86" s="14">
        <v>0</v>
      </c>
      <c r="K86" s="14">
        <v>556.87934633916632</v>
      </c>
      <c r="L86" s="14">
        <v>1.7957211136915676E-3</v>
      </c>
      <c r="M86" s="14">
        <v>1.4733891737839313E-3</v>
      </c>
      <c r="N86" s="14">
        <v>202.66902420979929</v>
      </c>
      <c r="O86" s="14">
        <v>98454.585270878393</v>
      </c>
      <c r="P86" s="8">
        <v>202.66902420979929</v>
      </c>
      <c r="Q86" s="54">
        <v>0.22659799343458578</v>
      </c>
    </row>
    <row r="87" spans="1:17">
      <c r="A87" s="2" t="s">
        <v>409</v>
      </c>
      <c r="B87" s="16" t="s">
        <v>410</v>
      </c>
      <c r="D87" s="14">
        <v>1</v>
      </c>
      <c r="E87" s="14">
        <v>0.50079981630430925</v>
      </c>
      <c r="F87" s="14">
        <v>6.7233489422615581E-4</v>
      </c>
      <c r="G87" s="14">
        <v>1.9285643721267651E-7</v>
      </c>
      <c r="H87" s="14">
        <v>143.55081144191956</v>
      </c>
      <c r="I87" s="14">
        <v>11832.127000405088</v>
      </c>
      <c r="J87" s="14">
        <v>0</v>
      </c>
      <c r="K87" s="14">
        <v>1487.3540085272241</v>
      </c>
      <c r="L87" s="14">
        <v>6.7233489422615581E-4</v>
      </c>
      <c r="M87" s="14">
        <v>5.5165078071256089E-4</v>
      </c>
      <c r="N87" s="14">
        <v>249.37652617460392</v>
      </c>
      <c r="O87" s="14">
        <v>140820.4305655371</v>
      </c>
      <c r="P87" s="8">
        <v>249.37652617460395</v>
      </c>
      <c r="Q87" s="54">
        <v>0.16491601138448006</v>
      </c>
    </row>
    <row r="88" spans="1:17">
      <c r="A88" s="2" t="s">
        <v>301</v>
      </c>
      <c r="B88" s="16" t="s">
        <v>302</v>
      </c>
      <c r="D88" s="14">
        <v>1</v>
      </c>
      <c r="E88" s="14">
        <v>0.54538494003733384</v>
      </c>
      <c r="F88" s="14">
        <v>2.0289057228559254E-4</v>
      </c>
      <c r="G88" s="14">
        <v>2.5608866422482294E-8</v>
      </c>
      <c r="H88" s="14">
        <v>71.575084126175781</v>
      </c>
      <c r="I88" s="14">
        <v>13684.188183183032</v>
      </c>
      <c r="J88" s="14">
        <v>0</v>
      </c>
      <c r="K88" s="14">
        <v>4928.7652389899195</v>
      </c>
      <c r="L88" s="14">
        <v>2.0289057228559254E-4</v>
      </c>
      <c r="M88" s="14">
        <v>1.664717145603287E-4</v>
      </c>
      <c r="N88" s="14">
        <v>291.2006956845766</v>
      </c>
      <c r="O88" s="14">
        <v>187410.94372867982</v>
      </c>
      <c r="P88" s="8">
        <v>291.2006956845766</v>
      </c>
      <c r="Q88" s="54">
        <v>0.10597880981815933</v>
      </c>
    </row>
    <row r="89" spans="1:17">
      <c r="A89" s="2" t="s">
        <v>303</v>
      </c>
      <c r="B89" s="16" t="s">
        <v>304</v>
      </c>
      <c r="D89" s="14">
        <v>1</v>
      </c>
      <c r="E89" s="14">
        <v>3.3841691103309514E-2</v>
      </c>
      <c r="F89" s="14">
        <v>8.058919236085915E-4</v>
      </c>
      <c r="G89" s="14">
        <v>1.1605158214164514E-15</v>
      </c>
      <c r="H89" s="14">
        <v>26.076264142745359</v>
      </c>
      <c r="I89" s="14">
        <v>627.93264664802348</v>
      </c>
      <c r="J89" s="14">
        <v>0</v>
      </c>
      <c r="K89" s="14">
        <v>1240.8611759282051</v>
      </c>
      <c r="L89" s="14">
        <v>8.058919236085915E-4</v>
      </c>
      <c r="M89" s="14">
        <v>6.6123432332084939E-4</v>
      </c>
      <c r="N89" s="14">
        <v>935.51214572824688</v>
      </c>
      <c r="O89" s="14">
        <v>603695.34275989491</v>
      </c>
      <c r="P89" s="8">
        <v>935.51214572824688</v>
      </c>
      <c r="Q89" s="54">
        <v>6.7938047745645363E-3</v>
      </c>
    </row>
    <row r="90" spans="1:17">
      <c r="A90" s="2" t="s">
        <v>425</v>
      </c>
      <c r="B90" s="16" t="s">
        <v>426</v>
      </c>
      <c r="D90" s="14">
        <v>1</v>
      </c>
      <c r="E90" s="14">
        <v>0.97404618628034545</v>
      </c>
      <c r="F90" s="14">
        <v>0.97430397877802066</v>
      </c>
      <c r="G90" s="14">
        <v>1.774724438165315E-15</v>
      </c>
      <c r="H90" s="14">
        <v>0.25965367639895942</v>
      </c>
      <c r="I90" s="14">
        <v>0.80720041861572966</v>
      </c>
      <c r="J90" s="14">
        <v>0</v>
      </c>
      <c r="K90" s="14">
        <v>1.0263737209142956</v>
      </c>
      <c r="L90" s="14">
        <v>0.97430397877802077</v>
      </c>
      <c r="M90" s="14">
        <v>0.79941641458736601</v>
      </c>
      <c r="N90" s="14">
        <v>0.89170073312535414</v>
      </c>
      <c r="O90" s="14">
        <v>247.23294526633569</v>
      </c>
      <c r="P90" s="8">
        <v>0.89170073312535425</v>
      </c>
      <c r="Q90" s="54">
        <v>1.6903684509912541E-2</v>
      </c>
    </row>
    <row r="91" spans="1:17">
      <c r="A91" s="2" t="s">
        <v>427</v>
      </c>
      <c r="B91" s="16" t="s">
        <v>428</v>
      </c>
      <c r="D91" s="14">
        <v>1</v>
      </c>
      <c r="E91" s="14">
        <v>0.77249362602813465</v>
      </c>
      <c r="F91" s="14">
        <v>0.76529529180617062</v>
      </c>
      <c r="G91" s="14">
        <v>9.7435569789012094E-7</v>
      </c>
      <c r="H91" s="14">
        <v>16.629877170599155</v>
      </c>
      <c r="I91" s="14">
        <v>43.305814600478534</v>
      </c>
      <c r="J91" s="14">
        <v>0</v>
      </c>
      <c r="K91" s="14">
        <v>1.3066851589272208</v>
      </c>
      <c r="L91" s="14">
        <v>0.76529529180617073</v>
      </c>
      <c r="M91" s="14">
        <v>0.62792478692696307</v>
      </c>
      <c r="N91" s="14">
        <v>1.5235436677957297</v>
      </c>
      <c r="O91" s="14">
        <v>251.67417848317658</v>
      </c>
      <c r="P91" s="8">
        <v>1.5235436677957297</v>
      </c>
      <c r="Q91" s="54">
        <v>0.15245659372313333</v>
      </c>
    </row>
    <row r="92" spans="1:17">
      <c r="A92" s="2" t="s">
        <v>429</v>
      </c>
      <c r="B92" s="16" t="s">
        <v>430</v>
      </c>
      <c r="D92" s="14">
        <v>1</v>
      </c>
      <c r="E92" s="14">
        <v>0.38773670510428265</v>
      </c>
      <c r="F92" s="14">
        <v>0.26603811462574339</v>
      </c>
      <c r="G92" s="14">
        <v>1.1727146459975854E-5</v>
      </c>
      <c r="H92" s="14">
        <v>285.8668929412276</v>
      </c>
      <c r="I92" s="14">
        <v>558.49724117640642</v>
      </c>
      <c r="J92" s="14">
        <v>0</v>
      </c>
      <c r="K92" s="14">
        <v>3.7588598964730227</v>
      </c>
      <c r="L92" s="14">
        <v>0.26603811462574339</v>
      </c>
      <c r="M92" s="14">
        <v>0.21828427305042244</v>
      </c>
      <c r="N92" s="14">
        <v>11.282813337237195</v>
      </c>
      <c r="O92" s="14">
        <v>2033.614275903632</v>
      </c>
      <c r="P92" s="8">
        <v>11.282813337237195</v>
      </c>
      <c r="Q92" s="54">
        <v>0.40478185112647258</v>
      </c>
    </row>
    <row r="93" spans="1:17">
      <c r="A93" s="2" t="s">
        <v>431</v>
      </c>
      <c r="B93" s="16" t="s">
        <v>432</v>
      </c>
      <c r="D93" s="14">
        <v>1</v>
      </c>
      <c r="E93" s="14">
        <v>0.99892419992271497</v>
      </c>
      <c r="F93" s="14">
        <v>0.99887729225876987</v>
      </c>
      <c r="G93" s="14">
        <v>1.3386435812655391E-19</v>
      </c>
      <c r="H93" s="14">
        <v>1.2390879693432402</v>
      </c>
      <c r="I93" s="14">
        <v>9.1914848804521762E-3</v>
      </c>
      <c r="J93" s="14">
        <v>0</v>
      </c>
      <c r="K93" s="14">
        <v>1.0011239696306353</v>
      </c>
      <c r="L93" s="14">
        <v>0.99887729225876998</v>
      </c>
      <c r="M93" s="14">
        <v>0.8195788182983208</v>
      </c>
      <c r="N93" s="14">
        <v>0.90300770521655271</v>
      </c>
      <c r="O93" s="14">
        <v>351.17066648166519</v>
      </c>
      <c r="P93" s="8">
        <v>0.90300770521655283</v>
      </c>
      <c r="Q93" s="54">
        <v>1.0322518672380196E-4</v>
      </c>
    </row>
    <row r="94" spans="1:17">
      <c r="A94" s="2" t="s">
        <v>433</v>
      </c>
      <c r="B94" s="16" t="s">
        <v>434</v>
      </c>
      <c r="D94" s="14">
        <v>1</v>
      </c>
      <c r="E94" s="14">
        <v>0.99907126050240913</v>
      </c>
      <c r="F94" s="14">
        <v>0.99945919726475585</v>
      </c>
      <c r="G94" s="14">
        <v>2.8182762219935146E-20</v>
      </c>
      <c r="H94" s="14">
        <v>4.8034698496339104E-3</v>
      </c>
      <c r="I94" s="14">
        <v>6.206007930490513E-5</v>
      </c>
      <c r="J94" s="14">
        <v>0</v>
      </c>
      <c r="K94" s="14">
        <v>1.0005410953610954</v>
      </c>
      <c r="L94" s="14">
        <v>0.99945919726475585</v>
      </c>
      <c r="M94" s="14">
        <v>0.82005627135573222</v>
      </c>
      <c r="N94" s="14">
        <v>0.90497605245187285</v>
      </c>
      <c r="O94" s="14">
        <v>162.2079076414737</v>
      </c>
      <c r="P94" s="8">
        <v>0.90497605245187296</v>
      </c>
      <c r="Q94" s="54">
        <v>2.6014310898762732E-6</v>
      </c>
    </row>
    <row r="95" spans="1:17">
      <c r="A95" s="2" t="s">
        <v>435</v>
      </c>
      <c r="B95" s="16" t="s">
        <v>436</v>
      </c>
      <c r="D95" s="14">
        <v>1</v>
      </c>
      <c r="E95" s="14">
        <v>0.94111861638124872</v>
      </c>
      <c r="F95" s="14">
        <v>0.94098189504333929</v>
      </c>
      <c r="G95" s="14">
        <v>1.5144026232418998E-10</v>
      </c>
      <c r="H95" s="14">
        <v>1.0626348569941897</v>
      </c>
      <c r="I95" s="14">
        <v>3.4125334681108419</v>
      </c>
      <c r="J95" s="14">
        <v>0</v>
      </c>
      <c r="K95" s="14">
        <v>1.0627197029693567</v>
      </c>
      <c r="L95" s="14">
        <v>0.9409818950433394</v>
      </c>
      <c r="M95" s="14">
        <v>0.77207564488305991</v>
      </c>
      <c r="N95" s="14">
        <v>0.9218033079500676</v>
      </c>
      <c r="O95" s="14">
        <v>240.6736256726831</v>
      </c>
      <c r="P95" s="8">
        <v>0.9218033079500676</v>
      </c>
      <c r="Q95" s="54">
        <v>3.9109018730671873E-2</v>
      </c>
    </row>
    <row r="96" spans="1:17">
      <c r="A96" s="2" t="s">
        <v>437</v>
      </c>
      <c r="B96" s="164" t="s">
        <v>438</v>
      </c>
      <c r="D96" s="14">
        <v>1</v>
      </c>
      <c r="E96" s="14">
        <v>0.44182068502768679</v>
      </c>
      <c r="F96" s="14">
        <v>2.5373469805544131E-3</v>
      </c>
      <c r="G96" s="14">
        <v>2.6171483960684624E-9</v>
      </c>
      <c r="H96" s="14">
        <v>295.52883432271119</v>
      </c>
      <c r="I96" s="14">
        <v>8823.827951009911</v>
      </c>
      <c r="J96" s="14">
        <v>0</v>
      </c>
      <c r="K96" s="14">
        <v>394.11243620354151</v>
      </c>
      <c r="L96" s="14">
        <v>2.5373469805544135E-3</v>
      </c>
      <c r="M96" s="14">
        <v>2.0818931975448963E-3</v>
      </c>
      <c r="N96" s="14">
        <v>183.83509390007134</v>
      </c>
      <c r="O96" s="14">
        <v>76530.549590599709</v>
      </c>
      <c r="P96" s="8">
        <v>183.83509390007134</v>
      </c>
      <c r="Q96" s="54">
        <v>0.24995223908758216</v>
      </c>
    </row>
    <row r="97" spans="1:17">
      <c r="A97" s="2" t="s">
        <v>439</v>
      </c>
      <c r="B97" s="16" t="s">
        <v>440</v>
      </c>
      <c r="D97" s="14">
        <v>1</v>
      </c>
      <c r="E97" s="14">
        <v>0.69355458334292219</v>
      </c>
      <c r="F97" s="14">
        <v>0.67919547341850295</v>
      </c>
      <c r="G97" s="14">
        <v>4.9980807744781746E-7</v>
      </c>
      <c r="H97" s="14">
        <v>32.852981024401615</v>
      </c>
      <c r="I97" s="14">
        <v>80.655122214506491</v>
      </c>
      <c r="J97" s="14">
        <v>0</v>
      </c>
      <c r="K97" s="14">
        <v>1.472330189373664</v>
      </c>
      <c r="L97" s="14">
        <v>0.67919547341850306</v>
      </c>
      <c r="M97" s="14">
        <v>0.55727988593988176</v>
      </c>
      <c r="N97" s="14">
        <v>2.1743319595490651</v>
      </c>
      <c r="O97" s="14">
        <v>415.88447390294971</v>
      </c>
      <c r="P97" s="8">
        <v>2.1743319595490651</v>
      </c>
      <c r="Q97" s="54">
        <v>0.20532033000052757</v>
      </c>
    </row>
    <row r="98" spans="1:17">
      <c r="A98" s="2" t="s">
        <v>441</v>
      </c>
      <c r="B98" s="16" t="s">
        <v>442</v>
      </c>
      <c r="D98" s="14">
        <v>1</v>
      </c>
      <c r="E98" s="14">
        <v>0.75881091851601046</v>
      </c>
      <c r="F98" s="14">
        <v>0.75058139001086299</v>
      </c>
      <c r="G98" s="14">
        <v>3.2407555984761984E-19</v>
      </c>
      <c r="H98" s="14">
        <v>18.950374294565215</v>
      </c>
      <c r="I98" s="14">
        <v>48.806196379725698</v>
      </c>
      <c r="J98" s="14">
        <v>0</v>
      </c>
      <c r="K98" s="14">
        <v>1.3323005516903732</v>
      </c>
      <c r="L98" s="14">
        <v>0.75058139001086299</v>
      </c>
      <c r="M98" s="14">
        <v>0.61585203050391313</v>
      </c>
      <c r="N98" s="14">
        <v>1.6172822028743208</v>
      </c>
      <c r="O98" s="14">
        <v>634.71857334005585</v>
      </c>
      <c r="P98" s="8">
        <v>1.6172822028743208</v>
      </c>
      <c r="Q98" s="54">
        <v>0.16168694787404003</v>
      </c>
    </row>
    <row r="99" spans="1:17">
      <c r="A99" s="2" t="s">
        <v>443</v>
      </c>
      <c r="B99" s="16" t="s">
        <v>444</v>
      </c>
      <c r="D99" s="14">
        <v>1</v>
      </c>
      <c r="E99" s="14">
        <v>0.88030681804308897</v>
      </c>
      <c r="F99" s="14">
        <v>0.87868024769493114</v>
      </c>
      <c r="G99" s="14">
        <v>4.7328130679840189E-31</v>
      </c>
      <c r="H99" s="14">
        <v>4.2588354829513539</v>
      </c>
      <c r="I99" s="14">
        <v>12.386483673620541</v>
      </c>
      <c r="J99" s="14">
        <v>0</v>
      </c>
      <c r="K99" s="14">
        <v>1.1380704216617259</v>
      </c>
      <c r="L99" s="14">
        <v>0.87868024769493114</v>
      </c>
      <c r="M99" s="14">
        <v>0.72095714323369098</v>
      </c>
      <c r="N99" s="14">
        <v>1.0270027270004418</v>
      </c>
      <c r="O99" s="14">
        <v>802.02750962372511</v>
      </c>
      <c r="P99" s="8">
        <v>1.0270027270004418</v>
      </c>
      <c r="Q99" s="54">
        <v>8.0084419989693761E-2</v>
      </c>
    </row>
    <row r="100" spans="1:17">
      <c r="A100" s="2" t="s">
        <v>445</v>
      </c>
      <c r="B100" s="16" t="s">
        <v>446</v>
      </c>
      <c r="D100" s="14">
        <v>1</v>
      </c>
      <c r="E100" s="14">
        <v>0.40154019111305816</v>
      </c>
      <c r="F100" s="14">
        <v>1.4996063913651861E-2</v>
      </c>
      <c r="G100" s="14">
        <v>2.4703914206828681E-9</v>
      </c>
      <c r="H100" s="14">
        <v>668.09355581506145</v>
      </c>
      <c r="I100" s="14">
        <v>3986.5246470260836</v>
      </c>
      <c r="J100" s="14">
        <v>0</v>
      </c>
      <c r="K100" s="14">
        <v>66.684164975426455</v>
      </c>
      <c r="L100" s="14">
        <v>1.4996063913651861E-2</v>
      </c>
      <c r="M100" s="14">
        <v>1.2304270441151352E-2</v>
      </c>
      <c r="N100" s="14">
        <v>81.566161926696978</v>
      </c>
      <c r="O100" s="14">
        <v>24991.872014339955</v>
      </c>
      <c r="P100" s="8">
        <v>81.566161926696992</v>
      </c>
      <c r="Q100" s="54">
        <v>0.34769180411727507</v>
      </c>
    </row>
    <row r="101" spans="1:17">
      <c r="A101" s="2" t="s">
        <v>447</v>
      </c>
      <c r="B101" s="16" t="s">
        <v>448</v>
      </c>
      <c r="D101" s="14">
        <v>1</v>
      </c>
      <c r="E101" s="14">
        <v>0.41838261996895715</v>
      </c>
      <c r="F101" s="14">
        <v>0.32531954861661527</v>
      </c>
      <c r="G101" s="14">
        <v>9.0244064805631365E-11</v>
      </c>
      <c r="H101" s="14">
        <v>217.36527304119574</v>
      </c>
      <c r="I101" s="14">
        <v>439.79200679895519</v>
      </c>
      <c r="J101" s="14">
        <v>0</v>
      </c>
      <c r="K101" s="14">
        <v>3.0739007362219311</v>
      </c>
      <c r="L101" s="14">
        <v>0.32531954861661527</v>
      </c>
      <c r="M101" s="14">
        <v>0.26692468963993282</v>
      </c>
      <c r="N101" s="14">
        <v>8.9622936601864271</v>
      </c>
      <c r="O101" s="14">
        <v>3018.6797506239923</v>
      </c>
      <c r="P101" s="8">
        <v>8.9622936601864271</v>
      </c>
      <c r="Q101" s="54">
        <v>0.38640908775714722</v>
      </c>
    </row>
    <row r="102" spans="1:17">
      <c r="A102" s="2" t="s">
        <v>449</v>
      </c>
      <c r="B102" s="16" t="s">
        <v>450</v>
      </c>
      <c r="D102" s="14">
        <v>1</v>
      </c>
      <c r="E102" s="14">
        <v>0.37057946386192808</v>
      </c>
      <c r="F102" s="14">
        <v>0.12495809657819094</v>
      </c>
      <c r="G102" s="14">
        <v>6.9912187145366538E-6</v>
      </c>
      <c r="H102" s="14">
        <v>587.11665611338367</v>
      </c>
      <c r="I102" s="14">
        <v>1028.9199121361655</v>
      </c>
      <c r="J102" s="14">
        <v>0</v>
      </c>
      <c r="K102" s="14">
        <v>8.0026827183163967</v>
      </c>
      <c r="L102" s="14">
        <v>0.12495809657819094</v>
      </c>
      <c r="M102" s="14">
        <v>0.10252811824240567</v>
      </c>
      <c r="N102" s="14">
        <v>20.652964880190911</v>
      </c>
      <c r="O102" s="14">
        <v>9605.4874361279908</v>
      </c>
      <c r="P102" s="8">
        <v>20.652964880190911</v>
      </c>
      <c r="Q102" s="54">
        <v>0.41018669753369075</v>
      </c>
    </row>
    <row r="103" spans="1:17">
      <c r="A103" s="2" t="s">
        <v>451</v>
      </c>
      <c r="B103" s="16" t="s">
        <v>452</v>
      </c>
      <c r="D103" s="14">
        <v>1</v>
      </c>
      <c r="E103" s="14">
        <v>0.99886743370112663</v>
      </c>
      <c r="F103" s="14">
        <v>0.98769954666266346</v>
      </c>
      <c r="G103" s="14">
        <v>5.3767030674156418E-21</v>
      </c>
      <c r="H103" s="14">
        <v>32.832568153085255</v>
      </c>
      <c r="I103" s="14">
        <v>2.9501335597889287E-2</v>
      </c>
      <c r="J103" s="14">
        <v>0</v>
      </c>
      <c r="K103" s="14">
        <v>1.0124536387395322</v>
      </c>
      <c r="L103" s="14">
        <v>0.98769954666266346</v>
      </c>
      <c r="M103" s="14">
        <v>0.81040747803671542</v>
      </c>
      <c r="N103" s="14">
        <v>0.98145399211105921</v>
      </c>
      <c r="O103" s="14">
        <v>324.6060933508117</v>
      </c>
      <c r="P103" s="8">
        <v>0.98145399211105921</v>
      </c>
      <c r="Q103" s="54">
        <v>8.7426215281584239E-5</v>
      </c>
    </row>
    <row r="104" spans="1:17">
      <c r="A104" s="2" t="s">
        <v>453</v>
      </c>
      <c r="B104" s="16" t="s">
        <v>454</v>
      </c>
      <c r="D104" s="14">
        <v>1</v>
      </c>
      <c r="E104" s="14">
        <v>0.98619474767246618</v>
      </c>
      <c r="F104" s="14">
        <v>0.10000898512993135</v>
      </c>
      <c r="G104" s="14">
        <v>1.1249726984151393E-21</v>
      </c>
      <c r="H104" s="14">
        <v>2516.1644390250294</v>
      </c>
      <c r="I104" s="14">
        <v>24.669837335041194</v>
      </c>
      <c r="J104" s="14">
        <v>0</v>
      </c>
      <c r="K104" s="14">
        <v>9.999101567732172</v>
      </c>
      <c r="L104" s="14">
        <v>0.10000898512993135</v>
      </c>
      <c r="M104" s="14">
        <v>8.2057372299108672E-2</v>
      </c>
      <c r="N104" s="14">
        <v>7.4209581344194282</v>
      </c>
      <c r="O104" s="14">
        <v>3665.9533184031975</v>
      </c>
      <c r="P104" s="8">
        <v>7.4209581344194291</v>
      </c>
      <c r="Q104" s="54">
        <v>4.1991973520559859E-3</v>
      </c>
    </row>
    <row r="105" spans="1:17">
      <c r="A105" s="2" t="s">
        <v>455</v>
      </c>
      <c r="B105" s="164">
        <v>354656</v>
      </c>
      <c r="D105" s="14">
        <v>1</v>
      </c>
      <c r="E105" s="14">
        <v>0.96907738131247456</v>
      </c>
      <c r="F105" s="14">
        <v>0.96931939550718182</v>
      </c>
      <c r="G105" s="14">
        <v>4.0829624936622484E-12</v>
      </c>
      <c r="H105" s="14">
        <v>0.27844979519850016</v>
      </c>
      <c r="I105" s="14">
        <v>0.99725006564750562</v>
      </c>
      <c r="J105" s="14">
        <v>0</v>
      </c>
      <c r="K105" s="14">
        <v>1.0316516977118413</v>
      </c>
      <c r="L105" s="14">
        <v>0.96931939550718194</v>
      </c>
      <c r="M105" s="14">
        <v>0.79532656401364277</v>
      </c>
      <c r="N105" s="14">
        <v>0.89065333592644658</v>
      </c>
      <c r="O105" s="14">
        <v>175.627931311336</v>
      </c>
      <c r="P105" s="8">
        <v>0.89065333592644658</v>
      </c>
      <c r="Q105" s="54">
        <v>2.0258350162250739E-2</v>
      </c>
    </row>
    <row r="106" spans="1:17">
      <c r="A106" s="2" t="s">
        <v>457</v>
      </c>
      <c r="B106" s="16" t="s">
        <v>458</v>
      </c>
      <c r="D106" s="14">
        <v>1</v>
      </c>
      <c r="E106" s="14">
        <v>0.93838941873865123</v>
      </c>
      <c r="F106" s="14">
        <v>0.93820981438317974</v>
      </c>
      <c r="G106" s="14">
        <v>6.0732921099769883E-12</v>
      </c>
      <c r="H106" s="14">
        <v>1.1521823217244613</v>
      </c>
      <c r="I106" s="14">
        <v>3.6834800377668615</v>
      </c>
      <c r="J106" s="14">
        <v>0</v>
      </c>
      <c r="K106" s="14">
        <v>1.0658596666433764</v>
      </c>
      <c r="L106" s="14">
        <v>0.93820981438317974</v>
      </c>
      <c r="M106" s="14">
        <v>0.76980115270139904</v>
      </c>
      <c r="N106" s="14">
        <v>0.92299156993521136</v>
      </c>
      <c r="O106" s="14">
        <v>147.84478967222216</v>
      </c>
      <c r="P106" s="8">
        <v>0.92299156993521136</v>
      </c>
      <c r="Q106" s="54">
        <v>4.0950416247938104E-2</v>
      </c>
    </row>
    <row r="107" spans="1:17">
      <c r="A107" s="2" t="s">
        <v>459</v>
      </c>
      <c r="B107" s="16" t="s">
        <v>460</v>
      </c>
      <c r="D107" s="14">
        <v>1</v>
      </c>
      <c r="E107" s="14">
        <v>0.41510077711645682</v>
      </c>
      <c r="F107" s="14">
        <v>8.3261253947801983E-2</v>
      </c>
      <c r="G107" s="14">
        <v>2.0247872656982306E-21</v>
      </c>
      <c r="H107" s="14">
        <v>802.74949571819286</v>
      </c>
      <c r="I107" s="14">
        <v>1300.8578726948649</v>
      </c>
      <c r="J107" s="14">
        <v>0</v>
      </c>
      <c r="K107" s="14">
        <v>12.010388417005087</v>
      </c>
      <c r="L107" s="14">
        <v>8.3261253947801983E-2</v>
      </c>
      <c r="M107" s="14">
        <v>6.8315858864171533E-2</v>
      </c>
      <c r="N107" s="14">
        <v>39.6176559653167</v>
      </c>
      <c r="O107" s="14">
        <v>21054.010909648252</v>
      </c>
      <c r="P107" s="8">
        <v>39.617655965316708</v>
      </c>
      <c r="Q107" s="54">
        <v>0.36747673547871779</v>
      </c>
    </row>
    <row r="108" spans="1:17">
      <c r="A108" s="2" t="s">
        <v>461</v>
      </c>
      <c r="B108" s="16" t="s">
        <v>462</v>
      </c>
      <c r="D108" s="14">
        <v>1</v>
      </c>
      <c r="E108" s="14">
        <v>0.999022743120488</v>
      </c>
      <c r="F108" s="14">
        <v>0.99941145290069788</v>
      </c>
      <c r="G108" s="14">
        <v>1.2176464455589548E-11</v>
      </c>
      <c r="H108" s="14">
        <v>2.4880843140092672E-3</v>
      </c>
      <c r="I108" s="14">
        <v>6.6771063009095138E-4</v>
      </c>
      <c r="J108" s="14">
        <v>0</v>
      </c>
      <c r="K108" s="14">
        <v>1.0005888936909757</v>
      </c>
      <c r="L108" s="14">
        <v>0.99941145290069799</v>
      </c>
      <c r="M108" s="14">
        <v>0.82001709710502269</v>
      </c>
      <c r="N108" s="14">
        <v>0.90206458217417507</v>
      </c>
      <c r="O108" s="14">
        <v>116.51066143361645</v>
      </c>
      <c r="P108" s="8">
        <v>0.90206458217417507</v>
      </c>
      <c r="Q108" s="54">
        <v>3.7358401937353216E-5</v>
      </c>
    </row>
    <row r="109" spans="1:17">
      <c r="A109" s="2" t="s">
        <v>463</v>
      </c>
      <c r="B109" s="16" t="s">
        <v>464</v>
      </c>
      <c r="D109" s="14">
        <v>1</v>
      </c>
      <c r="E109" s="14">
        <v>0.96942505946874458</v>
      </c>
      <c r="F109" s="14">
        <v>0.96348778541127766</v>
      </c>
      <c r="G109" s="14">
        <v>3.2547712822901016E-14</v>
      </c>
      <c r="H109" s="14">
        <v>17.092861808015169</v>
      </c>
      <c r="I109" s="14">
        <v>7.8665167684119899</v>
      </c>
      <c r="J109" s="14">
        <v>0</v>
      </c>
      <c r="K109" s="14">
        <v>1.0378958769810833</v>
      </c>
      <c r="L109" s="14">
        <v>0.96348778541127778</v>
      </c>
      <c r="M109" s="14">
        <v>0.79054172792995336</v>
      </c>
      <c r="N109" s="14">
        <v>11.328979549759618</v>
      </c>
      <c r="O109" s="14">
        <v>3396.4280690179335</v>
      </c>
      <c r="P109" s="8">
        <v>11.328979549759618</v>
      </c>
      <c r="Q109" s="54">
        <v>1.2822788314218453E-2</v>
      </c>
    </row>
    <row r="110" spans="1:17">
      <c r="A110" s="2" t="s">
        <v>465</v>
      </c>
      <c r="B110" s="16" t="s">
        <v>466</v>
      </c>
      <c r="D110" s="14">
        <v>1</v>
      </c>
      <c r="E110" s="14">
        <v>0.99285376276984094</v>
      </c>
      <c r="F110" s="14">
        <v>0.99321428284590918</v>
      </c>
      <c r="G110" s="14">
        <v>2.3123286113396676E-13</v>
      </c>
      <c r="H110" s="14">
        <v>6.3638942790782874E-2</v>
      </c>
      <c r="I110" s="14">
        <v>0.1127330085481149</v>
      </c>
      <c r="J110" s="14">
        <v>0</v>
      </c>
      <c r="K110" s="14">
        <v>1.0068320777009443</v>
      </c>
      <c r="L110" s="14">
        <v>0.99321428284590918</v>
      </c>
      <c r="M110" s="14">
        <v>0.81493231907506847</v>
      </c>
      <c r="N110" s="14">
        <v>0.89568180467981118</v>
      </c>
      <c r="O110" s="14">
        <v>213.31557860254384</v>
      </c>
      <c r="P110" s="8">
        <v>0.89568180467981118</v>
      </c>
      <c r="Q110" s="54">
        <v>4.2058240233515546E-3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0.99907554308036339</v>
      </c>
      <c r="F111" s="14">
        <v>0.9994635817879387</v>
      </c>
      <c r="G111" s="14">
        <v>4.1093114781236548E-32</v>
      </c>
      <c r="H111" s="14">
        <v>4.5215462136976598E-3</v>
      </c>
      <c r="I111" s="14">
        <v>3.4587608778421621E-5</v>
      </c>
      <c r="J111" s="14">
        <v>0</v>
      </c>
      <c r="K111" s="14">
        <v>1.0005367061109938</v>
      </c>
      <c r="L111" s="14">
        <v>0.9994635817879387</v>
      </c>
      <c r="M111" s="14">
        <v>0.82005986885700377</v>
      </c>
      <c r="N111" s="14">
        <v>0.89908190295282076</v>
      </c>
      <c r="O111" s="14">
        <v>413.96428057656726</v>
      </c>
      <c r="P111" s="8">
        <v>0.89908190295282087</v>
      </c>
      <c r="Q111" s="54">
        <v>3.7767700026498782E-6</v>
      </c>
    </row>
    <row r="112" spans="1:17">
      <c r="A112" s="2" t="s">
        <v>469</v>
      </c>
      <c r="B112" s="16" t="s">
        <v>470</v>
      </c>
      <c r="D112" s="14">
        <v>1</v>
      </c>
      <c r="E112" s="14">
        <v>0.99101577371076943</v>
      </c>
      <c r="F112" s="14">
        <v>0.99139092814386631</v>
      </c>
      <c r="G112" s="14">
        <v>2.5977863363745521E-15</v>
      </c>
      <c r="H112" s="14">
        <v>2.194698872429178E-2</v>
      </c>
      <c r="I112" s="14">
        <v>9.4936258368435417E-2</v>
      </c>
      <c r="J112" s="14">
        <v>0</v>
      </c>
      <c r="K112" s="14">
        <v>1.0086838315862463</v>
      </c>
      <c r="L112" s="14">
        <v>0.99139092814386631</v>
      </c>
      <c r="M112" s="14">
        <v>0.81343625654204232</v>
      </c>
      <c r="N112" s="14">
        <v>0.89354977427739313</v>
      </c>
      <c r="O112" s="14">
        <v>183.40109117043494</v>
      </c>
      <c r="P112" s="8">
        <v>0.89354977427739324</v>
      </c>
      <c r="Q112" s="54">
        <v>5.4479374332875316E-3</v>
      </c>
    </row>
    <row r="113" spans="1:17">
      <c r="A113" s="2" t="s">
        <v>471</v>
      </c>
      <c r="B113" s="16" t="s">
        <v>472</v>
      </c>
      <c r="D113" s="14">
        <v>1</v>
      </c>
      <c r="E113" s="14">
        <v>0.95368315380472568</v>
      </c>
      <c r="F113" s="14">
        <v>0.95375487334258857</v>
      </c>
      <c r="G113" s="14">
        <v>3.2057175717297592E-11</v>
      </c>
      <c r="H113" s="14">
        <v>0.62531201008198467</v>
      </c>
      <c r="I113" s="14">
        <v>2.1074337982555225</v>
      </c>
      <c r="J113" s="14">
        <v>0</v>
      </c>
      <c r="K113" s="14">
        <v>1.0484874341929575</v>
      </c>
      <c r="L113" s="14">
        <v>0.95375487334258868</v>
      </c>
      <c r="M113" s="14">
        <v>0.78255587357759393</v>
      </c>
      <c r="N113" s="14">
        <v>0.89768844087491761</v>
      </c>
      <c r="O113" s="14">
        <v>135.69458472265254</v>
      </c>
      <c r="P113" s="8">
        <v>0.89768844087491761</v>
      </c>
      <c r="Q113" s="54">
        <v>3.0644598863399271E-2</v>
      </c>
    </row>
    <row r="114" spans="1:17">
      <c r="A114" s="2" t="s">
        <v>473</v>
      </c>
      <c r="B114" s="16" t="s">
        <v>474</v>
      </c>
      <c r="D114" s="14">
        <v>1</v>
      </c>
      <c r="E114" s="14">
        <v>0.99490003977754271</v>
      </c>
      <c r="F114" s="14">
        <v>0.99528466054236653</v>
      </c>
      <c r="G114" s="14">
        <v>2.5498032485330932E-18</v>
      </c>
      <c r="H114" s="14">
        <v>6.3900949405546583E-3</v>
      </c>
      <c r="I114" s="14">
        <v>2.9808322056260359E-2</v>
      </c>
      <c r="J114" s="14">
        <v>0</v>
      </c>
      <c r="K114" s="14">
        <v>1.0047376792234133</v>
      </c>
      <c r="L114" s="14">
        <v>0.99528466054236653</v>
      </c>
      <c r="M114" s="14">
        <v>0.81663106397501173</v>
      </c>
      <c r="N114" s="14">
        <v>0.89584617684580681</v>
      </c>
      <c r="O114" s="14">
        <v>304.01435857439304</v>
      </c>
      <c r="P114" s="8">
        <v>0.89584617684580692</v>
      </c>
      <c r="Q114" s="54">
        <v>2.8244736650613628E-3</v>
      </c>
    </row>
    <row r="115" spans="1:17">
      <c r="A115" s="2" t="s">
        <v>475</v>
      </c>
      <c r="B115" s="16" t="s">
        <v>476</v>
      </c>
      <c r="D115" s="14">
        <v>1</v>
      </c>
      <c r="E115" s="14">
        <v>0.99898944151628588</v>
      </c>
      <c r="F115" s="14">
        <v>0.99657530621230894</v>
      </c>
      <c r="G115" s="14">
        <v>1.3519608439104417E-14</v>
      </c>
      <c r="H115" s="14">
        <v>7.964712828736217</v>
      </c>
      <c r="I115" s="14">
        <v>8.8331496926181922E-3</v>
      </c>
      <c r="J115" s="14">
        <v>0</v>
      </c>
      <c r="K115" s="14">
        <v>1.0034364626198771</v>
      </c>
      <c r="L115" s="14">
        <v>0.99657530621230894</v>
      </c>
      <c r="M115" s="14">
        <v>0.81769003874719948</v>
      </c>
      <c r="N115" s="14">
        <v>0.92120256304801595</v>
      </c>
      <c r="O115" s="14">
        <v>176.99064843841529</v>
      </c>
      <c r="P115" s="8">
        <v>0.92120256304801595</v>
      </c>
      <c r="Q115" s="54">
        <v>4.6635387566987641E-5</v>
      </c>
    </row>
    <row r="116" spans="1:17">
      <c r="A116" s="2" t="s">
        <v>477</v>
      </c>
      <c r="B116" s="16" t="s">
        <v>478</v>
      </c>
      <c r="D116" s="14">
        <v>1</v>
      </c>
      <c r="E116" s="14">
        <v>0.61909906052234065</v>
      </c>
      <c r="F116" s="14">
        <v>0.3809736486883154</v>
      </c>
      <c r="G116" s="14">
        <v>1.0584596254363796E-18</v>
      </c>
      <c r="H116" s="14">
        <v>661.20760968196396</v>
      </c>
      <c r="I116" s="14">
        <v>148.28013712441401</v>
      </c>
      <c r="J116" s="14">
        <v>0</v>
      </c>
      <c r="K116" s="14">
        <v>2.6248534601880729</v>
      </c>
      <c r="L116" s="14">
        <v>0.3809736486883154</v>
      </c>
      <c r="M116" s="14">
        <v>0.31258887874876279</v>
      </c>
      <c r="N116" s="14">
        <v>319.47495719010499</v>
      </c>
      <c r="O116" s="14">
        <v>145233.31553862174</v>
      </c>
      <c r="P116" s="8">
        <v>319.47495719010499</v>
      </c>
      <c r="Q116" s="54">
        <v>3.6718334929826249E-2</v>
      </c>
    </row>
    <row r="117" spans="1:17">
      <c r="A117" s="2" t="s">
        <v>291</v>
      </c>
      <c r="B117" s="16" t="s">
        <v>479</v>
      </c>
      <c r="D117" s="14">
        <v>1</v>
      </c>
      <c r="E117" s="14">
        <v>0.61005128911336548</v>
      </c>
      <c r="F117" s="14">
        <v>0.58395643304185541</v>
      </c>
      <c r="G117" s="14">
        <v>4.0270677381067019E-12</v>
      </c>
      <c r="H117" s="14">
        <v>59.808160769370673</v>
      </c>
      <c r="I117" s="14">
        <v>138.93690427031152</v>
      </c>
      <c r="J117" s="14">
        <v>0</v>
      </c>
      <c r="K117" s="14">
        <v>1.7124565180161726</v>
      </c>
      <c r="L117" s="14">
        <v>0.58395643304185541</v>
      </c>
      <c r="M117" s="14">
        <v>0.47913625331084236</v>
      </c>
      <c r="N117" s="14">
        <v>3.2313332172332712</v>
      </c>
      <c r="O117" s="14">
        <v>996.31697086953443</v>
      </c>
      <c r="P117" s="8">
        <v>3.2313332172332712</v>
      </c>
      <c r="Q117" s="54">
        <v>0.26098624438392548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2.6124324805489078E-8</v>
      </c>
      <c r="E2" s="20">
        <v>0.9758027901327988</v>
      </c>
      <c r="F2" s="20">
        <v>5.983003950837662E-5</v>
      </c>
      <c r="G2" s="20">
        <v>2.4011254171201397E-5</v>
      </c>
      <c r="H2" s="20">
        <v>0</v>
      </c>
      <c r="I2" s="20">
        <v>0.97571894883911925</v>
      </c>
      <c r="J2" s="20">
        <v>9.0943667296953406E-4</v>
      </c>
      <c r="K2" s="20">
        <v>2.3287747069906824E-2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2.506377202418087E-8</v>
      </c>
      <c r="E3" s="20">
        <v>0.61693437893467706</v>
      </c>
      <c r="F3" s="20">
        <v>2.327822034747341E-2</v>
      </c>
      <c r="G3" s="20">
        <v>5.6550697723093289E-3</v>
      </c>
      <c r="H3" s="20">
        <v>0</v>
      </c>
      <c r="I3" s="20">
        <v>0.58800108881489432</v>
      </c>
      <c r="J3" s="20">
        <v>5.0144158051755264E-3</v>
      </c>
      <c r="K3" s="20">
        <v>0.37805118019637551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1.3547551007656308E-17</v>
      </c>
      <c r="E4" s="20">
        <v>0.99893848084106207</v>
      </c>
      <c r="F4" s="20">
        <v>4.2008290639336526E-5</v>
      </c>
      <c r="G4" s="20">
        <v>4.6262665500758756E-8</v>
      </c>
      <c r="H4" s="20">
        <v>0</v>
      </c>
      <c r="I4" s="20">
        <v>0.99889642628775721</v>
      </c>
      <c r="J4" s="20">
        <v>1.0409534690707059E-3</v>
      </c>
      <c r="K4" s="20">
        <v>2.0565689867155393E-5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3.8010687685640209E-10</v>
      </c>
      <c r="E5" s="20">
        <v>0.99828560769002794</v>
      </c>
      <c r="F5" s="20">
        <v>7.5890708443542121E-2</v>
      </c>
      <c r="G5" s="20">
        <v>6.0234855488122772E-6</v>
      </c>
      <c r="H5" s="20">
        <v>0</v>
      </c>
      <c r="I5" s="20">
        <v>0.92238887576093698</v>
      </c>
      <c r="J5" s="20">
        <v>1.3986294651730329E-3</v>
      </c>
      <c r="K5" s="20">
        <v>3.1576246469230338E-4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4.7123632389700294E-11</v>
      </c>
      <c r="E6" s="20">
        <v>0.99626396971028353</v>
      </c>
      <c r="F6" s="20">
        <v>0.17121706644729637</v>
      </c>
      <c r="G6" s="20">
        <v>4.9652323665880025E-5</v>
      </c>
      <c r="H6" s="20">
        <v>0</v>
      </c>
      <c r="I6" s="20">
        <v>0.8249972509393213</v>
      </c>
      <c r="J6" s="20">
        <v>1.9468577675298086E-3</v>
      </c>
      <c r="K6" s="20">
        <v>1.7891724750630055E-3</v>
      </c>
      <c r="L6" s="20">
        <v>0</v>
      </c>
    </row>
    <row r="7" spans="1:14">
      <c r="A7" s="2" t="s">
        <v>366</v>
      </c>
      <c r="B7" s="3" t="s">
        <v>305</v>
      </c>
      <c r="D7" s="20">
        <v>8.0486218117074685E-7</v>
      </c>
      <c r="E7" s="20">
        <v>0.97780915075829156</v>
      </c>
      <c r="F7" s="20">
        <v>0.44047078659918426</v>
      </c>
      <c r="G7" s="20">
        <v>8.9662782800635987E-4</v>
      </c>
      <c r="H7" s="20">
        <v>0</v>
      </c>
      <c r="I7" s="20">
        <v>0.53644173633110093</v>
      </c>
      <c r="J7" s="20">
        <v>3.6835208305334285E-3</v>
      </c>
      <c r="K7" s="20">
        <v>1.8506523548993899E-2</v>
      </c>
      <c r="L7" s="20">
        <v>0</v>
      </c>
    </row>
    <row r="8" spans="1:14">
      <c r="A8" s="2" t="s">
        <v>289</v>
      </c>
      <c r="B8" s="3" t="s">
        <v>290</v>
      </c>
      <c r="D8" s="20">
        <v>3.728900396370304E-17</v>
      </c>
      <c r="E8" s="20">
        <v>0.99652360169084497</v>
      </c>
      <c r="F8" s="20">
        <v>0.24936061432313078</v>
      </c>
      <c r="G8" s="20">
        <v>3.7918613094713139E-5</v>
      </c>
      <c r="H8" s="20">
        <v>0</v>
      </c>
      <c r="I8" s="20">
        <v>0.74712506875461948</v>
      </c>
      <c r="J8" s="20">
        <v>2.3492914965204028E-3</v>
      </c>
      <c r="K8" s="20">
        <v>1.1271068126346092E-3</v>
      </c>
      <c r="L8" s="20">
        <v>0</v>
      </c>
    </row>
    <row r="9" spans="1:14">
      <c r="A9" s="2" t="s">
        <v>291</v>
      </c>
      <c r="B9" s="3" t="s">
        <v>292</v>
      </c>
      <c r="D9" s="20">
        <v>7.3506387597497212E-13</v>
      </c>
      <c r="E9" s="20">
        <v>0.99739207872323066</v>
      </c>
      <c r="F9" s="20">
        <v>5.866049125278306E-2</v>
      </c>
      <c r="G9" s="20">
        <v>2.2234002197560944E-5</v>
      </c>
      <c r="H9" s="20">
        <v>0</v>
      </c>
      <c r="I9" s="20">
        <v>0.93870935346825002</v>
      </c>
      <c r="J9" s="20">
        <v>1.3049637018709211E-3</v>
      </c>
      <c r="K9" s="20">
        <v>1.302957574163418E-3</v>
      </c>
      <c r="L9" s="20">
        <v>0</v>
      </c>
    </row>
    <row r="10" spans="1:14">
      <c r="A10" s="2" t="s">
        <v>367</v>
      </c>
      <c r="B10" s="3" t="s">
        <v>368</v>
      </c>
      <c r="D10" s="20">
        <v>6.7361176620595964E-5</v>
      </c>
      <c r="E10" s="20">
        <v>0.45505957990769008</v>
      </c>
      <c r="F10" s="20">
        <v>0.34640478259355989</v>
      </c>
      <c r="G10" s="20">
        <v>6.0503351823868561E-2</v>
      </c>
      <c r="H10" s="20">
        <v>0</v>
      </c>
      <c r="I10" s="20">
        <v>4.8151445490261603E-2</v>
      </c>
      <c r="J10" s="20">
        <v>3.2846998894718218E-2</v>
      </c>
      <c r="K10" s="20">
        <v>0.51202606002097106</v>
      </c>
      <c r="L10" s="20">
        <v>0</v>
      </c>
    </row>
    <row r="11" spans="1:14">
      <c r="A11" s="2" t="s">
        <v>369</v>
      </c>
      <c r="B11" s="3" t="s">
        <v>370</v>
      </c>
      <c r="D11" s="20">
        <v>3.7211571204998403E-11</v>
      </c>
      <c r="E11" s="20">
        <v>0.60740572989671548</v>
      </c>
      <c r="F11" s="20">
        <v>0.3487583371799039</v>
      </c>
      <c r="G11" s="20">
        <v>0.25481146824048473</v>
      </c>
      <c r="H11" s="20">
        <v>0</v>
      </c>
      <c r="I11" s="20">
        <v>3.8359244763268561E-3</v>
      </c>
      <c r="J11" s="20">
        <v>0.28179635176242895</v>
      </c>
      <c r="K11" s="20">
        <v>0.11079791830364412</v>
      </c>
      <c r="L11" s="20">
        <v>0</v>
      </c>
    </row>
    <row r="12" spans="1:14">
      <c r="A12" s="2" t="s">
        <v>371</v>
      </c>
      <c r="B12" s="3" t="s">
        <v>372</v>
      </c>
      <c r="D12" s="20">
        <v>7.4655765224241749E-2</v>
      </c>
      <c r="E12" s="20">
        <v>0.92031716132390684</v>
      </c>
      <c r="F12" s="20">
        <v>2.5778576987304638E-6</v>
      </c>
      <c r="G12" s="20">
        <v>1.2777528402495733E-6</v>
      </c>
      <c r="H12" s="20">
        <v>0</v>
      </c>
      <c r="I12" s="20">
        <v>0.92031330571336789</v>
      </c>
      <c r="J12" s="20">
        <v>8.4723510911919491E-4</v>
      </c>
      <c r="K12" s="20">
        <v>4.1798383427321568E-3</v>
      </c>
      <c r="L12" s="20">
        <v>0</v>
      </c>
    </row>
    <row r="13" spans="1:14">
      <c r="A13" s="2" t="s">
        <v>293</v>
      </c>
      <c r="B13" s="3" t="s">
        <v>294</v>
      </c>
      <c r="D13" s="20">
        <v>2.074683973389418E-8</v>
      </c>
      <c r="E13" s="20">
        <v>0.64414643472222233</v>
      </c>
      <c r="F13" s="20">
        <v>1.6642791292838067E-2</v>
      </c>
      <c r="G13" s="20">
        <v>4.2689564304975395E-3</v>
      </c>
      <c r="H13" s="20">
        <v>0</v>
      </c>
      <c r="I13" s="20">
        <v>0.62323468699888673</v>
      </c>
      <c r="J13" s="20">
        <v>2.8050589434740337E-3</v>
      </c>
      <c r="K13" s="20">
        <v>0.35304848558746382</v>
      </c>
      <c r="L13" s="20">
        <v>0</v>
      </c>
    </row>
    <row r="14" spans="1:14">
      <c r="A14" s="2" t="s">
        <v>373</v>
      </c>
      <c r="B14" s="3" t="s">
        <v>374</v>
      </c>
      <c r="D14" s="20">
        <v>7.8068355597689544E-7</v>
      </c>
      <c r="E14" s="20">
        <v>0.98147746361014743</v>
      </c>
      <c r="F14" s="20">
        <v>0.89965245946574335</v>
      </c>
      <c r="G14" s="20">
        <v>1.409419973879995E-3</v>
      </c>
      <c r="H14" s="20">
        <v>0</v>
      </c>
      <c r="I14" s="20">
        <v>8.0415584170524051E-2</v>
      </c>
      <c r="J14" s="20">
        <v>1.1407113695795865E-2</v>
      </c>
      <c r="K14" s="20">
        <v>7.1146420105008112E-3</v>
      </c>
      <c r="L14" s="20">
        <v>0</v>
      </c>
    </row>
    <row r="15" spans="1:14">
      <c r="A15" s="2" t="s">
        <v>375</v>
      </c>
      <c r="B15" s="3" t="s">
        <v>376</v>
      </c>
      <c r="D15" s="20">
        <v>8.6824804864764168E-2</v>
      </c>
      <c r="E15" s="20">
        <v>0.78239061378839136</v>
      </c>
      <c r="F15" s="20">
        <v>1.9848058477768254E-3</v>
      </c>
      <c r="G15" s="20">
        <v>6.0535981214119834E-4</v>
      </c>
      <c r="H15" s="20">
        <v>0</v>
      </c>
      <c r="I15" s="20">
        <v>0.77980044812847338</v>
      </c>
      <c r="J15" s="20">
        <v>1.0289495255370188E-3</v>
      </c>
      <c r="K15" s="20">
        <v>0.12975563182130734</v>
      </c>
      <c r="L15" s="20">
        <v>0</v>
      </c>
    </row>
    <row r="16" spans="1:14">
      <c r="A16" s="2" t="s">
        <v>377</v>
      </c>
      <c r="B16" s="3" t="s">
        <v>378</v>
      </c>
      <c r="D16" s="20">
        <v>8.0995130172830667E-4</v>
      </c>
      <c r="E16" s="20">
        <v>0.62097159492047704</v>
      </c>
      <c r="F16" s="20">
        <v>1.9459564768053061E-2</v>
      </c>
      <c r="G16" s="20">
        <v>4.9184547248793961E-3</v>
      </c>
      <c r="H16" s="20">
        <v>0</v>
      </c>
      <c r="I16" s="20">
        <v>0.59659357542754454</v>
      </c>
      <c r="J16" s="20">
        <v>3.1234248560370755E-3</v>
      </c>
      <c r="K16" s="20">
        <v>0.37509502892175783</v>
      </c>
      <c r="L16" s="20">
        <v>0</v>
      </c>
    </row>
    <row r="17" spans="1:12">
      <c r="A17" s="2" t="s">
        <v>379</v>
      </c>
      <c r="B17" s="3" t="s">
        <v>380</v>
      </c>
      <c r="D17" s="20">
        <v>2.3947730362695197E-3</v>
      </c>
      <c r="E17" s="20">
        <v>0.6341572233553554</v>
      </c>
      <c r="F17" s="20">
        <v>1.7617268546220033E-2</v>
      </c>
      <c r="G17" s="20">
        <v>4.4940109871264185E-3</v>
      </c>
      <c r="H17" s="20">
        <v>0</v>
      </c>
      <c r="I17" s="20">
        <v>0.61204594382200894</v>
      </c>
      <c r="J17" s="20">
        <v>2.9135607346360299E-3</v>
      </c>
      <c r="K17" s="20">
        <v>0.36053444287373893</v>
      </c>
      <c r="L17" s="20">
        <v>0</v>
      </c>
    </row>
    <row r="18" spans="1:12">
      <c r="A18" s="2" t="s">
        <v>381</v>
      </c>
      <c r="B18" s="3" t="s">
        <v>382</v>
      </c>
      <c r="D18" s="20">
        <v>2.0112471908483732E-7</v>
      </c>
      <c r="E18" s="20">
        <v>0.43292900593691447</v>
      </c>
      <c r="F18" s="20">
        <v>0.11586163835816189</v>
      </c>
      <c r="G18" s="20">
        <v>0.31393173538288016</v>
      </c>
      <c r="H18" s="20">
        <v>0</v>
      </c>
      <c r="I18" s="20">
        <v>3.1356321958724291E-3</v>
      </c>
      <c r="J18" s="20">
        <v>0.17555629270708736</v>
      </c>
      <c r="K18" s="20">
        <v>0.39151450023127915</v>
      </c>
      <c r="L18" s="20">
        <v>0</v>
      </c>
    </row>
    <row r="19" spans="1:12">
      <c r="A19" s="2" t="s">
        <v>383</v>
      </c>
      <c r="B19" s="3" t="s">
        <v>384</v>
      </c>
      <c r="D19" s="20">
        <v>1.1813168084188419E-2</v>
      </c>
      <c r="E19" s="20">
        <v>0.91039132263070721</v>
      </c>
      <c r="F19" s="20">
        <v>6.3072580289483498E-4</v>
      </c>
      <c r="G19" s="20">
        <v>2.1170745609653543E-4</v>
      </c>
      <c r="H19" s="20">
        <v>0</v>
      </c>
      <c r="I19" s="20">
        <v>0.90954888937171585</v>
      </c>
      <c r="J19" s="20">
        <v>9.4464001931718702E-4</v>
      </c>
      <c r="K19" s="20">
        <v>7.6850869265787214E-2</v>
      </c>
      <c r="L19" s="20">
        <v>0</v>
      </c>
    </row>
    <row r="20" spans="1:12">
      <c r="A20" s="2" t="s">
        <v>385</v>
      </c>
      <c r="B20" s="3" t="s">
        <v>386</v>
      </c>
      <c r="D20" s="20">
        <v>2.2188289904549276E-2</v>
      </c>
      <c r="E20" s="20">
        <v>0.87463322696798473</v>
      </c>
      <c r="F20" s="20">
        <v>1.1313527751096676E-3</v>
      </c>
      <c r="G20" s="20">
        <v>3.6265494346794934E-4</v>
      </c>
      <c r="H20" s="20">
        <v>0</v>
      </c>
      <c r="I20" s="20">
        <v>0.87313921924940707</v>
      </c>
      <c r="J20" s="20">
        <v>9.8899296540509176E-4</v>
      </c>
      <c r="K20" s="20">
        <v>0.10218949016206076</v>
      </c>
      <c r="L20" s="20">
        <v>0</v>
      </c>
    </row>
    <row r="21" spans="1:12">
      <c r="A21" s="2" t="s">
        <v>387</v>
      </c>
      <c r="B21" s="3" t="s">
        <v>388</v>
      </c>
      <c r="D21" s="20">
        <v>7.1254899895373033E-3</v>
      </c>
      <c r="E21" s="20">
        <v>0.72201693212825502</v>
      </c>
      <c r="F21" s="20">
        <v>0.30256016119843993</v>
      </c>
      <c r="G21" s="20">
        <v>1.2210428504276252E-2</v>
      </c>
      <c r="H21" s="20">
        <v>0</v>
      </c>
      <c r="I21" s="20">
        <v>0.40724634242553881</v>
      </c>
      <c r="J21" s="20">
        <v>8.4094159021116405E-3</v>
      </c>
      <c r="K21" s="20">
        <v>0.26244816198009596</v>
      </c>
      <c r="L21" s="20">
        <v>0</v>
      </c>
    </row>
    <row r="22" spans="1:12">
      <c r="A22" s="2" t="s">
        <v>295</v>
      </c>
      <c r="B22" s="3" t="s">
        <v>296</v>
      </c>
      <c r="D22" s="20">
        <v>6.5372154457463652E-2</v>
      </c>
      <c r="E22" s="20">
        <v>0.90427312289065298</v>
      </c>
      <c r="F22" s="20">
        <v>1.0103387570759692E-4</v>
      </c>
      <c r="G22" s="20">
        <v>3.8793821969393455E-5</v>
      </c>
      <c r="H22" s="20">
        <v>0</v>
      </c>
      <c r="I22" s="20">
        <v>0.90413329519297603</v>
      </c>
      <c r="J22" s="20">
        <v>8.5110990857331821E-4</v>
      </c>
      <c r="K22" s="20">
        <v>2.9503612743309988E-2</v>
      </c>
      <c r="L22" s="20">
        <v>0</v>
      </c>
    </row>
    <row r="23" spans="1:12">
      <c r="A23" s="2" t="s">
        <v>389</v>
      </c>
      <c r="B23" s="3" t="s">
        <v>390</v>
      </c>
      <c r="D23" s="20">
        <v>7.1480099890886745E-2</v>
      </c>
      <c r="E23" s="20">
        <v>0.7562743036402142</v>
      </c>
      <c r="F23" s="20">
        <v>3.4870595625650369E-3</v>
      </c>
      <c r="G23" s="20">
        <v>1.017548037466863E-3</v>
      </c>
      <c r="H23" s="20">
        <v>0</v>
      </c>
      <c r="I23" s="20">
        <v>0.75176969604018229</v>
      </c>
      <c r="J23" s="20">
        <v>1.2174647634567552E-3</v>
      </c>
      <c r="K23" s="20">
        <v>0.17102813170544251</v>
      </c>
      <c r="L23" s="20">
        <v>0</v>
      </c>
    </row>
    <row r="24" spans="1:12">
      <c r="A24" s="2" t="s">
        <v>391</v>
      </c>
      <c r="B24" s="3" t="s">
        <v>392</v>
      </c>
      <c r="D24" s="20">
        <v>2.6420459810393405E-3</v>
      </c>
      <c r="E24" s="20">
        <v>0.54869939518659816</v>
      </c>
      <c r="F24" s="20">
        <v>3.1089560776466647E-2</v>
      </c>
      <c r="G24" s="20">
        <v>7.5042992110062653E-3</v>
      </c>
      <c r="H24" s="20">
        <v>0</v>
      </c>
      <c r="I24" s="20">
        <v>0.51010553519912527</v>
      </c>
      <c r="J24" s="20">
        <v>4.4133297657961623E-3</v>
      </c>
      <c r="K24" s="20">
        <v>0.44424522906656622</v>
      </c>
      <c r="L24" s="20">
        <v>0</v>
      </c>
    </row>
    <row r="25" spans="1:12">
      <c r="A25" s="2" t="s">
        <v>393</v>
      </c>
      <c r="B25" s="3" t="s">
        <v>394</v>
      </c>
      <c r="D25" s="20">
        <v>9.0404197997188713E-4</v>
      </c>
      <c r="E25" s="20">
        <v>0.42073469394206531</v>
      </c>
      <c r="F25" s="20">
        <v>0.13491579992646896</v>
      </c>
      <c r="G25" s="20">
        <v>0.28155183880362294</v>
      </c>
      <c r="H25" s="20">
        <v>0</v>
      </c>
      <c r="I25" s="20">
        <v>4.2670552119733933E-3</v>
      </c>
      <c r="J25" s="20">
        <v>0.15698409743314382</v>
      </c>
      <c r="K25" s="20">
        <v>0.42137716664481917</v>
      </c>
      <c r="L25" s="20">
        <v>0</v>
      </c>
    </row>
    <row r="26" spans="1:12">
      <c r="A26" s="2" t="s">
        <v>395</v>
      </c>
      <c r="B26" s="3" t="s">
        <v>396</v>
      </c>
      <c r="D26" s="20">
        <v>0.22752634573861233</v>
      </c>
      <c r="E26" s="20">
        <v>0.31361128671984889</v>
      </c>
      <c r="F26" s="20">
        <v>6.5539919955301812E-2</v>
      </c>
      <c r="G26" s="20">
        <v>1.4138438986502468E-2</v>
      </c>
      <c r="H26" s="20">
        <v>0</v>
      </c>
      <c r="I26" s="20">
        <v>0.23393292777804461</v>
      </c>
      <c r="J26" s="20">
        <v>7.7195032279168165E-3</v>
      </c>
      <c r="K26" s="20">
        <v>0.45114286431362194</v>
      </c>
      <c r="L26" s="20">
        <v>0</v>
      </c>
    </row>
    <row r="27" spans="1:12">
      <c r="A27" s="2" t="s">
        <v>397</v>
      </c>
      <c r="B27" s="3" t="s">
        <v>398</v>
      </c>
      <c r="D27" s="20">
        <v>0.82766678479790212</v>
      </c>
      <c r="E27" s="20">
        <v>6.3672332908791443E-2</v>
      </c>
      <c r="F27" s="20">
        <v>3.487624675554328E-2</v>
      </c>
      <c r="G27" s="20">
        <v>6.6256012803559416E-3</v>
      </c>
      <c r="H27" s="20">
        <v>0</v>
      </c>
      <c r="I27" s="20">
        <v>2.2170484872892218E-2</v>
      </c>
      <c r="J27" s="20">
        <v>3.5765600246987421E-3</v>
      </c>
      <c r="K27" s="20">
        <v>0.10508432226860789</v>
      </c>
      <c r="L27" s="20">
        <v>0</v>
      </c>
    </row>
    <row r="28" spans="1:12">
      <c r="A28" s="2" t="s">
        <v>399</v>
      </c>
      <c r="B28" s="3" t="s">
        <v>400</v>
      </c>
      <c r="D28" s="20">
        <v>0.87348697894526861</v>
      </c>
      <c r="E28" s="20">
        <v>4.8943481339717827E-2</v>
      </c>
      <c r="F28" s="20">
        <v>1.291607773790238E-2</v>
      </c>
      <c r="G28" s="20">
        <v>2.7203589052436452E-3</v>
      </c>
      <c r="H28" s="20">
        <v>0</v>
      </c>
      <c r="I28" s="20">
        <v>3.3307044696571801E-2</v>
      </c>
      <c r="J28" s="20">
        <v>1.4775682867814186E-3</v>
      </c>
      <c r="K28" s="20">
        <v>7.6091971428232125E-2</v>
      </c>
      <c r="L28" s="20">
        <v>0</v>
      </c>
    </row>
    <row r="29" spans="1:12">
      <c r="A29" s="2" t="s">
        <v>297</v>
      </c>
      <c r="B29" s="3" t="s">
        <v>298</v>
      </c>
      <c r="D29" s="20">
        <v>0.93244891930945584</v>
      </c>
      <c r="E29" s="20">
        <v>5.9557118910844441E-2</v>
      </c>
      <c r="F29" s="20">
        <v>9.8877906985402793E-5</v>
      </c>
      <c r="G29" s="20">
        <v>3.1116792241921695E-5</v>
      </c>
      <c r="H29" s="20">
        <v>0</v>
      </c>
      <c r="I29" s="20">
        <v>5.9427124211617117E-2</v>
      </c>
      <c r="J29" s="20">
        <v>7.0637135028131588E-5</v>
      </c>
      <c r="K29" s="20">
        <v>7.9233246446716935E-3</v>
      </c>
      <c r="L29" s="20">
        <v>0</v>
      </c>
    </row>
    <row r="30" spans="1:12">
      <c r="A30" s="2" t="s">
        <v>401</v>
      </c>
      <c r="B30" s="3" t="s">
        <v>402</v>
      </c>
      <c r="D30" s="20">
        <v>0.95365218043154154</v>
      </c>
      <c r="E30" s="20">
        <v>1.8112986029334657E-2</v>
      </c>
      <c r="F30" s="20">
        <v>4.5379971727453911E-3</v>
      </c>
      <c r="G30" s="20">
        <v>9.6108052366865402E-4</v>
      </c>
      <c r="H30" s="20">
        <v>0</v>
      </c>
      <c r="I30" s="20">
        <v>1.2613908332920613E-2</v>
      </c>
      <c r="J30" s="20">
        <v>5.225440630587775E-4</v>
      </c>
      <c r="K30" s="20">
        <v>2.7712289476065129E-2</v>
      </c>
      <c r="L30" s="20">
        <v>0</v>
      </c>
    </row>
    <row r="31" spans="1:12">
      <c r="A31" s="2" t="s">
        <v>299</v>
      </c>
      <c r="B31" s="3" t="s">
        <v>300</v>
      </c>
      <c r="D31" s="20">
        <v>0.99881197289904255</v>
      </c>
      <c r="E31" s="20">
        <v>5.365395336679533E-4</v>
      </c>
      <c r="F31" s="20">
        <v>7.0885589361546067E-5</v>
      </c>
      <c r="G31" s="20">
        <v>1.5953409386061649E-5</v>
      </c>
      <c r="H31" s="20">
        <v>0</v>
      </c>
      <c r="I31" s="20">
        <v>4.4970053492034563E-4</v>
      </c>
      <c r="J31" s="20">
        <v>8.8499548077279529E-6</v>
      </c>
      <c r="K31" s="20">
        <v>6.4263761248175481E-4</v>
      </c>
      <c r="L31" s="20">
        <v>0</v>
      </c>
    </row>
    <row r="32" spans="1:12">
      <c r="A32" s="2" t="s">
        <v>343</v>
      </c>
      <c r="B32" s="3" t="s">
        <v>344</v>
      </c>
      <c r="D32" s="20">
        <v>2.2636676538410169E-3</v>
      </c>
      <c r="E32" s="20">
        <v>0.66768759526801413</v>
      </c>
      <c r="F32" s="20">
        <v>1.3863946699026936E-2</v>
      </c>
      <c r="G32" s="20">
        <v>3.6156171307091109E-3</v>
      </c>
      <c r="H32" s="20">
        <v>0</v>
      </c>
      <c r="I32" s="20">
        <v>0.6502080314382781</v>
      </c>
      <c r="J32" s="20">
        <v>2.485566626703841E-3</v>
      </c>
      <c r="K32" s="20">
        <v>0.32756317045144073</v>
      </c>
      <c r="L32" s="20">
        <v>0</v>
      </c>
    </row>
    <row r="33" spans="1:12">
      <c r="A33" s="2" t="s">
        <v>345</v>
      </c>
      <c r="B33" s="3" t="s">
        <v>346</v>
      </c>
      <c r="D33" s="20">
        <v>8.9189901699112108E-5</v>
      </c>
      <c r="E33" s="20">
        <v>0.7679678948281039</v>
      </c>
      <c r="F33" s="20">
        <v>6.1120922460532424E-3</v>
      </c>
      <c r="G33" s="20">
        <v>1.7127163969415473E-3</v>
      </c>
      <c r="H33" s="20">
        <v>0</v>
      </c>
      <c r="I33" s="20">
        <v>0.76014308618510906</v>
      </c>
      <c r="J33" s="20">
        <v>1.5876804276637518E-3</v>
      </c>
      <c r="K33" s="20">
        <v>0.23035523484253334</v>
      </c>
      <c r="L33" s="20">
        <v>0</v>
      </c>
    </row>
    <row r="34" spans="1:12">
      <c r="A34" s="2" t="s">
        <v>347</v>
      </c>
      <c r="B34" s="3" t="s">
        <v>348</v>
      </c>
      <c r="D34" s="20">
        <v>1.3345097112524778E-4</v>
      </c>
      <c r="E34" s="20">
        <v>0.41647047570982837</v>
      </c>
      <c r="F34" s="20">
        <v>7.7623988386172751E-2</v>
      </c>
      <c r="G34" s="20">
        <v>1.6931346933756166E-2</v>
      </c>
      <c r="H34" s="20">
        <v>0</v>
      </c>
      <c r="I34" s="20">
        <v>0.32191514038989943</v>
      </c>
      <c r="J34" s="20">
        <v>9.2741391052716619E-3</v>
      </c>
      <c r="K34" s="20">
        <v>0.57412193421377489</v>
      </c>
      <c r="L34" s="20">
        <v>0</v>
      </c>
    </row>
    <row r="35" spans="1:12">
      <c r="A35" s="2" t="s">
        <v>349</v>
      </c>
      <c r="B35" s="3" t="s">
        <v>350</v>
      </c>
      <c r="D35" s="20">
        <v>4.9359671005962384E-2</v>
      </c>
      <c r="E35" s="20">
        <v>0.38221154697146531</v>
      </c>
      <c r="F35" s="20">
        <v>0.25825365176004994</v>
      </c>
      <c r="G35" s="20">
        <v>4.6423943245481845E-2</v>
      </c>
      <c r="H35" s="20">
        <v>0</v>
      </c>
      <c r="I35" s="20">
        <v>7.7533951965933545E-2</v>
      </c>
      <c r="J35" s="20">
        <v>2.5110076657746189E-2</v>
      </c>
      <c r="K35" s="20">
        <v>0.54331870536482618</v>
      </c>
      <c r="L35" s="20">
        <v>0</v>
      </c>
    </row>
    <row r="36" spans="1:12">
      <c r="A36" s="2" t="s">
        <v>351</v>
      </c>
      <c r="B36" s="3" t="s">
        <v>352</v>
      </c>
      <c r="D36" s="20">
        <v>1.5974075983913722E-3</v>
      </c>
      <c r="E36" s="20">
        <v>0.40724590571800112</v>
      </c>
      <c r="F36" s="20">
        <v>0.26453915428585184</v>
      </c>
      <c r="G36" s="20">
        <v>0.12211964022873137</v>
      </c>
      <c r="H36" s="20">
        <v>0</v>
      </c>
      <c r="I36" s="20">
        <v>2.058711120341793E-2</v>
      </c>
      <c r="J36" s="20">
        <v>6.6955322616757629E-2</v>
      </c>
      <c r="K36" s="20">
        <v>0.52420136406684981</v>
      </c>
      <c r="L36" s="20">
        <v>0</v>
      </c>
    </row>
    <row r="37" spans="1:12">
      <c r="A37" s="2" t="s">
        <v>353</v>
      </c>
      <c r="B37" s="3" t="s">
        <v>354</v>
      </c>
      <c r="D37" s="20">
        <v>1.163696797728454E-2</v>
      </c>
      <c r="E37" s="20">
        <v>0.42444952775691036</v>
      </c>
      <c r="F37" s="20">
        <v>0.11962282490824001</v>
      </c>
      <c r="G37" s="20">
        <v>0.3014460583496919</v>
      </c>
      <c r="H37" s="20">
        <v>0</v>
      </c>
      <c r="I37" s="20">
        <v>3.3806444989784318E-3</v>
      </c>
      <c r="J37" s="20">
        <v>0.16843558544587975</v>
      </c>
      <c r="K37" s="20">
        <v>0.39547791881992522</v>
      </c>
      <c r="L37" s="20">
        <v>0</v>
      </c>
    </row>
    <row r="38" spans="1:12">
      <c r="A38" s="2" t="s">
        <v>355</v>
      </c>
      <c r="B38" s="3" t="s">
        <v>356</v>
      </c>
      <c r="D38" s="20">
        <v>6.0020866715473215E-4</v>
      </c>
      <c r="E38" s="20">
        <v>0.40015876793115157</v>
      </c>
      <c r="F38" s="20">
        <v>0.21026959457866515</v>
      </c>
      <c r="G38" s="20">
        <v>0.17851389776778154</v>
      </c>
      <c r="H38" s="20">
        <v>0</v>
      </c>
      <c r="I38" s="20">
        <v>1.1375275584704903E-2</v>
      </c>
      <c r="J38" s="20">
        <v>9.8532870152229737E-2</v>
      </c>
      <c r="K38" s="20">
        <v>0.50070815324946405</v>
      </c>
      <c r="L38" s="20">
        <v>0</v>
      </c>
    </row>
    <row r="39" spans="1:12">
      <c r="A39" s="2" t="s">
        <v>357</v>
      </c>
      <c r="B39" s="3" t="s">
        <v>358</v>
      </c>
      <c r="D39" s="20">
        <v>0.1103179321943101</v>
      </c>
      <c r="E39" s="20">
        <v>0.35934797348254793</v>
      </c>
      <c r="F39" s="20">
        <v>0.22188110889948082</v>
      </c>
      <c r="G39" s="20">
        <v>0.1219034180761179</v>
      </c>
      <c r="H39" s="20">
        <v>0</v>
      </c>
      <c r="I39" s="20">
        <v>1.5563446506949203E-2</v>
      </c>
      <c r="J39" s="20">
        <v>6.6963453283978056E-2</v>
      </c>
      <c r="K39" s="20">
        <v>0.46337064103916403</v>
      </c>
      <c r="L39" s="20">
        <v>0</v>
      </c>
    </row>
    <row r="40" spans="1:12">
      <c r="A40" s="2" t="s">
        <v>359</v>
      </c>
      <c r="B40" s="3" t="s">
        <v>360</v>
      </c>
      <c r="D40" s="20">
        <v>6.0020866715473215E-4</v>
      </c>
      <c r="E40" s="20">
        <v>0.40015876793115157</v>
      </c>
      <c r="F40" s="20">
        <v>0.21026959457866515</v>
      </c>
      <c r="G40" s="20">
        <v>0.17851389776778154</v>
      </c>
      <c r="H40" s="20">
        <v>0</v>
      </c>
      <c r="I40" s="20">
        <v>1.1375275584704903E-2</v>
      </c>
      <c r="J40" s="20">
        <v>9.8532870152229737E-2</v>
      </c>
      <c r="K40" s="20">
        <v>0.50070815324946405</v>
      </c>
      <c r="L40" s="20">
        <v>0</v>
      </c>
    </row>
    <row r="41" spans="1:12">
      <c r="A41" s="2" t="s">
        <v>313</v>
      </c>
      <c r="B41" s="3" t="s">
        <v>314</v>
      </c>
      <c r="D41" s="20">
        <v>5.8261941052370764E-8</v>
      </c>
      <c r="E41" s="20">
        <v>0.99885692584865482</v>
      </c>
      <c r="F41" s="20">
        <v>4.7279924317376694E-3</v>
      </c>
      <c r="G41" s="20">
        <v>1.1251160564775856E-6</v>
      </c>
      <c r="H41" s="20">
        <v>0</v>
      </c>
      <c r="I41" s="20">
        <v>0.99412780830086067</v>
      </c>
      <c r="J41" s="20">
        <v>9.5581411837586774E-4</v>
      </c>
      <c r="K41" s="20">
        <v>1.87201771028157E-4</v>
      </c>
      <c r="L41" s="20">
        <v>0</v>
      </c>
    </row>
    <row r="42" spans="1:12">
      <c r="A42" s="2" t="s">
        <v>315</v>
      </c>
      <c r="B42" s="3" t="s">
        <v>316</v>
      </c>
      <c r="D42" s="20">
        <v>1.6830382535423669E-2</v>
      </c>
      <c r="E42" s="20">
        <v>0.42564273076359016</v>
      </c>
      <c r="F42" s="20">
        <v>0.11391166557386485</v>
      </c>
      <c r="G42" s="20">
        <v>0.30864820626316064</v>
      </c>
      <c r="H42" s="20">
        <v>0</v>
      </c>
      <c r="I42" s="20">
        <v>3.0828589265646414E-3</v>
      </c>
      <c r="J42" s="20">
        <v>0.17260164785878424</v>
      </c>
      <c r="K42" s="20">
        <v>0.38492523884220203</v>
      </c>
      <c r="L42" s="20">
        <v>0</v>
      </c>
    </row>
    <row r="43" spans="1:12">
      <c r="A43" s="2" t="s">
        <v>317</v>
      </c>
      <c r="B43" s="3" t="s">
        <v>318</v>
      </c>
      <c r="D43" s="20">
        <v>6.0977434344322733E-12</v>
      </c>
      <c r="E43" s="20">
        <v>0.53339034452893985</v>
      </c>
      <c r="F43" s="20">
        <v>3.4725088571982747E-2</v>
      </c>
      <c r="G43" s="20">
        <v>8.2897019771337732E-3</v>
      </c>
      <c r="H43" s="20">
        <v>0</v>
      </c>
      <c r="I43" s="20">
        <v>0.49037555397982335</v>
      </c>
      <c r="J43" s="20">
        <v>4.8121867326425946E-3</v>
      </c>
      <c r="K43" s="20">
        <v>0.46179746873231969</v>
      </c>
      <c r="L43" s="20">
        <v>0</v>
      </c>
    </row>
    <row r="44" spans="1:12">
      <c r="A44" s="2" t="s">
        <v>307</v>
      </c>
      <c r="B44" s="3" t="s">
        <v>308</v>
      </c>
      <c r="D44" s="20">
        <v>5.4203394192900781E-4</v>
      </c>
      <c r="E44" s="20">
        <v>0.42521596408223494</v>
      </c>
      <c r="F44" s="20">
        <v>0.30528164809298092</v>
      </c>
      <c r="G44" s="20">
        <v>8.8592356334622605E-2</v>
      </c>
      <c r="H44" s="20">
        <v>0</v>
      </c>
      <c r="I44" s="20">
        <v>3.1341959654631435E-2</v>
      </c>
      <c r="J44" s="20">
        <v>4.8335084227065984E-2</v>
      </c>
      <c r="K44" s="20">
        <v>0.52590691774877008</v>
      </c>
      <c r="L44" s="20">
        <v>0</v>
      </c>
    </row>
    <row r="45" spans="1:12">
      <c r="A45" s="2" t="s">
        <v>319</v>
      </c>
      <c r="B45" s="3" t="s">
        <v>320</v>
      </c>
      <c r="D45" s="20">
        <v>5.9249526717690583E-5</v>
      </c>
      <c r="E45" s="20">
        <v>0.46551461606323696</v>
      </c>
      <c r="F45" s="20">
        <v>7.8498091944399828E-2</v>
      </c>
      <c r="G45" s="20">
        <v>0.38552687305850547</v>
      </c>
      <c r="H45" s="20">
        <v>0</v>
      </c>
      <c r="I45" s="20">
        <v>1.48965106033167E-3</v>
      </c>
      <c r="J45" s="20">
        <v>0.2170551007056726</v>
      </c>
      <c r="K45" s="20">
        <v>0.3173710337043727</v>
      </c>
      <c r="L45" s="20">
        <v>0</v>
      </c>
    </row>
    <row r="46" spans="1:12">
      <c r="A46" s="2" t="s">
        <v>321</v>
      </c>
      <c r="B46" s="3" t="s">
        <v>322</v>
      </c>
      <c r="D46" s="20">
        <v>8.2793269303721757E-5</v>
      </c>
      <c r="E46" s="20">
        <v>0.43725068549030716</v>
      </c>
      <c r="F46" s="20">
        <v>0.10981691697157862</v>
      </c>
      <c r="G46" s="20">
        <v>0.32461217339143689</v>
      </c>
      <c r="H46" s="20">
        <v>0</v>
      </c>
      <c r="I46" s="20">
        <v>2.8215951272916187E-3</v>
      </c>
      <c r="J46" s="20">
        <v>0.18170822745384987</v>
      </c>
      <c r="K46" s="20">
        <v>0.38095829378653934</v>
      </c>
      <c r="L46" s="20">
        <v>0</v>
      </c>
    </row>
    <row r="47" spans="1:12">
      <c r="A47" s="2" t="s">
        <v>323</v>
      </c>
      <c r="B47" s="3" t="s">
        <v>324</v>
      </c>
      <c r="D47" s="20">
        <v>7.3879187601088713E-4</v>
      </c>
      <c r="E47" s="20">
        <v>0.41038600531571334</v>
      </c>
      <c r="F47" s="20">
        <v>0.15790516145394112</v>
      </c>
      <c r="G47" s="20">
        <v>0.24654254876369186</v>
      </c>
      <c r="H47" s="20">
        <v>0</v>
      </c>
      <c r="I47" s="20">
        <v>5.9382950980803395E-3</v>
      </c>
      <c r="J47" s="20">
        <v>0.13701456399028103</v>
      </c>
      <c r="K47" s="20">
        <v>0.45186063881799493</v>
      </c>
      <c r="L47" s="20">
        <v>0</v>
      </c>
    </row>
    <row r="48" spans="1:12">
      <c r="A48" s="2" t="s">
        <v>325</v>
      </c>
      <c r="B48" s="3" t="s">
        <v>326</v>
      </c>
      <c r="D48" s="20">
        <v>2.810402832107639E-4</v>
      </c>
      <c r="E48" s="20">
        <v>0.3632204443283395</v>
      </c>
      <c r="F48" s="20">
        <v>0.16559331079949119</v>
      </c>
      <c r="G48" s="20">
        <v>3.2519087058023387E-2</v>
      </c>
      <c r="H48" s="20">
        <v>0</v>
      </c>
      <c r="I48" s="20">
        <v>0.16510804647082494</v>
      </c>
      <c r="J48" s="20">
        <v>1.7555059841339454E-2</v>
      </c>
      <c r="K48" s="20">
        <v>0.61894345554711017</v>
      </c>
      <c r="L48" s="20">
        <v>0</v>
      </c>
    </row>
    <row r="49" spans="1:12">
      <c r="A49" s="2" t="s">
        <v>275</v>
      </c>
      <c r="B49" s="3" t="s">
        <v>276</v>
      </c>
      <c r="D49" s="20">
        <v>6.9401927324433061E-6</v>
      </c>
      <c r="E49" s="20">
        <v>0.42141776223379945</v>
      </c>
      <c r="F49" s="20">
        <v>0.29802023036157865</v>
      </c>
      <c r="G49" s="20">
        <v>9.4349868987528243E-2</v>
      </c>
      <c r="H49" s="20">
        <v>0</v>
      </c>
      <c r="I49" s="20">
        <v>2.9047662884692585E-2</v>
      </c>
      <c r="J49" s="20">
        <v>5.1522731661230156E-2</v>
      </c>
      <c r="K49" s="20">
        <v>0.52705256591223792</v>
      </c>
      <c r="L49" s="20">
        <v>0</v>
      </c>
    </row>
    <row r="50" spans="1:12">
      <c r="A50" s="2" t="s">
        <v>327</v>
      </c>
      <c r="B50" s="3" t="s">
        <v>328</v>
      </c>
      <c r="D50" s="20">
        <v>3.5934181482270199E-4</v>
      </c>
      <c r="E50" s="20">
        <v>0.41530155254464812</v>
      </c>
      <c r="F50" s="20">
        <v>0.28535269049953688</v>
      </c>
      <c r="G50" s="20">
        <v>0.10444256451908891</v>
      </c>
      <c r="H50" s="20">
        <v>0</v>
      </c>
      <c r="I50" s="20">
        <v>2.5506297526022344E-2</v>
      </c>
      <c r="J50" s="20">
        <v>5.712119261042737E-2</v>
      </c>
      <c r="K50" s="20">
        <v>0.52721791303010179</v>
      </c>
      <c r="L50" s="20">
        <v>0</v>
      </c>
    </row>
    <row r="51" spans="1:12">
      <c r="A51" s="2" t="s">
        <v>329</v>
      </c>
      <c r="B51" s="3" t="s">
        <v>330</v>
      </c>
      <c r="D51" s="20">
        <v>1.7090303353416365E-4</v>
      </c>
      <c r="E51" s="20">
        <v>0.37146714589013941</v>
      </c>
      <c r="F51" s="20">
        <v>0.20884495394397709</v>
      </c>
      <c r="G51" s="20">
        <v>3.9456589342275833E-2</v>
      </c>
      <c r="H51" s="20">
        <v>0</v>
      </c>
      <c r="I51" s="20">
        <v>0.12316560260388645</v>
      </c>
      <c r="J51" s="20">
        <v>2.1301175606003756E-2</v>
      </c>
      <c r="K51" s="20">
        <v>0.60706077547032256</v>
      </c>
      <c r="L51" s="20">
        <v>0</v>
      </c>
    </row>
    <row r="52" spans="1:12">
      <c r="A52" s="2" t="s">
        <v>277</v>
      </c>
      <c r="B52" s="3" t="s">
        <v>278</v>
      </c>
      <c r="D52" s="20">
        <v>4.4376723843796904E-4</v>
      </c>
      <c r="E52" s="20">
        <v>0.36330547626753773</v>
      </c>
      <c r="F52" s="20">
        <v>0.16944527061100736</v>
      </c>
      <c r="G52" s="20">
        <v>3.315316591903153E-2</v>
      </c>
      <c r="H52" s="20">
        <v>0</v>
      </c>
      <c r="I52" s="20">
        <v>0.16070703973749881</v>
      </c>
      <c r="J52" s="20">
        <v>1.7896097018202991E-2</v>
      </c>
      <c r="K52" s="20">
        <v>0.61835465947582124</v>
      </c>
      <c r="L52" s="20">
        <v>0</v>
      </c>
    </row>
    <row r="53" spans="1:12">
      <c r="A53" s="2" t="s">
        <v>331</v>
      </c>
      <c r="B53" s="3" t="s">
        <v>332</v>
      </c>
      <c r="D53" s="20">
        <v>2.3732967358982646E-4</v>
      </c>
      <c r="E53" s="20">
        <v>0.40304166026081917</v>
      </c>
      <c r="F53" s="20">
        <v>0.24542921416224034</v>
      </c>
      <c r="G53" s="20">
        <v>0.14083863659853424</v>
      </c>
      <c r="H53" s="20">
        <v>0</v>
      </c>
      <c r="I53" s="20">
        <v>1.6773809500044576E-2</v>
      </c>
      <c r="J53" s="20">
        <v>7.7401734324391291E-2</v>
      </c>
      <c r="K53" s="20">
        <v>0.51931927574119985</v>
      </c>
      <c r="L53" s="20">
        <v>0</v>
      </c>
    </row>
    <row r="54" spans="1:12">
      <c r="A54" s="2" t="s">
        <v>333</v>
      </c>
      <c r="B54" s="3" t="s">
        <v>334</v>
      </c>
      <c r="D54" s="20">
        <v>3.9233857908021472E-7</v>
      </c>
      <c r="E54" s="20">
        <v>0.41831833888600028</v>
      </c>
      <c r="F54" s="20">
        <v>0.2917663683947142</v>
      </c>
      <c r="G54" s="20">
        <v>9.9318644835169625E-2</v>
      </c>
      <c r="H54" s="20">
        <v>0</v>
      </c>
      <c r="I54" s="20">
        <v>2.7233325656116442E-2</v>
      </c>
      <c r="J54" s="20">
        <v>5.427727315237027E-2</v>
      </c>
      <c r="K54" s="20">
        <v>0.52740399562305029</v>
      </c>
      <c r="L54" s="20">
        <v>0</v>
      </c>
    </row>
    <row r="55" spans="1:12">
      <c r="A55" s="2" t="s">
        <v>335</v>
      </c>
      <c r="B55" s="3" t="s">
        <v>336</v>
      </c>
      <c r="D55" s="20">
        <v>1.9138640532381122E-3</v>
      </c>
      <c r="E55" s="20">
        <v>0.40904167619406023</v>
      </c>
      <c r="F55" s="20">
        <v>0.16009777651659496</v>
      </c>
      <c r="G55" s="20">
        <v>0.24281798773129007</v>
      </c>
      <c r="H55" s="20">
        <v>0</v>
      </c>
      <c r="I55" s="20">
        <v>6.1259119461752115E-3</v>
      </c>
      <c r="J55" s="20">
        <v>0.13490055860122674</v>
      </c>
      <c r="K55" s="20">
        <v>0.45414390115147485</v>
      </c>
      <c r="L55" s="20">
        <v>0</v>
      </c>
    </row>
    <row r="56" spans="1:12">
      <c r="A56" s="2" t="s">
        <v>337</v>
      </c>
      <c r="B56" s="3" t="s">
        <v>338</v>
      </c>
      <c r="D56" s="20">
        <v>1.3908597548653373E-4</v>
      </c>
      <c r="E56" s="20">
        <v>0.42400931340670112</v>
      </c>
      <c r="F56" s="20">
        <v>0.30294065193825626</v>
      </c>
      <c r="G56" s="20">
        <v>9.0500944372278375E-2</v>
      </c>
      <c r="H56" s="20">
        <v>0</v>
      </c>
      <c r="I56" s="20">
        <v>3.0567717096166465E-2</v>
      </c>
      <c r="J56" s="20">
        <v>4.9391161571407091E-2</v>
      </c>
      <c r="K56" s="20">
        <v>0.52646043904640527</v>
      </c>
      <c r="L56" s="20">
        <v>0</v>
      </c>
    </row>
    <row r="57" spans="1:12">
      <c r="A57" s="2" t="s">
        <v>279</v>
      </c>
      <c r="B57" s="3" t="s">
        <v>280</v>
      </c>
      <c r="D57" s="20">
        <v>7.8735801585773681E-3</v>
      </c>
      <c r="E57" s="20">
        <v>0.36151460916845052</v>
      </c>
      <c r="F57" s="20">
        <v>0.1476544254949492</v>
      </c>
      <c r="G57" s="20">
        <v>2.9480987289659151E-2</v>
      </c>
      <c r="H57" s="20">
        <v>0</v>
      </c>
      <c r="I57" s="20">
        <v>0.18437919638384215</v>
      </c>
      <c r="J57" s="20">
        <v>1.5923925006964466E-2</v>
      </c>
      <c r="K57" s="20">
        <v>0.61468788566600774</v>
      </c>
      <c r="L57" s="20">
        <v>0</v>
      </c>
    </row>
    <row r="58" spans="1:12">
      <c r="A58" s="2" t="s">
        <v>339</v>
      </c>
      <c r="B58" s="3" t="s">
        <v>340</v>
      </c>
      <c r="D58" s="20">
        <v>1.374307710599612E-6</v>
      </c>
      <c r="E58" s="20">
        <v>0.41772549606963483</v>
      </c>
      <c r="F58" s="20">
        <v>0.29050806792119305</v>
      </c>
      <c r="G58" s="20">
        <v>0.10033529996505525</v>
      </c>
      <c r="H58" s="20">
        <v>0</v>
      </c>
      <c r="I58" s="20">
        <v>2.6882128183386544E-2</v>
      </c>
      <c r="J58" s="20">
        <v>5.4841240793063996E-2</v>
      </c>
      <c r="K58" s="20">
        <v>0.52743188882959058</v>
      </c>
      <c r="L58" s="20">
        <v>0</v>
      </c>
    </row>
    <row r="59" spans="1:12">
      <c r="A59" s="2" t="s">
        <v>281</v>
      </c>
      <c r="B59" s="3" t="s">
        <v>282</v>
      </c>
      <c r="D59" s="20">
        <v>6.7192194146284596E-5</v>
      </c>
      <c r="E59" s="20">
        <v>0.36344234878289272</v>
      </c>
      <c r="F59" s="20">
        <v>0.16950910780014586</v>
      </c>
      <c r="G59" s="20">
        <v>3.3165656116696425E-2</v>
      </c>
      <c r="H59" s="20">
        <v>0</v>
      </c>
      <c r="I59" s="20">
        <v>0.16076758486605042</v>
      </c>
      <c r="J59" s="20">
        <v>1.7902839233704618E-2</v>
      </c>
      <c r="K59" s="20">
        <v>0.61858761978925625</v>
      </c>
      <c r="L59" s="20">
        <v>0</v>
      </c>
    </row>
    <row r="60" spans="1:12">
      <c r="A60" s="2" t="s">
        <v>341</v>
      </c>
      <c r="B60" s="3" t="s">
        <v>342</v>
      </c>
      <c r="D60" s="20">
        <v>1.9866439961499795E-3</v>
      </c>
      <c r="E60" s="20">
        <v>0.40491338627150525</v>
      </c>
      <c r="F60" s="20">
        <v>0.25668131999523558</v>
      </c>
      <c r="G60" s="20">
        <v>0.1292676397847872</v>
      </c>
      <c r="H60" s="20">
        <v>0</v>
      </c>
      <c r="I60" s="20">
        <v>1.8964426491482472E-2</v>
      </c>
      <c r="J60" s="20">
        <v>7.0941352108305794E-2</v>
      </c>
      <c r="K60" s="20">
        <v>0.52215861762403903</v>
      </c>
      <c r="L60" s="20">
        <v>0</v>
      </c>
    </row>
    <row r="61" spans="1:12">
      <c r="A61" s="2" t="s">
        <v>483</v>
      </c>
      <c r="B61" s="3" t="s">
        <v>484</v>
      </c>
      <c r="D61" s="20">
        <v>1.3831833983179934E-13</v>
      </c>
      <c r="E61" s="20">
        <v>0.59825849362092609</v>
      </c>
      <c r="F61" s="20">
        <v>8.0886636443606094E-2</v>
      </c>
      <c r="G61" s="20">
        <v>1.3477035531478273E-2</v>
      </c>
      <c r="H61" s="20">
        <v>0</v>
      </c>
      <c r="I61" s="20">
        <v>0.50389482164584176</v>
      </c>
      <c r="J61" s="20">
        <v>4.700408569836962E-2</v>
      </c>
      <c r="K61" s="20">
        <v>0.3547374206805658</v>
      </c>
      <c r="L61" s="20">
        <v>0</v>
      </c>
    </row>
    <row r="62" spans="1:12">
      <c r="A62" s="2" t="s">
        <v>485</v>
      </c>
      <c r="B62" s="3" t="s">
        <v>486</v>
      </c>
      <c r="D62" s="20">
        <v>3.6842607883816365E-7</v>
      </c>
      <c r="E62" s="20">
        <v>0.42411661650219756</v>
      </c>
      <c r="F62" s="20">
        <v>7.3084381978398116E-2</v>
      </c>
      <c r="G62" s="20">
        <v>1.6059060497382583E-2</v>
      </c>
      <c r="H62" s="20">
        <v>0</v>
      </c>
      <c r="I62" s="20">
        <v>0.33497317402641685</v>
      </c>
      <c r="J62" s="20">
        <v>8.8181171272449666E-3</v>
      </c>
      <c r="K62" s="20">
        <v>0.56706489794447867</v>
      </c>
      <c r="L62" s="20">
        <v>0</v>
      </c>
    </row>
    <row r="63" spans="1:12">
      <c r="A63" s="2" t="s">
        <v>487</v>
      </c>
      <c r="B63" s="3" t="s">
        <v>488</v>
      </c>
      <c r="D63" s="20">
        <v>7.3422775158092734E-13</v>
      </c>
      <c r="E63" s="20">
        <v>0.9537539325144998</v>
      </c>
      <c r="F63" s="20">
        <v>3.2747262873272162E-3</v>
      </c>
      <c r="G63" s="20">
        <v>4.3208755565576001E-4</v>
      </c>
      <c r="H63" s="20">
        <v>0</v>
      </c>
      <c r="I63" s="20">
        <v>0.95004711867151681</v>
      </c>
      <c r="J63" s="20">
        <v>5.1912251012854113E-3</v>
      </c>
      <c r="K63" s="20">
        <v>4.1054842383480457E-2</v>
      </c>
      <c r="L63" s="20">
        <v>0</v>
      </c>
    </row>
    <row r="64" spans="1:12">
      <c r="A64" s="2" t="s">
        <v>489</v>
      </c>
      <c r="B64" s="3" t="s">
        <v>490</v>
      </c>
      <c r="D64" s="20">
        <v>1.3277453168215285E-14</v>
      </c>
      <c r="E64" s="20">
        <v>0.99469587630451894</v>
      </c>
      <c r="F64" s="20">
        <v>1.2244562784831871E-3</v>
      </c>
      <c r="G64" s="20">
        <v>1.5202697121510428E-5</v>
      </c>
      <c r="H64" s="20">
        <v>0</v>
      </c>
      <c r="I64" s="20">
        <v>0.9934562173289142</v>
      </c>
      <c r="J64" s="20">
        <v>9.3259560079405257E-4</v>
      </c>
      <c r="K64" s="20">
        <v>4.3715280946738187E-3</v>
      </c>
      <c r="L64" s="20">
        <v>0</v>
      </c>
    </row>
    <row r="65" spans="1:12">
      <c r="A65" s="2" t="s">
        <v>491</v>
      </c>
      <c r="B65" s="3" t="s">
        <v>492</v>
      </c>
      <c r="D65" s="20">
        <v>2.1923910912760281E-12</v>
      </c>
      <c r="E65" s="20">
        <v>0.99677274937818772</v>
      </c>
      <c r="F65" s="20">
        <v>1.5893673153455376E-4</v>
      </c>
      <c r="G65" s="20">
        <v>7.069159784563408E-6</v>
      </c>
      <c r="H65" s="20">
        <v>0</v>
      </c>
      <c r="I65" s="20">
        <v>0.99660674348686862</v>
      </c>
      <c r="J65" s="20">
        <v>1.2959030887498939E-3</v>
      </c>
      <c r="K65" s="20">
        <v>1.9313475308700911E-3</v>
      </c>
      <c r="L65" s="20">
        <v>0</v>
      </c>
    </row>
    <row r="66" spans="1:12">
      <c r="A66" s="2" t="s">
        <v>493</v>
      </c>
      <c r="B66" s="3" t="s">
        <v>494</v>
      </c>
      <c r="D66" s="20">
        <v>3.3921435684289981E-11</v>
      </c>
      <c r="E66" s="20">
        <v>0.93714812663988312</v>
      </c>
      <c r="F66" s="20">
        <v>2.3692199550600673E-2</v>
      </c>
      <c r="G66" s="20">
        <v>5.9376995828676902E-4</v>
      </c>
      <c r="H66" s="20">
        <v>0</v>
      </c>
      <c r="I66" s="20">
        <v>0.91286215713099572</v>
      </c>
      <c r="J66" s="20">
        <v>4.2450901725108292E-2</v>
      </c>
      <c r="K66" s="20">
        <v>2.0400971601087118E-2</v>
      </c>
      <c r="L66" s="20">
        <v>0</v>
      </c>
    </row>
    <row r="67" spans="1:12">
      <c r="A67" s="2" t="s">
        <v>495</v>
      </c>
      <c r="B67" s="3" t="s">
        <v>496</v>
      </c>
      <c r="D67" s="20">
        <v>1.7124520950261915E-12</v>
      </c>
      <c r="E67" s="20">
        <v>0.99659725183104197</v>
      </c>
      <c r="F67" s="20">
        <v>1.3399925867193106E-4</v>
      </c>
      <c r="G67" s="20">
        <v>7.3251636183346319E-6</v>
      </c>
      <c r="H67" s="20">
        <v>0</v>
      </c>
      <c r="I67" s="20">
        <v>0.99645592740875166</v>
      </c>
      <c r="J67" s="20">
        <v>1.2313975310246962E-3</v>
      </c>
      <c r="K67" s="20">
        <v>2.171350636220681E-3</v>
      </c>
      <c r="L67" s="20">
        <v>0</v>
      </c>
    </row>
    <row r="68" spans="1:12">
      <c r="A68" s="2" t="s">
        <v>497</v>
      </c>
      <c r="B68" s="3" t="s">
        <v>498</v>
      </c>
      <c r="D68" s="20">
        <v>1.5486673278990267E-11</v>
      </c>
      <c r="E68" s="20">
        <v>0.99816306386911213</v>
      </c>
      <c r="F68" s="20">
        <v>1.5936580645166342E-5</v>
      </c>
      <c r="G68" s="20">
        <v>1.2295925429550251E-6</v>
      </c>
      <c r="H68" s="20">
        <v>0</v>
      </c>
      <c r="I68" s="20">
        <v>0.99814589769592399</v>
      </c>
      <c r="J68" s="20">
        <v>9.5962455685587344E-4</v>
      </c>
      <c r="K68" s="20">
        <v>8.7731155854538483E-4</v>
      </c>
      <c r="L68" s="20">
        <v>0</v>
      </c>
    </row>
    <row r="69" spans="1:12">
      <c r="A69" s="2" t="s">
        <v>499</v>
      </c>
      <c r="B69" s="3" t="s">
        <v>500</v>
      </c>
      <c r="D69" s="20">
        <v>3.4842248337686964E-11</v>
      </c>
      <c r="E69" s="20">
        <v>0.43154661262263566</v>
      </c>
      <c r="F69" s="20">
        <v>0.31555160010666566</v>
      </c>
      <c r="G69" s="20">
        <v>8.1185027498491394E-2</v>
      </c>
      <c r="H69" s="20">
        <v>0</v>
      </c>
      <c r="I69" s="20">
        <v>3.4809985017478583E-2</v>
      </c>
      <c r="J69" s="20">
        <v>4.423943881778615E-2</v>
      </c>
      <c r="K69" s="20">
        <v>0.52421394852473591</v>
      </c>
      <c r="L69" s="20">
        <v>0</v>
      </c>
    </row>
    <row r="70" spans="1:12">
      <c r="A70" s="2" t="s">
        <v>501</v>
      </c>
      <c r="B70" s="3" t="s">
        <v>411</v>
      </c>
      <c r="D70" s="20">
        <v>2.8533615396240099E-13</v>
      </c>
      <c r="E70" s="20">
        <v>0.99899819465269546</v>
      </c>
      <c r="F70" s="20">
        <v>3.0962143420594137E-3</v>
      </c>
      <c r="G70" s="20">
        <v>2.9425689107972051E-7</v>
      </c>
      <c r="H70" s="20">
        <v>0</v>
      </c>
      <c r="I70" s="20">
        <v>0.99590168605374496</v>
      </c>
      <c r="J70" s="20">
        <v>9.4364335496344663E-4</v>
      </c>
      <c r="K70" s="20">
        <v>5.8161992055836217E-5</v>
      </c>
      <c r="L70" s="20">
        <v>0</v>
      </c>
    </row>
    <row r="71" spans="1:12">
      <c r="A71" s="2" t="s">
        <v>502</v>
      </c>
      <c r="B71" s="3" t="s">
        <v>412</v>
      </c>
      <c r="D71" s="20">
        <v>1.3355685133439394E-8</v>
      </c>
      <c r="E71" s="20">
        <v>0.99895426909542917</v>
      </c>
      <c r="F71" s="20">
        <v>5.9148103069690868E-3</v>
      </c>
      <c r="G71" s="20">
        <v>5.3753547973239561E-7</v>
      </c>
      <c r="H71" s="20">
        <v>0</v>
      </c>
      <c r="I71" s="20">
        <v>0.99303892125298032</v>
      </c>
      <c r="J71" s="20">
        <v>9.6407439646021317E-4</v>
      </c>
      <c r="K71" s="20">
        <v>8.1643152425500204E-5</v>
      </c>
      <c r="L71" s="20">
        <v>0</v>
      </c>
    </row>
    <row r="72" spans="1:12">
      <c r="A72" s="2" t="s">
        <v>503</v>
      </c>
      <c r="B72" s="3" t="s">
        <v>413</v>
      </c>
      <c r="D72" s="20">
        <v>1.5911650766108022E-9</v>
      </c>
      <c r="E72" s="20">
        <v>0.95501438932606453</v>
      </c>
      <c r="F72" s="20">
        <v>0.91852181402305599</v>
      </c>
      <c r="G72" s="20">
        <v>4.2184590151635751E-4</v>
      </c>
      <c r="H72" s="20">
        <v>0</v>
      </c>
      <c r="I72" s="20">
        <v>3.6070729401492169E-2</v>
      </c>
      <c r="J72" s="20">
        <v>4.4172279695412771E-2</v>
      </c>
      <c r="K72" s="20">
        <v>8.1332938735791723E-4</v>
      </c>
      <c r="L72" s="20">
        <v>0</v>
      </c>
    </row>
    <row r="73" spans="1:12">
      <c r="A73" s="2" t="s">
        <v>504</v>
      </c>
      <c r="B73" s="3" t="s">
        <v>414</v>
      </c>
      <c r="D73" s="20">
        <v>1.6893652100886451E-9</v>
      </c>
      <c r="E73" s="20">
        <v>0.99502457354958596</v>
      </c>
      <c r="F73" s="20">
        <v>0.72309903667627973</v>
      </c>
      <c r="G73" s="20">
        <v>4.1798639110553056E-5</v>
      </c>
      <c r="H73" s="20">
        <v>0</v>
      </c>
      <c r="I73" s="20">
        <v>0.2718837382341957</v>
      </c>
      <c r="J73" s="20">
        <v>4.4395358472125489E-3</v>
      </c>
      <c r="K73" s="20">
        <v>5.3588891383633624E-4</v>
      </c>
      <c r="L73" s="20">
        <v>0</v>
      </c>
    </row>
    <row r="74" spans="1:12">
      <c r="A74" s="2" t="s">
        <v>505</v>
      </c>
      <c r="B74" s="3" t="s">
        <v>415</v>
      </c>
      <c r="D74" s="20">
        <v>1.6431418664969993E-9</v>
      </c>
      <c r="E74" s="20">
        <v>0.99896260401860393</v>
      </c>
      <c r="F74" s="20">
        <v>5.3548745143570673E-3</v>
      </c>
      <c r="G74" s="20">
        <v>4.8878025909152493E-7</v>
      </c>
      <c r="H74" s="20">
        <v>0</v>
      </c>
      <c r="I74" s="20">
        <v>0.99360724072398776</v>
      </c>
      <c r="J74" s="20">
        <v>9.6008600896875247E-4</v>
      </c>
      <c r="K74" s="20">
        <v>7.7308329285379331E-5</v>
      </c>
      <c r="L74" s="20">
        <v>0</v>
      </c>
    </row>
    <row r="75" spans="1:12">
      <c r="A75" s="2" t="s">
        <v>506</v>
      </c>
      <c r="B75" s="3" t="s">
        <v>416</v>
      </c>
      <c r="D75" s="20">
        <v>6.9381634997190885E-9</v>
      </c>
      <c r="E75" s="20">
        <v>0.99513600940975533</v>
      </c>
      <c r="F75" s="20">
        <v>0.68725635837760035</v>
      </c>
      <c r="G75" s="20">
        <v>4.0242330708578549E-5</v>
      </c>
      <c r="H75" s="20">
        <v>0</v>
      </c>
      <c r="I75" s="20">
        <v>0.30783940870144644</v>
      </c>
      <c r="J75" s="20">
        <v>4.3101290658195896E-3</v>
      </c>
      <c r="K75" s="20">
        <v>5.5385458626141507E-4</v>
      </c>
      <c r="L75" s="20">
        <v>0</v>
      </c>
    </row>
    <row r="76" spans="1:12">
      <c r="A76" s="2" t="s">
        <v>507</v>
      </c>
      <c r="B76" s="3" t="s">
        <v>417</v>
      </c>
      <c r="D76" s="20">
        <v>4.4139524069866365E-8</v>
      </c>
      <c r="E76" s="20">
        <v>0.99805778921570898</v>
      </c>
      <c r="F76" s="20">
        <v>0.10911948190341567</v>
      </c>
      <c r="G76" s="20">
        <v>7.9353960910314704E-6</v>
      </c>
      <c r="H76" s="20">
        <v>0</v>
      </c>
      <c r="I76" s="20">
        <v>0.88893037191620228</v>
      </c>
      <c r="J76" s="20">
        <v>1.5884290326958048E-3</v>
      </c>
      <c r="K76" s="20">
        <v>3.5373761207123112E-4</v>
      </c>
      <c r="L76" s="20">
        <v>0</v>
      </c>
    </row>
    <row r="77" spans="1:12">
      <c r="A77" s="2" t="s">
        <v>508</v>
      </c>
      <c r="B77" s="3" t="s">
        <v>418</v>
      </c>
      <c r="D77" s="20">
        <v>5.1676341571329558E-8</v>
      </c>
      <c r="E77" s="20">
        <v>0.99505265646569407</v>
      </c>
      <c r="F77" s="20">
        <v>0.71312622758819066</v>
      </c>
      <c r="G77" s="20">
        <v>4.1498530982133508E-5</v>
      </c>
      <c r="H77" s="20">
        <v>0</v>
      </c>
      <c r="I77" s="20">
        <v>0.28188493034652129</v>
      </c>
      <c r="J77" s="20">
        <v>4.4043599649397462E-3</v>
      </c>
      <c r="K77" s="20">
        <v>5.4293189302472326E-4</v>
      </c>
      <c r="L77" s="20">
        <v>0</v>
      </c>
    </row>
    <row r="78" spans="1:12">
      <c r="A78" s="2" t="s">
        <v>509</v>
      </c>
      <c r="B78" s="3" t="s">
        <v>419</v>
      </c>
      <c r="D78" s="20">
        <v>6.4202999434472359E-9</v>
      </c>
      <c r="E78" s="20">
        <v>0.96208095082546041</v>
      </c>
      <c r="F78" s="20">
        <v>0.92157260135996522</v>
      </c>
      <c r="G78" s="20">
        <v>3.556263347471143E-4</v>
      </c>
      <c r="H78" s="20">
        <v>0</v>
      </c>
      <c r="I78" s="20">
        <v>4.0152723130748053E-2</v>
      </c>
      <c r="J78" s="20">
        <v>3.7144747594708413E-2</v>
      </c>
      <c r="K78" s="20">
        <v>7.7429515953125326E-4</v>
      </c>
      <c r="L78" s="20">
        <v>0</v>
      </c>
    </row>
    <row r="79" spans="1:12">
      <c r="A79" s="2" t="s">
        <v>510</v>
      </c>
      <c r="B79" s="3" t="s">
        <v>420</v>
      </c>
      <c r="D79" s="20">
        <v>1.612706858212916E-13</v>
      </c>
      <c r="E79" s="20">
        <v>0.96208110098633071</v>
      </c>
      <c r="F79" s="20">
        <v>0.92157279910856105</v>
      </c>
      <c r="G79" s="20">
        <v>3.55570131157144E-4</v>
      </c>
      <c r="H79" s="20">
        <v>0</v>
      </c>
      <c r="I79" s="20">
        <v>4.0152731746612498E-2</v>
      </c>
      <c r="J79" s="20">
        <v>3.7144726224463513E-2</v>
      </c>
      <c r="K79" s="20">
        <v>7.7417278904456477E-4</v>
      </c>
      <c r="L79" s="20">
        <v>0</v>
      </c>
    </row>
    <row r="80" spans="1:12">
      <c r="A80" s="2" t="s">
        <v>511</v>
      </c>
      <c r="B80" s="3" t="s">
        <v>421</v>
      </c>
      <c r="D80" s="20">
        <v>7.805053331933501E-9</v>
      </c>
      <c r="E80" s="20">
        <v>0.99670181665667867</v>
      </c>
      <c r="F80" s="20">
        <v>0.33132187589176865</v>
      </c>
      <c r="G80" s="20">
        <v>2.1667782663389655E-5</v>
      </c>
      <c r="H80" s="20">
        <v>0</v>
      </c>
      <c r="I80" s="20">
        <v>0.66535827298224659</v>
      </c>
      <c r="J80" s="20">
        <v>2.7504952614024547E-3</v>
      </c>
      <c r="K80" s="20">
        <v>5.4768027686552241E-4</v>
      </c>
      <c r="L80" s="20">
        <v>0</v>
      </c>
    </row>
    <row r="81" spans="1:12">
      <c r="A81" s="2" t="s">
        <v>512</v>
      </c>
      <c r="B81" s="3" t="s">
        <v>422</v>
      </c>
      <c r="D81" s="20">
        <v>3.0984795181066838E-9</v>
      </c>
      <c r="E81" s="20">
        <v>0.99875243388806489</v>
      </c>
      <c r="F81" s="20">
        <v>2.3562581316140037E-2</v>
      </c>
      <c r="G81" s="20">
        <v>1.9256937706369507E-6</v>
      </c>
      <c r="H81" s="20">
        <v>0</v>
      </c>
      <c r="I81" s="20">
        <v>0.97518792687815425</v>
      </c>
      <c r="J81" s="20">
        <v>1.0817189782889275E-3</v>
      </c>
      <c r="K81" s="20">
        <v>1.6584403516654533E-4</v>
      </c>
      <c r="L81" s="20">
        <v>0</v>
      </c>
    </row>
    <row r="82" spans="1:12">
      <c r="A82" s="2" t="s">
        <v>513</v>
      </c>
      <c r="B82" s="3" t="s">
        <v>423</v>
      </c>
      <c r="D82" s="20">
        <v>9.925310584124848E-13</v>
      </c>
      <c r="E82" s="20">
        <v>0.99842891929375333</v>
      </c>
      <c r="F82" s="20">
        <v>6.0119909832157786E-2</v>
      </c>
      <c r="G82" s="20">
        <v>4.5720813041671083E-6</v>
      </c>
      <c r="H82" s="20">
        <v>0</v>
      </c>
      <c r="I82" s="20">
        <v>0.93830443738029135</v>
      </c>
      <c r="J82" s="20">
        <v>1.3058483051322971E-3</v>
      </c>
      <c r="K82" s="20">
        <v>2.6523240012180143E-4</v>
      </c>
      <c r="L82" s="20">
        <v>0</v>
      </c>
    </row>
    <row r="83" spans="1:12">
      <c r="A83" s="2" t="s">
        <v>514</v>
      </c>
      <c r="B83" s="3" t="s">
        <v>424</v>
      </c>
      <c r="D83" s="20">
        <v>2.2460377158984729E-9</v>
      </c>
      <c r="E83" s="20">
        <v>0.92861329343598498</v>
      </c>
      <c r="F83" s="20">
        <v>0.90134547210022231</v>
      </c>
      <c r="G83" s="20">
        <v>6.6812179708294124E-4</v>
      </c>
      <c r="H83" s="20">
        <v>0</v>
      </c>
      <c r="I83" s="20">
        <v>2.6599699538679727E-2</v>
      </c>
      <c r="J83" s="20">
        <v>7.0464625020950966E-2</v>
      </c>
      <c r="K83" s="20">
        <v>9.2207929702630505E-4</v>
      </c>
      <c r="L83" s="20">
        <v>0</v>
      </c>
    </row>
    <row r="84" spans="1:12">
      <c r="A84" s="2" t="s">
        <v>403</v>
      </c>
      <c r="B84" s="3" t="s">
        <v>404</v>
      </c>
      <c r="D84" s="20">
        <v>6.7553186368943492E-44</v>
      </c>
      <c r="E84" s="20">
        <v>0.48793796164369713</v>
      </c>
      <c r="F84" s="20">
        <v>4.6635866848659946E-2</v>
      </c>
      <c r="G84" s="20">
        <v>1.0789855014940061E-2</v>
      </c>
      <c r="H84" s="20">
        <v>0</v>
      </c>
      <c r="I84" s="20">
        <v>0.43051223978009712</v>
      </c>
      <c r="J84" s="20">
        <v>6.087993096458349E-3</v>
      </c>
      <c r="K84" s="20">
        <v>0.50597404525984457</v>
      </c>
      <c r="L84" s="20">
        <v>0</v>
      </c>
    </row>
    <row r="85" spans="1:12">
      <c r="A85" s="2" t="s">
        <v>405</v>
      </c>
      <c r="B85" s="3" t="s">
        <v>406</v>
      </c>
      <c r="D85" s="20">
        <v>2.607375106229775E-8</v>
      </c>
      <c r="E85" s="20">
        <v>0.25284513298135247</v>
      </c>
      <c r="F85" s="20">
        <v>0.14954448961128541</v>
      </c>
      <c r="G85" s="20">
        <v>7.8179737371581095E-3</v>
      </c>
      <c r="H85" s="20">
        <v>0</v>
      </c>
      <c r="I85" s="20">
        <v>9.5482669632908967E-2</v>
      </c>
      <c r="J85" s="20">
        <v>0.71773726808737981</v>
      </c>
      <c r="K85" s="20">
        <v>2.941757285751672E-2</v>
      </c>
      <c r="L85" s="20">
        <v>0</v>
      </c>
    </row>
    <row r="86" spans="1:12">
      <c r="A86" s="2" t="s">
        <v>407</v>
      </c>
      <c r="B86" s="3" t="s">
        <v>408</v>
      </c>
      <c r="D86" s="20">
        <v>1.2973880283044574E-4</v>
      </c>
      <c r="E86" s="20">
        <v>0.4570417874405534</v>
      </c>
      <c r="F86" s="20">
        <v>8.674493002711077E-2</v>
      </c>
      <c r="G86" s="20">
        <v>0.36850183634367001</v>
      </c>
      <c r="H86" s="20">
        <v>0</v>
      </c>
      <c r="I86" s="20">
        <v>1.795021069772606E-3</v>
      </c>
      <c r="J86" s="20">
        <v>0.20712774274241486</v>
      </c>
      <c r="K86" s="20">
        <v>0.33570073101420117</v>
      </c>
      <c r="L86" s="20">
        <v>0</v>
      </c>
    </row>
    <row r="87" spans="1:12">
      <c r="A87" s="2" t="s">
        <v>409</v>
      </c>
      <c r="B87" s="3" t="s">
        <v>410</v>
      </c>
      <c r="D87" s="20">
        <v>1.7357079349140885E-5</v>
      </c>
      <c r="E87" s="20">
        <v>0.50079981630430925</v>
      </c>
      <c r="F87" s="20">
        <v>5.0506917497724985E-2</v>
      </c>
      <c r="G87" s="20">
        <v>0.44962082601539333</v>
      </c>
      <c r="H87" s="20">
        <v>0</v>
      </c>
      <c r="I87" s="20">
        <v>6.7207279119099067E-4</v>
      </c>
      <c r="J87" s="20">
        <v>0.25486280975044517</v>
      </c>
      <c r="K87" s="20">
        <v>0.24432001686589641</v>
      </c>
      <c r="L87" s="20">
        <v>0</v>
      </c>
    </row>
    <row r="88" spans="1:12">
      <c r="A88" s="2" t="s">
        <v>301</v>
      </c>
      <c r="B88" s="3" t="s">
        <v>302</v>
      </c>
      <c r="D88" s="20">
        <v>2.3047979780234061E-6</v>
      </c>
      <c r="E88" s="20">
        <v>0.54538494003733384</v>
      </c>
      <c r="F88" s="20">
        <v>2.5182977598953691E-2</v>
      </c>
      <c r="G88" s="20">
        <v>0.51999915096095528</v>
      </c>
      <c r="H88" s="20">
        <v>0</v>
      </c>
      <c r="I88" s="20">
        <v>2.0281147742489273E-4</v>
      </c>
      <c r="J88" s="20">
        <v>0.29760711098963727</v>
      </c>
      <c r="K88" s="20">
        <v>0.15700564417505083</v>
      </c>
      <c r="L88" s="20">
        <v>0</v>
      </c>
    </row>
    <row r="89" spans="1:12">
      <c r="A89" s="2" t="s">
        <v>303</v>
      </c>
      <c r="B89" s="3" t="s">
        <v>304</v>
      </c>
      <c r="D89" s="20">
        <v>1.0444642392748062E-13</v>
      </c>
      <c r="E89" s="20">
        <v>3.3841691103309514E-2</v>
      </c>
      <c r="F89" s="20">
        <v>9.1746727759835275E-3</v>
      </c>
      <c r="G89" s="20">
        <v>2.3861440572624893E-2</v>
      </c>
      <c r="H89" s="20">
        <v>0</v>
      </c>
      <c r="I89" s="20">
        <v>8.0557775470109201E-4</v>
      </c>
      <c r="J89" s="20">
        <v>0.95609341293426819</v>
      </c>
      <c r="K89" s="20">
        <v>1.0064895962317832E-2</v>
      </c>
      <c r="L89" s="20">
        <v>0</v>
      </c>
    </row>
    <row r="90" spans="1:12">
      <c r="A90" s="2" t="s">
        <v>425</v>
      </c>
      <c r="B90" s="3" t="s">
        <v>426</v>
      </c>
      <c r="D90" s="20">
        <v>1.5972519943487832E-13</v>
      </c>
      <c r="E90" s="20">
        <v>0.97404618628034545</v>
      </c>
      <c r="F90" s="20">
        <v>9.1356549504209887E-5</v>
      </c>
      <c r="G90" s="20">
        <v>3.0673615907397724E-5</v>
      </c>
      <c r="H90" s="20">
        <v>0</v>
      </c>
      <c r="I90" s="20">
        <v>0.97392415611493388</v>
      </c>
      <c r="J90" s="20">
        <v>9.1131814925411194E-4</v>
      </c>
      <c r="K90" s="20">
        <v>2.5042495570240807E-2</v>
      </c>
      <c r="L90" s="20">
        <v>0</v>
      </c>
    </row>
    <row r="91" spans="1:12">
      <c r="A91" s="2" t="s">
        <v>427</v>
      </c>
      <c r="B91" s="3" t="s">
        <v>428</v>
      </c>
      <c r="D91" s="20">
        <v>8.7692012810110882E-5</v>
      </c>
      <c r="E91" s="20">
        <v>0.77249362602813465</v>
      </c>
      <c r="F91" s="20">
        <v>5.8510559837036081E-3</v>
      </c>
      <c r="G91" s="20">
        <v>1.6456209548181844E-3</v>
      </c>
      <c r="H91" s="20">
        <v>0</v>
      </c>
      <c r="I91" s="20">
        <v>0.76499694908961291</v>
      </c>
      <c r="J91" s="20">
        <v>1.5570616284872356E-3</v>
      </c>
      <c r="K91" s="20">
        <v>0.22586162033056789</v>
      </c>
      <c r="L91" s="20">
        <v>0</v>
      </c>
    </row>
    <row r="92" spans="1:12">
      <c r="A92" s="2" t="s">
        <v>429</v>
      </c>
      <c r="B92" s="3" t="s">
        <v>430</v>
      </c>
      <c r="D92" s="20">
        <v>1.0554431813978268E-3</v>
      </c>
      <c r="E92" s="20">
        <v>0.38773670510428271</v>
      </c>
      <c r="F92" s="20">
        <v>0.10057940761244152</v>
      </c>
      <c r="G92" s="20">
        <v>2.1222895164703447E-2</v>
      </c>
      <c r="H92" s="20">
        <v>0</v>
      </c>
      <c r="I92" s="20">
        <v>0.26593440232713772</v>
      </c>
      <c r="J92" s="20">
        <v>1.1531035230656411E-2</v>
      </c>
      <c r="K92" s="20">
        <v>0.59967681648366311</v>
      </c>
      <c r="L92" s="20">
        <v>0</v>
      </c>
    </row>
    <row r="93" spans="1:12">
      <c r="A93" s="2" t="s">
        <v>431</v>
      </c>
      <c r="B93" s="3" t="s">
        <v>432</v>
      </c>
      <c r="D93" s="20">
        <v>1.2047792231389851E-17</v>
      </c>
      <c r="E93" s="20">
        <v>0.99892419992271497</v>
      </c>
      <c r="F93" s="20">
        <v>4.3596071113372563E-4</v>
      </c>
      <c r="G93" s="20">
        <v>3.4927642545718271E-7</v>
      </c>
      <c r="H93" s="20">
        <v>0</v>
      </c>
      <c r="I93" s="20">
        <v>0.9984878899351558</v>
      </c>
      <c r="J93" s="20">
        <v>9.2287387473131673E-4</v>
      </c>
      <c r="K93" s="20">
        <v>1.5292620255378069E-4</v>
      </c>
      <c r="L93" s="20">
        <v>0</v>
      </c>
    </row>
    <row r="94" spans="1:12">
      <c r="A94" s="2" t="s">
        <v>433</v>
      </c>
      <c r="B94" s="3" t="s">
        <v>434</v>
      </c>
      <c r="D94" s="20">
        <v>2.5364485997941625E-18</v>
      </c>
      <c r="E94" s="20">
        <v>0.99907126050240913</v>
      </c>
      <c r="F94" s="20">
        <v>1.6900528318951953E-6</v>
      </c>
      <c r="G94" s="20">
        <v>2.3582830135863948E-9</v>
      </c>
      <c r="H94" s="20">
        <v>0</v>
      </c>
      <c r="I94" s="20">
        <v>0.99906956809129421</v>
      </c>
      <c r="J94" s="20">
        <v>9.2488552560581394E-4</v>
      </c>
      <c r="K94" s="20">
        <v>3.8539719850018857E-6</v>
      </c>
      <c r="L94" s="20">
        <v>0</v>
      </c>
    </row>
    <row r="95" spans="1:12">
      <c r="A95" s="2" t="s">
        <v>435</v>
      </c>
      <c r="B95" s="3" t="s">
        <v>436</v>
      </c>
      <c r="D95" s="20">
        <v>1.3629623609177097E-8</v>
      </c>
      <c r="E95" s="20">
        <v>0.94111861638124883</v>
      </c>
      <c r="F95" s="20">
        <v>3.7387744808483567E-4</v>
      </c>
      <c r="G95" s="20">
        <v>1.2967627178821201E-4</v>
      </c>
      <c r="H95" s="20">
        <v>0</v>
      </c>
      <c r="I95" s="20">
        <v>0.94061506266137573</v>
      </c>
      <c r="J95" s="20">
        <v>9.4208298072496891E-4</v>
      </c>
      <c r="K95" s="20">
        <v>5.7939287008402778E-2</v>
      </c>
      <c r="L95" s="20">
        <v>0</v>
      </c>
    </row>
    <row r="96" spans="1:12">
      <c r="A96" s="2" t="s">
        <v>437</v>
      </c>
      <c r="B96" s="163" t="s">
        <v>438</v>
      </c>
      <c r="D96" s="20">
        <v>2.355433556461616E-7</v>
      </c>
      <c r="E96" s="20">
        <v>0.44182068502768684</v>
      </c>
      <c r="F96" s="20">
        <v>0.10397886506810272</v>
      </c>
      <c r="G96" s="20">
        <v>0.33530546213837659</v>
      </c>
      <c r="H96" s="20">
        <v>0</v>
      </c>
      <c r="I96" s="20">
        <v>2.5363578212075138E-3</v>
      </c>
      <c r="J96" s="20">
        <v>0.1878794659658729</v>
      </c>
      <c r="K96" s="20">
        <v>0.37029961346308465</v>
      </c>
      <c r="L96" s="20">
        <v>0</v>
      </c>
    </row>
    <row r="97" spans="1:12">
      <c r="A97" s="2" t="s">
        <v>439</v>
      </c>
      <c r="B97" s="3" t="s">
        <v>440</v>
      </c>
      <c r="D97" s="20">
        <v>4.498272697030356E-5</v>
      </c>
      <c r="E97" s="20">
        <v>0.6935545833429223</v>
      </c>
      <c r="F97" s="20">
        <v>1.1558992843625467E-2</v>
      </c>
      <c r="G97" s="20">
        <v>3.0648946441512465E-3</v>
      </c>
      <c r="H97" s="20">
        <v>0</v>
      </c>
      <c r="I97" s="20">
        <v>0.67893069585514554</v>
      </c>
      <c r="J97" s="20">
        <v>2.2221672626591442E-3</v>
      </c>
      <c r="K97" s="20">
        <v>0.30417826666744824</v>
      </c>
      <c r="L97" s="20">
        <v>0</v>
      </c>
    </row>
    <row r="98" spans="1:12">
      <c r="A98" s="2" t="s">
        <v>441</v>
      </c>
      <c r="B98" s="3" t="s">
        <v>442</v>
      </c>
      <c r="D98" s="20">
        <v>2.9166800386285782E-17</v>
      </c>
      <c r="E98" s="20">
        <v>0.75881091851601057</v>
      </c>
      <c r="F98" s="20">
        <v>6.6674996917998252E-3</v>
      </c>
      <c r="G98" s="20">
        <v>1.8546354624295765E-3</v>
      </c>
      <c r="H98" s="20">
        <v>0</v>
      </c>
      <c r="I98" s="20">
        <v>0.75028878336178118</v>
      </c>
      <c r="J98" s="20">
        <v>1.6528624113375555E-3</v>
      </c>
      <c r="K98" s="20">
        <v>0.23953621907265191</v>
      </c>
      <c r="L98" s="20">
        <v>0</v>
      </c>
    </row>
    <row r="99" spans="1:12">
      <c r="A99" s="2" t="s">
        <v>443</v>
      </c>
      <c r="B99" s="3" t="s">
        <v>444</v>
      </c>
      <c r="D99" s="20">
        <v>4.2595317611856165E-29</v>
      </c>
      <c r="E99" s="20">
        <v>0.88030681804308908</v>
      </c>
      <c r="F99" s="20">
        <v>1.4984286763216044E-3</v>
      </c>
      <c r="G99" s="20">
        <v>4.7068637959758047E-4</v>
      </c>
      <c r="H99" s="20">
        <v>0</v>
      </c>
      <c r="I99" s="20">
        <v>0.87833770298716984</v>
      </c>
      <c r="J99" s="20">
        <v>1.0495967869944515E-3</v>
      </c>
      <c r="K99" s="20">
        <v>0.11864358516991667</v>
      </c>
      <c r="L99" s="20">
        <v>0</v>
      </c>
    </row>
    <row r="100" spans="1:12">
      <c r="A100" s="2" t="s">
        <v>445</v>
      </c>
      <c r="B100" s="3" t="s">
        <v>446</v>
      </c>
      <c r="D100" s="20">
        <v>2.2233522786145809E-7</v>
      </c>
      <c r="E100" s="20">
        <v>0.40154019111305816</v>
      </c>
      <c r="F100" s="20">
        <v>0.23506203667797124</v>
      </c>
      <c r="G100" s="20">
        <v>0.15148793658699117</v>
      </c>
      <c r="H100" s="20">
        <v>0</v>
      </c>
      <c r="I100" s="20">
        <v>1.4990217848095764E-2</v>
      </c>
      <c r="J100" s="20">
        <v>8.3360617489084313E-2</v>
      </c>
      <c r="K100" s="20">
        <v>0.51509896906262975</v>
      </c>
      <c r="L100" s="20">
        <v>0</v>
      </c>
    </row>
    <row r="101" spans="1:12">
      <c r="A101" s="2" t="s">
        <v>447</v>
      </c>
      <c r="B101" s="3" t="s">
        <v>448</v>
      </c>
      <c r="D101" s="20">
        <v>8.1219658325068222E-9</v>
      </c>
      <c r="E101" s="20">
        <v>0.4183826199689572</v>
      </c>
      <c r="F101" s="20">
        <v>7.6477797666814312E-2</v>
      </c>
      <c r="G101" s="20">
        <v>1.6712096258360294E-2</v>
      </c>
      <c r="H101" s="20">
        <v>0</v>
      </c>
      <c r="I101" s="20">
        <v>0.32519272604378258</v>
      </c>
      <c r="J101" s="20">
        <v>9.1594641207105275E-3</v>
      </c>
      <c r="K101" s="20">
        <v>0.57245790778836625</v>
      </c>
      <c r="L101" s="20">
        <v>0</v>
      </c>
    </row>
    <row r="102" spans="1:12">
      <c r="A102" s="2" t="s">
        <v>449</v>
      </c>
      <c r="B102" s="3" t="s">
        <v>450</v>
      </c>
      <c r="D102" s="20">
        <v>6.2920968430829876E-4</v>
      </c>
      <c r="E102" s="20">
        <v>0.37057946386192808</v>
      </c>
      <c r="F102" s="20">
        <v>0.20657112428693289</v>
      </c>
      <c r="G102" s="20">
        <v>3.9098956661174293E-2</v>
      </c>
      <c r="H102" s="20">
        <v>0</v>
      </c>
      <c r="I102" s="20">
        <v>0.12490938291382091</v>
      </c>
      <c r="J102" s="20">
        <v>2.1107330107555108E-2</v>
      </c>
      <c r="K102" s="20">
        <v>0.60768399634620862</v>
      </c>
      <c r="L102" s="20">
        <v>0</v>
      </c>
    </row>
    <row r="103" spans="1:12">
      <c r="A103" s="2" t="s">
        <v>451</v>
      </c>
      <c r="B103" s="3" t="s">
        <v>452</v>
      </c>
      <c r="D103" s="20">
        <v>4.8390327606740771E-19</v>
      </c>
      <c r="E103" s="20">
        <v>0.99886743370112674</v>
      </c>
      <c r="F103" s="20">
        <v>1.1551810778981517E-2</v>
      </c>
      <c r="G103" s="20">
        <v>1.121050752719793E-6</v>
      </c>
      <c r="H103" s="20">
        <v>0</v>
      </c>
      <c r="I103" s="20">
        <v>0.98731450187139247</v>
      </c>
      <c r="J103" s="20">
        <v>1.0030459799375024E-3</v>
      </c>
      <c r="K103" s="20">
        <v>1.2952031893568035E-4</v>
      </c>
      <c r="L103" s="20">
        <v>0</v>
      </c>
    </row>
    <row r="104" spans="1:12">
      <c r="A104" s="2" t="s">
        <v>453</v>
      </c>
      <c r="B104" s="3" t="s">
        <v>454</v>
      </c>
      <c r="D104" s="20">
        <v>1.0124754285736253E-19</v>
      </c>
      <c r="E104" s="20">
        <v>0.98619474767246629</v>
      </c>
      <c r="F104" s="20">
        <v>0.88528729622656643</v>
      </c>
      <c r="G104" s="20">
        <v>9.3745381873156538E-4</v>
      </c>
      <c r="H104" s="20">
        <v>0</v>
      </c>
      <c r="I104" s="20">
        <v>9.9969997627168308E-2</v>
      </c>
      <c r="J104" s="20">
        <v>7.5842192133766546E-3</v>
      </c>
      <c r="K104" s="20">
        <v>6.2210331141570162E-3</v>
      </c>
      <c r="L104" s="20">
        <v>0</v>
      </c>
    </row>
    <row r="105" spans="1:12">
      <c r="A105" s="2" t="s">
        <v>455</v>
      </c>
      <c r="B105" s="163">
        <v>354656</v>
      </c>
      <c r="D105" s="20">
        <v>3.6746662442960234E-10</v>
      </c>
      <c r="E105" s="20">
        <v>0.96907738131247456</v>
      </c>
      <c r="F105" s="20">
        <v>9.7969775942640311E-5</v>
      </c>
      <c r="G105" s="20">
        <v>3.7895502494605213E-5</v>
      </c>
      <c r="H105" s="20">
        <v>0</v>
      </c>
      <c r="I105" s="20">
        <v>0.96894151603403733</v>
      </c>
      <c r="J105" s="20">
        <v>9.1024770931682835E-4</v>
      </c>
      <c r="K105" s="20">
        <v>3.0012370610741836E-2</v>
      </c>
      <c r="L105" s="20">
        <v>0</v>
      </c>
    </row>
    <row r="106" spans="1:12">
      <c r="A106" s="2" t="s">
        <v>457</v>
      </c>
      <c r="B106" s="3" t="s">
        <v>458</v>
      </c>
      <c r="D106" s="20">
        <v>5.4659628989792888E-10</v>
      </c>
      <c r="E106" s="20">
        <v>0.93838941873865123</v>
      </c>
      <c r="F106" s="20">
        <v>4.0538382807553457E-4</v>
      </c>
      <c r="G106" s="20">
        <v>1.3997224143514074E-4</v>
      </c>
      <c r="H106" s="20">
        <v>0</v>
      </c>
      <c r="I106" s="20">
        <v>0.93784406266914055</v>
      </c>
      <c r="J106" s="20">
        <v>9.4329738447378588E-4</v>
      </c>
      <c r="K106" s="20">
        <v>6.0667283330278675E-2</v>
      </c>
      <c r="L106" s="20">
        <v>0</v>
      </c>
    </row>
    <row r="107" spans="1:12">
      <c r="A107" s="2" t="s">
        <v>459</v>
      </c>
      <c r="B107" s="3" t="s">
        <v>460</v>
      </c>
      <c r="D107" s="20">
        <v>1.8223085391284073E-19</v>
      </c>
      <c r="E107" s="20">
        <v>0.41510077711645682</v>
      </c>
      <c r="F107" s="20">
        <v>0.282439382573489</v>
      </c>
      <c r="G107" s="20">
        <v>4.9432599162404861E-2</v>
      </c>
      <c r="H107" s="20">
        <v>0</v>
      </c>
      <c r="I107" s="20">
        <v>8.3228795380562978E-2</v>
      </c>
      <c r="J107" s="20">
        <v>4.0489244396553666E-2</v>
      </c>
      <c r="K107" s="20">
        <v>0.54440997848698935</v>
      </c>
      <c r="L107" s="20">
        <v>0</v>
      </c>
    </row>
    <row r="108" spans="1:12">
      <c r="A108" s="2" t="s">
        <v>461</v>
      </c>
      <c r="B108" s="3" t="s">
        <v>462</v>
      </c>
      <c r="D108" s="20">
        <v>1.0958818010030592E-9</v>
      </c>
      <c r="E108" s="20">
        <v>0.99902274312048811</v>
      </c>
      <c r="F108" s="20">
        <v>8.7540758504102054E-7</v>
      </c>
      <c r="G108" s="20">
        <v>2.537300394345615E-8</v>
      </c>
      <c r="H108" s="20">
        <v>0</v>
      </c>
      <c r="I108" s="20">
        <v>0.9990218423398991</v>
      </c>
      <c r="J108" s="20">
        <v>9.2191000298200685E-4</v>
      </c>
      <c r="K108" s="20">
        <v>5.5345780647930684E-5</v>
      </c>
      <c r="L108" s="20">
        <v>0</v>
      </c>
    </row>
    <row r="109" spans="1:12">
      <c r="A109" s="2" t="s">
        <v>463</v>
      </c>
      <c r="B109" s="3" t="s">
        <v>464</v>
      </c>
      <c r="D109" s="20">
        <v>2.9292941540610912E-12</v>
      </c>
      <c r="E109" s="20">
        <v>0.96942505946874469</v>
      </c>
      <c r="F109" s="20">
        <v>6.0139524985320571E-3</v>
      </c>
      <c r="G109" s="20">
        <v>2.9892763719965561E-4</v>
      </c>
      <c r="H109" s="20">
        <v>0</v>
      </c>
      <c r="I109" s="20">
        <v>0.96311217933301296</v>
      </c>
      <c r="J109" s="20">
        <v>1.157821709985433E-2</v>
      </c>
      <c r="K109" s="20">
        <v>1.8996723428471782E-2</v>
      </c>
      <c r="L109" s="20">
        <v>0</v>
      </c>
    </row>
    <row r="110" spans="1:12">
      <c r="A110" s="2" t="s">
        <v>465</v>
      </c>
      <c r="B110" s="3" t="s">
        <v>466</v>
      </c>
      <c r="D110" s="20">
        <v>2.0810957502057005E-11</v>
      </c>
      <c r="E110" s="20">
        <v>0.99285376276984094</v>
      </c>
      <c r="F110" s="20">
        <v>2.239072563150905E-5</v>
      </c>
      <c r="G110" s="20">
        <v>4.2838543248283657E-6</v>
      </c>
      <c r="H110" s="20">
        <v>0</v>
      </c>
      <c r="I110" s="20">
        <v>0.99282708818988463</v>
      </c>
      <c r="J110" s="20">
        <v>9.153868043827669E-4</v>
      </c>
      <c r="K110" s="20">
        <v>6.2308504049652658E-3</v>
      </c>
      <c r="L110" s="20">
        <v>0</v>
      </c>
    </row>
    <row r="111" spans="1:12">
      <c r="A111" s="2" t="s">
        <v>467</v>
      </c>
      <c r="B111" s="3" t="s">
        <v>468</v>
      </c>
      <c r="D111" s="20">
        <v>3.698380330311289E-30</v>
      </c>
      <c r="E111" s="20">
        <v>0.99907554308036339</v>
      </c>
      <c r="F111" s="20">
        <v>1.5908608198273849E-6</v>
      </c>
      <c r="G111" s="20">
        <v>1.3143291335800216E-9</v>
      </c>
      <c r="H111" s="20">
        <v>0</v>
      </c>
      <c r="I111" s="20">
        <v>0.99907395090521445</v>
      </c>
      <c r="J111" s="20">
        <v>9.1886170481778279E-4</v>
      </c>
      <c r="K111" s="20">
        <v>5.5952148187405605E-6</v>
      </c>
      <c r="L111" s="20">
        <v>0</v>
      </c>
    </row>
    <row r="112" spans="1:12">
      <c r="A112" s="2" t="s">
        <v>469</v>
      </c>
      <c r="B112" s="3" t="s">
        <v>470</v>
      </c>
      <c r="D112" s="20">
        <v>2.3380077027370962E-13</v>
      </c>
      <c r="E112" s="20">
        <v>0.99101577371076943</v>
      </c>
      <c r="F112" s="20">
        <v>7.7218285127548194E-6</v>
      </c>
      <c r="G112" s="20">
        <v>3.6075778180005461E-6</v>
      </c>
      <c r="H112" s="20">
        <v>0</v>
      </c>
      <c r="I112" s="20">
        <v>0.99100444430443868</v>
      </c>
      <c r="J112" s="20">
        <v>9.1320786931149581E-4</v>
      </c>
      <c r="K112" s="20">
        <v>8.071018419685232E-3</v>
      </c>
      <c r="L112" s="20">
        <v>0</v>
      </c>
    </row>
    <row r="113" spans="1:12">
      <c r="A113" s="2" t="s">
        <v>471</v>
      </c>
      <c r="B113" s="3" t="s">
        <v>472</v>
      </c>
      <c r="D113" s="20">
        <v>2.8851458145567828E-9</v>
      </c>
      <c r="E113" s="20">
        <v>0.95368315380472568</v>
      </c>
      <c r="F113" s="20">
        <v>2.2000977762724549E-4</v>
      </c>
      <c r="G113" s="20">
        <v>8.0082484333709853E-5</v>
      </c>
      <c r="H113" s="20">
        <v>0</v>
      </c>
      <c r="I113" s="20">
        <v>0.95338306154276475</v>
      </c>
      <c r="J113" s="20">
        <v>9.1743758657416566E-4</v>
      </c>
      <c r="K113" s="20">
        <v>4.5399405723554477E-2</v>
      </c>
      <c r="L113" s="20">
        <v>0</v>
      </c>
    </row>
    <row r="114" spans="1:12">
      <c r="A114" s="2" t="s">
        <v>473</v>
      </c>
      <c r="B114" s="3" t="s">
        <v>474</v>
      </c>
      <c r="D114" s="20">
        <v>2.2948229236797837E-16</v>
      </c>
      <c r="E114" s="20">
        <v>0.99490003977754282</v>
      </c>
      <c r="F114" s="20">
        <v>2.2482910038847507E-6</v>
      </c>
      <c r="G114" s="20">
        <v>1.1327162381378936E-6</v>
      </c>
      <c r="H114" s="20">
        <v>0</v>
      </c>
      <c r="I114" s="20">
        <v>0.99489665877030076</v>
      </c>
      <c r="J114" s="20">
        <v>9.1555479273641445E-4</v>
      </c>
      <c r="K114" s="20">
        <v>4.1844054297205373E-3</v>
      </c>
      <c r="L114" s="20">
        <v>0</v>
      </c>
    </row>
    <row r="115" spans="1:12">
      <c r="A115" s="2" t="s">
        <v>475</v>
      </c>
      <c r="B115" s="3" t="s">
        <v>476</v>
      </c>
      <c r="D115" s="20">
        <v>1.2167647595193975E-12</v>
      </c>
      <c r="E115" s="20">
        <v>0.99898944151628599</v>
      </c>
      <c r="F115" s="20">
        <v>2.8023045616625505E-3</v>
      </c>
      <c r="G115" s="20">
        <v>3.3565968831949131E-7</v>
      </c>
      <c r="H115" s="20">
        <v>0</v>
      </c>
      <c r="I115" s="20">
        <v>0.99618680129493509</v>
      </c>
      <c r="J115" s="20">
        <v>9.4146901943507227E-4</v>
      </c>
      <c r="K115" s="20">
        <v>6.9089463062203913E-5</v>
      </c>
      <c r="L115" s="20">
        <v>0</v>
      </c>
    </row>
    <row r="116" spans="1:12">
      <c r="A116" s="2" t="s">
        <v>477</v>
      </c>
      <c r="B116" s="3" t="s">
        <v>478</v>
      </c>
      <c r="D116" s="20">
        <v>9.5261366289274149E-17</v>
      </c>
      <c r="E116" s="20">
        <v>0.61909906052234065</v>
      </c>
      <c r="F116" s="20">
        <v>0.23263928539050219</v>
      </c>
      <c r="G116" s="20">
        <v>5.6346452107277328E-3</v>
      </c>
      <c r="H116" s="20">
        <v>0</v>
      </c>
      <c r="I116" s="20">
        <v>0.38082512992111073</v>
      </c>
      <c r="J116" s="20">
        <v>0.32650340624828728</v>
      </c>
      <c r="K116" s="20">
        <v>5.4397533229372227E-2</v>
      </c>
      <c r="L116" s="20">
        <v>0</v>
      </c>
    </row>
    <row r="117" spans="1:12">
      <c r="A117" s="2" t="s">
        <v>291</v>
      </c>
      <c r="B117" s="3" t="s">
        <v>479</v>
      </c>
      <c r="D117" s="20">
        <v>3.6243609642960319E-10</v>
      </c>
      <c r="E117" s="20">
        <v>0.61005128911336559</v>
      </c>
      <c r="F117" s="20">
        <v>2.1042903285095376E-2</v>
      </c>
      <c r="G117" s="20">
        <v>5.279602362271838E-3</v>
      </c>
      <c r="H117" s="20">
        <v>0</v>
      </c>
      <c r="I117" s="20">
        <v>0.58372878346599832</v>
      </c>
      <c r="J117" s="20">
        <v>3.302422548012403E-3</v>
      </c>
      <c r="K117" s="20">
        <v>0.38664628797618583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D394-3F34-4623-AF75-E680F6665972}">
  <dimension ref="A1:D117"/>
  <sheetViews>
    <sheetView tabSelected="1" topLeftCell="A94" workbookViewId="0">
      <selection activeCell="D108" sqref="A2:D117"/>
    </sheetView>
  </sheetViews>
  <sheetFormatPr defaultRowHeight="15"/>
  <cols>
    <col min="1" max="1" width="13.5" bestFit="1" customWidth="1"/>
    <col min="2" max="2" width="12.3554687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3.6377466918781368E-8</v>
      </c>
      <c r="B2">
        <f>'Mass Balance'!E2</f>
        <v>3.9028757953564773E-5</v>
      </c>
      <c r="C2">
        <f>SUM('Mass Balance'!E2:H2)</f>
        <v>3.9032111605311955E-5</v>
      </c>
      <c r="D2">
        <f>Concentrations!F2/Concentrations!E2</f>
        <v>1.0003040382004165</v>
      </c>
    </row>
    <row r="3" spans="1:4">
      <c r="A3">
        <f>'Mass Balance'!I3</f>
        <v>2.0057663220702107E-7</v>
      </c>
      <c r="B3">
        <f>'Mass Balance'!E3</f>
        <v>2.3520043552595773E-5</v>
      </c>
      <c r="C3">
        <f>SUM('Mass Balance'!E3:H3)</f>
        <v>2.4677375157387084E-5</v>
      </c>
      <c r="D3">
        <f>Concentrations!F3/Concentrations!E3</f>
        <v>0.95347321310179411</v>
      </c>
    </row>
    <row r="4" spans="1:4">
      <c r="A4">
        <f>'Mass Balance'!I4</f>
        <v>4.163813876282824E-8</v>
      </c>
      <c r="B4">
        <f>'Mass Balance'!E4</f>
        <v>3.9955857051510293E-5</v>
      </c>
      <c r="C4">
        <f>SUM('Mass Balance'!E4:H4)</f>
        <v>3.9957539233642483E-5</v>
      </c>
      <c r="D4">
        <f>Concentrations!F4/Concentrations!E4</f>
        <v>1.0003478763736684</v>
      </c>
    </row>
    <row r="5" spans="1:4">
      <c r="A5">
        <f>'Mass Balance'!I5</f>
        <v>5.5945178606921321E-8</v>
      </c>
      <c r="B5">
        <f>'Mass Balance'!E5</f>
        <v>3.6895555030437482E-5</v>
      </c>
      <c r="C5">
        <f>SUM('Mass Balance'!E5:H5)</f>
        <v>3.993142430760112E-5</v>
      </c>
      <c r="D5">
        <f>Concentrations!F5/Concentrations!E5</f>
        <v>0.92433326992500109</v>
      </c>
    </row>
    <row r="6" spans="1:4">
      <c r="A6">
        <f>'Mass Balance'!I6</f>
        <v>7.7874310701192349E-8</v>
      </c>
      <c r="B6">
        <f>'Mass Balance'!E6</f>
        <v>3.2999890037572852E-5</v>
      </c>
      <c r="C6">
        <f>SUM('Mass Balance'!E6:H6)</f>
        <v>3.9850558788411341E-5</v>
      </c>
      <c r="D6">
        <f>Concentrations!F6/Concentrations!E6</f>
        <v>0.82841397299118724</v>
      </c>
    </row>
    <row r="7" spans="1:4">
      <c r="A7">
        <f>'Mass Balance'!I7</f>
        <v>1.4734083322133715E-7</v>
      </c>
      <c r="B7">
        <f>'Mass Balance'!E7</f>
        <v>2.1457669453244038E-5</v>
      </c>
      <c r="C7">
        <f>SUM('Mass Balance'!E7:H7)</f>
        <v>3.9112366030331669E-5</v>
      </c>
      <c r="D7">
        <f>Concentrations!F7/Concentrations!E7</f>
        <v>0.5488299469472826</v>
      </c>
    </row>
    <row r="8" spans="1:4">
      <c r="A8">
        <f>'Mass Balance'!I8</f>
        <v>9.3971659860816115E-8</v>
      </c>
      <c r="B8">
        <f>'Mass Balance'!E8</f>
        <v>2.9885002750184784E-5</v>
      </c>
      <c r="C8">
        <f>SUM('Mass Balance'!E8:H8)</f>
        <v>3.9860944067633802E-5</v>
      </c>
      <c r="D8">
        <f>Concentrations!F8/Concentrations!E8</f>
        <v>0.75002382313076277</v>
      </c>
    </row>
    <row r="9" spans="1:4">
      <c r="A9">
        <f>'Mass Balance'!I9</f>
        <v>5.2198548074836854E-8</v>
      </c>
      <c r="B9">
        <f>'Mass Balance'!E9</f>
        <v>3.754837413873E-5</v>
      </c>
      <c r="C9">
        <f>SUM('Mass Balance'!E9:H9)</f>
        <v>3.9895683148929221E-5</v>
      </c>
      <c r="D9">
        <f>Concentrations!F9/Concentrations!E9</f>
        <v>0.94153088105625038</v>
      </c>
    </row>
    <row r="10" spans="1:4">
      <c r="A10">
        <f>'Mass Balance'!I10</f>
        <v>1.313879955788729E-6</v>
      </c>
      <c r="B10">
        <f>'Mass Balance'!E10</f>
        <v>1.9260578196104643E-6</v>
      </c>
      <c r="C10">
        <f>SUM('Mass Balance'!E10:H10)</f>
        <v>1.8202383196307604E-5</v>
      </c>
      <c r="D10">
        <f>Concentrations!F10/Concentrations!E10</f>
        <v>0.10585476341410867</v>
      </c>
    </row>
    <row r="11" spans="1:4">
      <c r="A11">
        <f>'Mass Balance'!I11</f>
        <v>1.127185407049716E-5</v>
      </c>
      <c r="B11">
        <f>'Mass Balance'!E11</f>
        <v>1.5343697905307427E-7</v>
      </c>
      <c r="C11">
        <f>SUM('Mass Balance'!E11:H11)</f>
        <v>2.4296229195868619E-5</v>
      </c>
      <c r="D11">
        <f>Concentrations!F11/Concentrations!E11</f>
        <v>6.3177218577935871E-3</v>
      </c>
    </row>
    <row r="12" spans="1:4">
      <c r="A12">
        <f>'Mass Balance'!I12</f>
        <v>3.38894043647678E-8</v>
      </c>
      <c r="B12">
        <f>'Mass Balance'!E12</f>
        <v>3.6812532228534722E-5</v>
      </c>
      <c r="C12">
        <f>SUM('Mass Balance'!E12:H12)</f>
        <v>3.6812686452956285E-5</v>
      </c>
      <c r="D12">
        <f>Concentrations!F12/Concentrations!E12</f>
        <v>1.000385800963896</v>
      </c>
    </row>
    <row r="13" spans="1:4">
      <c r="A13">
        <f>'Mass Balance'!I13</f>
        <v>1.1220235773896135E-7</v>
      </c>
      <c r="B13">
        <f>'Mass Balance'!E13</f>
        <v>2.4929387479955472E-5</v>
      </c>
      <c r="C13">
        <f>SUM('Mass Balance'!E13:H13)</f>
        <v>2.5765857388888895E-5</v>
      </c>
      <c r="D13">
        <f>Concentrations!F13/Concentrations!E13</f>
        <v>0.96791305509794778</v>
      </c>
    </row>
    <row r="14" spans="1:4">
      <c r="A14">
        <f>'Mass Balance'!I14</f>
        <v>4.5628454783183467E-7</v>
      </c>
      <c r="B14">
        <f>'Mass Balance'!E14</f>
        <v>3.2166233668209626E-6</v>
      </c>
      <c r="C14">
        <f>SUM('Mass Balance'!E14:H14)</f>
        <v>3.9259098544405896E-5</v>
      </c>
      <c r="D14">
        <f>Concentrations!F14/Concentrations!E14</f>
        <v>8.1965148045166053E-2</v>
      </c>
    </row>
    <row r="15" spans="1:4">
      <c r="A15">
        <f>'Mass Balance'!I15</f>
        <v>4.1157981021480756E-8</v>
      </c>
      <c r="B15">
        <f>'Mass Balance'!E15</f>
        <v>3.1192017925138942E-5</v>
      </c>
      <c r="C15">
        <f>SUM('Mass Balance'!E15:H15)</f>
        <v>3.1295624551535662E-5</v>
      </c>
      <c r="D15">
        <f>Concentrations!F15/Concentrations!E15</f>
        <v>0.99707812228781323</v>
      </c>
    </row>
    <row r="16" spans="1:4">
      <c r="A16">
        <f>'Mass Balance'!I16</f>
        <v>1.2493699424148304E-7</v>
      </c>
      <c r="B16">
        <f>'Mass Balance'!E16</f>
        <v>2.3863743017101782E-5</v>
      </c>
      <c r="C16">
        <f>SUM('Mass Balance'!E16:H16)</f>
        <v>2.4838863796819082E-5</v>
      </c>
      <c r="D16">
        <f>Concentrations!F16/Concentrations!E16</f>
        <v>0.96111681605375676</v>
      </c>
    </row>
    <row r="17" spans="1:4">
      <c r="A17">
        <f>'Mass Balance'!I17</f>
        <v>1.1654242938544121E-7</v>
      </c>
      <c r="B17">
        <f>'Mass Balance'!E17</f>
        <v>2.4481837752880361E-5</v>
      </c>
      <c r="C17">
        <f>SUM('Mass Balance'!E17:H17)</f>
        <v>2.5366288934214218E-5</v>
      </c>
      <c r="D17">
        <f>Concentrations!F17/Concentrations!E17</f>
        <v>0.96550920546992725</v>
      </c>
    </row>
    <row r="18" spans="1:4">
      <c r="A18">
        <f>'Mass Balance'!I18</f>
        <v>7.0222517082834954E-6</v>
      </c>
      <c r="B18">
        <f>'Mass Balance'!E18</f>
        <v>1.254252878348972E-7</v>
      </c>
      <c r="C18">
        <f>SUM('Mass Balance'!E18:H18)</f>
        <v>1.7317160237476581E-5</v>
      </c>
      <c r="D18">
        <f>Concentrations!F18/Concentrations!E18</f>
        <v>7.2456569655418752E-3</v>
      </c>
    </row>
    <row r="19" spans="1:4">
      <c r="A19">
        <f>'Mass Balance'!I19</f>
        <v>3.7785600772687486E-8</v>
      </c>
      <c r="B19">
        <f>'Mass Balance'!E19</f>
        <v>3.6381955574868639E-5</v>
      </c>
      <c r="C19">
        <f>SUM('Mass Balance'!E19:H19)</f>
        <v>3.6415652905228298E-5</v>
      </c>
      <c r="D19">
        <f>Concentrations!F19/Concentrations!E19</f>
        <v>0.99946427824493811</v>
      </c>
    </row>
    <row r="20" spans="1:4">
      <c r="A20">
        <f>'Mass Balance'!I20</f>
        <v>3.9559718616203672E-8</v>
      </c>
      <c r="B20">
        <f>'Mass Balance'!E20</f>
        <v>3.4925568769976289E-5</v>
      </c>
      <c r="C20">
        <f>SUM('Mass Balance'!E20:H20)</f>
        <v>3.4985329078719391E-5</v>
      </c>
      <c r="D20">
        <f>Concentrations!F20/Concentrations!E20</f>
        <v>0.99868117247035748</v>
      </c>
    </row>
    <row r="21" spans="1:4">
      <c r="A21">
        <f>'Mass Balance'!I21</f>
        <v>3.3637663608446567E-7</v>
      </c>
      <c r="B21">
        <f>'Mass Balance'!E21</f>
        <v>1.6289853697021555E-5</v>
      </c>
      <c r="C21">
        <f>SUM('Mass Balance'!E21:H21)</f>
        <v>2.8880677285130202E-5</v>
      </c>
      <c r="D21">
        <f>Concentrations!F21/Concentrations!E21</f>
        <v>0.56425984921748729</v>
      </c>
    </row>
    <row r="22" spans="1:4">
      <c r="A22">
        <f>'Mass Balance'!I22</f>
        <v>3.4044396342932734E-8</v>
      </c>
      <c r="B22">
        <f>'Mass Balance'!E22</f>
        <v>3.6165331807719047E-5</v>
      </c>
      <c r="C22">
        <f>SUM('Mass Balance'!E22:H22)</f>
        <v>3.6170924915626124E-5</v>
      </c>
      <c r="D22">
        <f>Concentrations!F22/Concentrations!E22</f>
        <v>1.0002353017912216</v>
      </c>
    </row>
    <row r="23" spans="1:4">
      <c r="A23">
        <f>'Mass Balance'!I23</f>
        <v>4.8698590538270214E-8</v>
      </c>
      <c r="B23">
        <f>'Mass Balance'!E23</f>
        <v>3.0070787841607296E-5</v>
      </c>
      <c r="C23">
        <f>SUM('Mass Balance'!E23:H23)</f>
        <v>3.0250972145608571E-5</v>
      </c>
      <c r="D23">
        <f>Concentrations!F23/Concentrations!E23</f>
        <v>0.99443135462023402</v>
      </c>
    </row>
    <row r="24" spans="1:4">
      <c r="A24">
        <f>'Mass Balance'!I24</f>
        <v>1.7653319063184651E-7</v>
      </c>
      <c r="B24">
        <f>'Mass Balance'!E24</f>
        <v>2.0404221407965014E-5</v>
      </c>
      <c r="C24">
        <f>SUM('Mass Balance'!E24:H24)</f>
        <v>2.1947975807463931E-5</v>
      </c>
      <c r="D24">
        <f>Concentrations!F24/Concentrations!E24</f>
        <v>0.93002557825139132</v>
      </c>
    </row>
    <row r="25" spans="1:4">
      <c r="A25">
        <f>'Mass Balance'!I25</f>
        <v>6.2793638973257538E-6</v>
      </c>
      <c r="B25">
        <f>'Mass Balance'!E25</f>
        <v>1.7068220847893575E-7</v>
      </c>
      <c r="C25">
        <f>SUM('Mass Balance'!E25:H25)</f>
        <v>1.6829387757682613E-5</v>
      </c>
      <c r="D25">
        <f>Concentrations!F25/Concentrations!E25</f>
        <v>1.0145869572868194E-2</v>
      </c>
    </row>
    <row r="26" spans="1:4">
      <c r="A26">
        <f>'Mass Balance'!I26</f>
        <v>3.0878012911667268E-7</v>
      </c>
      <c r="B26">
        <f>'Mass Balance'!E26</f>
        <v>9.3573171111217856E-6</v>
      </c>
      <c r="C26">
        <f>SUM('Mass Balance'!E26:H26)</f>
        <v>1.2544451468793958E-5</v>
      </c>
      <c r="D26">
        <f>Concentrations!F26/Concentrations!E26</f>
        <v>0.7462236522295177</v>
      </c>
    </row>
    <row r="27" spans="1:4">
      <c r="A27">
        <f>'Mass Balance'!I27</f>
        <v>1.430624009879497E-7</v>
      </c>
      <c r="B27">
        <f>'Mass Balance'!E27</f>
        <v>8.8681939491568885E-7</v>
      </c>
      <c r="C27">
        <f>SUM('Mass Balance'!E27:H27)</f>
        <v>2.5468933163516576E-6</v>
      </c>
      <c r="D27">
        <f>Concentrations!F27/Concentrations!E27</f>
        <v>0.3483323159709637</v>
      </c>
    </row>
    <row r="28" spans="1:4">
      <c r="A28">
        <f>'Mass Balance'!I28</f>
        <v>5.9102731471256746E-8</v>
      </c>
      <c r="B28">
        <f>'Mass Balance'!E28</f>
        <v>1.3322817878628721E-6</v>
      </c>
      <c r="C28">
        <f>SUM('Mass Balance'!E28:H28)</f>
        <v>1.9577392535887132E-6</v>
      </c>
      <c r="D28">
        <f>Concentrations!F28/Concentrations!E28</f>
        <v>0.68078594465769415</v>
      </c>
    </row>
    <row r="29" spans="1:4">
      <c r="A29">
        <f>'Mass Balance'!I29</f>
        <v>2.8254854011252635E-9</v>
      </c>
      <c r="B29">
        <f>'Mass Balance'!E29</f>
        <v>2.377084968464685E-6</v>
      </c>
      <c r="C29">
        <f>SUM('Mass Balance'!E29:H29)</f>
        <v>2.3822847564337777E-6</v>
      </c>
      <c r="D29">
        <f>Concentrations!F29/Concentrations!E29</f>
        <v>0.99820645128398888</v>
      </c>
    </row>
    <row r="30" spans="1:4">
      <c r="A30">
        <f>'Mass Balance'!I30</f>
        <v>2.0901762522351101E-8</v>
      </c>
      <c r="B30">
        <f>'Mass Balance'!E30</f>
        <v>5.0455633331682463E-7</v>
      </c>
      <c r="C30">
        <f>SUM('Mass Balance'!E30:H30)</f>
        <v>7.245194411733865E-7</v>
      </c>
      <c r="D30">
        <f>Concentrations!F30/Concentrations!E30</f>
        <v>0.69667296359957631</v>
      </c>
    </row>
    <row r="31" spans="1:4">
      <c r="A31">
        <f>'Mass Balance'!I31</f>
        <v>3.5399819230911818E-10</v>
      </c>
      <c r="B31">
        <f>'Mass Balance'!E31</f>
        <v>1.7988021396813825E-8</v>
      </c>
      <c r="C31">
        <f>SUM('Mass Balance'!E31:H31)</f>
        <v>2.1461581346718133E-8</v>
      </c>
      <c r="D31">
        <f>Concentrations!F31/Concentrations!E31</f>
        <v>0.83847673156790337</v>
      </c>
    </row>
    <row r="32" spans="1:4">
      <c r="A32">
        <f>'Mass Balance'!I32</f>
        <v>9.9422665068153639E-8</v>
      </c>
      <c r="B32">
        <f>'Mass Balance'!E32</f>
        <v>2.6008321257531129E-5</v>
      </c>
      <c r="C32">
        <f>SUM('Mass Balance'!E32:H32)</f>
        <v>2.670750381072057E-5</v>
      </c>
      <c r="D32">
        <f>Concentrations!F32/Concentrations!E32</f>
        <v>0.97420052731428086</v>
      </c>
    </row>
    <row r="33" spans="1:4">
      <c r="A33">
        <f>'Mass Balance'!I33</f>
        <v>6.3507217106550082E-8</v>
      </c>
      <c r="B33">
        <f>'Mass Balance'!E33</f>
        <v>3.0405723447404364E-5</v>
      </c>
      <c r="C33">
        <f>SUM('Mass Balance'!E33:H33)</f>
        <v>3.0718715793124161E-5</v>
      </c>
      <c r="D33">
        <f>Concentrations!F33/Concentrations!E33</f>
        <v>0.99019703955724414</v>
      </c>
    </row>
    <row r="34" spans="1:4">
      <c r="A34">
        <f>'Mass Balance'!I34</f>
        <v>3.7096556421086646E-7</v>
      </c>
      <c r="B34">
        <f>'Mass Balance'!E34</f>
        <v>1.2876605615595979E-5</v>
      </c>
      <c r="C34">
        <f>SUM('Mass Balance'!E34:H34)</f>
        <v>1.6658819028393136E-5</v>
      </c>
      <c r="D34">
        <f>Concentrations!F34/Concentrations!E34</f>
        <v>0.77326174005864801</v>
      </c>
    </row>
    <row r="35" spans="1:4">
      <c r="A35">
        <f>'Mass Balance'!I35</f>
        <v>1.0044030663098476E-6</v>
      </c>
      <c r="B35">
        <f>'Mass Balance'!E35</f>
        <v>3.1013580786373421E-6</v>
      </c>
      <c r="C35">
        <f>SUM('Mass Balance'!E35:H35)</f>
        <v>1.5288461878858616E-5</v>
      </c>
      <c r="D35">
        <f>Concentrations!F35/Concentrations!E35</f>
        <v>0.2029352336531943</v>
      </c>
    </row>
    <row r="36" spans="1:4">
      <c r="A36">
        <f>'Mass Balance'!I36</f>
        <v>2.6782129046703053E-6</v>
      </c>
      <c r="B36">
        <f>'Mass Balance'!E36</f>
        <v>8.2348444813671731E-7</v>
      </c>
      <c r="C36">
        <f>SUM('Mass Balance'!E36:H36)</f>
        <v>1.6289836228720047E-5</v>
      </c>
      <c r="D36">
        <f>Concentrations!F36/Concentrations!E36</f>
        <v>5.0571754617127318E-2</v>
      </c>
    </row>
    <row r="37" spans="1:4">
      <c r="A37">
        <f>'Mass Balance'!I37</f>
        <v>6.7374234178351904E-6</v>
      </c>
      <c r="B37">
        <f>'Mass Balance'!E37</f>
        <v>1.3522577995913727E-7</v>
      </c>
      <c r="C37">
        <f>SUM('Mass Balance'!E37:H37)</f>
        <v>1.6977981110276412E-5</v>
      </c>
      <c r="D37">
        <f>Concentrations!F37/Concentrations!E37</f>
        <v>7.9678800475457261E-3</v>
      </c>
    </row>
    <row r="38" spans="1:4">
      <c r="A38">
        <f>'Mass Balance'!I38</f>
        <v>3.9413148060891904E-6</v>
      </c>
      <c r="B38">
        <f>'Mass Balance'!E38</f>
        <v>4.5501102338819615E-7</v>
      </c>
      <c r="C38">
        <f>SUM('Mass Balance'!E38:H38)</f>
        <v>1.6006350717246066E-5</v>
      </c>
      <c r="D38">
        <f>Concentrations!F38/Concentrations!E38</f>
        <v>2.8437992026032602E-2</v>
      </c>
    </row>
    <row r="39" spans="1:4">
      <c r="A39">
        <f>'Mass Balance'!I39</f>
        <v>2.6785381313591227E-6</v>
      </c>
      <c r="B39">
        <f>'Mass Balance'!E39</f>
        <v>6.2253786027796814E-7</v>
      </c>
      <c r="C39">
        <f>SUM('Mass Balance'!E39:H39)</f>
        <v>1.4373918939301917E-5</v>
      </c>
      <c r="D39">
        <f>Concentrations!F39/Concentrations!E39</f>
        <v>4.3327129345484806E-2</v>
      </c>
    </row>
    <row r="40" spans="1:4">
      <c r="A40">
        <f>'Mass Balance'!I40</f>
        <v>3.9413148060891904E-6</v>
      </c>
      <c r="B40">
        <f>'Mass Balance'!E40</f>
        <v>4.5501102338819615E-7</v>
      </c>
      <c r="C40">
        <f>SUM('Mass Balance'!E40:H40)</f>
        <v>1.6006350717246066E-5</v>
      </c>
      <c r="D40">
        <f>Concentrations!F40/Concentrations!E40</f>
        <v>2.8437992026032602E-2</v>
      </c>
    </row>
    <row r="41" spans="1:4">
      <c r="A41">
        <f>'Mass Balance'!I41</f>
        <v>3.8232564735034713E-8</v>
      </c>
      <c r="B41">
        <f>'Mass Balance'!E41</f>
        <v>3.9765112332034431E-5</v>
      </c>
      <c r="C41">
        <f>SUM('Mass Balance'!E41:H41)</f>
        <v>3.9954277033946196E-5</v>
      </c>
      <c r="D41">
        <f>Concentrations!F41/Concentrations!E41</f>
        <v>0.99565361613967029</v>
      </c>
    </row>
    <row r="42" spans="1:4">
      <c r="A42">
        <f>'Mass Balance'!I42</f>
        <v>6.9040659143513699E-6</v>
      </c>
      <c r="B42">
        <f>'Mass Balance'!E42</f>
        <v>1.2331435706258566E-7</v>
      </c>
      <c r="C42">
        <f>SUM('Mass Balance'!E42:H42)</f>
        <v>1.7025709230543608E-5</v>
      </c>
      <c r="D42">
        <f>Concentrations!F42/Concentrations!E42</f>
        <v>7.2456569655418761E-3</v>
      </c>
    </row>
    <row r="43" spans="1:4">
      <c r="A43">
        <f>'Mass Balance'!I43</f>
        <v>1.924874693057038E-7</v>
      </c>
      <c r="B43">
        <f>'Mass Balance'!E43</f>
        <v>1.9615022159192935E-5</v>
      </c>
      <c r="C43">
        <f>SUM('Mass Balance'!E43:H43)</f>
        <v>2.1335613781157598E-5</v>
      </c>
      <c r="D43">
        <f>Concentrations!F43/Concentrations!E43</f>
        <v>0.91971442972599593</v>
      </c>
    </row>
    <row r="44" spans="1:4">
      <c r="A44">
        <f>'Mass Balance'!I44</f>
        <v>1.9334033690826397E-6</v>
      </c>
      <c r="B44">
        <f>'Mass Balance'!E44</f>
        <v>1.2536783861852577E-6</v>
      </c>
      <c r="C44">
        <f>SUM('Mass Balance'!E44:H44)</f>
        <v>1.7008638563289398E-5</v>
      </c>
      <c r="D44">
        <f>Concentrations!F44/Concentrations!E44</f>
        <v>7.3737078138436107E-2</v>
      </c>
    </row>
    <row r="45" spans="1:4">
      <c r="A45">
        <f>'Mass Balance'!I45</f>
        <v>8.682204028226906E-6</v>
      </c>
      <c r="B45">
        <f>'Mass Balance'!E45</f>
        <v>5.9586042413266808E-8</v>
      </c>
      <c r="C45">
        <f>SUM('Mass Balance'!E45:H45)</f>
        <v>1.8620584642529479E-5</v>
      </c>
      <c r="D45">
        <f>Concentrations!F45/Concentrations!E45</f>
        <v>3.2012571914110176E-3</v>
      </c>
    </row>
    <row r="46" spans="1:4">
      <c r="A46">
        <f>'Mass Balance'!I46</f>
        <v>7.2683290981539955E-6</v>
      </c>
      <c r="B46">
        <f>'Mass Balance'!E46</f>
        <v>1.1286380509166476E-7</v>
      </c>
      <c r="C46">
        <f>SUM('Mass Balance'!E46:H46)</f>
        <v>1.7490027419612286E-5</v>
      </c>
      <c r="D46">
        <f>Concentrations!F46/Concentrations!E46</f>
        <v>6.4555542634555903E-3</v>
      </c>
    </row>
    <row r="47" spans="1:4">
      <c r="A47">
        <f>'Mass Balance'!I47</f>
        <v>5.4805825596112415E-6</v>
      </c>
      <c r="B47">
        <f>'Mass Balance'!E47</f>
        <v>2.3753180392321362E-7</v>
      </c>
      <c r="C47">
        <f>SUM('Mass Balance'!E47:H47)</f>
        <v>1.6415440212628534E-5</v>
      </c>
      <c r="D47">
        <f>Concentrations!F47/Concentrations!E47</f>
        <v>1.4475666589305134E-2</v>
      </c>
    </row>
    <row r="48" spans="1:4">
      <c r="A48">
        <f>'Mass Balance'!I48</f>
        <v>7.0220239365357827E-7</v>
      </c>
      <c r="B48">
        <f>'Mass Balance'!E48</f>
        <v>6.6043218588329984E-6</v>
      </c>
      <c r="C48">
        <f>SUM('Mass Balance'!E48:H48)</f>
        <v>1.452881777313358E-5</v>
      </c>
      <c r="D48">
        <f>Concentrations!F48/Concentrations!E48</f>
        <v>0.45474432916135371</v>
      </c>
    </row>
    <row r="49" spans="1:4">
      <c r="A49">
        <f>'Mass Balance'!I49</f>
        <v>2.0609092664492065E-6</v>
      </c>
      <c r="B49">
        <f>'Mass Balance'!E49</f>
        <v>1.1619065153877036E-6</v>
      </c>
      <c r="C49">
        <f>SUM('Mass Balance'!E49:H49)</f>
        <v>1.6856710489351979E-5</v>
      </c>
      <c r="D49">
        <f>Concentrations!F49/Concentrations!E49</f>
        <v>6.895530717026728E-2</v>
      </c>
    </row>
    <row r="50" spans="1:4">
      <c r="A50">
        <f>'Mass Balance'!I50</f>
        <v>2.2848477044170951E-6</v>
      </c>
      <c r="B50">
        <f>'Mass Balance'!E50</f>
        <v>1.0202519010408938E-6</v>
      </c>
      <c r="C50">
        <f>SUM('Mass Balance'!E50:H50)</f>
        <v>1.6612062101785926E-5</v>
      </c>
      <c r="D50">
        <f>Concentrations!F50/Concentrations!E50</f>
        <v>6.1440282663387712E-2</v>
      </c>
    </row>
    <row r="51" spans="1:4">
      <c r="A51">
        <f>'Mass Balance'!I51</f>
        <v>8.5204702424015042E-7</v>
      </c>
      <c r="B51">
        <f>'Mass Balance'!E51</f>
        <v>4.9266241041554591E-6</v>
      </c>
      <c r="C51">
        <f>SUM('Mass Balance'!E51:H51)</f>
        <v>1.4858685835605576E-5</v>
      </c>
      <c r="D51">
        <f>Concentrations!F51/Concentrations!E51</f>
        <v>0.33169457264537172</v>
      </c>
    </row>
    <row r="52" spans="1:4">
      <c r="A52">
        <f>'Mass Balance'!I52</f>
        <v>7.1584388072811961E-7</v>
      </c>
      <c r="B52">
        <f>'Mass Balance'!E52</f>
        <v>6.4282815894999527E-6</v>
      </c>
      <c r="C52">
        <f>SUM('Mass Balance'!E52:H52)</f>
        <v>1.453221905070151E-5</v>
      </c>
      <c r="D52">
        <f>Concentrations!F52/Concentrations!E52</f>
        <v>0.44251938025974874</v>
      </c>
    </row>
    <row r="53" spans="1:4">
      <c r="A53">
        <f>'Mass Balance'!I53</f>
        <v>3.0960693729756521E-6</v>
      </c>
      <c r="B53">
        <f>'Mass Balance'!E53</f>
        <v>6.7095238000178307E-7</v>
      </c>
      <c r="C53">
        <f>SUM('Mass Balance'!E53:H53)</f>
        <v>1.6121666410432768E-5</v>
      </c>
      <c r="D53">
        <f>Concentrations!F53/Concentrations!E53</f>
        <v>4.1634284508650317E-2</v>
      </c>
    </row>
    <row r="54" spans="1:4">
      <c r="A54">
        <f>'Mass Balance'!I54</f>
        <v>2.1710909260948111E-6</v>
      </c>
      <c r="B54">
        <f>'Mass Balance'!E54</f>
        <v>1.0893330262446577E-6</v>
      </c>
      <c r="C54">
        <f>SUM('Mass Balance'!E54:H54)</f>
        <v>1.6732733555440012E-5</v>
      </c>
      <c r="D54">
        <f>Concentrations!F54/Concentrations!E54</f>
        <v>6.512730593821664E-2</v>
      </c>
    </row>
    <row r="55" spans="1:4">
      <c r="A55">
        <f>'Mass Balance'!I55</f>
        <v>5.3960223440490697E-6</v>
      </c>
      <c r="B55">
        <f>'Mass Balance'!E55</f>
        <v>2.4503647784700844E-7</v>
      </c>
      <c r="C55">
        <f>SUM('Mass Balance'!E55:H55)</f>
        <v>1.6361667047762412E-5</v>
      </c>
      <c r="D55">
        <f>Concentrations!F55/Concentrations!E55</f>
        <v>1.4982094392090271E-2</v>
      </c>
    </row>
    <row r="56" spans="1:4">
      <c r="A56">
        <f>'Mass Balance'!I56</f>
        <v>1.9756464628562838E-6</v>
      </c>
      <c r="B56">
        <f>'Mass Balance'!E56</f>
        <v>1.2227086838466588E-6</v>
      </c>
      <c r="C56">
        <f>SUM('Mass Balance'!E56:H56)</f>
        <v>1.6960372536268046E-5</v>
      </c>
      <c r="D56">
        <f>Concentrations!F56/Concentrations!E56</f>
        <v>7.2120204192343509E-2</v>
      </c>
    </row>
    <row r="57" spans="1:4">
      <c r="A57">
        <f>'Mass Balance'!I57</f>
        <v>6.3695700027857863E-7</v>
      </c>
      <c r="B57">
        <f>'Mass Balance'!E57</f>
        <v>7.3751678553536863E-6</v>
      </c>
      <c r="C57">
        <f>SUM('Mass Balance'!E57:H57)</f>
        <v>1.4460584366738022E-5</v>
      </c>
      <c r="D57">
        <f>Concentrations!F57/Concentrations!E57</f>
        <v>0.51021756278682495</v>
      </c>
    </row>
    <row r="58" spans="1:4">
      <c r="A58">
        <f>'Mass Balance'!I58</f>
        <v>2.19364963172256E-6</v>
      </c>
      <c r="B58">
        <f>'Mass Balance'!E58</f>
        <v>1.0752851273354617E-6</v>
      </c>
      <c r="C58">
        <f>SUM('Mass Balance'!E58:H58)</f>
        <v>1.6709019842785393E-5</v>
      </c>
      <c r="D58">
        <f>Concentrations!F58/Concentrations!E58</f>
        <v>6.4378670328433404E-2</v>
      </c>
    </row>
    <row r="59" spans="1:4">
      <c r="A59">
        <f>'Mass Balance'!I59</f>
        <v>7.1611356934818475E-7</v>
      </c>
      <c r="B59">
        <f>'Mass Balance'!E59</f>
        <v>6.4307033946420174E-6</v>
      </c>
      <c r="C59">
        <f>SUM('Mass Balance'!E59:H59)</f>
        <v>1.4537693951315709E-5</v>
      </c>
      <c r="D59">
        <f>Concentrations!F59/Concentrations!E59</f>
        <v>0.44251938025974874</v>
      </c>
    </row>
    <row r="60" spans="1:4">
      <c r="A60">
        <f>'Mass Balance'!I60</f>
        <v>2.837654084332232E-6</v>
      </c>
      <c r="B60">
        <f>'Mass Balance'!E60</f>
        <v>7.5857705965929893E-7</v>
      </c>
      <c r="C60">
        <f>SUM('Mass Balance'!E60:H60)</f>
        <v>1.6196535450860211E-5</v>
      </c>
      <c r="D60">
        <f>Concentrations!F60/Concentrations!E60</f>
        <v>4.6854026342393627E-2</v>
      </c>
    </row>
    <row r="61" spans="1:4">
      <c r="A61">
        <f>'Mass Balance'!I61</f>
        <v>1.8801634279347849E-6</v>
      </c>
      <c r="B61">
        <f>'Mass Balance'!E61</f>
        <v>2.0155792865833673E-5</v>
      </c>
      <c r="C61">
        <f>SUM('Mass Balance'!E61:H61)</f>
        <v>2.393033974483705E-5</v>
      </c>
      <c r="D61">
        <f>Concentrations!F61/Concentrations!E61</f>
        <v>0.84259787698378019</v>
      </c>
    </row>
    <row r="62" spans="1:4">
      <c r="A62">
        <f>'Mass Balance'!I62</f>
        <v>3.5272468508979867E-7</v>
      </c>
      <c r="B62">
        <f>'Mass Balance'!E62</f>
        <v>1.3398926961056676E-5</v>
      </c>
      <c r="C62">
        <f>SUM('Mass Balance'!E62:H62)</f>
        <v>1.6964664660087906E-5</v>
      </c>
      <c r="D62">
        <f>Concentrations!F62/Concentrations!E62</f>
        <v>0.79012186237772697</v>
      </c>
    </row>
    <row r="63" spans="1:4">
      <c r="A63">
        <f>'Mass Balance'!I63</f>
        <v>2.0764900405141646E-7</v>
      </c>
      <c r="B63">
        <f>'Mass Balance'!E63</f>
        <v>3.8001884746860678E-5</v>
      </c>
      <c r="C63">
        <f>SUM('Mass Balance'!E63:H63)</f>
        <v>3.8150157300579997E-5</v>
      </c>
      <c r="D63">
        <f>Concentrations!F63/Concentrations!E63</f>
        <v>0.99650192474120602</v>
      </c>
    </row>
    <row r="64" spans="1:4">
      <c r="A64">
        <f>'Mass Balance'!I64</f>
        <v>3.7303824031762106E-8</v>
      </c>
      <c r="B64">
        <f>'Mass Balance'!E64</f>
        <v>3.9738248693156568E-5</v>
      </c>
      <c r="C64">
        <f>SUM('Mass Balance'!E64:H64)</f>
        <v>3.9787835052180754E-5</v>
      </c>
      <c r="D64">
        <f>Concentrations!F64/Concentrations!E64</f>
        <v>0.99914323665702398</v>
      </c>
    </row>
    <row r="65" spans="1:4">
      <c r="A65">
        <f>'Mass Balance'!I65</f>
        <v>5.1836123549995762E-8</v>
      </c>
      <c r="B65">
        <f>'Mass Balance'!E65</f>
        <v>3.9864269739474751E-5</v>
      </c>
      <c r="C65">
        <f>SUM('Mass Balance'!E65:H65)</f>
        <v>3.987090997512752E-5</v>
      </c>
      <c r="D65">
        <f>Concentrations!F65/Concentrations!E65</f>
        <v>1.0002233837153989</v>
      </c>
    </row>
    <row r="66" spans="1:4">
      <c r="A66">
        <f>'Mass Balance'!I66</f>
        <v>1.6980360690043319E-6</v>
      </c>
      <c r="B66">
        <f>'Mass Balance'!E66</f>
        <v>3.6514486285239835E-5</v>
      </c>
      <c r="C66">
        <f>SUM('Mass Balance'!E66:H66)</f>
        <v>3.7485925065595331E-5</v>
      </c>
      <c r="D66">
        <f>Concentrations!F66/Concentrations!E66</f>
        <v>0.97446512471319258</v>
      </c>
    </row>
    <row r="67" spans="1:4">
      <c r="A67">
        <f>'Mass Balance'!I67</f>
        <v>4.9255901240987854E-8</v>
      </c>
      <c r="B67">
        <f>'Mass Balance'!E67</f>
        <v>3.9858237096350071E-5</v>
      </c>
      <c r="C67">
        <f>SUM('Mass Balance'!E67:H67)</f>
        <v>3.9863890073241681E-5</v>
      </c>
      <c r="D67">
        <f>Concentrations!F67/Concentrations!E67</f>
        <v>1.0002481297752628</v>
      </c>
    </row>
    <row r="68" spans="1:4">
      <c r="A68">
        <f>'Mass Balance'!I68</f>
        <v>3.838498227423494E-8</v>
      </c>
      <c r="B68">
        <f>'Mass Balance'!E68</f>
        <v>3.9925835907836962E-5</v>
      </c>
      <c r="C68">
        <f>SUM('Mass Balance'!E68:H68)</f>
        <v>3.9926522554764491E-5</v>
      </c>
      <c r="D68">
        <f>Concentrations!F68/Concentrations!E68</f>
        <v>1.0003727875631208</v>
      </c>
    </row>
    <row r="69" spans="1:4">
      <c r="A69">
        <f>'Mass Balance'!I69</f>
        <v>1.7695775527114461E-6</v>
      </c>
      <c r="B69">
        <f>'Mass Balance'!E69</f>
        <v>1.3923994006991435E-6</v>
      </c>
      <c r="C69">
        <f>SUM('Mass Balance'!E69:H69)</f>
        <v>1.7261864504905426E-5</v>
      </c>
      <c r="D69">
        <f>Concentrations!F69/Concentrations!E69</f>
        <v>8.0694783867548539E-2</v>
      </c>
    </row>
    <row r="70" spans="1:4">
      <c r="A70">
        <f>'Mass Balance'!I70</f>
        <v>3.7745734198537873E-8</v>
      </c>
      <c r="B70">
        <f>'Mass Balance'!E70</f>
        <v>3.9836067442149802E-5</v>
      </c>
      <c r="C70">
        <f>SUM('Mass Balance'!E70:H70)</f>
        <v>3.9959927786107823E-5</v>
      </c>
      <c r="D70">
        <f>Concentrations!F70/Concentrations!E70</f>
        <v>0.99728916940116086</v>
      </c>
    </row>
    <row r="71" spans="1:4">
      <c r="A71">
        <f>'Mass Balance'!I71</f>
        <v>3.8562975858408535E-8</v>
      </c>
      <c r="B71">
        <f>'Mass Balance'!E71</f>
        <v>3.9721556850119219E-5</v>
      </c>
      <c r="C71">
        <f>SUM('Mass Balance'!E71:H71)</f>
        <v>3.9958170763817169E-5</v>
      </c>
      <c r="D71">
        <f>Concentrations!F71/Concentrations!E71</f>
        <v>0.99446614250097487</v>
      </c>
    </row>
    <row r="72" spans="1:4">
      <c r="A72">
        <f>'Mass Balance'!I72</f>
        <v>1.766891187816511E-6</v>
      </c>
      <c r="B72">
        <f>'Mass Balance'!E72</f>
        <v>1.4428291760596867E-6</v>
      </c>
      <c r="C72">
        <f>SUM('Mass Balance'!E72:H72)</f>
        <v>3.8200575573042583E-5</v>
      </c>
      <c r="D72">
        <f>Concentrations!F72/Concentrations!E72</f>
        <v>3.7784558119696519E-2</v>
      </c>
    </row>
    <row r="73" spans="1:4">
      <c r="A73">
        <f>'Mass Balance'!I73</f>
        <v>1.77581433888502E-7</v>
      </c>
      <c r="B73">
        <f>'Mass Balance'!E73</f>
        <v>1.0875349529367829E-5</v>
      </c>
      <c r="C73">
        <f>SUM('Mass Balance'!E73:H73)</f>
        <v>3.9800982941983448E-5</v>
      </c>
      <c r="D73">
        <f>Concentrations!F73/Concentrations!E73</f>
        <v>0.27334980256430963</v>
      </c>
    </row>
    <row r="74" spans="1:4">
      <c r="A74">
        <f>'Mass Balance'!I74</f>
        <v>3.8403440358750102E-8</v>
      </c>
      <c r="B74">
        <f>'Mass Balance'!E74</f>
        <v>3.9744289628959512E-5</v>
      </c>
      <c r="C74">
        <f>SUM('Mass Balance'!E74:H74)</f>
        <v>3.9958504160744158E-5</v>
      </c>
      <c r="D74">
        <f>Concentrations!F74/Concentrations!E74</f>
        <v>0.99502697662021289</v>
      </c>
    </row>
    <row r="75" spans="1:4">
      <c r="A75">
        <f>'Mass Balance'!I75</f>
        <v>1.7240516263278361E-7</v>
      </c>
      <c r="B75">
        <f>'Mass Balance'!E75</f>
        <v>1.231357634805786E-5</v>
      </c>
      <c r="C75">
        <f>SUM('Mass Balance'!E75:H75)</f>
        <v>3.9805440376390216E-5</v>
      </c>
      <c r="D75">
        <f>Concentrations!F75/Concentrations!E75</f>
        <v>0.30946469699293006</v>
      </c>
    </row>
    <row r="76" spans="1:4">
      <c r="A76">
        <f>'Mass Balance'!I76</f>
        <v>6.3537161307832191E-8</v>
      </c>
      <c r="B76">
        <f>'Mass Balance'!E76</f>
        <v>3.5557214876648089E-5</v>
      </c>
      <c r="C76">
        <f>SUM('Mass Balance'!E76:H76)</f>
        <v>3.9922311568628361E-5</v>
      </c>
      <c r="D76">
        <f>Concentrations!F76/Concentrations!E76</f>
        <v>0.89100757219607418</v>
      </c>
    </row>
    <row r="77" spans="1:4">
      <c r="A77">
        <f>'Mass Balance'!I77</f>
        <v>1.7617439859758986E-7</v>
      </c>
      <c r="B77">
        <f>'Mass Balance'!E77</f>
        <v>1.1275397213860853E-5</v>
      </c>
      <c r="C77">
        <f>SUM('Mass Balance'!E77:H77)</f>
        <v>3.9802106258627768E-5</v>
      </c>
      <c r="D77">
        <f>Concentrations!F77/Concentrations!E77</f>
        <v>0.28339692516937942</v>
      </c>
    </row>
    <row r="78" spans="1:4">
      <c r="A78">
        <f>'Mass Balance'!I78</f>
        <v>1.4857899037883367E-6</v>
      </c>
      <c r="B78">
        <f>'Mass Balance'!E78</f>
        <v>1.6061089252299223E-6</v>
      </c>
      <c r="C78">
        <f>SUM('Mass Balance'!E78:H78)</f>
        <v>3.8483238033018417E-5</v>
      </c>
      <c r="D78">
        <f>Concentrations!F78/Concentrations!E78</f>
        <v>4.1751561901800523E-2</v>
      </c>
    </row>
    <row r="79" spans="1:4">
      <c r="A79">
        <f>'Mass Balance'!I79</f>
        <v>1.4857890489785406E-6</v>
      </c>
      <c r="B79">
        <f>'Mass Balance'!E79</f>
        <v>1.6061092698645001E-6</v>
      </c>
      <c r="C79">
        <f>SUM('Mass Balance'!E79:H79)</f>
        <v>3.8483244039453234E-5</v>
      </c>
      <c r="D79">
        <f>Concentrations!F79/Concentrations!E79</f>
        <v>4.1751564344186823E-2</v>
      </c>
    </row>
    <row r="80" spans="1:4">
      <c r="A80">
        <f>'Mass Balance'!I80</f>
        <v>1.1001981045609821E-7</v>
      </c>
      <c r="B80">
        <f>'Mass Balance'!E80</f>
        <v>2.6614330919289868E-5</v>
      </c>
      <c r="C80">
        <f>SUM('Mass Balance'!E80:H80)</f>
        <v>3.9868072666267153E-5</v>
      </c>
      <c r="D80">
        <f>Concentrations!F80/Concentrations!E80</f>
        <v>0.66782035136800788</v>
      </c>
    </row>
    <row r="81" spans="1:4">
      <c r="A81">
        <f>'Mass Balance'!I81</f>
        <v>4.3268759131557109E-8</v>
      </c>
      <c r="B81">
        <f>'Mass Balance'!E81</f>
        <v>3.9007517075126173E-5</v>
      </c>
      <c r="C81">
        <f>SUM('Mass Balance'!E81:H81)</f>
        <v>3.9950097355522599E-5</v>
      </c>
      <c r="D81">
        <f>Concentrations!F81/Concentrations!E81</f>
        <v>0.9767868485726352</v>
      </c>
    </row>
    <row r="82" spans="1:4">
      <c r="A82">
        <f>'Mass Balance'!I82</f>
        <v>5.2233932205291889E-8</v>
      </c>
      <c r="B82">
        <f>'Mass Balance'!E82</f>
        <v>3.7532177495211656E-5</v>
      </c>
      <c r="C82">
        <f>SUM('Mass Balance'!E82:H82)</f>
        <v>3.9937156771750137E-5</v>
      </c>
      <c r="D82">
        <f>Concentrations!F82/Concentrations!E82</f>
        <v>0.94014741610326835</v>
      </c>
    </row>
    <row r="83" spans="1:4">
      <c r="A83">
        <f>'Mass Balance'!I83</f>
        <v>2.8185850008380389E-6</v>
      </c>
      <c r="B83">
        <f>'Mass Balance'!E83</f>
        <v>1.063987981547189E-6</v>
      </c>
      <c r="C83">
        <f>SUM('Mass Balance'!E83:H83)</f>
        <v>3.7144531737439401E-5</v>
      </c>
      <c r="D83">
        <f>Concentrations!F83/Concentrations!E83</f>
        <v>2.8655709968526479E-2</v>
      </c>
    </row>
    <row r="84" spans="1:4">
      <c r="A84">
        <f>'Mass Balance'!I84</f>
        <v>2.4351972385833401E-7</v>
      </c>
      <c r="B84">
        <f>'Mass Balance'!E84</f>
        <v>1.7220489591203887E-5</v>
      </c>
      <c r="C84">
        <f>SUM('Mass Balance'!E84:H84)</f>
        <v>1.9517518465747886E-5</v>
      </c>
      <c r="D84">
        <f>Concentrations!F84/Concentrations!E84</f>
        <v>0.8826534723257623</v>
      </c>
    </row>
    <row r="85" spans="1:4">
      <c r="A85">
        <f>'Mass Balance'!I85</f>
        <v>2.8709490723495194E-5</v>
      </c>
      <c r="B85">
        <f>'Mass Balance'!E85</f>
        <v>3.8193067853163587E-6</v>
      </c>
      <c r="C85">
        <f>SUM('Mass Balance'!E85:H85)</f>
        <v>1.0113805319254101E-5</v>
      </c>
      <c r="D85">
        <f>Concentrations!F85/Concentrations!E85</f>
        <v>0.37778028782758005</v>
      </c>
    </row>
    <row r="86" spans="1:4">
      <c r="A86">
        <f>'Mass Balance'!I86</f>
        <v>8.2851097096965949E-6</v>
      </c>
      <c r="B86">
        <f>'Mass Balance'!E86</f>
        <v>7.1800842790904248E-8</v>
      </c>
      <c r="C86">
        <f>SUM('Mass Balance'!E86:H86)</f>
        <v>1.8281671497622138E-5</v>
      </c>
      <c r="D86">
        <f>Concentrations!F86/Concentrations!E86</f>
        <v>3.9290086006088312E-3</v>
      </c>
    </row>
    <row r="87" spans="1:4">
      <c r="A87">
        <f>'Mass Balance'!I87</f>
        <v>1.0194512390017808E-5</v>
      </c>
      <c r="B87">
        <f>'Mass Balance'!E87</f>
        <v>2.6882911647639629E-8</v>
      </c>
      <c r="C87">
        <f>SUM('Mass Balance'!E87:H87)</f>
        <v>2.0031992652172376E-5</v>
      </c>
      <c r="D87">
        <f>Concentrations!F87/Concentrations!E87</f>
        <v>1.3425222460896708E-3</v>
      </c>
    </row>
    <row r="88" spans="1:4">
      <c r="A88">
        <f>'Mass Balance'!I88</f>
        <v>1.1904284439585492E-5</v>
      </c>
      <c r="B88">
        <f>'Mass Balance'!E88</f>
        <v>8.1124590969957107E-9</v>
      </c>
      <c r="C88">
        <f>SUM('Mass Balance'!E88:H88)</f>
        <v>2.1815397601493356E-5</v>
      </c>
      <c r="D88">
        <f>Concentrations!F88/Concentrations!E88</f>
        <v>3.7201352181030859E-4</v>
      </c>
    </row>
    <row r="89" spans="1:4">
      <c r="A89">
        <f>'Mass Balance'!I89</f>
        <v>3.8243736517370732E-5</v>
      </c>
      <c r="B89">
        <f>'Mass Balance'!E89</f>
        <v>3.2223110188043689E-8</v>
      </c>
      <c r="C89">
        <f>SUM('Mass Balance'!E89:H89)</f>
        <v>1.3536676441323807E-6</v>
      </c>
      <c r="D89">
        <f>Concentrations!F89/Concentrations!E89</f>
        <v>2.3813583108137883E-2</v>
      </c>
    </row>
    <row r="90" spans="1:4">
      <c r="A90">
        <f>'Mass Balance'!I90</f>
        <v>3.6452725970164476E-8</v>
      </c>
      <c r="B90">
        <f>'Mass Balance'!E90</f>
        <v>3.8956966244597359E-5</v>
      </c>
      <c r="C90">
        <f>SUM('Mass Balance'!E90:H90)</f>
        <v>3.8961847451213826E-5</v>
      </c>
      <c r="D90">
        <f>Concentrations!F90/Concentrations!E90</f>
        <v>1.0002646614722241</v>
      </c>
    </row>
    <row r="91" spans="1:4">
      <c r="A91">
        <f>'Mass Balance'!I91</f>
        <v>6.2282465139489433E-8</v>
      </c>
      <c r="B91">
        <f>'Mass Balance'!E91</f>
        <v>3.059987796358452E-5</v>
      </c>
      <c r="C91">
        <f>SUM('Mass Balance'!E91:H91)</f>
        <v>3.0899745041125396E-5</v>
      </c>
      <c r="D91">
        <f>Concentrations!F91/Concentrations!E91</f>
        <v>0.99068169111119386</v>
      </c>
    </row>
    <row r="92" spans="1:4">
      <c r="A92">
        <f>'Mass Balance'!I92</f>
        <v>4.6124140922625647E-7</v>
      </c>
      <c r="B92">
        <f>'Mass Balance'!E92</f>
        <v>1.0637376093085509E-5</v>
      </c>
      <c r="C92">
        <f>SUM('Mass Balance'!E92:H92)</f>
        <v>1.5509468204171309E-5</v>
      </c>
      <c r="D92">
        <f>Concentrations!F92/Concentrations!E92</f>
        <v>0.68613084890735798</v>
      </c>
    </row>
    <row r="93" spans="1:4">
      <c r="A93">
        <f>'Mass Balance'!I93</f>
        <v>3.6914954989252673E-8</v>
      </c>
      <c r="B93">
        <f>'Mass Balance'!E93</f>
        <v>3.9939515597406239E-5</v>
      </c>
      <c r="C93">
        <f>SUM('Mass Balance'!E93:H93)</f>
        <v>3.9956967996908604E-5</v>
      </c>
      <c r="D93">
        <f>Concentrations!F93/Concentrations!E93</f>
        <v>0.99995304181843958</v>
      </c>
    </row>
    <row r="94" spans="1:4">
      <c r="A94">
        <f>'Mass Balance'!I94</f>
        <v>3.699542102423256E-8</v>
      </c>
      <c r="B94">
        <f>'Mass Balance'!E94</f>
        <v>3.996278272365177E-5</v>
      </c>
      <c r="C94">
        <f>SUM('Mass Balance'!E94:H94)</f>
        <v>3.9962850420096371E-5</v>
      </c>
      <c r="D94">
        <f>Concentrations!F94/Concentrations!E94</f>
        <v>1.0003882973894691</v>
      </c>
    </row>
    <row r="95" spans="1:4">
      <c r="A95">
        <f>'Mass Balance'!I95</f>
        <v>3.7683319228998758E-8</v>
      </c>
      <c r="B95">
        <f>'Mass Balance'!E95</f>
        <v>3.762460250645503E-5</v>
      </c>
      <c r="C95">
        <f>SUM('Mass Balance'!E95:H95)</f>
        <v>3.7644744655249952E-5</v>
      </c>
      <c r="D95">
        <f>Concentrations!F95/Concentrations!E95</f>
        <v>0.99985472464838154</v>
      </c>
    </row>
    <row r="96" spans="1:4">
      <c r="A96">
        <f>'Mass Balance'!I96</f>
        <v>7.5151786386349175E-6</v>
      </c>
      <c r="B96">
        <f>'Mass Balance'!E96</f>
        <v>1.0145431284830057E-7</v>
      </c>
      <c r="C96">
        <f>SUM('Mass Balance'!E96:H96)</f>
        <v>1.7672827401107473E-5</v>
      </c>
      <c r="D96">
        <f>Concentrations!F96/Concentrations!E96</f>
        <v>5.742933879149207E-3</v>
      </c>
    </row>
    <row r="97" spans="1:4">
      <c r="A97">
        <f>'Mass Balance'!I97</f>
        <v>8.888669050636578E-8</v>
      </c>
      <c r="B97">
        <f>'Mass Balance'!E97</f>
        <v>2.7157227834205825E-5</v>
      </c>
      <c r="C97">
        <f>SUM('Mass Balance'!E97:H97)</f>
        <v>2.7742183333716894E-5</v>
      </c>
      <c r="D97">
        <f>Concentrations!F97/Concentrations!E97</f>
        <v>0.97929635205464494</v>
      </c>
    </row>
    <row r="98" spans="1:4">
      <c r="A98">
        <f>'Mass Balance'!I98</f>
        <v>6.6114496453502226E-8</v>
      </c>
      <c r="B98">
        <f>'Mass Balance'!E98</f>
        <v>3.0011551334471249E-5</v>
      </c>
      <c r="C98">
        <f>SUM('Mass Balance'!E98:H98)</f>
        <v>3.0352436740640425E-5</v>
      </c>
      <c r="D98">
        <f>Concentrations!F98/Concentrations!E98</f>
        <v>0.98915470467762667</v>
      </c>
    </row>
    <row r="99" spans="1:4">
      <c r="A99">
        <f>'Mass Balance'!I99</f>
        <v>4.1983871479778065E-8</v>
      </c>
      <c r="B99">
        <f>'Mass Balance'!E99</f>
        <v>3.5133508119486798E-5</v>
      </c>
      <c r="C99">
        <f>SUM('Mass Balance'!E99:H99)</f>
        <v>3.5212272721723569E-5</v>
      </c>
      <c r="D99">
        <f>Concentrations!F99/Concentrations!E99</f>
        <v>0.9981522688285277</v>
      </c>
    </row>
    <row r="100" spans="1:4">
      <c r="A100">
        <f>'Mass Balance'!I100</f>
        <v>3.3344246995633728E-6</v>
      </c>
      <c r="B100">
        <f>'Mass Balance'!E100</f>
        <v>5.9960871392383067E-7</v>
      </c>
      <c r="C100">
        <f>SUM('Mass Balance'!E100:H100)</f>
        <v>1.606160764452233E-5</v>
      </c>
      <c r="D100">
        <f>Concentrations!F100/Concentrations!E100</f>
        <v>3.7346358460614348E-2</v>
      </c>
    </row>
    <row r="101" spans="1:4">
      <c r="A101">
        <f>'Mass Balance'!I101</f>
        <v>3.663785648284211E-7</v>
      </c>
      <c r="B101">
        <f>'Mass Balance'!E101</f>
        <v>1.3007709041751305E-5</v>
      </c>
      <c r="C101">
        <f>SUM('Mass Balance'!E101:H101)</f>
        <v>1.673530479875829E-5</v>
      </c>
      <c r="D101">
        <f>Concentrations!F101/Concentrations!E101</f>
        <v>0.7775646814410051</v>
      </c>
    </row>
    <row r="102" spans="1:4">
      <c r="A102">
        <f>'Mass Balance'!I102</f>
        <v>8.4429320430220444E-7</v>
      </c>
      <c r="B102">
        <f>'Mass Balance'!E102</f>
        <v>4.9963753165528363E-6</v>
      </c>
      <c r="C102">
        <f>SUM('Mass Balance'!E102:H102)</f>
        <v>1.4823178554477126E-5</v>
      </c>
      <c r="D102">
        <f>Concentrations!F102/Concentrations!E102</f>
        <v>0.33719649566104481</v>
      </c>
    </row>
    <row r="103" spans="1:4">
      <c r="A103">
        <f>'Mass Balance'!I103</f>
        <v>4.0121839197500103E-8</v>
      </c>
      <c r="B103">
        <f>'Mass Balance'!E103</f>
        <v>3.9492580074855704E-5</v>
      </c>
      <c r="C103">
        <f>SUM('Mass Balance'!E103:H103)</f>
        <v>3.995469734804507E-5</v>
      </c>
      <c r="D103">
        <f>Concentrations!F103/Concentrations!E103</f>
        <v>0.98881945024768447</v>
      </c>
    </row>
    <row r="104" spans="1:4">
      <c r="A104">
        <f>'Mass Balance'!I104</f>
        <v>3.0336876853506624E-7</v>
      </c>
      <c r="B104">
        <f>'Mass Balance'!E104</f>
        <v>3.9987999050867325E-6</v>
      </c>
      <c r="C104">
        <f>SUM('Mass Balance'!E104:H104)</f>
        <v>3.9447789906898656E-5</v>
      </c>
      <c r="D104">
        <f>Concentrations!F104/Concentrations!E104</f>
        <v>0.10140896143075609</v>
      </c>
    </row>
    <row r="105" spans="1:4">
      <c r="A105">
        <f>'Mass Balance'!I105</f>
        <v>3.6409908372673139E-8</v>
      </c>
      <c r="B105">
        <f>'Mass Balance'!E105</f>
        <v>3.8757660641361497E-5</v>
      </c>
      <c r="C105">
        <f>SUM('Mass Balance'!E105:H105)</f>
        <v>3.8763095252498985E-5</v>
      </c>
      <c r="D105">
        <f>Concentrations!F105/Concentrations!E105</f>
        <v>1.0002497367076915</v>
      </c>
    </row>
    <row r="106" spans="1:4">
      <c r="A106">
        <f>'Mass Balance'!I106</f>
        <v>3.7731895378951436E-8</v>
      </c>
      <c r="B106">
        <f>'Mass Balance'!E106</f>
        <v>3.7513762506765625E-5</v>
      </c>
      <c r="C106">
        <f>SUM('Mass Balance'!E106:H106)</f>
        <v>3.7535576749546056E-5</v>
      </c>
      <c r="D106">
        <f>Concentrations!F106/Concentrations!E106</f>
        <v>0.99980860360114365</v>
      </c>
    </row>
    <row r="107" spans="1:4">
      <c r="A107">
        <f>'Mass Balance'!I107</f>
        <v>1.6195697758621468E-6</v>
      </c>
      <c r="B107">
        <f>'Mass Balance'!E107</f>
        <v>3.3291518152225194E-6</v>
      </c>
      <c r="C107">
        <f>SUM('Mass Balance'!E107:H107)</f>
        <v>1.6604031084658277E-5</v>
      </c>
      <c r="D107">
        <f>Concentrations!F107/Concentrations!E107</f>
        <v>0.20058081925595378</v>
      </c>
    </row>
    <row r="108" spans="1:4">
      <c r="A108">
        <f>'Mass Balance'!I108</f>
        <v>3.6876400119280279E-8</v>
      </c>
      <c r="B108">
        <f>'Mass Balance'!E108</f>
        <v>3.996087369359597E-5</v>
      </c>
      <c r="C108">
        <f>SUM('Mass Balance'!E108:H108)</f>
        <v>3.9960909724819527E-5</v>
      </c>
      <c r="D108">
        <f>Concentrations!F108/Concentrations!E108</f>
        <v>1.0003890900211099</v>
      </c>
    </row>
    <row r="109" spans="1:4">
      <c r="A109">
        <f>'Mass Balance'!I109</f>
        <v>4.6312868399417319E-7</v>
      </c>
      <c r="B109">
        <f>'Mass Balance'!E109</f>
        <v>3.8524487173320523E-5</v>
      </c>
      <c r="C109">
        <f>SUM('Mass Balance'!E109:H109)</f>
        <v>3.877700237874979E-5</v>
      </c>
      <c r="D109">
        <f>Concentrations!F109/Concentrations!E109</f>
        <v>0.99387546876421717</v>
      </c>
    </row>
    <row r="110" spans="1:4">
      <c r="A110">
        <f>'Mass Balance'!I110</f>
        <v>3.6615472175310679E-8</v>
      </c>
      <c r="B110">
        <f>'Mass Balance'!E110</f>
        <v>3.9713083527595387E-5</v>
      </c>
      <c r="C110">
        <f>SUM('Mass Balance'!E110:H110)</f>
        <v>3.971415051079364E-5</v>
      </c>
      <c r="D110">
        <f>Concentrations!F110/Concentrations!E110</f>
        <v>1.0003631149818706</v>
      </c>
    </row>
    <row r="111" spans="1:4">
      <c r="A111">
        <f>'Mass Balance'!I111</f>
        <v>3.6754468192711314E-8</v>
      </c>
      <c r="B111">
        <f>'Mass Balance'!E111</f>
        <v>3.996295803620858E-5</v>
      </c>
      <c r="C111">
        <f>SUM('Mass Balance'!E111:H111)</f>
        <v>3.9963021723214539E-5</v>
      </c>
      <c r="D111">
        <f>Concentrations!F111/Concentrations!E111</f>
        <v>1.0003883977645764</v>
      </c>
    </row>
    <row r="112" spans="1:4">
      <c r="A112">
        <f>'Mass Balance'!I112</f>
        <v>3.6528314772459831E-8</v>
      </c>
      <c r="B112">
        <f>'Mass Balance'!E112</f>
        <v>3.9640177772177553E-5</v>
      </c>
      <c r="C112">
        <f>SUM('Mass Balance'!E112:H112)</f>
        <v>3.9640630948430784E-5</v>
      </c>
      <c r="D112">
        <f>Concentrations!F112/Concentrations!E112</f>
        <v>1.0003785554610218</v>
      </c>
    </row>
    <row r="113" spans="1:4">
      <c r="A113">
        <f>'Mass Balance'!I113</f>
        <v>3.6697503462966629E-8</v>
      </c>
      <c r="B113">
        <f>'Mass Balance'!E113</f>
        <v>3.8135322461710593E-5</v>
      </c>
      <c r="C113">
        <f>SUM('Mass Balance'!E113:H113)</f>
        <v>3.814732615218903E-5</v>
      </c>
      <c r="D113">
        <f>Concentrations!F113/Concentrations!E113</f>
        <v>1.0000752026892545</v>
      </c>
    </row>
    <row r="114" spans="1:4">
      <c r="A114">
        <f>'Mass Balance'!I114</f>
        <v>3.6622191709456579E-8</v>
      </c>
      <c r="B114">
        <f>'Mass Balance'!E114</f>
        <v>3.9795866350812034E-5</v>
      </c>
      <c r="C114">
        <f>SUM('Mass Balance'!E114:H114)</f>
        <v>3.9796001591101718E-5</v>
      </c>
      <c r="D114">
        <f>Concentrations!F114/Concentrations!E114</f>
        <v>1.000386592370536</v>
      </c>
    </row>
    <row r="115" spans="1:4">
      <c r="A115">
        <f>'Mass Balance'!I115</f>
        <v>3.7658760777402891E-8</v>
      </c>
      <c r="B115">
        <f>'Mass Balance'!E115</f>
        <v>3.9847472051797411E-5</v>
      </c>
      <c r="C115">
        <f>SUM('Mass Balance'!E115:H115)</f>
        <v>3.9959577660651445E-5</v>
      </c>
      <c r="D115">
        <f>Concentrations!F115/Concentrations!E115</f>
        <v>0.99758342260323318</v>
      </c>
    </row>
    <row r="116" spans="1:4">
      <c r="A116">
        <f>'Mass Balance'!I116</f>
        <v>1.3060136249931492E-5</v>
      </c>
      <c r="B116">
        <f>'Mass Balance'!E116</f>
        <v>1.5233005196844431E-5</v>
      </c>
      <c r="C116">
        <f>SUM('Mass Balance'!E116:H116)</f>
        <v>2.4763962420893631E-5</v>
      </c>
      <c r="D116">
        <f>Concentrations!F116/Concentrations!E116</f>
        <v>0.61536783526514116</v>
      </c>
    </row>
    <row r="117" spans="1:4">
      <c r="A117">
        <f>'Mass Balance'!I117</f>
        <v>1.3209690192049612E-7</v>
      </c>
      <c r="B117">
        <f>'Mass Balance'!E117</f>
        <v>2.3349151338639936E-5</v>
      </c>
      <c r="C117">
        <f>SUM('Mass Balance'!E117:H117)</f>
        <v>2.4402051564534626E-5</v>
      </c>
      <c r="D117">
        <f>Concentrations!F117/Concentrations!E117</f>
        <v>0.95722514395562419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0.96966244883283492</v>
      </c>
      <c r="M2" s="115">
        <v>0.88985975828721542</v>
      </c>
      <c r="N2" s="115">
        <v>1.1362504745440332</v>
      </c>
      <c r="O2" s="115">
        <v>0.81077097384015029</v>
      </c>
      <c r="P2" s="115">
        <v>0.93837320847242001</v>
      </c>
      <c r="Q2" s="111">
        <v>0.8107709738401504</v>
      </c>
      <c r="R2" s="68">
        <v>0.93837320847242001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0.81407478203071693</v>
      </c>
      <c r="M3" s="115">
        <v>4.9064733905827076</v>
      </c>
      <c r="N3" s="115">
        <v>303.85676770664583</v>
      </c>
      <c r="O3" s="115">
        <v>3.0103172868143857</v>
      </c>
      <c r="P3" s="115">
        <v>2.789128311670781</v>
      </c>
      <c r="Q3" s="111">
        <v>3.0103172868143857</v>
      </c>
      <c r="R3" s="68">
        <v>2.789128311670781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1.0986874982023052</v>
      </c>
      <c r="M4" s="115">
        <v>1.0185454687580295</v>
      </c>
      <c r="N4" s="115">
        <v>3.0477259268492056</v>
      </c>
      <c r="O4" s="115">
        <v>0.82474596828845259</v>
      </c>
      <c r="P4" s="115">
        <v>0.95862018788823999</v>
      </c>
      <c r="Q4" s="111">
        <v>0.8247459682884527</v>
      </c>
      <c r="R4" s="68">
        <v>0.95862018788823999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0.92473968076932822</v>
      </c>
      <c r="M5" s="115">
        <v>1.3685219815783101</v>
      </c>
      <c r="N5" s="115">
        <v>75.55696349621121</v>
      </c>
      <c r="O5" s="115">
        <v>4.4098091445201524</v>
      </c>
      <c r="P5" s="115">
        <v>7.2093035634498044</v>
      </c>
      <c r="Q5" s="111">
        <v>4.4098091445201524</v>
      </c>
      <c r="R5" s="68">
        <v>7.2093035634498044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0.83117332700249646</v>
      </c>
      <c r="M6" s="115">
        <v>1.9049488919078366</v>
      </c>
      <c r="N6" s="115">
        <v>162.32355598669616</v>
      </c>
      <c r="O6" s="115">
        <v>8.8992660959171079</v>
      </c>
      <c r="P6" s="115">
        <v>15.056949594042987</v>
      </c>
      <c r="Q6" s="111">
        <v>8.8992660959171079</v>
      </c>
      <c r="R6" s="68">
        <v>15.056949594042987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0.54322978684534906</v>
      </c>
      <c r="M7" s="115">
        <v>3.6042278185258598</v>
      </c>
      <c r="N7" s="115">
        <v>419.16126171854779</v>
      </c>
      <c r="O7" s="115">
        <v>21.690070511255811</v>
      </c>
      <c r="P7" s="115">
        <v>37.225400940100691</v>
      </c>
      <c r="Q7" s="111">
        <v>21.690070511255811</v>
      </c>
      <c r="R7" s="68">
        <v>37.225400940100691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0.75443699608894965</v>
      </c>
      <c r="M8" s="115">
        <v>2.2987196639142886</v>
      </c>
      <c r="N8" s="115">
        <v>227.77938167783293</v>
      </c>
      <c r="O8" s="115">
        <v>12.56019191402844</v>
      </c>
      <c r="P8" s="115">
        <v>21.486199427477633</v>
      </c>
      <c r="Q8" s="111">
        <v>12.560191914028442</v>
      </c>
      <c r="R8" s="68">
        <v>21.486199427477636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0.9398703196776762</v>
      </c>
      <c r="M9" s="115">
        <v>1.2768725067230151</v>
      </c>
      <c r="N9" s="115">
        <v>60.25575986141407</v>
      </c>
      <c r="O9" s="115">
        <v>3.6013057110245001</v>
      </c>
      <c r="P9" s="115">
        <v>5.7901186333174364</v>
      </c>
      <c r="Q9" s="111">
        <v>3.6013057110245001</v>
      </c>
      <c r="R9" s="68">
        <v>5.7901186333174373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4.8623724594537947E-2</v>
      </c>
      <c r="M10" s="115">
        <v>32.139920640624482</v>
      </c>
      <c r="N10" s="115">
        <v>3188.8836029423223</v>
      </c>
      <c r="O10" s="115">
        <v>34.55220036193824</v>
      </c>
      <c r="P10" s="115">
        <v>35.248053534079197</v>
      </c>
      <c r="Q10" s="111">
        <v>34.55220036193824</v>
      </c>
      <c r="R10" s="68">
        <v>35.248053534079204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3.8870679856307672E-3</v>
      </c>
      <c r="M11" s="115">
        <v>275.73028548182879</v>
      </c>
      <c r="N11" s="115">
        <v>33186.226271811487</v>
      </c>
      <c r="O11" s="115">
        <v>134.71450949133239</v>
      </c>
      <c r="P11" s="115">
        <v>61.836803252016466</v>
      </c>
      <c r="Q11" s="111">
        <v>134.71450949133242</v>
      </c>
      <c r="R11" s="68">
        <v>61.836803252016466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0.91462041340584144</v>
      </c>
      <c r="M12" s="115">
        <v>0.82899717134950579</v>
      </c>
      <c r="N12" s="115">
        <v>6.1359349614974142E-2</v>
      </c>
      <c r="O12" s="115">
        <v>0.75595900104611358</v>
      </c>
      <c r="P12" s="115">
        <v>0.87845108842988473</v>
      </c>
      <c r="Q12" s="111">
        <v>0.75595900104611358</v>
      </c>
      <c r="R12" s="68">
        <v>0.87845108842988484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0.62714117421307825</v>
      </c>
      <c r="M13" s="115">
        <v>2.744676069935454</v>
      </c>
      <c r="N13" s="115">
        <v>213.63920587718229</v>
      </c>
      <c r="O13" s="115">
        <v>2.5670510384431973</v>
      </c>
      <c r="P13" s="115">
        <v>2.42649913650295</v>
      </c>
      <c r="Q13" s="111">
        <v>2.5670510384431977</v>
      </c>
      <c r="R13" s="68">
        <v>2.42649913650295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8.1710799768291334E-2</v>
      </c>
      <c r="M14" s="115">
        <v>11.161559389232744</v>
      </c>
      <c r="N14" s="115">
        <v>1527.9077389644265</v>
      </c>
      <c r="O14" s="115">
        <v>45.186850960534478</v>
      </c>
      <c r="P14" s="115">
        <v>75.704102253524127</v>
      </c>
      <c r="Q14" s="111">
        <v>45.186850960534478</v>
      </c>
      <c r="R14" s="68">
        <v>75.704102253524127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0.77851123537217559</v>
      </c>
      <c r="M15" s="115">
        <v>1.0067999271399402</v>
      </c>
      <c r="N15" s="115">
        <v>29.646458353435278</v>
      </c>
      <c r="O15" s="115">
        <v>0.91306381927789437</v>
      </c>
      <c r="P15" s="115">
        <v>0.97231027452080132</v>
      </c>
      <c r="Q15" s="111">
        <v>0.91306381927789448</v>
      </c>
      <c r="R15" s="68">
        <v>0.97231027452080132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0.60061374922818456</v>
      </c>
      <c r="M16" s="115">
        <v>3.0561887045372562</v>
      </c>
      <c r="N16" s="115">
        <v>246.59706914189903</v>
      </c>
      <c r="O16" s="115">
        <v>2.8718582213806076</v>
      </c>
      <c r="P16" s="115">
        <v>2.7036195391090656</v>
      </c>
      <c r="Q16" s="111">
        <v>2.8718582213806076</v>
      </c>
      <c r="R16" s="68">
        <v>2.7036195391090656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0.61599405819622444</v>
      </c>
      <c r="M17" s="115">
        <v>2.8508422061017913</v>
      </c>
      <c r="N17" s="115">
        <v>225.05743375985807</v>
      </c>
      <c r="O17" s="115">
        <v>2.6709870800863293</v>
      </c>
      <c r="P17" s="115">
        <v>2.5205260590212246</v>
      </c>
      <c r="Q17" s="111">
        <v>2.6709870800863293</v>
      </c>
      <c r="R17" s="68">
        <v>2.5205260590212251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3.1671106305034384E-3</v>
      </c>
      <c r="M18" s="115">
        <v>171.77719442963541</v>
      </c>
      <c r="N18" s="115">
        <v>17282.018010210511</v>
      </c>
      <c r="O18" s="115">
        <v>104.22910877106195</v>
      </c>
      <c r="P18" s="115">
        <v>44.646701622033916</v>
      </c>
      <c r="Q18" s="111">
        <v>104.22910877106195</v>
      </c>
      <c r="R18" s="68">
        <v>44.646701622033916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0.90534081213473649</v>
      </c>
      <c r="M19" s="115">
        <v>0.9243053026586957</v>
      </c>
      <c r="N19" s="115">
        <v>10.244608968625197</v>
      </c>
      <c r="O19" s="115">
        <v>0.83889095695195137</v>
      </c>
      <c r="P19" s="115">
        <v>0.94230040856307629</v>
      </c>
      <c r="Q19" s="111">
        <v>0.83889095695195137</v>
      </c>
      <c r="R19" s="68">
        <v>0.9423004085630764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0.87010943801725948</v>
      </c>
      <c r="M20" s="115">
        <v>0.96770348865468869</v>
      </c>
      <c r="N20" s="115">
        <v>17.650330197461031</v>
      </c>
      <c r="O20" s="115">
        <v>0.87736428222039498</v>
      </c>
      <c r="P20" s="115">
        <v>0.96497756599848317</v>
      </c>
      <c r="Q20" s="111">
        <v>0.87736428222039509</v>
      </c>
      <c r="R20" s="68">
        <v>0.96497756599848328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0.41141955691930238</v>
      </c>
      <c r="M21" s="115">
        <v>8.2283912936513133</v>
      </c>
      <c r="N21" s="115">
        <v>838.15141357600362</v>
      </c>
      <c r="O21" s="115">
        <v>17.828900855531472</v>
      </c>
      <c r="P21" s="115">
        <v>26.199988995606081</v>
      </c>
      <c r="Q21" s="111">
        <v>17.828900855531472</v>
      </c>
      <c r="R21" s="68">
        <v>26.199988995606081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0.89865789057618684</v>
      </c>
      <c r="M22" s="115">
        <v>0.83278856024786529</v>
      </c>
      <c r="N22" s="115">
        <v>1.8459579382858269</v>
      </c>
      <c r="O22" s="115">
        <v>0.75831659118387684</v>
      </c>
      <c r="P22" s="115">
        <v>0.87504078284303388</v>
      </c>
      <c r="Q22" s="111">
        <v>0.75831659118387684</v>
      </c>
      <c r="R22" s="68">
        <v>0.87504078284303399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0.75207048452577896</v>
      </c>
      <c r="M23" s="115">
        <v>1.1912571071005433</v>
      </c>
      <c r="N23" s="115">
        <v>50.108817444087386</v>
      </c>
      <c r="O23" s="115">
        <v>1.0833979410431771</v>
      </c>
      <c r="P23" s="115">
        <v>1.1136833553311076</v>
      </c>
      <c r="Q23" s="111">
        <v>1.0833979410431771</v>
      </c>
      <c r="R23" s="68">
        <v>1.1136833553311076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0.5141284171189513</v>
      </c>
      <c r="M24" s="115">
        <v>4.3183265810138582</v>
      </c>
      <c r="N24" s="115">
        <v>378.41589870682645</v>
      </c>
      <c r="O24" s="115">
        <v>4.1216831671125691</v>
      </c>
      <c r="P24" s="115">
        <v>3.8603341146121064</v>
      </c>
      <c r="Q24" s="111">
        <v>4.1216831671125691</v>
      </c>
      <c r="R24" s="68">
        <v>3.8603341146121068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4.309807184117713E-3</v>
      </c>
      <c r="M25" s="115">
        <v>153.60479200894702</v>
      </c>
      <c r="N25" s="115">
        <v>15435.389770805592</v>
      </c>
      <c r="O25" s="115">
        <v>94.748688494221454</v>
      </c>
      <c r="P25" s="115">
        <v>42.54731308115651</v>
      </c>
      <c r="Q25" s="111">
        <v>94.748688494221454</v>
      </c>
      <c r="R25" s="68">
        <v>42.54731308115651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0.23609164048257031</v>
      </c>
      <c r="M26" s="115">
        <v>7.5533299686074535</v>
      </c>
      <c r="N26" s="115">
        <v>723.0372873365219</v>
      </c>
      <c r="O26" s="115">
        <v>7.5075520557385751</v>
      </c>
      <c r="P26" s="115">
        <v>7.16152477794214</v>
      </c>
      <c r="Q26" s="111">
        <v>7.5075520557385751</v>
      </c>
      <c r="R26" s="68">
        <v>7.16152477794214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2.2384817274004206E-2</v>
      </c>
      <c r="M27" s="115">
        <v>3.499569495791333</v>
      </c>
      <c r="N27" s="115">
        <v>344.25838710424205</v>
      </c>
      <c r="O27" s="115">
        <v>3.647666181828761</v>
      </c>
      <c r="P27" s="115">
        <v>3.6200658500139111</v>
      </c>
      <c r="Q27" s="111">
        <v>3.647666181828761</v>
      </c>
      <c r="R27" s="68">
        <v>3.6200658500139111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3.3618763110010413E-2</v>
      </c>
      <c r="M28" s="115">
        <v>1.4457615330542259</v>
      </c>
      <c r="N28" s="115">
        <v>139.53573302953066</v>
      </c>
      <c r="O28" s="115">
        <v>1.4497277604314647</v>
      </c>
      <c r="P28" s="115">
        <v>1.3922981281637421</v>
      </c>
      <c r="Q28" s="111">
        <v>1.4497277604314647</v>
      </c>
      <c r="R28" s="68">
        <v>1.3922981281637423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5.9256731577672549E-2</v>
      </c>
      <c r="M29" s="115">
        <v>6.9116570477623859E-2</v>
      </c>
      <c r="N29" s="115">
        <v>1.5179380685404293</v>
      </c>
      <c r="O29" s="115">
        <v>6.265500722209677E-2</v>
      </c>
      <c r="P29" s="115">
        <v>6.8170106780009829E-2</v>
      </c>
      <c r="Q29" s="111">
        <v>6.265500722209677E-2</v>
      </c>
      <c r="R29" s="68">
        <v>6.8170106780009829E-2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1.2731616174354072E-2</v>
      </c>
      <c r="M30" s="115">
        <v>0.5112955607228743</v>
      </c>
      <c r="N30" s="115">
        <v>49.26279050757249</v>
      </c>
      <c r="O30" s="115">
        <v>0.51165354719890432</v>
      </c>
      <c r="P30" s="115">
        <v>0.49059546567794216</v>
      </c>
      <c r="Q30" s="111">
        <v>0.51165354719890432</v>
      </c>
      <c r="R30" s="68">
        <v>0.49059546567794221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4.5370063592488802E-4</v>
      </c>
      <c r="M31" s="115">
        <v>8.659446974293496E-3</v>
      </c>
      <c r="N31" s="115">
        <v>0.81154525444608161</v>
      </c>
      <c r="O31" s="115">
        <v>8.4747751682953155E-3</v>
      </c>
      <c r="P31" s="115">
        <v>8.0017606376591773E-3</v>
      </c>
      <c r="Q31" s="111">
        <v>8.4747751682953155E-3</v>
      </c>
      <c r="R31" s="68">
        <v>8.0017606376591773E-3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0.6538983969276041</v>
      </c>
      <c r="M32" s="115">
        <v>2.4320612785751869</v>
      </c>
      <c r="N32" s="115">
        <v>180.56836598841309</v>
      </c>
      <c r="O32" s="115">
        <v>2.2632472571553146</v>
      </c>
      <c r="P32" s="115">
        <v>2.1524713487712033</v>
      </c>
      <c r="Q32" s="111">
        <v>2.2632472571553146</v>
      </c>
      <c r="R32" s="68">
        <v>2.1524713487712033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0.76200030992450463</v>
      </c>
      <c r="M33" s="115">
        <v>1.5535033538784269</v>
      </c>
      <c r="N33" s="115">
        <v>84.770488949363667</v>
      </c>
      <c r="O33" s="115">
        <v>1.4208396635158411</v>
      </c>
      <c r="P33" s="115">
        <v>1.4128632161643455</v>
      </c>
      <c r="Q33" s="111">
        <v>1.4208396635158411</v>
      </c>
      <c r="R33" s="68">
        <v>1.4128632161643455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0.32486231731523668</v>
      </c>
      <c r="M34" s="115">
        <v>9.0745001030055406</v>
      </c>
      <c r="N34" s="115">
        <v>864.67069709319458</v>
      </c>
      <c r="O34" s="115">
        <v>8.9830198610547374</v>
      </c>
      <c r="P34" s="115">
        <v>8.5440027708531563</v>
      </c>
      <c r="Q34" s="111">
        <v>8.9830198610547374</v>
      </c>
      <c r="R34" s="68">
        <v>8.5440027708531563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7.8289750564346602E-2</v>
      </c>
      <c r="M35" s="115">
        <v>24.569546631845586</v>
      </c>
      <c r="N35" s="115">
        <v>2428.8531575654993</v>
      </c>
      <c r="O35" s="115">
        <v>26.162606618819854</v>
      </c>
      <c r="P35" s="115">
        <v>26.448452725211705</v>
      </c>
      <c r="Q35" s="111">
        <v>26.162606618819858</v>
      </c>
      <c r="R35" s="68">
        <v>26.448452725211705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2.0790927765219406E-2</v>
      </c>
      <c r="M36" s="115">
        <v>65.514014302111178</v>
      </c>
      <c r="N36" s="115">
        <v>6536.4922227661236</v>
      </c>
      <c r="O36" s="115">
        <v>50.131789314901845</v>
      </c>
      <c r="P36" s="115">
        <v>35.326561202873819</v>
      </c>
      <c r="Q36" s="111">
        <v>50.131789314901845</v>
      </c>
      <c r="R36" s="68">
        <v>35.326561202873826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3.4145639773492469E-3</v>
      </c>
      <c r="M37" s="115">
        <v>164.80977049499</v>
      </c>
      <c r="N37" s="115">
        <v>16575.584131825821</v>
      </c>
      <c r="O37" s="115">
        <v>100.42260241848767</v>
      </c>
      <c r="P37" s="115">
        <v>43.545916507630821</v>
      </c>
      <c r="Q37" s="111">
        <v>100.42260241848768</v>
      </c>
      <c r="R37" s="68">
        <v>43.545916507630828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1.1488454420369743E-2</v>
      </c>
      <c r="M38" s="115">
        <v>96.411810325078036</v>
      </c>
      <c r="N38" s="115">
        <v>9647.8660541298395</v>
      </c>
      <c r="O38" s="115">
        <v>65.448015046451246</v>
      </c>
      <c r="P38" s="115">
        <v>37.15438066507128</v>
      </c>
      <c r="Q38" s="111">
        <v>65.448015046451246</v>
      </c>
      <c r="R38" s="68">
        <v>37.15438066507128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1.5717752258122636E-2</v>
      </c>
      <c r="M39" s="115">
        <v>65.521969945184026</v>
      </c>
      <c r="N39" s="115">
        <v>6542.9728119719975</v>
      </c>
      <c r="O39" s="115">
        <v>48.160068394796895</v>
      </c>
      <c r="P39" s="115">
        <v>31.796264618413705</v>
      </c>
      <c r="Q39" s="111">
        <v>48.160068394796895</v>
      </c>
      <c r="R39" s="68">
        <v>31.796264618413709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1.1488454420369743E-2</v>
      </c>
      <c r="M40" s="115">
        <v>96.411810325078036</v>
      </c>
      <c r="N40" s="115">
        <v>9647.8660541298395</v>
      </c>
      <c r="O40" s="115">
        <v>65.448015046451246</v>
      </c>
      <c r="P40" s="115">
        <v>37.15438066507128</v>
      </c>
      <c r="Q40" s="111">
        <v>65.448015046451246</v>
      </c>
      <c r="R40" s="68">
        <v>37.15438066507128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0.98872610594880495</v>
      </c>
      <c r="M41" s="115">
        <v>0.93523886338147533</v>
      </c>
      <c r="N41" s="115">
        <v>5.6865993730998881</v>
      </c>
      <c r="O41" s="115">
        <v>1.0475379733483463</v>
      </c>
      <c r="P41" s="115">
        <v>1.3452223281805729</v>
      </c>
      <c r="Q41" s="111">
        <v>1.0475379733483463</v>
      </c>
      <c r="R41" s="68">
        <v>1.3452223281805729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3.1138075733237324E-3</v>
      </c>
      <c r="M42" s="115">
        <v>168.88615250370279</v>
      </c>
      <c r="N42" s="115">
        <v>16991.158453456559</v>
      </c>
      <c r="O42" s="115">
        <v>102.4749136093569</v>
      </c>
      <c r="P42" s="115">
        <v>43.895289383217914</v>
      </c>
      <c r="Q42" s="111">
        <v>102.47491360935692</v>
      </c>
      <c r="R42" s="68">
        <v>43.895289383217914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0.49434600565366821</v>
      </c>
      <c r="M43" s="115">
        <v>4.7085975857559648</v>
      </c>
      <c r="N43" s="115">
        <v>418.59896493900288</v>
      </c>
      <c r="O43" s="115">
        <v>4.5116720254834632</v>
      </c>
      <c r="P43" s="115">
        <v>4.2265205556751981</v>
      </c>
      <c r="Q43" s="111">
        <v>4.5116720254834641</v>
      </c>
      <c r="R43" s="68">
        <v>4.2265205556751981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3.1650976684111078E-2</v>
      </c>
      <c r="M44" s="115">
        <v>47.294602961904104</v>
      </c>
      <c r="N44" s="115">
        <v>4707.1223362474339</v>
      </c>
      <c r="O44" s="115">
        <v>41.460798854129358</v>
      </c>
      <c r="P44" s="115">
        <v>34.960062653141613</v>
      </c>
      <c r="Q44" s="111">
        <v>41.460798854129358</v>
      </c>
      <c r="R44" s="68">
        <v>34.960062653141613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1.5046725534960531E-3</v>
      </c>
      <c r="M45" s="115">
        <v>212.38268170809454</v>
      </c>
      <c r="N45" s="115">
        <v>21424.657526539486</v>
      </c>
      <c r="O45" s="115">
        <v>125.53977536476432</v>
      </c>
      <c r="P45" s="115">
        <v>49.7300438642092</v>
      </c>
      <c r="Q45" s="111">
        <v>125.53977536476432</v>
      </c>
      <c r="R45" s="68">
        <v>49.7300438642092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2.8499395878258749E-3</v>
      </c>
      <c r="M46" s="115">
        <v>177.79670005269071</v>
      </c>
      <c r="N46" s="115">
        <v>17894.68405732025</v>
      </c>
      <c r="O46" s="115">
        <v>107.37501020517176</v>
      </c>
      <c r="P46" s="115">
        <v>45.361887089463707</v>
      </c>
      <c r="Q46" s="111">
        <v>107.37501020517176</v>
      </c>
      <c r="R46" s="68">
        <v>45.361887089463707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5.9976595376843977E-3</v>
      </c>
      <c r="M47" s="115">
        <v>134.06513110595012</v>
      </c>
      <c r="N47" s="115">
        <v>13453.990417658093</v>
      </c>
      <c r="O47" s="115">
        <v>84.640777587846031</v>
      </c>
      <c r="P47" s="115">
        <v>40.486840032411536</v>
      </c>
      <c r="Q47" s="111">
        <v>84.640777587846031</v>
      </c>
      <c r="R47" s="68">
        <v>40.486840032411536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0.16669291786462395</v>
      </c>
      <c r="M48" s="115">
        <v>17.17716227136933</v>
      </c>
      <c r="N48" s="115">
        <v>1682.6646743716383</v>
      </c>
      <c r="O48" s="115">
        <v>17.680055056255586</v>
      </c>
      <c r="P48" s="115">
        <v>17.355603707207383</v>
      </c>
      <c r="Q48" s="111">
        <v>17.680055056255586</v>
      </c>
      <c r="R48" s="68">
        <v>17.355603707207383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2.9334290083655602E-2</v>
      </c>
      <c r="M49" s="115">
        <v>50.413631762456134</v>
      </c>
      <c r="N49" s="115">
        <v>5019.9632069297586</v>
      </c>
      <c r="O49" s="115">
        <v>42.934541314167355</v>
      </c>
      <c r="P49" s="115">
        <v>34.999694162658024</v>
      </c>
      <c r="Q49" s="111">
        <v>42.934541314167355</v>
      </c>
      <c r="R49" s="68">
        <v>34.999694162658024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2.5758308824032967E-2</v>
      </c>
      <c r="M50" s="115">
        <v>55.891577896699978</v>
      </c>
      <c r="N50" s="115">
        <v>5569.7635628634862</v>
      </c>
      <c r="O50" s="115">
        <v>45.524228429388245</v>
      </c>
      <c r="P50" s="115">
        <v>35.075811373139146</v>
      </c>
      <c r="Q50" s="111">
        <v>45.524228429388252</v>
      </c>
      <c r="R50" s="68">
        <v>35.075811373139146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0.12435748941351932</v>
      </c>
      <c r="M51" s="115">
        <v>20.842637579260039</v>
      </c>
      <c r="N51" s="115">
        <v>2051.5342621456816</v>
      </c>
      <c r="O51" s="115">
        <v>21.770656743275435</v>
      </c>
      <c r="P51" s="115">
        <v>21.645653168786463</v>
      </c>
      <c r="Q51" s="111">
        <v>21.770656743275435</v>
      </c>
      <c r="R51" s="68">
        <v>21.645653168786463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0.16225105489425665</v>
      </c>
      <c r="M52" s="115">
        <v>17.51085813914187</v>
      </c>
      <c r="N52" s="115">
        <v>1716.2645802019374</v>
      </c>
      <c r="O52" s="115">
        <v>18.048612112790455</v>
      </c>
      <c r="P52" s="115">
        <v>17.738735785192503</v>
      </c>
      <c r="Q52" s="111">
        <v>18.048612112790455</v>
      </c>
      <c r="R52" s="68">
        <v>17.738735785192503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1.6940175215483792E-2</v>
      </c>
      <c r="M53" s="115">
        <v>75.735552176508122</v>
      </c>
      <c r="N53" s="115">
        <v>7564.5142406793047</v>
      </c>
      <c r="O53" s="115">
        <v>55.154821850729306</v>
      </c>
      <c r="P53" s="115">
        <v>35.838406059999684</v>
      </c>
      <c r="Q53" s="111">
        <v>55.154821850729306</v>
      </c>
      <c r="R53" s="68">
        <v>35.838406059999684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2.7502226706138867E-2</v>
      </c>
      <c r="M54" s="115">
        <v>53.108877839892635</v>
      </c>
      <c r="N54" s="115">
        <v>5290.4183705777323</v>
      </c>
      <c r="O54" s="115">
        <v>44.208146361279418</v>
      </c>
      <c r="P54" s="115">
        <v>35.035486063055103</v>
      </c>
      <c r="Q54" s="111">
        <v>44.208146361279418</v>
      </c>
      <c r="R54" s="68">
        <v>35.035486063055103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6.1871383141621173E-3</v>
      </c>
      <c r="M55" s="115">
        <v>131.99663268221795</v>
      </c>
      <c r="N55" s="115">
        <v>13244.637865826913</v>
      </c>
      <c r="O55" s="115">
        <v>83.557091393359272</v>
      </c>
      <c r="P55" s="115">
        <v>40.247928108918984</v>
      </c>
      <c r="Q55" s="111">
        <v>83.557091393359286</v>
      </c>
      <c r="R55" s="68">
        <v>40.247928108918984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3.0869182062706134E-2</v>
      </c>
      <c r="M56" s="115">
        <v>48.327946743059783</v>
      </c>
      <c r="N56" s="115">
        <v>4810.745072323808</v>
      </c>
      <c r="O56" s="115">
        <v>41.952151914809626</v>
      </c>
      <c r="P56" s="115">
        <v>34.978571852655925</v>
      </c>
      <c r="Q56" s="111">
        <v>41.952151914809626</v>
      </c>
      <c r="R56" s="68">
        <v>34.978571852655925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0.18614115937042205</v>
      </c>
      <c r="M57" s="115">
        <v>15.581139928536659</v>
      </c>
      <c r="N57" s="115">
        <v>1522.3035359498706</v>
      </c>
      <c r="O57" s="115">
        <v>15.937578726210827</v>
      </c>
      <c r="P57" s="115">
        <v>15.561283204996208</v>
      </c>
      <c r="Q57" s="111">
        <v>15.937578726210829</v>
      </c>
      <c r="R57" s="68">
        <v>15.561283204996208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2.7147596069127412E-2</v>
      </c>
      <c r="M58" s="115">
        <v>53.660705276970653</v>
      </c>
      <c r="N58" s="115">
        <v>5345.8034384328721</v>
      </c>
      <c r="O58" s="115">
        <v>44.469826595202264</v>
      </c>
      <c r="P58" s="115">
        <v>35.044621745008953</v>
      </c>
      <c r="Q58" s="111">
        <v>44.469826595202271</v>
      </c>
      <c r="R58" s="68">
        <v>35.044621745008961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0.16231218171852177</v>
      </c>
      <c r="M59" s="115">
        <v>17.517455218889062</v>
      </c>
      <c r="N59" s="115">
        <v>1716.9111695474112</v>
      </c>
      <c r="O59" s="115">
        <v>18.055411787168953</v>
      </c>
      <c r="P59" s="115">
        <v>17.745418716072269</v>
      </c>
      <c r="Q59" s="111">
        <v>18.055411787168953</v>
      </c>
      <c r="R59" s="68">
        <v>17.745418716072269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1.9152315706618541E-2</v>
      </c>
      <c r="M60" s="115">
        <v>69.414238853528175</v>
      </c>
      <c r="N60" s="115">
        <v>6928.6568352208187</v>
      </c>
      <c r="O60" s="115">
        <v>52.023380401524776</v>
      </c>
      <c r="P60" s="115">
        <v>35.475336634307837</v>
      </c>
      <c r="Q60" s="111">
        <v>52.023380401524776</v>
      </c>
      <c r="R60" s="68">
        <v>35.475336634307837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1.8300253905627624</v>
      </c>
      <c r="M61" s="115">
        <v>45.992256064940925</v>
      </c>
      <c r="N61" s="115">
        <v>1443.1266491539834</v>
      </c>
      <c r="O61" s="115">
        <v>7.9826886505960619</v>
      </c>
      <c r="P61" s="115">
        <v>8.0270974814556482</v>
      </c>
      <c r="Q61" s="111">
        <v>7.9826886505960619</v>
      </c>
      <c r="R61" s="68">
        <v>8.0270974814556482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0.3380219585448348</v>
      </c>
      <c r="M62" s="115">
        <v>8.6282946450537832</v>
      </c>
      <c r="N62" s="115">
        <v>819.36869426551812</v>
      </c>
      <c r="O62" s="115">
        <v>8.5183147222490838</v>
      </c>
      <c r="P62" s="115">
        <v>8.0869518222293291</v>
      </c>
      <c r="Q62" s="111">
        <v>8.5183147222490838</v>
      </c>
      <c r="R62" s="68">
        <v>8.0869518222293291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2.791488577501537</v>
      </c>
      <c r="M63" s="115">
        <v>5.07947661573915</v>
      </c>
      <c r="N63" s="115">
        <v>114.42196729844531</v>
      </c>
      <c r="O63" s="115">
        <v>1.0881695957941662</v>
      </c>
      <c r="P63" s="115">
        <v>1.2180761749846032</v>
      </c>
      <c r="Q63" s="111">
        <v>1.0881695957941662</v>
      </c>
      <c r="R63" s="68">
        <v>1.2180761749846032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0.98748329098956533</v>
      </c>
      <c r="M64" s="115">
        <v>0.91252015733273251</v>
      </c>
      <c r="N64" s="115">
        <v>2.2704091950545879</v>
      </c>
      <c r="O64" s="115">
        <v>0.88035352655887023</v>
      </c>
      <c r="P64" s="115">
        <v>1.052539551554077</v>
      </c>
      <c r="Q64" s="111">
        <v>0.88035352655887034</v>
      </c>
      <c r="R64" s="68">
        <v>1.052539551554077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1.3020472182861629</v>
      </c>
      <c r="M65" s="115">
        <v>1.2680069361544952</v>
      </c>
      <c r="N65" s="115">
        <v>9.5492259823076076</v>
      </c>
      <c r="O65" s="115">
        <v>0.83308156057716098</v>
      </c>
      <c r="P65" s="115">
        <v>0.96756288445472627</v>
      </c>
      <c r="Q65" s="111">
        <v>0.83308156057716098</v>
      </c>
      <c r="R65" s="68">
        <v>0.96756288445472627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4.6042767182231348</v>
      </c>
      <c r="M66" s="115">
        <v>41.537085836700875</v>
      </c>
      <c r="N66" s="115">
        <v>1045.4910924412579</v>
      </c>
      <c r="O66" s="115">
        <v>2.4973156400655245</v>
      </c>
      <c r="P66" s="115">
        <v>3.0449954836344384</v>
      </c>
      <c r="Q66" s="111">
        <v>2.4973156400655245</v>
      </c>
      <c r="R66" s="68">
        <v>3.0449954836344388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1.2516115299721076</v>
      </c>
      <c r="M67" s="115">
        <v>1.2048899520789593</v>
      </c>
      <c r="N67" s="115">
        <v>7.9491472965835062</v>
      </c>
      <c r="O67" s="115">
        <v>0.83106239069486476</v>
      </c>
      <c r="P67" s="115">
        <v>0.96507089417862679</v>
      </c>
      <c r="Q67" s="111">
        <v>0.83106239069486476</v>
      </c>
      <c r="R67" s="68">
        <v>0.96507089417862679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1.0281229992056753</v>
      </c>
      <c r="M68" s="115">
        <v>0.93896727676699954</v>
      </c>
      <c r="N68" s="115">
        <v>1.0541952572481674</v>
      </c>
      <c r="O68" s="115">
        <v>0.82215954024066573</v>
      </c>
      <c r="P68" s="115">
        <v>0.95538881425607536</v>
      </c>
      <c r="Q68" s="111">
        <v>0.82215954024066573</v>
      </c>
      <c r="R68" s="68">
        <v>0.95538881425607536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3.5152800996428424E-2</v>
      </c>
      <c r="M69" s="115">
        <v>43.287122130906219</v>
      </c>
      <c r="N69" s="115">
        <v>4305.3174035771217</v>
      </c>
      <c r="O69" s="115">
        <v>39.608866945621266</v>
      </c>
      <c r="P69" s="115">
        <v>34.986582418839355</v>
      </c>
      <c r="Q69" s="111">
        <v>39.608866945621266</v>
      </c>
      <c r="R69" s="68">
        <v>34.986582418839362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0.99017618068468582</v>
      </c>
      <c r="M70" s="115">
        <v>0.92333009291922385</v>
      </c>
      <c r="N70" s="115">
        <v>3.8064633548842255</v>
      </c>
      <c r="O70" s="115">
        <v>0.96971983231481174</v>
      </c>
      <c r="P70" s="115">
        <v>1.2106071351303525</v>
      </c>
      <c r="Q70" s="111">
        <v>0.96971983231481174</v>
      </c>
      <c r="R70" s="68">
        <v>1.2106071351303525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0.9878531525792964</v>
      </c>
      <c r="M71" s="115">
        <v>0.94332132726048279</v>
      </c>
      <c r="N71" s="115">
        <v>6.973265976272029</v>
      </c>
      <c r="O71" s="115">
        <v>1.1039392539459771</v>
      </c>
      <c r="P71" s="115">
        <v>1.4432384133285294</v>
      </c>
      <c r="Q71" s="111">
        <v>1.1039392539459771</v>
      </c>
      <c r="R71" s="68">
        <v>1.4432384133285294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3.6672061325816581E-2</v>
      </c>
      <c r="M72" s="115">
        <v>43.2214087039264</v>
      </c>
      <c r="N72" s="115">
        <v>6061.5033434982643</v>
      </c>
      <c r="O72" s="115">
        <v>57.85617534628102</v>
      </c>
      <c r="P72" s="115">
        <v>81.564522936723321</v>
      </c>
      <c r="Q72" s="111">
        <v>57.856175346281027</v>
      </c>
      <c r="R72" s="68">
        <v>81.564522936723321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0.27605919990298683</v>
      </c>
      <c r="M73" s="115">
        <v>4.3439685393469176</v>
      </c>
      <c r="N73" s="115">
        <v>575.29242705751392</v>
      </c>
      <c r="O73" s="115">
        <v>34.630814901934663</v>
      </c>
      <c r="P73" s="115">
        <v>60.413019878368587</v>
      </c>
      <c r="Q73" s="111">
        <v>34.630814901934663</v>
      </c>
      <c r="R73" s="68">
        <v>60.413019878368594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0.98831780326909813</v>
      </c>
      <c r="M74" s="115">
        <v>0.93941879546844675</v>
      </c>
      <c r="N74" s="115">
        <v>6.3538970273447832</v>
      </c>
      <c r="O74" s="115">
        <v>1.0773011021255086</v>
      </c>
      <c r="P74" s="115">
        <v>1.3970336535359758</v>
      </c>
      <c r="Q74" s="111">
        <v>1.0773011021255086</v>
      </c>
      <c r="R74" s="68">
        <v>1.3970336535359758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0.31249910616513182</v>
      </c>
      <c r="M75" s="115">
        <v>4.2173474225240604</v>
      </c>
      <c r="N75" s="115">
        <v>552.98027578124788</v>
      </c>
      <c r="O75" s="115">
        <v>32.971321627819933</v>
      </c>
      <c r="P75" s="115">
        <v>57.4716619086904</v>
      </c>
      <c r="Q75" s="111">
        <v>32.971321627819933</v>
      </c>
      <c r="R75" s="68">
        <v>57.4716619086904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0.89307712194258138</v>
      </c>
      <c r="M76" s="115">
        <v>1.5542358441250537</v>
      </c>
      <c r="N76" s="115">
        <v>105.85166771513572</v>
      </c>
      <c r="O76" s="115">
        <v>5.9736142990672372</v>
      </c>
      <c r="P76" s="115">
        <v>9.94527088728106</v>
      </c>
      <c r="Q76" s="111">
        <v>5.9736142990672381</v>
      </c>
      <c r="R76" s="68">
        <v>9.94527088728106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0.28619708478033595</v>
      </c>
      <c r="M77" s="115">
        <v>4.3095498678471094</v>
      </c>
      <c r="N77" s="115">
        <v>569.1959730528298</v>
      </c>
      <c r="O77" s="115">
        <v>34.169388995023226</v>
      </c>
      <c r="P77" s="115">
        <v>59.594726188715995</v>
      </c>
      <c r="Q77" s="111">
        <v>34.169388995023226</v>
      </c>
      <c r="R77" s="68">
        <v>59.594726188715995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4.082187084400607E-2</v>
      </c>
      <c r="M78" s="115">
        <v>36.345154202258726</v>
      </c>
      <c r="N78" s="115">
        <v>5095.8945061000886</v>
      </c>
      <c r="O78" s="115">
        <v>55.440575265940396</v>
      </c>
      <c r="P78" s="115">
        <v>80.892445835545402</v>
      </c>
      <c r="Q78" s="111">
        <v>55.440575265940403</v>
      </c>
      <c r="R78" s="68">
        <v>80.892445835545402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4.082187983048742E-2</v>
      </c>
      <c r="M79" s="115">
        <v>36.345133292038668</v>
      </c>
      <c r="N79" s="115">
        <v>5095.8927945071537</v>
      </c>
      <c r="O79" s="115">
        <v>55.440572808325115</v>
      </c>
      <c r="P79" s="115">
        <v>80.892460211378662</v>
      </c>
      <c r="Q79" s="111">
        <v>55.440572808325115</v>
      </c>
      <c r="R79" s="68">
        <v>80.892460211378662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0.67297998083144928</v>
      </c>
      <c r="M80" s="115">
        <v>2.6912869485346915</v>
      </c>
      <c r="N80" s="115">
        <v>293.65742469035519</v>
      </c>
      <c r="O80" s="115">
        <v>16.392079516431856</v>
      </c>
      <c r="P80" s="115">
        <v>28.226777299922926</v>
      </c>
      <c r="Q80" s="111">
        <v>16.39207951643186</v>
      </c>
      <c r="R80" s="68">
        <v>28.226777299922929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0.97271075297234177</v>
      </c>
      <c r="M81" s="115">
        <v>1.0584334425527668</v>
      </c>
      <c r="N81" s="115">
        <v>25.381292879630305</v>
      </c>
      <c r="O81" s="115">
        <v>1.9405862619432797</v>
      </c>
      <c r="P81" s="115">
        <v>2.8984697703167739</v>
      </c>
      <c r="Q81" s="111">
        <v>1.9405862619432799</v>
      </c>
      <c r="R81" s="68">
        <v>2.8984697703167739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0.93952706030213518</v>
      </c>
      <c r="M82" s="115">
        <v>1.2777380676441263</v>
      </c>
      <c r="N82" s="115">
        <v>60.814754192954162</v>
      </c>
      <c r="O82" s="115">
        <v>3.6666071192618364</v>
      </c>
      <c r="P82" s="115">
        <v>5.9104596760803316</v>
      </c>
      <c r="Q82" s="111">
        <v>3.6666071192618364</v>
      </c>
      <c r="R82" s="68">
        <v>5.9104596760803316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2.7043401910278698E-2</v>
      </c>
      <c r="M83" s="115">
        <v>68.947773993102714</v>
      </c>
      <c r="N83" s="115">
        <v>9673.4670258518836</v>
      </c>
      <c r="O83" s="115">
        <v>66.634400772809173</v>
      </c>
      <c r="P83" s="115">
        <v>83.608885562698987</v>
      </c>
      <c r="Q83" s="111">
        <v>66.634400772809187</v>
      </c>
      <c r="R83" s="68">
        <v>83.608885562699001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0.43420640313369913</v>
      </c>
      <c r="M84" s="115">
        <v>5.9569404074934935</v>
      </c>
      <c r="N84" s="115">
        <v>546.9842755888925</v>
      </c>
      <c r="O84" s="115">
        <v>5.7719324115037471</v>
      </c>
      <c r="P84" s="115">
        <v>5.4232279212046102</v>
      </c>
      <c r="Q84" s="111">
        <v>5.7719324115037471</v>
      </c>
      <c r="R84" s="68">
        <v>5.4232279212046102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0.52683048701870194</v>
      </c>
      <c r="M85" s="115">
        <v>702.2869550757141</v>
      </c>
      <c r="N85" s="115">
        <v>18003.037773640724</v>
      </c>
      <c r="O85" s="115">
        <v>17.877043453112741</v>
      </c>
      <c r="P85" s="115">
        <v>16.105691653169</v>
      </c>
      <c r="Q85" s="111">
        <v>17.877043453112744</v>
      </c>
      <c r="R85" s="68">
        <v>16.105691653169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1.8131022549796121E-3</v>
      </c>
      <c r="M86" s="115">
        <v>202.66902420979929</v>
      </c>
      <c r="N86" s="115">
        <v>20431.435878851924</v>
      </c>
      <c r="O86" s="115">
        <v>120.42523671502781</v>
      </c>
      <c r="P86" s="115">
        <v>48.462076875250631</v>
      </c>
      <c r="Q86" s="111">
        <v>120.42523671502781</v>
      </c>
      <c r="R86" s="68">
        <v>48.462076875250631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6.788799301970669E-4</v>
      </c>
      <c r="M87" s="115">
        <v>249.37652617460392</v>
      </c>
      <c r="N87" s="115">
        <v>25223.517589488332</v>
      </c>
      <c r="O87" s="115">
        <v>145.0649634456349</v>
      </c>
      <c r="P87" s="115">
        <v>54.803467306685306</v>
      </c>
      <c r="Q87" s="111">
        <v>145.06496344563493</v>
      </c>
      <c r="R87" s="68">
        <v>54.803467306685313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2.0487841031825038E-4</v>
      </c>
      <c r="M88" s="115">
        <v>291.2006956845766</v>
      </c>
      <c r="N88" s="115">
        <v>29563.909703052537</v>
      </c>
      <c r="O88" s="115">
        <v>167.12295992026884</v>
      </c>
      <c r="P88" s="115">
        <v>60.956047798851273</v>
      </c>
      <c r="Q88" s="111">
        <v>167.12295992026884</v>
      </c>
      <c r="R88" s="68">
        <v>60.956047798851273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4.3504429238876196E-3</v>
      </c>
      <c r="M89" s="115">
        <v>935.51214572824688</v>
      </c>
      <c r="N89" s="115">
        <v>24222.920113856198</v>
      </c>
      <c r="O89" s="115">
        <v>18.504938961387925</v>
      </c>
      <c r="P89" s="115">
        <v>6.3853336600949895</v>
      </c>
      <c r="Q89" s="111">
        <v>18.504938961387925</v>
      </c>
      <c r="R89" s="68">
        <v>6.3853336600949895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0.96793817344927258</v>
      </c>
      <c r="M90" s="115">
        <v>0.89170073312535414</v>
      </c>
      <c r="N90" s="115">
        <v>1.476398665854469</v>
      </c>
      <c r="O90" s="115">
        <v>0.81152865982101519</v>
      </c>
      <c r="P90" s="115">
        <v>0.9385404091320978</v>
      </c>
      <c r="Q90" s="111">
        <v>0.8115286598210153</v>
      </c>
      <c r="R90" s="68">
        <v>0.9385404091320978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0.76672435349557966</v>
      </c>
      <c r="M91" s="115">
        <v>1.5235436677957297</v>
      </c>
      <c r="N91" s="115">
        <v>81.412115769651052</v>
      </c>
      <c r="O91" s="115">
        <v>1.3925408192608373</v>
      </c>
      <c r="P91" s="115">
        <v>1.3887462428104798</v>
      </c>
      <c r="Q91" s="111">
        <v>1.3925408192608373</v>
      </c>
      <c r="R91" s="68">
        <v>1.38874624281048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0.26842088806868863</v>
      </c>
      <c r="M92" s="115">
        <v>11.282813337237195</v>
      </c>
      <c r="N92" s="115">
        <v>1088.338171134684</v>
      </c>
      <c r="O92" s="115">
        <v>11.306072903396544</v>
      </c>
      <c r="P92" s="115">
        <v>10.852345667819108</v>
      </c>
      <c r="Q92" s="111">
        <v>11.306072903396545</v>
      </c>
      <c r="R92" s="68">
        <v>10.852345667819108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0.99219549736911083</v>
      </c>
      <c r="M93" s="115">
        <v>0.90300770521655271</v>
      </c>
      <c r="N93" s="115">
        <v>0.62157435516463055</v>
      </c>
      <c r="O93" s="115">
        <v>0.84245084737750808</v>
      </c>
      <c r="P93" s="115">
        <v>0.990732575912319</v>
      </c>
      <c r="Q93" s="111">
        <v>0.84245084737750808</v>
      </c>
      <c r="R93" s="68">
        <v>0.990732575912319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0.99803618037226627</v>
      </c>
      <c r="M94" s="115">
        <v>0.90497605245187285</v>
      </c>
      <c r="N94" s="115">
        <v>0.15083119805202105</v>
      </c>
      <c r="O94" s="115">
        <v>0.82155079534297848</v>
      </c>
      <c r="P94" s="115">
        <v>0.9548983123769379</v>
      </c>
      <c r="Q94" s="111">
        <v>0.82155079534297859</v>
      </c>
      <c r="R94" s="68">
        <v>0.9548983123769379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0.94568466900980808</v>
      </c>
      <c r="M95" s="115">
        <v>0.9218033079500676</v>
      </c>
      <c r="N95" s="115">
        <v>6.3808157603958611</v>
      </c>
      <c r="O95" s="115">
        <v>0.82206004564578206</v>
      </c>
      <c r="P95" s="115">
        <v>0.93511677323423081</v>
      </c>
      <c r="Q95" s="111">
        <v>0.82206004564578206</v>
      </c>
      <c r="R95" s="68">
        <v>0.93511677323423081</v>
      </c>
    </row>
    <row r="96" spans="1:18">
      <c r="A96" s="102" t="s">
        <v>437</v>
      </c>
      <c r="B96" s="166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2.5618536393934876E-3</v>
      </c>
      <c r="M96" s="115">
        <v>183.83509390007134</v>
      </c>
      <c r="N96" s="115">
        <v>18509.720495374451</v>
      </c>
      <c r="O96" s="115">
        <v>110.53804293389588</v>
      </c>
      <c r="P96" s="115">
        <v>46.096901452279496</v>
      </c>
      <c r="Q96" s="111">
        <v>110.53804293389588</v>
      </c>
      <c r="R96" s="68">
        <v>46.096901452279496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0.68233743698300009</v>
      </c>
      <c r="M97" s="115">
        <v>2.1743319595490651</v>
      </c>
      <c r="N97" s="115">
        <v>152.74773632028396</v>
      </c>
      <c r="O97" s="115">
        <v>2.0138990396965291</v>
      </c>
      <c r="P97" s="115">
        <v>1.930324708303055</v>
      </c>
      <c r="Q97" s="111">
        <v>2.0138990396965291</v>
      </c>
      <c r="R97" s="68">
        <v>1.9303247083030552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0.75239766755724047</v>
      </c>
      <c r="M98" s="115">
        <v>1.6172822028743208</v>
      </c>
      <c r="N98" s="115">
        <v>91.879324221528435</v>
      </c>
      <c r="O98" s="115">
        <v>1.481195663626212</v>
      </c>
      <c r="P98" s="115">
        <v>1.4645421518209021</v>
      </c>
      <c r="Q98" s="111">
        <v>1.4811956636262122</v>
      </c>
      <c r="R98" s="68">
        <v>1.4645421518209021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0.87587627277618552</v>
      </c>
      <c r="M99" s="115">
        <v>1.0270027270004418</v>
      </c>
      <c r="N99" s="115">
        <v>22.966291022423494</v>
      </c>
      <c r="O99" s="115">
        <v>0.9309892441308073</v>
      </c>
      <c r="P99" s="115">
        <v>1.0117648076114745</v>
      </c>
      <c r="Q99" s="111">
        <v>0.93098924413080741</v>
      </c>
      <c r="R99" s="68">
        <v>1.0117648076114745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1.5139034564268126E-2</v>
      </c>
      <c r="M100" s="115">
        <v>81.566161926696978</v>
      </c>
      <c r="N100" s="115">
        <v>8151.4953046920127</v>
      </c>
      <c r="O100" s="115">
        <v>58.040401259104627</v>
      </c>
      <c r="P100" s="115">
        <v>36.173258550488143</v>
      </c>
      <c r="Q100" s="111">
        <v>58.040401259104627</v>
      </c>
      <c r="R100" s="68">
        <v>36.173258550488143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0.32816568430237186</v>
      </c>
      <c r="M101" s="115">
        <v>8.9622936601864271</v>
      </c>
      <c r="N101" s="115">
        <v>853.27723894702581</v>
      </c>
      <c r="O101" s="115">
        <v>8.8659625605386783</v>
      </c>
      <c r="P101" s="115">
        <v>8.4286877723781934</v>
      </c>
      <c r="Q101" s="111">
        <v>8.8659625605386783</v>
      </c>
      <c r="R101" s="68">
        <v>8.4286877723781934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0.12611774901190254</v>
      </c>
      <c r="M102" s="115">
        <v>20.652964880190911</v>
      </c>
      <c r="N102" s="115">
        <v>2032.4712038345872</v>
      </c>
      <c r="O102" s="115">
        <v>21.557326400740425</v>
      </c>
      <c r="P102" s="115">
        <v>21.420419667416898</v>
      </c>
      <c r="Q102" s="111">
        <v>21.557326400740425</v>
      </c>
      <c r="R102" s="68">
        <v>21.420419667416898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0.98309862160743822</v>
      </c>
      <c r="M103" s="115">
        <v>0.98145399211105921</v>
      </c>
      <c r="N103" s="115">
        <v>13.044599021581211</v>
      </c>
      <c r="O103" s="115">
        <v>1.3716850850071225</v>
      </c>
      <c r="P103" s="115">
        <v>1.9082294040059253</v>
      </c>
      <c r="Q103" s="111">
        <v>1.3716850850071225</v>
      </c>
      <c r="R103" s="68">
        <v>1.9082294040059256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0.10156681861438552</v>
      </c>
      <c r="M104" s="115">
        <v>7.4209581344194282</v>
      </c>
      <c r="N104" s="115">
        <v>1009.9656221792085</v>
      </c>
      <c r="O104" s="115">
        <v>43.123781914905798</v>
      </c>
      <c r="P104" s="115">
        <v>74.039020171102933</v>
      </c>
      <c r="Q104" s="111">
        <v>43.123781914905798</v>
      </c>
      <c r="R104" s="68">
        <v>74.039020171102948</v>
      </c>
    </row>
    <row r="105" spans="1:18">
      <c r="A105" s="102" t="s">
        <v>455</v>
      </c>
      <c r="B105" s="166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0.96304339713959153</v>
      </c>
      <c r="M105" s="115">
        <v>0.89065333592644658</v>
      </c>
      <c r="N105" s="115">
        <v>1.8015524176581295</v>
      </c>
      <c r="O105" s="115">
        <v>0.81110106880648447</v>
      </c>
      <c r="P105" s="115">
        <v>0.93652354867823018</v>
      </c>
      <c r="Q105" s="111">
        <v>0.81110106880648447</v>
      </c>
      <c r="R105" s="68">
        <v>0.93652354867823018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0.94157768458359059</v>
      </c>
      <c r="M106" s="115">
        <v>0.92299156993521136</v>
      </c>
      <c r="N106" s="115">
        <v>6.8621431988145103</v>
      </c>
      <c r="O106" s="115">
        <v>0.82381494968413882</v>
      </c>
      <c r="P106" s="115">
        <v>0.93559508758975074</v>
      </c>
      <c r="Q106" s="111">
        <v>0.82381494968413882</v>
      </c>
      <c r="R106" s="68">
        <v>0.93559508758975074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0.12133180405410936</v>
      </c>
      <c r="M107" s="115">
        <v>39.6176559653167</v>
      </c>
      <c r="N107" s="115">
        <v>2767.2244885037198</v>
      </c>
      <c r="O107" s="115">
        <v>25.98551502015156</v>
      </c>
      <c r="P107" s="115">
        <v>26.147556158817331</v>
      </c>
      <c r="Q107" s="111">
        <v>25.985515020151563</v>
      </c>
      <c r="R107" s="68">
        <v>26.147556158817331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0.99538076435240186</v>
      </c>
      <c r="M108" s="115">
        <v>0.90206458217417507</v>
      </c>
      <c r="N108" s="115">
        <v>7.8067237497368575E-2</v>
      </c>
      <c r="O108" s="115">
        <v>0.82142914854838989</v>
      </c>
      <c r="P108" s="115">
        <v>0.95475736957268109</v>
      </c>
      <c r="Q108" s="111">
        <v>0.82142914854838989</v>
      </c>
      <c r="R108" s="68">
        <v>0.95475736957268109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3.8778219664385265</v>
      </c>
      <c r="M109" s="115">
        <v>11.328979549759618</v>
      </c>
      <c r="N109" s="115">
        <v>270.76710821460449</v>
      </c>
      <c r="O109" s="115">
        <v>1.27227076843316</v>
      </c>
      <c r="P109" s="115">
        <v>1.4794516973304805</v>
      </c>
      <c r="Q109" s="111">
        <v>1.2722707684331602</v>
      </c>
      <c r="R109" s="68">
        <v>1.4794516973304805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0.98649998544734796</v>
      </c>
      <c r="M110" s="115">
        <v>0.89568180467981118</v>
      </c>
      <c r="N110" s="115">
        <v>0.22185476664197296</v>
      </c>
      <c r="O110" s="115">
        <v>0.81782287862488501</v>
      </c>
      <c r="P110" s="115">
        <v>0.95017214383603144</v>
      </c>
      <c r="Q110" s="111">
        <v>0.81782287862488512</v>
      </c>
      <c r="R110" s="68">
        <v>0.95017214383603155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0.99266780703672974</v>
      </c>
      <c r="M111" s="115">
        <v>0.89908190295282076</v>
      </c>
      <c r="N111" s="115">
        <v>3.2313578663443437E-3</v>
      </c>
      <c r="O111" s="115">
        <v>0.82146246373278087</v>
      </c>
      <c r="P111" s="115">
        <v>0.95484752038557019</v>
      </c>
      <c r="Q111" s="111">
        <v>0.82146246373278098</v>
      </c>
      <c r="R111" s="68">
        <v>0.95484752038557019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0.98467935407068086</v>
      </c>
      <c r="M112" s="115">
        <v>0.89354977427739313</v>
      </c>
      <c r="N112" s="115">
        <v>0.1675039066843641</v>
      </c>
      <c r="O112" s="115">
        <v>0.81485618357829837</v>
      </c>
      <c r="P112" s="115">
        <v>0.94650440116837598</v>
      </c>
      <c r="Q112" s="111">
        <v>0.81485618357829837</v>
      </c>
      <c r="R112" s="68">
        <v>0.94650440116837598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0.94792516276819838</v>
      </c>
      <c r="M113" s="115">
        <v>0.89768844087491761</v>
      </c>
      <c r="N113" s="115">
        <v>3.8361605075745602</v>
      </c>
      <c r="O113" s="115">
        <v>0.81654522304603216</v>
      </c>
      <c r="P113" s="115">
        <v>0.93622445013423061</v>
      </c>
      <c r="Q113" s="111">
        <v>0.81654522304603216</v>
      </c>
      <c r="R113" s="68">
        <v>0.93622445013423072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0.98852602623334396</v>
      </c>
      <c r="M114" s="115">
        <v>0.89584617684580681</v>
      </c>
      <c r="N114" s="115">
        <v>5.2065696485421649E-2</v>
      </c>
      <c r="O114" s="115">
        <v>0.81703542134682283</v>
      </c>
      <c r="P114" s="115">
        <v>0.9494693924481028</v>
      </c>
      <c r="Q114" s="111">
        <v>0.81703542134682283</v>
      </c>
      <c r="R114" s="68">
        <v>0.94946939244810291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0.99040265800123495</v>
      </c>
      <c r="M115" s="115">
        <v>0.92120256304801595</v>
      </c>
      <c r="N115" s="115">
        <v>3.4704439591003657</v>
      </c>
      <c r="O115" s="115">
        <v>0.95570577984744975</v>
      </c>
      <c r="P115" s="115">
        <v>1.1863310662243269</v>
      </c>
      <c r="Q115" s="111">
        <v>0.95570577984744975</v>
      </c>
      <c r="R115" s="68">
        <v>1.1863310662243272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2.0729874293483883</v>
      </c>
      <c r="M116" s="115">
        <v>319.47495719010499</v>
      </c>
      <c r="N116" s="115">
        <v>8212.2459655795392</v>
      </c>
      <c r="O116" s="115">
        <v>16.391219543447061</v>
      </c>
      <c r="P116" s="115">
        <v>21.314489578218257</v>
      </c>
      <c r="Q116" s="111">
        <v>16.391219543447061</v>
      </c>
      <c r="R116" s="68">
        <v>21.314489578218257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0.58778815361943904</v>
      </c>
      <c r="M117" s="115">
        <v>3.2313332172332712</v>
      </c>
      <c r="N117" s="115">
        <v>264.94787896014685</v>
      </c>
      <c r="O117" s="115">
        <v>3.0437753226983211</v>
      </c>
      <c r="P117" s="115">
        <v>2.8609982051655058</v>
      </c>
      <c r="Q117" s="111">
        <v>3.0437753226983211</v>
      </c>
      <c r="R117" s="68">
        <v>2.8609982051655063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6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6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Mass Balance</vt:lpstr>
      <vt:lpstr>QA-QC</vt:lpstr>
      <vt:lpstr>Concentrations</vt:lpstr>
      <vt:lpstr>Mass Fractions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2025-02-02T13:51:39Z</dcterms:modified>
</cp:coreProperties>
</file>