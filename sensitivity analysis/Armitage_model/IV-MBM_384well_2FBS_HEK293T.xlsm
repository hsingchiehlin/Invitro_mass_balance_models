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4EE35E94-C250-4482-93B9-2613BDB7D5D5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Mass Balance" sheetId="12" r:id="rId6"/>
    <sheet name="QA-QC" sheetId="17" r:id="rId7"/>
    <sheet name="Concentrations" sheetId="15" r:id="rId8"/>
    <sheet name="Mass Fractions" sheetId="11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<sst xmlns="http://schemas.openxmlformats.org/spreadsheetml/2006/main" count="2915" uniqueCount="495">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</sst>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0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6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4.088E-2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4.088E-2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1.0219999999999999E-3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1.022E-5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3.7789111714530583E-9</v>
      </c>
      <c r="E2" s="14">
        <v>3.2300284518234574E-5</v>
      </c>
      <c r="F2" s="14">
        <v>1.5361757257973111E-7</v>
      </c>
      <c r="G2" s="14">
        <v>4.4744169714926682E-8</v>
      </c>
      <c r="H2" s="14">
        <v>0</v>
      </c>
      <c r="I2" s="14">
        <v>5.2842557708372231E-8</v>
      </c>
      <c r="J2" s="14">
        <v>7.4447322705909431E-6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6.7321530141694677E-7</v>
      </c>
      <c r="E3" s="14">
        <v>1.2331435706258566E-7</v>
      </c>
      <c r="F3" s="14">
        <v>4.5564666229545949E-6</v>
      </c>
      <c r="G3" s="14">
        <v>1.2345928250526428E-5</v>
      </c>
      <c r="H3" s="14">
        <v>0</v>
      </c>
      <c r="I3" s="14">
        <v>6.9040659143513699E-6</v>
      </c>
      <c r="J3" s="14">
        <v>1.5397009553688083E-5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2.4390973737729096E-16</v>
      </c>
      <c r="E4" s="14">
        <v>1.9615022159192935E-5</v>
      </c>
      <c r="F4" s="14">
        <v>1.3890035428793101E-6</v>
      </c>
      <c r="G4" s="14">
        <v>3.3158807908535094E-7</v>
      </c>
      <c r="H4" s="14">
        <v>0</v>
      </c>
      <c r="I4" s="14">
        <v>1.924874693057038E-7</v>
      </c>
      <c r="J4" s="14">
        <v>1.8471898749292792E-5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2.1681357677160316E-8</v>
      </c>
      <c r="E5" s="14">
        <v>1.2536783861852577E-6</v>
      </c>
      <c r="F5" s="14">
        <v>1.2211265923719236E-5</v>
      </c>
      <c r="G5" s="14">
        <v>3.5436942533849043E-6</v>
      </c>
      <c r="H5" s="14">
        <v>0</v>
      </c>
      <c r="I5" s="14">
        <v>1.9334033690826397E-6</v>
      </c>
      <c r="J5" s="14">
        <v>2.1036276709950807E-5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2.3699810687076235E-9</v>
      </c>
      <c r="E6" s="14">
        <v>5.9586042413266808E-8</v>
      </c>
      <c r="F6" s="14">
        <v>3.1399236777759936E-6</v>
      </c>
      <c r="G6" s="14">
        <v>1.542107492234022E-5</v>
      </c>
      <c r="H6" s="14">
        <v>0</v>
      </c>
      <c r="I6" s="14">
        <v>8.682204028226906E-6</v>
      </c>
      <c r="J6" s="14">
        <v>1.269484134817491E-5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3.3117307721488705E-9</v>
      </c>
      <c r="E7" s="14">
        <v>1.1286380509166476E-7</v>
      </c>
      <c r="F7" s="14">
        <v>4.3926766788631458E-6</v>
      </c>
      <c r="G7" s="14">
        <v>1.2984486935657477E-5</v>
      </c>
      <c r="H7" s="14">
        <v>0</v>
      </c>
      <c r="I7" s="14">
        <v>7.2683290981539955E-6</v>
      </c>
      <c r="J7" s="14">
        <v>1.5238331751461575E-5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2.9551675040435488E-8</v>
      </c>
      <c r="E8" s="14">
        <v>2.3753180392321362E-7</v>
      </c>
      <c r="F8" s="14">
        <v>6.3162064581576465E-6</v>
      </c>
      <c r="G8" s="14">
        <v>9.861701950547675E-6</v>
      </c>
      <c r="H8" s="14">
        <v>0</v>
      </c>
      <c r="I8" s="14">
        <v>5.4805825596112415E-6</v>
      </c>
      <c r="J8" s="14">
        <v>1.8074425552719799E-5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1.1241611328430557E-8</v>
      </c>
      <c r="E9" s="14">
        <v>6.6043218588329984E-6</v>
      </c>
      <c r="F9" s="14">
        <v>6.623732431979648E-6</v>
      </c>
      <c r="G9" s="14">
        <v>1.3007634823209355E-6</v>
      </c>
      <c r="H9" s="14">
        <v>0</v>
      </c>
      <c r="I9" s="14">
        <v>7.0220239365357827E-7</v>
      </c>
      <c r="J9" s="14">
        <v>2.475773822188441E-5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2.7760770929773226E-10</v>
      </c>
      <c r="E10" s="14">
        <v>1.1619065153877036E-6</v>
      </c>
      <c r="F10" s="14">
        <v>1.1920809214463147E-5</v>
      </c>
      <c r="G10" s="14">
        <v>3.77399475950113E-6</v>
      </c>
      <c r="H10" s="14">
        <v>0</v>
      </c>
      <c r="I10" s="14">
        <v>2.0609092664492065E-6</v>
      </c>
      <c r="J10" s="14">
        <v>2.108210263648952E-5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1.4373672592908081E-8</v>
      </c>
      <c r="E11" s="14">
        <v>1.0202519010408938E-6</v>
      </c>
      <c r="F11" s="14">
        <v>1.1414107619981475E-5</v>
      </c>
      <c r="G11" s="14">
        <v>4.1777025807635564E-6</v>
      </c>
      <c r="H11" s="14">
        <v>0</v>
      </c>
      <c r="I11" s="14">
        <v>2.2848477044170951E-6</v>
      </c>
      <c r="J11" s="14">
        <v>2.1088716521204076E-5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6.836121341366547E-9</v>
      </c>
      <c r="E12" s="14">
        <v>4.9266241041554591E-6</v>
      </c>
      <c r="F12" s="14">
        <v>8.3537981577590842E-6</v>
      </c>
      <c r="G12" s="14">
        <v>1.5782635736910335E-6</v>
      </c>
      <c r="H12" s="14">
        <v>0</v>
      </c>
      <c r="I12" s="14">
        <v>8.5204702424015042E-7</v>
      </c>
      <c r="J12" s="14">
        <v>2.4282431018812905E-5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1.7750689537518762E-8</v>
      </c>
      <c r="E13" s="14">
        <v>6.4282815894999527E-6</v>
      </c>
      <c r="F13" s="14">
        <v>6.7778108244402954E-6</v>
      </c>
      <c r="G13" s="14">
        <v>1.3261266367612613E-6</v>
      </c>
      <c r="H13" s="14">
        <v>0</v>
      </c>
      <c r="I13" s="14">
        <v>7.1584388072811961E-7</v>
      </c>
      <c r="J13" s="14">
        <v>2.4734186379032854E-5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9.4931869435930596E-9</v>
      </c>
      <c r="E14" s="14">
        <v>6.7095238000178307E-7</v>
      </c>
      <c r="F14" s="14">
        <v>9.817168566489615E-6</v>
      </c>
      <c r="G14" s="14">
        <v>5.6335454639413693E-6</v>
      </c>
      <c r="H14" s="14">
        <v>0</v>
      </c>
      <c r="I14" s="14">
        <v>3.0960693729756521E-6</v>
      </c>
      <c r="J14" s="14">
        <v>2.0772771029647996E-5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1.5693543163208589E-11</v>
      </c>
      <c r="E15" s="14">
        <v>1.0893330262446577E-6</v>
      </c>
      <c r="F15" s="14">
        <v>1.167065473578857E-5</v>
      </c>
      <c r="G15" s="14">
        <v>3.9727457934067855E-6</v>
      </c>
      <c r="H15" s="14">
        <v>0</v>
      </c>
      <c r="I15" s="14">
        <v>2.1710909260948111E-6</v>
      </c>
      <c r="J15" s="14">
        <v>2.1096159824922014E-5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7.6554562129524492E-8</v>
      </c>
      <c r="E16" s="14">
        <v>2.4503647784700844E-7</v>
      </c>
      <c r="F16" s="14">
        <v>6.4039110606637982E-6</v>
      </c>
      <c r="G16" s="14">
        <v>9.7127195092516032E-6</v>
      </c>
      <c r="H16" s="14">
        <v>0</v>
      </c>
      <c r="I16" s="14">
        <v>5.3960223440490697E-6</v>
      </c>
      <c r="J16" s="14">
        <v>1.8165756046058996E-5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5.5634390194613497E-9</v>
      </c>
      <c r="E17" s="14">
        <v>1.2227086838466588E-6</v>
      </c>
      <c r="F17" s="14">
        <v>1.2117626077530252E-5</v>
      </c>
      <c r="G17" s="14">
        <v>3.6200377748911351E-6</v>
      </c>
      <c r="H17" s="14">
        <v>0</v>
      </c>
      <c r="I17" s="14">
        <v>1.9756464628562838E-6</v>
      </c>
      <c r="J17" s="14">
        <v>2.105841756185621E-5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3.1494320634309474E-7</v>
      </c>
      <c r="E18" s="14">
        <v>7.3751678553536863E-6</v>
      </c>
      <c r="F18" s="14">
        <v>5.9061770197979695E-6</v>
      </c>
      <c r="G18" s="14">
        <v>1.1792394915863663E-6</v>
      </c>
      <c r="H18" s="14">
        <v>0</v>
      </c>
      <c r="I18" s="14">
        <v>6.3695700027857863E-7</v>
      </c>
      <c r="J18" s="14">
        <v>2.458751542664031E-5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5.4972308423984483E-11</v>
      </c>
      <c r="E19" s="14">
        <v>1.0752851273354617E-6</v>
      </c>
      <c r="F19" s="14">
        <v>1.1620322716847722E-5</v>
      </c>
      <c r="G19" s="14">
        <v>4.0134119986022109E-6</v>
      </c>
      <c r="H19" s="14">
        <v>0</v>
      </c>
      <c r="I19" s="14">
        <v>2.19364963172256E-6</v>
      </c>
      <c r="J19" s="14">
        <v>2.1097275553183628E-5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2.687687765851384E-9</v>
      </c>
      <c r="E20" s="14">
        <v>6.4307033946420174E-6</v>
      </c>
      <c r="F20" s="14">
        <v>6.7803643120058348E-6</v>
      </c>
      <c r="G20" s="14">
        <v>1.3266262446678572E-6</v>
      </c>
      <c r="H20" s="14">
        <v>0</v>
      </c>
      <c r="I20" s="14">
        <v>7.1611356934818475E-7</v>
      </c>
      <c r="J20" s="14">
        <v>2.4743504791570255E-5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7.9465759845999187E-8</v>
      </c>
      <c r="E21" s="14">
        <v>7.5857705965929893E-7</v>
      </c>
      <c r="F21" s="14">
        <v>1.0267252799809423E-5</v>
      </c>
      <c r="G21" s="14">
        <v>5.1707055913914884E-6</v>
      </c>
      <c r="H21" s="14">
        <v>0</v>
      </c>
      <c r="I21" s="14">
        <v>2.837654084332232E-6</v>
      </c>
      <c r="J21" s="14">
        <v>2.0886344704961562E-5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9.0546706153640688E-8</v>
      </c>
      <c r="E22" s="14">
        <v>2.6008321257531129E-5</v>
      </c>
      <c r="F22" s="14">
        <v>5.5455786796107747E-7</v>
      </c>
      <c r="G22" s="14">
        <v>1.4462468522836446E-7</v>
      </c>
      <c r="H22" s="14">
        <v>0</v>
      </c>
      <c r="I22" s="14">
        <v>9.9422665068153639E-8</v>
      </c>
      <c r="J22" s="14">
        <v>1.310252681805763E-5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3.5675960679644847E-9</v>
      </c>
      <c r="E23" s="14">
        <v>3.0405723447404364E-5</v>
      </c>
      <c r="F23" s="14">
        <v>2.4448368984212976E-7</v>
      </c>
      <c r="G23" s="14">
        <v>6.8508655877661898E-8</v>
      </c>
      <c r="H23" s="14">
        <v>0</v>
      </c>
      <c r="I23" s="14">
        <v>6.3507217106550082E-8</v>
      </c>
      <c r="J23" s="14">
        <v>9.2142093937013343E-6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5.3380388450099117E-9</v>
      </c>
      <c r="E24" s="14">
        <v>1.2876605615595979E-5</v>
      </c>
      <c r="F24" s="14">
        <v>3.10495953544691E-6</v>
      </c>
      <c r="G24" s="14">
        <v>6.7725387735024668E-7</v>
      </c>
      <c r="H24" s="14">
        <v>0</v>
      </c>
      <c r="I24" s="14">
        <v>3.7096556421086646E-7</v>
      </c>
      <c r="J24" s="14">
        <v>2.2964877368550996E-5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1.9743868402384955E-6</v>
      </c>
      <c r="E25" s="14">
        <v>3.1013580786373421E-6</v>
      </c>
      <c r="F25" s="14">
        <v>1.0330146070401999E-5</v>
      </c>
      <c r="G25" s="14">
        <v>1.8569577298192738E-6</v>
      </c>
      <c r="H25" s="14">
        <v>0</v>
      </c>
      <c r="I25" s="14">
        <v>1.0044030663098476E-6</v>
      </c>
      <c r="J25" s="14">
        <v>2.173274821459305E-5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6.38963039356549E-8</v>
      </c>
      <c r="E26" s="14">
        <v>8.2348444813671731E-7</v>
      </c>
      <c r="F26" s="14">
        <v>1.0581566171434075E-5</v>
      </c>
      <c r="G26" s="14">
        <v>4.8847856091492548E-6</v>
      </c>
      <c r="H26" s="14">
        <v>0</v>
      </c>
      <c r="I26" s="14">
        <v>2.6782129046703053E-6</v>
      </c>
      <c r="J26" s="14">
        <v>2.0968054562673993E-5</v>
      </c>
      <c r="K26" s="14">
        <v>0</v>
      </c>
    </row>
    <row r="27" spans="1:13">
      <c r="A27" s="2" t="s">
        <v>353</v>
      </c>
      <c r="B27" s="3" t="s">
        <v>354</v>
      </c>
      <c r="D27" s="14">
        <v>4.6547871909138164E-7</v>
      </c>
      <c r="E27" s="14">
        <v>1.3522577995913727E-7</v>
      </c>
      <c r="F27" s="14">
        <v>4.7849129963296007E-6</v>
      </c>
      <c r="G27" s="14">
        <v>1.2057842333987676E-5</v>
      </c>
      <c r="H27" s="14">
        <v>0</v>
      </c>
      <c r="I27" s="14">
        <v>6.7374234178351904E-6</v>
      </c>
      <c r="J27" s="14">
        <v>1.5819116752797011E-5</v>
      </c>
      <c r="K27" s="14">
        <v>0</v>
      </c>
    </row>
    <row r="28" spans="1:13">
      <c r="A28" s="2" t="s">
        <v>355</v>
      </c>
      <c r="B28" s="3" t="s">
        <v>356</v>
      </c>
      <c r="D28" s="14">
        <v>2.4008346686189289E-8</v>
      </c>
      <c r="E28" s="14">
        <v>4.5501102338819615E-7</v>
      </c>
      <c r="F28" s="14">
        <v>8.4107837831466063E-6</v>
      </c>
      <c r="G28" s="14">
        <v>7.1405559107112623E-6</v>
      </c>
      <c r="H28" s="14">
        <v>0</v>
      </c>
      <c r="I28" s="14">
        <v>3.9413148060891904E-6</v>
      </c>
      <c r="J28" s="14">
        <v>2.0028326129978565E-5</v>
      </c>
      <c r="K28" s="14">
        <v>0</v>
      </c>
    </row>
    <row r="29" spans="1:13">
      <c r="A29" s="2" t="s">
        <v>357</v>
      </c>
      <c r="B29" s="3" t="s">
        <v>358</v>
      </c>
      <c r="D29" s="14">
        <v>4.4127172877724041E-6</v>
      </c>
      <c r="E29" s="14">
        <v>6.2253786027796814E-7</v>
      </c>
      <c r="F29" s="14">
        <v>8.875244355979233E-6</v>
      </c>
      <c r="G29" s="14">
        <v>4.8761367230447167E-6</v>
      </c>
      <c r="H29" s="14">
        <v>0</v>
      </c>
      <c r="I29" s="14">
        <v>2.6785381313591227E-6</v>
      </c>
      <c r="J29" s="14">
        <v>1.8534825641566562E-5</v>
      </c>
      <c r="K29" s="14">
        <v>0</v>
      </c>
    </row>
    <row r="30" spans="1:13">
      <c r="A30" s="2" t="s">
        <v>359</v>
      </c>
      <c r="B30" s="3" t="s">
        <v>360</v>
      </c>
      <c r="D30" s="14">
        <v>2.4008346686189289E-8</v>
      </c>
      <c r="E30" s="14">
        <v>4.5501102338819615E-7</v>
      </c>
      <c r="F30" s="14">
        <v>8.4107837831466063E-6</v>
      </c>
      <c r="G30" s="14">
        <v>7.1405559107112623E-6</v>
      </c>
      <c r="H30" s="14">
        <v>0</v>
      </c>
      <c r="I30" s="14">
        <v>3.9413148060891904E-6</v>
      </c>
      <c r="J30" s="14">
        <v>2.0028326129978565E-5</v>
      </c>
      <c r="K30" s="14">
        <v>0</v>
      </c>
    </row>
    <row r="31" spans="1:13">
      <c r="A31" s="2" t="s">
        <v>283</v>
      </c>
      <c r="B31" s="3" t="s">
        <v>284</v>
      </c>
      <c r="D31" s="14">
        <v>1.0449729922195632E-12</v>
      </c>
      <c r="E31" s="14">
        <v>3.9028757953564773E-5</v>
      </c>
      <c r="F31" s="14">
        <v>2.3932015803350652E-9</v>
      </c>
      <c r="G31" s="14">
        <v>9.6045016684805605E-10</v>
      </c>
      <c r="H31" s="14">
        <v>0</v>
      </c>
      <c r="I31" s="14">
        <v>3.6377466918781368E-8</v>
      </c>
      <c r="J31" s="14">
        <v>9.3150988279627307E-7</v>
      </c>
      <c r="K31" s="14">
        <v>0</v>
      </c>
    </row>
    <row r="32" spans="1:13">
      <c r="A32" s="2" t="s">
        <v>361</v>
      </c>
      <c r="B32" s="3" t="s">
        <v>362</v>
      </c>
      <c r="D32" s="14">
        <v>1.0872141695140287E-12</v>
      </c>
      <c r="E32" s="14">
        <v>2.2208587513409662E-5</v>
      </c>
      <c r="F32" s="14">
        <v>9.9487245974447837E-7</v>
      </c>
      <c r="G32" s="14">
        <v>2.4529351706967507E-7</v>
      </c>
      <c r="H32" s="14">
        <v>0</v>
      </c>
      <c r="I32" s="14">
        <v>1.5295020138008946E-7</v>
      </c>
      <c r="J32" s="14">
        <v>1.6398295221181931E-5</v>
      </c>
      <c r="K32" s="14">
        <v>0</v>
      </c>
    </row>
    <row r="33" spans="1:11">
      <c r="A33" s="2" t="s">
        <v>364</v>
      </c>
      <c r="B33" s="3" t="s">
        <v>365</v>
      </c>
      <c r="D33" s="14">
        <v>4.825560682316577E-15</v>
      </c>
      <c r="E33" s="14">
        <v>3.9944004219254173E-5</v>
      </c>
      <c r="F33" s="14">
        <v>1.6798331573018056E-8</v>
      </c>
      <c r="G33" s="14">
        <v>5.1368096401795151E-12</v>
      </c>
      <c r="H33" s="14">
        <v>0</v>
      </c>
      <c r="I33" s="14">
        <v>3.6908780792598195E-8</v>
      </c>
      <c r="J33" s="14">
        <v>2.2835267450124207E-9</v>
      </c>
      <c r="K33" s="14">
        <v>0</v>
      </c>
    </row>
    <row r="34" spans="1:11">
      <c r="A34" s="2" t="s">
        <v>285</v>
      </c>
      <c r="B34" s="3" t="s">
        <v>286</v>
      </c>
      <c r="D34" s="14">
        <v>2.4096599272407223E-14</v>
      </c>
      <c r="E34" s="14">
        <v>3.6895139204084002E-5</v>
      </c>
      <c r="F34" s="14">
        <v>3.0355941251038441E-6</v>
      </c>
      <c r="G34" s="14">
        <v>2.4929766500790645E-10</v>
      </c>
      <c r="H34" s="14">
        <v>0</v>
      </c>
      <c r="I34" s="14">
        <v>5.5948695609448595E-8</v>
      </c>
      <c r="J34" s="14">
        <v>1.3068653441105152E-8</v>
      </c>
      <c r="K34" s="14">
        <v>0</v>
      </c>
    </row>
    <row r="35" spans="1:11">
      <c r="A35" s="2" t="s">
        <v>287</v>
      </c>
      <c r="B35" s="3" t="s">
        <v>288</v>
      </c>
      <c r="D35" s="14">
        <v>1.0611032363031466E-15</v>
      </c>
      <c r="E35" s="14">
        <v>3.3020333610452684E-5</v>
      </c>
      <c r="F35" s="14">
        <v>6.8529254460613932E-6</v>
      </c>
      <c r="G35" s="14">
        <v>1.3270990238509675E-9</v>
      </c>
      <c r="H35" s="14">
        <v>0</v>
      </c>
      <c r="I35" s="14">
        <v>7.7593139960485599E-8</v>
      </c>
      <c r="J35" s="14">
        <v>4.7820703440487225E-8</v>
      </c>
      <c r="K35" s="14">
        <v>0</v>
      </c>
    </row>
    <row r="36" spans="1:11">
      <c r="A36" s="2" t="s">
        <v>366</v>
      </c>
      <c r="B36" s="3" t="s">
        <v>305</v>
      </c>
      <c r="D36" s="14">
        <v>3.7075753928324037E-12</v>
      </c>
      <c r="E36" s="14">
        <v>2.1830147435796664E-5</v>
      </c>
      <c r="F36" s="14">
        <v>1.7924672077876221E-5</v>
      </c>
      <c r="G36" s="14">
        <v>5.1320750970484277E-9</v>
      </c>
      <c r="H36" s="14">
        <v>0</v>
      </c>
      <c r="I36" s="14">
        <v>1.3411795715840388E-7</v>
      </c>
      <c r="J36" s="14">
        <v>1.0592674649627115E-7</v>
      </c>
      <c r="K36" s="14">
        <v>0</v>
      </c>
    </row>
    <row r="37" spans="1:11">
      <c r="A37" s="2" t="s">
        <v>289</v>
      </c>
      <c r="B37" s="3" t="s">
        <v>290</v>
      </c>
      <c r="D37" s="14">
        <v>4.7435110250168894E-19</v>
      </c>
      <c r="E37" s="14">
        <v>2.3631200512875788E-5</v>
      </c>
      <c r="F37" s="14">
        <v>7.8871542711132664E-6</v>
      </c>
      <c r="G37" s="14">
        <v>2.6927115711630619E-7</v>
      </c>
      <c r="H37" s="14">
        <v>0</v>
      </c>
      <c r="I37" s="14">
        <v>2.0845907197950453E-7</v>
      </c>
      <c r="J37" s="14">
        <v>8.0039149869146648E-6</v>
      </c>
      <c r="K37" s="14">
        <v>0</v>
      </c>
    </row>
    <row r="38" spans="1:11">
      <c r="A38" s="2" t="s">
        <v>291</v>
      </c>
      <c r="B38" s="3" t="s">
        <v>292</v>
      </c>
      <c r="D38" s="14">
        <v>7.3597329268249644E-17</v>
      </c>
      <c r="E38" s="14">
        <v>3.7488055316974164E-5</v>
      </c>
      <c r="F38" s="14">
        <v>2.3426502919996626E-6</v>
      </c>
      <c r="G38" s="14">
        <v>1.9571517936885327E-9</v>
      </c>
      <c r="H38" s="14">
        <v>0</v>
      </c>
      <c r="I38" s="14">
        <v>5.2644178921010008E-8</v>
      </c>
      <c r="J38" s="14">
        <v>1.1469306023787909E-7</v>
      </c>
      <c r="K38" s="14">
        <v>0</v>
      </c>
    </row>
    <row r="39" spans="1:11">
      <c r="A39" s="2" t="s">
        <v>367</v>
      </c>
      <c r="B39" s="3" t="s">
        <v>368</v>
      </c>
      <c r="D39" s="14">
        <v>2.6944470648238386E-9</v>
      </c>
      <c r="E39" s="14">
        <v>1.9260578196104643E-6</v>
      </c>
      <c r="F39" s="14">
        <v>1.3856191303742398E-5</v>
      </c>
      <c r="G39" s="14">
        <v>2.4201340729547428E-6</v>
      </c>
      <c r="H39" s="14">
        <v>0</v>
      </c>
      <c r="I39" s="14">
        <v>1.313879955788729E-6</v>
      </c>
      <c r="J39" s="14">
        <v>2.0481042400838844E-5</v>
      </c>
      <c r="K39" s="14">
        <v>0</v>
      </c>
    </row>
    <row r="40" spans="1:11">
      <c r="A40" s="2" t="s">
        <v>369</v>
      </c>
      <c r="B40" s="3" t="s">
        <v>370</v>
      </c>
      <c r="D40" s="14">
        <v>2.5600617071592864E-16</v>
      </c>
      <c r="E40" s="14">
        <v>2.800950761008262E-7</v>
      </c>
      <c r="F40" s="14">
        <v>2.5465958361813974E-5</v>
      </c>
      <c r="G40" s="14">
        <v>1.8423850528689545E-6</v>
      </c>
      <c r="H40" s="14">
        <v>0</v>
      </c>
      <c r="I40" s="14">
        <v>1.1610449887174942E-5</v>
      </c>
      <c r="J40" s="14">
        <v>8.0111162178530517E-7</v>
      </c>
      <c r="K40" s="14">
        <v>0</v>
      </c>
    </row>
    <row r="41" spans="1:11">
      <c r="A41" s="2" t="s">
        <v>371</v>
      </c>
      <c r="B41" s="3" t="s">
        <v>372</v>
      </c>
      <c r="D41" s="14">
        <v>3.2591596488726136E-6</v>
      </c>
      <c r="E41" s="14">
        <v>3.652458577155859E-5</v>
      </c>
      <c r="F41" s="14">
        <v>1.114242833871392E-10</v>
      </c>
      <c r="G41" s="14">
        <v>5.577960121262307E-11</v>
      </c>
      <c r="H41" s="14">
        <v>0</v>
      </c>
      <c r="I41" s="14">
        <v>3.3618819523302987E-8</v>
      </c>
      <c r="J41" s="14">
        <v>1.8246855616090179E-7</v>
      </c>
      <c r="K41" s="14">
        <v>0</v>
      </c>
    </row>
    <row r="42" spans="1:11">
      <c r="A42" s="2" t="s">
        <v>293</v>
      </c>
      <c r="B42" s="3" t="s">
        <v>294</v>
      </c>
      <c r="D42" s="14">
        <v>8.2987358935576731E-13</v>
      </c>
      <c r="E42" s="14">
        <v>2.4929387479955472E-5</v>
      </c>
      <c r="F42" s="14">
        <v>6.6571165171352272E-7</v>
      </c>
      <c r="G42" s="14">
        <v>1.7075825721990162E-7</v>
      </c>
      <c r="H42" s="14">
        <v>0</v>
      </c>
      <c r="I42" s="14">
        <v>1.1220235773896135E-7</v>
      </c>
      <c r="J42" s="14">
        <v>1.4121939423498555E-5</v>
      </c>
      <c r="K42" s="14">
        <v>0</v>
      </c>
    </row>
    <row r="43" spans="1:11">
      <c r="A43" s="2" t="s">
        <v>373</v>
      </c>
      <c r="B43" s="3" t="s">
        <v>374</v>
      </c>
      <c r="D43" s="14">
        <v>1.5748926128005955E-11</v>
      </c>
      <c r="E43" s="14">
        <v>3.2303998280658304E-6</v>
      </c>
      <c r="F43" s="14">
        <v>3.6140223071865792E-5</v>
      </c>
      <c r="G43" s="14">
        <v>3.051495615646002E-8</v>
      </c>
      <c r="H43" s="14">
        <v>0</v>
      </c>
      <c r="I43" s="14">
        <v>4.4480927826913477E-7</v>
      </c>
      <c r="J43" s="14">
        <v>1.5403711671665725E-7</v>
      </c>
      <c r="K43" s="14">
        <v>0</v>
      </c>
    </row>
    <row r="44" spans="1:11">
      <c r="A44" s="2" t="s">
        <v>375</v>
      </c>
      <c r="B44" s="3" t="s">
        <v>376</v>
      </c>
      <c r="D44" s="14">
        <v>3.4729921945905673E-6</v>
      </c>
      <c r="E44" s="14">
        <v>3.1192017925138942E-5</v>
      </c>
      <c r="F44" s="14">
        <v>7.9392233911073031E-8</v>
      </c>
      <c r="G44" s="14">
        <v>2.4214392485647935E-8</v>
      </c>
      <c r="H44" s="14">
        <v>0</v>
      </c>
      <c r="I44" s="14">
        <v>4.1157981021480756E-8</v>
      </c>
      <c r="J44" s="14">
        <v>5.1902252728522948E-6</v>
      </c>
      <c r="K44" s="14">
        <v>0</v>
      </c>
    </row>
    <row r="45" spans="1:11">
      <c r="A45" s="2" t="s">
        <v>377</v>
      </c>
      <c r="B45" s="3" t="s">
        <v>378</v>
      </c>
      <c r="D45" s="14">
        <v>3.2398052069132268E-8</v>
      </c>
      <c r="E45" s="14">
        <v>2.3863743017101782E-5</v>
      </c>
      <c r="F45" s="14">
        <v>7.7838259072212247E-7</v>
      </c>
      <c r="G45" s="14">
        <v>1.9673818899517588E-7</v>
      </c>
      <c r="H45" s="14">
        <v>0</v>
      </c>
      <c r="I45" s="14">
        <v>1.2493699424148304E-7</v>
      </c>
      <c r="J45" s="14">
        <v>1.5003801156870315E-5</v>
      </c>
      <c r="K45" s="14">
        <v>0</v>
      </c>
    </row>
    <row r="46" spans="1:11">
      <c r="A46" s="2" t="s">
        <v>379</v>
      </c>
      <c r="B46" s="3" t="s">
        <v>380</v>
      </c>
      <c r="D46" s="14">
        <v>9.5790921450780802E-8</v>
      </c>
      <c r="E46" s="14">
        <v>2.4481837752880361E-5</v>
      </c>
      <c r="F46" s="14">
        <v>7.0469074184880132E-7</v>
      </c>
      <c r="G46" s="14">
        <v>1.7976043948505675E-7</v>
      </c>
      <c r="H46" s="14">
        <v>0</v>
      </c>
      <c r="I46" s="14">
        <v>1.1654242938544121E-7</v>
      </c>
      <c r="J46" s="14">
        <v>1.4421377714949558E-5</v>
      </c>
      <c r="K46" s="14">
        <v>0</v>
      </c>
    </row>
    <row r="47" spans="1:11">
      <c r="A47" s="2" t="s">
        <v>381</v>
      </c>
      <c r="B47" s="3" t="s">
        <v>382</v>
      </c>
      <c r="D47" s="14">
        <v>8.0449887633934933E-12</v>
      </c>
      <c r="E47" s="14">
        <v>1.254252878348972E-7</v>
      </c>
      <c r="F47" s="14">
        <v>4.6344655343264761E-6</v>
      </c>
      <c r="G47" s="14">
        <v>1.2557269415315207E-5</v>
      </c>
      <c r="H47" s="14">
        <v>0</v>
      </c>
      <c r="I47" s="14">
        <v>7.0222517082834954E-6</v>
      </c>
      <c r="J47" s="14">
        <v>1.5660580009251168E-5</v>
      </c>
      <c r="K47" s="14">
        <v>0</v>
      </c>
    </row>
    <row r="48" spans="1:11">
      <c r="A48" s="2" t="s">
        <v>383</v>
      </c>
      <c r="B48" s="3" t="s">
        <v>384</v>
      </c>
      <c r="D48" s="14">
        <v>4.7252672336753679E-7</v>
      </c>
      <c r="E48" s="14">
        <v>3.6381955574868639E-5</v>
      </c>
      <c r="F48" s="14">
        <v>2.5229032115793402E-8</v>
      </c>
      <c r="G48" s="14">
        <v>8.4682982438614183E-9</v>
      </c>
      <c r="H48" s="14">
        <v>0</v>
      </c>
      <c r="I48" s="14">
        <v>3.7785600772687486E-8</v>
      </c>
      <c r="J48" s="14">
        <v>3.0740347706314887E-6</v>
      </c>
      <c r="K48" s="14">
        <v>0</v>
      </c>
    </row>
    <row r="49" spans="1:11">
      <c r="A49" s="2" t="s">
        <v>385</v>
      </c>
      <c r="B49" s="3" t="s">
        <v>386</v>
      </c>
      <c r="D49" s="14">
        <v>8.8753159618197118E-7</v>
      </c>
      <c r="E49" s="14">
        <v>3.4925568769976289E-5</v>
      </c>
      <c r="F49" s="14">
        <v>4.5254111004386713E-8</v>
      </c>
      <c r="G49" s="14">
        <v>1.4506197738717975E-8</v>
      </c>
      <c r="H49" s="14">
        <v>0</v>
      </c>
      <c r="I49" s="14">
        <v>3.9559718616203672E-8</v>
      </c>
      <c r="J49" s="14">
        <v>4.0875796064824314E-6</v>
      </c>
      <c r="K49" s="14">
        <v>0</v>
      </c>
    </row>
    <row r="50" spans="1:11">
      <c r="A50" s="2" t="s">
        <v>387</v>
      </c>
      <c r="B50" s="3" t="s">
        <v>388</v>
      </c>
      <c r="D50" s="14">
        <v>6.6202266500459592E-7</v>
      </c>
      <c r="E50" s="14">
        <v>7.5961323449298258E-6</v>
      </c>
      <c r="F50" s="14">
        <v>5.6434810760439701E-6</v>
      </c>
      <c r="G50" s="14">
        <v>1.1330331811283924E-6</v>
      </c>
      <c r="H50" s="14">
        <v>0</v>
      </c>
      <c r="I50" s="14">
        <v>6.1217426950887673E-7</v>
      </c>
      <c r="J50" s="14">
        <v>2.4353156463384341E-5</v>
      </c>
      <c r="K50" s="14">
        <v>0</v>
      </c>
    </row>
    <row r="51" spans="1:11">
      <c r="A51" s="2" t="s">
        <v>295</v>
      </c>
      <c r="B51" s="3" t="s">
        <v>296</v>
      </c>
      <c r="D51" s="14">
        <v>2.6148861782985463E-6</v>
      </c>
      <c r="E51" s="14">
        <v>3.6165331807719047E-5</v>
      </c>
      <c r="F51" s="14">
        <v>4.0413550283038775E-9</v>
      </c>
      <c r="G51" s="14">
        <v>1.5517528787757385E-9</v>
      </c>
      <c r="H51" s="14">
        <v>0</v>
      </c>
      <c r="I51" s="14">
        <v>3.4044396342932734E-8</v>
      </c>
      <c r="J51" s="14">
        <v>1.1801445097323997E-6</v>
      </c>
      <c r="K51" s="14">
        <v>0</v>
      </c>
    </row>
    <row r="52" spans="1:11">
      <c r="A52" s="2" t="s">
        <v>389</v>
      </c>
      <c r="B52" s="3" t="s">
        <v>390</v>
      </c>
      <c r="D52" s="14">
        <v>2.8592039956354698E-6</v>
      </c>
      <c r="E52" s="14">
        <v>3.0070787841607296E-5</v>
      </c>
      <c r="F52" s="14">
        <v>1.3948238250260149E-7</v>
      </c>
      <c r="G52" s="14">
        <v>4.0701921498674522E-8</v>
      </c>
      <c r="H52" s="14">
        <v>0</v>
      </c>
      <c r="I52" s="14">
        <v>4.8698590538270214E-8</v>
      </c>
      <c r="J52" s="14">
        <v>6.8411252682177012E-6</v>
      </c>
      <c r="K52" s="14">
        <v>0</v>
      </c>
    </row>
    <row r="53" spans="1:11">
      <c r="A53" s="2" t="s">
        <v>391</v>
      </c>
      <c r="B53" s="3" t="s">
        <v>392</v>
      </c>
      <c r="D53" s="14">
        <v>1.0568183924157363E-7</v>
      </c>
      <c r="E53" s="14">
        <v>2.0404221407965014E-5</v>
      </c>
      <c r="F53" s="14">
        <v>1.2435824310586661E-6</v>
      </c>
      <c r="G53" s="14">
        <v>3.0017196844025063E-7</v>
      </c>
      <c r="H53" s="14">
        <v>0</v>
      </c>
      <c r="I53" s="14">
        <v>1.7653319063184651E-7</v>
      </c>
      <c r="J53" s="14">
        <v>1.776980916266265E-5</v>
      </c>
      <c r="K53" s="14">
        <v>0</v>
      </c>
    </row>
    <row r="54" spans="1:11">
      <c r="A54" s="2" t="s">
        <v>393</v>
      </c>
      <c r="B54" s="3" t="s">
        <v>394</v>
      </c>
      <c r="D54" s="14">
        <v>3.6161679198875491E-8</v>
      </c>
      <c r="E54" s="14">
        <v>1.7068220847893575E-7</v>
      </c>
      <c r="F54" s="14">
        <v>5.3966319970587587E-6</v>
      </c>
      <c r="G54" s="14">
        <v>1.1262073552144918E-5</v>
      </c>
      <c r="H54" s="14">
        <v>0</v>
      </c>
      <c r="I54" s="14">
        <v>6.2793638973257538E-6</v>
      </c>
      <c r="J54" s="14">
        <v>1.6855086665792768E-5</v>
      </c>
      <c r="K54" s="14">
        <v>0</v>
      </c>
    </row>
    <row r="55" spans="1:11">
      <c r="A55" s="2" t="s">
        <v>395</v>
      </c>
      <c r="B55" s="3" t="s">
        <v>396</v>
      </c>
      <c r="D55" s="14">
        <v>9.1010538295444949E-6</v>
      </c>
      <c r="E55" s="14">
        <v>9.3573171111217856E-6</v>
      </c>
      <c r="F55" s="14">
        <v>2.621596798212073E-6</v>
      </c>
      <c r="G55" s="14">
        <v>5.6553755946009877E-7</v>
      </c>
      <c r="H55" s="14">
        <v>0</v>
      </c>
      <c r="I55" s="14">
        <v>3.0878012911667268E-7</v>
      </c>
      <c r="J55" s="14">
        <v>1.8045714572544881E-5</v>
      </c>
      <c r="K55" s="14">
        <v>0</v>
      </c>
    </row>
    <row r="56" spans="1:11">
      <c r="A56" s="2" t="s">
        <v>397</v>
      </c>
      <c r="B56" s="3" t="s">
        <v>398</v>
      </c>
      <c r="D56" s="14">
        <v>3.3106671391916087E-5</v>
      </c>
      <c r="E56" s="14">
        <v>8.8681939491568885E-7</v>
      </c>
      <c r="F56" s="14">
        <v>1.3950498702217312E-6</v>
      </c>
      <c r="G56" s="14">
        <v>2.6502405121423772E-7</v>
      </c>
      <c r="H56" s="14">
        <v>0</v>
      </c>
      <c r="I56" s="14">
        <v>1.430624009879497E-7</v>
      </c>
      <c r="J56" s="14">
        <v>4.2033728907443158E-6</v>
      </c>
      <c r="K56" s="14">
        <v>0</v>
      </c>
    </row>
    <row r="57" spans="1:11">
      <c r="A57" s="2" t="s">
        <v>399</v>
      </c>
      <c r="B57" s="3" t="s">
        <v>400</v>
      </c>
      <c r="D57" s="14">
        <v>3.4939479157810745E-5</v>
      </c>
      <c r="E57" s="14">
        <v>1.3322817878628721E-6</v>
      </c>
      <c r="F57" s="14">
        <v>5.1664310951609522E-7</v>
      </c>
      <c r="G57" s="14">
        <v>1.0881435620974581E-7</v>
      </c>
      <c r="H57" s="14">
        <v>0</v>
      </c>
      <c r="I57" s="14">
        <v>5.9102731471256746E-8</v>
      </c>
      <c r="J57" s="14">
        <v>3.0436788571292856E-6</v>
      </c>
      <c r="K57" s="14">
        <v>0</v>
      </c>
    </row>
    <row r="58" spans="1:11">
      <c r="A58" s="2" t="s">
        <v>297</v>
      </c>
      <c r="B58" s="3" t="s">
        <v>298</v>
      </c>
      <c r="D58" s="14">
        <v>3.7297956772378235E-5</v>
      </c>
      <c r="E58" s="14">
        <v>2.377084968464685E-6</v>
      </c>
      <c r="F58" s="14">
        <v>3.9551162794161121E-9</v>
      </c>
      <c r="G58" s="14">
        <v>1.244671689676868E-9</v>
      </c>
      <c r="H58" s="14">
        <v>0</v>
      </c>
      <c r="I58" s="14">
        <v>2.8254854011252635E-9</v>
      </c>
      <c r="J58" s="14">
        <v>3.1693298578686777E-7</v>
      </c>
      <c r="K58" s="14">
        <v>0</v>
      </c>
    </row>
    <row r="59" spans="1:11">
      <c r="A59" s="2" t="s">
        <v>401</v>
      </c>
      <c r="B59" s="3" t="s">
        <v>402</v>
      </c>
      <c r="D59" s="14">
        <v>3.8146087217261662E-5</v>
      </c>
      <c r="E59" s="14">
        <v>5.0455633331682463E-7</v>
      </c>
      <c r="F59" s="14">
        <v>1.8151988690981567E-7</v>
      </c>
      <c r="G59" s="14">
        <v>3.8443220946746162E-8</v>
      </c>
      <c r="H59" s="14">
        <v>0</v>
      </c>
      <c r="I59" s="14">
        <v>2.0901762522351101E-8</v>
      </c>
      <c r="J59" s="14">
        <v>1.1084915790426052E-6</v>
      </c>
      <c r="K59" s="14">
        <v>0</v>
      </c>
    </row>
    <row r="60" spans="1:11">
      <c r="A60" s="2" t="s">
        <v>299</v>
      </c>
      <c r="B60" s="3" t="s">
        <v>300</v>
      </c>
      <c r="D60" s="14">
        <v>3.9952478915961704E-5</v>
      </c>
      <c r="E60" s="14">
        <v>1.7988021396813825E-8</v>
      </c>
      <c r="F60" s="14">
        <v>2.8354235744618429E-9</v>
      </c>
      <c r="G60" s="14">
        <v>6.3813637544246606E-10</v>
      </c>
      <c r="H60" s="14">
        <v>0</v>
      </c>
      <c r="I60" s="14">
        <v>3.5399819230911818E-10</v>
      </c>
      <c r="J60" s="14">
        <v>2.5705504499270193E-8</v>
      </c>
      <c r="K60" s="14">
        <v>0</v>
      </c>
    </row>
    <row r="61" spans="1:11">
      <c r="A61" s="2" t="s">
        <v>403</v>
      </c>
      <c r="B61" s="3" t="s">
        <v>404</v>
      </c>
      <c r="D61" s="14">
        <v>2.7021274547577399E-48</v>
      </c>
      <c r="E61" s="14">
        <v>1.7220489591203887E-5</v>
      </c>
      <c r="F61" s="14">
        <v>1.865434673946398E-6</v>
      </c>
      <c r="G61" s="14">
        <v>4.315942005976025E-7</v>
      </c>
      <c r="H61" s="14">
        <v>0</v>
      </c>
      <c r="I61" s="14">
        <v>2.4351972385833401E-7</v>
      </c>
      <c r="J61" s="14">
        <v>2.0238961810393785E-5</v>
      </c>
      <c r="K61" s="14">
        <v>0</v>
      </c>
    </row>
    <row r="62" spans="1:11">
      <c r="A62" s="2" t="s">
        <v>405</v>
      </c>
      <c r="B62" s="3" t="s">
        <v>406</v>
      </c>
      <c r="D62" s="14">
        <v>1.9032610374415115E-11</v>
      </c>
      <c r="E62" s="14">
        <v>6.9007774485540409E-7</v>
      </c>
      <c r="F62" s="14">
        <v>9.9236758964353014E-6</v>
      </c>
      <c r="G62" s="14">
        <v>5.5318211101519389E-6</v>
      </c>
      <c r="H62" s="14">
        <v>0</v>
      </c>
      <c r="I62" s="14">
        <v>3.0391980797019243E-6</v>
      </c>
      <c r="J62" s="14">
        <v>2.0815208136245062E-5</v>
      </c>
      <c r="K62" s="14">
        <v>0</v>
      </c>
    </row>
    <row r="63" spans="1:11">
      <c r="A63" s="2" t="s">
        <v>407</v>
      </c>
      <c r="B63" s="3" t="s">
        <v>408</v>
      </c>
      <c r="D63" s="14">
        <v>5.18955211321783E-9</v>
      </c>
      <c r="E63" s="14">
        <v>7.1800842790904248E-8</v>
      </c>
      <c r="F63" s="14">
        <v>3.4697972010844315E-6</v>
      </c>
      <c r="G63" s="14">
        <v>1.4740073453746803E-5</v>
      </c>
      <c r="H63" s="14">
        <v>0</v>
      </c>
      <c r="I63" s="14">
        <v>8.2851097096965949E-6</v>
      </c>
      <c r="J63" s="14">
        <v>1.3428029240568048E-5</v>
      </c>
      <c r="K63" s="14">
        <v>0</v>
      </c>
    </row>
    <row r="64" spans="1:11">
      <c r="A64" s="2" t="s">
        <v>409</v>
      </c>
      <c r="B64" s="3" t="s">
        <v>410</v>
      </c>
      <c r="D64" s="14">
        <v>6.9428317396563544E-10</v>
      </c>
      <c r="E64" s="14">
        <v>2.6882911647639629E-8</v>
      </c>
      <c r="F64" s="14">
        <v>2.0202766999089996E-6</v>
      </c>
      <c r="G64" s="14">
        <v>1.7984833040615736E-5</v>
      </c>
      <c r="H64" s="14">
        <v>0</v>
      </c>
      <c r="I64" s="14">
        <v>1.0194512390017808E-5</v>
      </c>
      <c r="J64" s="14">
        <v>9.7728006746358579E-6</v>
      </c>
      <c r="K64" s="14">
        <v>0</v>
      </c>
    </row>
    <row r="65" spans="1:11">
      <c r="A65" s="2" t="s">
        <v>301</v>
      </c>
      <c r="B65" s="3" t="s">
        <v>302</v>
      </c>
      <c r="D65" s="14">
        <v>9.2191919120936258E-11</v>
      </c>
      <c r="E65" s="14">
        <v>8.1124590969957107E-9</v>
      </c>
      <c r="F65" s="14">
        <v>1.0073191039581478E-6</v>
      </c>
      <c r="G65" s="14">
        <v>2.0799966038438214E-5</v>
      </c>
      <c r="H65" s="14">
        <v>0</v>
      </c>
      <c r="I65" s="14">
        <v>1.1904284439585492E-5</v>
      </c>
      <c r="J65" s="14">
        <v>6.2802257670020342E-6</v>
      </c>
      <c r="K65" s="14">
        <v>0</v>
      </c>
    </row>
    <row r="66" spans="1:11">
      <c r="A66" s="2" t="s">
        <v>303</v>
      </c>
      <c r="B66" s="3" t="s">
        <v>304</v>
      </c>
      <c r="D66" s="14">
        <v>8.5648492969708438E-17</v>
      </c>
      <c r="E66" s="14">
        <v>1.6186739974955004E-8</v>
      </c>
      <c r="F66" s="14">
        <v>1.510406829300294E-6</v>
      </c>
      <c r="G66" s="14">
        <v>1.9323664828762427E-5</v>
      </c>
      <c r="H66" s="14">
        <v>0</v>
      </c>
      <c r="I66" s="14">
        <v>1.0998906134913125E-5</v>
      </c>
      <c r="J66" s="14">
        <v>8.1508354669635521E-6</v>
      </c>
      <c r="K66" s="14">
        <v>0</v>
      </c>
    </row>
    <row r="67" spans="1:11">
      <c r="A67" s="2" t="s">
        <v>411</v>
      </c>
      <c r="B67" s="3" t="s">
        <v>412</v>
      </c>
      <c r="D67" s="14">
        <v>1.9121690223083456E-7</v>
      </c>
      <c r="E67" s="14">
        <v>3.3449215978204597E-5</v>
      </c>
      <c r="F67" s="14">
        <v>1.0399213465813022E-7</v>
      </c>
      <c r="G67" s="14">
        <v>3.125331206999496E-8</v>
      </c>
      <c r="H67" s="14">
        <v>0</v>
      </c>
      <c r="I67" s="14">
        <v>4.6879636853167362E-8</v>
      </c>
      <c r="J67" s="14">
        <v>6.1774420359832804E-6</v>
      </c>
      <c r="K67" s="14">
        <v>0</v>
      </c>
    </row>
    <row r="68" spans="1:11">
      <c r="A68" s="2" t="s">
        <v>413</v>
      </c>
      <c r="B68" s="3" t="s">
        <v>414</v>
      </c>
      <c r="D68" s="14">
        <v>4.1960807000176836E-7</v>
      </c>
      <c r="E68" s="14">
        <v>3.1199202761495945E-5</v>
      </c>
      <c r="F68" s="14">
        <v>1.8583094993907395E-7</v>
      </c>
      <c r="G68" s="14">
        <v>5.3237003444028548E-8</v>
      </c>
      <c r="H68" s="14">
        <v>0</v>
      </c>
      <c r="I68" s="14">
        <v>5.6260931028701398E-8</v>
      </c>
      <c r="J68" s="14">
        <v>8.0858602840904973E-6</v>
      </c>
      <c r="K68" s="14">
        <v>0</v>
      </c>
    </row>
    <row r="69" spans="1:11">
      <c r="A69" s="2" t="s">
        <v>415</v>
      </c>
      <c r="B69" s="3" t="s">
        <v>416</v>
      </c>
      <c r="D69" s="14">
        <v>2.2546935066461809E-7</v>
      </c>
      <c r="E69" s="14">
        <v>2.5616935725345597E-7</v>
      </c>
      <c r="F69" s="14">
        <v>6.5232155441755765E-6</v>
      </c>
      <c r="G69" s="14">
        <v>9.4723401340139718E-6</v>
      </c>
      <c r="H69" s="14">
        <v>0</v>
      </c>
      <c r="I69" s="14">
        <v>5.2598983049667416E-6</v>
      </c>
      <c r="J69" s="14">
        <v>1.8262907308925638E-5</v>
      </c>
      <c r="K69" s="14">
        <v>0</v>
      </c>
    </row>
    <row r="70" spans="1:11">
      <c r="A70" s="2" t="s">
        <v>417</v>
      </c>
      <c r="B70" s="3" t="s">
        <v>418</v>
      </c>
      <c r="D70" s="14">
        <v>4.6069666647411348E-7</v>
      </c>
      <c r="E70" s="14">
        <v>3.7159916914153482E-6</v>
      </c>
      <c r="F70" s="14">
        <v>9.8830111348731682E-6</v>
      </c>
      <c r="G70" s="14">
        <v>1.8062790301195355E-6</v>
      </c>
      <c r="H70" s="14">
        <v>0</v>
      </c>
      <c r="I70" s="14">
        <v>9.7621232031864541E-7</v>
      </c>
      <c r="J70" s="14">
        <v>2.3157809156799197E-5</v>
      </c>
      <c r="K70" s="14">
        <v>0</v>
      </c>
    </row>
    <row r="71" spans="1:11">
      <c r="A71" s="2" t="s">
        <v>419</v>
      </c>
      <c r="B71" s="3" t="s">
        <v>420</v>
      </c>
      <c r="D71" s="14">
        <v>1.0249812359927613E-6</v>
      </c>
      <c r="E71" s="14">
        <v>3.1063871389423153E-5</v>
      </c>
      <c r="F71" s="14">
        <v>1.6741336657257293E-7</v>
      </c>
      <c r="G71" s="14">
        <v>4.8315411775783092E-8</v>
      </c>
      <c r="H71" s="14">
        <v>0</v>
      </c>
      <c r="I71" s="14">
        <v>5.3571992071816842E-8</v>
      </c>
      <c r="J71" s="14">
        <v>7.6418466041639232E-6</v>
      </c>
      <c r="K71" s="14">
        <v>0</v>
      </c>
    </row>
    <row r="72" spans="1:11">
      <c r="A72" s="2" t="s">
        <v>421</v>
      </c>
      <c r="B72" s="3" t="s">
        <v>422</v>
      </c>
      <c r="D72" s="14">
        <v>1.7974647811972644E-6</v>
      </c>
      <c r="E72" s="14">
        <v>3.9970543557535908E-6</v>
      </c>
      <c r="F72" s="14">
        <v>8.9234871921050155E-6</v>
      </c>
      <c r="G72" s="14">
        <v>1.6520765243296203E-6</v>
      </c>
      <c r="H72" s="14">
        <v>0</v>
      </c>
      <c r="I72" s="14">
        <v>8.9241303729799486E-7</v>
      </c>
      <c r="J72" s="14">
        <v>2.2737504109316522E-5</v>
      </c>
      <c r="K72" s="14">
        <v>0</v>
      </c>
    </row>
    <row r="73" spans="1:11">
      <c r="A73" s="2" t="s">
        <v>423</v>
      </c>
      <c r="B73" s="3" t="s">
        <v>424</v>
      </c>
      <c r="D73" s="14">
        <v>8.0388222706083692E-7</v>
      </c>
      <c r="E73" s="14">
        <v>1.618944987608621E-5</v>
      </c>
      <c r="F73" s="14">
        <v>1.9873146858192586E-6</v>
      </c>
      <c r="G73" s="14">
        <v>4.5557742678419405E-7</v>
      </c>
      <c r="H73" s="14">
        <v>0</v>
      </c>
      <c r="I73" s="14">
        <v>2.5541698079502475E-7</v>
      </c>
      <c r="J73" s="14">
        <v>2.0308358803454473E-5</v>
      </c>
      <c r="K73" s="14">
        <v>0</v>
      </c>
    </row>
    <row r="74" spans="1:11">
      <c r="A74" s="2" t="s">
        <v>425</v>
      </c>
      <c r="B74" s="3" t="s">
        <v>426</v>
      </c>
      <c r="D74" s="14">
        <v>6.9840420176023467E-7</v>
      </c>
      <c r="E74" s="14">
        <v>3.8096625440432366E-6</v>
      </c>
      <c r="F74" s="14">
        <v>9.6378698750509844E-6</v>
      </c>
      <c r="G74" s="14">
        <v>1.7679770118103282E-6</v>
      </c>
      <c r="H74" s="14">
        <v>0</v>
      </c>
      <c r="I74" s="14">
        <v>9.5536142047764655E-7</v>
      </c>
      <c r="J74" s="14">
        <v>2.3130724946857577E-5</v>
      </c>
      <c r="K74" s="14">
        <v>0</v>
      </c>
    </row>
    <row r="75" spans="1:11">
      <c r="A75" s="2" t="s">
        <v>427</v>
      </c>
      <c r="B75" s="3" t="s">
        <v>428</v>
      </c>
      <c r="D75" s="14">
        <v>2.039930319333844E-13</v>
      </c>
      <c r="E75" s="14">
        <v>1.6061089961803922E-6</v>
      </c>
      <c r="F75" s="14">
        <v>3.6862905682831358E-5</v>
      </c>
      <c r="G75" s="14">
        <v>1.4224590547458449E-8</v>
      </c>
      <c r="H75" s="14">
        <v>0</v>
      </c>
      <c r="I75" s="14">
        <v>1.485789727800233E-6</v>
      </c>
      <c r="J75" s="14">
        <v>3.097079864752752E-8</v>
      </c>
      <c r="K75" s="14">
        <v>0</v>
      </c>
    </row>
    <row r="76" spans="1:11">
      <c r="A76" s="2" t="s">
        <v>429</v>
      </c>
      <c r="B76" s="3" t="s">
        <v>430</v>
      </c>
      <c r="D76" s="14">
        <v>5.1240733158351669E-15</v>
      </c>
      <c r="E76" s="14">
        <v>1.6061090041655227E-6</v>
      </c>
      <c r="F76" s="14">
        <v>3.6862905866103558E-5</v>
      </c>
      <c r="G76" s="14">
        <v>1.4224590618179185E-8</v>
      </c>
      <c r="H76" s="14">
        <v>0</v>
      </c>
      <c r="I76" s="14">
        <v>1.4857897351871697E-6</v>
      </c>
      <c r="J76" s="14">
        <v>3.0970798801505788E-8</v>
      </c>
      <c r="K76" s="14">
        <v>0</v>
      </c>
    </row>
    <row r="77" spans="1:11">
      <c r="A77" s="2" t="s">
        <v>431</v>
      </c>
      <c r="B77" s="3" t="s">
        <v>432</v>
      </c>
      <c r="D77" s="14">
        <v>2.0835897543510682E-6</v>
      </c>
      <c r="E77" s="14">
        <v>8.9020878893622534E-6</v>
      </c>
      <c r="F77" s="14">
        <v>4.4328846256573043E-6</v>
      </c>
      <c r="G77" s="14">
        <v>9.1660449666394216E-7</v>
      </c>
      <c r="H77" s="14">
        <v>0</v>
      </c>
      <c r="I77" s="14">
        <v>4.9650944616542807E-7</v>
      </c>
      <c r="J77" s="14">
        <v>2.31683237878E-5</v>
      </c>
      <c r="K77" s="14">
        <v>0</v>
      </c>
    </row>
    <row r="78" spans="1:11">
      <c r="A78" s="2" t="s">
        <v>433</v>
      </c>
      <c r="B78" s="3" t="s">
        <v>434</v>
      </c>
      <c r="D78" s="14">
        <v>1.5503160503610683E-6</v>
      </c>
      <c r="E78" s="14">
        <v>2.4454563076339312E-5</v>
      </c>
      <c r="F78" s="14">
        <v>5.9087342568066475E-7</v>
      </c>
      <c r="G78" s="14">
        <v>1.5268276407623702E-7</v>
      </c>
      <c r="H78" s="14">
        <v>0</v>
      </c>
      <c r="I78" s="14">
        <v>1.0226437375910678E-7</v>
      </c>
      <c r="J78" s="14">
        <v>1.3149300309783609E-5</v>
      </c>
      <c r="K78" s="14">
        <v>0</v>
      </c>
    </row>
    <row r="79" spans="1:11">
      <c r="A79" s="2" t="s">
        <v>435</v>
      </c>
      <c r="B79" s="3" t="s">
        <v>436</v>
      </c>
      <c r="D79" s="14">
        <v>4.2137803713778177E-7</v>
      </c>
      <c r="E79" s="14">
        <v>1.9965103239818969E-5</v>
      </c>
      <c r="F79" s="14">
        <v>1.2792225622622311E-6</v>
      </c>
      <c r="G79" s="14">
        <v>3.0763919483838999E-7</v>
      </c>
      <c r="H79" s="14">
        <v>0</v>
      </c>
      <c r="I79" s="14">
        <v>1.8010599928411754E-7</v>
      </c>
      <c r="J79" s="14">
        <v>1.7846550966658515E-5</v>
      </c>
      <c r="K79" s="14">
        <v>0</v>
      </c>
    </row>
    <row r="80" spans="1:11">
      <c r="A80" s="2" t="s">
        <v>437</v>
      </c>
      <c r="B80" s="3" t="s">
        <v>438</v>
      </c>
      <c r="D80" s="14">
        <v>7.1363652241482765E-14</v>
      </c>
      <c r="E80" s="14">
        <v>1.063988049326948E-6</v>
      </c>
      <c r="F80" s="14">
        <v>3.6053821180763371E-5</v>
      </c>
      <c r="G80" s="14">
        <v>2.6724002854528844E-8</v>
      </c>
      <c r="H80" s="14">
        <v>0</v>
      </c>
      <c r="I80" s="14">
        <v>2.8185847231628135E-6</v>
      </c>
      <c r="J80" s="14">
        <v>3.6881972528691334E-8</v>
      </c>
      <c r="K80" s="14">
        <v>0</v>
      </c>
    </row>
    <row r="81" spans="1:11">
      <c r="A81" s="2" t="s">
        <v>440</v>
      </c>
      <c r="B81" s="3" t="s">
        <v>441</v>
      </c>
      <c r="D81" s="14">
        <v>7.3722949495561259E-18</v>
      </c>
      <c r="E81" s="14">
        <v>3.8802737571492772E-5</v>
      </c>
      <c r="F81" s="14">
        <v>3.639794940490837E-9</v>
      </c>
      <c r="G81" s="14">
        <v>1.4157040430194592E-9</v>
      </c>
      <c r="H81" s="14">
        <v>0</v>
      </c>
      <c r="I81" s="14">
        <v>3.6400508352398381E-8</v>
      </c>
      <c r="J81" s="14">
        <v>1.1558064211639444E-6</v>
      </c>
      <c r="K81" s="14">
        <v>0</v>
      </c>
    </row>
    <row r="82" spans="1:11">
      <c r="A82" s="2" t="s">
        <v>442</v>
      </c>
      <c r="B82" s="3" t="s">
        <v>443</v>
      </c>
      <c r="D82" s="14">
        <v>3.5076805124044354E-9</v>
      </c>
      <c r="E82" s="14">
        <v>3.059987796358452E-5</v>
      </c>
      <c r="F82" s="14">
        <v>2.3404223934814435E-7</v>
      </c>
      <c r="G82" s="14">
        <v>6.5824838192727382E-8</v>
      </c>
      <c r="H82" s="14">
        <v>0</v>
      </c>
      <c r="I82" s="14">
        <v>6.2282465139489433E-8</v>
      </c>
      <c r="J82" s="14">
        <v>9.0344648132227169E-6</v>
      </c>
      <c r="K82" s="14">
        <v>0</v>
      </c>
    </row>
    <row r="83" spans="1:11">
      <c r="A83" s="2" t="s">
        <v>444</v>
      </c>
      <c r="B83" s="3" t="s">
        <v>445</v>
      </c>
      <c r="D83" s="14">
        <v>4.2217727255913075E-8</v>
      </c>
      <c r="E83" s="14">
        <v>1.0637376093085509E-5</v>
      </c>
      <c r="F83" s="14">
        <v>4.0231763044976618E-6</v>
      </c>
      <c r="G83" s="14">
        <v>8.4891580658813795E-7</v>
      </c>
      <c r="H83" s="14">
        <v>0</v>
      </c>
      <c r="I83" s="14">
        <v>4.6124140922625647E-7</v>
      </c>
      <c r="J83" s="14">
        <v>2.3987072659346529E-5</v>
      </c>
      <c r="K83" s="14">
        <v>0</v>
      </c>
    </row>
    <row r="84" spans="1:11">
      <c r="A84" s="2" t="s">
        <v>446</v>
      </c>
      <c r="B84" s="3" t="s">
        <v>447</v>
      </c>
      <c r="D84" s="14">
        <v>2.2694914158892171E-19</v>
      </c>
      <c r="E84" s="14">
        <v>3.7454000238104523E-5</v>
      </c>
      <c r="F84" s="14">
        <v>1.6353200417550568E-8</v>
      </c>
      <c r="G84" s="14">
        <v>5.6793458283344971E-9</v>
      </c>
      <c r="H84" s="14">
        <v>0</v>
      </c>
      <c r="I84" s="14">
        <v>3.7338496347727254E-8</v>
      </c>
      <c r="J84" s="14">
        <v>2.4866287193016447E-6</v>
      </c>
      <c r="K84" s="14">
        <v>0</v>
      </c>
    </row>
    <row r="85" spans="1:11">
      <c r="A85" s="2" t="s">
        <v>448</v>
      </c>
      <c r="B85" s="3" t="s">
        <v>449</v>
      </c>
      <c r="D85" s="14">
        <v>1.5886128571233653E-12</v>
      </c>
      <c r="E85" s="14">
        <v>3.9480963035091683E-5</v>
      </c>
      <c r="F85" s="14">
        <v>6.6787054151786982E-10</v>
      </c>
      <c r="G85" s="14">
        <v>2.9470523014969457E-10</v>
      </c>
      <c r="H85" s="14">
        <v>0</v>
      </c>
      <c r="I85" s="14">
        <v>3.645728012737613E-8</v>
      </c>
      <c r="J85" s="14">
        <v>4.8161552039642163E-7</v>
      </c>
      <c r="K85" s="14">
        <v>0</v>
      </c>
    </row>
    <row r="86" spans="1:11">
      <c r="A86" s="2" t="s">
        <v>450</v>
      </c>
      <c r="B86" s="3" t="s">
        <v>451</v>
      </c>
      <c r="D86" s="14">
        <v>5.7084292541079543E-13</v>
      </c>
      <c r="E86" s="14">
        <v>3.7515115477434746E-5</v>
      </c>
      <c r="F86" s="14">
        <v>1.5580838930529469E-8</v>
      </c>
      <c r="G86" s="14">
        <v>5.4310824180767954E-9</v>
      </c>
      <c r="H86" s="14">
        <v>0</v>
      </c>
      <c r="I86" s="14">
        <v>3.7267389077683278E-8</v>
      </c>
      <c r="J86" s="14">
        <v>2.4266046412960367E-6</v>
      </c>
      <c r="K86" s="14">
        <v>0</v>
      </c>
    </row>
    <row r="87" spans="1:11">
      <c r="A87" s="2" t="s">
        <v>452</v>
      </c>
      <c r="B87" s="3" t="s">
        <v>453</v>
      </c>
      <c r="D87" s="14">
        <v>9.4217342258464644E-12</v>
      </c>
      <c r="E87" s="14">
        <v>1.0145431284830057E-7</v>
      </c>
      <c r="F87" s="14">
        <v>4.1591546027241092E-6</v>
      </c>
      <c r="G87" s="14">
        <v>1.3412218485535065E-5</v>
      </c>
      <c r="H87" s="14">
        <v>0</v>
      </c>
      <c r="I87" s="14">
        <v>7.5151786386349175E-6</v>
      </c>
      <c r="J87" s="14">
        <v>1.4811984538523388E-5</v>
      </c>
      <c r="K87" s="14">
        <v>0</v>
      </c>
    </row>
    <row r="88" spans="1:11">
      <c r="A88" s="2" t="s">
        <v>454</v>
      </c>
      <c r="B88" s="3" t="s">
        <v>455</v>
      </c>
      <c r="D88" s="14">
        <v>1.7993090788121425E-9</v>
      </c>
      <c r="E88" s="14">
        <v>2.7157227834205825E-5</v>
      </c>
      <c r="F88" s="14">
        <v>4.6235971374501872E-7</v>
      </c>
      <c r="G88" s="14">
        <v>1.2259578576604988E-7</v>
      </c>
      <c r="H88" s="14">
        <v>0</v>
      </c>
      <c r="I88" s="14">
        <v>8.888669050636578E-8</v>
      </c>
      <c r="J88" s="14">
        <v>1.2167130666697931E-5</v>
      </c>
      <c r="K88" s="14">
        <v>0</v>
      </c>
    </row>
    <row r="89" spans="1:11">
      <c r="A89" s="2" t="s">
        <v>456</v>
      </c>
      <c r="B89" s="3" t="s">
        <v>457</v>
      </c>
      <c r="D89" s="14">
        <v>1.1666720154514314E-21</v>
      </c>
      <c r="E89" s="14">
        <v>3.0011551334471249E-5</v>
      </c>
      <c r="F89" s="14">
        <v>2.6669998767199304E-7</v>
      </c>
      <c r="G89" s="14">
        <v>7.4185418497183068E-8</v>
      </c>
      <c r="H89" s="14">
        <v>0</v>
      </c>
      <c r="I89" s="14">
        <v>6.6114496453502226E-8</v>
      </c>
      <c r="J89" s="14">
        <v>9.5814487629060778E-6</v>
      </c>
      <c r="K89" s="14">
        <v>0</v>
      </c>
    </row>
    <row r="90" spans="1:11">
      <c r="A90" s="2" t="s">
        <v>458</v>
      </c>
      <c r="B90" s="3" t="s">
        <v>459</v>
      </c>
      <c r="D90" s="14">
        <v>1.7038127044742468E-33</v>
      </c>
      <c r="E90" s="14">
        <v>3.5133508119486798E-5</v>
      </c>
      <c r="F90" s="14">
        <v>5.993714705286418E-8</v>
      </c>
      <c r="G90" s="14">
        <v>1.8827455183903221E-8</v>
      </c>
      <c r="H90" s="14">
        <v>0</v>
      </c>
      <c r="I90" s="14">
        <v>4.1983871479778065E-8</v>
      </c>
      <c r="J90" s="14">
        <v>4.7457434067966678E-6</v>
      </c>
      <c r="K90" s="14">
        <v>0</v>
      </c>
    </row>
    <row r="91" spans="1:11">
      <c r="A91" s="2" t="s">
        <v>460</v>
      </c>
      <c r="B91" s="3" t="s">
        <v>461</v>
      </c>
      <c r="D91" s="14">
        <v>8.8934091144583235E-12</v>
      </c>
      <c r="E91" s="14">
        <v>5.9960871392383067E-7</v>
      </c>
      <c r="F91" s="14">
        <v>9.4024814671188514E-6</v>
      </c>
      <c r="G91" s="14">
        <v>6.0595174634796482E-6</v>
      </c>
      <c r="H91" s="14">
        <v>0</v>
      </c>
      <c r="I91" s="14">
        <v>3.3344246995633728E-6</v>
      </c>
      <c r="J91" s="14">
        <v>2.0603958762505191E-5</v>
      </c>
      <c r="K91" s="14">
        <v>0</v>
      </c>
    </row>
    <row r="92" spans="1:11">
      <c r="A92" s="2" t="s">
        <v>462</v>
      </c>
      <c r="B92" s="3" t="s">
        <v>463</v>
      </c>
      <c r="D92" s="14">
        <v>3.2487863330027291E-13</v>
      </c>
      <c r="E92" s="14">
        <v>1.3007709041751305E-5</v>
      </c>
      <c r="F92" s="14">
        <v>3.0591119066725728E-6</v>
      </c>
      <c r="G92" s="14">
        <v>6.6848385033441189E-7</v>
      </c>
      <c r="H92" s="14">
        <v>0</v>
      </c>
      <c r="I92" s="14">
        <v>3.663785648284211E-7</v>
      </c>
      <c r="J92" s="14">
        <v>2.2898316311534653E-5</v>
      </c>
      <c r="K92" s="14">
        <v>0</v>
      </c>
    </row>
    <row r="93" spans="1:11">
      <c r="A93" s="2" t="s">
        <v>464</v>
      </c>
      <c r="B93" s="3" t="s">
        <v>465</v>
      </c>
      <c r="D93" s="14">
        <v>2.5168387372331952E-8</v>
      </c>
      <c r="E93" s="14">
        <v>4.9963753165528363E-6</v>
      </c>
      <c r="F93" s="14">
        <v>8.2628449714773171E-6</v>
      </c>
      <c r="G93" s="14">
        <v>1.5639582664469719E-6</v>
      </c>
      <c r="H93" s="14">
        <v>0</v>
      </c>
      <c r="I93" s="14">
        <v>8.4429320430220444E-7</v>
      </c>
      <c r="J93" s="14">
        <v>2.4307359853848345E-5</v>
      </c>
      <c r="K93" s="14">
        <v>0</v>
      </c>
    </row>
    <row r="94" spans="1:11">
      <c r="A94" s="2" t="s">
        <v>466</v>
      </c>
      <c r="B94" s="3" t="s">
        <v>467</v>
      </c>
      <c r="D94" s="14">
        <v>8.0675858795185792E-23</v>
      </c>
      <c r="E94" s="14">
        <v>3.9490745343620939E-5</v>
      </c>
      <c r="F94" s="14">
        <v>4.6205096437434662E-7</v>
      </c>
      <c r="G94" s="14">
        <v>6.0719526408576437E-11</v>
      </c>
      <c r="H94" s="14">
        <v>0</v>
      </c>
      <c r="I94" s="14">
        <v>4.0127757148415398E-8</v>
      </c>
      <c r="J94" s="14">
        <v>7.0152153298879251E-9</v>
      </c>
      <c r="K94" s="14">
        <v>0</v>
      </c>
    </row>
    <row r="95" spans="1:11">
      <c r="A95" s="2" t="s">
        <v>468</v>
      </c>
      <c r="B95" s="3" t="s">
        <v>469</v>
      </c>
      <c r="D95" s="14">
        <v>3.6778507039680308E-22</v>
      </c>
      <c r="E95" s="14">
        <v>1.4399710481639557E-6</v>
      </c>
      <c r="F95" s="14">
        <v>1.2751706573284553E-5</v>
      </c>
      <c r="G95" s="14">
        <v>3.1547421334373861E-6</v>
      </c>
      <c r="H95" s="14">
        <v>0</v>
      </c>
      <c r="I95" s="14">
        <v>1.7184100142271813E-6</v>
      </c>
      <c r="J95" s="14">
        <v>2.0935170230886921E-5</v>
      </c>
      <c r="K95" s="14">
        <v>0</v>
      </c>
    </row>
    <row r="96" spans="1:11">
      <c r="A96" s="2" t="s">
        <v>470</v>
      </c>
      <c r="B96" s="163">
        <v>354656</v>
      </c>
      <c r="D96" s="14">
        <v>1.4698664977184095E-14</v>
      </c>
      <c r="E96" s="14">
        <v>3.8757660641361497E-5</v>
      </c>
      <c r="F96" s="14">
        <v>3.9187910377056127E-9</v>
      </c>
      <c r="G96" s="14">
        <v>1.5158200997842087E-9</v>
      </c>
      <c r="H96" s="14">
        <v>0</v>
      </c>
      <c r="I96" s="14">
        <v>3.6409908372673139E-8</v>
      </c>
      <c r="J96" s="14">
        <v>1.2004948244296736E-6</v>
      </c>
      <c r="K96" s="14">
        <v>0</v>
      </c>
    </row>
    <row r="97" spans="1:11">
      <c r="A97" s="2" t="s">
        <v>472</v>
      </c>
      <c r="B97" s="3" t="s">
        <v>473</v>
      </c>
      <c r="D97" s="14">
        <v>2.2679206285378225E-14</v>
      </c>
      <c r="E97" s="14">
        <v>3.7422906607881048E-5</v>
      </c>
      <c r="F97" s="14">
        <v>1.6753365607448929E-8</v>
      </c>
      <c r="G97" s="14">
        <v>5.8076123691855522E-9</v>
      </c>
      <c r="H97" s="14">
        <v>0</v>
      </c>
      <c r="I97" s="14">
        <v>3.7375693382572444E-8</v>
      </c>
      <c r="J97" s="14">
        <v>2.5171566980805393E-6</v>
      </c>
      <c r="K97" s="14">
        <v>0</v>
      </c>
    </row>
    <row r="98" spans="1:11">
      <c r="A98" s="2" t="s">
        <v>474</v>
      </c>
      <c r="B98" s="3" t="s">
        <v>475</v>
      </c>
      <c r="D98" s="14">
        <v>7.5112639687926559E-24</v>
      </c>
      <c r="E98" s="14">
        <v>2.9612337409725528E-6</v>
      </c>
      <c r="F98" s="14">
        <v>1.1460069187096806E-5</v>
      </c>
      <c r="G98" s="14">
        <v>2.0374304613386434E-6</v>
      </c>
      <c r="H98" s="14">
        <v>0</v>
      </c>
      <c r="I98" s="14">
        <v>1.1026837235790774E-6</v>
      </c>
      <c r="J98" s="14">
        <v>2.2438582887012926E-5</v>
      </c>
      <c r="K98" s="14">
        <v>0</v>
      </c>
    </row>
    <row r="99" spans="1:11">
      <c r="A99" s="2" t="s">
        <v>476</v>
      </c>
      <c r="B99" s="3" t="s">
        <v>477</v>
      </c>
      <c r="D99" s="14">
        <v>6.9332909767714788E-12</v>
      </c>
      <c r="E99" s="14">
        <v>3.9629545501746201E-5</v>
      </c>
      <c r="F99" s="14">
        <v>3.2871054919478689E-10</v>
      </c>
      <c r="G99" s="14">
        <v>1.5286540009968221E-10</v>
      </c>
      <c r="H99" s="14">
        <v>0</v>
      </c>
      <c r="I99" s="14">
        <v>3.6522817624397431E-8</v>
      </c>
      <c r="J99" s="14">
        <v>3.3344317138913987E-7</v>
      </c>
      <c r="K99" s="14">
        <v>0</v>
      </c>
    </row>
    <row r="100" spans="1:11">
      <c r="A100" s="2" t="s">
        <v>478</v>
      </c>
      <c r="B100" s="3" t="s">
        <v>479</v>
      </c>
      <c r="D100" s="14">
        <v>2.6606184873291557E-15</v>
      </c>
      <c r="E100" s="14">
        <v>2.143493984076156E-5</v>
      </c>
      <c r="F100" s="14">
        <v>1.0966216592819668E-6</v>
      </c>
      <c r="G100" s="14">
        <v>2.6813430111675528E-7</v>
      </c>
      <c r="H100" s="14">
        <v>0</v>
      </c>
      <c r="I100" s="14">
        <v>1.6048409885074108E-7</v>
      </c>
      <c r="J100" s="14">
        <v>1.7039820097328362E-5</v>
      </c>
      <c r="K100" s="14">
        <v>0</v>
      </c>
    </row>
    <row r="101" spans="1:11">
      <c r="A101" s="2" t="s">
        <v>480</v>
      </c>
      <c r="B101" s="3" t="s">
        <v>481</v>
      </c>
      <c r="D101" s="14">
        <v>1.8657762070870514E-15</v>
      </c>
      <c r="E101" s="14">
        <v>3.9403900616327326E-5</v>
      </c>
      <c r="F101" s="14">
        <v>8.8865617991951218E-10</v>
      </c>
      <c r="G101" s="14">
        <v>3.839099081727259E-10</v>
      </c>
      <c r="H101" s="14">
        <v>0</v>
      </c>
      <c r="I101" s="14">
        <v>3.6431262222942402E-8</v>
      </c>
      <c r="J101" s="14">
        <v>5.5839555349586885E-7</v>
      </c>
      <c r="K101" s="14">
        <v>0</v>
      </c>
    </row>
    <row r="102" spans="1:11">
      <c r="A102" s="2" t="s">
        <v>482</v>
      </c>
      <c r="B102" s="3" t="s">
        <v>483</v>
      </c>
      <c r="D102" s="14">
        <v>1.1724058180267759E-31</v>
      </c>
      <c r="E102" s="14">
        <v>3.9821501320671787E-5</v>
      </c>
      <c r="F102" s="14">
        <v>6.3409186257295873E-11</v>
      </c>
      <c r="G102" s="14">
        <v>3.3300268497736098E-11</v>
      </c>
      <c r="H102" s="14">
        <v>0</v>
      </c>
      <c r="I102" s="14">
        <v>3.6639795539654352E-8</v>
      </c>
      <c r="J102" s="14">
        <v>1.4176217433380691E-7</v>
      </c>
      <c r="K102" s="14">
        <v>0</v>
      </c>
    </row>
    <row r="103" spans="1:11">
      <c r="A103" s="2" t="s">
        <v>484</v>
      </c>
      <c r="B103" s="3" t="s">
        <v>485</v>
      </c>
      <c r="D103" s="14">
        <v>9.3520308109483866E-18</v>
      </c>
      <c r="E103" s="14">
        <v>3.9640177772177553E-5</v>
      </c>
      <c r="F103" s="14">
        <v>3.0887314051019282E-10</v>
      </c>
      <c r="G103" s="14">
        <v>1.4430311272002187E-10</v>
      </c>
      <c r="H103" s="14">
        <v>0</v>
      </c>
      <c r="I103" s="14">
        <v>3.6528314772459831E-8</v>
      </c>
      <c r="J103" s="14">
        <v>3.2284073678740926E-7</v>
      </c>
      <c r="K103" s="14">
        <v>0</v>
      </c>
    </row>
    <row r="104" spans="1:11">
      <c r="A104" s="2" t="s">
        <v>486</v>
      </c>
      <c r="B104" s="3" t="s">
        <v>487</v>
      </c>
      <c r="D104" s="14">
        <v>1.1540583258227131E-13</v>
      </c>
      <c r="E104" s="14">
        <v>3.8135322461710593E-5</v>
      </c>
      <c r="F104" s="14">
        <v>8.800391105089821E-9</v>
      </c>
      <c r="G104" s="14">
        <v>3.2032993733483946E-9</v>
      </c>
      <c r="H104" s="14">
        <v>0</v>
      </c>
      <c r="I104" s="14">
        <v>3.6697503462966629E-8</v>
      </c>
      <c r="J104" s="14">
        <v>1.8159762289421791E-6</v>
      </c>
      <c r="K104" s="14">
        <v>0</v>
      </c>
    </row>
    <row r="105" spans="1:11">
      <c r="A105" s="2" t="s">
        <v>488</v>
      </c>
      <c r="B105" s="3" t="s">
        <v>489</v>
      </c>
      <c r="D105" s="14">
        <v>9.3241552547459208E-21</v>
      </c>
      <c r="E105" s="14">
        <v>3.9793227130909502E-5</v>
      </c>
      <c r="F105" s="14">
        <v>8.992567598382326E-11</v>
      </c>
      <c r="G105" s="14">
        <v>4.6023460118646903E-11</v>
      </c>
      <c r="H105" s="14">
        <v>0</v>
      </c>
      <c r="I105" s="14">
        <v>3.6620096736973275E-8</v>
      </c>
      <c r="J105" s="14">
        <v>1.7001682321742123E-7</v>
      </c>
      <c r="K105" s="14">
        <v>0</v>
      </c>
    </row>
    <row r="106" spans="1:11">
      <c r="A106" s="2" t="s">
        <v>490</v>
      </c>
      <c r="B106" s="3" t="s">
        <v>491</v>
      </c>
      <c r="D106" s="14">
        <v>5.2114577343994993E-13</v>
      </c>
      <c r="E106" s="14">
        <v>3.3889010192131502E-5</v>
      </c>
      <c r="F106" s="14">
        <v>9.5330843299862536E-8</v>
      </c>
      <c r="G106" s="14">
        <v>2.8862170652102008E-8</v>
      </c>
      <c r="H106" s="14">
        <v>0</v>
      </c>
      <c r="I106" s="14">
        <v>4.6041566279452577E-8</v>
      </c>
      <c r="J106" s="14">
        <v>5.9407547064913187E-6</v>
      </c>
      <c r="K106" s="14">
        <v>0</v>
      </c>
    </row>
    <row r="107" spans="1:11">
      <c r="A107" s="2" t="s">
        <v>492</v>
      </c>
      <c r="B107" s="3" t="s">
        <v>493</v>
      </c>
      <c r="D107" s="14">
        <v>3.8249800921914953E-20</v>
      </c>
      <c r="E107" s="14">
        <v>2.3856616191892726E-6</v>
      </c>
      <c r="F107" s="14">
        <v>1.277919196495005E-5</v>
      </c>
      <c r="G107" s="14">
        <v>2.2181910537388243E-6</v>
      </c>
      <c r="H107" s="14">
        <v>0</v>
      </c>
      <c r="I107" s="14">
        <v>1.2022758140425639E-6</v>
      </c>
      <c r="J107" s="14">
        <v>2.1414679548079258E-5</v>
      </c>
      <c r="K107" s="14">
        <v>0</v>
      </c>
    </row>
    <row r="108" spans="1:11">
      <c r="A108" s="2" t="s">
        <v>291</v>
      </c>
      <c r="B108" s="3" t="s">
        <v>494</v>
      </c>
      <c r="D108" s="14">
        <v>1.449744385718413E-14</v>
      </c>
      <c r="E108" s="14">
        <v>2.3349151338639936E-5</v>
      </c>
      <c r="F108" s="14">
        <v>8.4171613140381511E-7</v>
      </c>
      <c r="G108" s="14">
        <v>2.1118409449087356E-7</v>
      </c>
      <c r="H108" s="14">
        <v>0</v>
      </c>
      <c r="I108" s="14">
        <v>1.3209690192049612E-7</v>
      </c>
      <c r="J108" s="14">
        <v>1.5465851519047434E-5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1.4236882751955332E-5</v>
      </c>
      <c r="J2" s="67" t="s">
        <v>231</v>
      </c>
      <c r="K2" s="68">
        <v>1.292626167034546E-3</v>
      </c>
      <c r="L2" s="67" t="s">
        <v>231</v>
      </c>
      <c r="M2" s="68">
        <v>5.509798226242605E-2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4.7460091094050074E-3</v>
      </c>
      <c r="J3" s="67" t="s">
        <v>231</v>
      </c>
      <c r="K3" s="68">
        <v>0.16888615250370279</v>
      </c>
      <c r="L3" s="67" t="s">
        <v>231</v>
      </c>
      <c r="M3" s="68">
        <v>16.99115845345656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2.4180962138848749E-3</v>
      </c>
      <c r="J4" s="67" t="s">
        <v>231</v>
      </c>
      <c r="K4" s="68">
        <v>4.7085975857559647E-3</v>
      </c>
      <c r="L4" s="67" t="s">
        <v>231</v>
      </c>
      <c r="M4" s="68">
        <v>0.41859896493900284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6.9849264635558289E-3</v>
      </c>
      <c r="J5" s="67" t="s">
        <v>231</v>
      </c>
      <c r="K5" s="68">
        <v>4.7294602961904103E-2</v>
      </c>
      <c r="L5" s="67" t="s">
        <v>231</v>
      </c>
      <c r="M5" s="68">
        <v>4.7071223362474344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1.3938505759266485E-2</v>
      </c>
      <c r="J6" s="67" t="s">
        <v>232</v>
      </c>
      <c r="K6" s="68">
        <v>0.21238268170809455</v>
      </c>
      <c r="L6" s="67" t="s">
        <v>231</v>
      </c>
      <c r="M6" s="68">
        <v>21.424657526539487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1.9293510665249819E-3</v>
      </c>
      <c r="J7" s="67" t="s">
        <v>231</v>
      </c>
      <c r="K7" s="68">
        <v>0.17779670005269071</v>
      </c>
      <c r="L7" s="67" t="s">
        <v>231</v>
      </c>
      <c r="M7" s="68">
        <v>17.894684057320248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3.5256187773410894E-3</v>
      </c>
      <c r="J8" s="67" t="s">
        <v>231</v>
      </c>
      <c r="K8" s="68">
        <v>0.13406513110595011</v>
      </c>
      <c r="L8" s="67" t="s">
        <v>231</v>
      </c>
      <c r="M8" s="68">
        <v>13.453990417658092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6.036566505466652E-4</v>
      </c>
      <c r="J9" s="67" t="s">
        <v>231</v>
      </c>
      <c r="K9" s="68">
        <v>1.7177162271369329E-2</v>
      </c>
      <c r="L9" s="67" t="s">
        <v>231</v>
      </c>
      <c r="M9" s="68">
        <v>1.6826646743716382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4.1901376610830651E-3</v>
      </c>
      <c r="J10" s="67" t="s">
        <v>231</v>
      </c>
      <c r="K10" s="68">
        <v>5.0413631762456133E-2</v>
      </c>
      <c r="L10" s="67" t="s">
        <v>231</v>
      </c>
      <c r="M10" s="68">
        <v>5.0199632069297584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1.0258088691116152E-3</v>
      </c>
      <c r="J11" s="67" t="s">
        <v>231</v>
      </c>
      <c r="K11" s="68">
        <v>5.5891577896699983E-2</v>
      </c>
      <c r="L11" s="67" t="s">
        <v>231</v>
      </c>
      <c r="M11" s="68">
        <v>5.5697635628634865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1.5069888934396804E-3</v>
      </c>
      <c r="J12" s="67" t="s">
        <v>231</v>
      </c>
      <c r="K12" s="68">
        <v>2.084263757926004E-2</v>
      </c>
      <c r="L12" s="67" t="s">
        <v>231</v>
      </c>
      <c r="M12" s="68">
        <v>2.0515342621456818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2.8541973971657697E-2</v>
      </c>
      <c r="J13" s="67" t="s">
        <v>232</v>
      </c>
      <c r="K13" s="68">
        <v>1.7510858139141869E-2</v>
      </c>
      <c r="L13" s="67" t="s">
        <v>231</v>
      </c>
      <c r="M13" s="68">
        <v>1.7162645802019374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9.7107339454889884E-3</v>
      </c>
      <c r="J14" s="67" t="s">
        <v>231</v>
      </c>
      <c r="K14" s="68">
        <v>7.5735552176508125E-2</v>
      </c>
      <c r="L14" s="67" t="s">
        <v>231</v>
      </c>
      <c r="M14" s="68">
        <v>7.5645142406793049</v>
      </c>
      <c r="N14" s="67" t="s">
        <v>231</v>
      </c>
      <c r="P14" s="109" t="s">
        <v>229</v>
      </c>
      <c r="Q14" s="103">
        <f>COUNTIF(N2:N50000,"Yes")</f>
        <v>6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4.9325403502115048E-3</v>
      </c>
      <c r="J15" s="67" t="s">
        <v>231</v>
      </c>
      <c r="K15" s="68">
        <v>5.3108877839892633E-2</v>
      </c>
      <c r="L15" s="67" t="s">
        <v>231</v>
      </c>
      <c r="M15" s="68">
        <v>5.2904183705777328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3.6976149427260627E-3</v>
      </c>
      <c r="J16" s="67" t="s">
        <v>231</v>
      </c>
      <c r="K16" s="68">
        <v>0.13199663268221795</v>
      </c>
      <c r="L16" s="67" t="s">
        <v>231</v>
      </c>
      <c r="M16" s="68">
        <v>13.244637865826913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2.9398239438641221E-3</v>
      </c>
      <c r="J17" s="67" t="s">
        <v>231</v>
      </c>
      <c r="K17" s="68">
        <v>4.8327946743059784E-2</v>
      </c>
      <c r="L17" s="67" t="s">
        <v>231</v>
      </c>
      <c r="M17" s="68">
        <v>4.8107450723238081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4.1838770330548409E-3</v>
      </c>
      <c r="J18" s="67" t="s">
        <v>231</v>
      </c>
      <c r="K18" s="68">
        <v>1.5581139928536658E-2</v>
      </c>
      <c r="L18" s="67" t="s">
        <v>231</v>
      </c>
      <c r="M18" s="68">
        <v>1.5223035359498707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2.9973283994544565E-2</v>
      </c>
      <c r="J19" s="67" t="s">
        <v>232</v>
      </c>
      <c r="K19" s="68">
        <v>5.3660705276970651E-2</v>
      </c>
      <c r="L19" s="67" t="s">
        <v>231</v>
      </c>
      <c r="M19" s="68">
        <v>5.3458034384328723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2.9540888932498991E-3</v>
      </c>
      <c r="J20" s="67" t="s">
        <v>231</v>
      </c>
      <c r="K20" s="68">
        <v>1.7517455218889061E-2</v>
      </c>
      <c r="L20" s="67" t="s">
        <v>231</v>
      </c>
      <c r="M20" s="68">
        <v>1.7169111695474113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1.3997923430281283E-2</v>
      </c>
      <c r="J21" s="67" t="s">
        <v>232</v>
      </c>
      <c r="K21" s="68">
        <v>6.9414238853528182E-2</v>
      </c>
      <c r="L21" s="67" t="s">
        <v>231</v>
      </c>
      <c r="M21" s="68">
        <v>6.9286568352208189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9.9799617737035987E-5</v>
      </c>
      <c r="J22" s="67" t="s">
        <v>231</v>
      </c>
      <c r="K22" s="68">
        <v>2.4320612785751869E-3</v>
      </c>
      <c r="L22" s="67" t="s">
        <v>231</v>
      </c>
      <c r="M22" s="68">
        <v>0.18056836598841311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3.127146719534964E-5</v>
      </c>
      <c r="J23" s="67" t="s">
        <v>231</v>
      </c>
      <c r="K23" s="68">
        <v>1.5535033538784267E-3</v>
      </c>
      <c r="L23" s="67" t="s">
        <v>231</v>
      </c>
      <c r="M23" s="68">
        <v>8.4770488949363676E-2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1.5039206332786566E-4</v>
      </c>
      <c r="J24" s="67" t="s">
        <v>231</v>
      </c>
      <c r="K24" s="68">
        <v>9.0745001030055391E-3</v>
      </c>
      <c r="L24" s="67" t="s">
        <v>231</v>
      </c>
      <c r="M24" s="68">
        <v>0.86467069709319466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1.5097684073059198E-3</v>
      </c>
      <c r="J25" s="67" t="s">
        <v>231</v>
      </c>
      <c r="K25" s="68">
        <v>2.4569546631845587E-2</v>
      </c>
      <c r="L25" s="67" t="s">
        <v>231</v>
      </c>
      <c r="M25" s="68">
        <v>2.4288531575654995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3.7096857860804871E-3</v>
      </c>
      <c r="J26" s="67" t="s">
        <v>231</v>
      </c>
      <c r="K26" s="68">
        <v>6.5514014302111179E-2</v>
      </c>
      <c r="L26" s="67" t="s">
        <v>231</v>
      </c>
      <c r="M26" s="68">
        <v>6.5364922227661237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2.600310962813223E-3</v>
      </c>
      <c r="J27" s="67" t="s">
        <v>231</v>
      </c>
      <c r="K27" s="68">
        <v>0.16480977049498999</v>
      </c>
      <c r="L27" s="67" t="s">
        <v>231</v>
      </c>
      <c r="M27" s="68">
        <v>16.575584131825821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1.3198472264512569E-3</v>
      </c>
      <c r="J28" s="67" t="s">
        <v>231</v>
      </c>
      <c r="K28" s="68">
        <v>9.6411810325078048E-2</v>
      </c>
      <c r="L28" s="67" t="s">
        <v>231</v>
      </c>
      <c r="M28" s="68">
        <v>9.6478660541298407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7.3770071295838199E-4</v>
      </c>
      <c r="J29" s="67" t="s">
        <v>231</v>
      </c>
      <c r="K29" s="68">
        <v>6.5521969945184028E-2</v>
      </c>
      <c r="L29" s="67" t="s">
        <v>231</v>
      </c>
      <c r="M29" s="68">
        <v>6.5429728119719979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1.3198472264512569E-3</v>
      </c>
      <c r="J30" s="67" t="s">
        <v>231</v>
      </c>
      <c r="K30" s="68">
        <v>9.6411810325078048E-2</v>
      </c>
      <c r="L30" s="67" t="s">
        <v>231</v>
      </c>
      <c r="M30" s="68">
        <v>9.6478660541298407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8.1062287634747456E-8</v>
      </c>
      <c r="J31" s="67" t="s">
        <v>231</v>
      </c>
      <c r="K31" s="68">
        <v>8.8985975828721536E-4</v>
      </c>
      <c r="L31" s="67" t="s">
        <v>231</v>
      </c>
      <c r="M31" s="68">
        <v>1.1362504745440333E-3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1.0734315100237678E-5</v>
      </c>
      <c r="J32" s="67" t="s">
        <v>231</v>
      </c>
      <c r="K32" s="68">
        <v>3.7414432822918163E-3</v>
      </c>
      <c r="L32" s="67" t="s">
        <v>231</v>
      </c>
      <c r="M32" s="68">
        <v>0.30954015332212659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8.1287372029915528E-8</v>
      </c>
      <c r="J33" s="67" t="s">
        <v>231</v>
      </c>
      <c r="K33" s="68">
        <v>9.0285667300876217E-4</v>
      </c>
      <c r="L33" s="67" t="s">
        <v>231</v>
      </c>
      <c r="M33" s="68">
        <v>5.9097893614276924E-4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3.2495507946940963E-10</v>
      </c>
      <c r="J34" s="67" t="s">
        <v>231</v>
      </c>
      <c r="K34" s="68">
        <v>1.3686080139297602E-3</v>
      </c>
      <c r="L34" s="67" t="s">
        <v>231</v>
      </c>
      <c r="M34" s="68">
        <v>7.5565803293658459E-2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5.0126804768102476E-7</v>
      </c>
      <c r="J35" s="67" t="s">
        <v>231</v>
      </c>
      <c r="K35" s="68">
        <v>1.898070938368043E-3</v>
      </c>
      <c r="L35" s="67" t="s">
        <v>231</v>
      </c>
      <c r="M35" s="68">
        <v>0.16165228939825121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9.0535310887282361E-7</v>
      </c>
      <c r="J36" s="67" t="s">
        <v>231</v>
      </c>
      <c r="K36" s="68">
        <v>3.280771946144909E-3</v>
      </c>
      <c r="L36" s="67" t="s">
        <v>231</v>
      </c>
      <c r="M36" s="68">
        <v>0.38931432799502197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5.4753485725746817E-6</v>
      </c>
      <c r="J37" s="67" t="s">
        <v>231</v>
      </c>
      <c r="K37" s="68">
        <v>5.0992923674047091E-3</v>
      </c>
      <c r="L37" s="67" t="s">
        <v>231</v>
      </c>
      <c r="M37" s="68">
        <v>0.49487369347093291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1.6027027619463692E-6</v>
      </c>
      <c r="J38" s="67" t="s">
        <v>231</v>
      </c>
      <c r="K38" s="68">
        <v>1.2877734569718691E-3</v>
      </c>
      <c r="L38" s="67" t="s">
        <v>231</v>
      </c>
      <c r="M38" s="68">
        <v>6.1395182560838424E-2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9.7223171740559201E-4</v>
      </c>
      <c r="J39" s="67" t="s">
        <v>231</v>
      </c>
      <c r="K39" s="68">
        <v>3.2139920640624486E-2</v>
      </c>
      <c r="L39" s="67" t="s">
        <v>231</v>
      </c>
      <c r="M39" s="68">
        <v>3.1888836029423224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5.6651912815583734E-9</v>
      </c>
      <c r="J40" s="67" t="s">
        <v>231</v>
      </c>
      <c r="K40" s="68">
        <v>0.28401296201504261</v>
      </c>
      <c r="L40" s="67" t="s">
        <v>231</v>
      </c>
      <c r="M40" s="68">
        <v>38.913626739831898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2.6138422349207578E-8</v>
      </c>
      <c r="J41" s="67" t="s">
        <v>231</v>
      </c>
      <c r="K41" s="68">
        <v>8.223781683782532E-4</v>
      </c>
      <c r="L41" s="67" t="s">
        <v>231</v>
      </c>
      <c r="M41" s="68">
        <v>6.4191074628234306E-5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1.1196029013792604E-3</v>
      </c>
      <c r="J42" s="67" t="s">
        <v>231</v>
      </c>
      <c r="K42" s="68">
        <v>2.7446760699354538E-3</v>
      </c>
      <c r="L42" s="67" t="s">
        <v>231</v>
      </c>
      <c r="M42" s="68">
        <v>0.2136392058771823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4.2985743440804568E-8</v>
      </c>
      <c r="J43" s="67" t="s">
        <v>231</v>
      </c>
      <c r="K43" s="68">
        <v>1.088085318662267E-2</v>
      </c>
      <c r="L43" s="67" t="s">
        <v>231</v>
      </c>
      <c r="M43" s="68">
        <v>1.5025418366874606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1.0873636092539474E-6</v>
      </c>
      <c r="J44" s="67" t="s">
        <v>231</v>
      </c>
      <c r="K44" s="68">
        <v>1.0067999271399402E-3</v>
      </c>
      <c r="L44" s="67" t="s">
        <v>231</v>
      </c>
      <c r="M44" s="68">
        <v>2.9646458353435278E-2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1.0063016871317622E-4</v>
      </c>
      <c r="J45" s="67" t="s">
        <v>231</v>
      </c>
      <c r="K45" s="68">
        <v>3.0561887045372563E-3</v>
      </c>
      <c r="L45" s="67" t="s">
        <v>231</v>
      </c>
      <c r="M45" s="68">
        <v>0.24659706914189902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2.2262781053948976E-6</v>
      </c>
      <c r="J46" s="67" t="s">
        <v>231</v>
      </c>
      <c r="K46" s="68">
        <v>2.8508422061017911E-3</v>
      </c>
      <c r="L46" s="67" t="s">
        <v>231</v>
      </c>
      <c r="M46" s="68">
        <v>0.22505743375985807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1.2207812513762576E-2</v>
      </c>
      <c r="J47" s="142" t="s">
        <v>232</v>
      </c>
      <c r="K47" s="143">
        <v>0.1717771944296354</v>
      </c>
      <c r="L47" s="142" t="s">
        <v>231</v>
      </c>
      <c r="M47" s="143">
        <v>17.282018010210511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1.8123479963703686E-6</v>
      </c>
      <c r="J48" s="142" t="s">
        <v>231</v>
      </c>
      <c r="K48" s="143">
        <v>9.2430530265869579E-4</v>
      </c>
      <c r="L48" s="142" t="s">
        <v>231</v>
      </c>
      <c r="M48" s="143">
        <v>1.0244608968625198E-2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5.0799374438900392E-6</v>
      </c>
      <c r="J49" s="142" t="s">
        <v>231</v>
      </c>
      <c r="K49" s="143">
        <v>9.6770348865468875E-4</v>
      </c>
      <c r="L49" s="142" t="s">
        <v>231</v>
      </c>
      <c r="M49" s="143">
        <v>1.7650330197461032E-2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1.7889324977368496E-5</v>
      </c>
      <c r="J50" s="142" t="s">
        <v>231</v>
      </c>
      <c r="K50" s="143">
        <v>1.4974908745324774E-2</v>
      </c>
      <c r="L50" s="142" t="s">
        <v>231</v>
      </c>
      <c r="M50" s="143">
        <v>1.4616448804212561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4.0128278127133388E-8</v>
      </c>
      <c r="J51" s="142" t="s">
        <v>231</v>
      </c>
      <c r="K51" s="143">
        <v>8.3278856024786535E-4</v>
      </c>
      <c r="L51" s="142" t="s">
        <v>231</v>
      </c>
      <c r="M51" s="143">
        <v>1.8459579382858267E-3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1.1158659382933256E-5</v>
      </c>
      <c r="J52" s="142" t="s">
        <v>231</v>
      </c>
      <c r="K52" s="143">
        <v>1.1912571071005433E-3</v>
      </c>
      <c r="L52" s="142" t="s">
        <v>231</v>
      </c>
      <c r="M52" s="143">
        <v>5.0108817444087385E-2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2.0831859263530734E-4</v>
      </c>
      <c r="J53" s="142" t="s">
        <v>231</v>
      </c>
      <c r="K53" s="143">
        <v>4.3183265810138576E-3</v>
      </c>
      <c r="L53" s="142" t="s">
        <v>231</v>
      </c>
      <c r="M53" s="143">
        <v>0.37841589870682646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4.0621927593955005E-3</v>
      </c>
      <c r="J54" s="67" t="s">
        <v>231</v>
      </c>
      <c r="K54" s="68">
        <v>0.153604792008947</v>
      </c>
      <c r="L54" s="67" t="s">
        <v>231</v>
      </c>
      <c r="M54" s="68">
        <v>15.435389770805591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2.9299206151048285E-4</v>
      </c>
      <c r="J55" s="67" t="s">
        <v>231</v>
      </c>
      <c r="K55" s="68">
        <v>7.5533299686074539E-3</v>
      </c>
      <c r="L55" s="67" t="s">
        <v>231</v>
      </c>
      <c r="M55" s="68">
        <v>0.72303728733652195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6.9695018090405248E-5</v>
      </c>
      <c r="J56" s="67" t="s">
        <v>231</v>
      </c>
      <c r="K56" s="68">
        <v>3.4995694957913335E-3</v>
      </c>
      <c r="L56" s="67" t="s">
        <v>231</v>
      </c>
      <c r="M56" s="68">
        <v>0.34425838710424206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2.7279599705431322E-5</v>
      </c>
      <c r="J57" s="67" t="s">
        <v>231</v>
      </c>
      <c r="K57" s="68">
        <v>1.4457615330542258E-3</v>
      </c>
      <c r="L57" s="67" t="s">
        <v>231</v>
      </c>
      <c r="M57" s="68">
        <v>0.13953573302953065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2.586968980632024E-7</v>
      </c>
      <c r="J58" s="67" t="s">
        <v>231</v>
      </c>
      <c r="K58" s="68">
        <v>6.911657047762386E-5</v>
      </c>
      <c r="L58" s="67" t="s">
        <v>231</v>
      </c>
      <c r="M58" s="68">
        <v>1.5179380685404293E-3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6.0292002513678062E-6</v>
      </c>
      <c r="J59" s="67" t="s">
        <v>231</v>
      </c>
      <c r="K59" s="68">
        <v>5.1129556072287432E-4</v>
      </c>
      <c r="L59" s="67" t="s">
        <v>231</v>
      </c>
      <c r="M59" s="68">
        <v>4.9262790507572492E-2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8.9781496743532735E-8</v>
      </c>
      <c r="J60" s="67" t="s">
        <v>231</v>
      </c>
      <c r="K60" s="68">
        <v>8.6594469742934961E-6</v>
      </c>
      <c r="L60" s="67" t="s">
        <v>231</v>
      </c>
      <c r="M60" s="68">
        <v>8.1154525444608161E-4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5.0989880787294058E-2</v>
      </c>
      <c r="J61" s="67" t="s">
        <v>232</v>
      </c>
      <c r="K61" s="68">
        <v>5.9569404074934938E-3</v>
      </c>
      <c r="L61" s="67" t="s">
        <v>231</v>
      </c>
      <c r="M61" s="68">
        <v>0.54698427558889251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1.6784563562377019E-4</v>
      </c>
      <c r="J62" s="67" t="s">
        <v>231</v>
      </c>
      <c r="K62" s="68">
        <v>7.4344375726563702E-2</v>
      </c>
      <c r="L62" s="67" t="s">
        <v>231</v>
      </c>
      <c r="M62" s="68">
        <v>7.4245026841027402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1.3284470745245486E-3</v>
      </c>
      <c r="J63" s="67" t="s">
        <v>231</v>
      </c>
      <c r="K63" s="68">
        <v>0.20266902420979929</v>
      </c>
      <c r="L63" s="67" t="s">
        <v>231</v>
      </c>
      <c r="M63" s="68">
        <v>20.431435878851925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1.0377047944650616E-3</v>
      </c>
      <c r="J64" s="67" t="s">
        <v>231</v>
      </c>
      <c r="K64" s="68">
        <v>0.24937652617460393</v>
      </c>
      <c r="L64" s="67" t="s">
        <v>231</v>
      </c>
      <c r="M64" s="68">
        <v>25.223517589488335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1.7073133227329684E-3</v>
      </c>
      <c r="J65" s="67" t="s">
        <v>231</v>
      </c>
      <c r="K65" s="68">
        <v>0.29120069568457663</v>
      </c>
      <c r="L65" s="67" t="s">
        <v>231</v>
      </c>
      <c r="M65" s="68">
        <v>29.563909703052538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6.4787649334634044E-6</v>
      </c>
      <c r="J66" s="67" t="s">
        <v>231</v>
      </c>
      <c r="K66" s="68">
        <v>0.26905347688143655</v>
      </c>
      <c r="L66" s="67" t="s">
        <v>231</v>
      </c>
      <c r="M66" s="68">
        <v>27.257670496522355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3.8247542788396195E-4</v>
      </c>
      <c r="J67" s="67" t="s">
        <v>231</v>
      </c>
      <c r="K67" s="68">
        <v>1.1467621539424501E-3</v>
      </c>
      <c r="L67" s="67" t="s">
        <v>231</v>
      </c>
      <c r="M67" s="68">
        <v>3.833498430319443E-2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1.5566581758171712E-4</v>
      </c>
      <c r="J68" s="67" t="s">
        <v>231</v>
      </c>
      <c r="K68" s="68">
        <v>1.3762458666512084E-3</v>
      </c>
      <c r="L68" s="67" t="s">
        <v>231</v>
      </c>
      <c r="M68" s="68">
        <v>6.5692054362034069E-2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9.4791454450799656E-7</v>
      </c>
      <c r="J69" s="67" t="s">
        <v>231</v>
      </c>
      <c r="K69" s="68">
        <v>0.12866678828196529</v>
      </c>
      <c r="L69" s="67" t="s">
        <v>231</v>
      </c>
      <c r="M69" s="68">
        <v>12.907927744010596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8.0277599193795803E-4</v>
      </c>
      <c r="J70" s="67" t="s">
        <v>231</v>
      </c>
      <c r="K70" s="68">
        <v>2.3879949127168433E-2</v>
      </c>
      <c r="L70" s="67" t="s">
        <v>231</v>
      </c>
      <c r="M70" s="68">
        <v>2.3576757758916465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2.8979828510127659E-4</v>
      </c>
      <c r="J71" s="67" t="s">
        <v>231</v>
      </c>
      <c r="K71" s="68">
        <v>1.3104694733810382E-3</v>
      </c>
      <c r="L71" s="67" t="s">
        <v>231</v>
      </c>
      <c r="M71" s="68">
        <v>5.956414696624409E-2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4.5207491575354554E-6</v>
      </c>
      <c r="J72" s="67" t="s">
        <v>231</v>
      </c>
      <c r="K72" s="68">
        <v>2.1830064513160344E-2</v>
      </c>
      <c r="L72" s="67" t="s">
        <v>231</v>
      </c>
      <c r="M72" s="68">
        <v>2.1529274807825187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7.5389178377460895E-3</v>
      </c>
      <c r="J73" s="67" t="s">
        <v>231</v>
      </c>
      <c r="K73" s="68">
        <v>6.2479691975299611E-3</v>
      </c>
      <c r="L73" s="67" t="s">
        <v>231</v>
      </c>
      <c r="M73" s="68">
        <v>0.57804471994436413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0.16526468986009216</v>
      </c>
      <c r="J74" s="67" t="s">
        <v>232</v>
      </c>
      <c r="K74" s="68">
        <v>2.3369897761194879E-2</v>
      </c>
      <c r="L74" s="67" t="s">
        <v>231</v>
      </c>
      <c r="M74" s="68">
        <v>2.3066189469153806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2.107449254242049E-12</v>
      </c>
      <c r="J75" s="67" t="s">
        <v>231</v>
      </c>
      <c r="K75" s="68">
        <v>3.6345149897265977E-2</v>
      </c>
      <c r="L75" s="67" t="s">
        <v>231</v>
      </c>
      <c r="M75" s="68">
        <v>5.0958941537148776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1.1594089966420961E-12</v>
      </c>
      <c r="J76" s="67" t="s">
        <v>231</v>
      </c>
      <c r="K76" s="68">
        <v>3.6345150077964031E-2</v>
      </c>
      <c r="L76" s="67" t="s">
        <v>231</v>
      </c>
      <c r="M76" s="68">
        <v>5.0958941790502568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5.4927949312835526E-7</v>
      </c>
      <c r="J77" s="67" t="s">
        <v>231</v>
      </c>
      <c r="K77" s="68">
        <v>1.2145534397393054E-2</v>
      </c>
      <c r="L77" s="67" t="s">
        <v>231</v>
      </c>
      <c r="M77" s="68">
        <v>1.1780974738590062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1.058986863347509E-3</v>
      </c>
      <c r="J78" s="67" t="s">
        <v>231</v>
      </c>
      <c r="K78" s="68">
        <v>2.5015747005652346E-3</v>
      </c>
      <c r="L78" s="67" t="s">
        <v>231</v>
      </c>
      <c r="M78" s="68">
        <v>0.19084872145181148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2.2721609037577733E-5</v>
      </c>
      <c r="J79" s="67" t="s">
        <v>231</v>
      </c>
      <c r="K79" s="68">
        <v>4.4057240529382959E-3</v>
      </c>
      <c r="L79" s="67" t="s">
        <v>231</v>
      </c>
      <c r="M79" s="68">
        <v>0.38800820306934358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1.2260404646027968E-13</v>
      </c>
      <c r="J80" s="67" t="s">
        <v>231</v>
      </c>
      <c r="K80" s="68">
        <v>6.8947767200655916E-2</v>
      </c>
      <c r="L80" s="67" t="s">
        <v>231</v>
      </c>
      <c r="M80" s="68">
        <v>9.6734665458284645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2.1975306606199704E-5</v>
      </c>
      <c r="J81" s="67" t="s">
        <v>231</v>
      </c>
      <c r="K81" s="68">
        <v>8.9042339413890369E-4</v>
      </c>
      <c r="L81" s="67" t="s">
        <v>231</v>
      </c>
      <c r="M81" s="68">
        <v>1.6814025960476746E-3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3.5473832903569293E-5</v>
      </c>
      <c r="J82" s="67" t="s">
        <v>231</v>
      </c>
      <c r="K82" s="68">
        <v>1.5235436677957296E-3</v>
      </c>
      <c r="L82" s="67" t="s">
        <v>231</v>
      </c>
      <c r="M82" s="68">
        <v>8.1412115769651044E-2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5.7901316545315554E-5</v>
      </c>
      <c r="J83" s="67" t="s">
        <v>231</v>
      </c>
      <c r="K83" s="68">
        <v>1.1282813337237196E-2</v>
      </c>
      <c r="L83" s="67" t="s">
        <v>231</v>
      </c>
      <c r="M83" s="68">
        <v>1.088338171134684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6.0713624700268539E-6</v>
      </c>
      <c r="J84" s="67" t="s">
        <v>231</v>
      </c>
      <c r="K84" s="68">
        <v>9.1336830596201702E-4</v>
      </c>
      <c r="L84" s="67" t="s">
        <v>231</v>
      </c>
      <c r="M84" s="68">
        <v>6.8414405267935279E-3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3.2964522717085087E-8</v>
      </c>
      <c r="J85" s="67" t="s">
        <v>231</v>
      </c>
      <c r="K85" s="68">
        <v>8.9181213618826137E-4</v>
      </c>
      <c r="L85" s="67" t="s">
        <v>231</v>
      </c>
      <c r="M85" s="68">
        <v>3.4453796532117072E-4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2.3820033317897432E-6</v>
      </c>
      <c r="J86" s="67" t="s">
        <v>231</v>
      </c>
      <c r="K86" s="68">
        <v>9.1162889133276123E-4</v>
      </c>
      <c r="L86" s="67" t="s">
        <v>231</v>
      </c>
      <c r="M86" s="68">
        <v>6.5393658449771639E-3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1.4352515070525354E-2</v>
      </c>
      <c r="J87" s="67" t="s">
        <v>232</v>
      </c>
      <c r="K87" s="68">
        <v>0.18383509390007136</v>
      </c>
      <c r="L87" s="67" t="s">
        <v>231</v>
      </c>
      <c r="M87" s="68">
        <v>18.509720495374452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1.1124908308011748E-4</v>
      </c>
      <c r="J88" s="67" t="s">
        <v>231</v>
      </c>
      <c r="K88" s="68">
        <v>2.174331959549065E-3</v>
      </c>
      <c r="L88" s="67" t="s">
        <v>231</v>
      </c>
      <c r="M88" s="68">
        <v>0.15274773632028396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2.8820177322826339E-5</v>
      </c>
      <c r="J89" s="67" t="s">
        <v>231</v>
      </c>
      <c r="K89" s="68">
        <v>1.6172822028743207E-3</v>
      </c>
      <c r="L89" s="67" t="s">
        <v>231</v>
      </c>
      <c r="M89" s="68">
        <v>9.1879324221528433E-2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1.7856248540739793E-6</v>
      </c>
      <c r="J90" s="67" t="s">
        <v>231</v>
      </c>
      <c r="K90" s="68">
        <v>1.0270027270004418E-3</v>
      </c>
      <c r="L90" s="67" t="s">
        <v>231</v>
      </c>
      <c r="M90" s="68">
        <v>2.2966291022423493E-2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1.0169175539403996E-2</v>
      </c>
      <c r="J91" s="67" t="s">
        <v>232</v>
      </c>
      <c r="K91" s="68">
        <v>8.1566161926696981E-2</v>
      </c>
      <c r="L91" s="67" t="s">
        <v>231</v>
      </c>
      <c r="M91" s="68">
        <v>8.1514953046920127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3.3928886268136296E-2</v>
      </c>
      <c r="J92" s="67" t="s">
        <v>232</v>
      </c>
      <c r="K92" s="68">
        <v>8.9622936601864277E-3</v>
      </c>
      <c r="L92" s="67" t="s">
        <v>231</v>
      </c>
      <c r="M92" s="68">
        <v>0.85327723894702578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1.8114329459882408E-2</v>
      </c>
      <c r="J93" s="67" t="s">
        <v>232</v>
      </c>
      <c r="K93" s="68">
        <v>2.0652964880190913E-2</v>
      </c>
      <c r="L93" s="67" t="s">
        <v>231</v>
      </c>
      <c r="M93" s="68">
        <v>2.0324712038345871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7.1280327487725466E-9</v>
      </c>
      <c r="J94" s="67" t="s">
        <v>231</v>
      </c>
      <c r="K94" s="68">
        <v>9.8159875607669754E-4</v>
      </c>
      <c r="L94" s="67" t="s">
        <v>231</v>
      </c>
      <c r="M94" s="68">
        <v>1.3062071704660859E-2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2.0047826738769502E-4</v>
      </c>
      <c r="J95" s="67" t="s">
        <v>231</v>
      </c>
      <c r="K95" s="68">
        <v>4.2035470015342011E-2</v>
      </c>
      <c r="L95" s="67" t="s">
        <v>231</v>
      </c>
      <c r="M95" s="68">
        <v>4.1798732008109303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9.6909263214681889E-8</v>
      </c>
      <c r="J96" s="67" t="s">
        <v>231</v>
      </c>
      <c r="K96" s="68">
        <v>8.9065333592644653E-4</v>
      </c>
      <c r="L96" s="67" t="s">
        <v>231</v>
      </c>
      <c r="M96" s="68">
        <v>1.8015524176581295E-3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3.4485803403240849E-8</v>
      </c>
      <c r="J97" s="67" t="s">
        <v>231</v>
      </c>
      <c r="K97" s="68">
        <v>9.1427821385940417E-4</v>
      </c>
      <c r="L97" s="67" t="s">
        <v>231</v>
      </c>
      <c r="M97" s="68">
        <v>6.997563735723987E-3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3.4785966836636901E-5</v>
      </c>
      <c r="J98" s="67" t="s">
        <v>231</v>
      </c>
      <c r="K98" s="68">
        <v>2.6973672298901109E-2</v>
      </c>
      <c r="L98" s="67" t="s">
        <v>231</v>
      </c>
      <c r="M98" s="68">
        <v>2.6685911181423503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4.1837588897792391E-8</v>
      </c>
      <c r="J99" s="67" t="s">
        <v>231</v>
      </c>
      <c r="K99" s="68">
        <v>8.9341530392361625E-4</v>
      </c>
      <c r="L99" s="67" t="s">
        <v>231</v>
      </c>
      <c r="M99" s="68">
        <v>1.7754499687712731E-4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6.5184868789919297E-5</v>
      </c>
      <c r="J100" s="67" t="s">
        <v>231</v>
      </c>
      <c r="K100" s="68">
        <v>3.9257362732568754E-3</v>
      </c>
      <c r="L100" s="67" t="s">
        <v>231</v>
      </c>
      <c r="M100" s="68">
        <v>0.33748277849948116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1.3047434514759458E-5</v>
      </c>
      <c r="J101" s="67" t="s">
        <v>231</v>
      </c>
      <c r="K101" s="68">
        <v>8.9117569038508798E-4</v>
      </c>
      <c r="L101" s="67" t="s">
        <v>231</v>
      </c>
      <c r="M101" s="68">
        <v>4.5001662896474722E-4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6.4293285102840659E-11</v>
      </c>
      <c r="J102" s="67" t="s">
        <v>231</v>
      </c>
      <c r="K102" s="68">
        <v>8.962767989152239E-4</v>
      </c>
      <c r="L102" s="67" t="s">
        <v>231</v>
      </c>
      <c r="M102" s="68">
        <v>3.8093157863554324E-5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9.1526409480615798E-9</v>
      </c>
      <c r="J103" s="67" t="s">
        <v>231</v>
      </c>
      <c r="K103" s="68">
        <v>8.9354977427739317E-4</v>
      </c>
      <c r="L103" s="67" t="s">
        <v>231</v>
      </c>
      <c r="M103" s="68">
        <v>1.6750390668436412E-4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4.2132458231986046E-7</v>
      </c>
      <c r="J104" s="67" t="s">
        <v>231</v>
      </c>
      <c r="K104" s="68">
        <v>8.9768844087491763E-4</v>
      </c>
      <c r="L104" s="67" t="s">
        <v>231</v>
      </c>
      <c r="M104" s="68">
        <v>3.8361605075745604E-3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5.7834307196676771E-8</v>
      </c>
      <c r="J105" s="67" t="s">
        <v>231</v>
      </c>
      <c r="K105" s="68">
        <v>8.9579492996509971E-4</v>
      </c>
      <c r="L105" s="67" t="s">
        <v>231</v>
      </c>
      <c r="M105" s="68">
        <v>5.2817581097217361E-5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5.190954119830908E-7</v>
      </c>
      <c r="J106" s="67" t="s">
        <v>231</v>
      </c>
      <c r="K106" s="68">
        <v>1.1262614060531452E-3</v>
      </c>
      <c r="L106" s="67" t="s">
        <v>231</v>
      </c>
      <c r="M106" s="68">
        <v>3.5369443888012851E-2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2.6906339550840797E-4</v>
      </c>
      <c r="J107" s="67" t="s">
        <v>231</v>
      </c>
      <c r="K107" s="68">
        <v>2.9409878034309292E-2</v>
      </c>
      <c r="L107" s="67" t="s">
        <v>231</v>
      </c>
      <c r="M107" s="68">
        <v>2.9140579944272393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8.3165048481159619E-5</v>
      </c>
      <c r="J108" s="67" t="s">
        <v>231</v>
      </c>
      <c r="K108" s="68">
        <v>3.2313332172332712E-3</v>
      </c>
      <c r="L108" s="67" t="s">
        <v>231</v>
      </c>
      <c r="M108" s="68">
        <v>0.26494787896014688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0.81246615651323073</v>
      </c>
      <c r="F2" s="14">
        <v>0.80782203429771493</v>
      </c>
      <c r="G2" s="14">
        <v>1.0496975476258495E-6</v>
      </c>
      <c r="H2" s="14">
        <v>10.915300461838555</v>
      </c>
      <c r="I2" s="14">
        <v>29.436953759820184</v>
      </c>
      <c r="J2" s="14">
        <v>0</v>
      </c>
      <c r="K2" s="14">
        <v>1.2378964147336686</v>
      </c>
      <c r="L2" s="14">
        <v>0.80782203429771493</v>
      </c>
      <c r="M2" s="14">
        <v>0.66281797914127516</v>
      </c>
      <c r="N2" s="14">
        <v>1.2926261670345458</v>
      </c>
      <c r="O2" s="14">
        <v>237.98540361273027</v>
      </c>
      <c r="P2" s="8">
        <v>1.292626167034546</v>
      </c>
      <c r="Q2" s="54">
        <v>0.12562985706622215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0.42564273076359016</v>
      </c>
      <c r="F3" s="14">
        <v>3.0840612169894723E-3</v>
      </c>
      <c r="G3" s="14">
        <v>1.8700425039359632E-4</v>
      </c>
      <c r="H3" s="14">
        <v>323.75984985750586</v>
      </c>
      <c r="I3" s="14">
        <v>8122.3212174515966</v>
      </c>
      <c r="J3" s="14">
        <v>0</v>
      </c>
      <c r="K3" s="14">
        <v>324.24777902954759</v>
      </c>
      <c r="L3" s="14">
        <v>3.0840612169894723E-3</v>
      </c>
      <c r="M3" s="14">
        <v>2.5304722285398621E-3</v>
      </c>
      <c r="N3" s="14">
        <v>168.88615250370279</v>
      </c>
      <c r="O3" s="14">
        <v>61628.245910126192</v>
      </c>
      <c r="P3" s="8">
        <v>168.88615250370279</v>
      </c>
      <c r="Q3" s="54">
        <v>0.25982453621848639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0.53339034452893985</v>
      </c>
      <c r="F4" s="14">
        <v>0.49056679653978641</v>
      </c>
      <c r="G4" s="14">
        <v>6.7752704827025271E-14</v>
      </c>
      <c r="H4" s="14">
        <v>98.695681480169242</v>
      </c>
      <c r="I4" s="14">
        <v>218.15005202983613</v>
      </c>
      <c r="J4" s="14">
        <v>0</v>
      </c>
      <c r="K4" s="14">
        <v>2.0384583853891081</v>
      </c>
      <c r="L4" s="14">
        <v>0.49056679653978641</v>
      </c>
      <c r="M4" s="14">
        <v>0.40251005656089478</v>
      </c>
      <c r="N4" s="14">
        <v>4.7085975857559648</v>
      </c>
      <c r="O4" s="14">
        <v>1494.1321859120826</v>
      </c>
      <c r="P4" s="8">
        <v>4.7085975857559648</v>
      </c>
      <c r="Q4" s="54">
        <v>0.31171329139431581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0.42521596408223494</v>
      </c>
      <c r="F5" s="14">
        <v>3.1354182769242199E-2</v>
      </c>
      <c r="G5" s="14">
        <v>6.0225993547667543E-6</v>
      </c>
      <c r="H5" s="14">
        <v>867.67180563034583</v>
      </c>
      <c r="I5" s="14">
        <v>2331.3777982795423</v>
      </c>
      <c r="J5" s="14">
        <v>0</v>
      </c>
      <c r="K5" s="14">
        <v>31.893671327991978</v>
      </c>
      <c r="L5" s="14">
        <v>3.1354182769242199E-2</v>
      </c>
      <c r="M5" s="14">
        <v>2.5726106962163226E-2</v>
      </c>
      <c r="N5" s="14">
        <v>47.294602961904104</v>
      </c>
      <c r="O5" s="14">
        <v>16581.014852413959</v>
      </c>
      <c r="P5" s="8">
        <v>47.294602961904104</v>
      </c>
      <c r="Q5" s="54">
        <v>0.35498716948041981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0.46551461606323691</v>
      </c>
      <c r="F6" s="14">
        <v>1.4902320123793759E-3</v>
      </c>
      <c r="G6" s="14">
        <v>6.5832807464100658E-7</v>
      </c>
      <c r="H6" s="14">
        <v>223.10735545816229</v>
      </c>
      <c r="I6" s="14">
        <v>10145.444027855407</v>
      </c>
      <c r="J6" s="14">
        <v>0</v>
      </c>
      <c r="K6" s="14">
        <v>671.03645049427712</v>
      </c>
      <c r="L6" s="14">
        <v>1.4902320123793759E-3</v>
      </c>
      <c r="M6" s="14">
        <v>1.2227353661572781E-3</v>
      </c>
      <c r="N6" s="14">
        <v>212.38268170809454</v>
      </c>
      <c r="O6" s="14">
        <v>75287.536838702435</v>
      </c>
      <c r="P6" s="8">
        <v>212.38268170809457</v>
      </c>
      <c r="Q6" s="54">
        <v>0.21422544775045158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0.4372506854903071</v>
      </c>
      <c r="F7" s="14">
        <v>2.8226955269158313E-3</v>
      </c>
      <c r="G7" s="14">
        <v>9.1992521448579749E-7</v>
      </c>
      <c r="H7" s="14">
        <v>312.12175128347724</v>
      </c>
      <c r="I7" s="14">
        <v>8542.4256155641287</v>
      </c>
      <c r="J7" s="14">
        <v>0</v>
      </c>
      <c r="K7" s="14">
        <v>354.27129510232101</v>
      </c>
      <c r="L7" s="14">
        <v>2.8226955269158313E-3</v>
      </c>
      <c r="M7" s="14">
        <v>2.3160216798344397E-3</v>
      </c>
      <c r="N7" s="14">
        <v>177.79670005269071</v>
      </c>
      <c r="O7" s="14">
        <v>63027.152201678327</v>
      </c>
      <c r="P7" s="8">
        <v>177.79670005269071</v>
      </c>
      <c r="Q7" s="54">
        <v>0.25714684830591406</v>
      </c>
    </row>
    <row r="8" spans="1:20">
      <c r="A8" s="2" t="s">
        <v>323</v>
      </c>
      <c r="B8" s="16" t="s">
        <v>324</v>
      </c>
      <c r="D8" s="14">
        <v>1</v>
      </c>
      <c r="E8" s="14">
        <v>0.41038600531571329</v>
      </c>
      <c r="F8" s="14">
        <v>5.9406109858670701E-3</v>
      </c>
      <c r="G8" s="14">
        <v>8.2087986223431919E-6</v>
      </c>
      <c r="H8" s="14">
        <v>448.79820786136065</v>
      </c>
      <c r="I8" s="14">
        <v>6487.9618095708374</v>
      </c>
      <c r="J8" s="14">
        <v>0</v>
      </c>
      <c r="K8" s="14">
        <v>168.33285370461664</v>
      </c>
      <c r="L8" s="14">
        <v>5.9406109858670701E-3</v>
      </c>
      <c r="M8" s="14">
        <v>4.874271313903931E-3</v>
      </c>
      <c r="N8" s="14">
        <v>134.06513110595012</v>
      </c>
      <c r="O8" s="14">
        <v>42906.204559148282</v>
      </c>
      <c r="P8" s="8">
        <v>134.06513110595012</v>
      </c>
      <c r="Q8" s="54">
        <v>0.30500593120214653</v>
      </c>
    </row>
    <row r="9" spans="1:20">
      <c r="A9" s="2" t="s">
        <v>325</v>
      </c>
      <c r="B9" s="16" t="s">
        <v>326</v>
      </c>
      <c r="D9" s="14">
        <v>1</v>
      </c>
      <c r="E9" s="14">
        <v>0.3632204443283395</v>
      </c>
      <c r="F9" s="14">
        <v>0.16517243729377956</v>
      </c>
      <c r="G9" s="14">
        <v>3.1226698134529329E-6</v>
      </c>
      <c r="H9" s="14">
        <v>470.64947362292855</v>
      </c>
      <c r="I9" s="14">
        <v>855.76544889535228</v>
      </c>
      <c r="J9" s="14">
        <v>0</v>
      </c>
      <c r="K9" s="14">
        <v>6.0542788880772926</v>
      </c>
      <c r="L9" s="14">
        <v>0.16517243729377956</v>
      </c>
      <c r="M9" s="14">
        <v>0.13552398479954614</v>
      </c>
      <c r="N9" s="14">
        <v>17.17716227136933</v>
      </c>
      <c r="O9" s="14">
        <v>5227.8693372912558</v>
      </c>
      <c r="P9" s="8">
        <v>17.17716227136933</v>
      </c>
      <c r="Q9" s="54">
        <v>0.41778683249429938</v>
      </c>
    </row>
    <row r="10" spans="1:20">
      <c r="A10" s="2" t="s">
        <v>275</v>
      </c>
      <c r="B10" s="16" t="s">
        <v>276</v>
      </c>
      <c r="D10" s="14">
        <v>1</v>
      </c>
      <c r="E10" s="14">
        <v>0.42141776223379945</v>
      </c>
      <c r="F10" s="14">
        <v>2.9058991241838302E-2</v>
      </c>
      <c r="G10" s="14">
        <v>7.711325258270341E-8</v>
      </c>
      <c r="H10" s="14">
        <v>847.03339688943447</v>
      </c>
      <c r="I10" s="14">
        <v>2482.8912891454797</v>
      </c>
      <c r="J10" s="14">
        <v>0</v>
      </c>
      <c r="K10" s="14">
        <v>34.412756853039987</v>
      </c>
      <c r="L10" s="14">
        <v>2.9058991241838302E-2</v>
      </c>
      <c r="M10" s="14">
        <v>2.3842902313928327E-2</v>
      </c>
      <c r="N10" s="14">
        <v>50.413631762456134</v>
      </c>
      <c r="O10" s="14">
        <v>18677.746431672371</v>
      </c>
      <c r="P10" s="8">
        <v>50.413631762456134</v>
      </c>
      <c r="Q10" s="54">
        <v>0.3557604819907606</v>
      </c>
    </row>
    <row r="11" spans="1:20">
      <c r="A11" s="2" t="s">
        <v>327</v>
      </c>
      <c r="B11" s="16" t="s">
        <v>328</v>
      </c>
      <c r="D11" s="14">
        <v>1</v>
      </c>
      <c r="E11" s="14">
        <v>0.41530155254464807</v>
      </c>
      <c r="F11" s="14">
        <v>2.5516244778886941E-2</v>
      </c>
      <c r="G11" s="14">
        <v>3.9926868313633561E-6</v>
      </c>
      <c r="H11" s="14">
        <v>811.02970242023889</v>
      </c>
      <c r="I11" s="14">
        <v>2748.4885399760237</v>
      </c>
      <c r="J11" s="14">
        <v>0</v>
      </c>
      <c r="K11" s="14">
        <v>39.190719820474364</v>
      </c>
      <c r="L11" s="14">
        <v>2.5516244778886945E-2</v>
      </c>
      <c r="M11" s="14">
        <v>2.0936078841076736E-2</v>
      </c>
      <c r="N11" s="14">
        <v>55.891577896699978</v>
      </c>
      <c r="O11" s="14">
        <v>21289.66093663199</v>
      </c>
      <c r="P11" s="8">
        <v>55.891577896699985</v>
      </c>
      <c r="Q11" s="54">
        <v>0.35587209129531872</v>
      </c>
    </row>
    <row r="12" spans="1:20">
      <c r="A12" s="2" t="s">
        <v>329</v>
      </c>
      <c r="B12" s="16" t="s">
        <v>330</v>
      </c>
      <c r="D12" s="14">
        <v>1</v>
      </c>
      <c r="E12" s="14">
        <v>0.37146714589013935</v>
      </c>
      <c r="F12" s="14">
        <v>0.12321363620782572</v>
      </c>
      <c r="G12" s="14">
        <v>1.898922594824041E-6</v>
      </c>
      <c r="H12" s="14">
        <v>593.57933703949834</v>
      </c>
      <c r="I12" s="14">
        <v>1038.3312984809431</v>
      </c>
      <c r="J12" s="14">
        <v>0</v>
      </c>
      <c r="K12" s="14">
        <v>8.115984811237043</v>
      </c>
      <c r="L12" s="14">
        <v>0.12321363620782572</v>
      </c>
      <c r="M12" s="14">
        <v>0.101096788508521</v>
      </c>
      <c r="N12" s="14">
        <v>20.842637579260039</v>
      </c>
      <c r="O12" s="14">
        <v>5719.219751748954</v>
      </c>
      <c r="P12" s="8">
        <v>20.842637579260039</v>
      </c>
      <c r="Q12" s="54">
        <v>0.40976602344246771</v>
      </c>
    </row>
    <row r="13" spans="1:20">
      <c r="A13" s="2" t="s">
        <v>277</v>
      </c>
      <c r="B13" s="16" t="s">
        <v>278</v>
      </c>
      <c r="D13" s="14">
        <v>1</v>
      </c>
      <c r="E13" s="14">
        <v>0.36330547626753767</v>
      </c>
      <c r="F13" s="14">
        <v>0.16076971420288363</v>
      </c>
      <c r="G13" s="14">
        <v>4.9307470937552126E-6</v>
      </c>
      <c r="H13" s="14">
        <v>481.59751765293134</v>
      </c>
      <c r="I13" s="14">
        <v>872.45173471135604</v>
      </c>
      <c r="J13" s="14">
        <v>0</v>
      </c>
      <c r="K13" s="14">
        <v>6.2200769899861124</v>
      </c>
      <c r="L13" s="14">
        <v>0.16076971420288363</v>
      </c>
      <c r="M13" s="14">
        <v>0.13191155050346604</v>
      </c>
      <c r="N13" s="14">
        <v>17.51085813914187</v>
      </c>
      <c r="O13" s="14">
        <v>7125.693502561001</v>
      </c>
      <c r="P13" s="8">
        <v>17.51085813914187</v>
      </c>
      <c r="Q13" s="54">
        <v>0.41738939514617934</v>
      </c>
    </row>
    <row r="14" spans="1:20">
      <c r="A14" s="2" t="s">
        <v>331</v>
      </c>
      <c r="B14" s="16" t="s">
        <v>332</v>
      </c>
      <c r="D14" s="14">
        <v>1</v>
      </c>
      <c r="E14" s="14">
        <v>0.40304166026081911</v>
      </c>
      <c r="F14" s="14">
        <v>1.6780351152137725E-2</v>
      </c>
      <c r="G14" s="14">
        <v>2.6369963732202944E-6</v>
      </c>
      <c r="H14" s="14">
        <v>697.55915803274308</v>
      </c>
      <c r="I14" s="14">
        <v>3706.2799104877427</v>
      </c>
      <c r="J14" s="14">
        <v>0</v>
      </c>
      <c r="K14" s="14">
        <v>59.59350855852653</v>
      </c>
      <c r="L14" s="14">
        <v>1.6780351152137725E-2</v>
      </c>
      <c r="M14" s="14">
        <v>1.3768278120329002E-2</v>
      </c>
      <c r="N14" s="14">
        <v>75.735552176508122</v>
      </c>
      <c r="O14" s="14">
        <v>28848.42917955371</v>
      </c>
      <c r="P14" s="8">
        <v>75.735552176508122</v>
      </c>
      <c r="Q14" s="54">
        <v>0.35054051112530987</v>
      </c>
    </row>
    <row r="15" spans="1:20">
      <c r="A15" s="2" t="s">
        <v>333</v>
      </c>
      <c r="B15" s="16" t="s">
        <v>334</v>
      </c>
      <c r="D15" s="14">
        <v>1</v>
      </c>
      <c r="E15" s="14">
        <v>0.41831833888600028</v>
      </c>
      <c r="F15" s="14">
        <v>2.7243946436195127E-2</v>
      </c>
      <c r="G15" s="14">
        <v>4.3593175453357203E-9</v>
      </c>
      <c r="H15" s="14">
        <v>829.25866415050655</v>
      </c>
      <c r="I15" s="14">
        <v>2613.6485482939379</v>
      </c>
      <c r="J15" s="14">
        <v>0</v>
      </c>
      <c r="K15" s="14">
        <v>36.705401779510304</v>
      </c>
      <c r="L15" s="14">
        <v>2.7243946436195127E-2</v>
      </c>
      <c r="M15" s="14">
        <v>2.2353658050898104E-2</v>
      </c>
      <c r="N15" s="14">
        <v>53.108877839892635</v>
      </c>
      <c r="O15" s="14">
        <v>20419.301351881921</v>
      </c>
      <c r="P15" s="8">
        <v>53.108877839892635</v>
      </c>
      <c r="Q15" s="54">
        <v>0.35599769704555895</v>
      </c>
    </row>
    <row r="16" spans="1:20">
      <c r="A16" s="2" t="s">
        <v>335</v>
      </c>
      <c r="B16" s="16" t="s">
        <v>336</v>
      </c>
      <c r="D16" s="14">
        <v>1</v>
      </c>
      <c r="E16" s="14">
        <v>0.40904167619406023</v>
      </c>
      <c r="F16" s="14">
        <v>6.1283010030382347E-3</v>
      </c>
      <c r="G16" s="14">
        <v>2.1265156147090138E-5</v>
      </c>
      <c r="H16" s="14">
        <v>455.03006058604745</v>
      </c>
      <c r="I16" s="14">
        <v>6389.947045560265</v>
      </c>
      <c r="J16" s="14">
        <v>0</v>
      </c>
      <c r="K16" s="14">
        <v>163.17736343306714</v>
      </c>
      <c r="L16" s="14">
        <v>6.1283010030382347E-3</v>
      </c>
      <c r="M16" s="14">
        <v>5.0282709729928717E-3</v>
      </c>
      <c r="N16" s="14">
        <v>131.99663268221795</v>
      </c>
      <c r="O16" s="14">
        <v>49276.982912925603</v>
      </c>
      <c r="P16" s="8">
        <v>131.99663268221795</v>
      </c>
      <c r="Q16" s="54">
        <v>0.30654713327724553</v>
      </c>
    </row>
    <row r="17" spans="1:21">
      <c r="A17" s="2" t="s">
        <v>337</v>
      </c>
      <c r="B17" s="16" t="s">
        <v>338</v>
      </c>
      <c r="D17" s="14">
        <v>1</v>
      </c>
      <c r="E17" s="14">
        <v>0.42400931340670106</v>
      </c>
      <c r="F17" s="14">
        <v>3.0579638262346654E-2</v>
      </c>
      <c r="G17" s="14">
        <v>1.5453997276281529E-6</v>
      </c>
      <c r="H17" s="14">
        <v>861.0182240173267</v>
      </c>
      <c r="I17" s="14">
        <v>2381.6037992704837</v>
      </c>
      <c r="J17" s="14">
        <v>0</v>
      </c>
      <c r="K17" s="14">
        <v>32.701498671137671</v>
      </c>
      <c r="L17" s="14">
        <v>3.0579638262346658E-2</v>
      </c>
      <c r="M17" s="14">
        <v>2.5090593194255432E-2</v>
      </c>
      <c r="N17" s="14">
        <v>48.327946743059783</v>
      </c>
      <c r="O17" s="14">
        <v>18815.036226008033</v>
      </c>
      <c r="P17" s="8">
        <v>48.327946743059783</v>
      </c>
      <c r="Q17" s="54">
        <v>0.35536079635632351</v>
      </c>
    </row>
    <row r="18" spans="1:21">
      <c r="A18" s="2" t="s">
        <v>279</v>
      </c>
      <c r="B18" s="16" t="s">
        <v>280</v>
      </c>
      <c r="D18" s="14">
        <v>1</v>
      </c>
      <c r="E18" s="14">
        <v>0.36151460916845046</v>
      </c>
      <c r="F18" s="14">
        <v>0.18445110280175836</v>
      </c>
      <c r="G18" s="14">
        <v>8.7484223984192973E-5</v>
      </c>
      <c r="H18" s="14">
        <v>419.66355586331628</v>
      </c>
      <c r="I18" s="14">
        <v>775.81545499103038</v>
      </c>
      <c r="J18" s="14">
        <v>0</v>
      </c>
      <c r="K18" s="14">
        <v>5.4214910337227167</v>
      </c>
      <c r="L18" s="14">
        <v>0.18445110280175836</v>
      </c>
      <c r="M18" s="14">
        <v>0.15134212984884274</v>
      </c>
      <c r="N18" s="14">
        <v>15.581139928536659</v>
      </c>
      <c r="O18" s="14">
        <v>4531.4629254163165</v>
      </c>
      <c r="P18" s="8">
        <v>15.581139928536659</v>
      </c>
      <c r="Q18" s="54">
        <v>0.4149143228245552</v>
      </c>
    </row>
    <row r="19" spans="1:21">
      <c r="A19" s="2" t="s">
        <v>339</v>
      </c>
      <c r="B19" s="16" t="s">
        <v>340</v>
      </c>
      <c r="D19" s="14">
        <v>1</v>
      </c>
      <c r="E19" s="14">
        <v>0.41772549606963483</v>
      </c>
      <c r="F19" s="14">
        <v>2.6892611999248327E-2</v>
      </c>
      <c r="G19" s="14">
        <v>1.5270085673329023E-8</v>
      </c>
      <c r="H19" s="14">
        <v>825.68232128579177</v>
      </c>
      <c r="I19" s="14">
        <v>2640.4026306593487</v>
      </c>
      <c r="J19" s="14">
        <v>0</v>
      </c>
      <c r="K19" s="14">
        <v>37.184933915231099</v>
      </c>
      <c r="L19" s="14">
        <v>2.689261199924833E-2</v>
      </c>
      <c r="M19" s="14">
        <v>2.2065388145383256E-2</v>
      </c>
      <c r="N19" s="14">
        <v>53.660705276970653</v>
      </c>
      <c r="O19" s="14">
        <v>18547.822778984904</v>
      </c>
      <c r="P19" s="8">
        <v>53.660705276970653</v>
      </c>
      <c r="Q19" s="54">
        <v>0.35601652495997366</v>
      </c>
    </row>
    <row r="20" spans="1:21">
      <c r="A20" s="2" t="s">
        <v>281</v>
      </c>
      <c r="B20" s="16" t="s">
        <v>282</v>
      </c>
      <c r="D20" s="14">
        <v>1</v>
      </c>
      <c r="E20" s="14">
        <v>0.36344234878289267</v>
      </c>
      <c r="F20" s="14">
        <v>0.16083028294355312</v>
      </c>
      <c r="G20" s="14">
        <v>7.4657993495871777E-7</v>
      </c>
      <c r="H20" s="14">
        <v>481.77895577576692</v>
      </c>
      <c r="I20" s="14">
        <v>872.78042412359002</v>
      </c>
      <c r="J20" s="14">
        <v>0</v>
      </c>
      <c r="K20" s="14">
        <v>6.2177345068215271</v>
      </c>
      <c r="L20" s="14">
        <v>0.16083028294355314</v>
      </c>
      <c r="M20" s="14">
        <v>0.13196124715518534</v>
      </c>
      <c r="N20" s="14">
        <v>17.517455218889062</v>
      </c>
      <c r="O20" s="14">
        <v>5102.134007053628</v>
      </c>
      <c r="P20" s="8">
        <v>17.517455218889062</v>
      </c>
      <c r="Q20" s="54">
        <v>0.41754664335774799</v>
      </c>
    </row>
    <row r="21" spans="1:21">
      <c r="A21" s="2" t="s">
        <v>341</v>
      </c>
      <c r="B21" s="16" t="s">
        <v>342</v>
      </c>
      <c r="D21" s="14">
        <v>1</v>
      </c>
      <c r="E21" s="14">
        <v>0.40491338627150519</v>
      </c>
      <c r="F21" s="14">
        <v>1.897182246675291E-2</v>
      </c>
      <c r="G21" s="14">
        <v>2.207382217944422E-5</v>
      </c>
      <c r="H21" s="14">
        <v>729.53990448850482</v>
      </c>
      <c r="I21" s="14">
        <v>3401.7799943365058</v>
      </c>
      <c r="J21" s="14">
        <v>0</v>
      </c>
      <c r="K21" s="14">
        <v>52.709748984445</v>
      </c>
      <c r="L21" s="14">
        <v>1.897182246675291E-2</v>
      </c>
      <c r="M21" s="14">
        <v>1.5566380333970762E-2</v>
      </c>
      <c r="N21" s="14">
        <v>69.414238853528175</v>
      </c>
      <c r="O21" s="14">
        <v>23273.206002810926</v>
      </c>
      <c r="P21" s="8">
        <v>69.41423885352819</v>
      </c>
      <c r="Q21" s="54">
        <v>0.35245706689622636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0.66768759526801413</v>
      </c>
      <c r="F22" s="14">
        <v>0.65046160739130354</v>
      </c>
      <c r="G22" s="14">
        <v>2.5151862820455749E-5</v>
      </c>
      <c r="H22" s="14">
        <v>39.404123178225717</v>
      </c>
      <c r="I22" s="14">
        <v>95.147819229187135</v>
      </c>
      <c r="J22" s="14">
        <v>0</v>
      </c>
      <c r="K22" s="14">
        <v>1.537369751937445</v>
      </c>
      <c r="L22" s="14">
        <v>0.65046160739130354</v>
      </c>
      <c r="M22" s="14">
        <v>0.53370374886456451</v>
      </c>
      <c r="N22" s="14">
        <v>2.4320612785751869</v>
      </c>
      <c r="O22" s="14">
        <v>399.34446194204565</v>
      </c>
      <c r="P22" s="8">
        <v>2.4320612785751869</v>
      </c>
      <c r="Q22" s="54">
        <v>0.22110514005472248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0.76796789482810379</v>
      </c>
      <c r="F23" s="14">
        <v>0.76043953593379743</v>
      </c>
      <c r="G23" s="14">
        <v>9.9099890776791252E-7</v>
      </c>
      <c r="H23" s="14">
        <v>17.371794696604258</v>
      </c>
      <c r="I23" s="14">
        <v>45.071484130040723</v>
      </c>
      <c r="J23" s="14">
        <v>0</v>
      </c>
      <c r="K23" s="14">
        <v>1.3150289441119463</v>
      </c>
      <c r="L23" s="14">
        <v>0.76043953593379743</v>
      </c>
      <c r="M23" s="14">
        <v>0.62394063923368082</v>
      </c>
      <c r="N23" s="14">
        <v>1.5535033538784269</v>
      </c>
      <c r="O23" s="14">
        <v>234.82756697226299</v>
      </c>
      <c r="P23" s="8">
        <v>1.5535033538784269</v>
      </c>
      <c r="Q23" s="54">
        <v>0.15548978351871001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0.41647047570982831</v>
      </c>
      <c r="F24" s="14">
        <v>0.32204068473043473</v>
      </c>
      <c r="G24" s="14">
        <v>1.4827885680583087E-6</v>
      </c>
      <c r="H24" s="14">
        <v>220.62297745046823</v>
      </c>
      <c r="I24" s="14">
        <v>445.56176141463595</v>
      </c>
      <c r="J24" s="14">
        <v>0</v>
      </c>
      <c r="K24" s="14">
        <v>3.1051977200863718</v>
      </c>
      <c r="L24" s="14">
        <v>0.32204068473043473</v>
      </c>
      <c r="M24" s="14">
        <v>0.2642343818213217</v>
      </c>
      <c r="N24" s="14">
        <v>9.0745001030055406</v>
      </c>
      <c r="O24" s="14">
        <v>1599.3806431547264</v>
      </c>
      <c r="P24" s="8">
        <v>9.0745001030055406</v>
      </c>
      <c r="Q24" s="54">
        <v>0.38753230559429797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0.38221154697146531</v>
      </c>
      <c r="F25" s="14">
        <v>7.7564189589603164E-2</v>
      </c>
      <c r="G25" s="14">
        <v>5.4844078895513763E-4</v>
      </c>
      <c r="H25" s="14">
        <v>734.0087874035072</v>
      </c>
      <c r="I25" s="14">
        <v>1221.6827169863643</v>
      </c>
      <c r="J25" s="14">
        <v>0</v>
      </c>
      <c r="K25" s="14">
        <v>12.8925475182692</v>
      </c>
      <c r="L25" s="14">
        <v>7.7564189589603164E-2</v>
      </c>
      <c r="M25" s="14">
        <v>6.3641417558269395E-2</v>
      </c>
      <c r="N25" s="14">
        <v>24.569546631845586</v>
      </c>
      <c r="O25" s="14">
        <v>4724.7238173039068</v>
      </c>
      <c r="P25" s="8">
        <v>24.56954663184559</v>
      </c>
      <c r="Q25" s="54">
        <v>0.36674012612125767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0.40724590571800112</v>
      </c>
      <c r="F26" s="14">
        <v>2.0595140012800519E-2</v>
      </c>
      <c r="G26" s="14">
        <v>1.7748973315459693E-5</v>
      </c>
      <c r="H26" s="14">
        <v>751.87344897070216</v>
      </c>
      <c r="I26" s="14">
        <v>3213.6747428613521</v>
      </c>
      <c r="J26" s="14">
        <v>0</v>
      </c>
      <c r="K26" s="14">
        <v>48.55514453305338</v>
      </c>
      <c r="L26" s="14">
        <v>2.0595140012800519E-2</v>
      </c>
      <c r="M26" s="14">
        <v>1.6898312380502826E-2</v>
      </c>
      <c r="N26" s="14">
        <v>65.514014302111178</v>
      </c>
      <c r="O26" s="14">
        <v>14568.351360360464</v>
      </c>
      <c r="P26" s="8">
        <v>65.514014302111178</v>
      </c>
      <c r="Q26" s="54">
        <v>0.3538359207451236</v>
      </c>
    </row>
    <row r="27" spans="1:21">
      <c r="A27" s="2" t="s">
        <v>353</v>
      </c>
      <c r="B27" s="16" t="s">
        <v>354</v>
      </c>
      <c r="D27" s="14">
        <v>1</v>
      </c>
      <c r="E27" s="14">
        <v>0.42444952775691031</v>
      </c>
      <c r="F27" s="14">
        <v>3.3819629234044918E-3</v>
      </c>
      <c r="G27" s="14">
        <v>1.2929964419205046E-4</v>
      </c>
      <c r="H27" s="14">
        <v>339.99211263142342</v>
      </c>
      <c r="I27" s="14">
        <v>7932.7910092024185</v>
      </c>
      <c r="J27" s="14">
        <v>0</v>
      </c>
      <c r="K27" s="14">
        <v>295.68626937912688</v>
      </c>
      <c r="L27" s="14">
        <v>3.3819629234044918E-3</v>
      </c>
      <c r="M27" s="14">
        <v>2.7749005786533855E-3</v>
      </c>
      <c r="N27" s="14">
        <v>164.80977049499</v>
      </c>
      <c r="O27" s="14">
        <v>38959.381647310685</v>
      </c>
      <c r="P27" s="8">
        <v>164.80977049499</v>
      </c>
      <c r="Q27" s="54">
        <v>0.26694759520344952</v>
      </c>
    </row>
    <row r="28" spans="1:21">
      <c r="A28" s="2" t="s">
        <v>355</v>
      </c>
      <c r="B28" s="16" t="s">
        <v>356</v>
      </c>
      <c r="D28" s="14">
        <v>1</v>
      </c>
      <c r="E28" s="14">
        <v>0.40015876793115157</v>
      </c>
      <c r="F28" s="14">
        <v>1.1379711851573118E-2</v>
      </c>
      <c r="G28" s="14">
        <v>6.6689851906081356E-6</v>
      </c>
      <c r="H28" s="14">
        <v>597.62845207669716</v>
      </c>
      <c r="I28" s="14">
        <v>4697.7341517837249</v>
      </c>
      <c r="J28" s="14">
        <v>0</v>
      </c>
      <c r="K28" s="14">
        <v>87.875687279529927</v>
      </c>
      <c r="L28" s="14">
        <v>1.137971185157312E-2</v>
      </c>
      <c r="M28" s="14">
        <v>9.3370535742157441E-3</v>
      </c>
      <c r="N28" s="14">
        <v>96.411810325078036</v>
      </c>
      <c r="O28" s="14">
        <v>24912.811788000163</v>
      </c>
      <c r="P28" s="8">
        <v>96.411810325078051</v>
      </c>
      <c r="Q28" s="54">
        <v>0.33797800344338819</v>
      </c>
    </row>
    <row r="29" spans="1:21">
      <c r="A29" s="2" t="s">
        <v>357</v>
      </c>
      <c r="B29" s="16" t="s">
        <v>358</v>
      </c>
      <c r="D29" s="14">
        <v>1</v>
      </c>
      <c r="E29" s="14">
        <v>0.35934797348254793</v>
      </c>
      <c r="F29" s="14">
        <v>1.5569516127116198E-2</v>
      </c>
      <c r="G29" s="14">
        <v>1.2257548021590012E-3</v>
      </c>
      <c r="H29" s="14">
        <v>630.63070969611408</v>
      </c>
      <c r="I29" s="14">
        <v>3207.9846862136292</v>
      </c>
      <c r="J29" s="14">
        <v>0</v>
      </c>
      <c r="K29" s="14">
        <v>64.228071819032252</v>
      </c>
      <c r="L29" s="14">
        <v>1.5569516127116198E-2</v>
      </c>
      <c r="M29" s="14">
        <v>1.277478798229884E-2</v>
      </c>
      <c r="N29" s="14">
        <v>65.521969945184026</v>
      </c>
      <c r="O29" s="14">
        <v>15488.73847534205</v>
      </c>
      <c r="P29" s="8">
        <v>65.521969945184026</v>
      </c>
      <c r="Q29" s="54">
        <v>0.31277518270143567</v>
      </c>
    </row>
    <row r="30" spans="1:21">
      <c r="A30" s="2" t="s">
        <v>359</v>
      </c>
      <c r="B30" s="16" t="s">
        <v>360</v>
      </c>
      <c r="D30" s="14">
        <v>1</v>
      </c>
      <c r="E30" s="14">
        <v>0.40015876793115157</v>
      </c>
      <c r="F30" s="14">
        <v>1.1379711851573118E-2</v>
      </c>
      <c r="G30" s="14">
        <v>6.6689851906081356E-6</v>
      </c>
      <c r="H30" s="14">
        <v>597.62845207669716</v>
      </c>
      <c r="I30" s="14">
        <v>4697.7341517837249</v>
      </c>
      <c r="J30" s="14">
        <v>0</v>
      </c>
      <c r="K30" s="14">
        <v>87.875687279529927</v>
      </c>
      <c r="L30" s="14">
        <v>1.137971185157312E-2</v>
      </c>
      <c r="M30" s="14">
        <v>9.3370535742157441E-3</v>
      </c>
      <c r="N30" s="14">
        <v>96.411810325078036</v>
      </c>
      <c r="O30" s="14">
        <v>24912.811788000163</v>
      </c>
      <c r="P30" s="8">
        <v>96.411810325078051</v>
      </c>
      <c r="Q30" s="54">
        <v>0.33797800344338819</v>
      </c>
    </row>
    <row r="31" spans="1:21">
      <c r="A31" s="2" t="s">
        <v>283</v>
      </c>
      <c r="B31" s="16" t="s">
        <v>284</v>
      </c>
      <c r="D31" s="14">
        <v>1</v>
      </c>
      <c r="E31" s="14">
        <v>0.9758027901327988</v>
      </c>
      <c r="F31" s="14">
        <v>0.9760994714570721</v>
      </c>
      <c r="G31" s="14">
        <v>2.9027027561654538E-10</v>
      </c>
      <c r="H31" s="14">
        <v>0.17004899814795538</v>
      </c>
      <c r="I31" s="14">
        <v>0.63187510976845773</v>
      </c>
      <c r="J31" s="14">
        <v>0</v>
      </c>
      <c r="K31" s="14">
        <v>1.0244857509319725</v>
      </c>
      <c r="L31" s="14">
        <v>0.9760994714570721</v>
      </c>
      <c r="M31" s="14">
        <v>0.80088961633052769</v>
      </c>
      <c r="N31" s="14">
        <v>0.88985975828721542</v>
      </c>
      <c r="O31" s="14">
        <v>172.80186646179436</v>
      </c>
      <c r="P31" s="8">
        <v>0.88985975828721542</v>
      </c>
      <c r="Q31" s="54">
        <v>1.5719229272187107E-2</v>
      </c>
    </row>
    <row r="32" spans="1:21">
      <c r="A32" s="2" t="s">
        <v>361</v>
      </c>
      <c r="B32" s="16" t="s">
        <v>362</v>
      </c>
      <c r="D32" s="14">
        <v>1</v>
      </c>
      <c r="E32" s="14">
        <v>0.58621883725559532</v>
      </c>
      <c r="F32" s="14">
        <v>0.55543121714093169</v>
      </c>
      <c r="G32" s="14">
        <v>3.0200393597611908E-10</v>
      </c>
      <c r="H32" s="14">
        <v>70.690687510265917</v>
      </c>
      <c r="I32" s="14">
        <v>161.37731386162832</v>
      </c>
      <c r="J32" s="14">
        <v>0</v>
      </c>
      <c r="K32" s="14">
        <v>1.8004029466465259</v>
      </c>
      <c r="L32" s="14">
        <v>0.5554312171409318</v>
      </c>
      <c r="M32" s="14">
        <v>0.4557313136641345</v>
      </c>
      <c r="N32" s="14">
        <v>3.7414432822918164</v>
      </c>
      <c r="O32" s="14">
        <v>958.14621016211117</v>
      </c>
      <c r="P32" s="8">
        <v>3.7414432822918164</v>
      </c>
      <c r="Q32" s="54">
        <v>0.27672123185744507</v>
      </c>
    </row>
    <row r="33" spans="1:17">
      <c r="A33" s="2" t="s">
        <v>364</v>
      </c>
      <c r="B33" s="16" t="s">
        <v>365</v>
      </c>
      <c r="D33" s="14">
        <v>1</v>
      </c>
      <c r="E33" s="14">
        <v>0.99902019219092064</v>
      </c>
      <c r="F33" s="14">
        <v>0.9989895515681374</v>
      </c>
      <c r="G33" s="14">
        <v>1.3404335228657159E-12</v>
      </c>
      <c r="H33" s="14">
        <v>1.193605870070064</v>
      </c>
      <c r="I33" s="14">
        <v>3.3794800264338913E-3</v>
      </c>
      <c r="J33" s="14">
        <v>0</v>
      </c>
      <c r="K33" s="14">
        <v>1.0010114704706135</v>
      </c>
      <c r="L33" s="14">
        <v>0.9989895515681374</v>
      </c>
      <c r="M33" s="14">
        <v>0.81967092706165678</v>
      </c>
      <c r="N33" s="14">
        <v>0.90285667300876216</v>
      </c>
      <c r="O33" s="14">
        <v>267.38100371154491</v>
      </c>
      <c r="P33" s="8">
        <v>0.90285667300876216</v>
      </c>
      <c r="Q33" s="54">
        <v>3.8534513822084592E-5</v>
      </c>
    </row>
    <row r="34" spans="1:17">
      <c r="A34" s="2" t="s">
        <v>285</v>
      </c>
      <c r="B34" s="16" t="s">
        <v>286</v>
      </c>
      <c r="D34" s="14">
        <v>1</v>
      </c>
      <c r="E34" s="14">
        <v>0.99827456567132111</v>
      </c>
      <c r="F34" s="14">
        <v>0.92273820036212906</v>
      </c>
      <c r="G34" s="14">
        <v>6.6934997978908954E-12</v>
      </c>
      <c r="H34" s="14">
        <v>215.69421648361782</v>
      </c>
      <c r="I34" s="14">
        <v>0.16401162171572792</v>
      </c>
      <c r="J34" s="14">
        <v>0</v>
      </c>
      <c r="K34" s="14">
        <v>1.0837310080015647</v>
      </c>
      <c r="L34" s="14">
        <v>0.92273820036212917</v>
      </c>
      <c r="M34" s="14">
        <v>0.757106693397127</v>
      </c>
      <c r="N34" s="14">
        <v>1.3686080139297603</v>
      </c>
      <c r="O34" s="14">
        <v>302.5171153990342</v>
      </c>
      <c r="P34" s="8">
        <v>1.3686080139297603</v>
      </c>
      <c r="Q34" s="54">
        <v>2.2053352681864944E-4</v>
      </c>
    </row>
    <row r="35" spans="1:17">
      <c r="A35" s="2" t="s">
        <v>287</v>
      </c>
      <c r="B35" s="16" t="s">
        <v>288</v>
      </c>
      <c r="D35" s="14">
        <v>1</v>
      </c>
      <c r="E35" s="14">
        <v>0.99686465388844814</v>
      </c>
      <c r="F35" s="14">
        <v>0.825830281938428</v>
      </c>
      <c r="G35" s="14">
        <v>2.9475089897309631E-13</v>
      </c>
      <c r="H35" s="14">
        <v>486.93478897093792</v>
      </c>
      <c r="I35" s="14">
        <v>0.87309146305984697</v>
      </c>
      <c r="J35" s="14">
        <v>0</v>
      </c>
      <c r="K35" s="14">
        <v>1.2109025569427565</v>
      </c>
      <c r="L35" s="14">
        <v>0.825830281938428</v>
      </c>
      <c r="M35" s="14">
        <v>0.6775937463304802</v>
      </c>
      <c r="N35" s="14">
        <v>1.898070938368043</v>
      </c>
      <c r="O35" s="14">
        <v>437.04981426862554</v>
      </c>
      <c r="P35" s="8">
        <v>1.898070938368043</v>
      </c>
      <c r="Q35" s="54">
        <v>8.0697437055822182E-4</v>
      </c>
    </row>
    <row r="36" spans="1:17">
      <c r="A36" s="2" t="s">
        <v>366</v>
      </c>
      <c r="B36" s="16" t="s">
        <v>305</v>
      </c>
      <c r="D36" s="14">
        <v>1</v>
      </c>
      <c r="E36" s="14">
        <v>0.99399878971924815</v>
      </c>
      <c r="F36" s="14">
        <v>0.54596652548521163</v>
      </c>
      <c r="G36" s="14">
        <v>1.0298820535645566E-9</v>
      </c>
      <c r="H36" s="14">
        <v>1273.6380228140786</v>
      </c>
      <c r="I36" s="14">
        <v>3.376365195426597</v>
      </c>
      <c r="J36" s="14">
        <v>0</v>
      </c>
      <c r="K36" s="14">
        <v>1.8316141252639611</v>
      </c>
      <c r="L36" s="14">
        <v>0.54596652548521163</v>
      </c>
      <c r="M36" s="14">
        <v>0.44796553416061619</v>
      </c>
      <c r="N36" s="14">
        <v>3.2807719461449087</v>
      </c>
      <c r="O36" s="14">
        <v>676.75763705077179</v>
      </c>
      <c r="P36" s="8">
        <v>3.2807719461449087</v>
      </c>
      <c r="Q36" s="54">
        <v>1.7875138471245755E-3</v>
      </c>
    </row>
    <row r="37" spans="1:17">
      <c r="A37" s="2" t="s">
        <v>289</v>
      </c>
      <c r="B37" s="16" t="s">
        <v>290</v>
      </c>
      <c r="D37" s="14">
        <v>1</v>
      </c>
      <c r="E37" s="14">
        <v>0.79469064852763394</v>
      </c>
      <c r="F37" s="14">
        <v>0.59101041232103391</v>
      </c>
      <c r="G37" s="14">
        <v>1.3176419513935803E-16</v>
      </c>
      <c r="H37" s="14">
        <v>560.4219440024774</v>
      </c>
      <c r="I37" s="14">
        <v>177.15207705020143</v>
      </c>
      <c r="J37" s="14">
        <v>0</v>
      </c>
      <c r="K37" s="14">
        <v>1.6920175671233437</v>
      </c>
      <c r="L37" s="14">
        <v>0.59101041232103391</v>
      </c>
      <c r="M37" s="14">
        <v>0.4849240433094083</v>
      </c>
      <c r="N37" s="14">
        <v>5.0992923674047095</v>
      </c>
      <c r="O37" s="14">
        <v>1776.6954466511488</v>
      </c>
      <c r="P37" s="8">
        <v>5.0992923674047095</v>
      </c>
      <c r="Q37" s="54">
        <v>0.13506606540418495</v>
      </c>
    </row>
    <row r="38" spans="1:17">
      <c r="A38" s="2" t="s">
        <v>291</v>
      </c>
      <c r="B38" s="16" t="s">
        <v>292</v>
      </c>
      <c r="D38" s="14">
        <v>1</v>
      </c>
      <c r="E38" s="14">
        <v>0.99581656901918769</v>
      </c>
      <c r="F38" s="14">
        <v>0.93756688399841193</v>
      </c>
      <c r="G38" s="14">
        <v>2.044370257451379E-14</v>
      </c>
      <c r="H38" s="14">
        <v>166.45707509092642</v>
      </c>
      <c r="I38" s="14">
        <v>1.2875998642687716</v>
      </c>
      <c r="J38" s="14">
        <v>0</v>
      </c>
      <c r="K38" s="14">
        <v>1.0665905729683323</v>
      </c>
      <c r="L38" s="14">
        <v>0.93756688399841193</v>
      </c>
      <c r="M38" s="14">
        <v>0.76927362832069701</v>
      </c>
      <c r="N38" s="14">
        <v>1.2877734569718691</v>
      </c>
      <c r="O38" s="14">
        <v>397.05918998813638</v>
      </c>
      <c r="P38" s="8">
        <v>1.2877734569718693</v>
      </c>
      <c r="Q38" s="54">
        <v>1.9354453915142093E-3</v>
      </c>
    </row>
    <row r="39" spans="1:17">
      <c r="A39" s="2" t="s">
        <v>367</v>
      </c>
      <c r="B39" s="16" t="s">
        <v>368</v>
      </c>
      <c r="D39" s="14">
        <v>1</v>
      </c>
      <c r="E39" s="14">
        <v>0.45505957990769003</v>
      </c>
      <c r="F39" s="14">
        <v>4.8170224170452206E-2</v>
      </c>
      <c r="G39" s="14">
        <v>7.4845751800662185E-7</v>
      </c>
      <c r="H39" s="14">
        <v>984.55201964972684</v>
      </c>
      <c r="I39" s="14">
        <v>1592.1934690491726</v>
      </c>
      <c r="J39" s="14">
        <v>0</v>
      </c>
      <c r="K39" s="14">
        <v>20.75971239954087</v>
      </c>
      <c r="L39" s="14">
        <v>4.8170224170452206E-2</v>
      </c>
      <c r="M39" s="14">
        <v>3.9523668931856035E-2</v>
      </c>
      <c r="N39" s="14">
        <v>32.139920640624482</v>
      </c>
      <c r="O39" s="14">
        <v>8945.8255111114177</v>
      </c>
      <c r="P39" s="8">
        <v>32.139920640624489</v>
      </c>
      <c r="Q39" s="54">
        <v>0.34561759051415547</v>
      </c>
    </row>
    <row r="40" spans="1:17">
      <c r="A40" s="2" t="s">
        <v>369</v>
      </c>
      <c r="B40" s="16" t="s">
        <v>370</v>
      </c>
      <c r="D40" s="14">
        <v>1</v>
      </c>
      <c r="E40" s="14">
        <v>0.68971096226959372</v>
      </c>
      <c r="F40" s="14">
        <v>7.0051077737351671E-3</v>
      </c>
      <c r="G40" s="14">
        <v>7.1112825198869059E-14</v>
      </c>
      <c r="H40" s="14">
        <v>1809.4843083371682</v>
      </c>
      <c r="I40" s="14">
        <v>1212.0954295190488</v>
      </c>
      <c r="J40" s="14">
        <v>0</v>
      </c>
      <c r="K40" s="14">
        <v>142.75297858362481</v>
      </c>
      <c r="L40" s="14">
        <v>7.0051077737351671E-3</v>
      </c>
      <c r="M40" s="14">
        <v>5.747690928349705E-3</v>
      </c>
      <c r="N40" s="14">
        <v>284.0129620150426</v>
      </c>
      <c r="O40" s="14">
        <v>115564.87424392083</v>
      </c>
      <c r="P40" s="8">
        <v>284.0129620150426</v>
      </c>
      <c r="Q40" s="54">
        <v>1.3518758617627023E-2</v>
      </c>
    </row>
    <row r="41" spans="1:17">
      <c r="A41" s="2" t="s">
        <v>371</v>
      </c>
      <c r="B41" s="16" t="s">
        <v>372</v>
      </c>
      <c r="D41" s="14">
        <v>1</v>
      </c>
      <c r="E41" s="14">
        <v>0.91311882438607961</v>
      </c>
      <c r="F41" s="14">
        <v>0.91347075172681769</v>
      </c>
      <c r="G41" s="14">
        <v>9.0532212468683721E-4</v>
      </c>
      <c r="H41" s="14">
        <v>7.9172552429470199E-3</v>
      </c>
      <c r="I41" s="14">
        <v>3.6697106060936228E-2</v>
      </c>
      <c r="J41" s="14">
        <v>0</v>
      </c>
      <c r="K41" s="14">
        <v>1.0947258005903397</v>
      </c>
      <c r="L41" s="14">
        <v>0.9134707517268178</v>
      </c>
      <c r="M41" s="14">
        <v>0.74950275179185399</v>
      </c>
      <c r="N41" s="14">
        <v>0.82237816837825317</v>
      </c>
      <c r="O41" s="14">
        <v>115.28919542494731</v>
      </c>
      <c r="P41" s="8">
        <v>0.82237816837825328</v>
      </c>
      <c r="Q41" s="54">
        <v>3.0791568852152171E-3</v>
      </c>
    </row>
    <row r="42" spans="1:17">
      <c r="A42" s="2" t="s">
        <v>293</v>
      </c>
      <c r="B42" s="16" t="s">
        <v>294</v>
      </c>
      <c r="D42" s="14">
        <v>1</v>
      </c>
      <c r="E42" s="14">
        <v>0.64414643472222233</v>
      </c>
      <c r="F42" s="14">
        <v>0.62347774356243701</v>
      </c>
      <c r="G42" s="14">
        <v>2.3052044148771315E-10</v>
      </c>
      <c r="H42" s="14">
        <v>47.302158062863988</v>
      </c>
      <c r="I42" s="14">
        <v>112.34095869730368</v>
      </c>
      <c r="J42" s="14">
        <v>0</v>
      </c>
      <c r="K42" s="14">
        <v>1.6039064911702925</v>
      </c>
      <c r="L42" s="14">
        <v>0.62347774356243713</v>
      </c>
      <c r="M42" s="14">
        <v>0.51156348859297962</v>
      </c>
      <c r="N42" s="14">
        <v>2.744676069935454</v>
      </c>
      <c r="O42" s="14">
        <v>906.73118646387661</v>
      </c>
      <c r="P42" s="8">
        <v>2.744676069935454</v>
      </c>
      <c r="Q42" s="54">
        <v>0.23830772777153811</v>
      </c>
    </row>
    <row r="43" spans="1:17">
      <c r="A43" s="2" t="s">
        <v>373</v>
      </c>
      <c r="B43" s="16" t="s">
        <v>374</v>
      </c>
      <c r="D43" s="14">
        <v>1</v>
      </c>
      <c r="E43" s="14">
        <v>0.98502844640220188</v>
      </c>
      <c r="F43" s="14">
        <v>8.0791491456675232E-2</v>
      </c>
      <c r="G43" s="14">
        <v>4.3747017022238762E-9</v>
      </c>
      <c r="H43" s="14">
        <v>2567.9444542878709</v>
      </c>
      <c r="I43" s="14">
        <v>20.075629050302645</v>
      </c>
      <c r="J43" s="14">
        <v>0</v>
      </c>
      <c r="K43" s="14">
        <v>12.377541025297869</v>
      </c>
      <c r="L43" s="14">
        <v>8.0791491456675232E-2</v>
      </c>
      <c r="M43" s="14">
        <v>6.6289418740202027E-2</v>
      </c>
      <c r="N43" s="14">
        <v>10.880853186622671</v>
      </c>
      <c r="O43" s="14">
        <v>2898.0064377250819</v>
      </c>
      <c r="P43" s="8">
        <v>10.880853186622671</v>
      </c>
      <c r="Q43" s="54">
        <v>2.5993763445935907E-3</v>
      </c>
    </row>
    <row r="44" spans="1:17">
      <c r="A44" s="2" t="s">
        <v>375</v>
      </c>
      <c r="B44" s="16" t="s">
        <v>376</v>
      </c>
      <c r="D44" s="14">
        <v>1</v>
      </c>
      <c r="E44" s="14">
        <v>0.78239061378839136</v>
      </c>
      <c r="F44" s="14">
        <v>0.78010456409173889</v>
      </c>
      <c r="G44" s="14">
        <v>9.6472005405293538E-4</v>
      </c>
      <c r="H44" s="14">
        <v>5.641217166259735</v>
      </c>
      <c r="I44" s="14">
        <v>15.930521372136797</v>
      </c>
      <c r="J44" s="14">
        <v>0</v>
      </c>
      <c r="K44" s="14">
        <v>1.2818794377447096</v>
      </c>
      <c r="L44" s="14">
        <v>0.78010456409173889</v>
      </c>
      <c r="M44" s="14">
        <v>0.64007579483727173</v>
      </c>
      <c r="N44" s="14">
        <v>1.0067999271399402</v>
      </c>
      <c r="O44" s="14">
        <v>150.41590911470706</v>
      </c>
      <c r="P44" s="8">
        <v>1.0067999271399402</v>
      </c>
      <c r="Q44" s="54">
        <v>8.7585051479382461E-2</v>
      </c>
    </row>
    <row r="45" spans="1:17">
      <c r="A45" s="2" t="s">
        <v>377</v>
      </c>
      <c r="B45" s="16" t="s">
        <v>378</v>
      </c>
      <c r="D45" s="14">
        <v>1</v>
      </c>
      <c r="E45" s="14">
        <v>0.62097159492047693</v>
      </c>
      <c r="F45" s="14">
        <v>0.59682624216979197</v>
      </c>
      <c r="G45" s="14">
        <v>8.9994589080922974E-6</v>
      </c>
      <c r="H45" s="14">
        <v>55.307994452174448</v>
      </c>
      <c r="I45" s="14">
        <v>129.43301907577359</v>
      </c>
      <c r="J45" s="14">
        <v>0</v>
      </c>
      <c r="K45" s="14">
        <v>1.675529541671039</v>
      </c>
      <c r="L45" s="14">
        <v>0.59682624216979197</v>
      </c>
      <c r="M45" s="14">
        <v>0.48969593170031434</v>
      </c>
      <c r="N45" s="14">
        <v>3.0561887045372562</v>
      </c>
      <c r="O45" s="14">
        <v>679.2073776963598</v>
      </c>
      <c r="P45" s="8">
        <v>3.0561887045372562</v>
      </c>
      <c r="Q45" s="54">
        <v>0.25318914452218649</v>
      </c>
    </row>
    <row r="46" spans="1:17">
      <c r="A46" s="2" t="s">
        <v>379</v>
      </c>
      <c r="B46" s="16" t="s">
        <v>380</v>
      </c>
      <c r="D46" s="14">
        <v>1</v>
      </c>
      <c r="E46" s="14">
        <v>0.6341572233553554</v>
      </c>
      <c r="F46" s="14">
        <v>0.61228463686484436</v>
      </c>
      <c r="G46" s="14">
        <v>2.6608589291883557E-5</v>
      </c>
      <c r="H46" s="14">
        <v>50.071818287346602</v>
      </c>
      <c r="I46" s="14">
        <v>118.26344702964259</v>
      </c>
      <c r="J46" s="14">
        <v>0</v>
      </c>
      <c r="K46" s="14">
        <v>1.6332273256445269</v>
      </c>
      <c r="L46" s="14">
        <v>0.61228463686484436</v>
      </c>
      <c r="M46" s="14">
        <v>0.50237954454760481</v>
      </c>
      <c r="N46" s="14">
        <v>2.8508422061017913</v>
      </c>
      <c r="O46" s="14">
        <v>366.50427401644629</v>
      </c>
      <c r="P46" s="8">
        <v>2.8508422061017913</v>
      </c>
      <c r="Q46" s="54">
        <v>0.24336074893977377</v>
      </c>
    </row>
    <row r="47" spans="1:17">
      <c r="A47" s="2" t="s">
        <v>381</v>
      </c>
      <c r="B47" s="16" t="s">
        <v>382</v>
      </c>
      <c r="D47" s="14">
        <v>1</v>
      </c>
      <c r="E47" s="14">
        <v>0.43292900593691447</v>
      </c>
      <c r="F47" s="14">
        <v>3.1368550674519243E-3</v>
      </c>
      <c r="G47" s="14">
        <v>2.2347191009426369E-9</v>
      </c>
      <c r="H47" s="14">
        <v>329.30206445589442</v>
      </c>
      <c r="I47" s="14">
        <v>8261.3614574442145</v>
      </c>
      <c r="J47" s="14">
        <v>0</v>
      </c>
      <c r="K47" s="14">
        <v>318.79062898889447</v>
      </c>
      <c r="L47" s="14">
        <v>3.1368550674519243E-3</v>
      </c>
      <c r="M47" s="14">
        <v>2.573789582844304E-3</v>
      </c>
      <c r="N47" s="14">
        <v>171.77719442963541</v>
      </c>
      <c r="O47" s="14">
        <v>67214.698408372045</v>
      </c>
      <c r="P47" s="8">
        <v>171.77719442963541</v>
      </c>
      <c r="Q47" s="54">
        <v>0.26427228765611344</v>
      </c>
    </row>
    <row r="48" spans="1:17">
      <c r="A48" s="2" t="s">
        <v>383</v>
      </c>
      <c r="B48" s="16" t="s">
        <v>384</v>
      </c>
      <c r="D48" s="14">
        <v>1</v>
      </c>
      <c r="E48" s="14">
        <v>0.9103913226307071</v>
      </c>
      <c r="F48" s="14">
        <v>0.90990360619355426</v>
      </c>
      <c r="G48" s="14">
        <v>1.3125742315764911E-4</v>
      </c>
      <c r="H48" s="14">
        <v>1.7926495080003266</v>
      </c>
      <c r="I48" s="14">
        <v>5.5712488446456696</v>
      </c>
      <c r="J48" s="14">
        <v>0</v>
      </c>
      <c r="K48" s="14">
        <v>1.099017514814949</v>
      </c>
      <c r="L48" s="14">
        <v>0.90990360619355426</v>
      </c>
      <c r="M48" s="14">
        <v>0.74657590888181125</v>
      </c>
      <c r="N48" s="14">
        <v>0.9243053026586957</v>
      </c>
      <c r="O48" s="14">
        <v>86.080552836604326</v>
      </c>
      <c r="P48" s="8">
        <v>0.92430530265869582</v>
      </c>
      <c r="Q48" s="54">
        <v>5.1874336754406364E-2</v>
      </c>
    </row>
    <row r="49" spans="1:17">
      <c r="A49" s="2" t="s">
        <v>385</v>
      </c>
      <c r="B49" s="16" t="s">
        <v>386</v>
      </c>
      <c r="D49" s="14">
        <v>1</v>
      </c>
      <c r="E49" s="14">
        <v>0.87463322696798473</v>
      </c>
      <c r="F49" s="14">
        <v>0.87347973658991929</v>
      </c>
      <c r="G49" s="14">
        <v>2.4653655449499197E-4</v>
      </c>
      <c r="H49" s="14">
        <v>3.2155319892839573</v>
      </c>
      <c r="I49" s="14">
        <v>9.5435511438934029</v>
      </c>
      <c r="J49" s="14">
        <v>0</v>
      </c>
      <c r="K49" s="14">
        <v>1.1448462489857154</v>
      </c>
      <c r="L49" s="14">
        <v>0.8734797365899194</v>
      </c>
      <c r="M49" s="14">
        <v>0.71669012387202879</v>
      </c>
      <c r="N49" s="14">
        <v>0.96770348865468869</v>
      </c>
      <c r="O49" s="14">
        <v>107.53121165930901</v>
      </c>
      <c r="P49" s="8">
        <v>0.9677034886546888</v>
      </c>
      <c r="Q49" s="54">
        <v>6.8977905859391023E-2</v>
      </c>
    </row>
    <row r="50" spans="1:17">
      <c r="A50" s="2" t="s">
        <v>387</v>
      </c>
      <c r="B50" s="16" t="s">
        <v>388</v>
      </c>
      <c r="D50" s="14">
        <v>1</v>
      </c>
      <c r="E50" s="14">
        <v>0.35931616505255465</v>
      </c>
      <c r="F50" s="14">
        <v>0.18997736940093285</v>
      </c>
      <c r="G50" s="14">
        <v>1.8389518472349887E-4</v>
      </c>
      <c r="H50" s="14">
        <v>400.99768900949078</v>
      </c>
      <c r="I50" s="14">
        <v>745.41656653183702</v>
      </c>
      <c r="J50" s="14">
        <v>0</v>
      </c>
      <c r="K50" s="14">
        <v>5.2637848558139346</v>
      </c>
      <c r="L50" s="14">
        <v>0.18997736940093285</v>
      </c>
      <c r="M50" s="14">
        <v>0.15587643159346543</v>
      </c>
      <c r="N50" s="14">
        <v>14.974908745324775</v>
      </c>
      <c r="O50" s="14">
        <v>2956.7957317643768</v>
      </c>
      <c r="P50" s="8">
        <v>14.974908745324775</v>
      </c>
      <c r="Q50" s="54">
        <v>0.41095951531961067</v>
      </c>
    </row>
    <row r="51" spans="1:17">
      <c r="A51" s="2" t="s">
        <v>295</v>
      </c>
      <c r="B51" s="16" t="s">
        <v>296</v>
      </c>
      <c r="D51" s="14">
        <v>1</v>
      </c>
      <c r="E51" s="14">
        <v>0.90427312289065298</v>
      </c>
      <c r="F51" s="14">
        <v>0.90448589997622275</v>
      </c>
      <c r="G51" s="14">
        <v>7.2635727174959631E-4</v>
      </c>
      <c r="H51" s="14">
        <v>0.28715858261595301</v>
      </c>
      <c r="I51" s="14">
        <v>1.0208900518261437</v>
      </c>
      <c r="J51" s="14">
        <v>0</v>
      </c>
      <c r="K51" s="14">
        <v>1.1056004300634072</v>
      </c>
      <c r="L51" s="14">
        <v>0.90448589997622286</v>
      </c>
      <c r="M51" s="14">
        <v>0.74213068093049084</v>
      </c>
      <c r="N51" s="14">
        <v>0.83278856024786529</v>
      </c>
      <c r="O51" s="14">
        <v>48.368359579196017</v>
      </c>
      <c r="P51" s="8">
        <v>0.83278856024786541</v>
      </c>
      <c r="Q51" s="54">
        <v>1.9914938601734242E-2</v>
      </c>
    </row>
    <row r="52" spans="1:17">
      <c r="A52" s="2" t="s">
        <v>389</v>
      </c>
      <c r="B52" s="16" t="s">
        <v>390</v>
      </c>
      <c r="D52" s="14">
        <v>1</v>
      </c>
      <c r="E52" s="14">
        <v>0.7562743036402142</v>
      </c>
      <c r="F52" s="14">
        <v>0.75206288023341239</v>
      </c>
      <c r="G52" s="14">
        <v>7.9422333212096391E-4</v>
      </c>
      <c r="H52" s="14">
        <v>9.910924177367658</v>
      </c>
      <c r="I52" s="14">
        <v>26.777579933338497</v>
      </c>
      <c r="J52" s="14">
        <v>0</v>
      </c>
      <c r="K52" s="14">
        <v>1.3296760500792659</v>
      </c>
      <c r="L52" s="14">
        <v>0.7520628802334125</v>
      </c>
      <c r="M52" s="14">
        <v>0.61706759323151494</v>
      </c>
      <c r="N52" s="14">
        <v>1.1912571071005433</v>
      </c>
      <c r="O52" s="14">
        <v>127.64319902582322</v>
      </c>
      <c r="P52" s="8">
        <v>1.1912571071005433</v>
      </c>
      <c r="Q52" s="54">
        <v>0.1154439889011737</v>
      </c>
    </row>
    <row r="53" spans="1:17">
      <c r="A53" s="2" t="s">
        <v>391</v>
      </c>
      <c r="B53" s="16" t="s">
        <v>392</v>
      </c>
      <c r="D53" s="14">
        <v>1</v>
      </c>
      <c r="E53" s="14">
        <v>0.54869939518659816</v>
      </c>
      <c r="F53" s="14">
        <v>0.51030447229460463</v>
      </c>
      <c r="G53" s="14">
        <v>2.9356066455992678E-5</v>
      </c>
      <c r="H53" s="14">
        <v>88.362780742572326</v>
      </c>
      <c r="I53" s="14">
        <v>197.48155818437542</v>
      </c>
      <c r="J53" s="14">
        <v>0</v>
      </c>
      <c r="K53" s="14">
        <v>1.959614415102928</v>
      </c>
      <c r="L53" s="14">
        <v>0.51030447229460463</v>
      </c>
      <c r="M53" s="14">
        <v>0.41870481951772315</v>
      </c>
      <c r="N53" s="14">
        <v>4.3183265810138582</v>
      </c>
      <c r="O53" s="14">
        <v>699.65527265586525</v>
      </c>
      <c r="P53" s="8">
        <v>4.3183265810138582</v>
      </c>
      <c r="Q53" s="54">
        <v>0.29986552961993218</v>
      </c>
    </row>
    <row r="54" spans="1:17">
      <c r="A54" s="2" t="s">
        <v>393</v>
      </c>
      <c r="B54" s="16" t="s">
        <v>394</v>
      </c>
      <c r="D54" s="14">
        <v>1</v>
      </c>
      <c r="E54" s="14">
        <v>0.42073469394206525</v>
      </c>
      <c r="F54" s="14">
        <v>4.2687193295168121E-3</v>
      </c>
      <c r="G54" s="14">
        <v>1.0044910888576525E-5</v>
      </c>
      <c r="H54" s="14">
        <v>383.45782152816321</v>
      </c>
      <c r="I54" s="14">
        <v>7409.2589158848132</v>
      </c>
      <c r="J54" s="14">
        <v>0</v>
      </c>
      <c r="K54" s="14">
        <v>234.26229808207904</v>
      </c>
      <c r="L54" s="14">
        <v>4.2687193295168121E-3</v>
      </c>
      <c r="M54" s="14">
        <v>3.5024842098685441E-3</v>
      </c>
      <c r="N54" s="14">
        <v>153.60479200894702</v>
      </c>
      <c r="O54" s="14">
        <v>35849.822406968138</v>
      </c>
      <c r="P54" s="8">
        <v>153.60479200894702</v>
      </c>
      <c r="Q54" s="54">
        <v>0.28442958748525293</v>
      </c>
    </row>
    <row r="55" spans="1:17">
      <c r="A55" s="2" t="s">
        <v>395</v>
      </c>
      <c r="B55" s="16" t="s">
        <v>396</v>
      </c>
      <c r="D55" s="14">
        <v>1</v>
      </c>
      <c r="E55" s="14">
        <v>0.31361128671984889</v>
      </c>
      <c r="F55" s="14">
        <v>0.23402415975648408</v>
      </c>
      <c r="G55" s="14">
        <v>2.5280705082068038E-3</v>
      </c>
      <c r="H55" s="14">
        <v>186.27762606668318</v>
      </c>
      <c r="I55" s="14">
        <v>372.06418385532811</v>
      </c>
      <c r="J55" s="14">
        <v>0</v>
      </c>
      <c r="K55" s="14">
        <v>4.273063093317198</v>
      </c>
      <c r="L55" s="14">
        <v>0.23402415975648408</v>
      </c>
      <c r="M55" s="14">
        <v>0.19201682308019519</v>
      </c>
      <c r="N55" s="14">
        <v>7.5533299686074535</v>
      </c>
      <c r="O55" s="14">
        <v>968.11030207641727</v>
      </c>
      <c r="P55" s="8">
        <v>7.5533299686074535</v>
      </c>
      <c r="Q55" s="54">
        <v>0.3045214334116948</v>
      </c>
    </row>
    <row r="56" spans="1:17">
      <c r="A56" s="2" t="s">
        <v>397</v>
      </c>
      <c r="B56" s="16" t="s">
        <v>398</v>
      </c>
      <c r="D56" s="14">
        <v>1</v>
      </c>
      <c r="E56" s="14">
        <v>6.3672332908791443E-2</v>
      </c>
      <c r="F56" s="14">
        <v>2.2179131185393532E-2</v>
      </c>
      <c r="G56" s="14">
        <v>9.1962976088655803E-3</v>
      </c>
      <c r="H56" s="14">
        <v>99.125303420711901</v>
      </c>
      <c r="I56" s="14">
        <v>174.35792843041952</v>
      </c>
      <c r="J56" s="14">
        <v>0</v>
      </c>
      <c r="K56" s="14">
        <v>45.08742888263216</v>
      </c>
      <c r="L56" s="14">
        <v>2.2179131185393532E-2</v>
      </c>
      <c r="M56" s="14">
        <v>1.8197977137615392E-2</v>
      </c>
      <c r="N56" s="14">
        <v>3.499569495791333</v>
      </c>
      <c r="O56" s="14">
        <v>634.99688501133733</v>
      </c>
      <c r="P56" s="8">
        <v>3.4995694957913335</v>
      </c>
      <c r="Q56" s="54">
        <v>7.0931917531310326E-2</v>
      </c>
    </row>
    <row r="57" spans="1:17">
      <c r="A57" s="2" t="s">
        <v>399</v>
      </c>
      <c r="B57" s="16" t="s">
        <v>400</v>
      </c>
      <c r="D57" s="14">
        <v>1</v>
      </c>
      <c r="E57" s="14">
        <v>4.894348133971782E-2</v>
      </c>
      <c r="F57" s="14">
        <v>3.3320034178696022E-2</v>
      </c>
      <c r="G57" s="14">
        <v>9.7054108771696523E-3</v>
      </c>
      <c r="H57" s="14">
        <v>36.710089068617499</v>
      </c>
      <c r="I57" s="14">
        <v>71.588392243253821</v>
      </c>
      <c r="J57" s="14">
        <v>0</v>
      </c>
      <c r="K57" s="14">
        <v>30.011974016502492</v>
      </c>
      <c r="L57" s="14">
        <v>3.3320034178696022E-2</v>
      </c>
      <c r="M57" s="14">
        <v>2.7339088043620088E-2</v>
      </c>
      <c r="N57" s="14">
        <v>1.4457615330542259</v>
      </c>
      <c r="O57" s="14">
        <v>212.5269453589712</v>
      </c>
      <c r="P57" s="8">
        <v>1.4457615330542259</v>
      </c>
      <c r="Q57" s="54">
        <v>5.1362080714056686E-2</v>
      </c>
    </row>
    <row r="58" spans="1:17">
      <c r="A58" s="2" t="s">
        <v>297</v>
      </c>
      <c r="B58" s="16" t="s">
        <v>298</v>
      </c>
      <c r="D58" s="14">
        <v>1</v>
      </c>
      <c r="E58" s="14">
        <v>5.9557118910844441E-2</v>
      </c>
      <c r="F58" s="14">
        <v>5.9450300316692573E-2</v>
      </c>
      <c r="G58" s="14">
        <v>1.0360543547882843E-2</v>
      </c>
      <c r="H58" s="14">
        <v>0.28103088615678373</v>
      </c>
      <c r="I58" s="14">
        <v>0.81886295373478146</v>
      </c>
      <c r="J58" s="14">
        <v>0</v>
      </c>
      <c r="K58" s="14">
        <v>16.820772892197116</v>
      </c>
      <c r="L58" s="14">
        <v>5.9450300316692573E-2</v>
      </c>
      <c r="M58" s="14">
        <v>4.8778971409846258E-2</v>
      </c>
      <c r="N58" s="14">
        <v>6.9116570477623859E-2</v>
      </c>
      <c r="O58" s="14">
        <v>5.8700703306645954</v>
      </c>
      <c r="P58" s="8">
        <v>6.9116570477623873E-2</v>
      </c>
      <c r="Q58" s="54">
        <v>5.3482441351533931E-3</v>
      </c>
    </row>
    <row r="59" spans="1:17">
      <c r="A59" s="2" t="s">
        <v>401</v>
      </c>
      <c r="B59" s="16" t="s">
        <v>402</v>
      </c>
      <c r="D59" s="14">
        <v>1</v>
      </c>
      <c r="E59" s="14">
        <v>1.8112986029334657E-2</v>
      </c>
      <c r="F59" s="14">
        <v>1.2618827656694297E-2</v>
      </c>
      <c r="G59" s="14">
        <v>1.0596135338128242E-2</v>
      </c>
      <c r="H59" s="14">
        <v>12.897900104437788</v>
      </c>
      <c r="I59" s="14">
        <v>25.291592728122477</v>
      </c>
      <c r="J59" s="14">
        <v>0</v>
      </c>
      <c r="K59" s="14">
        <v>79.246664365805742</v>
      </c>
      <c r="L59" s="14">
        <v>1.2618827656694299E-2</v>
      </c>
      <c r="M59" s="14">
        <v>1.0353748092317672E-2</v>
      </c>
      <c r="N59" s="14">
        <v>0.5112955607228743</v>
      </c>
      <c r="O59" s="14">
        <v>84.788142834674247</v>
      </c>
      <c r="P59" s="8">
        <v>0.5112955607228743</v>
      </c>
      <c r="Q59" s="54">
        <v>1.8705795396343962E-2</v>
      </c>
    </row>
    <row r="60" spans="1:17">
      <c r="A60" s="2" t="s">
        <v>299</v>
      </c>
      <c r="B60" s="16" t="s">
        <v>300</v>
      </c>
      <c r="D60" s="14">
        <v>1</v>
      </c>
      <c r="E60" s="14">
        <v>5.365395336679533E-4</v>
      </c>
      <c r="F60" s="14">
        <v>4.4987591454687256E-4</v>
      </c>
      <c r="G60" s="14">
        <v>1.1097910809989363E-2</v>
      </c>
      <c r="H60" s="14">
        <v>0.20147109300121094</v>
      </c>
      <c r="I60" s="14">
        <v>0.41982656279109609</v>
      </c>
      <c r="J60" s="14">
        <v>0</v>
      </c>
      <c r="K60" s="14">
        <v>2222.8351589064901</v>
      </c>
      <c r="L60" s="14">
        <v>4.4987591454687256E-4</v>
      </c>
      <c r="M60" s="14">
        <v>3.6912318788570895E-4</v>
      </c>
      <c r="N60" s="14">
        <v>8.659446974293496E-3</v>
      </c>
      <c r="O60" s="14">
        <v>0.71128697446846778</v>
      </c>
      <c r="P60" s="8">
        <v>8.6594469742934978E-3</v>
      </c>
      <c r="Q60" s="54">
        <v>4.3378038842518447E-4</v>
      </c>
    </row>
    <row r="61" spans="1:17">
      <c r="A61" s="2" t="s">
        <v>403</v>
      </c>
      <c r="B61" s="16" t="s">
        <v>404</v>
      </c>
      <c r="D61" s="14">
        <v>1</v>
      </c>
      <c r="E61" s="14">
        <v>0.48793796164369707</v>
      </c>
      <c r="F61" s="14">
        <v>0.43068013612436384</v>
      </c>
      <c r="G61" s="14">
        <v>7.5059095965492789E-46</v>
      </c>
      <c r="H61" s="14">
        <v>132.54850741433592</v>
      </c>
      <c r="I61" s="14">
        <v>283.94355302473843</v>
      </c>
      <c r="J61" s="14">
        <v>0</v>
      </c>
      <c r="K61" s="14">
        <v>2.3219088045222462</v>
      </c>
      <c r="L61" s="14">
        <v>0.43068013612436384</v>
      </c>
      <c r="M61" s="14">
        <v>0.35337305169004052</v>
      </c>
      <c r="N61" s="14">
        <v>5.9569404074934935</v>
      </c>
      <c r="O61" s="14">
        <v>7163.8761034557492</v>
      </c>
      <c r="P61" s="8">
        <v>5.9569404074934935</v>
      </c>
      <c r="Q61" s="54">
        <v>0.34153248055039509</v>
      </c>
    </row>
    <row r="62" spans="1:17">
      <c r="A62" s="2" t="s">
        <v>405</v>
      </c>
      <c r="B62" s="16" t="s">
        <v>406</v>
      </c>
      <c r="D62" s="14">
        <v>1</v>
      </c>
      <c r="E62" s="14">
        <v>0.40363936878606604</v>
      </c>
      <c r="F62" s="14">
        <v>1.725867174197699E-2</v>
      </c>
      <c r="G62" s="14">
        <v>5.2868362151153099E-9</v>
      </c>
      <c r="H62" s="14">
        <v>705.12703902592796</v>
      </c>
      <c r="I62" s="14">
        <v>3639.3559935210119</v>
      </c>
      <c r="J62" s="14">
        <v>0</v>
      </c>
      <c r="K62" s="14">
        <v>57.941886545519836</v>
      </c>
      <c r="L62" s="14">
        <v>1.725867174197699E-2</v>
      </c>
      <c r="M62" s="14">
        <v>1.4160740164292121E-2</v>
      </c>
      <c r="N62" s="14">
        <v>74.344375726563698</v>
      </c>
      <c r="O62" s="14">
        <v>23705.447644172105</v>
      </c>
      <c r="P62" s="8">
        <v>74.344375726563712</v>
      </c>
      <c r="Q62" s="54">
        <v>0.35125663729913537</v>
      </c>
    </row>
    <row r="63" spans="1:17">
      <c r="A63" s="2" t="s">
        <v>407</v>
      </c>
      <c r="B63" s="16" t="s">
        <v>408</v>
      </c>
      <c r="D63" s="14">
        <v>1</v>
      </c>
      <c r="E63" s="14">
        <v>0.4570417874405534</v>
      </c>
      <c r="F63" s="14">
        <v>1.7957211136915676E-3</v>
      </c>
      <c r="G63" s="14">
        <v>1.4415422536716198E-6</v>
      </c>
      <c r="H63" s="14">
        <v>246.54652690743168</v>
      </c>
      <c r="I63" s="14">
        <v>9697.4167458860538</v>
      </c>
      <c r="J63" s="14">
        <v>0</v>
      </c>
      <c r="K63" s="14">
        <v>556.87934633916632</v>
      </c>
      <c r="L63" s="14">
        <v>1.7957211136915676E-3</v>
      </c>
      <c r="M63" s="14">
        <v>1.4733891737839313E-3</v>
      </c>
      <c r="N63" s="14">
        <v>202.66902420979929</v>
      </c>
      <c r="O63" s="14">
        <v>98454.585270878393</v>
      </c>
      <c r="P63" s="8">
        <v>202.66902420979929</v>
      </c>
      <c r="Q63" s="54">
        <v>0.22659799343458578</v>
      </c>
    </row>
    <row r="64" spans="1:17">
      <c r="A64" s="2" t="s">
        <v>409</v>
      </c>
      <c r="B64" s="16" t="s">
        <v>410</v>
      </c>
      <c r="D64" s="14">
        <v>1</v>
      </c>
      <c r="E64" s="14">
        <v>0.50079981630430925</v>
      </c>
      <c r="F64" s="14">
        <v>6.7233489422615581E-4</v>
      </c>
      <c r="G64" s="14">
        <v>1.9285643721267651E-7</v>
      </c>
      <c r="H64" s="14">
        <v>143.55081144191956</v>
      </c>
      <c r="I64" s="14">
        <v>11832.127000405088</v>
      </c>
      <c r="J64" s="14">
        <v>0</v>
      </c>
      <c r="K64" s="14">
        <v>1487.3540085272241</v>
      </c>
      <c r="L64" s="14">
        <v>6.7233489422615581E-4</v>
      </c>
      <c r="M64" s="14">
        <v>5.5165078071256089E-4</v>
      </c>
      <c r="N64" s="14">
        <v>249.37652617460392</v>
      </c>
      <c r="O64" s="14">
        <v>140820.4305655371</v>
      </c>
      <c r="P64" s="8">
        <v>249.37652617460395</v>
      </c>
      <c r="Q64" s="54">
        <v>0.16491601138448006</v>
      </c>
    </row>
    <row r="65" spans="1:17">
      <c r="A65" s="2" t="s">
        <v>301</v>
      </c>
      <c r="B65" s="16" t="s">
        <v>302</v>
      </c>
      <c r="D65" s="14">
        <v>1</v>
      </c>
      <c r="E65" s="14">
        <v>0.54538494003733384</v>
      </c>
      <c r="F65" s="14">
        <v>2.0289057228559254E-4</v>
      </c>
      <c r="G65" s="14">
        <v>2.5608866422482294E-8</v>
      </c>
      <c r="H65" s="14">
        <v>71.575084126175781</v>
      </c>
      <c r="I65" s="14">
        <v>13684.188183183032</v>
      </c>
      <c r="J65" s="14">
        <v>0</v>
      </c>
      <c r="K65" s="14">
        <v>4928.7652389899195</v>
      </c>
      <c r="L65" s="14">
        <v>2.0289057228559254E-4</v>
      </c>
      <c r="M65" s="14">
        <v>1.664717145603287E-4</v>
      </c>
      <c r="N65" s="14">
        <v>291.2006956845766</v>
      </c>
      <c r="O65" s="14">
        <v>187410.94372867982</v>
      </c>
      <c r="P65" s="8">
        <v>291.2006956845766</v>
      </c>
      <c r="Q65" s="54">
        <v>0.10597880981815933</v>
      </c>
    </row>
    <row r="66" spans="1:17">
      <c r="A66" s="2" t="s">
        <v>303</v>
      </c>
      <c r="B66" s="16" t="s">
        <v>304</v>
      </c>
      <c r="D66" s="14">
        <v>1</v>
      </c>
      <c r="E66" s="14">
        <v>0.52125645995094183</v>
      </c>
      <c r="F66" s="14">
        <v>4.0482631686524178E-4</v>
      </c>
      <c r="G66" s="14">
        <v>2.3791248047141234E-14</v>
      </c>
      <c r="H66" s="14">
        <v>107.32199503327462</v>
      </c>
      <c r="I66" s="14">
        <v>12712.937387343702</v>
      </c>
      <c r="J66" s="14">
        <v>0</v>
      </c>
      <c r="K66" s="14">
        <v>2470.1951388522971</v>
      </c>
      <c r="L66" s="14">
        <v>4.0482631686524178E-4</v>
      </c>
      <c r="M66" s="14">
        <v>3.3215999298793092E-4</v>
      </c>
      <c r="N66" s="14">
        <v>269.0534768814365</v>
      </c>
      <c r="O66" s="14">
        <v>173622.8991663598</v>
      </c>
      <c r="P66" s="8">
        <v>269.05347688143655</v>
      </c>
      <c r="Q66" s="54">
        <v>0.13754534850500991</v>
      </c>
    </row>
    <row r="67" spans="1:17">
      <c r="A67" s="2" t="s">
        <v>411</v>
      </c>
      <c r="B67" s="16" t="s">
        <v>412</v>
      </c>
      <c r="D67" s="14">
        <v>1</v>
      </c>
      <c r="E67" s="14">
        <v>0.83961153562331792</v>
      </c>
      <c r="F67" s="14">
        <v>0.83655652264990454</v>
      </c>
      <c r="G67" s="14">
        <v>5.3115806175231825E-5</v>
      </c>
      <c r="H67" s="14">
        <v>7.3891637291190744</v>
      </c>
      <c r="I67" s="14">
        <v>20.561389519733524</v>
      </c>
      <c r="J67" s="14">
        <v>0</v>
      </c>
      <c r="K67" s="14">
        <v>1.1953764903205419</v>
      </c>
      <c r="L67" s="14">
        <v>0.83655652264990465</v>
      </c>
      <c r="M67" s="14">
        <v>0.68639462683424668</v>
      </c>
      <c r="N67" s="14">
        <v>1.1467621539424502</v>
      </c>
      <c r="O67" s="14">
        <v>344.14332239812933</v>
      </c>
      <c r="P67" s="8">
        <v>1.1467621539424502</v>
      </c>
      <c r="Q67" s="54">
        <v>0.10424433435721785</v>
      </c>
    </row>
    <row r="68" spans="1:17">
      <c r="A68" s="2" t="s">
        <v>413</v>
      </c>
      <c r="B68" s="16" t="s">
        <v>414</v>
      </c>
      <c r="D68" s="14">
        <v>1</v>
      </c>
      <c r="E68" s="14">
        <v>0.78595676787197599</v>
      </c>
      <c r="F68" s="14">
        <v>0.78028425505138765</v>
      </c>
      <c r="G68" s="14">
        <v>1.1655779722271344E-4</v>
      </c>
      <c r="H68" s="14">
        <v>13.204222795807322</v>
      </c>
      <c r="I68" s="14">
        <v>35.024344371071408</v>
      </c>
      <c r="J68" s="14">
        <v>0</v>
      </c>
      <c r="K68" s="14">
        <v>1.2815842348813542</v>
      </c>
      <c r="L68" s="14">
        <v>0.78028425505138765</v>
      </c>
      <c r="M68" s="14">
        <v>0.64022323126966352</v>
      </c>
      <c r="N68" s="14">
        <v>1.3762458666512085</v>
      </c>
      <c r="O68" s="14">
        <v>451.61508114159403</v>
      </c>
      <c r="P68" s="8">
        <v>1.3762458666512085</v>
      </c>
      <c r="Q68" s="54">
        <v>0.13644889229402712</v>
      </c>
    </row>
    <row r="69" spans="1:17">
      <c r="A69" s="2" t="s">
        <v>415</v>
      </c>
      <c r="B69" s="16" t="s">
        <v>416</v>
      </c>
      <c r="D69" s="14">
        <v>1</v>
      </c>
      <c r="E69" s="14">
        <v>0.40629312588607502</v>
      </c>
      <c r="F69" s="14">
        <v>6.4067315315566604E-3</v>
      </c>
      <c r="G69" s="14">
        <v>6.2630375184616138E-5</v>
      </c>
      <c r="H69" s="14">
        <v>463.50724364594527</v>
      </c>
      <c r="I69" s="14">
        <v>6231.8027197460333</v>
      </c>
      <c r="J69" s="14">
        <v>0</v>
      </c>
      <c r="K69" s="14">
        <v>156.08582864358411</v>
      </c>
      <c r="L69" s="14">
        <v>6.4067315315566604E-3</v>
      </c>
      <c r="M69" s="14">
        <v>5.2567232216422398E-3</v>
      </c>
      <c r="N69" s="14">
        <v>128.6667882819653</v>
      </c>
      <c r="O69" s="14">
        <v>59711.683105894452</v>
      </c>
      <c r="P69" s="8">
        <v>128.6667882819653</v>
      </c>
      <c r="Q69" s="54">
        <v>0.30818656083812013</v>
      </c>
    </row>
    <row r="70" spans="1:17">
      <c r="A70" s="2" t="s">
        <v>417</v>
      </c>
      <c r="B70" s="16" t="s">
        <v>418</v>
      </c>
      <c r="D70" s="14">
        <v>1</v>
      </c>
      <c r="E70" s="14">
        <v>0.38513204641020121</v>
      </c>
      <c r="F70" s="14">
        <v>9.2936022464381207E-2</v>
      </c>
      <c r="G70" s="14">
        <v>1.2797129624280931E-4</v>
      </c>
      <c r="H70" s="14">
        <v>702.23760337604915</v>
      </c>
      <c r="I70" s="14">
        <v>1188.341467183905</v>
      </c>
      <c r="J70" s="14">
        <v>0</v>
      </c>
      <c r="K70" s="14">
        <v>10.760090366286779</v>
      </c>
      <c r="L70" s="14">
        <v>9.2936022464381221E-2</v>
      </c>
      <c r="M70" s="14">
        <v>7.625400643202479E-2</v>
      </c>
      <c r="N70" s="14">
        <v>23.879949127168434</v>
      </c>
      <c r="O70" s="14">
        <v>7499.4980233872466</v>
      </c>
      <c r="P70" s="8">
        <v>23.879949127168434</v>
      </c>
      <c r="Q70" s="54">
        <v>0.39078802952098635</v>
      </c>
    </row>
    <row r="71" spans="1:17">
      <c r="A71" s="2" t="s">
        <v>419</v>
      </c>
      <c r="B71" s="16" t="s">
        <v>420</v>
      </c>
      <c r="D71" s="14">
        <v>1</v>
      </c>
      <c r="E71" s="14">
        <v>0.78199000419428755</v>
      </c>
      <c r="F71" s="14">
        <v>0.77689965129563976</v>
      </c>
      <c r="G71" s="14">
        <v>2.8471700999798929E-4</v>
      </c>
      <c r="H71" s="14">
        <v>11.895560949051623</v>
      </c>
      <c r="I71" s="14">
        <v>31.786455115646763</v>
      </c>
      <c r="J71" s="14">
        <v>0</v>
      </c>
      <c r="K71" s="14">
        <v>1.2871675232860442</v>
      </c>
      <c r="L71" s="14">
        <v>0.77689965129563976</v>
      </c>
      <c r="M71" s="14">
        <v>0.6374461638880724</v>
      </c>
      <c r="N71" s="14">
        <v>1.3104694733810383</v>
      </c>
      <c r="O71" s="14">
        <v>280.49288608247741</v>
      </c>
      <c r="P71" s="8">
        <v>1.3104694733810383</v>
      </c>
      <c r="Q71" s="54">
        <v>0.1289561614452662</v>
      </c>
    </row>
    <row r="72" spans="1:17">
      <c r="A72" s="2" t="s">
        <v>421</v>
      </c>
      <c r="B72" s="16" t="s">
        <v>422</v>
      </c>
      <c r="D72" s="14">
        <v>1</v>
      </c>
      <c r="E72" s="14">
        <v>0.36431545180470559</v>
      </c>
      <c r="F72" s="14">
        <v>9.99653293778444E-2</v>
      </c>
      <c r="G72" s="14">
        <v>4.9929577255479571E-4</v>
      </c>
      <c r="H72" s="14">
        <v>634.05860562365092</v>
      </c>
      <c r="I72" s="14">
        <v>1086.8924502168554</v>
      </c>
      <c r="J72" s="14">
        <v>0</v>
      </c>
      <c r="K72" s="14">
        <v>10.003468264684503</v>
      </c>
      <c r="L72" s="14">
        <v>9.99653293778444E-2</v>
      </c>
      <c r="M72" s="14">
        <v>8.2021552754521332E-2</v>
      </c>
      <c r="N72" s="14">
        <v>21.830064513160345</v>
      </c>
      <c r="O72" s="14">
        <v>9039.1748129643038</v>
      </c>
      <c r="P72" s="8">
        <v>21.830064513160345</v>
      </c>
      <c r="Q72" s="54">
        <v>0.38369538184471624</v>
      </c>
    </row>
    <row r="73" spans="1:17">
      <c r="A73" s="2" t="s">
        <v>423</v>
      </c>
      <c r="B73" s="16" t="s">
        <v>424</v>
      </c>
      <c r="D73" s="14">
        <v>1</v>
      </c>
      <c r="E73" s="14">
        <v>0.46580854971724145</v>
      </c>
      <c r="F73" s="14">
        <v>0.40489409081451833</v>
      </c>
      <c r="G73" s="14">
        <v>2.2330061862801029E-4</v>
      </c>
      <c r="H73" s="14">
        <v>141.20869470634793</v>
      </c>
      <c r="I73" s="14">
        <v>299.72199130539076</v>
      </c>
      <c r="J73" s="14">
        <v>0</v>
      </c>
      <c r="K73" s="14">
        <v>2.469781660651845</v>
      </c>
      <c r="L73" s="14">
        <v>0.40489409081451833</v>
      </c>
      <c r="M73" s="14">
        <v>0.33221560151331231</v>
      </c>
      <c r="N73" s="14">
        <v>6.2479691975299607</v>
      </c>
      <c r="O73" s="14">
        <v>2675.1929713064033</v>
      </c>
      <c r="P73" s="8">
        <v>6.2479691975299607</v>
      </c>
      <c r="Q73" s="54">
        <v>0.34270355480829423</v>
      </c>
    </row>
    <row r="74" spans="1:17">
      <c r="A74" s="2" t="s">
        <v>425</v>
      </c>
      <c r="B74" s="16" t="s">
        <v>426</v>
      </c>
      <c r="D74" s="14">
        <v>1</v>
      </c>
      <c r="E74" s="14">
        <v>0.38038773577261364</v>
      </c>
      <c r="F74" s="14">
        <v>9.5278707052238149E-2</v>
      </c>
      <c r="G74" s="14">
        <v>1.9400116715562074E-4</v>
      </c>
      <c r="H74" s="14">
        <v>684.8190850280655</v>
      </c>
      <c r="I74" s="14">
        <v>1163.1427709278473</v>
      </c>
      <c r="J74" s="14">
        <v>0</v>
      </c>
      <c r="K74" s="14">
        <v>10.495524455970349</v>
      </c>
      <c r="L74" s="14">
        <v>9.5278707052238149E-2</v>
      </c>
      <c r="M74" s="14">
        <v>7.8176179136361407E-2</v>
      </c>
      <c r="N74" s="14">
        <v>23.369897761194878</v>
      </c>
      <c r="O74" s="14">
        <v>12343.512599507911</v>
      </c>
      <c r="P74" s="8">
        <v>23.369897761194881</v>
      </c>
      <c r="Q74" s="54">
        <v>0.39033098347822154</v>
      </c>
    </row>
    <row r="75" spans="1:17">
      <c r="A75" s="2" t="s">
        <v>427</v>
      </c>
      <c r="B75" s="16" t="s">
        <v>428</v>
      </c>
      <c r="D75" s="14">
        <v>1</v>
      </c>
      <c r="E75" s="14">
        <v>0.96208098173898005</v>
      </c>
      <c r="F75" s="14">
        <v>4.0168384147385813E-2</v>
      </c>
      <c r="G75" s="14">
        <v>5.6664731092606785E-11</v>
      </c>
      <c r="H75" s="14">
        <v>2619.2946852853111</v>
      </c>
      <c r="I75" s="14">
        <v>9.3582832549068726</v>
      </c>
      <c r="J75" s="14">
        <v>0</v>
      </c>
      <c r="K75" s="14">
        <v>24.895201069846387</v>
      </c>
      <c r="L75" s="14">
        <v>4.0168384147385813E-2</v>
      </c>
      <c r="M75" s="14">
        <v>3.2958159192930062E-2</v>
      </c>
      <c r="N75" s="14">
        <v>36.345149897265976</v>
      </c>
      <c r="O75" s="14">
        <v>20501.935605548766</v>
      </c>
      <c r="P75" s="8">
        <v>36.345149897265976</v>
      </c>
      <c r="Q75" s="54">
        <v>5.2263222717702684E-4</v>
      </c>
    </row>
    <row r="76" spans="1:17">
      <c r="A76" s="2" t="s">
        <v>429</v>
      </c>
      <c r="B76" s="16" t="s">
        <v>430</v>
      </c>
      <c r="D76" s="14">
        <v>1</v>
      </c>
      <c r="E76" s="14">
        <v>0.96208098652218133</v>
      </c>
      <c r="F76" s="14">
        <v>4.0168384347091933E-2</v>
      </c>
      <c r="G76" s="14">
        <v>1.4233536988431018E-12</v>
      </c>
      <c r="H76" s="14">
        <v>2619.2946983077213</v>
      </c>
      <c r="I76" s="14">
        <v>9.3582833014336746</v>
      </c>
      <c r="J76" s="14">
        <v>0</v>
      </c>
      <c r="K76" s="14">
        <v>24.895200946074315</v>
      </c>
      <c r="L76" s="14">
        <v>4.016838434709194E-2</v>
      </c>
      <c r="M76" s="14">
        <v>3.2958159356788932E-2</v>
      </c>
      <c r="N76" s="14">
        <v>36.345150077964028</v>
      </c>
      <c r="O76" s="14">
        <v>18177.29990849215</v>
      </c>
      <c r="P76" s="8">
        <v>36.345150077964036</v>
      </c>
      <c r="Q76" s="54">
        <v>5.2263222977541016E-4</v>
      </c>
    </row>
    <row r="77" spans="1:17">
      <c r="A77" s="2" t="s">
        <v>431</v>
      </c>
      <c r="B77" s="16" t="s">
        <v>432</v>
      </c>
      <c r="D77" s="14">
        <v>1</v>
      </c>
      <c r="E77" s="14">
        <v>0.35628942529208746</v>
      </c>
      <c r="F77" s="14">
        <v>0.2226389908182369</v>
      </c>
      <c r="G77" s="14">
        <v>5.7877493176418555E-4</v>
      </c>
      <c r="H77" s="14">
        <v>314.978727948592</v>
      </c>
      <c r="I77" s="14">
        <v>603.02927412101451</v>
      </c>
      <c r="J77" s="14">
        <v>0</v>
      </c>
      <c r="K77" s="14">
        <v>4.4915762343551169</v>
      </c>
      <c r="L77" s="14">
        <v>0.2226389908182369</v>
      </c>
      <c r="M77" s="14">
        <v>0.1826752919663634</v>
      </c>
      <c r="N77" s="14">
        <v>12.145534397393053</v>
      </c>
      <c r="O77" s="14">
        <v>4421.7032527149149</v>
      </c>
      <c r="P77" s="8">
        <v>12.145534397393053</v>
      </c>
      <c r="Q77" s="54">
        <v>0.39096546391912501</v>
      </c>
    </row>
    <row r="78" spans="1:17">
      <c r="A78" s="2" t="s">
        <v>433</v>
      </c>
      <c r="B78" s="16" t="s">
        <v>434</v>
      </c>
      <c r="D78" s="14">
        <v>1</v>
      </c>
      <c r="E78" s="14">
        <v>0.62995298165240521</v>
      </c>
      <c r="F78" s="14">
        <v>0.61160250402865324</v>
      </c>
      <c r="G78" s="14">
        <v>4.3064334732251897E-4</v>
      </c>
      <c r="H78" s="14">
        <v>41.984526040292799</v>
      </c>
      <c r="I78" s="14">
        <v>100.44918689226118</v>
      </c>
      <c r="J78" s="14">
        <v>0</v>
      </c>
      <c r="K78" s="14">
        <v>1.6350488976303317</v>
      </c>
      <c r="L78" s="14">
        <v>0.61160250402865324</v>
      </c>
      <c r="M78" s="14">
        <v>0.50181985455550993</v>
      </c>
      <c r="N78" s="14">
        <v>2.5015747005652345</v>
      </c>
      <c r="O78" s="14">
        <v>660.54079968425015</v>
      </c>
      <c r="P78" s="8">
        <v>2.5015747005652345</v>
      </c>
      <c r="Q78" s="54">
        <v>0.22189444272759837</v>
      </c>
    </row>
    <row r="79" spans="1:17">
      <c r="A79" s="2" t="s">
        <v>435</v>
      </c>
      <c r="B79" s="16" t="s">
        <v>436</v>
      </c>
      <c r="D79" s="14">
        <v>1</v>
      </c>
      <c r="E79" s="14">
        <v>0.53879912492298965</v>
      </c>
      <c r="F79" s="14">
        <v>0.49932223677625903</v>
      </c>
      <c r="G79" s="14">
        <v>1.1704945476049495E-4</v>
      </c>
      <c r="H79" s="14">
        <v>90.895191156650114</v>
      </c>
      <c r="I79" s="14">
        <v>202.3942071305197</v>
      </c>
      <c r="J79" s="14">
        <v>0</v>
      </c>
      <c r="K79" s="14">
        <v>2.0027147327870547</v>
      </c>
      <c r="L79" s="14">
        <v>0.49932223677625903</v>
      </c>
      <c r="M79" s="14">
        <v>0.40969389527492056</v>
      </c>
      <c r="N79" s="14">
        <v>4.4057240529382957</v>
      </c>
      <c r="O79" s="14">
        <v>1762.7742508211418</v>
      </c>
      <c r="P79" s="8">
        <v>4.4057240529382966</v>
      </c>
      <c r="Q79" s="54">
        <v>0.30116054756236244</v>
      </c>
    </row>
    <row r="80" spans="1:17">
      <c r="A80" s="2" t="s">
        <v>437</v>
      </c>
      <c r="B80" s="16" t="s">
        <v>438</v>
      </c>
      <c r="D80" s="14">
        <v>1</v>
      </c>
      <c r="E80" s="14">
        <v>0.92861333082362096</v>
      </c>
      <c r="F80" s="14">
        <v>2.6610074904774576E-2</v>
      </c>
      <c r="G80" s="14">
        <v>1.9823236733745214E-11</v>
      </c>
      <c r="H80" s="14">
        <v>2561.8051657545593</v>
      </c>
      <c r="I80" s="14">
        <v>17.58158082534792</v>
      </c>
      <c r="J80" s="14">
        <v>0</v>
      </c>
      <c r="K80" s="14">
        <v>37.579751412897096</v>
      </c>
      <c r="L80" s="14">
        <v>2.6610074904774579E-2</v>
      </c>
      <c r="M80" s="14">
        <v>2.1833566459367543E-2</v>
      </c>
      <c r="N80" s="14">
        <v>68.947767200655917</v>
      </c>
      <c r="O80" s="14">
        <v>35444.668162513197</v>
      </c>
      <c r="P80" s="8">
        <v>68.947767200655917</v>
      </c>
      <c r="Q80" s="54">
        <v>6.2238328642166623E-4</v>
      </c>
    </row>
    <row r="81" spans="1:17">
      <c r="A81" s="2" t="s">
        <v>440</v>
      </c>
      <c r="B81" s="16" t="s">
        <v>441</v>
      </c>
      <c r="D81" s="14">
        <v>1</v>
      </c>
      <c r="E81" s="14">
        <v>0.97019482676190694</v>
      </c>
      <c r="F81" s="14">
        <v>0.97044675825155591</v>
      </c>
      <c r="G81" s="14">
        <v>2.0478597082100349E-15</v>
      </c>
      <c r="H81" s="14">
        <v>0.25862572053283001</v>
      </c>
      <c r="I81" s="14">
        <v>0.93138423882859145</v>
      </c>
      <c r="J81" s="14">
        <v>0</v>
      </c>
      <c r="K81" s="14">
        <v>1.0304532335207031</v>
      </c>
      <c r="L81" s="14">
        <v>0.97044675825155602</v>
      </c>
      <c r="M81" s="14">
        <v>0.79625156514540163</v>
      </c>
      <c r="N81" s="14">
        <v>0.8904233941389037</v>
      </c>
      <c r="O81" s="14">
        <v>246.87879025895242</v>
      </c>
      <c r="P81" s="8">
        <v>0.8904233941389037</v>
      </c>
      <c r="Q81" s="54">
        <v>1.9504233357141559E-2</v>
      </c>
    </row>
    <row r="82" spans="1:17">
      <c r="A82" s="2" t="s">
        <v>442</v>
      </c>
      <c r="B82" s="16" t="s">
        <v>443</v>
      </c>
      <c r="D82" s="14">
        <v>1</v>
      </c>
      <c r="E82" s="14">
        <v>0.77249362602813465</v>
      </c>
      <c r="F82" s="14">
        <v>0.76529529180617062</v>
      </c>
      <c r="G82" s="14">
        <v>9.7435569789012094E-7</v>
      </c>
      <c r="H82" s="14">
        <v>16.629877170599155</v>
      </c>
      <c r="I82" s="14">
        <v>43.305814600478534</v>
      </c>
      <c r="J82" s="14">
        <v>0</v>
      </c>
      <c r="K82" s="14">
        <v>1.3066851589272208</v>
      </c>
      <c r="L82" s="14">
        <v>0.76529529180617073</v>
      </c>
      <c r="M82" s="14">
        <v>0.62792478692696307</v>
      </c>
      <c r="N82" s="14">
        <v>1.5235436677957297</v>
      </c>
      <c r="O82" s="14">
        <v>251.67417848317658</v>
      </c>
      <c r="P82" s="8">
        <v>1.5235436677957297</v>
      </c>
      <c r="Q82" s="54">
        <v>0.15245659372313333</v>
      </c>
    </row>
    <row r="83" spans="1:17">
      <c r="A83" s="2" t="s">
        <v>444</v>
      </c>
      <c r="B83" s="16" t="s">
        <v>445</v>
      </c>
      <c r="D83" s="14">
        <v>1</v>
      </c>
      <c r="E83" s="14">
        <v>0.38773670510428265</v>
      </c>
      <c r="F83" s="14">
        <v>0.26603811462574339</v>
      </c>
      <c r="G83" s="14">
        <v>1.1727146459975854E-5</v>
      </c>
      <c r="H83" s="14">
        <v>285.8668929412276</v>
      </c>
      <c r="I83" s="14">
        <v>558.49724117640642</v>
      </c>
      <c r="J83" s="14">
        <v>0</v>
      </c>
      <c r="K83" s="14">
        <v>3.7588598964730227</v>
      </c>
      <c r="L83" s="14">
        <v>0.26603811462574339</v>
      </c>
      <c r="M83" s="14">
        <v>0.21828427305042244</v>
      </c>
      <c r="N83" s="14">
        <v>11.282813337237195</v>
      </c>
      <c r="O83" s="14">
        <v>2033.614275903632</v>
      </c>
      <c r="P83" s="8">
        <v>11.282813337237195</v>
      </c>
      <c r="Q83" s="54">
        <v>0.40478185112647258</v>
      </c>
    </row>
    <row r="84" spans="1:17">
      <c r="A84" s="2" t="s">
        <v>446</v>
      </c>
      <c r="B84" s="16" t="s">
        <v>447</v>
      </c>
      <c r="D84" s="14">
        <v>1</v>
      </c>
      <c r="E84" s="14">
        <v>0.93690081960876004</v>
      </c>
      <c r="F84" s="14">
        <v>0.93671517499643342</v>
      </c>
      <c r="G84" s="14">
        <v>6.3041428219144915E-17</v>
      </c>
      <c r="H84" s="14">
        <v>1.1619770646849821</v>
      </c>
      <c r="I84" s="14">
        <v>3.7364117291674321</v>
      </c>
      <c r="J84" s="14">
        <v>0</v>
      </c>
      <c r="K84" s="14">
        <v>1.0675603712770081</v>
      </c>
      <c r="L84" s="14">
        <v>0.93671517499643342</v>
      </c>
      <c r="M84" s="14">
        <v>0.76857480108457366</v>
      </c>
      <c r="N84" s="14">
        <v>0.91336830596201701</v>
      </c>
      <c r="O84" s="14">
        <v>355.19980050556882</v>
      </c>
      <c r="P84" s="8">
        <v>0.91336830596201712</v>
      </c>
      <c r="Q84" s="54">
        <v>4.1961859638215249E-2</v>
      </c>
    </row>
    <row r="85" spans="1:17">
      <c r="A85" s="2" t="s">
        <v>448</v>
      </c>
      <c r="B85" s="16" t="s">
        <v>449</v>
      </c>
      <c r="D85" s="14">
        <v>1</v>
      </c>
      <c r="E85" s="14">
        <v>0.98704814027158372</v>
      </c>
      <c r="F85" s="14">
        <v>0.98740900740473858</v>
      </c>
      <c r="G85" s="14">
        <v>4.4128134920093476E-10</v>
      </c>
      <c r="H85" s="14">
        <v>4.7455558031908658E-2</v>
      </c>
      <c r="I85" s="14">
        <v>0.19388501983532538</v>
      </c>
      <c r="J85" s="14">
        <v>0</v>
      </c>
      <c r="K85" s="14">
        <v>1.0127515472320381</v>
      </c>
      <c r="L85" s="14">
        <v>0.98740900740473869</v>
      </c>
      <c r="M85" s="14">
        <v>0.81016909057558806</v>
      </c>
      <c r="N85" s="14">
        <v>0.89181213618826138</v>
      </c>
      <c r="O85" s="14">
        <v>159.84840729038399</v>
      </c>
      <c r="P85" s="8">
        <v>0.89181213618826138</v>
      </c>
      <c r="Q85" s="54">
        <v>8.1272619066896142E-3</v>
      </c>
    </row>
    <row r="86" spans="1:17">
      <c r="A86" s="2" t="s">
        <v>450</v>
      </c>
      <c r="B86" s="16" t="s">
        <v>451</v>
      </c>
      <c r="D86" s="14">
        <v>1</v>
      </c>
      <c r="E86" s="14">
        <v>0.93840318496958364</v>
      </c>
      <c r="F86" s="14">
        <v>0.93824365184110226</v>
      </c>
      <c r="G86" s="14">
        <v>1.5856747928077653E-10</v>
      </c>
      <c r="H86" s="14">
        <v>1.10709689990688</v>
      </c>
      <c r="I86" s="14">
        <v>3.5730805382084174</v>
      </c>
      <c r="J86" s="14">
        <v>0</v>
      </c>
      <c r="K86" s="14">
        <v>1.0658212267546006</v>
      </c>
      <c r="L86" s="14">
        <v>0.93824365184110226</v>
      </c>
      <c r="M86" s="14">
        <v>0.76982891633562445</v>
      </c>
      <c r="N86" s="14">
        <v>0.91162889133276115</v>
      </c>
      <c r="O86" s="14">
        <v>238.01718723807059</v>
      </c>
      <c r="P86" s="8">
        <v>0.91162889133276126</v>
      </c>
      <c r="Q86" s="54">
        <v>4.0948953321870624E-2</v>
      </c>
    </row>
    <row r="87" spans="1:17">
      <c r="A87" s="2" t="s">
        <v>452</v>
      </c>
      <c r="B87" s="16" t="s">
        <v>453</v>
      </c>
      <c r="D87" s="14">
        <v>1</v>
      </c>
      <c r="E87" s="14">
        <v>0.44182068502768679</v>
      </c>
      <c r="F87" s="14">
        <v>2.5373469805544131E-3</v>
      </c>
      <c r="G87" s="14">
        <v>2.6171483960684624E-9</v>
      </c>
      <c r="H87" s="14">
        <v>295.52883432271119</v>
      </c>
      <c r="I87" s="14">
        <v>8823.827951009911</v>
      </c>
      <c r="J87" s="14">
        <v>0</v>
      </c>
      <c r="K87" s="14">
        <v>394.11243620354151</v>
      </c>
      <c r="L87" s="14">
        <v>2.5373469805544135E-3</v>
      </c>
      <c r="M87" s="14">
        <v>2.0818931975448963E-3</v>
      </c>
      <c r="N87" s="14">
        <v>183.83509390007134</v>
      </c>
      <c r="O87" s="14">
        <v>76530.549590599709</v>
      </c>
      <c r="P87" s="8">
        <v>183.83509390007134</v>
      </c>
      <c r="Q87" s="54">
        <v>0.24995223908758216</v>
      </c>
    </row>
    <row r="88" spans="1:17">
      <c r="A88" s="2" t="s">
        <v>454</v>
      </c>
      <c r="B88" s="16" t="s">
        <v>455</v>
      </c>
      <c r="D88" s="14">
        <v>1</v>
      </c>
      <c r="E88" s="14">
        <v>0.69355458334292219</v>
      </c>
      <c r="F88" s="14">
        <v>0.67919547341850295</v>
      </c>
      <c r="G88" s="14">
        <v>4.9980807744781746E-7</v>
      </c>
      <c r="H88" s="14">
        <v>32.852981024401615</v>
      </c>
      <c r="I88" s="14">
        <v>80.655122214506491</v>
      </c>
      <c r="J88" s="14">
        <v>0</v>
      </c>
      <c r="K88" s="14">
        <v>1.472330189373664</v>
      </c>
      <c r="L88" s="14">
        <v>0.67919547341850306</v>
      </c>
      <c r="M88" s="14">
        <v>0.55727988593988176</v>
      </c>
      <c r="N88" s="14">
        <v>2.1743319595490651</v>
      </c>
      <c r="O88" s="14">
        <v>415.88447390294971</v>
      </c>
      <c r="P88" s="8">
        <v>2.1743319595490651</v>
      </c>
      <c r="Q88" s="54">
        <v>0.20532033000052757</v>
      </c>
    </row>
    <row r="89" spans="1:17">
      <c r="A89" s="2" t="s">
        <v>456</v>
      </c>
      <c r="B89" s="16" t="s">
        <v>457</v>
      </c>
      <c r="D89" s="14">
        <v>1</v>
      </c>
      <c r="E89" s="14">
        <v>0.75881091851601046</v>
      </c>
      <c r="F89" s="14">
        <v>0.75058139001086299</v>
      </c>
      <c r="G89" s="14">
        <v>3.2407555984761984E-19</v>
      </c>
      <c r="H89" s="14">
        <v>18.950374294565215</v>
      </c>
      <c r="I89" s="14">
        <v>48.806196379725698</v>
      </c>
      <c r="J89" s="14">
        <v>0</v>
      </c>
      <c r="K89" s="14">
        <v>1.3323005516903732</v>
      </c>
      <c r="L89" s="14">
        <v>0.75058139001086299</v>
      </c>
      <c r="M89" s="14">
        <v>0.61585203050391313</v>
      </c>
      <c r="N89" s="14">
        <v>1.6172822028743208</v>
      </c>
      <c r="O89" s="14">
        <v>634.71857334005585</v>
      </c>
      <c r="P89" s="8">
        <v>1.6172822028743208</v>
      </c>
      <c r="Q89" s="54">
        <v>0.16168694787404003</v>
      </c>
    </row>
    <row r="90" spans="1:17">
      <c r="A90" s="2" t="s">
        <v>458</v>
      </c>
      <c r="B90" s="16" t="s">
        <v>459</v>
      </c>
      <c r="D90" s="14">
        <v>1</v>
      </c>
      <c r="E90" s="14">
        <v>0.88030681804308897</v>
      </c>
      <c r="F90" s="14">
        <v>0.87868024769493114</v>
      </c>
      <c r="G90" s="14">
        <v>4.7328130679840189E-31</v>
      </c>
      <c r="H90" s="14">
        <v>4.2588354829513539</v>
      </c>
      <c r="I90" s="14">
        <v>12.386483673620541</v>
      </c>
      <c r="J90" s="14">
        <v>0</v>
      </c>
      <c r="K90" s="14">
        <v>1.1380704216617259</v>
      </c>
      <c r="L90" s="14">
        <v>0.87868024769493114</v>
      </c>
      <c r="M90" s="14">
        <v>0.72095714323369098</v>
      </c>
      <c r="N90" s="14">
        <v>1.0270027270004418</v>
      </c>
      <c r="O90" s="14">
        <v>802.02750962372511</v>
      </c>
      <c r="P90" s="8">
        <v>1.0270027270004418</v>
      </c>
      <c r="Q90" s="54">
        <v>8.0084419989693761E-2</v>
      </c>
    </row>
    <row r="91" spans="1:17">
      <c r="A91" s="2" t="s">
        <v>460</v>
      </c>
      <c r="B91" s="16" t="s">
        <v>461</v>
      </c>
      <c r="D91" s="14">
        <v>1</v>
      </c>
      <c r="E91" s="14">
        <v>0.40154019111305816</v>
      </c>
      <c r="F91" s="14">
        <v>1.4996063913651861E-2</v>
      </c>
      <c r="G91" s="14">
        <v>2.4703914206828681E-9</v>
      </c>
      <c r="H91" s="14">
        <v>668.09355581506145</v>
      </c>
      <c r="I91" s="14">
        <v>3986.5246470260836</v>
      </c>
      <c r="J91" s="14">
        <v>0</v>
      </c>
      <c r="K91" s="14">
        <v>66.684164975426455</v>
      </c>
      <c r="L91" s="14">
        <v>1.4996063913651861E-2</v>
      </c>
      <c r="M91" s="14">
        <v>1.2304270441151352E-2</v>
      </c>
      <c r="N91" s="14">
        <v>81.566161926696978</v>
      </c>
      <c r="O91" s="14">
        <v>24991.872014339955</v>
      </c>
      <c r="P91" s="8">
        <v>81.566161926696992</v>
      </c>
      <c r="Q91" s="54">
        <v>0.34769180411727507</v>
      </c>
    </row>
    <row r="92" spans="1:17">
      <c r="A92" s="2" t="s">
        <v>462</v>
      </c>
      <c r="B92" s="16" t="s">
        <v>463</v>
      </c>
      <c r="D92" s="14">
        <v>1</v>
      </c>
      <c r="E92" s="14">
        <v>0.41838261996895715</v>
      </c>
      <c r="F92" s="14">
        <v>0.32531954861661527</v>
      </c>
      <c r="G92" s="14">
        <v>9.0244064805631365E-11</v>
      </c>
      <c r="H92" s="14">
        <v>217.36527304119574</v>
      </c>
      <c r="I92" s="14">
        <v>439.79200679895519</v>
      </c>
      <c r="J92" s="14">
        <v>0</v>
      </c>
      <c r="K92" s="14">
        <v>3.0739007362219311</v>
      </c>
      <c r="L92" s="14">
        <v>0.32531954861661527</v>
      </c>
      <c r="M92" s="14">
        <v>0.26692468963993282</v>
      </c>
      <c r="N92" s="14">
        <v>8.9622936601864271</v>
      </c>
      <c r="O92" s="14">
        <v>3018.6797506239923</v>
      </c>
      <c r="P92" s="8">
        <v>8.9622936601864271</v>
      </c>
      <c r="Q92" s="54">
        <v>0.38640908775714722</v>
      </c>
    </row>
    <row r="93" spans="1:17">
      <c r="A93" s="2" t="s">
        <v>464</v>
      </c>
      <c r="B93" s="16" t="s">
        <v>465</v>
      </c>
      <c r="D93" s="14">
        <v>1</v>
      </c>
      <c r="E93" s="14">
        <v>0.37057946386192808</v>
      </c>
      <c r="F93" s="14">
        <v>0.12495809657819094</v>
      </c>
      <c r="G93" s="14">
        <v>6.9912187145366538E-6</v>
      </c>
      <c r="H93" s="14">
        <v>587.11665611338367</v>
      </c>
      <c r="I93" s="14">
        <v>1028.9199121361655</v>
      </c>
      <c r="J93" s="14">
        <v>0</v>
      </c>
      <c r="K93" s="14">
        <v>8.0026827183163967</v>
      </c>
      <c r="L93" s="14">
        <v>0.12495809657819094</v>
      </c>
      <c r="M93" s="14">
        <v>0.10252811824240567</v>
      </c>
      <c r="N93" s="14">
        <v>20.652964880190911</v>
      </c>
      <c r="O93" s="14">
        <v>9605.4874361279908</v>
      </c>
      <c r="P93" s="8">
        <v>20.652964880190911</v>
      </c>
      <c r="Q93" s="54">
        <v>0.41018669753369075</v>
      </c>
    </row>
    <row r="94" spans="1:17">
      <c r="A94" s="2" t="s">
        <v>466</v>
      </c>
      <c r="B94" s="16" t="s">
        <v>467</v>
      </c>
      <c r="D94" s="14">
        <v>1</v>
      </c>
      <c r="E94" s="14">
        <v>0.99882142568804222</v>
      </c>
      <c r="F94" s="14">
        <v>0.98765366049353021</v>
      </c>
      <c r="G94" s="14">
        <v>2.2409960776440498E-20</v>
      </c>
      <c r="H94" s="14">
        <v>32.831042830146266</v>
      </c>
      <c r="I94" s="14">
        <v>3.9947056847747658E-2</v>
      </c>
      <c r="J94" s="14">
        <v>0</v>
      </c>
      <c r="K94" s="14">
        <v>1.0125006771101321</v>
      </c>
      <c r="L94" s="14">
        <v>0.98765366049353032</v>
      </c>
      <c r="M94" s="14">
        <v>0.81036982843494154</v>
      </c>
      <c r="N94" s="14">
        <v>0.98159875607669755</v>
      </c>
      <c r="O94" s="14">
        <v>324.65397258480698</v>
      </c>
      <c r="P94" s="8">
        <v>0.98159875607669755</v>
      </c>
      <c r="Q94" s="54">
        <v>1.1838175869185873E-4</v>
      </c>
    </row>
    <row r="95" spans="1:17">
      <c r="A95" s="2" t="s">
        <v>468</v>
      </c>
      <c r="B95" s="16" t="s">
        <v>469</v>
      </c>
      <c r="D95" s="14">
        <v>1</v>
      </c>
      <c r="E95" s="14">
        <v>0.43366049387214733</v>
      </c>
      <c r="F95" s="14">
        <v>3.6013315635066059E-2</v>
      </c>
      <c r="G95" s="14">
        <v>1.0216251955466752E-19</v>
      </c>
      <c r="H95" s="14">
        <v>906.0728295023697</v>
      </c>
      <c r="I95" s="14">
        <v>2075.4882456824907</v>
      </c>
      <c r="J95" s="14">
        <v>0</v>
      </c>
      <c r="K95" s="14">
        <v>27.76750716688532</v>
      </c>
      <c r="L95" s="14">
        <v>3.6013315635066059E-2</v>
      </c>
      <c r="M95" s="14">
        <v>2.9548925478571703E-2</v>
      </c>
      <c r="N95" s="14">
        <v>42.035470015342007</v>
      </c>
      <c r="O95" s="14">
        <v>20765.522187578954</v>
      </c>
      <c r="P95" s="8">
        <v>42.035470015342007</v>
      </c>
      <c r="Q95" s="54">
        <v>0.35328099764621673</v>
      </c>
    </row>
    <row r="96" spans="1:17">
      <c r="A96" s="2" t="s">
        <v>470</v>
      </c>
      <c r="B96" s="164">
        <v>354656</v>
      </c>
      <c r="D96" s="14">
        <v>1</v>
      </c>
      <c r="E96" s="14">
        <v>0.96907738131247456</v>
      </c>
      <c r="F96" s="14">
        <v>0.96931939550718182</v>
      </c>
      <c r="G96" s="14">
        <v>4.0829624936622484E-12</v>
      </c>
      <c r="H96" s="14">
        <v>0.27844979519850016</v>
      </c>
      <c r="I96" s="14">
        <v>0.99725006564750562</v>
      </c>
      <c r="J96" s="14">
        <v>0</v>
      </c>
      <c r="K96" s="14">
        <v>1.0316516977118413</v>
      </c>
      <c r="L96" s="14">
        <v>0.96931939550718194</v>
      </c>
      <c r="M96" s="14">
        <v>0.79532656401364277</v>
      </c>
      <c r="N96" s="14">
        <v>0.89065333592644658</v>
      </c>
      <c r="O96" s="14">
        <v>175.627931311336</v>
      </c>
      <c r="P96" s="8">
        <v>0.89065333592644658</v>
      </c>
      <c r="Q96" s="54">
        <v>2.0258350162250739E-2</v>
      </c>
    </row>
    <row r="97" spans="1:17">
      <c r="A97" s="2" t="s">
        <v>472</v>
      </c>
      <c r="B97" s="16" t="s">
        <v>473</v>
      </c>
      <c r="D97" s="14">
        <v>1</v>
      </c>
      <c r="E97" s="14">
        <v>0.93613668964644192</v>
      </c>
      <c r="F97" s="14">
        <v>0.9359375310841439</v>
      </c>
      <c r="G97" s="14">
        <v>6.2997795237161735E-12</v>
      </c>
      <c r="H97" s="14">
        <v>1.1904108122618891</v>
      </c>
      <c r="I97" s="14">
        <v>3.8207976113062845</v>
      </c>
      <c r="J97" s="14">
        <v>0</v>
      </c>
      <c r="K97" s="14">
        <v>1.0684473768688911</v>
      </c>
      <c r="L97" s="14">
        <v>0.93593753108414401</v>
      </c>
      <c r="M97" s="14">
        <v>0.76793674425454017</v>
      </c>
      <c r="N97" s="14">
        <v>0.91427821385940422</v>
      </c>
      <c r="O97" s="14">
        <v>146.44908429599937</v>
      </c>
      <c r="P97" s="8">
        <v>0.91427821385940422</v>
      </c>
      <c r="Q97" s="54">
        <v>4.24770192801091E-2</v>
      </c>
    </row>
    <row r="98" spans="1:17">
      <c r="A98" s="2" t="s">
        <v>474</v>
      </c>
      <c r="B98" s="16" t="s">
        <v>475</v>
      </c>
      <c r="D98" s="14">
        <v>1</v>
      </c>
      <c r="E98" s="14">
        <v>0.4114683347352</v>
      </c>
      <c r="F98" s="14">
        <v>7.4059714963595216E-2</v>
      </c>
      <c r="G98" s="14">
        <v>2.0864622135535158E-21</v>
      </c>
      <c r="H98" s="14">
        <v>814.29550272118036</v>
      </c>
      <c r="I98" s="14">
        <v>1340.4147771964756</v>
      </c>
      <c r="J98" s="14">
        <v>0</v>
      </c>
      <c r="K98" s="14">
        <v>13.502617455273219</v>
      </c>
      <c r="L98" s="14">
        <v>7.4059714963595216E-2</v>
      </c>
      <c r="M98" s="14">
        <v>6.0765996127629875E-2</v>
      </c>
      <c r="N98" s="14">
        <v>26.973672298901111</v>
      </c>
      <c r="O98" s="14">
        <v>14334.618669805015</v>
      </c>
      <c r="P98" s="8">
        <v>26.973672298901111</v>
      </c>
      <c r="Q98" s="54">
        <v>0.37865108621834309</v>
      </c>
    </row>
    <row r="99" spans="1:17">
      <c r="A99" s="2" t="s">
        <v>476</v>
      </c>
      <c r="B99" s="16" t="s">
        <v>477</v>
      </c>
      <c r="D99" s="14">
        <v>1</v>
      </c>
      <c r="E99" s="14">
        <v>0.99075067694238717</v>
      </c>
      <c r="F99" s="14">
        <v>0.99112501772056305</v>
      </c>
      <c r="G99" s="14">
        <v>1.9259141602142997E-9</v>
      </c>
      <c r="H99" s="14">
        <v>2.3356536294536351E-2</v>
      </c>
      <c r="I99" s="14">
        <v>0.10056934217084355</v>
      </c>
      <c r="J99" s="14">
        <v>0</v>
      </c>
      <c r="K99" s="14">
        <v>1.0089544528901591</v>
      </c>
      <c r="L99" s="14">
        <v>0.99112501772056305</v>
      </c>
      <c r="M99" s="14">
        <v>0.81321807703972204</v>
      </c>
      <c r="N99" s="14">
        <v>0.89341530392361634</v>
      </c>
      <c r="O99" s="14">
        <v>115.39352065477428</v>
      </c>
      <c r="P99" s="8">
        <v>0.89341530392361634</v>
      </c>
      <c r="Q99" s="54">
        <v>5.626853517191735E-3</v>
      </c>
    </row>
    <row r="100" spans="1:17">
      <c r="A100" s="2" t="s">
        <v>478</v>
      </c>
      <c r="B100" s="16" t="s">
        <v>479</v>
      </c>
      <c r="D100" s="14">
        <v>1</v>
      </c>
      <c r="E100" s="14">
        <v>0.569992395029007</v>
      </c>
      <c r="F100" s="14">
        <v>0.53608248241398315</v>
      </c>
      <c r="G100" s="14">
        <v>7.3906069092476551E-13</v>
      </c>
      <c r="H100" s="14">
        <v>77.9204794282889</v>
      </c>
      <c r="I100" s="14">
        <v>176.4041454715495</v>
      </c>
      <c r="J100" s="14">
        <v>0</v>
      </c>
      <c r="K100" s="14">
        <v>1.8653845868960184</v>
      </c>
      <c r="L100" s="14">
        <v>0.53608248241398315</v>
      </c>
      <c r="M100" s="14">
        <v>0.43985567682067317</v>
      </c>
      <c r="N100" s="14">
        <v>3.9257362732568755</v>
      </c>
      <c r="O100" s="14">
        <v>1176.9357347224113</v>
      </c>
      <c r="P100" s="8">
        <v>3.9257362732568759</v>
      </c>
      <c r="Q100" s="54">
        <v>0.28754696414241604</v>
      </c>
    </row>
    <row r="101" spans="1:17">
      <c r="A101" s="2" t="s">
        <v>480</v>
      </c>
      <c r="B101" s="16" t="s">
        <v>481</v>
      </c>
      <c r="D101" s="14">
        <v>1</v>
      </c>
      <c r="E101" s="14">
        <v>0.98512932956038535</v>
      </c>
      <c r="F101" s="14">
        <v>0.98548169559239274</v>
      </c>
      <c r="G101" s="14">
        <v>5.1827116863529204E-13</v>
      </c>
      <c r="H101" s="14">
        <v>6.3143487090688385E-2</v>
      </c>
      <c r="I101" s="14">
        <v>0.25257230800837227</v>
      </c>
      <c r="J101" s="14">
        <v>0</v>
      </c>
      <c r="K101" s="14">
        <v>1.0147321908387958</v>
      </c>
      <c r="L101" s="14">
        <v>0.98548169559239274</v>
      </c>
      <c r="M101" s="14">
        <v>0.80858773123355832</v>
      </c>
      <c r="N101" s="14">
        <v>0.89117569038508804</v>
      </c>
      <c r="O101" s="14">
        <v>212.24240242211255</v>
      </c>
      <c r="P101" s="8">
        <v>0.89117569038508804</v>
      </c>
      <c r="Q101" s="54">
        <v>9.4229249652427859E-3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0.99553995075316348</v>
      </c>
      <c r="F102" s="14">
        <v>0.9959257847247116</v>
      </c>
      <c r="G102" s="14">
        <v>3.2566828278521554E-29</v>
      </c>
      <c r="H102" s="14">
        <v>4.5055413154627003E-3</v>
      </c>
      <c r="I102" s="14">
        <v>2.1908071380089537E-2</v>
      </c>
      <c r="J102" s="14">
        <v>0</v>
      </c>
      <c r="K102" s="14">
        <v>1.0040908824108961</v>
      </c>
      <c r="L102" s="14">
        <v>0.99592578472471172</v>
      </c>
      <c r="M102" s="14">
        <v>0.81715710636662597</v>
      </c>
      <c r="N102" s="14">
        <v>0.89627679891522383</v>
      </c>
      <c r="O102" s="14">
        <v>412.67272652453653</v>
      </c>
      <c r="P102" s="8">
        <v>0.89627679891522394</v>
      </c>
      <c r="Q102" s="54">
        <v>2.3922366918829908E-3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0.99101577371076943</v>
      </c>
      <c r="F103" s="14">
        <v>0.99139092814386631</v>
      </c>
      <c r="G103" s="14">
        <v>2.5977863363745521E-15</v>
      </c>
      <c r="H103" s="14">
        <v>2.194698872429178E-2</v>
      </c>
      <c r="I103" s="14">
        <v>9.4936258368435417E-2</v>
      </c>
      <c r="J103" s="14">
        <v>0</v>
      </c>
      <c r="K103" s="14">
        <v>1.0086838315862463</v>
      </c>
      <c r="L103" s="14">
        <v>0.99139092814386631</v>
      </c>
      <c r="M103" s="14">
        <v>0.81343625654204232</v>
      </c>
      <c r="N103" s="14">
        <v>0.89354977427739313</v>
      </c>
      <c r="O103" s="14">
        <v>183.40109117043494</v>
      </c>
      <c r="P103" s="8">
        <v>0.89354977427739324</v>
      </c>
      <c r="Q103" s="54">
        <v>5.4479374332875316E-3</v>
      </c>
    </row>
    <row r="104" spans="1:17">
      <c r="A104" s="2" t="s">
        <v>486</v>
      </c>
      <c r="B104" s="16" t="s">
        <v>487</v>
      </c>
      <c r="D104" s="14">
        <v>1</v>
      </c>
      <c r="E104" s="14">
        <v>0.95368315380472568</v>
      </c>
      <c r="F104" s="14">
        <v>0.95375487334258857</v>
      </c>
      <c r="G104" s="14">
        <v>3.2057175717297592E-11</v>
      </c>
      <c r="H104" s="14">
        <v>0.62531201008198467</v>
      </c>
      <c r="I104" s="14">
        <v>2.1074337982555225</v>
      </c>
      <c r="J104" s="14">
        <v>0</v>
      </c>
      <c r="K104" s="14">
        <v>1.0484874341929575</v>
      </c>
      <c r="L104" s="14">
        <v>0.95375487334258868</v>
      </c>
      <c r="M104" s="14">
        <v>0.78255587357759393</v>
      </c>
      <c r="N104" s="14">
        <v>0.89768844087491761</v>
      </c>
      <c r="O104" s="14">
        <v>135.69458472265254</v>
      </c>
      <c r="P104" s="8">
        <v>0.89768844087491761</v>
      </c>
      <c r="Q104" s="54">
        <v>3.0644598863399271E-2</v>
      </c>
    </row>
    <row r="105" spans="1:17">
      <c r="A105" s="2" t="s">
        <v>488</v>
      </c>
      <c r="B105" s="16" t="s">
        <v>489</v>
      </c>
      <c r="D105" s="14">
        <v>1</v>
      </c>
      <c r="E105" s="14">
        <v>0.9948340770011399</v>
      </c>
      <c r="F105" s="14">
        <v>0.99521865431293477</v>
      </c>
      <c r="G105" s="14">
        <v>2.5900431263183114E-18</v>
      </c>
      <c r="H105" s="14">
        <v>6.3896711561948075E-3</v>
      </c>
      <c r="I105" s="14">
        <v>3.0278592183320328E-2</v>
      </c>
      <c r="J105" s="14">
        <v>0</v>
      </c>
      <c r="K105" s="14">
        <v>1.0048043167864111</v>
      </c>
      <c r="L105" s="14">
        <v>0.99521865431293477</v>
      </c>
      <c r="M105" s="14">
        <v>0.81657690586376297</v>
      </c>
      <c r="N105" s="14">
        <v>0.89579492996509968</v>
      </c>
      <c r="O105" s="14">
        <v>303.99696743295624</v>
      </c>
      <c r="P105" s="8">
        <v>0.89579492996509968</v>
      </c>
      <c r="Q105" s="54">
        <v>2.8690338917939828E-3</v>
      </c>
    </row>
    <row r="106" spans="1:17">
      <c r="A106" s="2" t="s">
        <v>490</v>
      </c>
      <c r="B106" s="16" t="s">
        <v>491</v>
      </c>
      <c r="D106" s="14">
        <v>1</v>
      </c>
      <c r="E106" s="14">
        <v>0.85033008015208644</v>
      </c>
      <c r="F106" s="14">
        <v>0.84755566590408327</v>
      </c>
      <c r="G106" s="14">
        <v>1.4476271484443054E-10</v>
      </c>
      <c r="H106" s="14">
        <v>6.7737354550266113</v>
      </c>
      <c r="I106" s="14">
        <v>18.988270165856584</v>
      </c>
      <c r="J106" s="14">
        <v>0</v>
      </c>
      <c r="K106" s="14">
        <v>1.1798635065854997</v>
      </c>
      <c r="L106" s="14">
        <v>0.84755566590408338</v>
      </c>
      <c r="M106" s="14">
        <v>0.69541942387430045</v>
      </c>
      <c r="N106" s="14">
        <v>1.1262614060531453</v>
      </c>
      <c r="O106" s="14">
        <v>216.38860394499079</v>
      </c>
      <c r="P106" s="8">
        <v>1.1262614060531453</v>
      </c>
      <c r="Q106" s="54">
        <v>0.10025023567204099</v>
      </c>
    </row>
    <row r="107" spans="1:17">
      <c r="A107" s="2" t="s">
        <v>492</v>
      </c>
      <c r="B107" s="16" t="s">
        <v>493</v>
      </c>
      <c r="D107" s="14">
        <v>1</v>
      </c>
      <c r="E107" s="14">
        <v>0.43457611594695361</v>
      </c>
      <c r="F107" s="14">
        <v>5.9664800205443895E-2</v>
      </c>
      <c r="G107" s="14">
        <v>1.0624944700531932E-17</v>
      </c>
      <c r="H107" s="14">
        <v>908.02580469460895</v>
      </c>
      <c r="I107" s="14">
        <v>1459.3362195650161</v>
      </c>
      <c r="J107" s="14">
        <v>0</v>
      </c>
      <c r="K107" s="14">
        <v>16.760300823210642</v>
      </c>
      <c r="L107" s="14">
        <v>5.9664800205443902E-2</v>
      </c>
      <c r="M107" s="14">
        <v>4.8954968568566723E-2</v>
      </c>
      <c r="N107" s="14">
        <v>29.40987803430929</v>
      </c>
      <c r="O107" s="14">
        <v>13369.730554397005</v>
      </c>
      <c r="P107" s="8">
        <v>29.40987803430929</v>
      </c>
      <c r="Q107" s="54">
        <v>0.36137271737383736</v>
      </c>
    </row>
    <row r="108" spans="1:17">
      <c r="A108" s="2" t="s">
        <v>291</v>
      </c>
      <c r="B108" s="16" t="s">
        <v>494</v>
      </c>
      <c r="D108" s="14">
        <v>1</v>
      </c>
      <c r="E108" s="14">
        <v>0.61005128911336548</v>
      </c>
      <c r="F108" s="14">
        <v>0.58395643304185541</v>
      </c>
      <c r="G108" s="14">
        <v>4.0270677381067019E-12</v>
      </c>
      <c r="H108" s="14">
        <v>59.808160769370673</v>
      </c>
      <c r="I108" s="14">
        <v>138.93690427031152</v>
      </c>
      <c r="J108" s="14">
        <v>0</v>
      </c>
      <c r="K108" s="14">
        <v>1.7124565180161726</v>
      </c>
      <c r="L108" s="14">
        <v>0.58395643304185541</v>
      </c>
      <c r="M108" s="14">
        <v>0.47913625331084236</v>
      </c>
      <c r="N108" s="14">
        <v>3.2313332172332712</v>
      </c>
      <c r="O108" s="14">
        <v>996.31697086953443</v>
      </c>
      <c r="P108" s="8">
        <v>3.2313332172332712</v>
      </c>
      <c r="Q108" s="54">
        <v>0.26098624438392548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9.4472779286326454E-5</v>
      </c>
      <c r="E2" s="20">
        <v>0.81246615651323073</v>
      </c>
      <c r="F2" s="20">
        <v>3.8404393144932775E-3</v>
      </c>
      <c r="G2" s="20">
        <v>1.1186042428731669E-3</v>
      </c>
      <c r="H2" s="20">
        <v>0</v>
      </c>
      <c r="I2" s="20">
        <v>0.8075071129558643</v>
      </c>
      <c r="J2" s="20">
        <v>1.3210639427093057E-3</v>
      </c>
      <c r="K2" s="20">
        <v>0.18611830676477356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1.6830382535423669E-2</v>
      </c>
      <c r="E3" s="20">
        <v>0.42564273076359016</v>
      </c>
      <c r="F3" s="20">
        <v>0.11391166557386485</v>
      </c>
      <c r="G3" s="20">
        <v>0.30864820626316064</v>
      </c>
      <c r="H3" s="20">
        <v>0</v>
      </c>
      <c r="I3" s="20">
        <v>3.0828589265646414E-3</v>
      </c>
      <c r="J3" s="20">
        <v>0.17260164785878424</v>
      </c>
      <c r="K3" s="20">
        <v>0.38492523884220203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6.0977434344322733E-12</v>
      </c>
      <c r="E4" s="20">
        <v>0.53339034452893985</v>
      </c>
      <c r="F4" s="20">
        <v>3.4725088571982747E-2</v>
      </c>
      <c r="G4" s="20">
        <v>8.2897019771337732E-3</v>
      </c>
      <c r="H4" s="20">
        <v>0</v>
      </c>
      <c r="I4" s="20">
        <v>0.49037555397982335</v>
      </c>
      <c r="J4" s="20">
        <v>4.8121867326425946E-3</v>
      </c>
      <c r="K4" s="20">
        <v>0.46179746873231969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5.4203394192900781E-4</v>
      </c>
      <c r="E5" s="20">
        <v>0.42521596408223494</v>
      </c>
      <c r="F5" s="20">
        <v>0.30528164809298092</v>
      </c>
      <c r="G5" s="20">
        <v>8.8592356334622605E-2</v>
      </c>
      <c r="H5" s="20">
        <v>0</v>
      </c>
      <c r="I5" s="20">
        <v>3.1341959654631435E-2</v>
      </c>
      <c r="J5" s="20">
        <v>4.8335084227065984E-2</v>
      </c>
      <c r="K5" s="20">
        <v>0.52590691774877008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5.9249526717690583E-5</v>
      </c>
      <c r="E6" s="20">
        <v>0.46551461606323696</v>
      </c>
      <c r="F6" s="20">
        <v>7.8498091944399828E-2</v>
      </c>
      <c r="G6" s="20">
        <v>0.38552687305850547</v>
      </c>
      <c r="H6" s="20">
        <v>0</v>
      </c>
      <c r="I6" s="20">
        <v>1.48965106033167E-3</v>
      </c>
      <c r="J6" s="20">
        <v>0.2170551007056726</v>
      </c>
      <c r="K6" s="20">
        <v>0.3173710337043727</v>
      </c>
      <c r="L6" s="20">
        <v>0</v>
      </c>
    </row>
    <row r="7" spans="1:14">
      <c r="A7" s="2" t="s">
        <v>321</v>
      </c>
      <c r="B7" s="3" t="s">
        <v>322</v>
      </c>
      <c r="D7" s="20">
        <v>8.2793269303721757E-5</v>
      </c>
      <c r="E7" s="20">
        <v>0.43725068549030716</v>
      </c>
      <c r="F7" s="20">
        <v>0.10981691697157862</v>
      </c>
      <c r="G7" s="20">
        <v>0.32461217339143689</v>
      </c>
      <c r="H7" s="20">
        <v>0</v>
      </c>
      <c r="I7" s="20">
        <v>2.8215951272916187E-3</v>
      </c>
      <c r="J7" s="20">
        <v>0.18170822745384987</v>
      </c>
      <c r="K7" s="20">
        <v>0.38095829378653934</v>
      </c>
      <c r="L7" s="20">
        <v>0</v>
      </c>
    </row>
    <row r="8" spans="1:14">
      <c r="A8" s="2" t="s">
        <v>323</v>
      </c>
      <c r="B8" s="3" t="s">
        <v>324</v>
      </c>
      <c r="D8" s="20">
        <v>7.3879187601088713E-4</v>
      </c>
      <c r="E8" s="20">
        <v>0.41038600531571334</v>
      </c>
      <c r="F8" s="20">
        <v>0.15790516145394112</v>
      </c>
      <c r="G8" s="20">
        <v>0.24654254876369186</v>
      </c>
      <c r="H8" s="20">
        <v>0</v>
      </c>
      <c r="I8" s="20">
        <v>5.9382950980803395E-3</v>
      </c>
      <c r="J8" s="20">
        <v>0.13701456399028103</v>
      </c>
      <c r="K8" s="20">
        <v>0.45186063881799493</v>
      </c>
      <c r="L8" s="20">
        <v>0</v>
      </c>
    </row>
    <row r="9" spans="1:14">
      <c r="A9" s="2" t="s">
        <v>325</v>
      </c>
      <c r="B9" s="3" t="s">
        <v>326</v>
      </c>
      <c r="D9" s="20">
        <v>2.810402832107639E-4</v>
      </c>
      <c r="E9" s="20">
        <v>0.3632204443283395</v>
      </c>
      <c r="F9" s="20">
        <v>0.16559331079949119</v>
      </c>
      <c r="G9" s="20">
        <v>3.2519087058023387E-2</v>
      </c>
      <c r="H9" s="20">
        <v>0</v>
      </c>
      <c r="I9" s="20">
        <v>0.16510804647082494</v>
      </c>
      <c r="J9" s="20">
        <v>1.7555059841339454E-2</v>
      </c>
      <c r="K9" s="20">
        <v>0.61894345554711017</v>
      </c>
      <c r="L9" s="20">
        <v>0</v>
      </c>
    </row>
    <row r="10" spans="1:14">
      <c r="A10" s="2" t="s">
        <v>275</v>
      </c>
      <c r="B10" s="3" t="s">
        <v>276</v>
      </c>
      <c r="D10" s="20">
        <v>6.9401927324433061E-6</v>
      </c>
      <c r="E10" s="20">
        <v>0.42141776223379945</v>
      </c>
      <c r="F10" s="20">
        <v>0.29802023036157865</v>
      </c>
      <c r="G10" s="20">
        <v>9.4349868987528243E-2</v>
      </c>
      <c r="H10" s="20">
        <v>0</v>
      </c>
      <c r="I10" s="20">
        <v>2.9047662884692585E-2</v>
      </c>
      <c r="J10" s="20">
        <v>5.1522731661230156E-2</v>
      </c>
      <c r="K10" s="20">
        <v>0.52705256591223792</v>
      </c>
      <c r="L10" s="20">
        <v>0</v>
      </c>
    </row>
    <row r="11" spans="1:14">
      <c r="A11" s="2" t="s">
        <v>327</v>
      </c>
      <c r="B11" s="3" t="s">
        <v>328</v>
      </c>
      <c r="D11" s="20">
        <v>3.5934181482270199E-4</v>
      </c>
      <c r="E11" s="20">
        <v>0.41530155254464812</v>
      </c>
      <c r="F11" s="20">
        <v>0.28535269049953688</v>
      </c>
      <c r="G11" s="20">
        <v>0.10444256451908891</v>
      </c>
      <c r="H11" s="20">
        <v>0</v>
      </c>
      <c r="I11" s="20">
        <v>2.5506297526022344E-2</v>
      </c>
      <c r="J11" s="20">
        <v>5.712119261042737E-2</v>
      </c>
      <c r="K11" s="20">
        <v>0.52721791303010179</v>
      </c>
      <c r="L11" s="20">
        <v>0</v>
      </c>
    </row>
    <row r="12" spans="1:14">
      <c r="A12" s="2" t="s">
        <v>329</v>
      </c>
      <c r="B12" s="3" t="s">
        <v>330</v>
      </c>
      <c r="D12" s="20">
        <v>1.7090303353416365E-4</v>
      </c>
      <c r="E12" s="20">
        <v>0.37146714589013941</v>
      </c>
      <c r="F12" s="20">
        <v>0.20884495394397709</v>
      </c>
      <c r="G12" s="20">
        <v>3.9456589342275833E-2</v>
      </c>
      <c r="H12" s="20">
        <v>0</v>
      </c>
      <c r="I12" s="20">
        <v>0.12316560260388645</v>
      </c>
      <c r="J12" s="20">
        <v>2.1301175606003756E-2</v>
      </c>
      <c r="K12" s="20">
        <v>0.60706077547032256</v>
      </c>
      <c r="L12" s="20">
        <v>0</v>
      </c>
    </row>
    <row r="13" spans="1:14">
      <c r="A13" s="2" t="s">
        <v>277</v>
      </c>
      <c r="B13" s="3" t="s">
        <v>278</v>
      </c>
      <c r="D13" s="20">
        <v>4.4376723843796904E-4</v>
      </c>
      <c r="E13" s="20">
        <v>0.36330547626753773</v>
      </c>
      <c r="F13" s="20">
        <v>0.16944527061100736</v>
      </c>
      <c r="G13" s="20">
        <v>3.315316591903153E-2</v>
      </c>
      <c r="H13" s="20">
        <v>0</v>
      </c>
      <c r="I13" s="20">
        <v>0.16070703973749881</v>
      </c>
      <c r="J13" s="20">
        <v>1.7896097018202991E-2</v>
      </c>
      <c r="K13" s="20">
        <v>0.61835465947582124</v>
      </c>
      <c r="L13" s="20">
        <v>0</v>
      </c>
    </row>
    <row r="14" spans="1:14">
      <c r="A14" s="2" t="s">
        <v>331</v>
      </c>
      <c r="B14" s="3" t="s">
        <v>332</v>
      </c>
      <c r="D14" s="20">
        <v>2.3732967358982646E-4</v>
      </c>
      <c r="E14" s="20">
        <v>0.40304166026081917</v>
      </c>
      <c r="F14" s="20">
        <v>0.24542921416224034</v>
      </c>
      <c r="G14" s="20">
        <v>0.14083863659853424</v>
      </c>
      <c r="H14" s="20">
        <v>0</v>
      </c>
      <c r="I14" s="20">
        <v>1.6773809500044576E-2</v>
      </c>
      <c r="J14" s="20">
        <v>7.7401734324391291E-2</v>
      </c>
      <c r="K14" s="20">
        <v>0.51931927574119985</v>
      </c>
      <c r="L14" s="20">
        <v>0</v>
      </c>
    </row>
    <row r="15" spans="1:14">
      <c r="A15" s="2" t="s">
        <v>333</v>
      </c>
      <c r="B15" s="3" t="s">
        <v>334</v>
      </c>
      <c r="D15" s="20">
        <v>3.9233857908021472E-7</v>
      </c>
      <c r="E15" s="20">
        <v>0.41831833888600028</v>
      </c>
      <c r="F15" s="20">
        <v>0.2917663683947142</v>
      </c>
      <c r="G15" s="20">
        <v>9.9318644835169625E-2</v>
      </c>
      <c r="H15" s="20">
        <v>0</v>
      </c>
      <c r="I15" s="20">
        <v>2.7233325656116442E-2</v>
      </c>
      <c r="J15" s="20">
        <v>5.427727315237027E-2</v>
      </c>
      <c r="K15" s="20">
        <v>0.52740399562305029</v>
      </c>
      <c r="L15" s="20">
        <v>0</v>
      </c>
    </row>
    <row r="16" spans="1:14">
      <c r="A16" s="2" t="s">
        <v>335</v>
      </c>
      <c r="B16" s="3" t="s">
        <v>336</v>
      </c>
      <c r="D16" s="20">
        <v>1.9138640532381122E-3</v>
      </c>
      <c r="E16" s="20">
        <v>0.40904167619406023</v>
      </c>
      <c r="F16" s="20">
        <v>0.16009777651659496</v>
      </c>
      <c r="G16" s="20">
        <v>0.24281798773129007</v>
      </c>
      <c r="H16" s="20">
        <v>0</v>
      </c>
      <c r="I16" s="20">
        <v>6.1259119461752115E-3</v>
      </c>
      <c r="J16" s="20">
        <v>0.13490055860122674</v>
      </c>
      <c r="K16" s="20">
        <v>0.45414390115147485</v>
      </c>
      <c r="L16" s="20">
        <v>0</v>
      </c>
    </row>
    <row r="17" spans="1:12">
      <c r="A17" s="2" t="s">
        <v>337</v>
      </c>
      <c r="B17" s="3" t="s">
        <v>338</v>
      </c>
      <c r="D17" s="20">
        <v>1.3908597548653373E-4</v>
      </c>
      <c r="E17" s="20">
        <v>0.42400931340670112</v>
      </c>
      <c r="F17" s="20">
        <v>0.30294065193825626</v>
      </c>
      <c r="G17" s="20">
        <v>9.0500944372278375E-2</v>
      </c>
      <c r="H17" s="20">
        <v>0</v>
      </c>
      <c r="I17" s="20">
        <v>3.0567717096166465E-2</v>
      </c>
      <c r="J17" s="20">
        <v>4.9391161571407091E-2</v>
      </c>
      <c r="K17" s="20">
        <v>0.52646043904640527</v>
      </c>
      <c r="L17" s="20">
        <v>0</v>
      </c>
    </row>
    <row r="18" spans="1:12">
      <c r="A18" s="2" t="s">
        <v>279</v>
      </c>
      <c r="B18" s="3" t="s">
        <v>280</v>
      </c>
      <c r="D18" s="20">
        <v>7.8735801585773681E-3</v>
      </c>
      <c r="E18" s="20">
        <v>0.36151460916845052</v>
      </c>
      <c r="F18" s="20">
        <v>0.1476544254949492</v>
      </c>
      <c r="G18" s="20">
        <v>2.9480987289659151E-2</v>
      </c>
      <c r="H18" s="20">
        <v>0</v>
      </c>
      <c r="I18" s="20">
        <v>0.18437919638384215</v>
      </c>
      <c r="J18" s="20">
        <v>1.5923925006964466E-2</v>
      </c>
      <c r="K18" s="20">
        <v>0.61468788566600774</v>
      </c>
      <c r="L18" s="20">
        <v>0</v>
      </c>
    </row>
    <row r="19" spans="1:12">
      <c r="A19" s="2" t="s">
        <v>339</v>
      </c>
      <c r="B19" s="3" t="s">
        <v>340</v>
      </c>
      <c r="D19" s="20">
        <v>1.374307710599612E-6</v>
      </c>
      <c r="E19" s="20">
        <v>0.41772549606963483</v>
      </c>
      <c r="F19" s="20">
        <v>0.29050806792119305</v>
      </c>
      <c r="G19" s="20">
        <v>0.10033529996505525</v>
      </c>
      <c r="H19" s="20">
        <v>0</v>
      </c>
      <c r="I19" s="20">
        <v>2.6882128183386544E-2</v>
      </c>
      <c r="J19" s="20">
        <v>5.4841240793063996E-2</v>
      </c>
      <c r="K19" s="20">
        <v>0.52743188882959058</v>
      </c>
      <c r="L19" s="20">
        <v>0</v>
      </c>
    </row>
    <row r="20" spans="1:12">
      <c r="A20" s="2" t="s">
        <v>281</v>
      </c>
      <c r="B20" s="3" t="s">
        <v>282</v>
      </c>
      <c r="D20" s="20">
        <v>6.7192194146284596E-5</v>
      </c>
      <c r="E20" s="20">
        <v>0.36344234878289272</v>
      </c>
      <c r="F20" s="20">
        <v>0.16950910780014586</v>
      </c>
      <c r="G20" s="20">
        <v>3.3165656116696425E-2</v>
      </c>
      <c r="H20" s="20">
        <v>0</v>
      </c>
      <c r="I20" s="20">
        <v>0.16076758486605042</v>
      </c>
      <c r="J20" s="20">
        <v>1.7902839233704618E-2</v>
      </c>
      <c r="K20" s="20">
        <v>0.61858761978925625</v>
      </c>
      <c r="L20" s="20">
        <v>0</v>
      </c>
    </row>
    <row r="21" spans="1:12">
      <c r="A21" s="2" t="s">
        <v>341</v>
      </c>
      <c r="B21" s="3" t="s">
        <v>342</v>
      </c>
      <c r="D21" s="20">
        <v>1.9866439961499795E-3</v>
      </c>
      <c r="E21" s="20">
        <v>0.40491338627150525</v>
      </c>
      <c r="F21" s="20">
        <v>0.25668131999523558</v>
      </c>
      <c r="G21" s="20">
        <v>0.1292676397847872</v>
      </c>
      <c r="H21" s="20">
        <v>0</v>
      </c>
      <c r="I21" s="20">
        <v>1.8964426491482472E-2</v>
      </c>
      <c r="J21" s="20">
        <v>7.0941352108305794E-2</v>
      </c>
      <c r="K21" s="20">
        <v>0.52215861762403903</v>
      </c>
      <c r="L21" s="20">
        <v>0</v>
      </c>
    </row>
    <row r="22" spans="1:12">
      <c r="A22" s="2" t="s">
        <v>343</v>
      </c>
      <c r="B22" s="3" t="s">
        <v>344</v>
      </c>
      <c r="D22" s="20">
        <v>2.2636676538410169E-3</v>
      </c>
      <c r="E22" s="20">
        <v>0.66768759526801413</v>
      </c>
      <c r="F22" s="20">
        <v>1.3863946699026936E-2</v>
      </c>
      <c r="G22" s="20">
        <v>3.6156171307091109E-3</v>
      </c>
      <c r="H22" s="20">
        <v>0</v>
      </c>
      <c r="I22" s="20">
        <v>0.6502080314382781</v>
      </c>
      <c r="J22" s="20">
        <v>2.485566626703841E-3</v>
      </c>
      <c r="K22" s="20">
        <v>0.32756317045144073</v>
      </c>
      <c r="L22" s="20">
        <v>0</v>
      </c>
    </row>
    <row r="23" spans="1:12">
      <c r="A23" s="2" t="s">
        <v>345</v>
      </c>
      <c r="B23" s="3" t="s">
        <v>346</v>
      </c>
      <c r="D23" s="20">
        <v>8.9189901699112108E-5</v>
      </c>
      <c r="E23" s="20">
        <v>0.7679678948281039</v>
      </c>
      <c r="F23" s="20">
        <v>6.1120922460532424E-3</v>
      </c>
      <c r="G23" s="20">
        <v>1.7127163969415473E-3</v>
      </c>
      <c r="H23" s="20">
        <v>0</v>
      </c>
      <c r="I23" s="20">
        <v>0.76014308618510906</v>
      </c>
      <c r="J23" s="20">
        <v>1.5876804276637518E-3</v>
      </c>
      <c r="K23" s="20">
        <v>0.23035523484253334</v>
      </c>
      <c r="L23" s="20">
        <v>0</v>
      </c>
    </row>
    <row r="24" spans="1:12">
      <c r="A24" s="2" t="s">
        <v>347</v>
      </c>
      <c r="B24" s="3" t="s">
        <v>348</v>
      </c>
      <c r="D24" s="20">
        <v>1.3345097112524778E-4</v>
      </c>
      <c r="E24" s="20">
        <v>0.41647047570982837</v>
      </c>
      <c r="F24" s="20">
        <v>7.7623988386172751E-2</v>
      </c>
      <c r="G24" s="20">
        <v>1.6931346933756166E-2</v>
      </c>
      <c r="H24" s="20">
        <v>0</v>
      </c>
      <c r="I24" s="20">
        <v>0.32191514038989943</v>
      </c>
      <c r="J24" s="20">
        <v>9.2741391052716619E-3</v>
      </c>
      <c r="K24" s="20">
        <v>0.57412193421377489</v>
      </c>
      <c r="L24" s="20">
        <v>0</v>
      </c>
    </row>
    <row r="25" spans="1:12">
      <c r="A25" s="2" t="s">
        <v>349</v>
      </c>
      <c r="B25" s="3" t="s">
        <v>350</v>
      </c>
      <c r="D25" s="20">
        <v>4.9359671005962384E-2</v>
      </c>
      <c r="E25" s="20">
        <v>0.38221154697146531</v>
      </c>
      <c r="F25" s="20">
        <v>0.25825365176004994</v>
      </c>
      <c r="G25" s="20">
        <v>4.6423943245481845E-2</v>
      </c>
      <c r="H25" s="20">
        <v>0</v>
      </c>
      <c r="I25" s="20">
        <v>7.7533951965933545E-2</v>
      </c>
      <c r="J25" s="20">
        <v>2.5110076657746189E-2</v>
      </c>
      <c r="K25" s="20">
        <v>0.54331870536482618</v>
      </c>
      <c r="L25" s="20">
        <v>0</v>
      </c>
    </row>
    <row r="26" spans="1:12">
      <c r="A26" s="2" t="s">
        <v>351</v>
      </c>
      <c r="B26" s="3" t="s">
        <v>352</v>
      </c>
      <c r="D26" s="20">
        <v>1.5974075983913722E-3</v>
      </c>
      <c r="E26" s="20">
        <v>0.40724590571800112</v>
      </c>
      <c r="F26" s="20">
        <v>0.26453915428585184</v>
      </c>
      <c r="G26" s="20">
        <v>0.12211964022873137</v>
      </c>
      <c r="H26" s="20">
        <v>0</v>
      </c>
      <c r="I26" s="20">
        <v>2.058711120341793E-2</v>
      </c>
      <c r="J26" s="20">
        <v>6.6955322616757629E-2</v>
      </c>
      <c r="K26" s="20">
        <v>0.52420136406684981</v>
      </c>
      <c r="L26" s="20">
        <v>0</v>
      </c>
    </row>
    <row r="27" spans="1:12">
      <c r="A27" s="2" t="s">
        <v>353</v>
      </c>
      <c r="B27" s="3" t="s">
        <v>354</v>
      </c>
      <c r="D27" s="20">
        <v>1.163696797728454E-2</v>
      </c>
      <c r="E27" s="20">
        <v>0.42444952775691036</v>
      </c>
      <c r="F27" s="20">
        <v>0.11962282490824001</v>
      </c>
      <c r="G27" s="20">
        <v>0.3014460583496919</v>
      </c>
      <c r="H27" s="20">
        <v>0</v>
      </c>
      <c r="I27" s="20">
        <v>3.3806444989784318E-3</v>
      </c>
      <c r="J27" s="20">
        <v>0.16843558544587975</v>
      </c>
      <c r="K27" s="20">
        <v>0.39547791881992522</v>
      </c>
      <c r="L27" s="20">
        <v>0</v>
      </c>
    </row>
    <row r="28" spans="1:12">
      <c r="A28" s="2" t="s">
        <v>355</v>
      </c>
      <c r="B28" s="3" t="s">
        <v>356</v>
      </c>
      <c r="D28" s="20">
        <v>6.0020866715473215E-4</v>
      </c>
      <c r="E28" s="20">
        <v>0.40015876793115157</v>
      </c>
      <c r="F28" s="20">
        <v>0.21026959457866515</v>
      </c>
      <c r="G28" s="20">
        <v>0.17851389776778154</v>
      </c>
      <c r="H28" s="20">
        <v>0</v>
      </c>
      <c r="I28" s="20">
        <v>1.1375275584704903E-2</v>
      </c>
      <c r="J28" s="20">
        <v>9.8532870152229737E-2</v>
      </c>
      <c r="K28" s="20">
        <v>0.50070815324946405</v>
      </c>
      <c r="L28" s="20">
        <v>0</v>
      </c>
    </row>
    <row r="29" spans="1:12">
      <c r="A29" s="2" t="s">
        <v>357</v>
      </c>
      <c r="B29" s="3" t="s">
        <v>358</v>
      </c>
      <c r="D29" s="20">
        <v>0.1103179321943101</v>
      </c>
      <c r="E29" s="20">
        <v>0.35934797348254793</v>
      </c>
      <c r="F29" s="20">
        <v>0.22188110889948082</v>
      </c>
      <c r="G29" s="20">
        <v>0.1219034180761179</v>
      </c>
      <c r="H29" s="20">
        <v>0</v>
      </c>
      <c r="I29" s="20">
        <v>1.5563446506949203E-2</v>
      </c>
      <c r="J29" s="20">
        <v>6.6963453283978056E-2</v>
      </c>
      <c r="K29" s="20">
        <v>0.46337064103916403</v>
      </c>
      <c r="L29" s="20">
        <v>0</v>
      </c>
    </row>
    <row r="30" spans="1:12">
      <c r="A30" s="2" t="s">
        <v>359</v>
      </c>
      <c r="B30" s="3" t="s">
        <v>360</v>
      </c>
      <c r="D30" s="20">
        <v>6.0020866715473215E-4</v>
      </c>
      <c r="E30" s="20">
        <v>0.40015876793115157</v>
      </c>
      <c r="F30" s="20">
        <v>0.21026959457866515</v>
      </c>
      <c r="G30" s="20">
        <v>0.17851389776778154</v>
      </c>
      <c r="H30" s="20">
        <v>0</v>
      </c>
      <c r="I30" s="20">
        <v>1.1375275584704903E-2</v>
      </c>
      <c r="J30" s="20">
        <v>9.8532870152229737E-2</v>
      </c>
      <c r="K30" s="20">
        <v>0.50070815324946405</v>
      </c>
      <c r="L30" s="20">
        <v>0</v>
      </c>
    </row>
    <row r="31" spans="1:12">
      <c r="A31" s="2" t="s">
        <v>283</v>
      </c>
      <c r="B31" s="3" t="s">
        <v>284</v>
      </c>
      <c r="D31" s="20">
        <v>2.6124324805489078E-8</v>
      </c>
      <c r="E31" s="20">
        <v>0.9758027901327988</v>
      </c>
      <c r="F31" s="20">
        <v>5.983003950837662E-5</v>
      </c>
      <c r="G31" s="20">
        <v>2.4011254171201397E-5</v>
      </c>
      <c r="H31" s="20">
        <v>0</v>
      </c>
      <c r="I31" s="20">
        <v>0.97571894883911925</v>
      </c>
      <c r="J31" s="20">
        <v>9.0943667296953406E-4</v>
      </c>
      <c r="K31" s="20">
        <v>2.3287747069906824E-2</v>
      </c>
      <c r="L31" s="20">
        <v>0</v>
      </c>
    </row>
    <row r="32" spans="1:12">
      <c r="A32" s="2" t="s">
        <v>361</v>
      </c>
      <c r="B32" s="3" t="s">
        <v>362</v>
      </c>
      <c r="D32" s="20">
        <v>2.7180354237850716E-8</v>
      </c>
      <c r="E32" s="20">
        <v>0.58621883725559532</v>
      </c>
      <c r="F32" s="20">
        <v>2.4871811493611957E-2</v>
      </c>
      <c r="G32" s="20">
        <v>6.1323379267418758E-3</v>
      </c>
      <c r="H32" s="20">
        <v>0</v>
      </c>
      <c r="I32" s="20">
        <v>0.55521468783524153</v>
      </c>
      <c r="J32" s="20">
        <v>3.8237550345022356E-3</v>
      </c>
      <c r="K32" s="20">
        <v>0.40995738052954822</v>
      </c>
      <c r="L32" s="20">
        <v>0</v>
      </c>
    </row>
    <row r="33" spans="1:12">
      <c r="A33" s="2" t="s">
        <v>364</v>
      </c>
      <c r="B33" s="3" t="s">
        <v>365</v>
      </c>
      <c r="D33" s="20">
        <v>1.2063901705791441E-10</v>
      </c>
      <c r="E33" s="20">
        <v>0.99902019219092064</v>
      </c>
      <c r="F33" s="20">
        <v>4.1995828932545135E-4</v>
      </c>
      <c r="G33" s="20">
        <v>1.2842024100448788E-7</v>
      </c>
      <c r="H33" s="20">
        <v>0</v>
      </c>
      <c r="I33" s="20">
        <v>0.99860010548135414</v>
      </c>
      <c r="J33" s="20">
        <v>9.2271951981495477E-4</v>
      </c>
      <c r="K33" s="20">
        <v>5.7088168625310512E-5</v>
      </c>
      <c r="L33" s="20">
        <v>0</v>
      </c>
    </row>
    <row r="34" spans="1:12">
      <c r="A34" s="2" t="s">
        <v>285</v>
      </c>
      <c r="B34" s="3" t="s">
        <v>286</v>
      </c>
      <c r="D34" s="20">
        <v>6.0241498181018049E-10</v>
      </c>
      <c r="E34" s="20">
        <v>0.99827456567132122</v>
      </c>
      <c r="F34" s="20">
        <v>7.5889853127596094E-2</v>
      </c>
      <c r="G34" s="20">
        <v>6.2324416251976606E-6</v>
      </c>
      <c r="H34" s="20">
        <v>0</v>
      </c>
      <c r="I34" s="20">
        <v>0.92237848010209988</v>
      </c>
      <c r="J34" s="20">
        <v>1.3987173902362147E-3</v>
      </c>
      <c r="K34" s="20">
        <v>3.267163360276288E-4</v>
      </c>
      <c r="L34" s="20">
        <v>0</v>
      </c>
    </row>
    <row r="35" spans="1:12">
      <c r="A35" s="2" t="s">
        <v>287</v>
      </c>
      <c r="B35" s="3" t="s">
        <v>288</v>
      </c>
      <c r="D35" s="20">
        <v>2.6527580907578662E-11</v>
      </c>
      <c r="E35" s="20">
        <v>0.99686465388844814</v>
      </c>
      <c r="F35" s="20">
        <v>0.1713231361515348</v>
      </c>
      <c r="G35" s="20">
        <v>3.3177475596274187E-5</v>
      </c>
      <c r="H35" s="20">
        <v>0</v>
      </c>
      <c r="I35" s="20">
        <v>0.82550834026131703</v>
      </c>
      <c r="J35" s="20">
        <v>1.9398284990121398E-3</v>
      </c>
      <c r="K35" s="20">
        <v>1.1955175860121805E-3</v>
      </c>
      <c r="L35" s="20">
        <v>0</v>
      </c>
    </row>
    <row r="36" spans="1:12">
      <c r="A36" s="2" t="s">
        <v>366</v>
      </c>
      <c r="B36" s="3" t="s">
        <v>305</v>
      </c>
      <c r="D36" s="20">
        <v>9.2689384820810085E-8</v>
      </c>
      <c r="E36" s="20">
        <v>0.99399878971924815</v>
      </c>
      <c r="F36" s="20">
        <v>0.44811680194690551</v>
      </c>
      <c r="G36" s="20">
        <v>1.2830187742621067E-4</v>
      </c>
      <c r="H36" s="20">
        <v>0</v>
      </c>
      <c r="I36" s="20">
        <v>0.54575368589491646</v>
      </c>
      <c r="J36" s="20">
        <v>3.3529489289600965E-3</v>
      </c>
      <c r="K36" s="20">
        <v>2.6481686624067785E-3</v>
      </c>
      <c r="L36" s="20">
        <v>0</v>
      </c>
    </row>
    <row r="37" spans="1:12">
      <c r="A37" s="2" t="s">
        <v>289</v>
      </c>
      <c r="B37" s="3" t="s">
        <v>290</v>
      </c>
      <c r="D37" s="20">
        <v>1.1858777562542223E-14</v>
      </c>
      <c r="E37" s="20">
        <v>0.79469064852763394</v>
      </c>
      <c r="F37" s="20">
        <v>0.19717885677783165</v>
      </c>
      <c r="G37" s="20">
        <v>6.7317789279076534E-3</v>
      </c>
      <c r="H37" s="20">
        <v>0</v>
      </c>
      <c r="I37" s="20">
        <v>0.59078001282189463</v>
      </c>
      <c r="J37" s="20">
        <v>5.2114767994876129E-3</v>
      </c>
      <c r="K37" s="20">
        <v>0.2000978746728666</v>
      </c>
      <c r="L37" s="20">
        <v>0</v>
      </c>
    </row>
    <row r="38" spans="1:12">
      <c r="A38" s="2" t="s">
        <v>291</v>
      </c>
      <c r="B38" s="3" t="s">
        <v>292</v>
      </c>
      <c r="D38" s="20">
        <v>1.8399332317062409E-12</v>
      </c>
      <c r="E38" s="20">
        <v>0.99581656901918769</v>
      </c>
      <c r="F38" s="20">
        <v>5.8566257299991563E-2</v>
      </c>
      <c r="G38" s="20">
        <v>4.8928794842213318E-5</v>
      </c>
      <c r="H38" s="20">
        <v>0</v>
      </c>
      <c r="I38" s="20">
        <v>0.93720138292435395</v>
      </c>
      <c r="J38" s="20">
        <v>1.3161044730252501E-3</v>
      </c>
      <c r="K38" s="20">
        <v>2.8673265059469769E-3</v>
      </c>
      <c r="L38" s="20">
        <v>0</v>
      </c>
    </row>
    <row r="39" spans="1:12">
      <c r="A39" s="2" t="s">
        <v>367</v>
      </c>
      <c r="B39" s="3" t="s">
        <v>368</v>
      </c>
      <c r="D39" s="20">
        <v>6.7361176620595964E-5</v>
      </c>
      <c r="E39" s="20">
        <v>0.45505957990769008</v>
      </c>
      <c r="F39" s="20">
        <v>0.34640478259355989</v>
      </c>
      <c r="G39" s="20">
        <v>6.0503351823868561E-2</v>
      </c>
      <c r="H39" s="20">
        <v>0</v>
      </c>
      <c r="I39" s="20">
        <v>4.8151445490261603E-2</v>
      </c>
      <c r="J39" s="20">
        <v>3.2846998894718218E-2</v>
      </c>
      <c r="K39" s="20">
        <v>0.51202606002097106</v>
      </c>
      <c r="L39" s="20">
        <v>0</v>
      </c>
    </row>
    <row r="40" spans="1:12">
      <c r="A40" s="2" t="s">
        <v>369</v>
      </c>
      <c r="B40" s="3" t="s">
        <v>370</v>
      </c>
      <c r="D40" s="20">
        <v>6.4001542678982146E-12</v>
      </c>
      <c r="E40" s="20">
        <v>0.68971096226959372</v>
      </c>
      <c r="F40" s="20">
        <v>0.63664895904534924</v>
      </c>
      <c r="G40" s="20">
        <v>4.6059626321723862E-2</v>
      </c>
      <c r="H40" s="20">
        <v>0</v>
      </c>
      <c r="I40" s="20">
        <v>7.0023769025206548E-3</v>
      </c>
      <c r="J40" s="20">
        <v>0.29026124717937352</v>
      </c>
      <c r="K40" s="20">
        <v>2.0027790544632627E-2</v>
      </c>
      <c r="L40" s="20">
        <v>0</v>
      </c>
    </row>
    <row r="41" spans="1:12">
      <c r="A41" s="2" t="s">
        <v>371</v>
      </c>
      <c r="B41" s="3" t="s">
        <v>372</v>
      </c>
      <c r="D41" s="20">
        <v>8.1478991221815331E-2</v>
      </c>
      <c r="E41" s="20">
        <v>0.91311882438607961</v>
      </c>
      <c r="F41" s="20">
        <v>2.7856070846784797E-6</v>
      </c>
      <c r="G41" s="20">
        <v>1.3944900303155765E-6</v>
      </c>
      <c r="H41" s="20">
        <v>0</v>
      </c>
      <c r="I41" s="20">
        <v>0.91311464428896461</v>
      </c>
      <c r="J41" s="20">
        <v>8.4047048808257464E-4</v>
      </c>
      <c r="K41" s="20">
        <v>4.5617139040225445E-3</v>
      </c>
      <c r="L41" s="20">
        <v>0</v>
      </c>
    </row>
    <row r="42" spans="1:12">
      <c r="A42" s="2" t="s">
        <v>293</v>
      </c>
      <c r="B42" s="3" t="s">
        <v>294</v>
      </c>
      <c r="D42" s="20">
        <v>2.074683973389418E-8</v>
      </c>
      <c r="E42" s="20">
        <v>0.64414643472222233</v>
      </c>
      <c r="F42" s="20">
        <v>1.6642791292838067E-2</v>
      </c>
      <c r="G42" s="20">
        <v>4.2689564304975395E-3</v>
      </c>
      <c r="H42" s="20">
        <v>0</v>
      </c>
      <c r="I42" s="20">
        <v>0.62323468699888673</v>
      </c>
      <c r="J42" s="20">
        <v>2.8050589434740337E-3</v>
      </c>
      <c r="K42" s="20">
        <v>0.35304848558746382</v>
      </c>
      <c r="L42" s="20">
        <v>0</v>
      </c>
    </row>
    <row r="43" spans="1:12">
      <c r="A43" s="2" t="s">
        <v>373</v>
      </c>
      <c r="B43" s="3" t="s">
        <v>374</v>
      </c>
      <c r="D43" s="20">
        <v>3.9372315320014881E-7</v>
      </c>
      <c r="E43" s="20">
        <v>0.98502844640220188</v>
      </c>
      <c r="F43" s="20">
        <v>0.90350557679664467</v>
      </c>
      <c r="G43" s="20">
        <v>7.628739039115004E-4</v>
      </c>
      <c r="H43" s="20">
        <v>0</v>
      </c>
      <c r="I43" s="20">
        <v>8.0759995701645756E-2</v>
      </c>
      <c r="J43" s="20">
        <v>1.1120231956728368E-2</v>
      </c>
      <c r="K43" s="20">
        <v>3.8509279179164309E-3</v>
      </c>
      <c r="L43" s="20">
        <v>0</v>
      </c>
    </row>
    <row r="44" spans="1:12">
      <c r="A44" s="2" t="s">
        <v>375</v>
      </c>
      <c r="B44" s="3" t="s">
        <v>376</v>
      </c>
      <c r="D44" s="20">
        <v>8.6824804864764168E-2</v>
      </c>
      <c r="E44" s="20">
        <v>0.78239061378839136</v>
      </c>
      <c r="F44" s="20">
        <v>1.9848058477768254E-3</v>
      </c>
      <c r="G44" s="20">
        <v>6.0535981214119834E-4</v>
      </c>
      <c r="H44" s="20">
        <v>0</v>
      </c>
      <c r="I44" s="20">
        <v>0.77980044812847338</v>
      </c>
      <c r="J44" s="20">
        <v>1.0289495255370188E-3</v>
      </c>
      <c r="K44" s="20">
        <v>0.12975563182130734</v>
      </c>
      <c r="L44" s="20">
        <v>0</v>
      </c>
    </row>
    <row r="45" spans="1:12">
      <c r="A45" s="2" t="s">
        <v>377</v>
      </c>
      <c r="B45" s="3" t="s">
        <v>378</v>
      </c>
      <c r="D45" s="20">
        <v>8.0995130172830667E-4</v>
      </c>
      <c r="E45" s="20">
        <v>0.62097159492047704</v>
      </c>
      <c r="F45" s="20">
        <v>1.9459564768053061E-2</v>
      </c>
      <c r="G45" s="20">
        <v>4.9184547248793961E-3</v>
      </c>
      <c r="H45" s="20">
        <v>0</v>
      </c>
      <c r="I45" s="20">
        <v>0.59659357542754454</v>
      </c>
      <c r="J45" s="20">
        <v>3.1234248560370755E-3</v>
      </c>
      <c r="K45" s="20">
        <v>0.37509502892175783</v>
      </c>
      <c r="L45" s="20">
        <v>0</v>
      </c>
    </row>
    <row r="46" spans="1:12">
      <c r="A46" s="2" t="s">
        <v>379</v>
      </c>
      <c r="B46" s="3" t="s">
        <v>380</v>
      </c>
      <c r="D46" s="20">
        <v>2.3947730362695197E-3</v>
      </c>
      <c r="E46" s="20">
        <v>0.6341572233553554</v>
      </c>
      <c r="F46" s="20">
        <v>1.7617268546220033E-2</v>
      </c>
      <c r="G46" s="20">
        <v>4.4940109871264185E-3</v>
      </c>
      <c r="H46" s="20">
        <v>0</v>
      </c>
      <c r="I46" s="20">
        <v>0.61204594382200894</v>
      </c>
      <c r="J46" s="20">
        <v>2.9135607346360299E-3</v>
      </c>
      <c r="K46" s="20">
        <v>0.36053444287373893</v>
      </c>
      <c r="L46" s="20">
        <v>0</v>
      </c>
    </row>
    <row r="47" spans="1:12">
      <c r="A47" s="2" t="s">
        <v>381</v>
      </c>
      <c r="B47" s="3" t="s">
        <v>382</v>
      </c>
      <c r="D47" s="20">
        <v>2.0112471908483732E-7</v>
      </c>
      <c r="E47" s="20">
        <v>0.43292900593691447</v>
      </c>
      <c r="F47" s="20">
        <v>0.11586163835816189</v>
      </c>
      <c r="G47" s="20">
        <v>0.31393173538288016</v>
      </c>
      <c r="H47" s="20">
        <v>0</v>
      </c>
      <c r="I47" s="20">
        <v>3.1356321958724291E-3</v>
      </c>
      <c r="J47" s="20">
        <v>0.17555629270708736</v>
      </c>
      <c r="K47" s="20">
        <v>0.39151450023127915</v>
      </c>
      <c r="L47" s="20">
        <v>0</v>
      </c>
    </row>
    <row r="48" spans="1:12">
      <c r="A48" s="2" t="s">
        <v>383</v>
      </c>
      <c r="B48" s="3" t="s">
        <v>384</v>
      </c>
      <c r="D48" s="20">
        <v>1.1813168084188419E-2</v>
      </c>
      <c r="E48" s="20">
        <v>0.91039132263070721</v>
      </c>
      <c r="F48" s="20">
        <v>6.3072580289483498E-4</v>
      </c>
      <c r="G48" s="20">
        <v>2.1170745609653543E-4</v>
      </c>
      <c r="H48" s="20">
        <v>0</v>
      </c>
      <c r="I48" s="20">
        <v>0.90954888937171585</v>
      </c>
      <c r="J48" s="20">
        <v>9.4464001931718702E-4</v>
      </c>
      <c r="K48" s="20">
        <v>7.6850869265787214E-2</v>
      </c>
      <c r="L48" s="20">
        <v>0</v>
      </c>
    </row>
    <row r="49" spans="1:12">
      <c r="A49" s="2" t="s">
        <v>385</v>
      </c>
      <c r="B49" s="3" t="s">
        <v>386</v>
      </c>
      <c r="D49" s="20">
        <v>2.2188289904549276E-2</v>
      </c>
      <c r="E49" s="20">
        <v>0.87463322696798473</v>
      </c>
      <c r="F49" s="20">
        <v>1.1313527751096676E-3</v>
      </c>
      <c r="G49" s="20">
        <v>3.6265494346794934E-4</v>
      </c>
      <c r="H49" s="20">
        <v>0</v>
      </c>
      <c r="I49" s="20">
        <v>0.87313921924940707</v>
      </c>
      <c r="J49" s="20">
        <v>9.8899296540509176E-4</v>
      </c>
      <c r="K49" s="20">
        <v>0.10218949016206076</v>
      </c>
      <c r="L49" s="20">
        <v>0</v>
      </c>
    </row>
    <row r="50" spans="1:12">
      <c r="A50" s="2" t="s">
        <v>387</v>
      </c>
      <c r="B50" s="3" t="s">
        <v>388</v>
      </c>
      <c r="D50" s="20">
        <v>1.6550566625114897E-2</v>
      </c>
      <c r="E50" s="20">
        <v>0.3593161650525547</v>
      </c>
      <c r="F50" s="20">
        <v>0.14108702690109926</v>
      </c>
      <c r="G50" s="20">
        <v>2.8325829528209806E-2</v>
      </c>
      <c r="H50" s="20">
        <v>0</v>
      </c>
      <c r="I50" s="20">
        <v>0.18990330862324561</v>
      </c>
      <c r="J50" s="20">
        <v>1.5304356737721918E-2</v>
      </c>
      <c r="K50" s="20">
        <v>0.6088289115846085</v>
      </c>
      <c r="L50" s="20">
        <v>0</v>
      </c>
    </row>
    <row r="51" spans="1:12">
      <c r="A51" s="2" t="s">
        <v>295</v>
      </c>
      <c r="B51" s="3" t="s">
        <v>296</v>
      </c>
      <c r="D51" s="20">
        <v>6.5372154457463652E-2</v>
      </c>
      <c r="E51" s="20">
        <v>0.90427312289065298</v>
      </c>
      <c r="F51" s="20">
        <v>1.0103387570759692E-4</v>
      </c>
      <c r="G51" s="20">
        <v>3.8793821969393455E-5</v>
      </c>
      <c r="H51" s="20">
        <v>0</v>
      </c>
      <c r="I51" s="20">
        <v>0.90413329519297603</v>
      </c>
      <c r="J51" s="20">
        <v>8.5110990857331821E-4</v>
      </c>
      <c r="K51" s="20">
        <v>2.9503612743309988E-2</v>
      </c>
      <c r="L51" s="20">
        <v>0</v>
      </c>
    </row>
    <row r="52" spans="1:12">
      <c r="A52" s="2" t="s">
        <v>389</v>
      </c>
      <c r="B52" s="3" t="s">
        <v>390</v>
      </c>
      <c r="D52" s="20">
        <v>7.1480099890886745E-2</v>
      </c>
      <c r="E52" s="20">
        <v>0.7562743036402142</v>
      </c>
      <c r="F52" s="20">
        <v>3.4870595625650369E-3</v>
      </c>
      <c r="G52" s="20">
        <v>1.017548037466863E-3</v>
      </c>
      <c r="H52" s="20">
        <v>0</v>
      </c>
      <c r="I52" s="20">
        <v>0.75176969604018229</v>
      </c>
      <c r="J52" s="20">
        <v>1.2174647634567552E-3</v>
      </c>
      <c r="K52" s="20">
        <v>0.17102813170544251</v>
      </c>
      <c r="L52" s="20">
        <v>0</v>
      </c>
    </row>
    <row r="53" spans="1:12">
      <c r="A53" s="2" t="s">
        <v>391</v>
      </c>
      <c r="B53" s="3" t="s">
        <v>392</v>
      </c>
      <c r="D53" s="20">
        <v>2.6420459810393405E-3</v>
      </c>
      <c r="E53" s="20">
        <v>0.54869939518659816</v>
      </c>
      <c r="F53" s="20">
        <v>3.1089560776466647E-2</v>
      </c>
      <c r="G53" s="20">
        <v>7.5042992110062653E-3</v>
      </c>
      <c r="H53" s="20">
        <v>0</v>
      </c>
      <c r="I53" s="20">
        <v>0.51010553519912527</v>
      </c>
      <c r="J53" s="20">
        <v>4.4133297657961623E-3</v>
      </c>
      <c r="K53" s="20">
        <v>0.44424522906656622</v>
      </c>
      <c r="L53" s="20">
        <v>0</v>
      </c>
    </row>
    <row r="54" spans="1:12">
      <c r="A54" s="2" t="s">
        <v>393</v>
      </c>
      <c r="B54" s="3" t="s">
        <v>394</v>
      </c>
      <c r="D54" s="20">
        <v>9.0404197997188713E-4</v>
      </c>
      <c r="E54" s="20">
        <v>0.42073469394206531</v>
      </c>
      <c r="F54" s="20">
        <v>0.13491579992646896</v>
      </c>
      <c r="G54" s="20">
        <v>0.28155183880362294</v>
      </c>
      <c r="H54" s="20">
        <v>0</v>
      </c>
      <c r="I54" s="20">
        <v>4.2670552119733933E-3</v>
      </c>
      <c r="J54" s="20">
        <v>0.15698409743314382</v>
      </c>
      <c r="K54" s="20">
        <v>0.42137716664481917</v>
      </c>
      <c r="L54" s="20">
        <v>0</v>
      </c>
    </row>
    <row r="55" spans="1:12">
      <c r="A55" s="2" t="s">
        <v>395</v>
      </c>
      <c r="B55" s="3" t="s">
        <v>396</v>
      </c>
      <c r="D55" s="20">
        <v>0.22752634573861233</v>
      </c>
      <c r="E55" s="20">
        <v>0.31361128671984889</v>
      </c>
      <c r="F55" s="20">
        <v>6.5539919955301812E-2</v>
      </c>
      <c r="G55" s="20">
        <v>1.4138438986502468E-2</v>
      </c>
      <c r="H55" s="20">
        <v>0</v>
      </c>
      <c r="I55" s="20">
        <v>0.23393292777804461</v>
      </c>
      <c r="J55" s="20">
        <v>7.7195032279168165E-3</v>
      </c>
      <c r="K55" s="20">
        <v>0.45114286431362194</v>
      </c>
      <c r="L55" s="20">
        <v>0</v>
      </c>
    </row>
    <row r="56" spans="1:12">
      <c r="A56" s="2" t="s">
        <v>397</v>
      </c>
      <c r="B56" s="3" t="s">
        <v>398</v>
      </c>
      <c r="D56" s="20">
        <v>0.82766678479790212</v>
      </c>
      <c r="E56" s="20">
        <v>6.3672332908791443E-2</v>
      </c>
      <c r="F56" s="20">
        <v>3.487624675554328E-2</v>
      </c>
      <c r="G56" s="20">
        <v>6.6256012803559416E-3</v>
      </c>
      <c r="H56" s="20">
        <v>0</v>
      </c>
      <c r="I56" s="20">
        <v>2.2170484872892218E-2</v>
      </c>
      <c r="J56" s="20">
        <v>3.5765600246987421E-3</v>
      </c>
      <c r="K56" s="20">
        <v>0.10508432226860789</v>
      </c>
      <c r="L56" s="20">
        <v>0</v>
      </c>
    </row>
    <row r="57" spans="1:12">
      <c r="A57" s="2" t="s">
        <v>399</v>
      </c>
      <c r="B57" s="3" t="s">
        <v>400</v>
      </c>
      <c r="D57" s="20">
        <v>0.87348697894526861</v>
      </c>
      <c r="E57" s="20">
        <v>4.8943481339717827E-2</v>
      </c>
      <c r="F57" s="20">
        <v>1.291607773790238E-2</v>
      </c>
      <c r="G57" s="20">
        <v>2.7203589052436452E-3</v>
      </c>
      <c r="H57" s="20">
        <v>0</v>
      </c>
      <c r="I57" s="20">
        <v>3.3307044696571801E-2</v>
      </c>
      <c r="J57" s="20">
        <v>1.4775682867814186E-3</v>
      </c>
      <c r="K57" s="20">
        <v>7.6091971428232125E-2</v>
      </c>
      <c r="L57" s="20">
        <v>0</v>
      </c>
    </row>
    <row r="58" spans="1:12">
      <c r="A58" s="2" t="s">
        <v>297</v>
      </c>
      <c r="B58" s="3" t="s">
        <v>298</v>
      </c>
      <c r="D58" s="20">
        <v>0.93244891930945584</v>
      </c>
      <c r="E58" s="20">
        <v>5.9557118910844441E-2</v>
      </c>
      <c r="F58" s="20">
        <v>9.8877906985402793E-5</v>
      </c>
      <c r="G58" s="20">
        <v>3.1116792241921695E-5</v>
      </c>
      <c r="H58" s="20">
        <v>0</v>
      </c>
      <c r="I58" s="20">
        <v>5.9427124211617117E-2</v>
      </c>
      <c r="J58" s="20">
        <v>7.0637135028131588E-5</v>
      </c>
      <c r="K58" s="20">
        <v>7.9233246446716935E-3</v>
      </c>
      <c r="L58" s="20">
        <v>0</v>
      </c>
    </row>
    <row r="59" spans="1:12">
      <c r="A59" s="2" t="s">
        <v>401</v>
      </c>
      <c r="B59" s="3" t="s">
        <v>402</v>
      </c>
      <c r="D59" s="20">
        <v>0.95365218043154154</v>
      </c>
      <c r="E59" s="20">
        <v>1.8112986029334657E-2</v>
      </c>
      <c r="F59" s="20">
        <v>4.5379971727453911E-3</v>
      </c>
      <c r="G59" s="20">
        <v>9.6108052366865402E-4</v>
      </c>
      <c r="H59" s="20">
        <v>0</v>
      </c>
      <c r="I59" s="20">
        <v>1.2613908332920613E-2</v>
      </c>
      <c r="J59" s="20">
        <v>5.225440630587775E-4</v>
      </c>
      <c r="K59" s="20">
        <v>2.7712289476065129E-2</v>
      </c>
      <c r="L59" s="20">
        <v>0</v>
      </c>
    </row>
    <row r="60" spans="1:12">
      <c r="A60" s="2" t="s">
        <v>299</v>
      </c>
      <c r="B60" s="3" t="s">
        <v>300</v>
      </c>
      <c r="D60" s="20">
        <v>0.99881197289904255</v>
      </c>
      <c r="E60" s="20">
        <v>5.365395336679533E-4</v>
      </c>
      <c r="F60" s="20">
        <v>7.0885589361546067E-5</v>
      </c>
      <c r="G60" s="20">
        <v>1.5953409386061649E-5</v>
      </c>
      <c r="H60" s="20">
        <v>0</v>
      </c>
      <c r="I60" s="20">
        <v>4.4970053492034563E-4</v>
      </c>
      <c r="J60" s="20">
        <v>8.8499548077279529E-6</v>
      </c>
      <c r="K60" s="20">
        <v>6.4263761248175481E-4</v>
      </c>
      <c r="L60" s="20">
        <v>0</v>
      </c>
    </row>
    <row r="61" spans="1:12">
      <c r="A61" s="2" t="s">
        <v>403</v>
      </c>
      <c r="B61" s="3" t="s">
        <v>404</v>
      </c>
      <c r="D61" s="20">
        <v>6.7553186368943492E-44</v>
      </c>
      <c r="E61" s="20">
        <v>0.48793796164369713</v>
      </c>
      <c r="F61" s="20">
        <v>4.6635866848659946E-2</v>
      </c>
      <c r="G61" s="20">
        <v>1.0789855014940061E-2</v>
      </c>
      <c r="H61" s="20">
        <v>0</v>
      </c>
      <c r="I61" s="20">
        <v>0.43051223978009712</v>
      </c>
      <c r="J61" s="20">
        <v>6.087993096458349E-3</v>
      </c>
      <c r="K61" s="20">
        <v>0.50597404525984457</v>
      </c>
      <c r="L61" s="20">
        <v>0</v>
      </c>
    </row>
    <row r="62" spans="1:12">
      <c r="A62" s="2" t="s">
        <v>405</v>
      </c>
      <c r="B62" s="3" t="s">
        <v>406</v>
      </c>
      <c r="D62" s="20">
        <v>4.7581525936037783E-7</v>
      </c>
      <c r="E62" s="20">
        <v>0.40363936878606604</v>
      </c>
      <c r="F62" s="20">
        <v>0.2480918974108825</v>
      </c>
      <c r="G62" s="20">
        <v>0.13829552775379844</v>
      </c>
      <c r="H62" s="20">
        <v>0</v>
      </c>
      <c r="I62" s="20">
        <v>1.7251943621385098E-2</v>
      </c>
      <c r="J62" s="20">
        <v>7.5979951992548103E-2</v>
      </c>
      <c r="K62" s="20">
        <v>0.52038020340612656</v>
      </c>
      <c r="L62" s="20">
        <v>0</v>
      </c>
    </row>
    <row r="63" spans="1:12">
      <c r="A63" s="2" t="s">
        <v>407</v>
      </c>
      <c r="B63" s="3" t="s">
        <v>408</v>
      </c>
      <c r="D63" s="20">
        <v>1.2973880283044574E-4</v>
      </c>
      <c r="E63" s="20">
        <v>0.4570417874405534</v>
      </c>
      <c r="F63" s="20">
        <v>8.674493002711077E-2</v>
      </c>
      <c r="G63" s="20">
        <v>0.36850183634367001</v>
      </c>
      <c r="H63" s="20">
        <v>0</v>
      </c>
      <c r="I63" s="20">
        <v>1.795021069772606E-3</v>
      </c>
      <c r="J63" s="20">
        <v>0.20712774274241486</v>
      </c>
      <c r="K63" s="20">
        <v>0.33570073101420117</v>
      </c>
      <c r="L63" s="20">
        <v>0</v>
      </c>
    </row>
    <row r="64" spans="1:12">
      <c r="A64" s="2" t="s">
        <v>409</v>
      </c>
      <c r="B64" s="3" t="s">
        <v>410</v>
      </c>
      <c r="D64" s="20">
        <v>1.7357079349140885E-5</v>
      </c>
      <c r="E64" s="20">
        <v>0.50079981630430925</v>
      </c>
      <c r="F64" s="20">
        <v>5.0506917497724985E-2</v>
      </c>
      <c r="G64" s="20">
        <v>0.44962082601539333</v>
      </c>
      <c r="H64" s="20">
        <v>0</v>
      </c>
      <c r="I64" s="20">
        <v>6.7207279119099067E-4</v>
      </c>
      <c r="J64" s="20">
        <v>0.25486280975044517</v>
      </c>
      <c r="K64" s="20">
        <v>0.24432001686589641</v>
      </c>
      <c r="L64" s="20">
        <v>0</v>
      </c>
    </row>
    <row r="65" spans="1:12">
      <c r="A65" s="2" t="s">
        <v>301</v>
      </c>
      <c r="B65" s="3" t="s">
        <v>302</v>
      </c>
      <c r="D65" s="20">
        <v>2.3047979780234061E-6</v>
      </c>
      <c r="E65" s="20">
        <v>0.54538494003733384</v>
      </c>
      <c r="F65" s="20">
        <v>2.5182977598953691E-2</v>
      </c>
      <c r="G65" s="20">
        <v>0.51999915096095528</v>
      </c>
      <c r="H65" s="20">
        <v>0</v>
      </c>
      <c r="I65" s="20">
        <v>2.0281147742489273E-4</v>
      </c>
      <c r="J65" s="20">
        <v>0.29760711098963727</v>
      </c>
      <c r="K65" s="20">
        <v>0.15700564417505083</v>
      </c>
      <c r="L65" s="20">
        <v>0</v>
      </c>
    </row>
    <row r="66" spans="1:12">
      <c r="A66" s="2" t="s">
        <v>303</v>
      </c>
      <c r="B66" s="3" t="s">
        <v>304</v>
      </c>
      <c r="D66" s="20">
        <v>2.1412123242427105E-12</v>
      </c>
      <c r="E66" s="20">
        <v>0.52125645995094183</v>
      </c>
      <c r="F66" s="20">
        <v>3.7760170732507342E-2</v>
      </c>
      <c r="G66" s="20">
        <v>0.48309162071906064</v>
      </c>
      <c r="H66" s="20">
        <v>0</v>
      </c>
      <c r="I66" s="20">
        <v>4.0466849937387505E-4</v>
      </c>
      <c r="J66" s="20">
        <v>0.27497265337282811</v>
      </c>
      <c r="K66" s="20">
        <v>0.20377088667408877</v>
      </c>
      <c r="L66" s="20">
        <v>0</v>
      </c>
    </row>
    <row r="67" spans="1:12">
      <c r="A67" s="2" t="s">
        <v>411</v>
      </c>
      <c r="B67" s="3" t="s">
        <v>412</v>
      </c>
      <c r="D67" s="20">
        <v>4.7804225557708637E-3</v>
      </c>
      <c r="E67" s="20">
        <v>0.83961153562331792</v>
      </c>
      <c r="F67" s="20">
        <v>2.5998033664532553E-3</v>
      </c>
      <c r="G67" s="20">
        <v>7.8133280174987399E-4</v>
      </c>
      <c r="H67" s="20">
        <v>0</v>
      </c>
      <c r="I67" s="20">
        <v>0.83623039945511479</v>
      </c>
      <c r="J67" s="20">
        <v>1.1719909213291839E-3</v>
      </c>
      <c r="K67" s="20">
        <v>0.15443605089958201</v>
      </c>
      <c r="L67" s="20">
        <v>0</v>
      </c>
    </row>
    <row r="68" spans="1:12">
      <c r="A68" s="2" t="s">
        <v>413</v>
      </c>
      <c r="B68" s="3" t="s">
        <v>414</v>
      </c>
      <c r="D68" s="20">
        <v>1.0490201750044208E-2</v>
      </c>
      <c r="E68" s="20">
        <v>0.78595676787197599</v>
      </c>
      <c r="F68" s="20">
        <v>4.6457737484768488E-3</v>
      </c>
      <c r="G68" s="20">
        <v>1.3309250861007135E-3</v>
      </c>
      <c r="H68" s="20">
        <v>0</v>
      </c>
      <c r="I68" s="20">
        <v>0.77998006903739847</v>
      </c>
      <c r="J68" s="20">
        <v>1.4065232757175348E-3</v>
      </c>
      <c r="K68" s="20">
        <v>0.2021465071022624</v>
      </c>
      <c r="L68" s="20">
        <v>0</v>
      </c>
    </row>
    <row r="69" spans="1:12">
      <c r="A69" s="2" t="s">
        <v>415</v>
      </c>
      <c r="B69" s="3" t="s">
        <v>416</v>
      </c>
      <c r="D69" s="20">
        <v>5.6367337666154513E-3</v>
      </c>
      <c r="E69" s="20">
        <v>0.40629312588607502</v>
      </c>
      <c r="F69" s="20">
        <v>0.16308038860438939</v>
      </c>
      <c r="G69" s="20">
        <v>0.23680850335034925</v>
      </c>
      <c r="H69" s="20">
        <v>0</v>
      </c>
      <c r="I69" s="20">
        <v>6.4042339313363983E-3</v>
      </c>
      <c r="J69" s="20">
        <v>0.13149745762416853</v>
      </c>
      <c r="K69" s="20">
        <v>0.45657268272314094</v>
      </c>
      <c r="L69" s="20">
        <v>0</v>
      </c>
    </row>
    <row r="70" spans="1:12">
      <c r="A70" s="2" t="s">
        <v>417</v>
      </c>
      <c r="B70" s="3" t="s">
        <v>418</v>
      </c>
      <c r="D70" s="20">
        <v>1.1517416661852835E-2</v>
      </c>
      <c r="E70" s="20">
        <v>0.38513204641020127</v>
      </c>
      <c r="F70" s="20">
        <v>0.24707527837182916</v>
      </c>
      <c r="G70" s="20">
        <v>4.5156975752988389E-2</v>
      </c>
      <c r="H70" s="20">
        <v>0</v>
      </c>
      <c r="I70" s="20">
        <v>9.2899792285383698E-2</v>
      </c>
      <c r="J70" s="20">
        <v>2.4405308007966135E-2</v>
      </c>
      <c r="K70" s="20">
        <v>0.57894522891997979</v>
      </c>
      <c r="L70" s="20">
        <v>0</v>
      </c>
    </row>
    <row r="71" spans="1:12">
      <c r="A71" s="2" t="s">
        <v>419</v>
      </c>
      <c r="B71" s="3" t="s">
        <v>420</v>
      </c>
      <c r="D71" s="20">
        <v>2.5624530899819028E-2</v>
      </c>
      <c r="E71" s="20">
        <v>0.78199000419428755</v>
      </c>
      <c r="F71" s="20">
        <v>4.1853341643143232E-3</v>
      </c>
      <c r="G71" s="20">
        <v>1.2078852943945772E-3</v>
      </c>
      <c r="H71" s="20">
        <v>0</v>
      </c>
      <c r="I71" s="20">
        <v>0.77659678473557869</v>
      </c>
      <c r="J71" s="20">
        <v>1.339299801795421E-3</v>
      </c>
      <c r="K71" s="20">
        <v>0.19104616510409808</v>
      </c>
      <c r="L71" s="20">
        <v>0</v>
      </c>
    </row>
    <row r="72" spans="1:12">
      <c r="A72" s="2" t="s">
        <v>421</v>
      </c>
      <c r="B72" s="3" t="s">
        <v>422</v>
      </c>
      <c r="D72" s="20">
        <v>4.493661952993161E-2</v>
      </c>
      <c r="E72" s="20">
        <v>0.36431545180470559</v>
      </c>
      <c r="F72" s="20">
        <v>0.22308717980262535</v>
      </c>
      <c r="G72" s="20">
        <v>4.1301913108240502E-2</v>
      </c>
      <c r="H72" s="20">
        <v>0</v>
      </c>
      <c r="I72" s="20">
        <v>9.9926358893839745E-2</v>
      </c>
      <c r="J72" s="20">
        <v>2.231032593244987E-2</v>
      </c>
      <c r="K72" s="20">
        <v>0.56843760273291299</v>
      </c>
      <c r="L72" s="20">
        <v>0</v>
      </c>
    </row>
    <row r="73" spans="1:12">
      <c r="A73" s="2" t="s">
        <v>423</v>
      </c>
      <c r="B73" s="3" t="s">
        <v>424</v>
      </c>
      <c r="D73" s="20">
        <v>2.0097055676520922E-2</v>
      </c>
      <c r="E73" s="20">
        <v>0.46580854971724145</v>
      </c>
      <c r="F73" s="20">
        <v>4.9682867145481459E-2</v>
      </c>
      <c r="G73" s="20">
        <v>1.1389435669604851E-2</v>
      </c>
      <c r="H73" s="20">
        <v>0</v>
      </c>
      <c r="I73" s="20">
        <v>0.40473624690215515</v>
      </c>
      <c r="J73" s="20">
        <v>6.3854245198756189E-3</v>
      </c>
      <c r="K73" s="20">
        <v>0.50770897008636173</v>
      </c>
      <c r="L73" s="20">
        <v>0</v>
      </c>
    </row>
    <row r="74" spans="1:12">
      <c r="A74" s="2" t="s">
        <v>425</v>
      </c>
      <c r="B74" s="3" t="s">
        <v>426</v>
      </c>
      <c r="D74" s="20">
        <v>1.7460105044005865E-2</v>
      </c>
      <c r="E74" s="20">
        <v>0.3803877357726137</v>
      </c>
      <c r="F74" s="20">
        <v>0.24094674687627457</v>
      </c>
      <c r="G74" s="20">
        <v>4.41994252952582E-2</v>
      </c>
      <c r="H74" s="20">
        <v>0</v>
      </c>
      <c r="I74" s="20">
        <v>9.5241563601080909E-2</v>
      </c>
      <c r="J74" s="20">
        <v>2.3884035511941161E-2</v>
      </c>
      <c r="K74" s="20">
        <v>0.57826812367143943</v>
      </c>
      <c r="L74" s="20">
        <v>0</v>
      </c>
    </row>
    <row r="75" spans="1:12">
      <c r="A75" s="2" t="s">
        <v>427</v>
      </c>
      <c r="B75" s="3" t="s">
        <v>428</v>
      </c>
      <c r="D75" s="20">
        <v>5.09982579833461E-9</v>
      </c>
      <c r="E75" s="20">
        <v>0.96208098173898005</v>
      </c>
      <c r="F75" s="20">
        <v>0.92157264207078382</v>
      </c>
      <c r="G75" s="20">
        <v>3.5561476368646116E-4</v>
      </c>
      <c r="H75" s="20">
        <v>0</v>
      </c>
      <c r="I75" s="20">
        <v>4.0152724904509801E-2</v>
      </c>
      <c r="J75" s="20">
        <v>3.7144743195005825E-2</v>
      </c>
      <c r="K75" s="20">
        <v>7.742699661881879E-4</v>
      </c>
      <c r="L75" s="20">
        <v>0</v>
      </c>
    </row>
    <row r="76" spans="1:12">
      <c r="A76" s="2" t="s">
        <v>429</v>
      </c>
      <c r="B76" s="3" t="s">
        <v>430</v>
      </c>
      <c r="D76" s="20">
        <v>1.2810183289587915E-10</v>
      </c>
      <c r="E76" s="20">
        <v>0.96208098652218144</v>
      </c>
      <c r="F76" s="20">
        <v>0.92157264665258887</v>
      </c>
      <c r="G76" s="20">
        <v>3.5561476545447956E-4</v>
      </c>
      <c r="H76" s="20">
        <v>0</v>
      </c>
      <c r="I76" s="20">
        <v>4.0152725104138066E-2</v>
      </c>
      <c r="J76" s="20">
        <v>3.7144743379679233E-2</v>
      </c>
      <c r="K76" s="20">
        <v>7.7426997003764467E-4</v>
      </c>
      <c r="L76" s="20">
        <v>0</v>
      </c>
    </row>
    <row r="77" spans="1:12">
      <c r="A77" s="2" t="s">
        <v>431</v>
      </c>
      <c r="B77" s="3" t="s">
        <v>432</v>
      </c>
      <c r="D77" s="20">
        <v>5.2089743858776696E-2</v>
      </c>
      <c r="E77" s="20">
        <v>0.35628942529208746</v>
      </c>
      <c r="F77" s="20">
        <v>0.1108221156414326</v>
      </c>
      <c r="G77" s="20">
        <v>2.2915112416598552E-2</v>
      </c>
      <c r="H77" s="20">
        <v>0</v>
      </c>
      <c r="I77" s="20">
        <v>0.22255219723405631</v>
      </c>
      <c r="J77" s="20">
        <v>1.24127361541357E-2</v>
      </c>
      <c r="K77" s="20">
        <v>0.57920809469500001</v>
      </c>
      <c r="L77" s="20">
        <v>0</v>
      </c>
    </row>
    <row r="78" spans="1:12">
      <c r="A78" s="2" t="s">
        <v>433</v>
      </c>
      <c r="B78" s="3" t="s">
        <v>434</v>
      </c>
      <c r="D78" s="20">
        <v>3.8757901259026707E-2</v>
      </c>
      <c r="E78" s="20">
        <v>0.62995298165240521</v>
      </c>
      <c r="F78" s="20">
        <v>1.4771835642016617E-2</v>
      </c>
      <c r="G78" s="20">
        <v>3.8170691019059253E-3</v>
      </c>
      <c r="H78" s="20">
        <v>0</v>
      </c>
      <c r="I78" s="20">
        <v>0.61136407690848271</v>
      </c>
      <c r="J78" s="20">
        <v>2.5566093439776693E-3</v>
      </c>
      <c r="K78" s="20">
        <v>0.32873250774459017</v>
      </c>
      <c r="L78" s="20">
        <v>0</v>
      </c>
    </row>
    <row r="79" spans="1:12">
      <c r="A79" s="2" t="s">
        <v>435</v>
      </c>
      <c r="B79" s="3" t="s">
        <v>436</v>
      </c>
      <c r="D79" s="20">
        <v>1.0534450928444542E-2</v>
      </c>
      <c r="E79" s="20">
        <v>0.53879912492298965</v>
      </c>
      <c r="F79" s="20">
        <v>3.1980564056555777E-2</v>
      </c>
      <c r="G79" s="20">
        <v>7.6909798709597485E-3</v>
      </c>
      <c r="H79" s="20">
        <v>0</v>
      </c>
      <c r="I79" s="20">
        <v>0.49912758099547416</v>
      </c>
      <c r="J79" s="20">
        <v>4.5026499821029381E-3</v>
      </c>
      <c r="K79" s="20">
        <v>0.44616377416646286</v>
      </c>
      <c r="L79" s="20">
        <v>0</v>
      </c>
    </row>
    <row r="80" spans="1:12">
      <c r="A80" s="2" t="s">
        <v>437</v>
      </c>
      <c r="B80" s="3" t="s">
        <v>438</v>
      </c>
      <c r="D80" s="20">
        <v>1.7840913060370689E-9</v>
      </c>
      <c r="E80" s="20">
        <v>0.92861333082362096</v>
      </c>
      <c r="F80" s="20">
        <v>0.90134552951908409</v>
      </c>
      <c r="G80" s="20">
        <v>6.6810007136322103E-4</v>
      </c>
      <c r="H80" s="20">
        <v>0</v>
      </c>
      <c r="I80" s="20">
        <v>2.6599701233173699E-2</v>
      </c>
      <c r="J80" s="20">
        <v>7.0464618079070326E-2</v>
      </c>
      <c r="K80" s="20">
        <v>9.2204931321728336E-4</v>
      </c>
      <c r="L80" s="20">
        <v>0</v>
      </c>
    </row>
    <row r="81" spans="1:12">
      <c r="A81" s="2" t="s">
        <v>440</v>
      </c>
      <c r="B81" s="3" t="s">
        <v>441</v>
      </c>
      <c r="D81" s="20">
        <v>1.8430737373890313E-13</v>
      </c>
      <c r="E81" s="20">
        <v>0.97019482676190694</v>
      </c>
      <c r="F81" s="20">
        <v>9.0994873512270915E-5</v>
      </c>
      <c r="G81" s="20">
        <v>3.5392601075486478E-5</v>
      </c>
      <c r="H81" s="20">
        <v>0</v>
      </c>
      <c r="I81" s="20">
        <v>0.97006843928731923</v>
      </c>
      <c r="J81" s="20">
        <v>9.1001270880995948E-4</v>
      </c>
      <c r="K81" s="20">
        <v>2.8895160529098605E-2</v>
      </c>
      <c r="L81" s="20">
        <v>0</v>
      </c>
    </row>
    <row r="82" spans="1:12">
      <c r="A82" s="2" t="s">
        <v>442</v>
      </c>
      <c r="B82" s="3" t="s">
        <v>443</v>
      </c>
      <c r="D82" s="20">
        <v>8.7692012810110882E-5</v>
      </c>
      <c r="E82" s="20">
        <v>0.77249362602813465</v>
      </c>
      <c r="F82" s="20">
        <v>5.8510559837036081E-3</v>
      </c>
      <c r="G82" s="20">
        <v>1.6456209548181844E-3</v>
      </c>
      <c r="H82" s="20">
        <v>0</v>
      </c>
      <c r="I82" s="20">
        <v>0.76499694908961291</v>
      </c>
      <c r="J82" s="20">
        <v>1.5570616284872356E-3</v>
      </c>
      <c r="K82" s="20">
        <v>0.22586162033056789</v>
      </c>
      <c r="L82" s="20">
        <v>0</v>
      </c>
    </row>
    <row r="83" spans="1:12">
      <c r="A83" s="2" t="s">
        <v>444</v>
      </c>
      <c r="B83" s="3" t="s">
        <v>445</v>
      </c>
      <c r="D83" s="20">
        <v>1.0554431813978268E-3</v>
      </c>
      <c r="E83" s="20">
        <v>0.38773670510428271</v>
      </c>
      <c r="F83" s="20">
        <v>0.10057940761244152</v>
      </c>
      <c r="G83" s="20">
        <v>2.1222895164703447E-2</v>
      </c>
      <c r="H83" s="20">
        <v>0</v>
      </c>
      <c r="I83" s="20">
        <v>0.26593440232713772</v>
      </c>
      <c r="J83" s="20">
        <v>1.1531035230656411E-2</v>
      </c>
      <c r="K83" s="20">
        <v>0.59967681648366311</v>
      </c>
      <c r="L83" s="20">
        <v>0</v>
      </c>
    </row>
    <row r="84" spans="1:12">
      <c r="A84" s="2" t="s">
        <v>446</v>
      </c>
      <c r="B84" s="3" t="s">
        <v>447</v>
      </c>
      <c r="D84" s="20">
        <v>5.6737285397230422E-15</v>
      </c>
      <c r="E84" s="20">
        <v>0.93690081960876004</v>
      </c>
      <c r="F84" s="20">
        <v>4.0883001043876411E-4</v>
      </c>
      <c r="G84" s="20">
        <v>1.4198364570836242E-4</v>
      </c>
      <c r="H84" s="20">
        <v>0</v>
      </c>
      <c r="I84" s="20">
        <v>0.93635000595261286</v>
      </c>
      <c r="J84" s="20">
        <v>9.3346240869318132E-4</v>
      </c>
      <c r="K84" s="20">
        <v>6.2165717982541113E-2</v>
      </c>
      <c r="L84" s="20">
        <v>0</v>
      </c>
    </row>
    <row r="85" spans="1:12">
      <c r="A85" s="2" t="s">
        <v>448</v>
      </c>
      <c r="B85" s="3" t="s">
        <v>449</v>
      </c>
      <c r="D85" s="20">
        <v>3.9715321428084127E-8</v>
      </c>
      <c r="E85" s="20">
        <v>0.98704814027158372</v>
      </c>
      <c r="F85" s="20">
        <v>1.6696763537946743E-5</v>
      </c>
      <c r="G85" s="20">
        <v>7.3676307537423639E-6</v>
      </c>
      <c r="H85" s="20">
        <v>0</v>
      </c>
      <c r="I85" s="20">
        <v>0.98702407587729202</v>
      </c>
      <c r="J85" s="20">
        <v>9.1143200318440315E-4</v>
      </c>
      <c r="K85" s="20">
        <v>1.204038800991054E-2</v>
      </c>
      <c r="L85" s="20">
        <v>0</v>
      </c>
    </row>
    <row r="86" spans="1:12">
      <c r="A86" s="2" t="s">
        <v>450</v>
      </c>
      <c r="B86" s="3" t="s">
        <v>451</v>
      </c>
      <c r="D86" s="20">
        <v>1.4271073135269884E-8</v>
      </c>
      <c r="E86" s="20">
        <v>0.93840318496958364</v>
      </c>
      <c r="F86" s="20">
        <v>3.8952097326323668E-4</v>
      </c>
      <c r="G86" s="20">
        <v>1.3577706045191988E-4</v>
      </c>
      <c r="H86" s="20">
        <v>0</v>
      </c>
      <c r="I86" s="20">
        <v>0.93787788693586849</v>
      </c>
      <c r="J86" s="20">
        <v>9.3168472694208184E-4</v>
      </c>
      <c r="K86" s="20">
        <v>6.0665116032400913E-2</v>
      </c>
      <c r="L86" s="20">
        <v>0</v>
      </c>
    </row>
    <row r="87" spans="1:12">
      <c r="A87" s="2" t="s">
        <v>452</v>
      </c>
      <c r="B87" s="3" t="s">
        <v>453</v>
      </c>
      <c r="D87" s="20">
        <v>2.355433556461616E-7</v>
      </c>
      <c r="E87" s="20">
        <v>0.44182068502768684</v>
      </c>
      <c r="F87" s="20">
        <v>0.10397886506810272</v>
      </c>
      <c r="G87" s="20">
        <v>0.33530546213837659</v>
      </c>
      <c r="H87" s="20">
        <v>0</v>
      </c>
      <c r="I87" s="20">
        <v>2.5363578212075138E-3</v>
      </c>
      <c r="J87" s="20">
        <v>0.1878794659658729</v>
      </c>
      <c r="K87" s="20">
        <v>0.37029961346308465</v>
      </c>
      <c r="L87" s="20">
        <v>0</v>
      </c>
    </row>
    <row r="88" spans="1:12">
      <c r="A88" s="2" t="s">
        <v>454</v>
      </c>
      <c r="B88" s="3" t="s">
        <v>455</v>
      </c>
      <c r="D88" s="20">
        <v>4.498272697030356E-5</v>
      </c>
      <c r="E88" s="20">
        <v>0.6935545833429223</v>
      </c>
      <c r="F88" s="20">
        <v>1.1558992843625467E-2</v>
      </c>
      <c r="G88" s="20">
        <v>3.0648946441512465E-3</v>
      </c>
      <c r="H88" s="20">
        <v>0</v>
      </c>
      <c r="I88" s="20">
        <v>0.67893069585514554</v>
      </c>
      <c r="J88" s="20">
        <v>2.2221672626591442E-3</v>
      </c>
      <c r="K88" s="20">
        <v>0.30417826666744824</v>
      </c>
      <c r="L88" s="20">
        <v>0</v>
      </c>
    </row>
    <row r="89" spans="1:12">
      <c r="A89" s="2" t="s">
        <v>456</v>
      </c>
      <c r="B89" s="3" t="s">
        <v>457</v>
      </c>
      <c r="D89" s="20">
        <v>2.9166800386285782E-17</v>
      </c>
      <c r="E89" s="20">
        <v>0.75881091851601057</v>
      </c>
      <c r="F89" s="20">
        <v>6.6674996917998252E-3</v>
      </c>
      <c r="G89" s="20">
        <v>1.8546354624295765E-3</v>
      </c>
      <c r="H89" s="20">
        <v>0</v>
      </c>
      <c r="I89" s="20">
        <v>0.75028878336178118</v>
      </c>
      <c r="J89" s="20">
        <v>1.6528624113375555E-3</v>
      </c>
      <c r="K89" s="20">
        <v>0.23953621907265191</v>
      </c>
      <c r="L89" s="20">
        <v>0</v>
      </c>
    </row>
    <row r="90" spans="1:12">
      <c r="A90" s="2" t="s">
        <v>458</v>
      </c>
      <c r="B90" s="3" t="s">
        <v>459</v>
      </c>
      <c r="D90" s="20">
        <v>4.2595317611856165E-29</v>
      </c>
      <c r="E90" s="20">
        <v>0.88030681804308908</v>
      </c>
      <c r="F90" s="20">
        <v>1.4984286763216044E-3</v>
      </c>
      <c r="G90" s="20">
        <v>4.7068637959758047E-4</v>
      </c>
      <c r="H90" s="20">
        <v>0</v>
      </c>
      <c r="I90" s="20">
        <v>0.87833770298716984</v>
      </c>
      <c r="J90" s="20">
        <v>1.0495967869944515E-3</v>
      </c>
      <c r="K90" s="20">
        <v>0.11864358516991667</v>
      </c>
      <c r="L90" s="20">
        <v>0</v>
      </c>
    </row>
    <row r="91" spans="1:12">
      <c r="A91" s="2" t="s">
        <v>460</v>
      </c>
      <c r="B91" s="3" t="s">
        <v>461</v>
      </c>
      <c r="D91" s="20">
        <v>2.2233522786145809E-7</v>
      </c>
      <c r="E91" s="20">
        <v>0.40154019111305816</v>
      </c>
      <c r="F91" s="20">
        <v>0.23506203667797124</v>
      </c>
      <c r="G91" s="20">
        <v>0.15148793658699117</v>
      </c>
      <c r="H91" s="20">
        <v>0</v>
      </c>
      <c r="I91" s="20">
        <v>1.4990217848095764E-2</v>
      </c>
      <c r="J91" s="20">
        <v>8.3360617489084313E-2</v>
      </c>
      <c r="K91" s="20">
        <v>0.51509896906262975</v>
      </c>
      <c r="L91" s="20">
        <v>0</v>
      </c>
    </row>
    <row r="92" spans="1:12">
      <c r="A92" s="2" t="s">
        <v>462</v>
      </c>
      <c r="B92" s="3" t="s">
        <v>463</v>
      </c>
      <c r="D92" s="20">
        <v>8.1219658325068222E-9</v>
      </c>
      <c r="E92" s="20">
        <v>0.4183826199689572</v>
      </c>
      <c r="F92" s="20">
        <v>7.6477797666814312E-2</v>
      </c>
      <c r="G92" s="20">
        <v>1.6712096258360294E-2</v>
      </c>
      <c r="H92" s="20">
        <v>0</v>
      </c>
      <c r="I92" s="20">
        <v>0.32519272604378258</v>
      </c>
      <c r="J92" s="20">
        <v>9.1594641207105275E-3</v>
      </c>
      <c r="K92" s="20">
        <v>0.57245790778836625</v>
      </c>
      <c r="L92" s="20">
        <v>0</v>
      </c>
    </row>
    <row r="93" spans="1:12">
      <c r="A93" s="2" t="s">
        <v>464</v>
      </c>
      <c r="B93" s="3" t="s">
        <v>465</v>
      </c>
      <c r="D93" s="20">
        <v>6.2920968430829876E-4</v>
      </c>
      <c r="E93" s="20">
        <v>0.37057946386192808</v>
      </c>
      <c r="F93" s="20">
        <v>0.20657112428693289</v>
      </c>
      <c r="G93" s="20">
        <v>3.9098956661174293E-2</v>
      </c>
      <c r="H93" s="20">
        <v>0</v>
      </c>
      <c r="I93" s="20">
        <v>0.12490938291382091</v>
      </c>
      <c r="J93" s="20">
        <v>2.1107330107555108E-2</v>
      </c>
      <c r="K93" s="20">
        <v>0.60768399634620862</v>
      </c>
      <c r="L93" s="20">
        <v>0</v>
      </c>
    </row>
    <row r="94" spans="1:12">
      <c r="A94" s="2" t="s">
        <v>466</v>
      </c>
      <c r="B94" s="3" t="s">
        <v>467</v>
      </c>
      <c r="D94" s="20">
        <v>2.0168964698796446E-18</v>
      </c>
      <c r="E94" s="20">
        <v>0.99882142568804233</v>
      </c>
      <c r="F94" s="20">
        <v>1.1551274109358665E-2</v>
      </c>
      <c r="G94" s="20">
        <v>1.5179881602144109E-6</v>
      </c>
      <c r="H94" s="20">
        <v>0</v>
      </c>
      <c r="I94" s="20">
        <v>0.98726863359052341</v>
      </c>
      <c r="J94" s="20">
        <v>1.0031939287103847E-3</v>
      </c>
      <c r="K94" s="20">
        <v>1.7538038324719813E-4</v>
      </c>
      <c r="L94" s="20">
        <v>0</v>
      </c>
    </row>
    <row r="95" spans="1:12">
      <c r="A95" s="2" t="s">
        <v>468</v>
      </c>
      <c r="B95" s="3" t="s">
        <v>469</v>
      </c>
      <c r="D95" s="20">
        <v>9.1946267599200761E-18</v>
      </c>
      <c r="E95" s="20">
        <v>0.43366049387214733</v>
      </c>
      <c r="F95" s="20">
        <v>0.31879266433211378</v>
      </c>
      <c r="G95" s="20">
        <v>7.8868553335934635E-2</v>
      </c>
      <c r="H95" s="20">
        <v>0</v>
      </c>
      <c r="I95" s="20">
        <v>3.5999276204098887E-2</v>
      </c>
      <c r="J95" s="20">
        <v>4.2960250355679526E-2</v>
      </c>
      <c r="K95" s="20">
        <v>0.52337925577217304</v>
      </c>
      <c r="L95" s="20">
        <v>0</v>
      </c>
    </row>
    <row r="96" spans="1:12">
      <c r="A96" s="2" t="s">
        <v>470</v>
      </c>
      <c r="B96" s="163">
        <v>354656</v>
      </c>
      <c r="D96" s="20">
        <v>3.6746662442960234E-10</v>
      </c>
      <c r="E96" s="20">
        <v>0.96907738131247456</v>
      </c>
      <c r="F96" s="20">
        <v>9.7969775942640311E-5</v>
      </c>
      <c r="G96" s="20">
        <v>3.7895502494605213E-5</v>
      </c>
      <c r="H96" s="20">
        <v>0</v>
      </c>
      <c r="I96" s="20">
        <v>0.96894151603403733</v>
      </c>
      <c r="J96" s="20">
        <v>9.1024770931682835E-4</v>
      </c>
      <c r="K96" s="20">
        <v>3.0012370610741836E-2</v>
      </c>
      <c r="L96" s="20">
        <v>0</v>
      </c>
    </row>
    <row r="97" spans="1:12">
      <c r="A97" s="2" t="s">
        <v>472</v>
      </c>
      <c r="B97" s="3" t="s">
        <v>473</v>
      </c>
      <c r="D97" s="20">
        <v>5.6698015713445552E-10</v>
      </c>
      <c r="E97" s="20">
        <v>0.93613668964644203</v>
      </c>
      <c r="F97" s="20">
        <v>4.1883414018622313E-4</v>
      </c>
      <c r="G97" s="20">
        <v>1.4519030922963879E-4</v>
      </c>
      <c r="H97" s="20">
        <v>0</v>
      </c>
      <c r="I97" s="20">
        <v>0.9355726651970262</v>
      </c>
      <c r="J97" s="20">
        <v>9.3439233456431108E-4</v>
      </c>
      <c r="K97" s="20">
        <v>6.2928917452013483E-2</v>
      </c>
      <c r="L97" s="20">
        <v>0</v>
      </c>
    </row>
    <row r="98" spans="1:12">
      <c r="A98" s="2" t="s">
        <v>474</v>
      </c>
      <c r="B98" s="3" t="s">
        <v>475</v>
      </c>
      <c r="D98" s="20">
        <v>1.877815992198164E-19</v>
      </c>
      <c r="E98" s="20">
        <v>0.4114683347352</v>
      </c>
      <c r="F98" s="20">
        <v>0.2865017296774201</v>
      </c>
      <c r="G98" s="20">
        <v>5.093576153346608E-2</v>
      </c>
      <c r="H98" s="20">
        <v>0</v>
      </c>
      <c r="I98" s="20">
        <v>7.4030843524313814E-2</v>
      </c>
      <c r="J98" s="20">
        <v>2.7567093089476934E-2</v>
      </c>
      <c r="K98" s="20">
        <v>0.56096457217532314</v>
      </c>
      <c r="L98" s="20">
        <v>0</v>
      </c>
    </row>
    <row r="99" spans="1:12">
      <c r="A99" s="2" t="s">
        <v>476</v>
      </c>
      <c r="B99" s="3" t="s">
        <v>477</v>
      </c>
      <c r="D99" s="20">
        <v>1.7333227441928694E-7</v>
      </c>
      <c r="E99" s="20">
        <v>0.99075067694238728</v>
      </c>
      <c r="F99" s="20">
        <v>8.2177637298696711E-6</v>
      </c>
      <c r="G99" s="20">
        <v>3.8216350024920547E-6</v>
      </c>
      <c r="H99" s="20">
        <v>0</v>
      </c>
      <c r="I99" s="20">
        <v>0.99073863754365488</v>
      </c>
      <c r="J99" s="20">
        <v>9.1307044060993567E-4</v>
      </c>
      <c r="K99" s="20">
        <v>8.3360792847284957E-3</v>
      </c>
      <c r="L99" s="20">
        <v>0</v>
      </c>
    </row>
    <row r="100" spans="1:12">
      <c r="A100" s="2" t="s">
        <v>478</v>
      </c>
      <c r="B100" s="3" t="s">
        <v>479</v>
      </c>
      <c r="D100" s="20">
        <v>6.6515462183228879E-11</v>
      </c>
      <c r="E100" s="20">
        <v>0.56999239502900689</v>
      </c>
      <c r="F100" s="20">
        <v>2.741554148204917E-2</v>
      </c>
      <c r="G100" s="20">
        <v>6.7033575279188814E-3</v>
      </c>
      <c r="H100" s="20">
        <v>0</v>
      </c>
      <c r="I100" s="20">
        <v>0.53587349601903889</v>
      </c>
      <c r="J100" s="20">
        <v>4.012102471268526E-3</v>
      </c>
      <c r="K100" s="20">
        <v>0.42599550243320899</v>
      </c>
      <c r="L100" s="20">
        <v>0</v>
      </c>
    </row>
    <row r="101" spans="1:12">
      <c r="A101" s="2" t="s">
        <v>480</v>
      </c>
      <c r="B101" s="3" t="s">
        <v>481</v>
      </c>
      <c r="D101" s="20">
        <v>4.6644405177176281E-11</v>
      </c>
      <c r="E101" s="20">
        <v>0.98512932956038546</v>
      </c>
      <c r="F101" s="20">
        <v>2.2216404497987801E-5</v>
      </c>
      <c r="G101" s="20">
        <v>9.5977477043181463E-6</v>
      </c>
      <c r="H101" s="20">
        <v>0</v>
      </c>
      <c r="I101" s="20">
        <v>0.98509751540818313</v>
      </c>
      <c r="J101" s="20">
        <v>9.1078155557355986E-4</v>
      </c>
      <c r="K101" s="20">
        <v>1.3959888837396718E-2</v>
      </c>
      <c r="L101" s="20">
        <v>0</v>
      </c>
    </row>
    <row r="102" spans="1:12">
      <c r="A102" s="2" t="s">
        <v>482</v>
      </c>
      <c r="B102" s="3" t="s">
        <v>483</v>
      </c>
      <c r="D102" s="20">
        <v>2.9310145450669394E-27</v>
      </c>
      <c r="E102" s="20">
        <v>0.99553995075316348</v>
      </c>
      <c r="F102" s="20">
        <v>1.5852296564323966E-6</v>
      </c>
      <c r="G102" s="20">
        <v>8.3250671244340244E-7</v>
      </c>
      <c r="H102" s="20">
        <v>0</v>
      </c>
      <c r="I102" s="20">
        <v>0.9955375330167946</v>
      </c>
      <c r="J102" s="20">
        <v>9.1599488849135866E-4</v>
      </c>
      <c r="K102" s="20">
        <v>3.5440543583451722E-3</v>
      </c>
      <c r="L102" s="20">
        <v>0</v>
      </c>
    </row>
    <row r="103" spans="1:12">
      <c r="A103" s="2" t="s">
        <v>484</v>
      </c>
      <c r="B103" s="3" t="s">
        <v>485</v>
      </c>
      <c r="D103" s="20">
        <v>2.3380077027370962E-13</v>
      </c>
      <c r="E103" s="20">
        <v>0.99101577371076943</v>
      </c>
      <c r="F103" s="20">
        <v>7.7218285127548194E-6</v>
      </c>
      <c r="G103" s="20">
        <v>3.6075778180005461E-6</v>
      </c>
      <c r="H103" s="20">
        <v>0</v>
      </c>
      <c r="I103" s="20">
        <v>0.99100444430443868</v>
      </c>
      <c r="J103" s="20">
        <v>9.1320786931149581E-4</v>
      </c>
      <c r="K103" s="20">
        <v>8.071018419685232E-3</v>
      </c>
      <c r="L103" s="20">
        <v>0</v>
      </c>
    </row>
    <row r="104" spans="1:12">
      <c r="A104" s="2" t="s">
        <v>486</v>
      </c>
      <c r="B104" s="3" t="s">
        <v>487</v>
      </c>
      <c r="D104" s="20">
        <v>2.8851458145567828E-9</v>
      </c>
      <c r="E104" s="20">
        <v>0.95368315380472568</v>
      </c>
      <c r="F104" s="20">
        <v>2.2000977762724549E-4</v>
      </c>
      <c r="G104" s="20">
        <v>8.0082484333709853E-5</v>
      </c>
      <c r="H104" s="20">
        <v>0</v>
      </c>
      <c r="I104" s="20">
        <v>0.95338306154276475</v>
      </c>
      <c r="J104" s="20">
        <v>9.1743758657416566E-4</v>
      </c>
      <c r="K104" s="20">
        <v>4.5399405723554477E-2</v>
      </c>
      <c r="L104" s="20">
        <v>0</v>
      </c>
    </row>
    <row r="105" spans="1:12">
      <c r="A105" s="2" t="s">
        <v>488</v>
      </c>
      <c r="B105" s="3" t="s">
        <v>489</v>
      </c>
      <c r="D105" s="20">
        <v>2.3310388136864801E-16</v>
      </c>
      <c r="E105" s="20">
        <v>0.99483407700114002</v>
      </c>
      <c r="F105" s="20">
        <v>2.2481418995955812E-6</v>
      </c>
      <c r="G105" s="20">
        <v>1.1505865029661726E-6</v>
      </c>
      <c r="H105" s="20">
        <v>0</v>
      </c>
      <c r="I105" s="20">
        <v>0.99483067827273741</v>
      </c>
      <c r="J105" s="20">
        <v>9.1550241842433186E-4</v>
      </c>
      <c r="K105" s="20">
        <v>4.2504205804355308E-3</v>
      </c>
      <c r="L105" s="20">
        <v>0</v>
      </c>
    </row>
    <row r="106" spans="1:12">
      <c r="A106" s="2" t="s">
        <v>490</v>
      </c>
      <c r="B106" s="3" t="s">
        <v>491</v>
      </c>
      <c r="D106" s="20">
        <v>1.3028644335998748E-8</v>
      </c>
      <c r="E106" s="20">
        <v>0.85033008015208644</v>
      </c>
      <c r="F106" s="20">
        <v>2.3832710824965631E-3</v>
      </c>
      <c r="G106" s="20">
        <v>7.2155426630255012E-4</v>
      </c>
      <c r="H106" s="20">
        <v>0</v>
      </c>
      <c r="I106" s="20">
        <v>0.84722525480328736</v>
      </c>
      <c r="J106" s="20">
        <v>1.1510391569863143E-3</v>
      </c>
      <c r="K106" s="20">
        <v>0.14851886766228295</v>
      </c>
      <c r="L106" s="20">
        <v>0</v>
      </c>
    </row>
    <row r="107" spans="1:12">
      <c r="A107" s="2" t="s">
        <v>492</v>
      </c>
      <c r="B107" s="3" t="s">
        <v>493</v>
      </c>
      <c r="D107" s="20">
        <v>9.5624502304787378E-16</v>
      </c>
      <c r="E107" s="20">
        <v>0.43457611594695367</v>
      </c>
      <c r="F107" s="20">
        <v>0.31947979912375124</v>
      </c>
      <c r="G107" s="20">
        <v>5.545477634347061E-2</v>
      </c>
      <c r="H107" s="20">
        <v>0</v>
      </c>
      <c r="I107" s="20">
        <v>5.964154047973181E-2</v>
      </c>
      <c r="J107" s="20">
        <v>3.0056895351064091E-2</v>
      </c>
      <c r="K107" s="20">
        <v>0.53536698870198141</v>
      </c>
      <c r="L107" s="20">
        <v>0</v>
      </c>
    </row>
    <row r="108" spans="1:12">
      <c r="A108" s="2" t="s">
        <v>291</v>
      </c>
      <c r="B108" s="3" t="s">
        <v>494</v>
      </c>
      <c r="D108" s="20">
        <v>3.6243609642960319E-10</v>
      </c>
      <c r="E108" s="20">
        <v>0.61005128911336559</v>
      </c>
      <c r="F108" s="20">
        <v>2.1042903285095376E-2</v>
      </c>
      <c r="G108" s="20">
        <v>5.279602362271838E-3</v>
      </c>
      <c r="H108" s="20">
        <v>0</v>
      </c>
      <c r="I108" s="20">
        <v>0.58372878346599832</v>
      </c>
      <c r="J108" s="20">
        <v>3.302422548012403E-3</v>
      </c>
      <c r="K108" s="20">
        <v>0.38664628797618583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D394-3F34-4623-AF75-E680F6665972}">
  <dimension ref="A1:D108"/>
  <sheetViews>
    <sheetView tabSelected="1" topLeftCell="A76" workbookViewId="0">
      <selection activeCell="A84" sqref="A84:D108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5.2842557708372231E-8</v>
      </c>
      <c r="B2">
        <f>'Mass Balance'!E2</f>
        <v>3.2300284518234574E-5</v>
      </c>
      <c r="C2">
        <f>SUM('Mass Balance'!E2:H2)</f>
        <v>3.2498646260529228E-5</v>
      </c>
      <c r="D2">
        <f>Concentrations!F2/Concentrations!E2</f>
        <v>0.99428391917831205</v>
      </c>
    </row>
    <row r="3" spans="1:4">
      <c r="A3">
        <f>'Mass Balance'!I3</f>
        <v>6.9040659143513699E-6</v>
      </c>
      <c r="B3">
        <f>'Mass Balance'!E3</f>
        <v>1.2331435706258566E-7</v>
      </c>
      <c r="C3">
        <f>SUM('Mass Balance'!E3:H3)</f>
        <v>1.7025709230543608E-5</v>
      </c>
      <c r="D3">
        <f>Concentrations!F3/Concentrations!E3</f>
        <v>7.2456569655418761E-3</v>
      </c>
    </row>
    <row r="4" spans="1:4">
      <c r="A4">
        <f>'Mass Balance'!I4</f>
        <v>1.924874693057038E-7</v>
      </c>
      <c r="B4">
        <f>'Mass Balance'!E4</f>
        <v>1.9615022159192935E-5</v>
      </c>
      <c r="C4">
        <f>SUM('Mass Balance'!E4:H4)</f>
        <v>2.1335613781157598E-5</v>
      </c>
      <c r="D4">
        <f>Concentrations!F4/Concentrations!E4</f>
        <v>0.91971442972599593</v>
      </c>
    </row>
    <row r="5" spans="1:4">
      <c r="A5">
        <f>'Mass Balance'!I5</f>
        <v>1.9334033690826397E-6</v>
      </c>
      <c r="B5">
        <f>'Mass Balance'!E5</f>
        <v>1.2536783861852577E-6</v>
      </c>
      <c r="C5">
        <f>SUM('Mass Balance'!E5:H5)</f>
        <v>1.7008638563289398E-5</v>
      </c>
      <c r="D5">
        <f>Concentrations!F5/Concentrations!E5</f>
        <v>7.3737078138436107E-2</v>
      </c>
    </row>
    <row r="6" spans="1:4">
      <c r="A6">
        <f>'Mass Balance'!I6</f>
        <v>8.682204028226906E-6</v>
      </c>
      <c r="B6">
        <f>'Mass Balance'!E6</f>
        <v>5.9586042413266808E-8</v>
      </c>
      <c r="C6">
        <f>SUM('Mass Balance'!E6:H6)</f>
        <v>1.8620584642529479E-5</v>
      </c>
      <c r="D6">
        <f>Concentrations!F6/Concentrations!E6</f>
        <v>3.2012571914110176E-3</v>
      </c>
    </row>
    <row r="7" spans="1:4">
      <c r="A7">
        <f>'Mass Balance'!I7</f>
        <v>7.2683290981539955E-6</v>
      </c>
      <c r="B7">
        <f>'Mass Balance'!E7</f>
        <v>1.1286380509166476E-7</v>
      </c>
      <c r="C7">
        <f>SUM('Mass Balance'!E7:H7)</f>
        <v>1.7490027419612286E-5</v>
      </c>
      <c r="D7">
        <f>Concentrations!F7/Concentrations!E7</f>
        <v>6.4555542634555903E-3</v>
      </c>
    </row>
    <row r="8" spans="1:4">
      <c r="A8">
        <f>'Mass Balance'!I8</f>
        <v>5.4805825596112415E-6</v>
      </c>
      <c r="B8">
        <f>'Mass Balance'!E8</f>
        <v>2.3753180392321362E-7</v>
      </c>
      <c r="C8">
        <f>SUM('Mass Balance'!E8:H8)</f>
        <v>1.6415440212628534E-5</v>
      </c>
      <c r="D8">
        <f>Concentrations!F8/Concentrations!E8</f>
        <v>1.4475666589305134E-2</v>
      </c>
    </row>
    <row r="9" spans="1:4">
      <c r="A9">
        <f>'Mass Balance'!I9</f>
        <v>7.0220239365357827E-7</v>
      </c>
      <c r="B9">
        <f>'Mass Balance'!E9</f>
        <v>6.6043218588329984E-6</v>
      </c>
      <c r="C9">
        <f>SUM('Mass Balance'!E9:H9)</f>
        <v>1.452881777313358E-5</v>
      </c>
      <c r="D9">
        <f>Concentrations!F9/Concentrations!E9</f>
        <v>0.45474432916135371</v>
      </c>
    </row>
    <row r="10" spans="1:4">
      <c r="A10">
        <f>'Mass Balance'!I10</f>
        <v>2.0609092664492065E-6</v>
      </c>
      <c r="B10">
        <f>'Mass Balance'!E10</f>
        <v>1.1619065153877036E-6</v>
      </c>
      <c r="C10">
        <f>SUM('Mass Balance'!E10:H10)</f>
        <v>1.6856710489351979E-5</v>
      </c>
      <c r="D10">
        <f>Concentrations!F10/Concentrations!E10</f>
        <v>6.895530717026728E-2</v>
      </c>
    </row>
    <row r="11" spans="1:4">
      <c r="A11">
        <f>'Mass Balance'!I11</f>
        <v>2.2848477044170951E-6</v>
      </c>
      <c r="B11">
        <f>'Mass Balance'!E11</f>
        <v>1.0202519010408938E-6</v>
      </c>
      <c r="C11">
        <f>SUM('Mass Balance'!E11:H11)</f>
        <v>1.6612062101785926E-5</v>
      </c>
      <c r="D11">
        <f>Concentrations!F11/Concentrations!E11</f>
        <v>6.1440282663387712E-2</v>
      </c>
    </row>
    <row r="12" spans="1:4">
      <c r="A12">
        <f>'Mass Balance'!I12</f>
        <v>8.5204702424015042E-7</v>
      </c>
      <c r="B12">
        <f>'Mass Balance'!E12</f>
        <v>4.9266241041554591E-6</v>
      </c>
      <c r="C12">
        <f>SUM('Mass Balance'!E12:H12)</f>
        <v>1.4858685835605576E-5</v>
      </c>
      <c r="D12">
        <f>Concentrations!F12/Concentrations!E12</f>
        <v>0.33169457264537172</v>
      </c>
    </row>
    <row r="13" spans="1:4">
      <c r="A13">
        <f>'Mass Balance'!I13</f>
        <v>7.1584388072811961E-7</v>
      </c>
      <c r="B13">
        <f>'Mass Balance'!E13</f>
        <v>6.4282815894999527E-6</v>
      </c>
      <c r="C13">
        <f>SUM('Mass Balance'!E13:H13)</f>
        <v>1.453221905070151E-5</v>
      </c>
      <c r="D13">
        <f>Concentrations!F13/Concentrations!E13</f>
        <v>0.44251938025974874</v>
      </c>
    </row>
    <row r="14" spans="1:4">
      <c r="A14">
        <f>'Mass Balance'!I14</f>
        <v>3.0960693729756521E-6</v>
      </c>
      <c r="B14">
        <f>'Mass Balance'!E14</f>
        <v>6.7095238000178307E-7</v>
      </c>
      <c r="C14">
        <f>SUM('Mass Balance'!E14:H14)</f>
        <v>1.6121666410432768E-5</v>
      </c>
      <c r="D14">
        <f>Concentrations!F14/Concentrations!E14</f>
        <v>4.1634284508650317E-2</v>
      </c>
    </row>
    <row r="15" spans="1:4">
      <c r="A15">
        <f>'Mass Balance'!I15</f>
        <v>2.1710909260948111E-6</v>
      </c>
      <c r="B15">
        <f>'Mass Balance'!E15</f>
        <v>1.0893330262446577E-6</v>
      </c>
      <c r="C15">
        <f>SUM('Mass Balance'!E15:H15)</f>
        <v>1.6732733555440012E-5</v>
      </c>
      <c r="D15">
        <f>Concentrations!F15/Concentrations!E15</f>
        <v>6.512730593821664E-2</v>
      </c>
    </row>
    <row r="16" spans="1:4">
      <c r="A16">
        <f>'Mass Balance'!I16</f>
        <v>5.3960223440490697E-6</v>
      </c>
      <c r="B16">
        <f>'Mass Balance'!E16</f>
        <v>2.4503647784700844E-7</v>
      </c>
      <c r="C16">
        <f>SUM('Mass Balance'!E16:H16)</f>
        <v>1.6361667047762412E-5</v>
      </c>
      <c r="D16">
        <f>Concentrations!F16/Concentrations!E16</f>
        <v>1.4982094392090271E-2</v>
      </c>
    </row>
    <row r="17" spans="1:4">
      <c r="A17">
        <f>'Mass Balance'!I17</f>
        <v>1.9756464628562838E-6</v>
      </c>
      <c r="B17">
        <f>'Mass Balance'!E17</f>
        <v>1.2227086838466588E-6</v>
      </c>
      <c r="C17">
        <f>SUM('Mass Balance'!E17:H17)</f>
        <v>1.6960372536268046E-5</v>
      </c>
      <c r="D17">
        <f>Concentrations!F17/Concentrations!E17</f>
        <v>7.2120204192343509E-2</v>
      </c>
    </row>
    <row r="18" spans="1:4">
      <c r="A18">
        <f>'Mass Balance'!I18</f>
        <v>6.3695700027857863E-7</v>
      </c>
      <c r="B18">
        <f>'Mass Balance'!E18</f>
        <v>7.3751678553536863E-6</v>
      </c>
      <c r="C18">
        <f>SUM('Mass Balance'!E18:H18)</f>
        <v>1.4460584366738022E-5</v>
      </c>
      <c r="D18">
        <f>Concentrations!F18/Concentrations!E18</f>
        <v>0.51021756278682495</v>
      </c>
    </row>
    <row r="19" spans="1:4">
      <c r="A19">
        <f>'Mass Balance'!I19</f>
        <v>2.19364963172256E-6</v>
      </c>
      <c r="B19">
        <f>'Mass Balance'!E19</f>
        <v>1.0752851273354617E-6</v>
      </c>
      <c r="C19">
        <f>SUM('Mass Balance'!E19:H19)</f>
        <v>1.6709019842785393E-5</v>
      </c>
      <c r="D19">
        <f>Concentrations!F19/Concentrations!E19</f>
        <v>6.4378670328433404E-2</v>
      </c>
    </row>
    <row r="20" spans="1:4">
      <c r="A20">
        <f>'Mass Balance'!I20</f>
        <v>7.1611356934818475E-7</v>
      </c>
      <c r="B20">
        <f>'Mass Balance'!E20</f>
        <v>6.4307033946420174E-6</v>
      </c>
      <c r="C20">
        <f>SUM('Mass Balance'!E20:H20)</f>
        <v>1.4537693951315709E-5</v>
      </c>
      <c r="D20">
        <f>Concentrations!F20/Concentrations!E20</f>
        <v>0.44251938025974874</v>
      </c>
    </row>
    <row r="21" spans="1:4">
      <c r="A21">
        <f>'Mass Balance'!I21</f>
        <v>2.837654084332232E-6</v>
      </c>
      <c r="B21">
        <f>'Mass Balance'!E21</f>
        <v>7.5857705965929893E-7</v>
      </c>
      <c r="C21">
        <f>SUM('Mass Balance'!E21:H21)</f>
        <v>1.6196535450860211E-5</v>
      </c>
      <c r="D21">
        <f>Concentrations!F21/Concentrations!E21</f>
        <v>4.6854026342393627E-2</v>
      </c>
    </row>
    <row r="22" spans="1:4">
      <c r="A22">
        <f>'Mass Balance'!I22</f>
        <v>9.9422665068153639E-8</v>
      </c>
      <c r="B22">
        <f>'Mass Balance'!E22</f>
        <v>2.6008321257531129E-5</v>
      </c>
      <c r="C22">
        <f>SUM('Mass Balance'!E22:H22)</f>
        <v>2.670750381072057E-5</v>
      </c>
      <c r="D22">
        <f>Concentrations!F22/Concentrations!E22</f>
        <v>0.97420052731428086</v>
      </c>
    </row>
    <row r="23" spans="1:4">
      <c r="A23">
        <f>'Mass Balance'!I23</f>
        <v>6.3507217106550082E-8</v>
      </c>
      <c r="B23">
        <f>'Mass Balance'!E23</f>
        <v>3.0405723447404364E-5</v>
      </c>
      <c r="C23">
        <f>SUM('Mass Balance'!E23:H23)</f>
        <v>3.0718715793124161E-5</v>
      </c>
      <c r="D23">
        <f>Concentrations!F23/Concentrations!E23</f>
        <v>0.99019703955724414</v>
      </c>
    </row>
    <row r="24" spans="1:4">
      <c r="A24">
        <f>'Mass Balance'!I24</f>
        <v>3.7096556421086646E-7</v>
      </c>
      <c r="B24">
        <f>'Mass Balance'!E24</f>
        <v>1.2876605615595979E-5</v>
      </c>
      <c r="C24">
        <f>SUM('Mass Balance'!E24:H24)</f>
        <v>1.6658819028393136E-5</v>
      </c>
      <c r="D24">
        <f>Concentrations!F24/Concentrations!E24</f>
        <v>0.77326174005864801</v>
      </c>
    </row>
    <row r="25" spans="1:4">
      <c r="A25">
        <f>'Mass Balance'!I25</f>
        <v>1.0044030663098476E-6</v>
      </c>
      <c r="B25">
        <f>'Mass Balance'!E25</f>
        <v>3.1013580786373421E-6</v>
      </c>
      <c r="C25">
        <f>SUM('Mass Balance'!E25:H25)</f>
        <v>1.5288461878858616E-5</v>
      </c>
      <c r="D25">
        <f>Concentrations!F25/Concentrations!E25</f>
        <v>0.2029352336531943</v>
      </c>
    </row>
    <row r="26" spans="1:4">
      <c r="A26">
        <f>'Mass Balance'!I26</f>
        <v>2.6782129046703053E-6</v>
      </c>
      <c r="B26">
        <f>'Mass Balance'!E26</f>
        <v>8.2348444813671731E-7</v>
      </c>
      <c r="C26">
        <f>SUM('Mass Balance'!E26:H26)</f>
        <v>1.6289836228720047E-5</v>
      </c>
      <c r="D26">
        <f>Concentrations!F26/Concentrations!E26</f>
        <v>5.0571754617127318E-2</v>
      </c>
    </row>
    <row r="27" spans="1:4">
      <c r="A27">
        <f>'Mass Balance'!I27</f>
        <v>6.7374234178351904E-6</v>
      </c>
      <c r="B27">
        <f>'Mass Balance'!E27</f>
        <v>1.3522577995913727E-7</v>
      </c>
      <c r="C27">
        <f>SUM('Mass Balance'!E27:H27)</f>
        <v>1.6977981110276412E-5</v>
      </c>
      <c r="D27">
        <f>Concentrations!F27/Concentrations!E27</f>
        <v>7.9678800475457261E-3</v>
      </c>
    </row>
    <row r="28" spans="1:4">
      <c r="A28">
        <f>'Mass Balance'!I28</f>
        <v>3.9413148060891904E-6</v>
      </c>
      <c r="B28">
        <f>'Mass Balance'!E28</f>
        <v>4.5501102338819615E-7</v>
      </c>
      <c r="C28">
        <f>SUM('Mass Balance'!E28:H28)</f>
        <v>1.6006350717246066E-5</v>
      </c>
      <c r="D28">
        <f>Concentrations!F28/Concentrations!E28</f>
        <v>2.8437992026032602E-2</v>
      </c>
    </row>
    <row r="29" spans="1:4">
      <c r="A29">
        <f>'Mass Balance'!I29</f>
        <v>2.6785381313591227E-6</v>
      </c>
      <c r="B29">
        <f>'Mass Balance'!E29</f>
        <v>6.2253786027796814E-7</v>
      </c>
      <c r="C29">
        <f>SUM('Mass Balance'!E29:H29)</f>
        <v>1.4373918939301917E-5</v>
      </c>
      <c r="D29">
        <f>Concentrations!F29/Concentrations!E29</f>
        <v>4.3327129345484806E-2</v>
      </c>
    </row>
    <row r="30" spans="1:4">
      <c r="A30">
        <f>'Mass Balance'!I30</f>
        <v>3.9413148060891904E-6</v>
      </c>
      <c r="B30">
        <f>'Mass Balance'!E30</f>
        <v>4.5501102338819615E-7</v>
      </c>
      <c r="C30">
        <f>SUM('Mass Balance'!E30:H30)</f>
        <v>1.6006350717246066E-5</v>
      </c>
      <c r="D30">
        <f>Concentrations!F30/Concentrations!E30</f>
        <v>2.8437992026032602E-2</v>
      </c>
    </row>
    <row r="31" spans="1:4">
      <c r="A31">
        <f>'Mass Balance'!I31</f>
        <v>3.6377466918781368E-8</v>
      </c>
      <c r="B31">
        <f>'Mass Balance'!E31</f>
        <v>3.9028757953564773E-5</v>
      </c>
      <c r="C31">
        <f>SUM('Mass Balance'!E31:H31)</f>
        <v>3.9032111605311955E-5</v>
      </c>
      <c r="D31">
        <f>Concentrations!F31/Concentrations!E31</f>
        <v>1.0003040382004165</v>
      </c>
    </row>
    <row r="32" spans="1:4">
      <c r="A32">
        <f>'Mass Balance'!I32</f>
        <v>1.5295020138008946E-7</v>
      </c>
      <c r="B32">
        <f>'Mass Balance'!E32</f>
        <v>2.2208587513409662E-5</v>
      </c>
      <c r="C32">
        <f>SUM('Mass Balance'!E32:H32)</f>
        <v>2.3448753490223814E-5</v>
      </c>
      <c r="D32">
        <f>Concentrations!F32/Concentrations!E32</f>
        <v>0.9474810119395054</v>
      </c>
    </row>
    <row r="33" spans="1:4">
      <c r="A33">
        <f>'Mass Balance'!I33</f>
        <v>3.6908780792598195E-8</v>
      </c>
      <c r="B33">
        <f>'Mass Balance'!E33</f>
        <v>3.9944004219254173E-5</v>
      </c>
      <c r="C33">
        <f>SUM('Mass Balance'!E33:H33)</f>
        <v>3.9960807687636828E-5</v>
      </c>
      <c r="D33">
        <f>Concentrations!F33/Concentrations!E33</f>
        <v>0.9999693293258507</v>
      </c>
    </row>
    <row r="34" spans="1:4">
      <c r="A34">
        <f>'Mass Balance'!I34</f>
        <v>5.5948695609448595E-8</v>
      </c>
      <c r="B34">
        <f>'Mass Balance'!E34</f>
        <v>3.6895139204084002E-5</v>
      </c>
      <c r="C34">
        <f>SUM('Mass Balance'!E34:H34)</f>
        <v>3.9930982626852857E-5</v>
      </c>
      <c r="D34">
        <f>Concentrations!F34/Concentrations!E34</f>
        <v>0.92433307638325413</v>
      </c>
    </row>
    <row r="35" spans="1:4">
      <c r="A35">
        <f>'Mass Balance'!I35</f>
        <v>7.7593139960485599E-8</v>
      </c>
      <c r="B35">
        <f>'Mass Balance'!E35</f>
        <v>3.3020333610452684E-5</v>
      </c>
      <c r="C35">
        <f>SUM('Mass Balance'!E35:H35)</f>
        <v>3.987458615553793E-5</v>
      </c>
      <c r="D35">
        <f>Concentrations!F35/Concentrations!E35</f>
        <v>0.82842768947332002</v>
      </c>
    </row>
    <row r="36" spans="1:4">
      <c r="A36">
        <f>'Mass Balance'!I36</f>
        <v>1.3411795715840388E-7</v>
      </c>
      <c r="B36">
        <f>'Mass Balance'!E36</f>
        <v>2.1830147435796664E-5</v>
      </c>
      <c r="C36">
        <f>SUM('Mass Balance'!E36:H36)</f>
        <v>3.975995158876993E-5</v>
      </c>
      <c r="D36">
        <f>Concentrations!F36/Concentrations!E36</f>
        <v>0.54926276684845676</v>
      </c>
    </row>
    <row r="37" spans="1:4">
      <c r="A37">
        <f>'Mass Balance'!I37</f>
        <v>2.0845907197950453E-7</v>
      </c>
      <c r="B37">
        <f>'Mass Balance'!E37</f>
        <v>2.3631200512875788E-5</v>
      </c>
      <c r="C37">
        <f>SUM('Mass Balance'!E37:H37)</f>
        <v>3.1787625941105364E-5</v>
      </c>
      <c r="D37">
        <f>Concentrations!F37/Concentrations!E37</f>
        <v>0.74369871272051669</v>
      </c>
    </row>
    <row r="38" spans="1:4">
      <c r="A38">
        <f>'Mass Balance'!I38</f>
        <v>5.2644178921010008E-8</v>
      </c>
      <c r="B38">
        <f>'Mass Balance'!E38</f>
        <v>3.7488055316974164E-5</v>
      </c>
      <c r="C38">
        <f>SUM('Mass Balance'!E38:H38)</f>
        <v>3.9832662760767519E-5</v>
      </c>
      <c r="D38">
        <f>Concentrations!F38/Concentrations!E38</f>
        <v>0.94150560772638303</v>
      </c>
    </row>
    <row r="39" spans="1:4">
      <c r="A39">
        <f>'Mass Balance'!I39</f>
        <v>1.313879955788729E-6</v>
      </c>
      <c r="B39">
        <f>'Mass Balance'!E39</f>
        <v>1.9260578196104643E-6</v>
      </c>
      <c r="C39">
        <f>SUM('Mass Balance'!E39:H39)</f>
        <v>1.8202383196307604E-5</v>
      </c>
      <c r="D39">
        <f>Concentrations!F39/Concentrations!E39</f>
        <v>0.10585476341410867</v>
      </c>
    </row>
    <row r="40" spans="1:4">
      <c r="A40">
        <f>'Mass Balance'!I40</f>
        <v>1.1610449887174942E-5</v>
      </c>
      <c r="B40">
        <f>'Mass Balance'!E40</f>
        <v>2.800950761008262E-7</v>
      </c>
      <c r="C40">
        <f>SUM('Mass Balance'!E40:H40)</f>
        <v>2.7588438490783753E-5</v>
      </c>
      <c r="D40">
        <f>Concentrations!F40/Concentrations!E40</f>
        <v>1.0156584652045903E-2</v>
      </c>
    </row>
    <row r="41" spans="1:4">
      <c r="A41">
        <f>'Mass Balance'!I41</f>
        <v>3.3618819523302987E-8</v>
      </c>
      <c r="B41">
        <f>'Mass Balance'!E41</f>
        <v>3.652458577155859E-5</v>
      </c>
      <c r="C41">
        <f>SUM('Mass Balance'!E41:H41)</f>
        <v>3.6524752975443191E-5</v>
      </c>
      <c r="D41">
        <f>Concentrations!F41/Concentrations!E41</f>
        <v>1.0003854124253486</v>
      </c>
    </row>
    <row r="42" spans="1:4">
      <c r="A42">
        <f>'Mass Balance'!I42</f>
        <v>1.1220235773896135E-7</v>
      </c>
      <c r="B42">
        <f>'Mass Balance'!E42</f>
        <v>2.4929387479955472E-5</v>
      </c>
      <c r="C42">
        <f>SUM('Mass Balance'!E42:H42)</f>
        <v>2.5765857388888895E-5</v>
      </c>
      <c r="D42">
        <f>Concentrations!F42/Concentrations!E42</f>
        <v>0.96791305509794778</v>
      </c>
    </row>
    <row r="43" spans="1:4">
      <c r="A43">
        <f>'Mass Balance'!I43</f>
        <v>4.4480927826913477E-7</v>
      </c>
      <c r="B43">
        <f>'Mass Balance'!E43</f>
        <v>3.2303998280658304E-6</v>
      </c>
      <c r="C43">
        <f>SUM('Mass Balance'!E43:H43)</f>
        <v>3.9401137856088081E-5</v>
      </c>
      <c r="D43">
        <f>Concentrations!F43/Concentrations!E43</f>
        <v>8.2019450049147971E-2</v>
      </c>
    </row>
    <row r="44" spans="1:4">
      <c r="A44">
        <f>'Mass Balance'!I44</f>
        <v>4.1157981021480756E-8</v>
      </c>
      <c r="B44">
        <f>'Mass Balance'!E44</f>
        <v>3.1192017925138942E-5</v>
      </c>
      <c r="C44">
        <f>SUM('Mass Balance'!E44:H44)</f>
        <v>3.1295624551535662E-5</v>
      </c>
      <c r="D44">
        <f>Concentrations!F44/Concentrations!E44</f>
        <v>0.99707812228781323</v>
      </c>
    </row>
    <row r="45" spans="1:4">
      <c r="A45">
        <f>'Mass Balance'!I45</f>
        <v>1.2493699424148304E-7</v>
      </c>
      <c r="B45">
        <f>'Mass Balance'!E45</f>
        <v>2.3863743017101782E-5</v>
      </c>
      <c r="C45">
        <f>SUM('Mass Balance'!E45:H45)</f>
        <v>2.4838863796819082E-5</v>
      </c>
      <c r="D45">
        <f>Concentrations!F45/Concentrations!E45</f>
        <v>0.96111681605375676</v>
      </c>
    </row>
    <row r="46" spans="1:4">
      <c r="A46">
        <f>'Mass Balance'!I46</f>
        <v>1.1654242938544121E-7</v>
      </c>
      <c r="B46">
        <f>'Mass Balance'!E46</f>
        <v>2.4481837752880361E-5</v>
      </c>
      <c r="C46">
        <f>SUM('Mass Balance'!E46:H46)</f>
        <v>2.5366288934214218E-5</v>
      </c>
      <c r="D46">
        <f>Concentrations!F46/Concentrations!E46</f>
        <v>0.96550920546992725</v>
      </c>
    </row>
    <row r="47" spans="1:4">
      <c r="A47">
        <f>'Mass Balance'!I47</f>
        <v>7.0222517082834954E-6</v>
      </c>
      <c r="B47">
        <f>'Mass Balance'!E47</f>
        <v>1.254252878348972E-7</v>
      </c>
      <c r="C47">
        <f>SUM('Mass Balance'!E47:H47)</f>
        <v>1.7317160237476581E-5</v>
      </c>
      <c r="D47">
        <f>Concentrations!F47/Concentrations!E47</f>
        <v>7.2456569655418752E-3</v>
      </c>
    </row>
    <row r="48" spans="1:4">
      <c r="A48">
        <f>'Mass Balance'!I48</f>
        <v>3.7785600772687486E-8</v>
      </c>
      <c r="B48">
        <f>'Mass Balance'!E48</f>
        <v>3.6381955574868639E-5</v>
      </c>
      <c r="C48">
        <f>SUM('Mass Balance'!E48:H48)</f>
        <v>3.6415652905228298E-5</v>
      </c>
      <c r="D48">
        <f>Concentrations!F48/Concentrations!E48</f>
        <v>0.99946427824493811</v>
      </c>
    </row>
    <row r="49" spans="1:4">
      <c r="A49">
        <f>'Mass Balance'!I49</f>
        <v>3.9559718616203672E-8</v>
      </c>
      <c r="B49">
        <f>'Mass Balance'!E49</f>
        <v>3.4925568769976289E-5</v>
      </c>
      <c r="C49">
        <f>SUM('Mass Balance'!E49:H49)</f>
        <v>3.4985329078719391E-5</v>
      </c>
      <c r="D49">
        <f>Concentrations!F49/Concentrations!E49</f>
        <v>0.99868117247035748</v>
      </c>
    </row>
    <row r="50" spans="1:4">
      <c r="A50">
        <f>'Mass Balance'!I50</f>
        <v>6.1217426950887673E-7</v>
      </c>
      <c r="B50">
        <f>'Mass Balance'!E50</f>
        <v>7.5961323449298258E-6</v>
      </c>
      <c r="C50">
        <f>SUM('Mass Balance'!E50:H50)</f>
        <v>1.4372646602102187E-5</v>
      </c>
      <c r="D50">
        <f>Concentrations!F50/Concentrations!E50</f>
        <v>0.52871923915014007</v>
      </c>
    </row>
    <row r="51" spans="1:4">
      <c r="A51">
        <f>'Mass Balance'!I51</f>
        <v>3.4044396342932734E-8</v>
      </c>
      <c r="B51">
        <f>'Mass Balance'!E51</f>
        <v>3.6165331807719047E-5</v>
      </c>
      <c r="C51">
        <f>SUM('Mass Balance'!E51:H51)</f>
        <v>3.6170924915626124E-5</v>
      </c>
      <c r="D51">
        <f>Concentrations!F51/Concentrations!E51</f>
        <v>1.0002353017912216</v>
      </c>
    </row>
    <row r="52" spans="1:4">
      <c r="A52">
        <f>'Mass Balance'!I52</f>
        <v>4.8698590538270214E-8</v>
      </c>
      <c r="B52">
        <f>'Mass Balance'!E52</f>
        <v>3.0070787841607296E-5</v>
      </c>
      <c r="C52">
        <f>SUM('Mass Balance'!E52:H52)</f>
        <v>3.0250972145608571E-5</v>
      </c>
      <c r="D52">
        <f>Concentrations!F52/Concentrations!E52</f>
        <v>0.99443135462023402</v>
      </c>
    </row>
    <row r="53" spans="1:4">
      <c r="A53">
        <f>'Mass Balance'!I53</f>
        <v>1.7653319063184651E-7</v>
      </c>
      <c r="B53">
        <f>'Mass Balance'!E53</f>
        <v>2.0404221407965014E-5</v>
      </c>
      <c r="C53">
        <f>SUM('Mass Balance'!E53:H53)</f>
        <v>2.1947975807463931E-5</v>
      </c>
      <c r="D53">
        <f>Concentrations!F53/Concentrations!E53</f>
        <v>0.93002557825139132</v>
      </c>
    </row>
    <row r="54" spans="1:4">
      <c r="A54">
        <f>'Mass Balance'!I54</f>
        <v>6.2793638973257538E-6</v>
      </c>
      <c r="B54">
        <f>'Mass Balance'!E54</f>
        <v>1.7068220847893575E-7</v>
      </c>
      <c r="C54">
        <f>SUM('Mass Balance'!E54:H54)</f>
        <v>1.6829387757682613E-5</v>
      </c>
      <c r="D54">
        <f>Concentrations!F54/Concentrations!E54</f>
        <v>1.0145869572868194E-2</v>
      </c>
    </row>
    <row r="55" spans="1:4">
      <c r="A55">
        <f>'Mass Balance'!I55</f>
        <v>3.0878012911667268E-7</v>
      </c>
      <c r="B55">
        <f>'Mass Balance'!E55</f>
        <v>9.3573171111217856E-6</v>
      </c>
      <c r="C55">
        <f>SUM('Mass Balance'!E55:H55)</f>
        <v>1.2544451468793958E-5</v>
      </c>
      <c r="D55">
        <f>Concentrations!F55/Concentrations!E55</f>
        <v>0.7462236522295177</v>
      </c>
    </row>
    <row r="56" spans="1:4">
      <c r="A56">
        <f>'Mass Balance'!I56</f>
        <v>1.430624009879497E-7</v>
      </c>
      <c r="B56">
        <f>'Mass Balance'!E56</f>
        <v>8.8681939491568885E-7</v>
      </c>
      <c r="C56">
        <f>SUM('Mass Balance'!E56:H56)</f>
        <v>2.5468933163516576E-6</v>
      </c>
      <c r="D56">
        <f>Concentrations!F56/Concentrations!E56</f>
        <v>0.3483323159709637</v>
      </c>
    </row>
    <row r="57" spans="1:4">
      <c r="A57">
        <f>'Mass Balance'!I57</f>
        <v>5.9102731471256746E-8</v>
      </c>
      <c r="B57">
        <f>'Mass Balance'!E57</f>
        <v>1.3322817878628721E-6</v>
      </c>
      <c r="C57">
        <f>SUM('Mass Balance'!E57:H57)</f>
        <v>1.9577392535887132E-6</v>
      </c>
      <c r="D57">
        <f>Concentrations!F57/Concentrations!E57</f>
        <v>0.68078594465769415</v>
      </c>
    </row>
    <row r="58" spans="1:4">
      <c r="A58">
        <f>'Mass Balance'!I58</f>
        <v>2.8254854011252635E-9</v>
      </c>
      <c r="B58">
        <f>'Mass Balance'!E58</f>
        <v>2.377084968464685E-6</v>
      </c>
      <c r="C58">
        <f>SUM('Mass Balance'!E58:H58)</f>
        <v>2.3822847564337777E-6</v>
      </c>
      <c r="D58">
        <f>Concentrations!F58/Concentrations!E58</f>
        <v>0.99820645128398888</v>
      </c>
    </row>
    <row r="59" spans="1:4">
      <c r="A59">
        <f>'Mass Balance'!I59</f>
        <v>2.0901762522351101E-8</v>
      </c>
      <c r="B59">
        <f>'Mass Balance'!E59</f>
        <v>5.0455633331682463E-7</v>
      </c>
      <c r="C59">
        <f>SUM('Mass Balance'!E59:H59)</f>
        <v>7.245194411733865E-7</v>
      </c>
      <c r="D59">
        <f>Concentrations!F59/Concentrations!E59</f>
        <v>0.69667296359957631</v>
      </c>
    </row>
    <row r="60" spans="1:4">
      <c r="A60">
        <f>'Mass Balance'!I60</f>
        <v>3.5399819230911818E-10</v>
      </c>
      <c r="B60">
        <f>'Mass Balance'!E60</f>
        <v>1.7988021396813825E-8</v>
      </c>
      <c r="C60">
        <f>SUM('Mass Balance'!E60:H60)</f>
        <v>2.1461581346718133E-8</v>
      </c>
      <c r="D60">
        <f>Concentrations!F60/Concentrations!E60</f>
        <v>0.83847673156790337</v>
      </c>
    </row>
    <row r="61" spans="1:4">
      <c r="A61">
        <f>'Mass Balance'!I61</f>
        <v>2.4351972385833401E-7</v>
      </c>
      <c r="B61">
        <f>'Mass Balance'!E61</f>
        <v>1.7220489591203887E-5</v>
      </c>
      <c r="C61">
        <f>SUM('Mass Balance'!E61:H61)</f>
        <v>1.9517518465747886E-5</v>
      </c>
      <c r="D61">
        <f>Concentrations!F61/Concentrations!E61</f>
        <v>0.8826534723257623</v>
      </c>
    </row>
    <row r="62" spans="1:4">
      <c r="A62">
        <f>'Mass Balance'!I62</f>
        <v>3.0391980797019243E-6</v>
      </c>
      <c r="B62">
        <f>'Mass Balance'!E62</f>
        <v>6.9007774485540409E-7</v>
      </c>
      <c r="C62">
        <f>SUM('Mass Balance'!E62:H62)</f>
        <v>1.6145574751442645E-5</v>
      </c>
      <c r="D62">
        <f>Concentrations!F62/Concentrations!E62</f>
        <v>4.2757652193050333E-2</v>
      </c>
    </row>
    <row r="63" spans="1:4">
      <c r="A63">
        <f>'Mass Balance'!I63</f>
        <v>8.2851097096965949E-6</v>
      </c>
      <c r="B63">
        <f>'Mass Balance'!E63</f>
        <v>7.1800842790904248E-8</v>
      </c>
      <c r="C63">
        <f>SUM('Mass Balance'!E63:H63)</f>
        <v>1.8281671497622138E-5</v>
      </c>
      <c r="D63">
        <f>Concentrations!F63/Concentrations!E63</f>
        <v>3.9290086006088312E-3</v>
      </c>
    </row>
    <row r="64" spans="1:4">
      <c r="A64">
        <f>'Mass Balance'!I64</f>
        <v>1.0194512390017808E-5</v>
      </c>
      <c r="B64">
        <f>'Mass Balance'!E64</f>
        <v>2.6882911647639629E-8</v>
      </c>
      <c r="C64">
        <f>SUM('Mass Balance'!E64:H64)</f>
        <v>2.0031992652172376E-5</v>
      </c>
      <c r="D64">
        <f>Concentrations!F64/Concentrations!E64</f>
        <v>1.3425222460896708E-3</v>
      </c>
    </row>
    <row r="65" spans="1:4">
      <c r="A65">
        <f>'Mass Balance'!I65</f>
        <v>1.1904284439585492E-5</v>
      </c>
      <c r="B65">
        <f>'Mass Balance'!E65</f>
        <v>8.1124590969957107E-9</v>
      </c>
      <c r="C65">
        <f>SUM('Mass Balance'!E65:H65)</f>
        <v>2.1815397601493356E-5</v>
      </c>
      <c r="D65">
        <f>Concentrations!F65/Concentrations!E65</f>
        <v>3.7201352181030859E-4</v>
      </c>
    </row>
    <row r="66" spans="1:4">
      <c r="A66">
        <f>'Mass Balance'!I66</f>
        <v>1.0998906134913125E-5</v>
      </c>
      <c r="B66">
        <f>'Mass Balance'!E66</f>
        <v>1.6186739974955004E-8</v>
      </c>
      <c r="C66">
        <f>SUM('Mass Balance'!E66:H66)</f>
        <v>2.0850258398037676E-5</v>
      </c>
      <c r="D66">
        <f>Concentrations!F66/Concentrations!E66</f>
        <v>7.7663558721812701E-4</v>
      </c>
    </row>
    <row r="67" spans="1:4">
      <c r="A67">
        <f>'Mass Balance'!I67</f>
        <v>4.6879636853167362E-8</v>
      </c>
      <c r="B67">
        <f>'Mass Balance'!E67</f>
        <v>3.3449215978204597E-5</v>
      </c>
      <c r="C67">
        <f>SUM('Mass Balance'!E67:H67)</f>
        <v>3.3584461424932723E-5</v>
      </c>
      <c r="D67">
        <f>Concentrations!F67/Concentrations!E67</f>
        <v>0.99636139709401994</v>
      </c>
    </row>
    <row r="68" spans="1:4">
      <c r="A68">
        <f>'Mass Balance'!I68</f>
        <v>5.6260931028701398E-8</v>
      </c>
      <c r="B68">
        <f>'Mass Balance'!E68</f>
        <v>3.1199202761495945E-5</v>
      </c>
      <c r="C68">
        <f>SUM('Mass Balance'!E68:H68)</f>
        <v>3.1438270714879048E-5</v>
      </c>
      <c r="D68">
        <f>Concentrations!F68/Concentrations!E68</f>
        <v>0.99278266559629358</v>
      </c>
    </row>
    <row r="69" spans="1:4">
      <c r="A69">
        <f>'Mass Balance'!I69</f>
        <v>5.2598983049667416E-6</v>
      </c>
      <c r="B69">
        <f>'Mass Balance'!E69</f>
        <v>2.5616935725345597E-7</v>
      </c>
      <c r="C69">
        <f>SUM('Mass Balance'!E69:H69)</f>
        <v>1.6251725035443003E-5</v>
      </c>
      <c r="D69">
        <f>Concentrations!F69/Concentrations!E69</f>
        <v>1.5768742130658431E-2</v>
      </c>
    </row>
    <row r="70" spans="1:4">
      <c r="A70">
        <f>'Mass Balance'!I70</f>
        <v>9.7621232031864541E-7</v>
      </c>
      <c r="B70">
        <f>'Mass Balance'!E70</f>
        <v>3.7159916914153482E-6</v>
      </c>
      <c r="C70">
        <f>SUM('Mass Balance'!E70:H70)</f>
        <v>1.5405281856408051E-5</v>
      </c>
      <c r="D70">
        <f>Concentrations!F70/Concentrations!E70</f>
        <v>0.2413095023658347</v>
      </c>
    </row>
    <row r="71" spans="1:4">
      <c r="A71">
        <f>'Mass Balance'!I71</f>
        <v>5.3571992071816842E-8</v>
      </c>
      <c r="B71">
        <f>'Mass Balance'!E71</f>
        <v>3.1063871389423153E-5</v>
      </c>
      <c r="C71">
        <f>SUM('Mass Balance'!E71:H71)</f>
        <v>3.1279600167771509E-5</v>
      </c>
      <c r="D71">
        <f>Concentrations!F71/Concentrations!E71</f>
        <v>0.99349051410971356</v>
      </c>
    </row>
    <row r="72" spans="1:4">
      <c r="A72">
        <f>'Mass Balance'!I72</f>
        <v>8.9241303729799486E-7</v>
      </c>
      <c r="B72">
        <f>'Mass Balance'!E72</f>
        <v>3.9970543557535908E-6</v>
      </c>
      <c r="C72">
        <f>SUM('Mass Balance'!E72:H72)</f>
        <v>1.4572618072188226E-5</v>
      </c>
      <c r="D72">
        <f>Concentrations!F72/Concentrations!E72</f>
        <v>0.27439223036697236</v>
      </c>
    </row>
    <row r="73" spans="1:4">
      <c r="A73">
        <f>'Mass Balance'!I73</f>
        <v>2.5541698079502475E-7</v>
      </c>
      <c r="B73">
        <f>'Mass Balance'!E73</f>
        <v>1.618944987608621E-5</v>
      </c>
      <c r="C73">
        <f>SUM('Mass Balance'!E73:H73)</f>
        <v>1.8632341988689663E-5</v>
      </c>
      <c r="D73">
        <f>Concentrations!F73/Concentrations!E73</f>
        <v>0.86922855121551579</v>
      </c>
    </row>
    <row r="74" spans="1:4">
      <c r="A74">
        <f>'Mass Balance'!I74</f>
        <v>9.5536142047764655E-7</v>
      </c>
      <c r="B74">
        <f>'Mass Balance'!E74</f>
        <v>3.8096625440432366E-6</v>
      </c>
      <c r="C74">
        <f>SUM('Mass Balance'!E74:H74)</f>
        <v>1.5215509430904549E-5</v>
      </c>
      <c r="D74">
        <f>Concentrations!F74/Concentrations!E74</f>
        <v>0.25047786269637617</v>
      </c>
    </row>
    <row r="75" spans="1:4">
      <c r="A75">
        <f>'Mass Balance'!I75</f>
        <v>1.485789727800233E-6</v>
      </c>
      <c r="B75">
        <f>'Mass Balance'!E75</f>
        <v>1.6061089961803922E-6</v>
      </c>
      <c r="C75">
        <f>SUM('Mass Balance'!E75:H75)</f>
        <v>3.8483239269559207E-5</v>
      </c>
      <c r="D75">
        <f>Concentrations!F75/Concentrations!E75</f>
        <v>4.1751562404633215E-2</v>
      </c>
    </row>
    <row r="76" spans="1:4">
      <c r="A76">
        <f>'Mass Balance'!I76</f>
        <v>1.4857897351871697E-6</v>
      </c>
      <c r="B76">
        <f>'Mass Balance'!E76</f>
        <v>1.6061090041655227E-6</v>
      </c>
      <c r="C76">
        <f>SUM('Mass Balance'!E76:H76)</f>
        <v>3.848323946088726E-5</v>
      </c>
      <c r="D76">
        <f>Concentrations!F76/Concentrations!E76</f>
        <v>4.1751562404633208E-2</v>
      </c>
    </row>
    <row r="77" spans="1:4">
      <c r="A77">
        <f>'Mass Balance'!I77</f>
        <v>4.9650944616542807E-7</v>
      </c>
      <c r="B77">
        <f>'Mass Balance'!E77</f>
        <v>8.9020878893622534E-6</v>
      </c>
      <c r="C77">
        <f>SUM('Mass Balance'!E77:H77)</f>
        <v>1.4251577011683499E-5</v>
      </c>
      <c r="D77">
        <f>Concentrations!F77/Concentrations!E77</f>
        <v>0.6248823990095036</v>
      </c>
    </row>
    <row r="78" spans="1:4">
      <c r="A78">
        <f>'Mass Balance'!I78</f>
        <v>1.0226437375910678E-7</v>
      </c>
      <c r="B78">
        <f>'Mass Balance'!E78</f>
        <v>2.4454563076339312E-5</v>
      </c>
      <c r="C78">
        <f>SUM('Mass Balance'!E78:H78)</f>
        <v>2.5198119266096214E-5</v>
      </c>
      <c r="D78">
        <f>Concentrations!F78/Concentrations!E78</f>
        <v>0.97087008370748951</v>
      </c>
    </row>
    <row r="79" spans="1:4">
      <c r="A79">
        <f>'Mass Balance'!I79</f>
        <v>1.8010599928411754E-7</v>
      </c>
      <c r="B79">
        <f>'Mass Balance'!E79</f>
        <v>1.9965103239818969E-5</v>
      </c>
      <c r="C79">
        <f>SUM('Mass Balance'!E79:H79)</f>
        <v>2.1551964996919592E-5</v>
      </c>
      <c r="D79">
        <f>Concentrations!F79/Concentrations!E79</f>
        <v>0.92673171443555513</v>
      </c>
    </row>
    <row r="80" spans="1:4">
      <c r="A80">
        <f>'Mass Balance'!I80</f>
        <v>2.8185847231628135E-6</v>
      </c>
      <c r="B80">
        <f>'Mass Balance'!E80</f>
        <v>1.063988049326948E-6</v>
      </c>
      <c r="C80">
        <f>SUM('Mass Balance'!E80:H80)</f>
        <v>3.7144533232944848E-5</v>
      </c>
      <c r="D80">
        <f>Concentrations!F80/Concentrations!E80</f>
        <v>2.8655710640265234E-2</v>
      </c>
    </row>
    <row r="81" spans="1:4">
      <c r="A81">
        <f>'Mass Balance'!I81</f>
        <v>3.6400508352398381E-8</v>
      </c>
      <c r="B81">
        <f>'Mass Balance'!E81</f>
        <v>3.8802737571492772E-5</v>
      </c>
      <c r="C81">
        <f>SUM('Mass Balance'!E81:H81)</f>
        <v>3.8807793070476284E-5</v>
      </c>
      <c r="D81">
        <f>Concentrations!F81/Concentrations!E81</f>
        <v>1.0002596710296734</v>
      </c>
    </row>
    <row r="82" spans="1:4">
      <c r="A82">
        <f>'Mass Balance'!I82</f>
        <v>6.2282465139489433E-8</v>
      </c>
      <c r="B82">
        <f>'Mass Balance'!E82</f>
        <v>3.059987796358452E-5</v>
      </c>
      <c r="C82">
        <f>SUM('Mass Balance'!E82:H82)</f>
        <v>3.0899745041125396E-5</v>
      </c>
      <c r="D82">
        <f>Concentrations!F82/Concentrations!E82</f>
        <v>0.99068169111119386</v>
      </c>
    </row>
    <row r="83" spans="1:4">
      <c r="A83">
        <f>'Mass Balance'!I83</f>
        <v>4.6124140922625647E-7</v>
      </c>
      <c r="B83">
        <f>'Mass Balance'!E83</f>
        <v>1.0637376093085509E-5</v>
      </c>
      <c r="C83">
        <f>SUM('Mass Balance'!E83:H83)</f>
        <v>1.5509468204171309E-5</v>
      </c>
      <c r="D83">
        <f>Concentrations!F83/Concentrations!E83</f>
        <v>0.68613084890735798</v>
      </c>
    </row>
    <row r="84" spans="1:4">
      <c r="A84">
        <f>'Mass Balance'!I84</f>
        <v>3.7338496347727254E-8</v>
      </c>
      <c r="B84">
        <f>'Mass Balance'!E84</f>
        <v>3.7454000238104523E-5</v>
      </c>
      <c r="C84">
        <f>SUM('Mass Balance'!E84:H84)</f>
        <v>3.7476032784350408E-5</v>
      </c>
      <c r="D84">
        <f>Concentrations!F84/Concentrations!E84</f>
        <v>0.99980185243897624</v>
      </c>
    </row>
    <row r="85" spans="1:4">
      <c r="A85">
        <f>'Mass Balance'!I85</f>
        <v>3.645728012737613E-8</v>
      </c>
      <c r="B85">
        <f>'Mass Balance'!E85</f>
        <v>3.9480963035091683E-5</v>
      </c>
      <c r="C85">
        <f>SUM('Mass Balance'!E85:H85)</f>
        <v>3.948192561086335E-5</v>
      </c>
      <c r="D85">
        <f>Concentrations!F85/Concentrations!E85</f>
        <v>1.0003656023636858</v>
      </c>
    </row>
    <row r="86" spans="1:4">
      <c r="A86">
        <f>'Mass Balance'!I86</f>
        <v>3.7267389077683278E-8</v>
      </c>
      <c r="B86">
        <f>'Mass Balance'!E86</f>
        <v>3.7515115477434746E-5</v>
      </c>
      <c r="C86">
        <f>SUM('Mass Balance'!E86:H86)</f>
        <v>3.7536127398783351E-5</v>
      </c>
      <c r="D86">
        <f>Concentrations!F86/Concentrations!E86</f>
        <v>0.99982999511187021</v>
      </c>
    </row>
    <row r="87" spans="1:4">
      <c r="A87">
        <f>'Mass Balance'!I87</f>
        <v>7.5151786386349175E-6</v>
      </c>
      <c r="B87">
        <f>'Mass Balance'!E87</f>
        <v>1.0145431284830057E-7</v>
      </c>
      <c r="C87">
        <f>SUM('Mass Balance'!E87:H87)</f>
        <v>1.7672827401107473E-5</v>
      </c>
      <c r="D87">
        <f>Concentrations!F87/Concentrations!E87</f>
        <v>5.742933879149207E-3</v>
      </c>
    </row>
    <row r="88" spans="1:4">
      <c r="A88">
        <f>'Mass Balance'!I88</f>
        <v>8.888669050636578E-8</v>
      </c>
      <c r="B88">
        <f>'Mass Balance'!E88</f>
        <v>2.7157227834205825E-5</v>
      </c>
      <c r="C88">
        <f>SUM('Mass Balance'!E88:H88)</f>
        <v>2.7742183333716894E-5</v>
      </c>
      <c r="D88">
        <f>Concentrations!F88/Concentrations!E88</f>
        <v>0.97929635205464494</v>
      </c>
    </row>
    <row r="89" spans="1:4">
      <c r="A89">
        <f>'Mass Balance'!I89</f>
        <v>6.6114496453502226E-8</v>
      </c>
      <c r="B89">
        <f>'Mass Balance'!E89</f>
        <v>3.0011551334471249E-5</v>
      </c>
      <c r="C89">
        <f>SUM('Mass Balance'!E89:H89)</f>
        <v>3.0352436740640425E-5</v>
      </c>
      <c r="D89">
        <f>Concentrations!F89/Concentrations!E89</f>
        <v>0.98915470467762667</v>
      </c>
    </row>
    <row r="90" spans="1:4">
      <c r="A90">
        <f>'Mass Balance'!I90</f>
        <v>4.1983871479778065E-8</v>
      </c>
      <c r="B90">
        <f>'Mass Balance'!E90</f>
        <v>3.5133508119486798E-5</v>
      </c>
      <c r="C90">
        <f>SUM('Mass Balance'!E90:H90)</f>
        <v>3.5212272721723569E-5</v>
      </c>
      <c r="D90">
        <f>Concentrations!F90/Concentrations!E90</f>
        <v>0.9981522688285277</v>
      </c>
    </row>
    <row r="91" spans="1:4">
      <c r="A91">
        <f>'Mass Balance'!I91</f>
        <v>3.3344246995633728E-6</v>
      </c>
      <c r="B91">
        <f>'Mass Balance'!E91</f>
        <v>5.9960871392383067E-7</v>
      </c>
      <c r="C91">
        <f>SUM('Mass Balance'!E91:H91)</f>
        <v>1.606160764452233E-5</v>
      </c>
      <c r="D91">
        <f>Concentrations!F91/Concentrations!E91</f>
        <v>3.7346358460614348E-2</v>
      </c>
    </row>
    <row r="92" spans="1:4">
      <c r="A92">
        <f>'Mass Balance'!I92</f>
        <v>3.663785648284211E-7</v>
      </c>
      <c r="B92">
        <f>'Mass Balance'!E92</f>
        <v>1.3007709041751305E-5</v>
      </c>
      <c r="C92">
        <f>SUM('Mass Balance'!E92:H92)</f>
        <v>1.673530479875829E-5</v>
      </c>
      <c r="D92">
        <f>Concentrations!F92/Concentrations!E92</f>
        <v>0.7775646814410051</v>
      </c>
    </row>
    <row r="93" spans="1:4">
      <c r="A93">
        <f>'Mass Balance'!I93</f>
        <v>8.4429320430220444E-7</v>
      </c>
      <c r="B93">
        <f>'Mass Balance'!E93</f>
        <v>4.9963753165528363E-6</v>
      </c>
      <c r="C93">
        <f>SUM('Mass Balance'!E93:H93)</f>
        <v>1.4823178554477126E-5</v>
      </c>
      <c r="D93">
        <f>Concentrations!F93/Concentrations!E93</f>
        <v>0.33719649566104481</v>
      </c>
    </row>
    <row r="94" spans="1:4">
      <c r="A94">
        <f>'Mass Balance'!I94</f>
        <v>4.0127757148415398E-8</v>
      </c>
      <c r="B94">
        <f>'Mass Balance'!E94</f>
        <v>3.9490745343620939E-5</v>
      </c>
      <c r="C94">
        <f>SUM('Mass Balance'!E94:H94)</f>
        <v>3.995285702752169E-5</v>
      </c>
      <c r="D94">
        <f>Concentrations!F94/Concentrations!E94</f>
        <v>0.98881905723356001</v>
      </c>
    </row>
    <row r="95" spans="1:4">
      <c r="A95">
        <f>'Mass Balance'!I95</f>
        <v>1.7184100142271813E-6</v>
      </c>
      <c r="B95">
        <f>'Mass Balance'!E95</f>
        <v>1.4399710481639557E-6</v>
      </c>
      <c r="C95">
        <f>SUM('Mass Balance'!E95:H95)</f>
        <v>1.7346419754885896E-5</v>
      </c>
      <c r="D95">
        <f>Concentrations!F95/Concentrations!E95</f>
        <v>8.304495369984885E-2</v>
      </c>
    </row>
    <row r="96" spans="1:4">
      <c r="A96">
        <f>'Mass Balance'!I96</f>
        <v>3.6409908372673139E-8</v>
      </c>
      <c r="B96">
        <f>'Mass Balance'!E96</f>
        <v>3.8757660641361497E-5</v>
      </c>
      <c r="C96">
        <f>SUM('Mass Balance'!E96:H96)</f>
        <v>3.8763095252498985E-5</v>
      </c>
      <c r="D96">
        <f>Concentrations!F96/Concentrations!E96</f>
        <v>1.0002497367076915</v>
      </c>
    </row>
    <row r="97" spans="1:4">
      <c r="A97">
        <f>'Mass Balance'!I97</f>
        <v>3.7375693382572444E-8</v>
      </c>
      <c r="B97">
        <f>'Mass Balance'!E97</f>
        <v>3.7422906607881048E-5</v>
      </c>
      <c r="C97">
        <f>SUM('Mass Balance'!E97:H97)</f>
        <v>3.7445467585857679E-5</v>
      </c>
      <c r="D97">
        <f>Concentrations!F97/Concentrations!E97</f>
        <v>0.99978725482667152</v>
      </c>
    </row>
    <row r="98" spans="1:4">
      <c r="A98">
        <f>'Mass Balance'!I98</f>
        <v>1.1026837235790774E-6</v>
      </c>
      <c r="B98">
        <f>'Mass Balance'!E98</f>
        <v>2.9612337409725528E-6</v>
      </c>
      <c r="C98">
        <f>SUM('Mass Balance'!E98:H98)</f>
        <v>1.6458733389408001E-5</v>
      </c>
      <c r="D98">
        <f>Concentrations!F98/Concentrations!E98</f>
        <v>0.17998885627798372</v>
      </c>
    </row>
    <row r="99" spans="1:4">
      <c r="A99">
        <f>'Mass Balance'!I99</f>
        <v>3.6522817624397431E-8</v>
      </c>
      <c r="B99">
        <f>'Mass Balance'!E99</f>
        <v>3.9629545501746201E-5</v>
      </c>
      <c r="C99">
        <f>SUM('Mass Balance'!E99:H99)</f>
        <v>3.9630027077695499E-5</v>
      </c>
      <c r="D99">
        <f>Concentrations!F99/Concentrations!E99</f>
        <v>1.0003778355007853</v>
      </c>
    </row>
    <row r="100" spans="1:4">
      <c r="A100">
        <f>'Mass Balance'!I100</f>
        <v>1.6048409885074108E-7</v>
      </c>
      <c r="B100">
        <f>'Mass Balance'!E100</f>
        <v>2.143493984076156E-5</v>
      </c>
      <c r="C100">
        <f>SUM('Mass Balance'!E100:H100)</f>
        <v>2.2799695801160283E-5</v>
      </c>
      <c r="D100">
        <f>Concentrations!F100/Concentrations!E100</f>
        <v>0.9405081314930559</v>
      </c>
    </row>
    <row r="101" spans="1:4">
      <c r="A101">
        <f>'Mass Balance'!I101</f>
        <v>3.6431262222942402E-8</v>
      </c>
      <c r="B101">
        <f>'Mass Balance'!E101</f>
        <v>3.9403900616327326E-5</v>
      </c>
      <c r="C101">
        <f>SUM('Mass Balance'!E101:H101)</f>
        <v>3.9405173182415416E-5</v>
      </c>
      <c r="D101">
        <f>Concentrations!F101/Concentrations!E101</f>
        <v>1.0003576850484845</v>
      </c>
    </row>
    <row r="102" spans="1:4">
      <c r="A102">
        <f>'Mass Balance'!I102</f>
        <v>3.6639795539654352E-8</v>
      </c>
      <c r="B102">
        <f>'Mass Balance'!E102</f>
        <v>3.9821501320671787E-5</v>
      </c>
      <c r="C102">
        <f>SUM('Mass Balance'!E102:H102)</f>
        <v>3.9821598030126542E-5</v>
      </c>
      <c r="D102">
        <f>Concentrations!F102/Concentrations!E102</f>
        <v>1.0003875625194711</v>
      </c>
    </row>
    <row r="103" spans="1:4">
      <c r="A103">
        <f>'Mass Balance'!I103</f>
        <v>3.6528314772459831E-8</v>
      </c>
      <c r="B103">
        <f>'Mass Balance'!E103</f>
        <v>3.9640177772177553E-5</v>
      </c>
      <c r="C103">
        <f>SUM('Mass Balance'!E103:H103)</f>
        <v>3.9640630948430784E-5</v>
      </c>
      <c r="D103">
        <f>Concentrations!F103/Concentrations!E103</f>
        <v>1.0003785554610218</v>
      </c>
    </row>
    <row r="104" spans="1:4">
      <c r="A104">
        <f>'Mass Balance'!I104</f>
        <v>3.6697503462966629E-8</v>
      </c>
      <c r="B104">
        <f>'Mass Balance'!E104</f>
        <v>3.8135322461710593E-5</v>
      </c>
      <c r="C104">
        <f>SUM('Mass Balance'!E104:H104)</f>
        <v>3.814732615218903E-5</v>
      </c>
      <c r="D104">
        <f>Concentrations!F104/Concentrations!E104</f>
        <v>1.0000752026892545</v>
      </c>
    </row>
    <row r="105" spans="1:4">
      <c r="A105">
        <f>'Mass Balance'!I105</f>
        <v>3.6620096736973275E-8</v>
      </c>
      <c r="B105">
        <f>'Mass Balance'!E105</f>
        <v>3.9793227130909502E-5</v>
      </c>
      <c r="C105">
        <f>SUM('Mass Balance'!E105:H105)</f>
        <v>3.9793363080045606E-5</v>
      </c>
      <c r="D105">
        <f>Concentrations!F105/Concentrations!E105</f>
        <v>1.0003865743249911</v>
      </c>
    </row>
    <row r="106" spans="1:4">
      <c r="A106">
        <f>'Mass Balance'!I106</f>
        <v>4.6041566279452577E-8</v>
      </c>
      <c r="B106">
        <f>'Mass Balance'!E106</f>
        <v>3.3889010192131502E-5</v>
      </c>
      <c r="C106">
        <f>SUM('Mass Balance'!E106:H106)</f>
        <v>3.4013203206083465E-5</v>
      </c>
      <c r="D106">
        <f>Concentrations!F106/Concentrations!E106</f>
        <v>0.99673725025991444</v>
      </c>
    </row>
    <row r="107" spans="1:4">
      <c r="A107">
        <f>'Mass Balance'!I107</f>
        <v>1.2022758140425639E-6</v>
      </c>
      <c r="B107">
        <f>'Mass Balance'!E107</f>
        <v>2.3856616191892726E-6</v>
      </c>
      <c r="C107">
        <f>SUM('Mass Balance'!E107:H107)</f>
        <v>1.7383044637878147E-5</v>
      </c>
      <c r="D107">
        <f>Concentrations!F107/Concentrations!E107</f>
        <v>0.13729424608490648</v>
      </c>
    </row>
    <row r="108" spans="1:4">
      <c r="A108">
        <f>'Mass Balance'!I108</f>
        <v>1.3209690192049612E-7</v>
      </c>
      <c r="B108">
        <f>'Mass Balance'!E108</f>
        <v>2.3349151338639936E-5</v>
      </c>
      <c r="C108">
        <f>SUM('Mass Balance'!E108:H108)</f>
        <v>2.4402051564534626E-5</v>
      </c>
      <c r="D108">
        <f>Concentrations!F108/Concentrations!E108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0.8079040864572512</v>
      </c>
      <c r="M2" s="115">
        <v>1.2926261670345458</v>
      </c>
      <c r="N2" s="115">
        <v>55.097982262426051</v>
      </c>
      <c r="O2" s="115">
        <v>1.1758105215003434</v>
      </c>
      <c r="P2" s="115">
        <v>1.2068254889645735</v>
      </c>
      <c r="Q2" s="111">
        <v>1.1758105215003434</v>
      </c>
      <c r="R2" s="68">
        <v>1.2068254889645735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3.1138075733237324E-3</v>
      </c>
      <c r="M3" s="115">
        <v>168.88615250370279</v>
      </c>
      <c r="N3" s="115">
        <v>16991.158453456559</v>
      </c>
      <c r="O3" s="115">
        <v>102.4749136093569</v>
      </c>
      <c r="P3" s="115">
        <v>43.895289383217914</v>
      </c>
      <c r="Q3" s="111">
        <v>102.47491360935692</v>
      </c>
      <c r="R3" s="68">
        <v>43.895289383217914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0.49434600565366821</v>
      </c>
      <c r="M4" s="115">
        <v>4.7085975857559648</v>
      </c>
      <c r="N4" s="115">
        <v>418.59896493900288</v>
      </c>
      <c r="O4" s="115">
        <v>4.5116720254834632</v>
      </c>
      <c r="P4" s="115">
        <v>4.2265205556751981</v>
      </c>
      <c r="Q4" s="111">
        <v>4.5116720254834641</v>
      </c>
      <c r="R4" s="68">
        <v>4.2265205556751981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3.1650976684111078E-2</v>
      </c>
      <c r="M5" s="115">
        <v>47.294602961904104</v>
      </c>
      <c r="N5" s="115">
        <v>4707.1223362474339</v>
      </c>
      <c r="O5" s="115">
        <v>41.460798854129358</v>
      </c>
      <c r="P5" s="115">
        <v>34.960062653141613</v>
      </c>
      <c r="Q5" s="111">
        <v>41.460798854129358</v>
      </c>
      <c r="R5" s="68">
        <v>34.960062653141613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1.5046725534960531E-3</v>
      </c>
      <c r="M6" s="115">
        <v>212.38268170809454</v>
      </c>
      <c r="N6" s="115">
        <v>21424.657526539486</v>
      </c>
      <c r="O6" s="115">
        <v>125.53977536476432</v>
      </c>
      <c r="P6" s="115">
        <v>49.7300438642092</v>
      </c>
      <c r="Q6" s="111">
        <v>125.53977536476432</v>
      </c>
      <c r="R6" s="68">
        <v>49.7300438642092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2.8499395878258749E-3</v>
      </c>
      <c r="M7" s="115">
        <v>177.79670005269071</v>
      </c>
      <c r="N7" s="115">
        <v>17894.68405732025</v>
      </c>
      <c r="O7" s="115">
        <v>107.37501020517176</v>
      </c>
      <c r="P7" s="115">
        <v>45.361887089463707</v>
      </c>
      <c r="Q7" s="111">
        <v>107.37501020517176</v>
      </c>
      <c r="R7" s="68">
        <v>45.361887089463707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5.9976595376843977E-3</v>
      </c>
      <c r="M8" s="115">
        <v>134.06513110595012</v>
      </c>
      <c r="N8" s="115">
        <v>13453.990417658093</v>
      </c>
      <c r="O8" s="115">
        <v>84.640777587846031</v>
      </c>
      <c r="P8" s="115">
        <v>40.486840032411536</v>
      </c>
      <c r="Q8" s="111">
        <v>84.640777587846031</v>
      </c>
      <c r="R8" s="68">
        <v>40.486840032411536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0.16669291786462395</v>
      </c>
      <c r="M9" s="115">
        <v>17.17716227136933</v>
      </c>
      <c r="N9" s="115">
        <v>1682.6646743716383</v>
      </c>
      <c r="O9" s="115">
        <v>17.680055056255586</v>
      </c>
      <c r="P9" s="115">
        <v>17.355603707207383</v>
      </c>
      <c r="Q9" s="111">
        <v>17.680055056255586</v>
      </c>
      <c r="R9" s="68">
        <v>17.355603707207383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2.9334290083655602E-2</v>
      </c>
      <c r="M10" s="115">
        <v>50.413631762456134</v>
      </c>
      <c r="N10" s="115">
        <v>5019.9632069297586</v>
      </c>
      <c r="O10" s="115">
        <v>42.934541314167355</v>
      </c>
      <c r="P10" s="115">
        <v>34.999694162658024</v>
      </c>
      <c r="Q10" s="111">
        <v>42.934541314167355</v>
      </c>
      <c r="R10" s="68">
        <v>34.999694162658024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2.5758308824032967E-2</v>
      </c>
      <c r="M11" s="115">
        <v>55.891577896699978</v>
      </c>
      <c r="N11" s="115">
        <v>5569.7635628634862</v>
      </c>
      <c r="O11" s="115">
        <v>45.524228429388245</v>
      </c>
      <c r="P11" s="115">
        <v>35.075811373139146</v>
      </c>
      <c r="Q11" s="111">
        <v>45.524228429388252</v>
      </c>
      <c r="R11" s="68">
        <v>35.075811373139146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0.12435748941351932</v>
      </c>
      <c r="M12" s="115">
        <v>20.842637579260039</v>
      </c>
      <c r="N12" s="115">
        <v>2051.5342621456816</v>
      </c>
      <c r="O12" s="115">
        <v>21.770656743275435</v>
      </c>
      <c r="P12" s="115">
        <v>21.645653168786463</v>
      </c>
      <c r="Q12" s="111">
        <v>21.770656743275435</v>
      </c>
      <c r="R12" s="68">
        <v>21.645653168786463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0.16225105489425665</v>
      </c>
      <c r="M13" s="115">
        <v>17.51085813914187</v>
      </c>
      <c r="N13" s="115">
        <v>1716.2645802019374</v>
      </c>
      <c r="O13" s="115">
        <v>18.048612112790455</v>
      </c>
      <c r="P13" s="115">
        <v>17.738735785192503</v>
      </c>
      <c r="Q13" s="111">
        <v>18.048612112790455</v>
      </c>
      <c r="R13" s="68">
        <v>17.738735785192503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1.6940175215483792E-2</v>
      </c>
      <c r="M14" s="115">
        <v>75.735552176508122</v>
      </c>
      <c r="N14" s="115">
        <v>7564.5142406793047</v>
      </c>
      <c r="O14" s="115">
        <v>55.154821850729306</v>
      </c>
      <c r="P14" s="115">
        <v>35.838406059999684</v>
      </c>
      <c r="Q14" s="111">
        <v>55.154821850729306</v>
      </c>
      <c r="R14" s="68">
        <v>35.838406059999684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2.7502226706138867E-2</v>
      </c>
      <c r="M15" s="115">
        <v>53.108877839892635</v>
      </c>
      <c r="N15" s="115">
        <v>5290.4183705777323</v>
      </c>
      <c r="O15" s="115">
        <v>44.208146361279418</v>
      </c>
      <c r="P15" s="115">
        <v>35.035486063055103</v>
      </c>
      <c r="Q15" s="111">
        <v>44.208146361279418</v>
      </c>
      <c r="R15" s="68">
        <v>35.035486063055103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6.1871383141621173E-3</v>
      </c>
      <c r="M16" s="115">
        <v>131.99663268221795</v>
      </c>
      <c r="N16" s="115">
        <v>13244.637865826913</v>
      </c>
      <c r="O16" s="115">
        <v>83.557091393359272</v>
      </c>
      <c r="P16" s="115">
        <v>40.247928108918984</v>
      </c>
      <c r="Q16" s="111">
        <v>83.557091393359286</v>
      </c>
      <c r="R16" s="68">
        <v>40.247928108918984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3.0869182062706134E-2</v>
      </c>
      <c r="M17" s="115">
        <v>48.327946743059783</v>
      </c>
      <c r="N17" s="115">
        <v>4810.745072323808</v>
      </c>
      <c r="O17" s="115">
        <v>41.952151914809626</v>
      </c>
      <c r="P17" s="115">
        <v>34.978571852655925</v>
      </c>
      <c r="Q17" s="111">
        <v>41.952151914809626</v>
      </c>
      <c r="R17" s="68">
        <v>34.978571852655925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0.18614115937042205</v>
      </c>
      <c r="M18" s="115">
        <v>15.581139928536659</v>
      </c>
      <c r="N18" s="115">
        <v>1522.3035359498706</v>
      </c>
      <c r="O18" s="115">
        <v>15.937578726210827</v>
      </c>
      <c r="P18" s="115">
        <v>15.561283204996208</v>
      </c>
      <c r="Q18" s="111">
        <v>15.937578726210829</v>
      </c>
      <c r="R18" s="68">
        <v>15.561283204996208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2.7147596069127412E-2</v>
      </c>
      <c r="M19" s="115">
        <v>53.660705276970653</v>
      </c>
      <c r="N19" s="115">
        <v>5345.8034384328721</v>
      </c>
      <c r="O19" s="115">
        <v>44.469826595202264</v>
      </c>
      <c r="P19" s="115">
        <v>35.044621745008953</v>
      </c>
      <c r="Q19" s="111">
        <v>44.469826595202271</v>
      </c>
      <c r="R19" s="68">
        <v>35.044621745008961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0.16231218171852177</v>
      </c>
      <c r="M20" s="115">
        <v>17.517455218889062</v>
      </c>
      <c r="N20" s="115">
        <v>1716.9111695474112</v>
      </c>
      <c r="O20" s="115">
        <v>18.055411787168953</v>
      </c>
      <c r="P20" s="115">
        <v>17.745418716072269</v>
      </c>
      <c r="Q20" s="111">
        <v>18.055411787168953</v>
      </c>
      <c r="R20" s="68">
        <v>17.745418716072269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1.9152315706618541E-2</v>
      </c>
      <c r="M21" s="115">
        <v>69.414238853528175</v>
      </c>
      <c r="N21" s="115">
        <v>6928.6568352208187</v>
      </c>
      <c r="O21" s="115">
        <v>52.023380401524776</v>
      </c>
      <c r="P21" s="115">
        <v>35.475336634307837</v>
      </c>
      <c r="Q21" s="111">
        <v>52.023380401524776</v>
      </c>
      <c r="R21" s="68">
        <v>35.475336634307837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0.6538983969276041</v>
      </c>
      <c r="M22" s="115">
        <v>2.4320612785751869</v>
      </c>
      <c r="N22" s="115">
        <v>180.56836598841309</v>
      </c>
      <c r="O22" s="115">
        <v>2.2632472571553146</v>
      </c>
      <c r="P22" s="115">
        <v>2.1524713487712033</v>
      </c>
      <c r="Q22" s="111">
        <v>2.2632472571553146</v>
      </c>
      <c r="R22" s="68">
        <v>2.1524713487712033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0.76200030992450463</v>
      </c>
      <c r="M23" s="115">
        <v>1.5535033538784269</v>
      </c>
      <c r="N23" s="115">
        <v>84.770488949363667</v>
      </c>
      <c r="O23" s="115">
        <v>1.4208396635158411</v>
      </c>
      <c r="P23" s="115">
        <v>1.4128632161643455</v>
      </c>
      <c r="Q23" s="111">
        <v>1.4208396635158411</v>
      </c>
      <c r="R23" s="68">
        <v>1.4128632161643455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0.32486231731523668</v>
      </c>
      <c r="M24" s="115">
        <v>9.0745001030055406</v>
      </c>
      <c r="N24" s="115">
        <v>864.67069709319458</v>
      </c>
      <c r="O24" s="115">
        <v>8.9830198610547374</v>
      </c>
      <c r="P24" s="115">
        <v>8.5440027708531563</v>
      </c>
      <c r="Q24" s="111">
        <v>8.9830198610547374</v>
      </c>
      <c r="R24" s="68">
        <v>8.5440027708531563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7.8289750564346602E-2</v>
      </c>
      <c r="M25" s="115">
        <v>24.569546631845586</v>
      </c>
      <c r="N25" s="115">
        <v>2428.8531575654993</v>
      </c>
      <c r="O25" s="115">
        <v>26.162606618819854</v>
      </c>
      <c r="P25" s="115">
        <v>26.448452725211705</v>
      </c>
      <c r="Q25" s="111">
        <v>26.162606618819858</v>
      </c>
      <c r="R25" s="68">
        <v>26.448452725211705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2.0790927765219406E-2</v>
      </c>
      <c r="M26" s="115">
        <v>65.514014302111178</v>
      </c>
      <c r="N26" s="115">
        <v>6536.4922227661236</v>
      </c>
      <c r="O26" s="115">
        <v>50.131789314901845</v>
      </c>
      <c r="P26" s="115">
        <v>35.326561202873819</v>
      </c>
      <c r="Q26" s="111">
        <v>50.131789314901845</v>
      </c>
      <c r="R26" s="68">
        <v>35.326561202873826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3.4145639773492469E-3</v>
      </c>
      <c r="M27" s="115">
        <v>164.80977049499</v>
      </c>
      <c r="N27" s="115">
        <v>16575.584131825821</v>
      </c>
      <c r="O27" s="115">
        <v>100.42260241848767</v>
      </c>
      <c r="P27" s="115">
        <v>43.545916507630821</v>
      </c>
      <c r="Q27" s="111">
        <v>100.42260241848768</v>
      </c>
      <c r="R27" s="68">
        <v>43.545916507630828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1.1488454420369743E-2</v>
      </c>
      <c r="M28" s="115">
        <v>96.411810325078036</v>
      </c>
      <c r="N28" s="115">
        <v>9647.8660541298395</v>
      </c>
      <c r="O28" s="115">
        <v>65.448015046451246</v>
      </c>
      <c r="P28" s="115">
        <v>37.15438066507128</v>
      </c>
      <c r="Q28" s="111">
        <v>65.448015046451246</v>
      </c>
      <c r="R28" s="68">
        <v>37.15438066507128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1.5717752258122636E-2</v>
      </c>
      <c r="M29" s="115">
        <v>65.521969945184026</v>
      </c>
      <c r="N29" s="115">
        <v>6542.9728119719975</v>
      </c>
      <c r="O29" s="115">
        <v>48.160068394796895</v>
      </c>
      <c r="P29" s="115">
        <v>31.796264618413705</v>
      </c>
      <c r="Q29" s="111">
        <v>48.160068394796895</v>
      </c>
      <c r="R29" s="68">
        <v>31.796264618413709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1.1488454420369743E-2</v>
      </c>
      <c r="M30" s="115">
        <v>96.411810325078036</v>
      </c>
      <c r="N30" s="115">
        <v>9647.8660541298395</v>
      </c>
      <c r="O30" s="115">
        <v>65.448015046451246</v>
      </c>
      <c r="P30" s="115">
        <v>37.15438066507128</v>
      </c>
      <c r="Q30" s="111">
        <v>65.448015046451246</v>
      </c>
      <c r="R30" s="68">
        <v>37.15438066507128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0.96966244883283492</v>
      </c>
      <c r="M31" s="115">
        <v>0.88985975828721542</v>
      </c>
      <c r="N31" s="115">
        <v>1.1362504745440332</v>
      </c>
      <c r="O31" s="115">
        <v>0.81077097384015029</v>
      </c>
      <c r="P31" s="115">
        <v>0.93837320847242001</v>
      </c>
      <c r="Q31" s="111">
        <v>0.8107709738401504</v>
      </c>
      <c r="R31" s="68">
        <v>0.93837320847242001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0.5724658259458929</v>
      </c>
      <c r="M32" s="115">
        <v>3.7414432822918164</v>
      </c>
      <c r="N32" s="115">
        <v>309.54015332212657</v>
      </c>
      <c r="O32" s="115">
        <v>3.1696162597396049</v>
      </c>
      <c r="P32" s="115">
        <v>2.9114978015745097</v>
      </c>
      <c r="Q32" s="111">
        <v>3.1696162597396049</v>
      </c>
      <c r="R32" s="68">
        <v>2.9114978015745101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0.99230157958133158</v>
      </c>
      <c r="M33" s="115">
        <v>0.90285667300876216</v>
      </c>
      <c r="N33" s="115">
        <v>0.5909789361427692</v>
      </c>
      <c r="O33" s="115">
        <v>0.84170841689520448</v>
      </c>
      <c r="P33" s="115">
        <v>0.98949203098910288</v>
      </c>
      <c r="Q33" s="111">
        <v>0.84170841689520459</v>
      </c>
      <c r="R33" s="68">
        <v>0.98949203098910288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0.92472971004422755</v>
      </c>
      <c r="M34" s="115">
        <v>1.3686080139297603</v>
      </c>
      <c r="N34" s="115">
        <v>75.565803293658448</v>
      </c>
      <c r="O34" s="115">
        <v>4.4098111701206513</v>
      </c>
      <c r="P34" s="115">
        <v>7.2092327983648312</v>
      </c>
      <c r="Q34" s="111">
        <v>4.4098111701206522</v>
      </c>
      <c r="R34" s="68">
        <v>7.2092327983648312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0.83168211488464039</v>
      </c>
      <c r="M35" s="115">
        <v>1.898070938368043</v>
      </c>
      <c r="N35" s="115">
        <v>161.65228939825121</v>
      </c>
      <c r="O35" s="115">
        <v>8.9006798682435555</v>
      </c>
      <c r="P35" s="115">
        <v>15.065443445017447</v>
      </c>
      <c r="Q35" s="111">
        <v>8.9006798682435555</v>
      </c>
      <c r="R35" s="68">
        <v>15.065443445017447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0.55287562681162872</v>
      </c>
      <c r="M36" s="115">
        <v>3.2807719461449087</v>
      </c>
      <c r="N36" s="115">
        <v>389.31432799502198</v>
      </c>
      <c r="O36" s="115">
        <v>21.87086782732969</v>
      </c>
      <c r="P36" s="115">
        <v>37.831591434263181</v>
      </c>
      <c r="Q36" s="111">
        <v>21.87086782732969</v>
      </c>
      <c r="R36" s="68">
        <v>37.831591434263181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0.59636144636854838</v>
      </c>
      <c r="M37" s="115">
        <v>5.0992923674047095</v>
      </c>
      <c r="N37" s="115">
        <v>494.87369347093289</v>
      </c>
      <c r="O37" s="115">
        <v>11.599328943715648</v>
      </c>
      <c r="P37" s="115">
        <v>17.329741031378447</v>
      </c>
      <c r="Q37" s="111">
        <v>11.599328943715648</v>
      </c>
      <c r="R37" s="68">
        <v>17.329741031378447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0.9384347895360623</v>
      </c>
      <c r="M38" s="115">
        <v>1.2877734569718691</v>
      </c>
      <c r="N38" s="115">
        <v>61.395182560838421</v>
      </c>
      <c r="O38" s="115">
        <v>3.6021279564453836</v>
      </c>
      <c r="P38" s="115">
        <v>5.7821551350340972</v>
      </c>
      <c r="Q38" s="111">
        <v>3.6021279564453836</v>
      </c>
      <c r="R38" s="68">
        <v>5.7821551350340972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4.8623724594537947E-2</v>
      </c>
      <c r="M39" s="115">
        <v>32.139920640624482</v>
      </c>
      <c r="N39" s="115">
        <v>3188.8836029423223</v>
      </c>
      <c r="O39" s="115">
        <v>34.55220036193824</v>
      </c>
      <c r="P39" s="115">
        <v>35.248053534079197</v>
      </c>
      <c r="Q39" s="111">
        <v>34.55220036193824</v>
      </c>
      <c r="R39" s="68">
        <v>35.248053534079204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7.1153062218356202E-3</v>
      </c>
      <c r="M40" s="115">
        <v>284.0129620150426</v>
      </c>
      <c r="N40" s="115">
        <v>38913.626739831896</v>
      </c>
      <c r="O40" s="115">
        <v>137.34790164910257</v>
      </c>
      <c r="P40" s="115">
        <v>90.065019090819547</v>
      </c>
      <c r="Q40" s="111">
        <v>137.34790164910257</v>
      </c>
      <c r="R40" s="68">
        <v>90.065019090819547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0.90727061580056168</v>
      </c>
      <c r="M41" s="115">
        <v>0.82237816837825317</v>
      </c>
      <c r="N41" s="115">
        <v>6.4191074628234313E-2</v>
      </c>
      <c r="O41" s="115">
        <v>0.75004133258053973</v>
      </c>
      <c r="P41" s="115">
        <v>0.87155248348738301</v>
      </c>
      <c r="Q41" s="111">
        <v>0.75004133258053984</v>
      </c>
      <c r="R41" s="68">
        <v>0.87155248348738312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0.62714117421307825</v>
      </c>
      <c r="M42" s="115">
        <v>2.744676069935454</v>
      </c>
      <c r="N42" s="115">
        <v>213.63920587718229</v>
      </c>
      <c r="O42" s="115">
        <v>2.5670510384431973</v>
      </c>
      <c r="P42" s="115">
        <v>2.42649913650295</v>
      </c>
      <c r="Q42" s="111">
        <v>2.5670510384431977</v>
      </c>
      <c r="R42" s="68">
        <v>2.42649913650295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8.2077069437075267E-2</v>
      </c>
      <c r="M43" s="115">
        <v>10.880853186622671</v>
      </c>
      <c r="N43" s="115">
        <v>1502.5418366874605</v>
      </c>
      <c r="O43" s="115">
        <v>45.215273809905518</v>
      </c>
      <c r="P43" s="115">
        <v>75.994243378306564</v>
      </c>
      <c r="Q43" s="111">
        <v>45.215273809905518</v>
      </c>
      <c r="R43" s="68">
        <v>75.994243378306564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0.77851123537217559</v>
      </c>
      <c r="M44" s="115">
        <v>1.0067999271399402</v>
      </c>
      <c r="N44" s="115">
        <v>29.646458353435278</v>
      </c>
      <c r="O44" s="115">
        <v>0.91306381927789437</v>
      </c>
      <c r="P44" s="115">
        <v>0.97231027452080132</v>
      </c>
      <c r="Q44" s="111">
        <v>0.91306381927789448</v>
      </c>
      <c r="R44" s="68">
        <v>0.97231027452080132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0.60061374922818456</v>
      </c>
      <c r="M45" s="115">
        <v>3.0561887045372562</v>
      </c>
      <c r="N45" s="115">
        <v>246.59706914189903</v>
      </c>
      <c r="O45" s="115">
        <v>2.8718582213806076</v>
      </c>
      <c r="P45" s="115">
        <v>2.7036195391090656</v>
      </c>
      <c r="Q45" s="111">
        <v>2.8718582213806076</v>
      </c>
      <c r="R45" s="68">
        <v>2.7036195391090656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0.61599405819622444</v>
      </c>
      <c r="M46" s="115">
        <v>2.8508422061017913</v>
      </c>
      <c r="N46" s="115">
        <v>225.05743375985807</v>
      </c>
      <c r="O46" s="115">
        <v>2.6709870800863293</v>
      </c>
      <c r="P46" s="115">
        <v>2.5205260590212246</v>
      </c>
      <c r="Q46" s="111">
        <v>2.6709870800863293</v>
      </c>
      <c r="R46" s="68">
        <v>2.5205260590212251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3.1671106305034384E-3</v>
      </c>
      <c r="M47" s="115">
        <v>171.77719442963541</v>
      </c>
      <c r="N47" s="115">
        <v>17282.018010210511</v>
      </c>
      <c r="O47" s="115">
        <v>104.22910877106195</v>
      </c>
      <c r="P47" s="115">
        <v>44.646701622033916</v>
      </c>
      <c r="Q47" s="111">
        <v>104.22910877106195</v>
      </c>
      <c r="R47" s="68">
        <v>44.646701622033916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0.90534081213473649</v>
      </c>
      <c r="M48" s="115">
        <v>0.9243053026586957</v>
      </c>
      <c r="N48" s="115">
        <v>10.244608968625197</v>
      </c>
      <c r="O48" s="115">
        <v>0.83889095695195137</v>
      </c>
      <c r="P48" s="115">
        <v>0.94230040856307629</v>
      </c>
      <c r="Q48" s="111">
        <v>0.83889095695195137</v>
      </c>
      <c r="R48" s="68">
        <v>0.9423004085630764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0.87010943801725948</v>
      </c>
      <c r="M49" s="115">
        <v>0.96770348865468869</v>
      </c>
      <c r="N49" s="115">
        <v>17.650330197461031</v>
      </c>
      <c r="O49" s="115">
        <v>0.87736428222039498</v>
      </c>
      <c r="P49" s="115">
        <v>0.96497756599848317</v>
      </c>
      <c r="Q49" s="111">
        <v>0.87736428222039509</v>
      </c>
      <c r="R49" s="68">
        <v>0.96497756599848328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0.19171505193159846</v>
      </c>
      <c r="M50" s="115">
        <v>14.974908745324775</v>
      </c>
      <c r="N50" s="115">
        <v>1461.6448804212562</v>
      </c>
      <c r="O50" s="115">
        <v>15.285782541771882</v>
      </c>
      <c r="P50" s="115">
        <v>14.898456588533175</v>
      </c>
      <c r="Q50" s="111">
        <v>15.285782541771882</v>
      </c>
      <c r="R50" s="68">
        <v>14.898456588533175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0.89865789057618684</v>
      </c>
      <c r="M51" s="115">
        <v>0.83278856024786529</v>
      </c>
      <c r="N51" s="115">
        <v>1.8459579382858269</v>
      </c>
      <c r="O51" s="115">
        <v>0.75831659118387684</v>
      </c>
      <c r="P51" s="115">
        <v>0.87504078284303388</v>
      </c>
      <c r="Q51" s="111">
        <v>0.75831659118387684</v>
      </c>
      <c r="R51" s="68">
        <v>0.87504078284303399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0.75207048452577896</v>
      </c>
      <c r="M52" s="115">
        <v>1.1912571071005433</v>
      </c>
      <c r="N52" s="115">
        <v>50.108817444087386</v>
      </c>
      <c r="O52" s="115">
        <v>1.0833979410431771</v>
      </c>
      <c r="P52" s="115">
        <v>1.1136833553311076</v>
      </c>
      <c r="Q52" s="111">
        <v>1.0833979410431771</v>
      </c>
      <c r="R52" s="68">
        <v>1.1136833553311076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0.5141284171189513</v>
      </c>
      <c r="M53" s="115">
        <v>4.3183265810138582</v>
      </c>
      <c r="N53" s="115">
        <v>378.41589870682645</v>
      </c>
      <c r="O53" s="115">
        <v>4.1216831671125691</v>
      </c>
      <c r="P53" s="115">
        <v>3.8603341146121064</v>
      </c>
      <c r="Q53" s="111">
        <v>4.1216831671125691</v>
      </c>
      <c r="R53" s="68">
        <v>3.8603341146121068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4.309807184117713E-3</v>
      </c>
      <c r="M54" s="115">
        <v>153.60479200894702</v>
      </c>
      <c r="N54" s="115">
        <v>15435.389770805592</v>
      </c>
      <c r="O54" s="115">
        <v>94.748688494221454</v>
      </c>
      <c r="P54" s="115">
        <v>42.54731308115651</v>
      </c>
      <c r="Q54" s="111">
        <v>94.748688494221454</v>
      </c>
      <c r="R54" s="68">
        <v>42.54731308115651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0.23609164048257031</v>
      </c>
      <c r="M55" s="115">
        <v>7.5533299686074535</v>
      </c>
      <c r="N55" s="115">
        <v>723.0372873365219</v>
      </c>
      <c r="O55" s="115">
        <v>7.5075520557385751</v>
      </c>
      <c r="P55" s="115">
        <v>7.16152477794214</v>
      </c>
      <c r="Q55" s="111">
        <v>7.5075520557385751</v>
      </c>
      <c r="R55" s="68">
        <v>7.16152477794214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2.2384817274004206E-2</v>
      </c>
      <c r="M56" s="115">
        <v>3.499569495791333</v>
      </c>
      <c r="N56" s="115">
        <v>344.25838710424205</v>
      </c>
      <c r="O56" s="115">
        <v>3.647666181828761</v>
      </c>
      <c r="P56" s="115">
        <v>3.6200658500139111</v>
      </c>
      <c r="Q56" s="111">
        <v>3.647666181828761</v>
      </c>
      <c r="R56" s="68">
        <v>3.6200658500139111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3.3618763110010413E-2</v>
      </c>
      <c r="M57" s="115">
        <v>1.4457615330542259</v>
      </c>
      <c r="N57" s="115">
        <v>139.53573302953066</v>
      </c>
      <c r="O57" s="115">
        <v>1.4497277604314647</v>
      </c>
      <c r="P57" s="115">
        <v>1.3922981281637421</v>
      </c>
      <c r="Q57" s="111">
        <v>1.4497277604314647</v>
      </c>
      <c r="R57" s="68">
        <v>1.3922981281637423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5.9256731577672549E-2</v>
      </c>
      <c r="M58" s="115">
        <v>6.9116570477623859E-2</v>
      </c>
      <c r="N58" s="115">
        <v>1.5179380685404293</v>
      </c>
      <c r="O58" s="115">
        <v>6.265500722209677E-2</v>
      </c>
      <c r="P58" s="115">
        <v>6.8170106780009829E-2</v>
      </c>
      <c r="Q58" s="111">
        <v>6.265500722209677E-2</v>
      </c>
      <c r="R58" s="68">
        <v>6.8170106780009829E-2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1.2731616174354072E-2</v>
      </c>
      <c r="M59" s="115">
        <v>0.5112955607228743</v>
      </c>
      <c r="N59" s="115">
        <v>49.26279050757249</v>
      </c>
      <c r="O59" s="115">
        <v>0.51165354719890432</v>
      </c>
      <c r="P59" s="115">
        <v>0.49059546567794216</v>
      </c>
      <c r="Q59" s="111">
        <v>0.51165354719890432</v>
      </c>
      <c r="R59" s="68">
        <v>0.49059546567794221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4.5370063592488802E-4</v>
      </c>
      <c r="M60" s="115">
        <v>8.659446974293496E-3</v>
      </c>
      <c r="N60" s="115">
        <v>0.81154525444608161</v>
      </c>
      <c r="O60" s="115">
        <v>8.4747751682953155E-3</v>
      </c>
      <c r="P60" s="115">
        <v>8.0017606376591773E-3</v>
      </c>
      <c r="Q60" s="111">
        <v>8.4747751682953155E-3</v>
      </c>
      <c r="R60" s="68">
        <v>8.0017606376591773E-3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0.43420640313369913</v>
      </c>
      <c r="M61" s="115">
        <v>5.9569404074934935</v>
      </c>
      <c r="N61" s="115">
        <v>546.9842755888925</v>
      </c>
      <c r="O61" s="115">
        <v>5.7719324115037471</v>
      </c>
      <c r="P61" s="115">
        <v>5.4232279212046102</v>
      </c>
      <c r="Q61" s="111">
        <v>5.7719324115037471</v>
      </c>
      <c r="R61" s="68">
        <v>5.4232279212046102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1.7423010680055109E-2</v>
      </c>
      <c r="M62" s="115">
        <v>74.344375726563698</v>
      </c>
      <c r="N62" s="115">
        <v>7424.5026841027402</v>
      </c>
      <c r="O62" s="115">
        <v>54.474632343668837</v>
      </c>
      <c r="P62" s="115">
        <v>35.774030282810642</v>
      </c>
      <c r="Q62" s="111">
        <v>54.474632343668837</v>
      </c>
      <c r="R62" s="68">
        <v>35.774030282810649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1.8131022549796121E-3</v>
      </c>
      <c r="M63" s="115">
        <v>202.66902420979929</v>
      </c>
      <c r="N63" s="115">
        <v>20431.435878851924</v>
      </c>
      <c r="O63" s="115">
        <v>120.42523671502781</v>
      </c>
      <c r="P63" s="115">
        <v>48.462076875250631</v>
      </c>
      <c r="Q63" s="111">
        <v>120.42523671502781</v>
      </c>
      <c r="R63" s="68">
        <v>48.462076875250631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6.788799301970669E-4</v>
      </c>
      <c r="M64" s="115">
        <v>249.37652617460392</v>
      </c>
      <c r="N64" s="115">
        <v>25223.517589488332</v>
      </c>
      <c r="O64" s="115">
        <v>145.0649634456349</v>
      </c>
      <c r="P64" s="115">
        <v>54.803467306685306</v>
      </c>
      <c r="Q64" s="111">
        <v>145.06496344563493</v>
      </c>
      <c r="R64" s="68">
        <v>54.803467306685313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2.0487841031825038E-4</v>
      </c>
      <c r="M65" s="115">
        <v>291.2006956845766</v>
      </c>
      <c r="N65" s="115">
        <v>29563.909703052537</v>
      </c>
      <c r="O65" s="115">
        <v>167.12295992026884</v>
      </c>
      <c r="P65" s="115">
        <v>60.956047798851273</v>
      </c>
      <c r="Q65" s="111">
        <v>167.12295992026884</v>
      </c>
      <c r="R65" s="68">
        <v>60.956047798851273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4.0877819271971811E-4</v>
      </c>
      <c r="M66" s="115">
        <v>269.0534768814365</v>
      </c>
      <c r="N66" s="115">
        <v>27257.670496522354</v>
      </c>
      <c r="O66" s="115">
        <v>155.45723238742178</v>
      </c>
      <c r="P66" s="115">
        <v>57.647487670653433</v>
      </c>
      <c r="Q66" s="111">
        <v>155.45723238742181</v>
      </c>
      <c r="R66" s="68">
        <v>57.647487670653433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0.83538911955524886</v>
      </c>
      <c r="M67" s="115">
        <v>1.1467621539424502</v>
      </c>
      <c r="N67" s="115">
        <v>38.334984303194432</v>
      </c>
      <c r="O67" s="115">
        <v>1.0406226553450257</v>
      </c>
      <c r="P67" s="115">
        <v>1.0957116461983964</v>
      </c>
      <c r="Q67" s="111">
        <v>1.040622655345026</v>
      </c>
      <c r="R67" s="68">
        <v>1.0957116461983964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0.7810138704050541</v>
      </c>
      <c r="M68" s="115">
        <v>1.3762458666512085</v>
      </c>
      <c r="N68" s="115">
        <v>65.692054362034071</v>
      </c>
      <c r="O68" s="115">
        <v>1.254359070326112</v>
      </c>
      <c r="P68" s="115">
        <v>1.2698010866158103</v>
      </c>
      <c r="Q68" s="111">
        <v>1.254359070326112</v>
      </c>
      <c r="R68" s="68">
        <v>1.2698010866158103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6.4682205943574532E-3</v>
      </c>
      <c r="M69" s="115">
        <v>128.6667882819653</v>
      </c>
      <c r="N69" s="115">
        <v>12907.927744010596</v>
      </c>
      <c r="O69" s="115">
        <v>81.785692006934369</v>
      </c>
      <c r="P69" s="115">
        <v>39.817531617103619</v>
      </c>
      <c r="Q69" s="111">
        <v>81.785692006934369</v>
      </c>
      <c r="R69" s="68">
        <v>39.817531617103626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9.3803433618671148E-2</v>
      </c>
      <c r="M70" s="115">
        <v>23.879949127168434</v>
      </c>
      <c r="N70" s="115">
        <v>2357.6757758916465</v>
      </c>
      <c r="O70" s="115">
        <v>25.264359071874274</v>
      </c>
      <c r="P70" s="115">
        <v>25.398971729169155</v>
      </c>
      <c r="Q70" s="111">
        <v>25.264359071874274</v>
      </c>
      <c r="R70" s="68">
        <v>25.398971729169158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0.77733689748406543</v>
      </c>
      <c r="M71" s="115">
        <v>1.3104694733810383</v>
      </c>
      <c r="N71" s="115">
        <v>59.564146966244088</v>
      </c>
      <c r="O71" s="115">
        <v>1.1932787736721406</v>
      </c>
      <c r="P71" s="115">
        <v>1.2153839360401855</v>
      </c>
      <c r="Q71" s="111">
        <v>1.1932787736721409</v>
      </c>
      <c r="R71" s="68">
        <v>1.2153839360401855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0.10089655152773386</v>
      </c>
      <c r="M72" s="115">
        <v>21.830064513160345</v>
      </c>
      <c r="N72" s="115">
        <v>2152.9274807825186</v>
      </c>
      <c r="O72" s="115">
        <v>22.980510524385753</v>
      </c>
      <c r="P72" s="115">
        <v>23.00351213722287</v>
      </c>
      <c r="Q72" s="111">
        <v>22.980510524385753</v>
      </c>
      <c r="R72" s="68">
        <v>23.003512137222874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0.40825580583078697</v>
      </c>
      <c r="M73" s="115">
        <v>6.2479691975299607</v>
      </c>
      <c r="N73" s="115">
        <v>578.04471994436415</v>
      </c>
      <c r="O73" s="115">
        <v>6.0740554852202768</v>
      </c>
      <c r="P73" s="115">
        <v>5.7152501159973426</v>
      </c>
      <c r="Q73" s="111">
        <v>6.0740554852202768</v>
      </c>
      <c r="R73" s="68">
        <v>5.7152501159973426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9.6167510036004836E-2</v>
      </c>
      <c r="M74" s="115">
        <v>23.369897761194878</v>
      </c>
      <c r="N74" s="115">
        <v>2306.6189469153805</v>
      </c>
      <c r="O74" s="115">
        <v>24.689389889741815</v>
      </c>
      <c r="P74" s="115">
        <v>24.790351053783606</v>
      </c>
      <c r="Q74" s="111">
        <v>24.689389889741815</v>
      </c>
      <c r="R74" s="68">
        <v>24.79035105378361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4.0821872694068645E-2</v>
      </c>
      <c r="M75" s="115">
        <v>36.345149897265976</v>
      </c>
      <c r="N75" s="115">
        <v>5095.8941537148776</v>
      </c>
      <c r="O75" s="115">
        <v>55.440574759901033</v>
      </c>
      <c r="P75" s="115">
        <v>80.892448795103206</v>
      </c>
      <c r="Q75" s="111">
        <v>55.440574759901033</v>
      </c>
      <c r="R75" s="68">
        <v>80.892448795103206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4.0821872897023735E-2</v>
      </c>
      <c r="M76" s="115">
        <v>36.345150077964028</v>
      </c>
      <c r="N76" s="115">
        <v>5095.8941790502568</v>
      </c>
      <c r="O76" s="115">
        <v>55.44057503553627</v>
      </c>
      <c r="P76" s="115">
        <v>80.89244919727814</v>
      </c>
      <c r="Q76" s="111">
        <v>55.44057503553627</v>
      </c>
      <c r="R76" s="68">
        <v>80.89244919727814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0.22465295899868742</v>
      </c>
      <c r="M77" s="115">
        <v>12.145534397393053</v>
      </c>
      <c r="N77" s="115">
        <v>1178.0974738590062</v>
      </c>
      <c r="O77" s="115">
        <v>12.262199894578533</v>
      </c>
      <c r="P77" s="115">
        <v>11.84165139236157</v>
      </c>
      <c r="Q77" s="111">
        <v>12.262199894578533</v>
      </c>
      <c r="R77" s="68">
        <v>11.84165139236157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0.61504022813994774</v>
      </c>
      <c r="M78" s="115">
        <v>2.5015747005652345</v>
      </c>
      <c r="N78" s="115">
        <v>190.84872145181146</v>
      </c>
      <c r="O78" s="115">
        <v>2.3343704155724803</v>
      </c>
      <c r="P78" s="115">
        <v>2.2121154142116239</v>
      </c>
      <c r="Q78" s="111">
        <v>2.3343704155724803</v>
      </c>
      <c r="R78" s="68">
        <v>2.2121154142116244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0.50310014942174131</v>
      </c>
      <c r="M79" s="115">
        <v>4.4057240529382957</v>
      </c>
      <c r="N79" s="115">
        <v>388.00820306934355</v>
      </c>
      <c r="O79" s="115">
        <v>4.2105304460430775</v>
      </c>
      <c r="P79" s="115">
        <v>3.9436213960841648</v>
      </c>
      <c r="Q79" s="111">
        <v>4.2105304460430775</v>
      </c>
      <c r="R79" s="68">
        <v>3.9436213960841648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2.7043403663770078E-2</v>
      </c>
      <c r="M80" s="115">
        <v>68.947767200655917</v>
      </c>
      <c r="N80" s="115">
        <v>9673.4665458284635</v>
      </c>
      <c r="O80" s="115">
        <v>66.634399441352016</v>
      </c>
      <c r="P80" s="115">
        <v>83.608889726661502</v>
      </c>
      <c r="Q80" s="111">
        <v>66.634399441352031</v>
      </c>
      <c r="R80" s="68">
        <v>83.608889726661502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0.96414247281968724</v>
      </c>
      <c r="M81" s="115">
        <v>0.8904233941389037</v>
      </c>
      <c r="N81" s="115">
        <v>1.6814025960476746</v>
      </c>
      <c r="O81" s="115">
        <v>0.81095871715547319</v>
      </c>
      <c r="P81" s="115">
        <v>0.93675812923387791</v>
      </c>
      <c r="Q81" s="111">
        <v>0.8109587171554733</v>
      </c>
      <c r="R81" s="68">
        <v>0.93675812923387802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0.76672435349557966</v>
      </c>
      <c r="M82" s="115">
        <v>1.5235436677957297</v>
      </c>
      <c r="N82" s="115">
        <v>81.412115769651052</v>
      </c>
      <c r="O82" s="115">
        <v>1.3925408192608373</v>
      </c>
      <c r="P82" s="115">
        <v>1.3887462428104798</v>
      </c>
      <c r="Q82" s="111">
        <v>1.3925408192608373</v>
      </c>
      <c r="R82" s="68">
        <v>1.38874624281048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0.26842088806868863</v>
      </c>
      <c r="M83" s="115">
        <v>11.282813337237195</v>
      </c>
      <c r="N83" s="115">
        <v>1088.338171134684</v>
      </c>
      <c r="O83" s="115">
        <v>11.306072903396544</v>
      </c>
      <c r="P83" s="115">
        <v>10.852345667819108</v>
      </c>
      <c r="Q83" s="111">
        <v>11.306072903396545</v>
      </c>
      <c r="R83" s="68">
        <v>10.852345667819108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0.93147508408909752</v>
      </c>
      <c r="M84" s="115">
        <v>0.91336830596201701</v>
      </c>
      <c r="N84" s="115">
        <v>6.8414405267935283</v>
      </c>
      <c r="O84" s="115">
        <v>0.82977803661353022</v>
      </c>
      <c r="P84" s="115">
        <v>0.94213489775503412</v>
      </c>
      <c r="Q84" s="111">
        <v>0.82977803661353022</v>
      </c>
      <c r="R84" s="68">
        <v>0.94213489775503412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0.98075596927038911</v>
      </c>
      <c r="M85" s="115">
        <v>0.89181213618826138</v>
      </c>
      <c r="N85" s="115">
        <v>0.3445379653211707</v>
      </c>
      <c r="O85" s="115">
        <v>0.81311649320380353</v>
      </c>
      <c r="P85" s="115">
        <v>0.94384295624278802</v>
      </c>
      <c r="Q85" s="111">
        <v>0.81311649320380353</v>
      </c>
      <c r="R85" s="68">
        <v>0.94384295624278802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0.93294706209245404</v>
      </c>
      <c r="M86" s="115">
        <v>0.91162889133276115</v>
      </c>
      <c r="N86" s="115">
        <v>6.5393658449771639</v>
      </c>
      <c r="O86" s="115">
        <v>0.8282847451943991</v>
      </c>
      <c r="P86" s="115">
        <v>0.94133893610979347</v>
      </c>
      <c r="Q86" s="111">
        <v>0.82828474519439921</v>
      </c>
      <c r="R86" s="68">
        <v>0.94133893610979347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2.5618536393934876E-3</v>
      </c>
      <c r="M87" s="115">
        <v>183.83509390007134</v>
      </c>
      <c r="N87" s="115">
        <v>18509.720495374451</v>
      </c>
      <c r="O87" s="115">
        <v>110.53804293389588</v>
      </c>
      <c r="P87" s="115">
        <v>46.096901452279496</v>
      </c>
      <c r="Q87" s="111">
        <v>110.53804293389588</v>
      </c>
      <c r="R87" s="68">
        <v>46.096901452279496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0.68233743698300009</v>
      </c>
      <c r="M88" s="115">
        <v>2.1743319595490651</v>
      </c>
      <c r="N88" s="115">
        <v>152.74773632028396</v>
      </c>
      <c r="O88" s="115">
        <v>2.0138990396965291</v>
      </c>
      <c r="P88" s="115">
        <v>1.930324708303055</v>
      </c>
      <c r="Q88" s="111">
        <v>2.0138990396965291</v>
      </c>
      <c r="R88" s="68">
        <v>1.9303247083030552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0.75239766755724047</v>
      </c>
      <c r="M89" s="115">
        <v>1.6172822028743208</v>
      </c>
      <c r="N89" s="115">
        <v>91.879324221528435</v>
      </c>
      <c r="O89" s="115">
        <v>1.481195663626212</v>
      </c>
      <c r="P89" s="115">
        <v>1.4645421518209021</v>
      </c>
      <c r="Q89" s="111">
        <v>1.4811956636262122</v>
      </c>
      <c r="R89" s="68">
        <v>1.4645421518209021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0.87587627277618552</v>
      </c>
      <c r="M90" s="115">
        <v>1.0270027270004418</v>
      </c>
      <c r="N90" s="115">
        <v>22.966291022423494</v>
      </c>
      <c r="O90" s="115">
        <v>0.9309892441308073</v>
      </c>
      <c r="P90" s="115">
        <v>1.0117648076114745</v>
      </c>
      <c r="Q90" s="111">
        <v>0.93098924413080741</v>
      </c>
      <c r="R90" s="68">
        <v>1.0117648076114745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1.5139034564268126E-2</v>
      </c>
      <c r="M91" s="115">
        <v>81.566161926696978</v>
      </c>
      <c r="N91" s="115">
        <v>8151.4953046920127</v>
      </c>
      <c r="O91" s="115">
        <v>58.040401259104627</v>
      </c>
      <c r="P91" s="115">
        <v>36.173258550488143</v>
      </c>
      <c r="Q91" s="111">
        <v>58.040401259104627</v>
      </c>
      <c r="R91" s="68">
        <v>36.173258550488143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0.32816568430237186</v>
      </c>
      <c r="M92" s="115">
        <v>8.9622936601864271</v>
      </c>
      <c r="N92" s="115">
        <v>853.27723894702581</v>
      </c>
      <c r="O92" s="115">
        <v>8.8659625605386783</v>
      </c>
      <c r="P92" s="115">
        <v>8.4286877723781934</v>
      </c>
      <c r="Q92" s="111">
        <v>8.8659625605386783</v>
      </c>
      <c r="R92" s="68">
        <v>8.4286877723781934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0.12611774901190254</v>
      </c>
      <c r="M93" s="115">
        <v>20.652964880190911</v>
      </c>
      <c r="N93" s="115">
        <v>2032.4712038345872</v>
      </c>
      <c r="O93" s="115">
        <v>21.557326400740425</v>
      </c>
      <c r="P93" s="115">
        <v>21.420419667416898</v>
      </c>
      <c r="Q93" s="111">
        <v>21.557326400740425</v>
      </c>
      <c r="R93" s="68">
        <v>21.420419667416898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0.98305547564572593</v>
      </c>
      <c r="M94" s="115">
        <v>0.98159875607669755</v>
      </c>
      <c r="N94" s="115">
        <v>13.062071704660859</v>
      </c>
      <c r="O94" s="115">
        <v>1.3717187479156414</v>
      </c>
      <c r="P94" s="115">
        <v>1.908160244474397</v>
      </c>
      <c r="Q94" s="111">
        <v>1.3717187479156416</v>
      </c>
      <c r="R94" s="68">
        <v>1.908160244474397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3.6353668603172851E-2</v>
      </c>
      <c r="M95" s="115">
        <v>42.035470015342007</v>
      </c>
      <c r="N95" s="115">
        <v>4179.87320081093</v>
      </c>
      <c r="O95" s="115">
        <v>39.031603387522892</v>
      </c>
      <c r="P95" s="115">
        <v>34.997565504783942</v>
      </c>
      <c r="Q95" s="111">
        <v>39.031603387522892</v>
      </c>
      <c r="R95" s="68">
        <v>34.997565504783942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0.96304339713959153</v>
      </c>
      <c r="M96" s="115">
        <v>0.89065333592644658</v>
      </c>
      <c r="N96" s="115">
        <v>1.8015524176581295</v>
      </c>
      <c r="O96" s="115">
        <v>0.81110106880648447</v>
      </c>
      <c r="P96" s="115">
        <v>0.93652354867823018</v>
      </c>
      <c r="Q96" s="111">
        <v>0.81110106880648447</v>
      </c>
      <c r="R96" s="68">
        <v>0.93652354867823018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0.93072642775468828</v>
      </c>
      <c r="M97" s="115">
        <v>0.91427821385940422</v>
      </c>
      <c r="N97" s="115">
        <v>6.997563735723987</v>
      </c>
      <c r="O97" s="115">
        <v>0.83056083598645947</v>
      </c>
      <c r="P97" s="115">
        <v>0.94255998194715929</v>
      </c>
      <c r="Q97" s="111">
        <v>0.83056083598645958</v>
      </c>
      <c r="R97" s="68">
        <v>0.94255998194715929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7.4753440127878532E-2</v>
      </c>
      <c r="M98" s="115">
        <v>26.973672298901111</v>
      </c>
      <c r="N98" s="115">
        <v>2668.5911181423503</v>
      </c>
      <c r="O98" s="115">
        <v>28.847530818058313</v>
      </c>
      <c r="P98" s="115">
        <v>29.270883557976692</v>
      </c>
      <c r="Q98" s="111">
        <v>28.847530818058317</v>
      </c>
      <c r="R98" s="68">
        <v>29.270883557976692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0.98441703958919158</v>
      </c>
      <c r="M99" s="115">
        <v>0.89341530392361634</v>
      </c>
      <c r="N99" s="115">
        <v>0.1775449968771273</v>
      </c>
      <c r="O99" s="115">
        <v>0.81472419785731509</v>
      </c>
      <c r="P99" s="115">
        <v>0.94631421415585404</v>
      </c>
      <c r="Q99" s="111">
        <v>0.81472419785731509</v>
      </c>
      <c r="R99" s="68">
        <v>0.94631421415585415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0.53995208517937554</v>
      </c>
      <c r="M100" s="115">
        <v>3.9257362732568755</v>
      </c>
      <c r="N100" s="115">
        <v>337.48277849948119</v>
      </c>
      <c r="O100" s="115">
        <v>3.7302336172722566</v>
      </c>
      <c r="P100" s="115">
        <v>3.4950829456008483</v>
      </c>
      <c r="Q100" s="111">
        <v>3.7302336172722566</v>
      </c>
      <c r="R100" s="68">
        <v>3.4950829456008483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0.9788604453375922</v>
      </c>
      <c r="M101" s="115">
        <v>0.89117569038508804</v>
      </c>
      <c r="N101" s="115">
        <v>0.4500166289647472</v>
      </c>
      <c r="O101" s="115">
        <v>0.81245108159742885</v>
      </c>
      <c r="P101" s="115">
        <v>0.94269529843295208</v>
      </c>
      <c r="Q101" s="111">
        <v>0.81245108159742885</v>
      </c>
      <c r="R101" s="68">
        <v>0.94269529843295208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0.98916029571329012</v>
      </c>
      <c r="M102" s="115">
        <v>0.89627679891522383</v>
      </c>
      <c r="N102" s="115">
        <v>3.8093157863554321E-2</v>
      </c>
      <c r="O102" s="115">
        <v>0.81747459778178255</v>
      </c>
      <c r="P102" s="115">
        <v>0.95003195701588772</v>
      </c>
      <c r="Q102" s="111">
        <v>0.81747459778178255</v>
      </c>
      <c r="R102" s="68">
        <v>0.95003195701588783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0.98467935407068086</v>
      </c>
      <c r="M103" s="115">
        <v>0.89354977427739313</v>
      </c>
      <c r="N103" s="115">
        <v>0.1675039066843641</v>
      </c>
      <c r="O103" s="115">
        <v>0.81485618357829837</v>
      </c>
      <c r="P103" s="115">
        <v>0.94650440116837598</v>
      </c>
      <c r="Q103" s="111">
        <v>0.81485618357829837</v>
      </c>
      <c r="R103" s="68">
        <v>0.94650440116837598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0.94792516276819838</v>
      </c>
      <c r="M104" s="115">
        <v>0.89768844087491761</v>
      </c>
      <c r="N104" s="115">
        <v>3.8361605075745602</v>
      </c>
      <c r="O104" s="115">
        <v>0.81654522304603216</v>
      </c>
      <c r="P104" s="115">
        <v>0.93622445013423061</v>
      </c>
      <c r="Q104" s="111">
        <v>0.81654522304603216</v>
      </c>
      <c r="R104" s="68">
        <v>0.93622445013423072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0.9884606030835198</v>
      </c>
      <c r="M105" s="115">
        <v>0.89579492996509968</v>
      </c>
      <c r="N105" s="115">
        <v>5.2817581097217361E-2</v>
      </c>
      <c r="O105" s="115">
        <v>0.81701867952844187</v>
      </c>
      <c r="P105" s="115">
        <v>0.94944553540547949</v>
      </c>
      <c r="Q105" s="111">
        <v>0.81701867952844187</v>
      </c>
      <c r="R105" s="68">
        <v>0.94944553540547949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0.84609407383866286</v>
      </c>
      <c r="M106" s="115">
        <v>1.1262614060531453</v>
      </c>
      <c r="N106" s="115">
        <v>35.369443888012853</v>
      </c>
      <c r="O106" s="115">
        <v>1.021672804678974</v>
      </c>
      <c r="P106" s="115">
        <v>1.0819317837642377</v>
      </c>
      <c r="Q106" s="111">
        <v>1.021672804678974</v>
      </c>
      <c r="R106" s="68">
        <v>1.0819317837642377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6.0225184435611701E-2</v>
      </c>
      <c r="M107" s="115">
        <v>29.40987803430929</v>
      </c>
      <c r="N107" s="115">
        <v>2914.0579944272395</v>
      </c>
      <c r="O107" s="115">
        <v>31.752617328492491</v>
      </c>
      <c r="P107" s="115">
        <v>32.477862875573976</v>
      </c>
      <c r="Q107" s="111">
        <v>31.752617328492491</v>
      </c>
      <c r="R107" s="68">
        <v>32.477862875573976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0.58778815361943904</v>
      </c>
      <c r="M108" s="115">
        <v>3.2313332172332712</v>
      </c>
      <c r="N108" s="115">
        <v>264.94787896014685</v>
      </c>
      <c r="O108" s="115">
        <v>3.0437753226983211</v>
      </c>
      <c r="P108" s="115">
        <v>2.8609982051655058</v>
      </c>
      <c r="Q108" s="111">
        <v>3.0437753226983211</v>
      </c>
      <c r="R108" s="68">
        <v>2.8609982051655063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Mass Balance</vt:lpstr>
      <vt:lpstr>QA-QC</vt:lpstr>
      <vt:lpstr>Concentrations</vt:lpstr>
      <vt:lpstr>Mass Fractions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2024-10-28T23:23:41Z</dcterms:modified>
</cp:coreProperties>
</file>