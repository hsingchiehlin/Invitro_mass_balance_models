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FEDE5753-7A6F-43DC-99E9-B77C7B8CE1D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<sst xmlns="http://schemas.openxmlformats.org/spreadsheetml/2006/main" count="3131" uniqueCount="515">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</sst>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1.6799999999999999E-2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1.6799999999999999E-2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4.1999999999999996E-4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1.3397999999999999E-5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8.1106061687612699E-8</v>
      </c>
      <c r="J2" s="67" t="s">
        <v>231</v>
      </c>
      <c r="K2" s="68">
        <v>8.8076814898297394E-4</v>
      </c>
      <c r="L2" s="67" t="s">
        <v>231</v>
      </c>
      <c r="M2" s="68">
        <v>1.136864055652982E-3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9.9042412378804564E-6</v>
      </c>
      <c r="J3" s="67" t="s">
        <v>231</v>
      </c>
      <c r="K3" s="68">
        <v>1.0544680305206985E-2</v>
      </c>
      <c r="L3" s="67" t="s">
        <v>231</v>
      </c>
      <c r="M3" s="68">
        <v>0.3040356182771744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9.1339751482133313E-15</v>
      </c>
      <c r="J4" s="67" t="s">
        <v>231</v>
      </c>
      <c r="K4" s="68">
        <v>1.0336270834430256E-3</v>
      </c>
      <c r="L4" s="67" t="s">
        <v>231</v>
      </c>
      <c r="M4" s="68">
        <v>3.0495773058593595E-3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2.0510982204651417E-10</v>
      </c>
      <c r="J5" s="67" t="s">
        <v>231</v>
      </c>
      <c r="K5" s="68">
        <v>2.4913930129776868E-3</v>
      </c>
      <c r="L5" s="67" t="s">
        <v>231</v>
      </c>
      <c r="M5" s="68">
        <v>7.5583615289446099E-2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8.9055662777267393E-7</v>
      </c>
      <c r="J6" s="67" t="s">
        <v>231</v>
      </c>
      <c r="K6" s="68">
        <v>4.3595532399528826E-3</v>
      </c>
      <c r="L6" s="67" t="s">
        <v>231</v>
      </c>
      <c r="M6" s="68">
        <v>0.16234239710604406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7.8570821569269215E-6</v>
      </c>
      <c r="J7" s="67" t="s">
        <v>231</v>
      </c>
      <c r="K7" s="68">
        <v>1.0125739564612383E-2</v>
      </c>
      <c r="L7" s="67" t="s">
        <v>231</v>
      </c>
      <c r="M7" s="68">
        <v>0.4189217552663056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1.7215678090649585E-8</v>
      </c>
      <c r="J8" s="67" t="s">
        <v>231</v>
      </c>
      <c r="K8" s="68">
        <v>5.7494211270141104E-3</v>
      </c>
      <c r="L8" s="67" t="s">
        <v>231</v>
      </c>
      <c r="M8" s="68">
        <v>0.22776443490044129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6.4054149243433944E-7</v>
      </c>
      <c r="J9" s="67" t="s">
        <v>231</v>
      </c>
      <c r="K9" s="68">
        <v>2.1691621385915485E-3</v>
      </c>
      <c r="L9" s="67" t="s">
        <v>231</v>
      </c>
      <c r="M9" s="68">
        <v>6.0279526560113136E-2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9.667728278070618E-4</v>
      </c>
      <c r="J10" s="67" t="s">
        <v>231</v>
      </c>
      <c r="K10" s="68">
        <v>9.1136601194158978E-2</v>
      </c>
      <c r="L10" s="67" t="s">
        <v>231</v>
      </c>
      <c r="M10" s="68">
        <v>3.1709786496072487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3.0910169016481171E-8</v>
      </c>
      <c r="J11" s="67" t="s">
        <v>231</v>
      </c>
      <c r="K11" s="68">
        <v>0.77623870991351496</v>
      </c>
      <c r="L11" s="67" t="s">
        <v>231</v>
      </c>
      <c r="M11" s="68">
        <v>31.142760511011371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2.3961777502141832E-8</v>
      </c>
      <c r="J12" s="67" t="s">
        <v>231</v>
      </c>
      <c r="K12" s="68">
        <v>8.0112813560842078E-4</v>
      </c>
      <c r="L12" s="67" t="s">
        <v>231</v>
      </c>
      <c r="M12" s="68">
        <v>6.1390716170516926E-5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1.1195689854576613E-3</v>
      </c>
      <c r="J13" s="67" t="s">
        <v>231</v>
      </c>
      <c r="K13" s="68">
        <v>6.7506351990276655E-3</v>
      </c>
      <c r="L13" s="67" t="s">
        <v>231</v>
      </c>
      <c r="M13" s="68">
        <v>0.21363273414461698</v>
      </c>
      <c r="N13" s="67" t="s">
        <v>231</v>
      </c>
      <c r="P13" s="109" t="s">
        <v>192</v>
      </c>
      <c r="Q13" s="103">
        <f>COUNTIF(J2:J50000,"Yes")</f>
        <v>10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8.4964862792787312E-8</v>
      </c>
      <c r="J14" s="67" t="s">
        <v>231</v>
      </c>
      <c r="K14" s="68">
        <v>3.456868793536675E-2</v>
      </c>
      <c r="L14" s="67" t="s">
        <v>231</v>
      </c>
      <c r="M14" s="68">
        <v>1.5230984343293468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1.087777979628655E-6</v>
      </c>
      <c r="J15" s="67" t="s">
        <v>231</v>
      </c>
      <c r="K15" s="68">
        <v>1.5434847914147436E-3</v>
      </c>
      <c r="L15" s="67" t="s">
        <v>231</v>
      </c>
      <c r="M15" s="68">
        <v>2.965775596717931E-2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1.0061977528820047E-4</v>
      </c>
      <c r="J16" s="67" t="s">
        <v>231</v>
      </c>
      <c r="K16" s="68">
        <v>7.6818705911326926E-3</v>
      </c>
      <c r="L16" s="67" t="s">
        <v>231</v>
      </c>
      <c r="M16" s="68">
        <v>0.24657159976059775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2.2261519458950453E-6</v>
      </c>
      <c r="J17" s="67" t="s">
        <v>231</v>
      </c>
      <c r="K17" s="68">
        <v>7.0715808924089602E-3</v>
      </c>
      <c r="L17" s="67" t="s">
        <v>231</v>
      </c>
      <c r="M17" s="68">
        <v>0.22504468012714152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1.1840873659961617E-2</v>
      </c>
      <c r="J18" s="67" t="s">
        <v>232</v>
      </c>
      <c r="K18" s="68">
        <v>0.47699328629566923</v>
      </c>
      <c r="L18" s="67" t="s">
        <v>231</v>
      </c>
      <c r="M18" s="68">
        <v>16.762560173445316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1.8132311027888839E-6</v>
      </c>
      <c r="J19" s="67" t="s">
        <v>231</v>
      </c>
      <c r="K19" s="68">
        <v>1.0900674377884798E-3</v>
      </c>
      <c r="L19" s="67" t="s">
        <v>231</v>
      </c>
      <c r="M19" s="68">
        <v>1.0249600879645316E-2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5.0822439130933072E-6</v>
      </c>
      <c r="J20" s="67" t="s">
        <v>231</v>
      </c>
      <c r="K20" s="68">
        <v>1.2747786690269693E-3</v>
      </c>
      <c r="L20" s="67" t="s">
        <v>231</v>
      </c>
      <c r="M20" s="68">
        <v>1.7658344064457945E-2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7.6916350476417341E-6</v>
      </c>
      <c r="J21" s="67" t="s">
        <v>231</v>
      </c>
      <c r="K21" s="68">
        <v>2.3157869013027292E-2</v>
      </c>
      <c r="L21" s="67" t="s">
        <v>231</v>
      </c>
      <c r="M21" s="68">
        <v>0.83703830049844763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4.0148301362823879E-8</v>
      </c>
      <c r="J22" s="67" t="s">
        <v>231</v>
      </c>
      <c r="K22" s="68">
        <v>8.3941407478138857E-4</v>
      </c>
      <c r="L22" s="67" t="s">
        <v>231</v>
      </c>
      <c r="M22" s="68">
        <v>1.8468790356415596E-3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1.1162336115199801E-5</v>
      </c>
      <c r="J23" s="67" t="s">
        <v>231</v>
      </c>
      <c r="K23" s="68">
        <v>2.1151667510671316E-3</v>
      </c>
      <c r="L23" s="67" t="s">
        <v>231</v>
      </c>
      <c r="M23" s="68">
        <v>5.0125328092868078E-2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2.0823855905417496E-4</v>
      </c>
      <c r="J24" s="67" t="s">
        <v>231</v>
      </c>
      <c r="K24" s="68">
        <v>1.1418625211031166E-2</v>
      </c>
      <c r="L24" s="67" t="s">
        <v>231</v>
      </c>
      <c r="M24" s="68">
        <v>0.37827051571845366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3.9528696332760543E-3</v>
      </c>
      <c r="J25" s="67" t="s">
        <v>231</v>
      </c>
      <c r="K25" s="68">
        <v>0.42778959718132298</v>
      </c>
      <c r="L25" s="67" t="s">
        <v>231</v>
      </c>
      <c r="M25" s="68">
        <v>15.019987262218653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2.9265577452293083E-4</v>
      </c>
      <c r="J26" s="67" t="s">
        <v>231</v>
      </c>
      <c r="K26" s="68">
        <v>2.109145543682257E-2</v>
      </c>
      <c r="L26" s="67" t="s">
        <v>231</v>
      </c>
      <c r="M26" s="68">
        <v>0.72220740808998996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6.9653330400500476E-5</v>
      </c>
      <c r="J27" s="67" t="s">
        <v>231</v>
      </c>
      <c r="K27" s="68">
        <v>9.9346790443711839E-3</v>
      </c>
      <c r="L27" s="67" t="s">
        <v>231</v>
      </c>
      <c r="M27" s="68">
        <v>0.34405247085252233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2.7273368483276791E-5</v>
      </c>
      <c r="J28" s="67" t="s">
        <v>231</v>
      </c>
      <c r="K28" s="68">
        <v>4.0610746807445419E-3</v>
      </c>
      <c r="L28" s="67" t="s">
        <v>231</v>
      </c>
      <c r="M28" s="68">
        <v>0.13950386019560379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2.5870474520698151E-7</v>
      </c>
      <c r="J29" s="67" t="s">
        <v>231</v>
      </c>
      <c r="K29" s="68">
        <v>9.5966492415774005E-5</v>
      </c>
      <c r="L29" s="67" t="s">
        <v>231</v>
      </c>
      <c r="M29" s="68">
        <v>1.5179841126884681E-3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6.0287168957147166E-6</v>
      </c>
      <c r="J30" s="67" t="s">
        <v>231</v>
      </c>
      <c r="K30" s="68">
        <v>1.4349316356097449E-3</v>
      </c>
      <c r="L30" s="67" t="s">
        <v>231</v>
      </c>
      <c r="M30" s="68">
        <v>4.9258841153216021E-2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8.9781390408294471E-8</v>
      </c>
      <c r="J31" s="67" t="s">
        <v>231</v>
      </c>
      <c r="K31" s="68">
        <v>2.3891243864598239E-5</v>
      </c>
      <c r="L31" s="67" t="s">
        <v>231</v>
      </c>
      <c r="M31" s="68">
        <v>8.1154429326965735E-4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9.9803915518097198E-5</v>
      </c>
      <c r="J32" s="67" t="s">
        <v>231</v>
      </c>
      <c r="K32" s="68">
        <v>5.8157370522980215E-3</v>
      </c>
      <c r="L32" s="67" t="s">
        <v>231</v>
      </c>
      <c r="M32" s="68">
        <v>0.18057614200320349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3.1280007546375992E-5</v>
      </c>
      <c r="J33" s="67" t="s">
        <v>231</v>
      </c>
      <c r="K33" s="68">
        <v>3.1309771540540786E-3</v>
      </c>
      <c r="L33" s="67" t="s">
        <v>231</v>
      </c>
      <c r="M33" s="68">
        <v>8.4793640077124338E-2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1.5018925331735067E-4</v>
      </c>
      <c r="J34" s="67" t="s">
        <v>231</v>
      </c>
      <c r="K34" s="68">
        <v>2.5262320278834311E-2</v>
      </c>
      <c r="L34" s="67" t="s">
        <v>231</v>
      </c>
      <c r="M34" s="68">
        <v>0.86350465236125196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1.5033460098855189E-3</v>
      </c>
      <c r="J35" s="67" t="s">
        <v>231</v>
      </c>
      <c r="K35" s="68">
        <v>6.9659897060074374E-2</v>
      </c>
      <c r="L35" s="67" t="s">
        <v>231</v>
      </c>
      <c r="M35" s="68">
        <v>2.4185210694265531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3.6669629235832747E-3</v>
      </c>
      <c r="J36" s="67" t="s">
        <v>231</v>
      </c>
      <c r="K36" s="68">
        <v>0.18500190138742867</v>
      </c>
      <c r="L36" s="67" t="s">
        <v>231</v>
      </c>
      <c r="M36" s="68">
        <v>6.4612142411389009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2.5252696994792247E-3</v>
      </c>
      <c r="J37" s="67" t="s">
        <v>231</v>
      </c>
      <c r="K37" s="68">
        <v>0.45817463732543173</v>
      </c>
      <c r="L37" s="67" t="s">
        <v>231</v>
      </c>
      <c r="M37" s="68">
        <v>16.09723642974734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1.2974818734290407E-3</v>
      </c>
      <c r="J38" s="67" t="s">
        <v>231</v>
      </c>
      <c r="K38" s="68">
        <v>0.2709728588121903</v>
      </c>
      <c r="L38" s="67" t="s">
        <v>231</v>
      </c>
      <c r="M38" s="68">
        <v>9.4843790035930589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7.2919031905956219E-4</v>
      </c>
      <c r="J39" s="67" t="s">
        <v>231</v>
      </c>
      <c r="K39" s="68">
        <v>0.18506503594813023</v>
      </c>
      <c r="L39" s="67" t="s">
        <v>231</v>
      </c>
      <c r="M39" s="68">
        <v>6.4674906077108067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1.2974818734290407E-3</v>
      </c>
      <c r="J40" s="67" t="s">
        <v>231</v>
      </c>
      <c r="K40" s="68">
        <v>0.2709728588121903</v>
      </c>
      <c r="L40" s="67" t="s">
        <v>231</v>
      </c>
      <c r="M40" s="68">
        <v>9.4843790035930589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8.7847157663012849E-9</v>
      </c>
      <c r="J41" s="67" t="s">
        <v>231</v>
      </c>
      <c r="K41" s="68">
        <v>9.9075473275262111E-4</v>
      </c>
      <c r="L41" s="67" t="s">
        <v>231</v>
      </c>
      <c r="M41" s="68">
        <v>5.6896713507040989E-3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4.6056848663056137E-3</v>
      </c>
      <c r="J42" s="67" t="s">
        <v>231</v>
      </c>
      <c r="K42" s="68">
        <v>0.4692027599159489</v>
      </c>
      <c r="L42" s="67" t="s">
        <v>231</v>
      </c>
      <c r="M42" s="68">
        <v>16.48878448105134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2.4169690015737951E-3</v>
      </c>
      <c r="J43" s="67" t="s">
        <v>231</v>
      </c>
      <c r="K43" s="68">
        <v>1.2562143880757824E-2</v>
      </c>
      <c r="L43" s="67" t="s">
        <v>231</v>
      </c>
      <c r="M43" s="68">
        <v>0.41840383212998755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6.9269515646869489E-3</v>
      </c>
      <c r="J44" s="67" t="s">
        <v>231</v>
      </c>
      <c r="K44" s="68">
        <v>0.13389024829607468</v>
      </c>
      <c r="L44" s="67" t="s">
        <v>231</v>
      </c>
      <c r="M44" s="68">
        <v>4.6680532146423275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1.3421987069694106E-2</v>
      </c>
      <c r="J45" s="67" t="s">
        <v>232</v>
      </c>
      <c r="K45" s="68">
        <v>0.58587776362491684</v>
      </c>
      <c r="L45" s="67" t="s">
        <v>231</v>
      </c>
      <c r="M45" s="68">
        <v>20.630724789324223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1.8693525493400421E-3</v>
      </c>
      <c r="J46" s="67" t="s">
        <v>231</v>
      </c>
      <c r="K46" s="68">
        <v>0.49322685098185781</v>
      </c>
      <c r="L46" s="67" t="s">
        <v>231</v>
      </c>
      <c r="M46" s="68">
        <v>17.338199274659107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3.4427002084259552E-3</v>
      </c>
      <c r="J47" s="142" t="s">
        <v>231</v>
      </c>
      <c r="K47" s="143">
        <v>0.37455001447875674</v>
      </c>
      <c r="L47" s="142" t="s">
        <v>231</v>
      </c>
      <c r="M47" s="143">
        <v>13.137567769015554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6.0191621266098136E-4</v>
      </c>
      <c r="J48" s="142" t="s">
        <v>231</v>
      </c>
      <c r="K48" s="143">
        <v>4.8541915370799375E-2</v>
      </c>
      <c r="L48" s="142" t="s">
        <v>231</v>
      </c>
      <c r="M48" s="143">
        <v>1.6778132851828897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4.1530491394473441E-3</v>
      </c>
      <c r="J49" s="142" t="s">
        <v>231</v>
      </c>
      <c r="K49" s="143">
        <v>0.14266206934712933</v>
      </c>
      <c r="L49" s="142" t="s">
        <v>231</v>
      </c>
      <c r="M49" s="143">
        <v>4.9755295799060075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1.015736345359023E-3</v>
      </c>
      <c r="J50" s="142" t="s">
        <v>231</v>
      </c>
      <c r="K50" s="143">
        <v>0.15804623209479732</v>
      </c>
      <c r="L50" s="142" t="s">
        <v>231</v>
      </c>
      <c r="M50" s="143">
        <v>5.5150734763643801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1.5016249430085575E-3</v>
      </c>
      <c r="J51" s="142" t="s">
        <v>231</v>
      </c>
      <c r="K51" s="143">
        <v>5.9011284339285451E-2</v>
      </c>
      <c r="L51" s="142" t="s">
        <v>231</v>
      </c>
      <c r="M51" s="143">
        <v>2.044232066265006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2.8457915689026343E-2</v>
      </c>
      <c r="J52" s="142" t="s">
        <v>232</v>
      </c>
      <c r="K52" s="143">
        <v>4.9496351561055023E-2</v>
      </c>
      <c r="L52" s="142" t="s">
        <v>231</v>
      </c>
      <c r="M52" s="143">
        <v>1.7112100505714343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9.5814270613307061E-3</v>
      </c>
      <c r="J53" s="142" t="s">
        <v>231</v>
      </c>
      <c r="K53" s="143">
        <v>0.21354031942699894</v>
      </c>
      <c r="L53" s="142" t="s">
        <v>231</v>
      </c>
      <c r="M53" s="143">
        <v>7.4637861420490683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4.8865314540147958E-3</v>
      </c>
      <c r="J54" s="67" t="s">
        <v>231</v>
      </c>
      <c r="K54" s="68">
        <v>0.15023481411009501</v>
      </c>
      <c r="L54" s="67" t="s">
        <v>231</v>
      </c>
      <c r="M54" s="68">
        <v>5.241071321721126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3.6119805568024118E-3</v>
      </c>
      <c r="J55" s="67" t="s">
        <v>231</v>
      </c>
      <c r="K55" s="68">
        <v>0.36889453746784157</v>
      </c>
      <c r="L55" s="67" t="s">
        <v>231</v>
      </c>
      <c r="M55" s="68">
        <v>12.937900564082605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2.9148863390537948E-3</v>
      </c>
      <c r="J56" s="67" t="s">
        <v>231</v>
      </c>
      <c r="K56" s="68">
        <v>0.13679732930732369</v>
      </c>
      <c r="L56" s="67" t="s">
        <v>231</v>
      </c>
      <c r="M56" s="68">
        <v>4.7699370301595039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4.1730462054142287E-3</v>
      </c>
      <c r="J57" s="67" t="s">
        <v>231</v>
      </c>
      <c r="K57" s="68">
        <v>4.3979544431690762E-2</v>
      </c>
      <c r="L57" s="67" t="s">
        <v>231</v>
      </c>
      <c r="M57" s="68">
        <v>1.5183627396300206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2.9690782751261916E-2</v>
      </c>
      <c r="J58" s="67" t="s">
        <v>232</v>
      </c>
      <c r="K58" s="68">
        <v>0.15178442383707724</v>
      </c>
      <c r="L58" s="67" t="s">
        <v>231</v>
      </c>
      <c r="M58" s="68">
        <v>5.2954186985432825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2.9453856089317575E-3</v>
      </c>
      <c r="J59" s="67" t="s">
        <v>231</v>
      </c>
      <c r="K59" s="68">
        <v>4.9514943988387766E-2</v>
      </c>
      <c r="L59" s="67" t="s">
        <v>231</v>
      </c>
      <c r="M59" s="68">
        <v>1.7118528363023595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1.3827096954125656E-2</v>
      </c>
      <c r="J60" s="67" t="s">
        <v>232</v>
      </c>
      <c r="K60" s="68">
        <v>0.19590311029420565</v>
      </c>
      <c r="L60" s="67" t="s">
        <v>231</v>
      </c>
      <c r="M60" s="68">
        <v>6.8441015768964348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4.6636141979640418E-5</v>
      </c>
      <c r="J61" s="67" t="s">
        <v>231</v>
      </c>
      <c r="K61" s="68">
        <v>7.1639488615691249E-2</v>
      </c>
      <c r="L61" s="67" t="s">
        <v>231</v>
      </c>
      <c r="M61" s="68">
        <v>1.4687418791458513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2.2493484042377431E-4</v>
      </c>
      <c r="J62" s="67" t="s">
        <v>231</v>
      </c>
      <c r="K62" s="68">
        <v>2.397177576515341E-2</v>
      </c>
      <c r="L62" s="67" t="s">
        <v>231</v>
      </c>
      <c r="M62" s="68">
        <v>0.81833534771571381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1.7324030344601762E-6</v>
      </c>
      <c r="J63" s="67" t="s">
        <v>231</v>
      </c>
      <c r="K63" s="68">
        <v>6.8853890811925948E-3</v>
      </c>
      <c r="L63" s="67" t="s">
        <v>231</v>
      </c>
      <c r="M63" s="68">
        <v>0.11468643771167134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1.0607907401376545E-7</v>
      </c>
      <c r="J64" s="67" t="s">
        <v>231</v>
      </c>
      <c r="K64" s="68">
        <v>9.1856100058323878E-4</v>
      </c>
      <c r="L64" s="67" t="s">
        <v>231</v>
      </c>
      <c r="M64" s="68">
        <v>2.2716518136188888E-3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2.0097961741118521E-8</v>
      </c>
      <c r="J65" s="67" t="s">
        <v>231</v>
      </c>
      <c r="K65" s="68">
        <v>1.38378627315563E-3</v>
      </c>
      <c r="L65" s="67" t="s">
        <v>231</v>
      </c>
      <c r="M65" s="68">
        <v>9.5560597928192968E-3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1.748000371231285E-7</v>
      </c>
      <c r="J66" s="67" t="s">
        <v>231</v>
      </c>
      <c r="K66" s="68">
        <v>5.8605530131404425E-2</v>
      </c>
      <c r="L66" s="67" t="s">
        <v>231</v>
      </c>
      <c r="M66" s="68">
        <v>1.0649657956923182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1.9796169939847477E-8</v>
      </c>
      <c r="J67" s="67" t="s">
        <v>231</v>
      </c>
      <c r="K67" s="68">
        <v>1.2962594690470221E-3</v>
      </c>
      <c r="L67" s="67" t="s">
        <v>231</v>
      </c>
      <c r="M67" s="68">
        <v>7.9546148435313841E-3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6.4261619830794162E-9</v>
      </c>
      <c r="J68" s="67" t="s">
        <v>231</v>
      </c>
      <c r="K68" s="68">
        <v>9.238350153888688E-4</v>
      </c>
      <c r="L68" s="67" t="s">
        <v>231</v>
      </c>
      <c r="M68" s="68">
        <v>1.0547984286763431E-3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1.6410253135479156E-4</v>
      </c>
      <c r="J69" s="67" t="s">
        <v>231</v>
      </c>
      <c r="K69" s="68">
        <v>0.12260588751764082</v>
      </c>
      <c r="L69" s="67" t="s">
        <v>231</v>
      </c>
      <c r="M69" s="68">
        <v>4.272636389992333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2.2841822417283637E-14</v>
      </c>
      <c r="J70" s="67" t="s">
        <v>231</v>
      </c>
      <c r="K70" s="68">
        <v>9.4999490136388426E-4</v>
      </c>
      <c r="L70" s="67" t="s">
        <v>231</v>
      </c>
      <c r="M70" s="68">
        <v>3.8085384861915083E-3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1.9829359591468571E-10</v>
      </c>
      <c r="J71" s="67" t="s">
        <v>231</v>
      </c>
      <c r="K71" s="68">
        <v>1.0183675858386626E-3</v>
      </c>
      <c r="L71" s="67" t="s">
        <v>231</v>
      </c>
      <c r="M71" s="68">
        <v>6.9770097665760181E-3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2.6420688579697281E-13</v>
      </c>
      <c r="J72" s="67" t="s">
        <v>231</v>
      </c>
      <c r="K72" s="68">
        <v>0.13387741838666017</v>
      </c>
      <c r="L72" s="67" t="s">
        <v>231</v>
      </c>
      <c r="M72" s="68">
        <v>5.9850471857251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1.1762544597249454E-10</v>
      </c>
      <c r="J73" s="67" t="s">
        <v>231</v>
      </c>
      <c r="K73" s="68">
        <v>1.3088186317569866E-2</v>
      </c>
      <c r="L73" s="67" t="s">
        <v>231</v>
      </c>
      <c r="M73" s="68">
        <v>0.57468134099316248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1.859296939821031E-11</v>
      </c>
      <c r="J74" s="67" t="s">
        <v>231</v>
      </c>
      <c r="K74" s="68">
        <v>1.0050021385637467E-3</v>
      </c>
      <c r="L74" s="67" t="s">
        <v>231</v>
      </c>
      <c r="M74" s="68">
        <v>6.3573186143586939E-3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6.9730386708157204E-13</v>
      </c>
      <c r="J75" s="67" t="s">
        <v>231</v>
      </c>
      <c r="K75" s="68">
        <v>1.2621755934036735E-2</v>
      </c>
      <c r="L75" s="67" t="s">
        <v>231</v>
      </c>
      <c r="M75" s="68">
        <v>0.55242989545804544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1.6562333853666651E-8</v>
      </c>
      <c r="J76" s="67" t="s">
        <v>231</v>
      </c>
      <c r="K76" s="68">
        <v>3.1397529453586503E-3</v>
      </c>
      <c r="L76" s="67" t="s">
        <v>231</v>
      </c>
      <c r="M76" s="68">
        <v>0.10588026480584135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4.8862019512524373E-7</v>
      </c>
      <c r="J77" s="67" t="s">
        <v>231</v>
      </c>
      <c r="K77" s="68">
        <v>1.2960944270268095E-2</v>
      </c>
      <c r="L77" s="67" t="s">
        <v>231</v>
      </c>
      <c r="M77" s="68">
        <v>0.56860182691533578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2.6249449877536201E-12</v>
      </c>
      <c r="J78" s="67" t="s">
        <v>231</v>
      </c>
      <c r="K78" s="68">
        <v>0.11278647899007173</v>
      </c>
      <c r="L78" s="67" t="s">
        <v>231</v>
      </c>
      <c r="M78" s="68">
        <v>5.0417758375841428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1.4441086192629108E-15</v>
      </c>
      <c r="J79" s="67" t="s">
        <v>231</v>
      </c>
      <c r="K79" s="68">
        <v>0.11278642273929632</v>
      </c>
      <c r="L79" s="67" t="s">
        <v>231</v>
      </c>
      <c r="M79" s="68">
        <v>5.0417741573045296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8.2282653345992588E-14</v>
      </c>
      <c r="J80" s="67" t="s">
        <v>231</v>
      </c>
      <c r="K80" s="68">
        <v>7.1432920711943836E-3</v>
      </c>
      <c r="L80" s="67" t="s">
        <v>231</v>
      </c>
      <c r="M80" s="68">
        <v>0.29358389989940858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8.470145332426485E-11</v>
      </c>
      <c r="J81" s="67" t="s">
        <v>231</v>
      </c>
      <c r="K81" s="68">
        <v>1.4147220883482916E-3</v>
      </c>
      <c r="L81" s="67" t="s">
        <v>231</v>
      </c>
      <c r="M81" s="68">
        <v>2.5393680566046795E-2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2.1416169917061176E-15</v>
      </c>
      <c r="J82" s="67" t="s">
        <v>231</v>
      </c>
      <c r="K82" s="68">
        <v>2.1753511694289017E-3</v>
      </c>
      <c r="L82" s="67" t="s">
        <v>231</v>
      </c>
      <c r="M82" s="68">
        <v>6.083863697634237E-2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1.5126297318716665E-13</v>
      </c>
      <c r="J83" s="67" t="s">
        <v>231</v>
      </c>
      <c r="K83" s="68">
        <v>0.21202759161405235</v>
      </c>
      <c r="L83" s="67" t="s">
        <v>231</v>
      </c>
      <c r="M83" s="68">
        <v>9.4800366487502234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5.095284382309638E-2</v>
      </c>
      <c r="J84" s="67" t="s">
        <v>232</v>
      </c>
      <c r="K84" s="68">
        <v>1.6214119363638157E-2</v>
      </c>
      <c r="L84" s="67" t="s">
        <v>231</v>
      </c>
      <c r="M84" s="68">
        <v>0.54658696857975897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1.3273264663581725E-5</v>
      </c>
      <c r="J85" s="67" t="s">
        <v>231</v>
      </c>
      <c r="K85" s="68">
        <v>1.411097396436588</v>
      </c>
      <c r="L85" s="67" t="s">
        <v>232</v>
      </c>
      <c r="M85" s="68">
        <v>25.980550238458775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1.2814388744403302E-3</v>
      </c>
      <c r="J86" s="67" t="s">
        <v>231</v>
      </c>
      <c r="K86" s="68">
        <v>0.55996234357438146</v>
      </c>
      <c r="L86" s="67" t="s">
        <v>231</v>
      </c>
      <c r="M86" s="68">
        <v>19.708452596928787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9.9265608713287401E-4</v>
      </c>
      <c r="J87" s="67" t="s">
        <v>231</v>
      </c>
      <c r="K87" s="68">
        <v>0.68383478524741237</v>
      </c>
      <c r="L87" s="67" t="s">
        <v>231</v>
      </c>
      <c r="M87" s="68">
        <v>24.128517481714034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1.6208965215363466E-3</v>
      </c>
      <c r="J88" s="67" t="s">
        <v>231</v>
      </c>
      <c r="K88" s="68">
        <v>0.79323617852919537</v>
      </c>
      <c r="L88" s="67" t="s">
        <v>231</v>
      </c>
      <c r="M88" s="68">
        <v>28.067512718746244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5.3244823518219481E-7</v>
      </c>
      <c r="J89" s="67" t="s">
        <v>231</v>
      </c>
      <c r="K89" s="68">
        <v>2.2048230368059332</v>
      </c>
      <c r="L89" s="67" t="s">
        <v>232</v>
      </c>
      <c r="M89" s="68">
        <v>40.81105532440602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1.9054582396614558E-5</v>
      </c>
      <c r="J90" s="67" t="s">
        <v>231</v>
      </c>
      <c r="K90" s="68">
        <v>8.8905544047535663E-4</v>
      </c>
      <c r="L90" s="67" t="s">
        <v>231</v>
      </c>
      <c r="M90" s="68">
        <v>1.477193567050284E-3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3.5483826544137481E-5</v>
      </c>
      <c r="J91" s="67" t="s">
        <v>231</v>
      </c>
      <c r="K91" s="68">
        <v>3.0375752968737606E-3</v>
      </c>
      <c r="L91" s="67" t="s">
        <v>231</v>
      </c>
      <c r="M91" s="68">
        <v>8.1435051081578266E-2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5.7798520623507085E-5</v>
      </c>
      <c r="J92" s="67" t="s">
        <v>231</v>
      </c>
      <c r="K92" s="68">
        <v>3.1633160945480854E-2</v>
      </c>
      <c r="L92" s="67" t="s">
        <v>231</v>
      </c>
      <c r="M92" s="68">
        <v>1.0864059745592649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1.2899275565865274E-8</v>
      </c>
      <c r="J93" s="67" t="s">
        <v>231</v>
      </c>
      <c r="K93" s="68">
        <v>8.8107703711786094E-4</v>
      </c>
      <c r="L93" s="67" t="s">
        <v>231</v>
      </c>
      <c r="M93" s="68">
        <v>6.2191829225446689E-4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2.106477655814478E-18</v>
      </c>
      <c r="J94" s="67" t="s">
        <v>231</v>
      </c>
      <c r="K94" s="68">
        <v>8.7579729706947405E-4</v>
      </c>
      <c r="L94" s="67" t="s">
        <v>231</v>
      </c>
      <c r="M94" s="68">
        <v>1.5091529645196356E-4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2.2761146716070898E-6</v>
      </c>
      <c r="J95" s="67" t="s">
        <v>231</v>
      </c>
      <c r="K95" s="68">
        <v>1.01287576201468E-3</v>
      </c>
      <c r="L95" s="67" t="s">
        <v>231</v>
      </c>
      <c r="M95" s="68">
        <v>6.3841156782005262E-3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1.3891224236022326E-2</v>
      </c>
      <c r="J96" s="67" t="s">
        <v>232</v>
      </c>
      <c r="K96" s="68">
        <v>0.5094787536221258</v>
      </c>
      <c r="L96" s="67" t="s">
        <v>231</v>
      </c>
      <c r="M96" s="68">
        <v>17.91481678882732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1.112611105874602E-4</v>
      </c>
      <c r="J97" s="67" t="s">
        <v>231</v>
      </c>
      <c r="K97" s="68">
        <v>5.0340337902669684E-3</v>
      </c>
      <c r="L97" s="67" t="s">
        <v>231</v>
      </c>
      <c r="M97" s="68">
        <v>0.15276425038466371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2.8827529342895706E-5</v>
      </c>
      <c r="J98" s="67" t="s">
        <v>231</v>
      </c>
      <c r="K98" s="68">
        <v>3.329010249433325E-3</v>
      </c>
      <c r="L98" s="67" t="s">
        <v>231</v>
      </c>
      <c r="M98" s="68">
        <v>9.190276261429299E-2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1.7864240704382292E-6</v>
      </c>
      <c r="J99" s="67" t="s">
        <v>231</v>
      </c>
      <c r="K99" s="68">
        <v>1.4344833084447236E-3</v>
      </c>
      <c r="L99" s="67" t="s">
        <v>231</v>
      </c>
      <c r="M99" s="68">
        <v>2.297657035717254E-2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1.0023341902848386E-2</v>
      </c>
      <c r="J100" s="67" t="s">
        <v>232</v>
      </c>
      <c r="K100" s="68">
        <v>0.22977599199485252</v>
      </c>
      <c r="L100" s="67" t="s">
        <v>231</v>
      </c>
      <c r="M100" s="68">
        <v>8.0345967223985966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3.3883877375432976E-2</v>
      </c>
      <c r="J101" s="67" t="s">
        <v>232</v>
      </c>
      <c r="K101" s="68">
        <v>2.4937807312464616E-2</v>
      </c>
      <c r="L101" s="67" t="s">
        <v>231</v>
      </c>
      <c r="M101" s="68">
        <v>0.85214531073133271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1.8050482311923254E-2</v>
      </c>
      <c r="J102" s="67" t="s">
        <v>232</v>
      </c>
      <c r="K102" s="68">
        <v>5.8470499793664824E-2</v>
      </c>
      <c r="L102" s="67" t="s">
        <v>231</v>
      </c>
      <c r="M102" s="68">
        <v>2.0253074007271445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1.7110818908132749E-9</v>
      </c>
      <c r="J103" s="67" t="s">
        <v>231</v>
      </c>
      <c r="K103" s="68">
        <v>1.1492815987586436E-3</v>
      </c>
      <c r="L103" s="67" t="s">
        <v>231</v>
      </c>
      <c r="M103" s="68">
        <v>1.3051393564028346E-2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2.2030455773086863E-6</v>
      </c>
      <c r="J104" s="67" t="s">
        <v>231</v>
      </c>
      <c r="K104" s="68">
        <v>2.2917825474838373E-2</v>
      </c>
      <c r="L104" s="67" t="s">
        <v>231</v>
      </c>
      <c r="M104" s="68">
        <v>1.0078882569997127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9.696111700940072E-8</v>
      </c>
      <c r="J105" s="67" t="s">
        <v>231</v>
      </c>
      <c r="K105" s="68">
        <v>8.9442626471912545E-4</v>
      </c>
      <c r="L105" s="67" t="s">
        <v>231</v>
      </c>
      <c r="M105" s="68">
        <v>1.8025163846324063E-3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3.3263069801912955E-8</v>
      </c>
      <c r="J106" s="67" t="s">
        <v>231</v>
      </c>
      <c r="K106" s="68">
        <v>1.0233484340856215E-3</v>
      </c>
      <c r="L106" s="67" t="s">
        <v>231</v>
      </c>
      <c r="M106" s="68">
        <v>6.8656701748643885E-3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3.3838726621165936E-5</v>
      </c>
      <c r="J107" s="67" t="s">
        <v>231</v>
      </c>
      <c r="K107" s="68">
        <v>9.0920052821857847E-2</v>
      </c>
      <c r="L107" s="67" t="s">
        <v>231</v>
      </c>
      <c r="M107" s="68">
        <v>2.7738658168877621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2.6466252238284777E-10</v>
      </c>
      <c r="J108" s="67" t="s">
        <v>231</v>
      </c>
      <c r="K108" s="68">
        <v>8.7178027339729455E-4</v>
      </c>
      <c r="L108" s="67" t="s">
        <v>231</v>
      </c>
      <c r="M108" s="68">
        <v>7.8110664359568738E-5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2.8853496947193777E-6</v>
      </c>
      <c r="J109" s="67" t="s">
        <v>231</v>
      </c>
      <c r="K109" s="68">
        <v>1.5553942709404538E-2</v>
      </c>
      <c r="L109" s="67" t="s">
        <v>231</v>
      </c>
      <c r="M109" s="68">
        <v>0.27214928334344501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5.8244765733049491E-6</v>
      </c>
      <c r="J110" s="67" t="s">
        <v>231</v>
      </c>
      <c r="K110" s="68">
        <v>8.6855006332971674E-4</v>
      </c>
      <c r="L110" s="67" t="s">
        <v>231</v>
      </c>
      <c r="M110" s="68">
        <v>2.219770308588181E-4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8.1170862886640598E-14</v>
      </c>
      <c r="J111" s="67" t="s">
        <v>231</v>
      </c>
      <c r="K111" s="68">
        <v>8.6764869865314526E-4</v>
      </c>
      <c r="L111" s="67" t="s">
        <v>231</v>
      </c>
      <c r="M111" s="68">
        <v>3.2331511380629991E-6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9.1576766422137558E-9</v>
      </c>
      <c r="J112" s="67" t="s">
        <v>231</v>
      </c>
      <c r="K112" s="68">
        <v>8.655238575623165E-4</v>
      </c>
      <c r="L112" s="67" t="s">
        <v>231</v>
      </c>
      <c r="M112" s="68">
        <v>1.6759606570689582E-4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4.2154487962510684E-7</v>
      </c>
      <c r="J113" s="67" t="s">
        <v>231</v>
      </c>
      <c r="K113" s="68">
        <v>9.4059261317680476E-4</v>
      </c>
      <c r="L113" s="67" t="s">
        <v>231</v>
      </c>
      <c r="M113" s="68">
        <v>3.8381663146358478E-3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5.6967231885393482E-8</v>
      </c>
      <c r="J114" s="67" t="s">
        <v>231</v>
      </c>
      <c r="K114" s="68">
        <v>8.6549182665482437E-4</v>
      </c>
      <c r="L114" s="67" t="s">
        <v>231</v>
      </c>
      <c r="M114" s="68">
        <v>5.2094465600479171E-5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4.8505575054005589E-11</v>
      </c>
      <c r="J115" s="67" t="s">
        <v>231</v>
      </c>
      <c r="K115" s="68">
        <v>9.4274646963709912E-4</v>
      </c>
      <c r="L115" s="67" t="s">
        <v>231</v>
      </c>
      <c r="M115" s="68">
        <v>3.4723389241303961E-3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3.1145341478986019E-5</v>
      </c>
      <c r="J116" s="67" t="s">
        <v>231</v>
      </c>
      <c r="K116" s="68">
        <v>0.51767731140114548</v>
      </c>
      <c r="L116" s="67" t="s">
        <v>231</v>
      </c>
      <c r="M116" s="68">
        <v>9.5422943369744768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8.3153169560385557E-5</v>
      </c>
      <c r="J117" s="67" t="s">
        <v>231</v>
      </c>
      <c r="K117" s="68">
        <v>8.2018722351078818E-3</v>
      </c>
      <c r="L117" s="67" t="s">
        <v>231</v>
      </c>
      <c r="M117" s="68">
        <v>0.2649100349990009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0.97632972866571788</v>
      </c>
      <c r="F2" s="14">
        <v>0.97662657019943444</v>
      </c>
      <c r="G2" s="14">
        <v>2.9042702306052697E-10</v>
      </c>
      <c r="H2" s="14">
        <v>0.170140825482858</v>
      </c>
      <c r="I2" s="14">
        <v>0.63221632558244845</v>
      </c>
      <c r="J2" s="14">
        <v>0</v>
      </c>
      <c r="K2" s="14">
        <v>1.0239328219339685</v>
      </c>
      <c r="L2" s="14">
        <v>0.97662657019943455</v>
      </c>
      <c r="M2" s="14">
        <v>0.80132210084863598</v>
      </c>
      <c r="N2" s="14">
        <v>0.88076814898297395</v>
      </c>
      <c r="O2" s="14">
        <v>171.03636685100372</v>
      </c>
      <c r="P2" s="8">
        <v>0.88076814898297406</v>
      </c>
      <c r="Q2" s="54">
        <v>1.5727717736962021E-2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0.61729750747870749</v>
      </c>
      <c r="F3" s="14">
        <v>0.588576637895452</v>
      </c>
      <c r="G3" s="14">
        <v>2.7865027333049475E-10</v>
      </c>
      <c r="H3" s="14">
        <v>66.200323853219743</v>
      </c>
      <c r="I3" s="14">
        <v>148.90521987515243</v>
      </c>
      <c r="J3" s="14">
        <v>0</v>
      </c>
      <c r="K3" s="14">
        <v>1.699014088591176</v>
      </c>
      <c r="L3" s="14">
        <v>0.588576637895452</v>
      </c>
      <c r="M3" s="14">
        <v>0.48292713139321841</v>
      </c>
      <c r="N3" s="14">
        <v>10.544680305206985</v>
      </c>
      <c r="O3" s="14">
        <v>2700.3871793604567</v>
      </c>
      <c r="P3" s="8">
        <v>10.544680305206986</v>
      </c>
      <c r="Q3" s="54">
        <v>0.25533474865734218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0.99954529844220263</v>
      </c>
      <c r="F4" s="14">
        <v>0.99989301663594177</v>
      </c>
      <c r="G4" s="14">
        <v>1.5061978484409144E-19</v>
      </c>
      <c r="H4" s="14">
        <v>0.11946853427075628</v>
      </c>
      <c r="I4" s="14">
        <v>1.2181781140040589E-3</v>
      </c>
      <c r="J4" s="14">
        <v>0</v>
      </c>
      <c r="K4" s="14">
        <v>1.0001069948107231</v>
      </c>
      <c r="L4" s="14">
        <v>0.99989301663594177</v>
      </c>
      <c r="M4" s="14">
        <v>0.82041222014979032</v>
      </c>
      <c r="N4" s="14">
        <v>1.0336270834430257</v>
      </c>
      <c r="O4" s="14">
        <v>306.108660761652</v>
      </c>
      <c r="P4" s="8">
        <v>1.0336270834430257</v>
      </c>
      <c r="Q4" s="54">
        <v>1.3890273357047934E-5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0.99863774070827516</v>
      </c>
      <c r="F5" s="14">
        <v>0.9230740883393953</v>
      </c>
      <c r="G5" s="14">
        <v>4.2248994988952668E-12</v>
      </c>
      <c r="H5" s="14">
        <v>215.77273181337685</v>
      </c>
      <c r="I5" s="14">
        <v>0.15856869104070245</v>
      </c>
      <c r="J5" s="14">
        <v>0</v>
      </c>
      <c r="K5" s="14">
        <v>1.0833366602230097</v>
      </c>
      <c r="L5" s="14">
        <v>0.92307408833939542</v>
      </c>
      <c r="M5" s="14">
        <v>0.75738228948247388</v>
      </c>
      <c r="N5" s="14">
        <v>2.4913930129776869</v>
      </c>
      <c r="O5" s="14">
        <v>550.69751158858787</v>
      </c>
      <c r="P5" s="8">
        <v>2.4913930129776869</v>
      </c>
      <c r="Q5" s="54">
        <v>2.1321484607251748E-4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0.99637960744530729</v>
      </c>
      <c r="F6" s="14">
        <v>0.8254147892111664</v>
      </c>
      <c r="G6" s="14">
        <v>5.2365668994222069E-13</v>
      </c>
      <c r="H6" s="14">
        <v>486.68980175274919</v>
      </c>
      <c r="I6" s="14">
        <v>1.3067917599912813</v>
      </c>
      <c r="J6" s="14">
        <v>0</v>
      </c>
      <c r="K6" s="14">
        <v>1.2115120943685556</v>
      </c>
      <c r="L6" s="14">
        <v>0.8254147892111664</v>
      </c>
      <c r="M6" s="14">
        <v>0.67725283454776208</v>
      </c>
      <c r="N6" s="14">
        <v>4.3595532399528825</v>
      </c>
      <c r="O6" s="14">
        <v>1003.8307290315507</v>
      </c>
      <c r="P6" s="8">
        <v>4.3595532399528825</v>
      </c>
      <c r="Q6" s="54">
        <v>1.2078315990788127E-3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0.97725043595791161</v>
      </c>
      <c r="F7" s="14">
        <v>0.53634430492098939</v>
      </c>
      <c r="G7" s="14">
        <v>8.9378031924757125E-9</v>
      </c>
      <c r="H7" s="14">
        <v>1251.1911778108879</v>
      </c>
      <c r="I7" s="14">
        <v>23.581986836046305</v>
      </c>
      <c r="J7" s="14">
        <v>0</v>
      </c>
      <c r="K7" s="14">
        <v>1.8644739784219639</v>
      </c>
      <c r="L7" s="14">
        <v>0.53634430492098939</v>
      </c>
      <c r="M7" s="14">
        <v>0.4400705021876718</v>
      </c>
      <c r="N7" s="14">
        <v>10.125739564612383</v>
      </c>
      <c r="O7" s="14">
        <v>2088.7375573882423</v>
      </c>
      <c r="P7" s="8">
        <v>10.125739564612383</v>
      </c>
      <c r="Q7" s="54">
        <v>1.2484765590298137E-2</v>
      </c>
    </row>
    <row r="8" spans="1:20">
      <c r="A8" s="2" t="s">
        <v>289</v>
      </c>
      <c r="B8" s="16" t="s">
        <v>290</v>
      </c>
      <c r="D8" s="14">
        <v>1</v>
      </c>
      <c r="E8" s="14">
        <v>0.99645821027424575</v>
      </c>
      <c r="F8" s="14">
        <v>0.74736739645992734</v>
      </c>
      <c r="G8" s="14">
        <v>4.1429507862839933E-19</v>
      </c>
      <c r="H8" s="14">
        <v>708.68648077325304</v>
      </c>
      <c r="I8" s="14">
        <v>0.99779276033965403</v>
      </c>
      <c r="J8" s="14">
        <v>0</v>
      </c>
      <c r="K8" s="14">
        <v>1.3380300033647752</v>
      </c>
      <c r="L8" s="14">
        <v>0.74736739645992745</v>
      </c>
      <c r="M8" s="14">
        <v>0.61321494879537042</v>
      </c>
      <c r="N8" s="14">
        <v>5.7494211270141102</v>
      </c>
      <c r="O8" s="14">
        <v>2003.2133090742564</v>
      </c>
      <c r="P8" s="8">
        <v>5.7494211270141102</v>
      </c>
      <c r="Q8" s="54">
        <v>7.6074717537557993E-4</v>
      </c>
    </row>
    <row r="9" spans="1:20">
      <c r="A9" s="2" t="s">
        <v>291</v>
      </c>
      <c r="B9" s="16" t="s">
        <v>292</v>
      </c>
      <c r="D9" s="14">
        <v>1</v>
      </c>
      <c r="E9" s="14">
        <v>0.99778548040091863</v>
      </c>
      <c r="F9" s="14">
        <v>0.93944584246701091</v>
      </c>
      <c r="G9" s="14">
        <v>8.1705978606162829E-15</v>
      </c>
      <c r="H9" s="14">
        <v>166.79066828437038</v>
      </c>
      <c r="I9" s="14">
        <v>0.585336104267972</v>
      </c>
      <c r="J9" s="14">
        <v>0</v>
      </c>
      <c r="K9" s="14">
        <v>1.06445731600022</v>
      </c>
      <c r="L9" s="14">
        <v>0.93944584246701091</v>
      </c>
      <c r="M9" s="14">
        <v>0.77081531374418244</v>
      </c>
      <c r="N9" s="14">
        <v>2.1691621385915485</v>
      </c>
      <c r="O9" s="14">
        <v>668.81776219193205</v>
      </c>
      <c r="P9" s="8">
        <v>2.1691621385915485</v>
      </c>
      <c r="Q9" s="54">
        <v>8.7984326259283457E-4</v>
      </c>
    </row>
    <row r="10" spans="1:20">
      <c r="A10" s="2" t="s">
        <v>367</v>
      </c>
      <c r="B10" s="16" t="s">
        <v>368</v>
      </c>
      <c r="D10" s="14">
        <v>1</v>
      </c>
      <c r="E10" s="14">
        <v>0.45250450999688879</v>
      </c>
      <c r="F10" s="14">
        <v>4.789975784953783E-2</v>
      </c>
      <c r="G10" s="14">
        <v>7.4425507646224293E-7</v>
      </c>
      <c r="H10" s="14">
        <v>979.02395398075237</v>
      </c>
      <c r="I10" s="14">
        <v>1583.2536163253446</v>
      </c>
      <c r="J10" s="14">
        <v>0</v>
      </c>
      <c r="K10" s="14">
        <v>20.876932262187804</v>
      </c>
      <c r="L10" s="14">
        <v>4.7899757849537837E-2</v>
      </c>
      <c r="M10" s="14">
        <v>3.9301751315545794E-2</v>
      </c>
      <c r="N10" s="14">
        <v>91.136601194158985</v>
      </c>
      <c r="O10" s="14">
        <v>25366.961576382208</v>
      </c>
      <c r="P10" s="8">
        <v>91.136601194158985</v>
      </c>
      <c r="Q10" s="54">
        <v>0.34367701581766086</v>
      </c>
    </row>
    <row r="11" spans="1:20">
      <c r="A11" s="2" t="s">
        <v>369</v>
      </c>
      <c r="B11" s="16" t="s">
        <v>370</v>
      </c>
      <c r="D11" s="14">
        <v>1</v>
      </c>
      <c r="E11" s="14">
        <v>0.57000428503849021</v>
      </c>
      <c r="F11" s="14">
        <v>3.601128530623676E-3</v>
      </c>
      <c r="G11" s="14">
        <v>3.8800268815139999E-13</v>
      </c>
      <c r="H11" s="14">
        <v>930.20489890255521</v>
      </c>
      <c r="I11" s="14">
        <v>6292.6649668931032</v>
      </c>
      <c r="J11" s="14">
        <v>0</v>
      </c>
      <c r="K11" s="14">
        <v>277.6907270862701</v>
      </c>
      <c r="L11" s="14">
        <v>3.601128530623676E-3</v>
      </c>
      <c r="M11" s="14">
        <v>2.9547259593767261E-3</v>
      </c>
      <c r="N11" s="14">
        <v>776.23870991351498</v>
      </c>
      <c r="O11" s="14">
        <v>315851.53106380923</v>
      </c>
      <c r="P11" s="8">
        <v>776.23870991351498</v>
      </c>
      <c r="Q11" s="54">
        <v>7.0183433314966473E-2</v>
      </c>
    </row>
    <row r="12" spans="1:20">
      <c r="A12" s="2" t="s">
        <v>371</v>
      </c>
      <c r="B12" s="16" t="s">
        <v>372</v>
      </c>
      <c r="D12" s="14">
        <v>1</v>
      </c>
      <c r="E12" s="14">
        <v>0.92078762229747946</v>
      </c>
      <c r="F12" s="14">
        <v>0.92114286304970527</v>
      </c>
      <c r="G12" s="14">
        <v>8.2993254258782571E-4</v>
      </c>
      <c r="H12" s="14">
        <v>7.330535144197901E-3</v>
      </c>
      <c r="I12" s="14">
        <v>3.3642263693116549E-2</v>
      </c>
      <c r="J12" s="14">
        <v>0</v>
      </c>
      <c r="K12" s="14">
        <v>1.0856079334851663</v>
      </c>
      <c r="L12" s="14">
        <v>0.92114286304970527</v>
      </c>
      <c r="M12" s="14">
        <v>0.75579771913228322</v>
      </c>
      <c r="N12" s="14">
        <v>0.80112813560842078</v>
      </c>
      <c r="O12" s="14">
        <v>112.3101533309445</v>
      </c>
      <c r="P12" s="8">
        <v>0.80112813560842078</v>
      </c>
      <c r="Q12" s="54">
        <v>2.8228331605460368E-3</v>
      </c>
    </row>
    <row r="13" spans="1:20">
      <c r="A13" s="2" t="s">
        <v>293</v>
      </c>
      <c r="B13" s="16" t="s">
        <v>294</v>
      </c>
      <c r="D13" s="14">
        <v>1</v>
      </c>
      <c r="E13" s="14">
        <v>0.6441269217145732</v>
      </c>
      <c r="F13" s="14">
        <v>0.62345885666758927</v>
      </c>
      <c r="G13" s="14">
        <v>2.3051345837503015E-10</v>
      </c>
      <c r="H13" s="14">
        <v>47.300725147423734</v>
      </c>
      <c r="I13" s="14">
        <v>112.33755557362215</v>
      </c>
      <c r="J13" s="14">
        <v>0</v>
      </c>
      <c r="K13" s="14">
        <v>1.6039550794819677</v>
      </c>
      <c r="L13" s="14">
        <v>0.62345885666758938</v>
      </c>
      <c r="M13" s="14">
        <v>0.51154799189575706</v>
      </c>
      <c r="N13" s="14">
        <v>6.7506351990276654</v>
      </c>
      <c r="O13" s="14">
        <v>2230.1398443507796</v>
      </c>
      <c r="P13" s="8">
        <v>6.7506351990276654</v>
      </c>
      <c r="Q13" s="54">
        <v>0.23830050876004602</v>
      </c>
    </row>
    <row r="14" spans="1:20">
      <c r="A14" s="2" t="s">
        <v>373</v>
      </c>
      <c r="B14" s="16" t="s">
        <v>374</v>
      </c>
      <c r="D14" s="14">
        <v>1</v>
      </c>
      <c r="E14" s="14">
        <v>0.97838812516739182</v>
      </c>
      <c r="F14" s="14">
        <v>8.019372752497772E-2</v>
      </c>
      <c r="G14" s="14">
        <v>8.6469582735188743E-9</v>
      </c>
      <c r="H14" s="14">
        <v>2548.9446246560706</v>
      </c>
      <c r="I14" s="14">
        <v>36.973253320016582</v>
      </c>
      <c r="J14" s="14">
        <v>0</v>
      </c>
      <c r="K14" s="14">
        <v>12.469803198617157</v>
      </c>
      <c r="L14" s="14">
        <v>8.019372752497772E-2</v>
      </c>
      <c r="M14" s="14">
        <v>6.5798953434244217E-2</v>
      </c>
      <c r="N14" s="14">
        <v>34.568687935366754</v>
      </c>
      <c r="O14" s="14">
        <v>9207.02434470558</v>
      </c>
      <c r="P14" s="8">
        <v>34.568687935366754</v>
      </c>
      <c r="Q14" s="54">
        <v>4.7872671796188983E-3</v>
      </c>
    </row>
    <row r="15" spans="1:20">
      <c r="A15" s="2" t="s">
        <v>375</v>
      </c>
      <c r="B15" s="16" t="s">
        <v>376</v>
      </c>
      <c r="D15" s="14">
        <v>1</v>
      </c>
      <c r="E15" s="14">
        <v>0.78268876565685941</v>
      </c>
      <c r="F15" s="14">
        <v>0.78040184479690755</v>
      </c>
      <c r="G15" s="14">
        <v>9.6508768766406935E-4</v>
      </c>
      <c r="H15" s="14">
        <v>5.6433669101458612</v>
      </c>
      <c r="I15" s="14">
        <v>15.936592143729742</v>
      </c>
      <c r="J15" s="14">
        <v>0</v>
      </c>
      <c r="K15" s="14">
        <v>1.2813911277468095</v>
      </c>
      <c r="L15" s="14">
        <v>0.78040184479690755</v>
      </c>
      <c r="M15" s="14">
        <v>0.64031971365586271</v>
      </c>
      <c r="N15" s="14">
        <v>1.5434847914147434</v>
      </c>
      <c r="O15" s="14">
        <v>230.59662783736269</v>
      </c>
      <c r="P15" s="8">
        <v>1.5434847914147436</v>
      </c>
      <c r="Q15" s="54">
        <v>8.7618428217661568E-2</v>
      </c>
    </row>
    <row r="16" spans="1:20">
      <c r="A16" s="2" t="s">
        <v>377</v>
      </c>
      <c r="B16" s="16" t="s">
        <v>378</v>
      </c>
      <c r="D16" s="14">
        <v>1</v>
      </c>
      <c r="E16" s="14">
        <v>0.62090745886896859</v>
      </c>
      <c r="F16" s="14">
        <v>0.59676459993217201</v>
      </c>
      <c r="G16" s="14">
        <v>8.9985294134667814E-6</v>
      </c>
      <c r="H16" s="14">
        <v>55.3022820550052</v>
      </c>
      <c r="I16" s="14">
        <v>129.41965079476648</v>
      </c>
      <c r="J16" s="14">
        <v>0</v>
      </c>
      <c r="K16" s="14">
        <v>1.6757026139178823</v>
      </c>
      <c r="L16" s="14">
        <v>0.59676459993217201</v>
      </c>
      <c r="M16" s="14">
        <v>0.48964535424434713</v>
      </c>
      <c r="N16" s="14">
        <v>7.681870591132693</v>
      </c>
      <c r="O16" s="14">
        <v>1707.2189201733297</v>
      </c>
      <c r="P16" s="8">
        <v>7.681870591132693</v>
      </c>
      <c r="Q16" s="54">
        <v>0.25316299428899186</v>
      </c>
    </row>
    <row r="17" spans="1:21">
      <c r="A17" s="2" t="s">
        <v>379</v>
      </c>
      <c r="B17" s="16" t="s">
        <v>380</v>
      </c>
      <c r="D17" s="14">
        <v>1</v>
      </c>
      <c r="E17" s="14">
        <v>0.63412128671386736</v>
      </c>
      <c r="F17" s="14">
        <v>0.61224993970667396</v>
      </c>
      <c r="G17" s="14">
        <v>2.6607081427116482E-5</v>
      </c>
      <c r="H17" s="14">
        <v>50.068980800180682</v>
      </c>
      <c r="I17" s="14">
        <v>118.25674523560711</v>
      </c>
      <c r="J17" s="14">
        <v>0</v>
      </c>
      <c r="K17" s="14">
        <v>1.6333198831821774</v>
      </c>
      <c r="L17" s="14">
        <v>0.61224993970667407</v>
      </c>
      <c r="M17" s="14">
        <v>0.50235107552932601</v>
      </c>
      <c r="N17" s="14">
        <v>7.07158089240896</v>
      </c>
      <c r="O17" s="14">
        <v>909.12243952809592</v>
      </c>
      <c r="P17" s="8">
        <v>7.07158089240896</v>
      </c>
      <c r="Q17" s="54">
        <v>0.24334695808844417</v>
      </c>
    </row>
    <row r="18" spans="1:21">
      <c r="A18" s="2" t="s">
        <v>381</v>
      </c>
      <c r="B18" s="16" t="s">
        <v>382</v>
      </c>
      <c r="D18" s="14">
        <v>1</v>
      </c>
      <c r="E18" s="14">
        <v>0.41991615264836746</v>
      </c>
      <c r="F18" s="14">
        <v>3.0425683963801894E-3</v>
      </c>
      <c r="G18" s="14">
        <v>2.1675485685853814E-9</v>
      </c>
      <c r="H18" s="14">
        <v>319.40399942995202</v>
      </c>
      <c r="I18" s="14">
        <v>8013.0438738793846</v>
      </c>
      <c r="J18" s="14">
        <v>0</v>
      </c>
      <c r="K18" s="14">
        <v>328.66968617360317</v>
      </c>
      <c r="L18" s="14">
        <v>3.0425683963801898E-3</v>
      </c>
      <c r="M18" s="14">
        <v>2.4964273692299455E-3</v>
      </c>
      <c r="N18" s="14">
        <v>476.99328629566924</v>
      </c>
      <c r="O18" s="14">
        <v>186642.70299463242</v>
      </c>
      <c r="P18" s="8">
        <v>476.99328629566924</v>
      </c>
      <c r="Q18" s="54">
        <v>0.25632886861895421</v>
      </c>
    </row>
    <row r="19" spans="1:21">
      <c r="A19" s="2" t="s">
        <v>383</v>
      </c>
      <c r="B19" s="16" t="s">
        <v>384</v>
      </c>
      <c r="D19" s="14">
        <v>1</v>
      </c>
      <c r="E19" s="14">
        <v>0.91083493082404865</v>
      </c>
      <c r="F19" s="14">
        <v>0.9103469767363358</v>
      </c>
      <c r="G19" s="14">
        <v>1.3132138122370508E-4</v>
      </c>
      <c r="H19" s="14">
        <v>1.7935230158971731</v>
      </c>
      <c r="I19" s="14">
        <v>5.5739635581685176</v>
      </c>
      <c r="J19" s="14">
        <v>0</v>
      </c>
      <c r="K19" s="14">
        <v>1.0984822551782147</v>
      </c>
      <c r="L19" s="14">
        <v>0.91034697673633591</v>
      </c>
      <c r="M19" s="14">
        <v>0.74693969441216357</v>
      </c>
      <c r="N19" s="14">
        <v>1.0900674377884798</v>
      </c>
      <c r="O19" s="14">
        <v>101.51798048124111</v>
      </c>
      <c r="P19" s="8">
        <v>1.0900674377884798</v>
      </c>
      <c r="Q19" s="54">
        <v>5.1899613665813991E-2</v>
      </c>
    </row>
    <row r="20" spans="1:21">
      <c r="A20" s="2" t="s">
        <v>385</v>
      </c>
      <c r="B20" s="16" t="s">
        <v>386</v>
      </c>
      <c r="D20" s="14">
        <v>1</v>
      </c>
      <c r="E20" s="14">
        <v>0.87503034103177768</v>
      </c>
      <c r="F20" s="14">
        <v>0.8738763269287525</v>
      </c>
      <c r="G20" s="14">
        <v>2.4664849071009373E-4</v>
      </c>
      <c r="H20" s="14">
        <v>3.2169919532278688</v>
      </c>
      <c r="I20" s="14">
        <v>9.5478842497724283</v>
      </c>
      <c r="J20" s="14">
        <v>0</v>
      </c>
      <c r="K20" s="14">
        <v>1.144326684663161</v>
      </c>
      <c r="L20" s="14">
        <v>0.8738763269287525</v>
      </c>
      <c r="M20" s="14">
        <v>0.71701552624504139</v>
      </c>
      <c r="N20" s="14">
        <v>1.2747786690269693</v>
      </c>
      <c r="O20" s="14">
        <v>141.65340570227684</v>
      </c>
      <c r="P20" s="8">
        <v>1.2747786690269693</v>
      </c>
      <c r="Q20" s="54">
        <v>6.9009224240242736E-2</v>
      </c>
    </row>
    <row r="21" spans="1:21">
      <c r="A21" s="2" t="s">
        <v>387</v>
      </c>
      <c r="B21" s="16" t="s">
        <v>388</v>
      </c>
      <c r="D21" s="14">
        <v>1</v>
      </c>
      <c r="E21" s="14">
        <v>0.72105805229299957</v>
      </c>
      <c r="F21" s="14">
        <v>0.40686410786390298</v>
      </c>
      <c r="G21" s="14">
        <v>7.9066965897328068E-5</v>
      </c>
      <c r="H21" s="14">
        <v>858.79474754708417</v>
      </c>
      <c r="I21" s="14">
        <v>320.90032515631947</v>
      </c>
      <c r="J21" s="14">
        <v>0</v>
      </c>
      <c r="K21" s="14">
        <v>2.4578230929490159</v>
      </c>
      <c r="L21" s="14">
        <v>0.40686410786390298</v>
      </c>
      <c r="M21" s="14">
        <v>0.33383200050233242</v>
      </c>
      <c r="N21" s="14">
        <v>23.157869013027291</v>
      </c>
      <c r="O21" s="14">
        <v>4572.5212366222386</v>
      </c>
      <c r="P21" s="8">
        <v>23.157869013027291</v>
      </c>
      <c r="Q21" s="54">
        <v>0.17691724065876935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0.90472433771255123</v>
      </c>
      <c r="F22" s="14">
        <v>0.90493722096977669</v>
      </c>
      <c r="G22" s="14">
        <v>7.2671970999829618E-4</v>
      </c>
      <c r="H22" s="14">
        <v>0.28730186920208683</v>
      </c>
      <c r="I22" s="14">
        <v>1.0213994562430746</v>
      </c>
      <c r="J22" s="14">
        <v>0</v>
      </c>
      <c r="K22" s="14">
        <v>1.105049031940966</v>
      </c>
      <c r="L22" s="14">
        <v>0.9049372209697768</v>
      </c>
      <c r="M22" s="14">
        <v>0.74250098980570189</v>
      </c>
      <c r="N22" s="14">
        <v>0.83941407478138863</v>
      </c>
      <c r="O22" s="14">
        <v>48.753169463303053</v>
      </c>
      <c r="P22" s="8">
        <v>0.83941407478138863</v>
      </c>
      <c r="Q22" s="54">
        <v>1.9924875771430907E-2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0.75652349290562049</v>
      </c>
      <c r="F23" s="14">
        <v>0.75231068185216721</v>
      </c>
      <c r="G23" s="14">
        <v>7.9448502543481457E-4</v>
      </c>
      <c r="H23" s="14">
        <v>9.9141897860275954</v>
      </c>
      <c r="I23" s="14">
        <v>26.786403035539415</v>
      </c>
      <c r="J23" s="14">
        <v>0</v>
      </c>
      <c r="K23" s="14">
        <v>1.3292380716142815</v>
      </c>
      <c r="L23" s="14">
        <v>0.75231068185216721</v>
      </c>
      <c r="M23" s="14">
        <v>0.61727091445970328</v>
      </c>
      <c r="N23" s="14">
        <v>2.1151667510671315</v>
      </c>
      <c r="O23" s="14">
        <v>226.64011737684314</v>
      </c>
      <c r="P23" s="8">
        <v>2.1151667510671315</v>
      </c>
      <c r="Q23" s="54">
        <v>0.11548202721961369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0.54848859125879512</v>
      </c>
      <c r="F24" s="14">
        <v>0.51010841924975181</v>
      </c>
      <c r="G24" s="14">
        <v>2.93447881965886E-5</v>
      </c>
      <c r="H24" s="14">
        <v>88.328832789621131</v>
      </c>
      <c r="I24" s="14">
        <v>197.4056880658749</v>
      </c>
      <c r="J24" s="14">
        <v>0</v>
      </c>
      <c r="K24" s="14">
        <v>1.9603675655280544</v>
      </c>
      <c r="L24" s="14">
        <v>0.51010841924975181</v>
      </c>
      <c r="M24" s="14">
        <v>0.4185439579944214</v>
      </c>
      <c r="N24" s="14">
        <v>11.418625211031166</v>
      </c>
      <c r="O24" s="14">
        <v>1850.0456566912699</v>
      </c>
      <c r="P24" s="8">
        <v>11.418625211031168</v>
      </c>
      <c r="Q24" s="54">
        <v>0.29975032477004321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0.40941173741759451</v>
      </c>
      <c r="F25" s="14">
        <v>4.1538380894402755E-3</v>
      </c>
      <c r="G25" s="14">
        <v>9.7745787982564544E-6</v>
      </c>
      <c r="H25" s="14">
        <v>373.13807299150102</v>
      </c>
      <c r="I25" s="14">
        <v>7209.8583962911925</v>
      </c>
      <c r="J25" s="14">
        <v>0</v>
      </c>
      <c r="K25" s="14">
        <v>240.74120812319595</v>
      </c>
      <c r="L25" s="14">
        <v>4.1538380894402755E-3</v>
      </c>
      <c r="M25" s="14">
        <v>3.408224152385746E-3</v>
      </c>
      <c r="N25" s="14">
        <v>427.78959718132296</v>
      </c>
      <c r="O25" s="14">
        <v>99841.814086148966</v>
      </c>
      <c r="P25" s="8">
        <v>427.78959718132302</v>
      </c>
      <c r="Q25" s="54">
        <v>0.27677492078022453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0.31325133364013186</v>
      </c>
      <c r="F26" s="14">
        <v>0.23375555425470637</v>
      </c>
      <c r="G26" s="14">
        <v>2.5251688691277753E-3</v>
      </c>
      <c r="H26" s="14">
        <v>186.0638225206234</v>
      </c>
      <c r="I26" s="14">
        <v>371.63714039578974</v>
      </c>
      <c r="J26" s="14">
        <v>0</v>
      </c>
      <c r="K26" s="14">
        <v>4.2779732151749128</v>
      </c>
      <c r="L26" s="14">
        <v>0.23375555425470637</v>
      </c>
      <c r="M26" s="14">
        <v>0.19179643226598658</v>
      </c>
      <c r="N26" s="14">
        <v>21.091455436822567</v>
      </c>
      <c r="O26" s="14">
        <v>2703.2918433375485</v>
      </c>
      <c r="P26" s="8">
        <v>21.091455436822571</v>
      </c>
      <c r="Q26" s="54">
        <v>0.3041719133770594</v>
      </c>
    </row>
    <row r="27" spans="1:21">
      <c r="A27" s="2" t="s">
        <v>397</v>
      </c>
      <c r="B27" s="16" t="s">
        <v>398</v>
      </c>
      <c r="D27" s="14">
        <v>1</v>
      </c>
      <c r="E27" s="14">
        <v>6.3634247654743986E-2</v>
      </c>
      <c r="F27" s="14">
        <v>2.2165864860646839E-2</v>
      </c>
      <c r="G27" s="14">
        <v>9.1907968942737117E-3</v>
      </c>
      <c r="H27" s="14">
        <v>99.066012168281787</v>
      </c>
      <c r="I27" s="14">
        <v>174.25363719910916</v>
      </c>
      <c r="J27" s="14">
        <v>0</v>
      </c>
      <c r="K27" s="14">
        <v>45.114413819936026</v>
      </c>
      <c r="L27" s="14">
        <v>2.2165864860646839E-2</v>
      </c>
      <c r="M27" s="14">
        <v>1.8187092118160733E-2</v>
      </c>
      <c r="N27" s="14">
        <v>9.9346790443711832</v>
      </c>
      <c r="O27" s="14">
        <v>1802.647512601151</v>
      </c>
      <c r="P27" s="8">
        <v>9.9346790443711832</v>
      </c>
      <c r="Q27" s="54">
        <v>7.0889489996840652E-2</v>
      </c>
    </row>
    <row r="28" spans="1:21">
      <c r="A28" s="2" t="s">
        <v>399</v>
      </c>
      <c r="B28" s="16" t="s">
        <v>400</v>
      </c>
      <c r="D28" s="14">
        <v>1</v>
      </c>
      <c r="E28" s="14">
        <v>4.8932301641022198E-2</v>
      </c>
      <c r="F28" s="14">
        <v>3.3312423196958534E-2</v>
      </c>
      <c r="G28" s="14">
        <v>9.7031939615283037E-3</v>
      </c>
      <c r="H28" s="14">
        <v>36.701703728554989</v>
      </c>
      <c r="I28" s="14">
        <v>71.572039980736392</v>
      </c>
      <c r="J28" s="14">
        <v>0</v>
      </c>
      <c r="K28" s="14">
        <v>30.018830935460176</v>
      </c>
      <c r="L28" s="14">
        <v>3.3312423196958534E-2</v>
      </c>
      <c r="M28" s="14">
        <v>2.7332843233104479E-2</v>
      </c>
      <c r="N28" s="14">
        <v>4.0610746807445413</v>
      </c>
      <c r="O28" s="14">
        <v>596.97797806944766</v>
      </c>
      <c r="P28" s="8">
        <v>4.0610746807445421</v>
      </c>
      <c r="Q28" s="54">
        <v>5.1350348557474328E-2</v>
      </c>
    </row>
    <row r="29" spans="1:21">
      <c r="A29" s="2" t="s">
        <v>297</v>
      </c>
      <c r="B29" s="16" t="s">
        <v>298</v>
      </c>
      <c r="D29" s="14">
        <v>1</v>
      </c>
      <c r="E29" s="14">
        <v>5.9558925477829441E-2</v>
      </c>
      <c r="F29" s="14">
        <v>5.9452103643511674E-2</v>
      </c>
      <c r="G29" s="14">
        <v>1.0360857817885533E-2</v>
      </c>
      <c r="H29" s="14">
        <v>0.28103941076526012</v>
      </c>
      <c r="I29" s="14">
        <v>0.81888779259207523</v>
      </c>
      <c r="J29" s="14">
        <v>0</v>
      </c>
      <c r="K29" s="14">
        <v>16.820262677267525</v>
      </c>
      <c r="L29" s="14">
        <v>5.9452103643511674E-2</v>
      </c>
      <c r="M29" s="14">
        <v>4.8780451039501328E-2</v>
      </c>
      <c r="N29" s="14">
        <v>9.5966492415774013E-2</v>
      </c>
      <c r="O29" s="14">
        <v>8.1504342008716879</v>
      </c>
      <c r="P29" s="8">
        <v>9.5966492415774013E-2</v>
      </c>
      <c r="Q29" s="54">
        <v>5.3484063653193069E-3</v>
      </c>
    </row>
    <row r="30" spans="1:21">
      <c r="A30" s="2" t="s">
        <v>401</v>
      </c>
      <c r="B30" s="16" t="s">
        <v>402</v>
      </c>
      <c r="D30" s="14">
        <v>1</v>
      </c>
      <c r="E30" s="14">
        <v>1.811153392726032E-2</v>
      </c>
      <c r="F30" s="14">
        <v>1.2617816016438719E-2</v>
      </c>
      <c r="G30" s="14">
        <v>1.0595285855327364E-2</v>
      </c>
      <c r="H30" s="14">
        <v>12.89686609119083</v>
      </c>
      <c r="I30" s="14">
        <v>25.289565123496473</v>
      </c>
      <c r="J30" s="14">
        <v>0</v>
      </c>
      <c r="K30" s="14">
        <v>79.253018010183524</v>
      </c>
      <c r="L30" s="14">
        <v>1.2617816016438721E-2</v>
      </c>
      <c r="M30" s="14">
        <v>1.035291804148797E-2</v>
      </c>
      <c r="N30" s="14">
        <v>1.434931635609745</v>
      </c>
      <c r="O30" s="14">
        <v>237.95471313316403</v>
      </c>
      <c r="P30" s="8">
        <v>1.434931635609745</v>
      </c>
      <c r="Q30" s="54">
        <v>1.8704295769266834E-2</v>
      </c>
    </row>
    <row r="31" spans="1:21">
      <c r="A31" s="2" t="s">
        <v>299</v>
      </c>
      <c r="B31" s="16" t="s">
        <v>300</v>
      </c>
      <c r="D31" s="14">
        <v>1</v>
      </c>
      <c r="E31" s="14">
        <v>5.3653889820228136E-4</v>
      </c>
      <c r="F31" s="14">
        <v>4.4987538172369294E-4</v>
      </c>
      <c r="G31" s="14">
        <v>1.1097897665866874E-2</v>
      </c>
      <c r="H31" s="14">
        <v>0.20147085438326121</v>
      </c>
      <c r="I31" s="14">
        <v>0.41982606555771057</v>
      </c>
      <c r="J31" s="14">
        <v>0</v>
      </c>
      <c r="K31" s="14">
        <v>2222.8377915868841</v>
      </c>
      <c r="L31" s="14">
        <v>4.4987538172369294E-4</v>
      </c>
      <c r="M31" s="14">
        <v>3.6912275070429007E-4</v>
      </c>
      <c r="N31" s="14">
        <v>2.389124386459824E-2</v>
      </c>
      <c r="O31" s="14">
        <v>1.9624267710380994</v>
      </c>
      <c r="P31" s="8">
        <v>2.389124386459824E-2</v>
      </c>
      <c r="Q31" s="54">
        <v>4.3377987466519343E-4</v>
      </c>
    </row>
    <row r="32" spans="1:21">
      <c r="A32" s="2" t="s">
        <v>343</v>
      </c>
      <c r="B32" s="16" t="s">
        <v>344</v>
      </c>
      <c r="D32" s="14">
        <v>1</v>
      </c>
      <c r="E32" s="14">
        <v>0.66771634863568041</v>
      </c>
      <c r="F32" s="14">
        <v>0.65048961893724611</v>
      </c>
      <c r="G32" s="14">
        <v>2.5152945962877883E-5</v>
      </c>
      <c r="H32" s="14">
        <v>39.40582008146211</v>
      </c>
      <c r="I32" s="14">
        <v>95.151916684716241</v>
      </c>
      <c r="J32" s="14">
        <v>0</v>
      </c>
      <c r="K32" s="14">
        <v>1.537303549338382</v>
      </c>
      <c r="L32" s="14">
        <v>0.65048961893724611</v>
      </c>
      <c r="M32" s="14">
        <v>0.53372673233801038</v>
      </c>
      <c r="N32" s="14">
        <v>5.8157370522980214</v>
      </c>
      <c r="O32" s="14">
        <v>954.94402398733496</v>
      </c>
      <c r="P32" s="8">
        <v>5.8157370522980214</v>
      </c>
      <c r="Q32" s="54">
        <v>0.2211146617493443</v>
      </c>
    </row>
    <row r="33" spans="1:17">
      <c r="A33" s="2" t="s">
        <v>345</v>
      </c>
      <c r="B33" s="16" t="s">
        <v>346</v>
      </c>
      <c r="D33" s="14">
        <v>1</v>
      </c>
      <c r="E33" s="14">
        <v>0.76817762964348113</v>
      </c>
      <c r="F33" s="14">
        <v>0.7606472147270763</v>
      </c>
      <c r="G33" s="14">
        <v>9.9126955316124175E-7</v>
      </c>
      <c r="H33" s="14">
        <v>17.376538996695455</v>
      </c>
      <c r="I33" s="14">
        <v>45.083793315706508</v>
      </c>
      <c r="J33" s="14">
        <v>0</v>
      </c>
      <c r="K33" s="14">
        <v>1.3146699029967586</v>
      </c>
      <c r="L33" s="14">
        <v>0.7606472147270763</v>
      </c>
      <c r="M33" s="14">
        <v>0.62411103968356607</v>
      </c>
      <c r="N33" s="14">
        <v>3.1309771540540785</v>
      </c>
      <c r="O33" s="14">
        <v>473.27850660681452</v>
      </c>
      <c r="P33" s="8">
        <v>3.1309771540540785</v>
      </c>
      <c r="Q33" s="54">
        <v>0.15553224834212126</v>
      </c>
    </row>
    <row r="34" spans="1:17">
      <c r="A34" s="2" t="s">
        <v>347</v>
      </c>
      <c r="B34" s="16" t="s">
        <v>348</v>
      </c>
      <c r="D34" s="14">
        <v>1</v>
      </c>
      <c r="E34" s="14">
        <v>0.41590884779084858</v>
      </c>
      <c r="F34" s="14">
        <v>0.32160639934853896</v>
      </c>
      <c r="G34" s="14">
        <v>1.4807889654301847E-6</v>
      </c>
      <c r="H34" s="14">
        <v>220.32545810412461</v>
      </c>
      <c r="I34" s="14">
        <v>444.96090267569718</v>
      </c>
      <c r="J34" s="14">
        <v>0</v>
      </c>
      <c r="K34" s="14">
        <v>3.1093908641919037</v>
      </c>
      <c r="L34" s="14">
        <v>0.32160639934853896</v>
      </c>
      <c r="M34" s="14">
        <v>0.26387805066547626</v>
      </c>
      <c r="N34" s="14">
        <v>25.262320278834309</v>
      </c>
      <c r="O34" s="14">
        <v>4452.4839491445473</v>
      </c>
      <c r="P34" s="8">
        <v>25.262320278834313</v>
      </c>
      <c r="Q34" s="54">
        <v>0.38700970201247775</v>
      </c>
    </row>
    <row r="35" spans="1:17">
      <c r="A35" s="2" t="s">
        <v>349</v>
      </c>
      <c r="B35" s="16" t="s">
        <v>350</v>
      </c>
      <c r="D35" s="14">
        <v>1</v>
      </c>
      <c r="E35" s="14">
        <v>0.38058565889390433</v>
      </c>
      <c r="F35" s="14">
        <v>7.7234239612689382E-2</v>
      </c>
      <c r="G35" s="14">
        <v>5.4610777901057707E-4</v>
      </c>
      <c r="H35" s="14">
        <v>730.88639053789529</v>
      </c>
      <c r="I35" s="14">
        <v>1216.4858060613819</v>
      </c>
      <c r="J35" s="14">
        <v>0</v>
      </c>
      <c r="K35" s="14">
        <v>12.947625366867761</v>
      </c>
      <c r="L35" s="14">
        <v>7.7234239612689382E-2</v>
      </c>
      <c r="M35" s="14">
        <v>6.3370693602211633E-2</v>
      </c>
      <c r="N35" s="14">
        <v>69.659897060074385</v>
      </c>
      <c r="O35" s="14">
        <v>13395.598204652304</v>
      </c>
      <c r="P35" s="8">
        <v>69.659897060074385</v>
      </c>
      <c r="Q35" s="54">
        <v>0.36518005185519092</v>
      </c>
    </row>
    <row r="36" spans="1:17">
      <c r="A36" s="2" t="s">
        <v>351</v>
      </c>
      <c r="B36" s="16" t="s">
        <v>352</v>
      </c>
      <c r="D36" s="14">
        <v>1</v>
      </c>
      <c r="E36" s="14">
        <v>0.40255582902799508</v>
      </c>
      <c r="F36" s="14">
        <v>2.0357954605298025E-2</v>
      </c>
      <c r="G36" s="14">
        <v>1.7544565990917996E-5</v>
      </c>
      <c r="H36" s="14">
        <v>743.21444445441409</v>
      </c>
      <c r="I36" s="14">
        <v>3176.6642271284027</v>
      </c>
      <c r="J36" s="14">
        <v>0</v>
      </c>
      <c r="K36" s="14">
        <v>49.1208483066249</v>
      </c>
      <c r="L36" s="14">
        <v>2.0357954605298025E-2</v>
      </c>
      <c r="M36" s="14">
        <v>1.6703701753647028E-2</v>
      </c>
      <c r="N36" s="14">
        <v>185.00190138742866</v>
      </c>
      <c r="O36" s="14">
        <v>41138.872811522509</v>
      </c>
      <c r="P36" s="8">
        <v>185.00190138742866</v>
      </c>
      <c r="Q36" s="54">
        <v>0.34976094397881896</v>
      </c>
    </row>
    <row r="37" spans="1:17">
      <c r="A37" s="2" t="s">
        <v>353</v>
      </c>
      <c r="B37" s="16" t="s">
        <v>354</v>
      </c>
      <c r="D37" s="14">
        <v>1</v>
      </c>
      <c r="E37" s="14">
        <v>0.41220052014209085</v>
      </c>
      <c r="F37" s="14">
        <v>3.2843643000281361E-3</v>
      </c>
      <c r="G37" s="14">
        <v>1.2556824099159989E-4</v>
      </c>
      <c r="H37" s="14">
        <v>330.18042548310842</v>
      </c>
      <c r="I37" s="14">
        <v>7703.8619820174899</v>
      </c>
      <c r="J37" s="14">
        <v>0</v>
      </c>
      <c r="K37" s="14">
        <v>304.47292341821924</v>
      </c>
      <c r="L37" s="14">
        <v>3.2843643000281366E-3</v>
      </c>
      <c r="M37" s="14">
        <v>2.6948209081730859E-3</v>
      </c>
      <c r="N37" s="14">
        <v>458.17463732543172</v>
      </c>
      <c r="O37" s="14">
        <v>108307.9025173588</v>
      </c>
      <c r="P37" s="8">
        <v>458.17463732543177</v>
      </c>
      <c r="Q37" s="54">
        <v>0.25924386858208909</v>
      </c>
    </row>
    <row r="38" spans="1:17">
      <c r="A38" s="2" t="s">
        <v>355</v>
      </c>
      <c r="B38" s="16" t="s">
        <v>356</v>
      </c>
      <c r="D38" s="14">
        <v>1</v>
      </c>
      <c r="E38" s="14">
        <v>0.39337791335165689</v>
      </c>
      <c r="F38" s="14">
        <v>1.1186877963111764E-2</v>
      </c>
      <c r="G38" s="14">
        <v>6.5559764990727364E-6</v>
      </c>
      <c r="H38" s="14">
        <v>587.5013926421334</v>
      </c>
      <c r="I38" s="14">
        <v>4618.1291182590021</v>
      </c>
      <c r="J38" s="14">
        <v>0</v>
      </c>
      <c r="K38" s="14">
        <v>89.390445064070235</v>
      </c>
      <c r="L38" s="14">
        <v>1.1186877963111764E-2</v>
      </c>
      <c r="M38" s="14">
        <v>9.1788333687332028E-3</v>
      </c>
      <c r="N38" s="14">
        <v>270.97285881219028</v>
      </c>
      <c r="O38" s="14">
        <v>70019.386717069967</v>
      </c>
      <c r="P38" s="8">
        <v>270.97285881219028</v>
      </c>
      <c r="Q38" s="54">
        <v>0.33225082744205697</v>
      </c>
    </row>
    <row r="39" spans="1:17">
      <c r="A39" s="2" t="s">
        <v>357</v>
      </c>
      <c r="B39" s="16" t="s">
        <v>358</v>
      </c>
      <c r="D39" s="14">
        <v>1</v>
      </c>
      <c r="E39" s="14">
        <v>0.35520239961043526</v>
      </c>
      <c r="F39" s="14">
        <v>1.538990031174791E-2</v>
      </c>
      <c r="G39" s="14">
        <v>1.2116140320519626E-3</v>
      </c>
      <c r="H39" s="14">
        <v>623.35551577270928</v>
      </c>
      <c r="I39" s="14">
        <v>3170.9761638935483</v>
      </c>
      <c r="J39" s="14">
        <v>0</v>
      </c>
      <c r="K39" s="14">
        <v>64.977678850632188</v>
      </c>
      <c r="L39" s="14">
        <v>1.5389900311747912E-2</v>
      </c>
      <c r="M39" s="14">
        <v>1.2627413205789162E-2</v>
      </c>
      <c r="N39" s="14">
        <v>185.06503594813023</v>
      </c>
      <c r="O39" s="14">
        <v>43747.523847778502</v>
      </c>
      <c r="P39" s="8">
        <v>185.06503594813023</v>
      </c>
      <c r="Q39" s="54">
        <v>0.30916689012450455</v>
      </c>
    </row>
    <row r="40" spans="1:17">
      <c r="A40" s="2" t="s">
        <v>359</v>
      </c>
      <c r="B40" s="16" t="s">
        <v>360</v>
      </c>
      <c r="D40" s="14">
        <v>1</v>
      </c>
      <c r="E40" s="14">
        <v>0.39337791335165689</v>
      </c>
      <c r="F40" s="14">
        <v>1.1186877963111764E-2</v>
      </c>
      <c r="G40" s="14">
        <v>6.5559764990727364E-6</v>
      </c>
      <c r="H40" s="14">
        <v>587.5013926421334</v>
      </c>
      <c r="I40" s="14">
        <v>4618.1291182590021</v>
      </c>
      <c r="J40" s="14">
        <v>0</v>
      </c>
      <c r="K40" s="14">
        <v>89.390445064070235</v>
      </c>
      <c r="L40" s="14">
        <v>1.1186877963111764E-2</v>
      </c>
      <c r="M40" s="14">
        <v>9.1788333687332028E-3</v>
      </c>
      <c r="N40" s="14">
        <v>270.97285881219028</v>
      </c>
      <c r="O40" s="14">
        <v>70019.386717069967</v>
      </c>
      <c r="P40" s="8">
        <v>270.97285881219028</v>
      </c>
      <c r="Q40" s="54">
        <v>0.33225082744205697</v>
      </c>
    </row>
    <row r="41" spans="1:17">
      <c r="A41" s="2" t="s">
        <v>313</v>
      </c>
      <c r="B41" s="16" t="s">
        <v>314</v>
      </c>
      <c r="D41" s="14">
        <v>1</v>
      </c>
      <c r="E41" s="14">
        <v>0.9993965218188815</v>
      </c>
      <c r="F41" s="14">
        <v>0.9950527609063784</v>
      </c>
      <c r="G41" s="14">
        <v>6.4770461042183658E-10</v>
      </c>
      <c r="H41" s="14">
        <v>13.445164156877027</v>
      </c>
      <c r="I41" s="14">
        <v>2.9624312087669202E-2</v>
      </c>
      <c r="J41" s="14">
        <v>0</v>
      </c>
      <c r="K41" s="14">
        <v>1.0049718359548243</v>
      </c>
      <c r="L41" s="14">
        <v>0.9950527609063784</v>
      </c>
      <c r="M41" s="14">
        <v>0.81644079032368344</v>
      </c>
      <c r="N41" s="14">
        <v>0.99075473275262116</v>
      </c>
      <c r="O41" s="14">
        <v>182.40785384708511</v>
      </c>
      <c r="P41" s="8">
        <v>0.99075473275262127</v>
      </c>
      <c r="Q41" s="54">
        <v>1.2642945746441163E-4</v>
      </c>
    </row>
    <row r="42" spans="1:17">
      <c r="A42" s="2" t="s">
        <v>315</v>
      </c>
      <c r="B42" s="16" t="s">
        <v>316</v>
      </c>
      <c r="D42" s="14">
        <v>1</v>
      </c>
      <c r="E42" s="14">
        <v>0.41305784256630479</v>
      </c>
      <c r="F42" s="14">
        <v>2.992875434162246E-3</v>
      </c>
      <c r="G42" s="14">
        <v>1.8147513544924246E-4</v>
      </c>
      <c r="H42" s="14">
        <v>314.18731115605289</v>
      </c>
      <c r="I42" s="14">
        <v>7882.1702715146366</v>
      </c>
      <c r="J42" s="14">
        <v>0</v>
      </c>
      <c r="K42" s="14">
        <v>334.12683621425629</v>
      </c>
      <c r="L42" s="14">
        <v>2.9928754341622464E-3</v>
      </c>
      <c r="M42" s="14">
        <v>2.4556542937301229E-3</v>
      </c>
      <c r="N42" s="14">
        <v>469.20275991594889</v>
      </c>
      <c r="O42" s="14">
        <v>171216.77912092893</v>
      </c>
      <c r="P42" s="8">
        <v>469.20275991594895</v>
      </c>
      <c r="Q42" s="54">
        <v>0.25214235935303131</v>
      </c>
    </row>
    <row r="43" spans="1:17">
      <c r="A43" s="2" t="s">
        <v>317</v>
      </c>
      <c r="B43" s="16" t="s">
        <v>318</v>
      </c>
      <c r="D43" s="14">
        <v>1</v>
      </c>
      <c r="E43" s="14">
        <v>0.533141700922655</v>
      </c>
      <c r="F43" s="14">
        <v>0.49033811542722711</v>
      </c>
      <c r="G43" s="14">
        <v>6.7721121434043861E-14</v>
      </c>
      <c r="H43" s="14">
        <v>98.649673804140448</v>
      </c>
      <c r="I43" s="14">
        <v>218.04835987098045</v>
      </c>
      <c r="J43" s="14">
        <v>0</v>
      </c>
      <c r="K43" s="14">
        <v>2.0394090700632344</v>
      </c>
      <c r="L43" s="14">
        <v>0.49033811542722711</v>
      </c>
      <c r="M43" s="14">
        <v>0.40232242370803983</v>
      </c>
      <c r="N43" s="14">
        <v>12.562143880757823</v>
      </c>
      <c r="O43" s="14">
        <v>3986.2194962420726</v>
      </c>
      <c r="P43" s="8">
        <v>12.562143880757825</v>
      </c>
      <c r="Q43" s="54">
        <v>0.31156798408289893</v>
      </c>
    </row>
    <row r="44" spans="1:17">
      <c r="A44" s="2" t="s">
        <v>307</v>
      </c>
      <c r="B44" s="16" t="s">
        <v>308</v>
      </c>
      <c r="D44" s="14">
        <v>1</v>
      </c>
      <c r="E44" s="14">
        <v>0.42168667101899038</v>
      </c>
      <c r="F44" s="14">
        <v>3.1093943010864294E-2</v>
      </c>
      <c r="G44" s="14">
        <v>5.9726117721712694E-6</v>
      </c>
      <c r="H44" s="14">
        <v>860.47012849813018</v>
      </c>
      <c r="I44" s="14">
        <v>2312.0273594759819</v>
      </c>
      <c r="J44" s="14">
        <v>0</v>
      </c>
      <c r="K44" s="14">
        <v>32.16060438686074</v>
      </c>
      <c r="L44" s="14">
        <v>3.1093943010864294E-2</v>
      </c>
      <c r="M44" s="14">
        <v>2.5512580240414154E-2</v>
      </c>
      <c r="N44" s="14">
        <v>133.89024829607467</v>
      </c>
      <c r="O44" s="14">
        <v>46940.582150120819</v>
      </c>
      <c r="P44" s="8">
        <v>133.89024829607467</v>
      </c>
      <c r="Q44" s="54">
        <v>0.35204077550508506</v>
      </c>
    </row>
    <row r="45" spans="1:17">
      <c r="A45" s="2" t="s">
        <v>319</v>
      </c>
      <c r="B45" s="16" t="s">
        <v>320</v>
      </c>
      <c r="D45" s="14">
        <v>1</v>
      </c>
      <c r="E45" s="14">
        <v>0.44826405824745963</v>
      </c>
      <c r="F45" s="14">
        <v>1.4350085401157672E-3</v>
      </c>
      <c r="G45" s="14">
        <v>6.3393243566110954E-7</v>
      </c>
      <c r="H45" s="14">
        <v>214.83967448392323</v>
      </c>
      <c r="I45" s="14">
        <v>9769.4846858065685</v>
      </c>
      <c r="J45" s="14">
        <v>0</v>
      </c>
      <c r="K45" s="14">
        <v>696.85996427542273</v>
      </c>
      <c r="L45" s="14">
        <v>1.4350085401157672E-3</v>
      </c>
      <c r="M45" s="14">
        <v>1.1774245071649869E-3</v>
      </c>
      <c r="N45" s="14">
        <v>585.87776362491684</v>
      </c>
      <c r="O45" s="14">
        <v>207687.80842739678</v>
      </c>
      <c r="P45" s="8">
        <v>585.87776362491684</v>
      </c>
      <c r="Q45" s="54">
        <v>0.20628690329983448</v>
      </c>
    </row>
    <row r="46" spans="1:17">
      <c r="A46" s="2" t="s">
        <v>321</v>
      </c>
      <c r="B46" s="16" t="s">
        <v>322</v>
      </c>
      <c r="D46" s="14">
        <v>1</v>
      </c>
      <c r="E46" s="14">
        <v>0.42365316390769098</v>
      </c>
      <c r="F46" s="14">
        <v>2.7349159884907446E-3</v>
      </c>
      <c r="G46" s="14">
        <v>8.9131759104814219E-7</v>
      </c>
      <c r="H46" s="14">
        <v>302.41546061243577</v>
      </c>
      <c r="I46" s="14">
        <v>8276.7752220255206</v>
      </c>
      <c r="J46" s="14">
        <v>0</v>
      </c>
      <c r="K46" s="14">
        <v>365.64194447224941</v>
      </c>
      <c r="L46" s="14">
        <v>2.7349159884907446E-3</v>
      </c>
      <c r="M46" s="14">
        <v>2.2439985685566558E-3</v>
      </c>
      <c r="N46" s="14">
        <v>493.22685098185781</v>
      </c>
      <c r="O46" s="14">
        <v>174843.98640455879</v>
      </c>
      <c r="P46" s="8">
        <v>493.22685098185787</v>
      </c>
      <c r="Q46" s="54">
        <v>0.24915015456529577</v>
      </c>
    </row>
    <row r="47" spans="1:17">
      <c r="A47" s="2" t="s">
        <v>323</v>
      </c>
      <c r="B47" s="16" t="s">
        <v>324</v>
      </c>
      <c r="D47" s="14">
        <v>1</v>
      </c>
      <c r="E47" s="14">
        <v>0.40073419029751639</v>
      </c>
      <c r="F47" s="14">
        <v>5.800894529682004E-3</v>
      </c>
      <c r="G47" s="14">
        <v>8.0157369565012156E-6</v>
      </c>
      <c r="H47" s="14">
        <v>438.24298125356319</v>
      </c>
      <c r="I47" s="14">
        <v>6335.3722806395845</v>
      </c>
      <c r="J47" s="14">
        <v>0</v>
      </c>
      <c r="K47" s="14">
        <v>172.38720595301331</v>
      </c>
      <c r="L47" s="14">
        <v>5.8008945296820049E-3</v>
      </c>
      <c r="M47" s="14">
        <v>4.7596339616040846E-3</v>
      </c>
      <c r="N47" s="14">
        <v>374.55001447875674</v>
      </c>
      <c r="O47" s="14">
        <v>119870.98663378131</v>
      </c>
      <c r="P47" s="8">
        <v>374.55001447875679</v>
      </c>
      <c r="Q47" s="54">
        <v>0.29783253642434154</v>
      </c>
    </row>
    <row r="48" spans="1:17">
      <c r="A48" s="2" t="s">
        <v>325</v>
      </c>
      <c r="B48" s="16" t="s">
        <v>326</v>
      </c>
      <c r="D48" s="14">
        <v>1</v>
      </c>
      <c r="E48" s="14">
        <v>0.36217322216721287</v>
      </c>
      <c r="F48" s="14">
        <v>0.16469621895463513</v>
      </c>
      <c r="G48" s="14">
        <v>3.1136666610104096E-6</v>
      </c>
      <c r="H48" s="14">
        <v>469.2925165281485</v>
      </c>
      <c r="I48" s="14">
        <v>853.29814135029687</v>
      </c>
      <c r="J48" s="14">
        <v>0</v>
      </c>
      <c r="K48" s="14">
        <v>6.0717848068840352</v>
      </c>
      <c r="L48" s="14">
        <v>0.16469621895463513</v>
      </c>
      <c r="M48" s="14">
        <v>0.13513324765227813</v>
      </c>
      <c r="N48" s="14">
        <v>48.54191537079938</v>
      </c>
      <c r="O48" s="14">
        <v>14773.731943102792</v>
      </c>
      <c r="P48" s="8">
        <v>48.54191537079938</v>
      </c>
      <c r="Q48" s="54">
        <v>0.41658228677985326</v>
      </c>
    </row>
    <row r="49" spans="1:17">
      <c r="A49" s="2" t="s">
        <v>275</v>
      </c>
      <c r="B49" s="16" t="s">
        <v>276</v>
      </c>
      <c r="D49" s="14">
        <v>1</v>
      </c>
      <c r="E49" s="14">
        <v>0.41768763137498527</v>
      </c>
      <c r="F49" s="14">
        <v>2.8801778922683478E-2</v>
      </c>
      <c r="G49" s="14">
        <v>7.6430693495593329E-8</v>
      </c>
      <c r="H49" s="14">
        <v>839.5359781868251</v>
      </c>
      <c r="I49" s="14">
        <v>2460.9142624353808</v>
      </c>
      <c r="J49" s="14">
        <v>0</v>
      </c>
      <c r="K49" s="14">
        <v>34.720077627303354</v>
      </c>
      <c r="L49" s="14">
        <v>2.8801778922683482E-2</v>
      </c>
      <c r="M49" s="14">
        <v>2.3631859606061796E-2</v>
      </c>
      <c r="N49" s="14">
        <v>142.66206934712932</v>
      </c>
      <c r="O49" s="14">
        <v>52854.870072417943</v>
      </c>
      <c r="P49" s="8">
        <v>142.66206934712935</v>
      </c>
      <c r="Q49" s="54">
        <v>0.35261150899734389</v>
      </c>
    </row>
    <row r="50" spans="1:17">
      <c r="A50" s="2" t="s">
        <v>327</v>
      </c>
      <c r="B50" s="16" t="s">
        <v>328</v>
      </c>
      <c r="D50" s="14">
        <v>1</v>
      </c>
      <c r="E50" s="14">
        <v>0.4112236634968402</v>
      </c>
      <c r="F50" s="14">
        <v>2.5265698123119695E-2</v>
      </c>
      <c r="G50" s="14">
        <v>3.9534822249726948E-6</v>
      </c>
      <c r="H50" s="14">
        <v>803.06611759691748</v>
      </c>
      <c r="I50" s="14">
        <v>2721.5008457415106</v>
      </c>
      <c r="J50" s="14">
        <v>0</v>
      </c>
      <c r="K50" s="14">
        <v>39.579353601353183</v>
      </c>
      <c r="L50" s="14">
        <v>2.5265698123119698E-2</v>
      </c>
      <c r="M50" s="14">
        <v>2.0730505310019711E-2</v>
      </c>
      <c r="N50" s="14">
        <v>158.04623209479732</v>
      </c>
      <c r="O50" s="14">
        <v>60201.390267229253</v>
      </c>
      <c r="P50" s="8">
        <v>158.04623209479735</v>
      </c>
      <c r="Q50" s="54">
        <v>0.35237774629559077</v>
      </c>
    </row>
    <row r="51" spans="1:17">
      <c r="A51" s="2" t="s">
        <v>329</v>
      </c>
      <c r="B51" s="16" t="s">
        <v>330</v>
      </c>
      <c r="D51" s="14">
        <v>1</v>
      </c>
      <c r="E51" s="14">
        <v>0.37014495209958165</v>
      </c>
      <c r="F51" s="14">
        <v>0.1227750717035123</v>
      </c>
      <c r="G51" s="14">
        <v>1.8921636022956176E-6</v>
      </c>
      <c r="H51" s="14">
        <v>591.46656092370927</v>
      </c>
      <c r="I51" s="14">
        <v>1034.6354798585357</v>
      </c>
      <c r="J51" s="14">
        <v>0</v>
      </c>
      <c r="K51" s="14">
        <v>8.1449758988118131</v>
      </c>
      <c r="L51" s="14">
        <v>0.1227750717035123</v>
      </c>
      <c r="M51" s="14">
        <v>0.10073694633273185</v>
      </c>
      <c r="N51" s="14">
        <v>59.011284339285446</v>
      </c>
      <c r="O51" s="14">
        <v>16192.696422699926</v>
      </c>
      <c r="P51" s="8">
        <v>59.011284339285453</v>
      </c>
      <c r="Q51" s="54">
        <v>0.40830750928375553</v>
      </c>
    </row>
    <row r="52" spans="1:17">
      <c r="A52" s="2" t="s">
        <v>277</v>
      </c>
      <c r="B52" s="16" t="s">
        <v>278</v>
      </c>
      <c r="D52" s="14">
        <v>1</v>
      </c>
      <c r="E52" s="14">
        <v>0.36223551402750692</v>
      </c>
      <c r="F52" s="14">
        <v>0.16029623517552388</v>
      </c>
      <c r="G52" s="14">
        <v>4.9162256688109476E-6</v>
      </c>
      <c r="H52" s="14">
        <v>480.17917636043256</v>
      </c>
      <c r="I52" s="14">
        <v>869.88229804340142</v>
      </c>
      <c r="J52" s="14">
        <v>0</v>
      </c>
      <c r="K52" s="14">
        <v>6.238449698491066</v>
      </c>
      <c r="L52" s="14">
        <v>0.16029623517552388</v>
      </c>
      <c r="M52" s="14">
        <v>0.13152306096151736</v>
      </c>
      <c r="N52" s="14">
        <v>49.496351561055022</v>
      </c>
      <c r="O52" s="14">
        <v>20141.550340740119</v>
      </c>
      <c r="P52" s="8">
        <v>49.496351561055022</v>
      </c>
      <c r="Q52" s="54">
        <v>0.41616015165449355</v>
      </c>
    </row>
    <row r="53" spans="1:17">
      <c r="A53" s="2" t="s">
        <v>331</v>
      </c>
      <c r="B53" s="16" t="s">
        <v>332</v>
      </c>
      <c r="D53" s="14">
        <v>1</v>
      </c>
      <c r="E53" s="14">
        <v>0.39767480935471256</v>
      </c>
      <c r="F53" s="14">
        <v>1.6556906154597373E-2</v>
      </c>
      <c r="G53" s="14">
        <v>2.6018824687026849E-6</v>
      </c>
      <c r="H53" s="14">
        <v>688.27055000912515</v>
      </c>
      <c r="I53" s="14">
        <v>3656.9275639263133</v>
      </c>
      <c r="J53" s="14">
        <v>0</v>
      </c>
      <c r="K53" s="14">
        <v>60.39775732631842</v>
      </c>
      <c r="L53" s="14">
        <v>1.6556906154597373E-2</v>
      </c>
      <c r="M53" s="14">
        <v>1.3584941499847146E-2</v>
      </c>
      <c r="N53" s="14">
        <v>213.54031942699896</v>
      </c>
      <c r="O53" s="14">
        <v>81339.643072938168</v>
      </c>
      <c r="P53" s="8">
        <v>213.54031942699896</v>
      </c>
      <c r="Q53" s="54">
        <v>0.34587275876804113</v>
      </c>
    </row>
    <row r="54" spans="1:17">
      <c r="A54" s="2" t="s">
        <v>333</v>
      </c>
      <c r="B54" s="16" t="s">
        <v>334</v>
      </c>
      <c r="D54" s="14">
        <v>1</v>
      </c>
      <c r="E54" s="14">
        <v>0.41441642148350805</v>
      </c>
      <c r="F54" s="14">
        <v>2.6989825067777362E-2</v>
      </c>
      <c r="G54" s="14">
        <v>4.3186554576098208E-9</v>
      </c>
      <c r="H54" s="14">
        <v>821.523648704057</v>
      </c>
      <c r="I54" s="14">
        <v>2589.2694097131503</v>
      </c>
      <c r="J54" s="14">
        <v>0</v>
      </c>
      <c r="K54" s="14">
        <v>37.050999681872</v>
      </c>
      <c r="L54" s="14">
        <v>2.6989825067777362E-2</v>
      </c>
      <c r="M54" s="14">
        <v>2.2145151468111326E-2</v>
      </c>
      <c r="N54" s="14">
        <v>150.23481411009502</v>
      </c>
      <c r="O54" s="14">
        <v>57762.281329049336</v>
      </c>
      <c r="P54" s="8">
        <v>150.23481411009504</v>
      </c>
      <c r="Q54" s="54">
        <v>0.35267708334010112</v>
      </c>
    </row>
    <row r="55" spans="1:17">
      <c r="A55" s="2" t="s">
        <v>335</v>
      </c>
      <c r="B55" s="16" t="s">
        <v>336</v>
      </c>
      <c r="D55" s="14">
        <v>1</v>
      </c>
      <c r="E55" s="14">
        <v>0.39956853383050328</v>
      </c>
      <c r="F55" s="14">
        <v>5.9863734899577165E-3</v>
      </c>
      <c r="G55" s="14">
        <v>2.0772668796072437E-5</v>
      </c>
      <c r="H55" s="14">
        <v>444.49185679288553</v>
      </c>
      <c r="I55" s="14">
        <v>6241.9599782731066</v>
      </c>
      <c r="J55" s="14">
        <v>0</v>
      </c>
      <c r="K55" s="14">
        <v>167.04604242911401</v>
      </c>
      <c r="L55" s="14">
        <v>5.9863734899577165E-3</v>
      </c>
      <c r="M55" s="14">
        <v>4.9118194485103066E-3</v>
      </c>
      <c r="N55" s="14">
        <v>368.89453746784159</v>
      </c>
      <c r="O55" s="14">
        <v>137715.70872749461</v>
      </c>
      <c r="P55" s="8">
        <v>368.89453746784159</v>
      </c>
      <c r="Q55" s="54">
        <v>0.29944769866291571</v>
      </c>
    </row>
    <row r="56" spans="1:17">
      <c r="A56" s="2" t="s">
        <v>337</v>
      </c>
      <c r="B56" s="16" t="s">
        <v>338</v>
      </c>
      <c r="D56" s="14">
        <v>1</v>
      </c>
      <c r="E56" s="14">
        <v>0.42041257533818382</v>
      </c>
      <c r="F56" s="14">
        <v>3.0320240778418817E-2</v>
      </c>
      <c r="G56" s="14">
        <v>1.5322905862586454E-6</v>
      </c>
      <c r="H56" s="14">
        <v>853.71447637289748</v>
      </c>
      <c r="I56" s="14">
        <v>2361.4014009313105</v>
      </c>
      <c r="J56" s="14">
        <v>0</v>
      </c>
      <c r="K56" s="14">
        <v>32.981268430815845</v>
      </c>
      <c r="L56" s="14">
        <v>3.0320240778418821E-2</v>
      </c>
      <c r="M56" s="14">
        <v>2.4877757558692641E-2</v>
      </c>
      <c r="N56" s="14">
        <v>136.79732930732368</v>
      </c>
      <c r="O56" s="14">
        <v>53257.936245927252</v>
      </c>
      <c r="P56" s="8">
        <v>136.79732930732368</v>
      </c>
      <c r="Q56" s="54">
        <v>0.35234638213498443</v>
      </c>
    </row>
    <row r="57" spans="1:17">
      <c r="A57" s="2" t="s">
        <v>279</v>
      </c>
      <c r="B57" s="16" t="s">
        <v>280</v>
      </c>
      <c r="D57" s="14">
        <v>1</v>
      </c>
      <c r="E57" s="14">
        <v>0.36057875412526152</v>
      </c>
      <c r="F57" s="14">
        <v>0.18397361312250074</v>
      </c>
      <c r="G57" s="14">
        <v>8.7257753047365833E-5</v>
      </c>
      <c r="H57" s="14">
        <v>418.57717029206464</v>
      </c>
      <c r="I57" s="14">
        <v>773.80709685632769</v>
      </c>
      <c r="J57" s="14">
        <v>0</v>
      </c>
      <c r="K57" s="14">
        <v>5.4355621060403898</v>
      </c>
      <c r="L57" s="14">
        <v>0.18397361312250074</v>
      </c>
      <c r="M57" s="14">
        <v>0.15095034956701187</v>
      </c>
      <c r="N57" s="14">
        <v>43.979544431690762</v>
      </c>
      <c r="O57" s="14">
        <v>12790.570907068624</v>
      </c>
      <c r="P57" s="8">
        <v>43.979544431690762</v>
      </c>
      <c r="Q57" s="54">
        <v>0.41384023162143663</v>
      </c>
    </row>
    <row r="58" spans="1:17">
      <c r="A58" s="2" t="s">
        <v>339</v>
      </c>
      <c r="B58" s="16" t="s">
        <v>340</v>
      </c>
      <c r="D58" s="14">
        <v>1</v>
      </c>
      <c r="E58" s="14">
        <v>0.4137883908791587</v>
      </c>
      <c r="F58" s="14">
        <v>2.6639146402142308E-2</v>
      </c>
      <c r="G58" s="14">
        <v>1.5126163566277519E-8</v>
      </c>
      <c r="H58" s="14">
        <v>817.90018161894056</v>
      </c>
      <c r="I58" s="14">
        <v>2615.5165679221523</v>
      </c>
      <c r="J58" s="14">
        <v>0</v>
      </c>
      <c r="K58" s="14">
        <v>37.53874035241536</v>
      </c>
      <c r="L58" s="14">
        <v>2.6639146402142308E-2</v>
      </c>
      <c r="M58" s="14">
        <v>2.1857419622957765E-2</v>
      </c>
      <c r="N58" s="14">
        <v>151.78442383707724</v>
      </c>
      <c r="O58" s="14">
        <v>52464.286099285746</v>
      </c>
      <c r="P58" s="8">
        <v>151.78442383707724</v>
      </c>
      <c r="Q58" s="54">
        <v>0.35266103308431979</v>
      </c>
    </row>
    <row r="59" spans="1:17">
      <c r="A59" s="2" t="s">
        <v>281</v>
      </c>
      <c r="B59" s="16" t="s">
        <v>282</v>
      </c>
      <c r="D59" s="14">
        <v>1</v>
      </c>
      <c r="E59" s="14">
        <v>0.3623715813791295</v>
      </c>
      <c r="F59" s="14">
        <v>0.16035644761563753</v>
      </c>
      <c r="G59" s="14">
        <v>7.4438037439200196E-7</v>
      </c>
      <c r="H59" s="14">
        <v>480.35954715871583</v>
      </c>
      <c r="I59" s="14">
        <v>870.20905391336623</v>
      </c>
      <c r="J59" s="14">
        <v>0</v>
      </c>
      <c r="K59" s="14">
        <v>6.2361072153264807</v>
      </c>
      <c r="L59" s="14">
        <v>0.16035644761563753</v>
      </c>
      <c r="M59" s="14">
        <v>0.13157246526863059</v>
      </c>
      <c r="N59" s="14">
        <v>49.514943988387763</v>
      </c>
      <c r="O59" s="14">
        <v>14421.72258605782</v>
      </c>
      <c r="P59" s="8">
        <v>49.514943988387763</v>
      </c>
      <c r="Q59" s="54">
        <v>0.41631647484063528</v>
      </c>
    </row>
    <row r="60" spans="1:17">
      <c r="A60" s="2" t="s">
        <v>341</v>
      </c>
      <c r="B60" s="16" t="s">
        <v>342</v>
      </c>
      <c r="D60" s="14">
        <v>1</v>
      </c>
      <c r="E60" s="14">
        <v>0.39997194425908705</v>
      </c>
      <c r="F60" s="14">
        <v>1.8740296012533658E-2</v>
      </c>
      <c r="G60" s="14">
        <v>2.1804439847344646E-5</v>
      </c>
      <c r="H60" s="14">
        <v>720.63681741852645</v>
      </c>
      <c r="I60" s="14">
        <v>3360.2656874478062</v>
      </c>
      <c r="J60" s="14">
        <v>0</v>
      </c>
      <c r="K60" s="14">
        <v>53.360950079507397</v>
      </c>
      <c r="L60" s="14">
        <v>1.8740296012533658E-2</v>
      </c>
      <c r="M60" s="14">
        <v>1.5376412878283868E-2</v>
      </c>
      <c r="N60" s="14">
        <v>195.90311029420567</v>
      </c>
      <c r="O60" s="14">
        <v>65682.394819441266</v>
      </c>
      <c r="P60" s="8">
        <v>195.90311029420567</v>
      </c>
      <c r="Q60" s="54">
        <v>0.3481557861359828</v>
      </c>
    </row>
    <row r="61" spans="1:17">
      <c r="A61" s="2" t="s">
        <v>483</v>
      </c>
      <c r="B61" s="16" t="s">
        <v>484</v>
      </c>
      <c r="D61" s="14">
        <v>1</v>
      </c>
      <c r="E61" s="14">
        <v>0.60887747076868526</v>
      </c>
      <c r="F61" s="14">
        <v>0.51303886421294798</v>
      </c>
      <c r="G61" s="14">
        <v>1.5641496074896987E-15</v>
      </c>
      <c r="H61" s="14">
        <v>233.97669172771094</v>
      </c>
      <c r="I61" s="14">
        <v>360.95395813379787</v>
      </c>
      <c r="J61" s="14">
        <v>0</v>
      </c>
      <c r="K61" s="14">
        <v>1.9491700722012517</v>
      </c>
      <c r="L61" s="14">
        <v>0.51303886421294798</v>
      </c>
      <c r="M61" s="14">
        <v>0.4209483880867238</v>
      </c>
      <c r="N61" s="14">
        <v>71.639488615691249</v>
      </c>
      <c r="O61" s="14">
        <v>33380.419720481339</v>
      </c>
      <c r="P61" s="8">
        <v>71.639488615691249</v>
      </c>
      <c r="Q61" s="54">
        <v>0.24369791220849391</v>
      </c>
    </row>
    <row r="62" spans="1:17">
      <c r="A62" s="2" t="s">
        <v>485</v>
      </c>
      <c r="B62" s="16" t="s">
        <v>486</v>
      </c>
      <c r="D62" s="14">
        <v>1</v>
      </c>
      <c r="E62" s="14">
        <v>0.42358174197569387</v>
      </c>
      <c r="F62" s="14">
        <v>0.33468119483903708</v>
      </c>
      <c r="G62" s="14">
        <v>4.0884604268252699E-9</v>
      </c>
      <c r="H62" s="14">
        <v>207.45853693425687</v>
      </c>
      <c r="I62" s="14">
        <v>422.07388470273429</v>
      </c>
      <c r="J62" s="14">
        <v>0</v>
      </c>
      <c r="K62" s="14">
        <v>2.9879181006298965</v>
      </c>
      <c r="L62" s="14">
        <v>0.33468119483903708</v>
      </c>
      <c r="M62" s="14">
        <v>0.27460592036542997</v>
      </c>
      <c r="N62" s="14">
        <v>23.97177576515341</v>
      </c>
      <c r="O62" s="14">
        <v>7776.2043404581145</v>
      </c>
      <c r="P62" s="8">
        <v>23.971775765153414</v>
      </c>
      <c r="Q62" s="54">
        <v>0.38228607736301479</v>
      </c>
    </row>
    <row r="63" spans="1:17">
      <c r="A63" s="2" t="s">
        <v>487</v>
      </c>
      <c r="B63" s="16" t="s">
        <v>488</v>
      </c>
      <c r="D63" s="14">
        <v>1</v>
      </c>
      <c r="E63" s="14">
        <v>0.95595840166149615</v>
      </c>
      <c r="F63" s="14">
        <v>0.95261438722820779</v>
      </c>
      <c r="G63" s="14">
        <v>8.1769424065449891E-15</v>
      </c>
      <c r="H63" s="14">
        <v>9.3289431566895757</v>
      </c>
      <c r="I63" s="14">
        <v>11.397006993570622</v>
      </c>
      <c r="J63" s="14">
        <v>0</v>
      </c>
      <c r="K63" s="14">
        <v>1.0497427011465452</v>
      </c>
      <c r="L63" s="14">
        <v>0.9526143872282079</v>
      </c>
      <c r="M63" s="14">
        <v>0.7816201047207445</v>
      </c>
      <c r="N63" s="14">
        <v>6.8853890811925949</v>
      </c>
      <c r="O63" s="14">
        <v>3040.312402691402</v>
      </c>
      <c r="P63" s="8">
        <v>6.8853890811925949</v>
      </c>
      <c r="Q63" s="54">
        <v>2.7776071073475208E-2</v>
      </c>
    </row>
    <row r="64" spans="1:17">
      <c r="A64" s="2" t="s">
        <v>489</v>
      </c>
      <c r="B64" s="16" t="s">
        <v>490</v>
      </c>
      <c r="D64" s="14">
        <v>1</v>
      </c>
      <c r="E64" s="14">
        <v>0.99524028370227868</v>
      </c>
      <c r="F64" s="14">
        <v>0.99438759830974943</v>
      </c>
      <c r="G64" s="14">
        <v>1.4760800062685975E-16</v>
      </c>
      <c r="H64" s="14">
        <v>3.4820555824764838</v>
      </c>
      <c r="I64" s="14">
        <v>0.40028993988816713</v>
      </c>
      <c r="J64" s="14">
        <v>0</v>
      </c>
      <c r="K64" s="14">
        <v>1.0056440785261105</v>
      </c>
      <c r="L64" s="14">
        <v>0.99438759830974943</v>
      </c>
      <c r="M64" s="14">
        <v>0.81589502441314943</v>
      </c>
      <c r="N64" s="14">
        <v>0.91856100058323875</v>
      </c>
      <c r="O64" s="14">
        <v>368.73794246412956</v>
      </c>
      <c r="P64" s="8">
        <v>0.91856100058323886</v>
      </c>
      <c r="Q64" s="54">
        <v>2.9523964572876192E-3</v>
      </c>
    </row>
    <row r="65" spans="1:17">
      <c r="A65" s="2" t="s">
        <v>491</v>
      </c>
      <c r="B65" s="16" t="s">
        <v>492</v>
      </c>
      <c r="D65" s="14">
        <v>1</v>
      </c>
      <c r="E65" s="14">
        <v>0.9974860800821721</v>
      </c>
      <c r="F65" s="14">
        <v>0.9977089022287996</v>
      </c>
      <c r="G65" s="14">
        <v>2.4377333939938027E-14</v>
      </c>
      <c r="H65" s="14">
        <v>0.45205341364696766</v>
      </c>
      <c r="I65" s="14">
        <v>0.18616365157553458</v>
      </c>
      <c r="J65" s="14">
        <v>0</v>
      </c>
      <c r="K65" s="14">
        <v>1.0022963589540819</v>
      </c>
      <c r="L65" s="14">
        <v>0.9977089022287996</v>
      </c>
      <c r="M65" s="14">
        <v>0.81862015427873014</v>
      </c>
      <c r="N65" s="14">
        <v>1.3837862731556299</v>
      </c>
      <c r="O65" s="14">
        <v>383.80696072244552</v>
      </c>
      <c r="P65" s="8">
        <v>1.3837862731556299</v>
      </c>
      <c r="Q65" s="54">
        <v>1.304592534613235E-3</v>
      </c>
    </row>
    <row r="66" spans="1:17">
      <c r="A66" s="2" t="s">
        <v>493</v>
      </c>
      <c r="B66" s="16" t="s">
        <v>494</v>
      </c>
      <c r="D66" s="14">
        <v>1</v>
      </c>
      <c r="E66" s="14">
        <v>0.95460469016352145</v>
      </c>
      <c r="F66" s="14">
        <v>0.93022897845199448</v>
      </c>
      <c r="G66" s="14">
        <v>3.8392557022272084E-13</v>
      </c>
      <c r="H66" s="14">
        <v>68.592320008264139</v>
      </c>
      <c r="I66" s="14">
        <v>15.916586967870632</v>
      </c>
      <c r="J66" s="14">
        <v>0</v>
      </c>
      <c r="K66" s="14">
        <v>1.0750041367923329</v>
      </c>
      <c r="L66" s="14">
        <v>0.93022897845199448</v>
      </c>
      <c r="M66" s="14">
        <v>0.76325287681986154</v>
      </c>
      <c r="N66" s="14">
        <v>58.605530131404421</v>
      </c>
      <c r="O66" s="14">
        <v>19012.806085230226</v>
      </c>
      <c r="P66" s="8">
        <v>58.605530131404429</v>
      </c>
      <c r="Q66" s="54">
        <v>1.4027166324046395E-2</v>
      </c>
    </row>
    <row r="67" spans="1:17">
      <c r="A67" s="2" t="s">
        <v>495</v>
      </c>
      <c r="B67" s="16" t="s">
        <v>496</v>
      </c>
      <c r="D67" s="14">
        <v>1</v>
      </c>
      <c r="E67" s="14">
        <v>0.99728272689638064</v>
      </c>
      <c r="F67" s="14">
        <v>0.9975301824352788</v>
      </c>
      <c r="G67" s="14">
        <v>1.90403327352082E-14</v>
      </c>
      <c r="H67" s="14">
        <v>0.38111478354603079</v>
      </c>
      <c r="I67" s="14">
        <v>0.19290005209524111</v>
      </c>
      <c r="J67" s="14">
        <v>0</v>
      </c>
      <c r="K67" s="14">
        <v>1.0024759326667105</v>
      </c>
      <c r="L67" s="14">
        <v>0.9975301824352788</v>
      </c>
      <c r="M67" s="14">
        <v>0.81847351468814633</v>
      </c>
      <c r="N67" s="14">
        <v>1.2962594690470219</v>
      </c>
      <c r="O67" s="14">
        <v>406.27364278871767</v>
      </c>
      <c r="P67" s="8">
        <v>1.2962594690470222</v>
      </c>
      <c r="Q67" s="54">
        <v>1.4666697843114193E-3</v>
      </c>
    </row>
    <row r="68" spans="1:17">
      <c r="A68" s="2" t="s">
        <v>497</v>
      </c>
      <c r="B68" s="16" t="s">
        <v>498</v>
      </c>
      <c r="D68" s="14">
        <v>1</v>
      </c>
      <c r="E68" s="14">
        <v>0.99873417575435974</v>
      </c>
      <c r="F68" s="14">
        <v>0.99910649143394459</v>
      </c>
      <c r="G68" s="14">
        <v>1.7217260198967068E-13</v>
      </c>
      <c r="H68" s="14">
        <v>4.5320881552851244E-2</v>
      </c>
      <c r="I68" s="14">
        <v>3.2376212373814293E-2</v>
      </c>
      <c r="J68" s="14">
        <v>0</v>
      </c>
      <c r="K68" s="14">
        <v>1.0008943076375902</v>
      </c>
      <c r="L68" s="14">
        <v>0.99910649143394459</v>
      </c>
      <c r="M68" s="14">
        <v>0.81976687622155153</v>
      </c>
      <c r="N68" s="14">
        <v>0.92383501538886881</v>
      </c>
      <c r="O68" s="14">
        <v>251.61570479131231</v>
      </c>
      <c r="P68" s="8">
        <v>0.92383501538886881</v>
      </c>
      <c r="Q68" s="54">
        <v>5.9252412848496527E-4</v>
      </c>
    </row>
    <row r="69" spans="1:17">
      <c r="A69" s="2" t="s">
        <v>499</v>
      </c>
      <c r="B69" s="16" t="s">
        <v>500</v>
      </c>
      <c r="D69" s="14">
        <v>1</v>
      </c>
      <c r="E69" s="14">
        <v>0.42827080752220981</v>
      </c>
      <c r="F69" s="14">
        <v>3.4559220249785208E-2</v>
      </c>
      <c r="G69" s="14">
        <v>3.8419740108427655E-13</v>
      </c>
      <c r="H69" s="14">
        <v>890.05313668578549</v>
      </c>
      <c r="I69" s="14">
        <v>2120.2306375610519</v>
      </c>
      <c r="J69" s="14">
        <v>0</v>
      </c>
      <c r="K69" s="14">
        <v>28.935838041838203</v>
      </c>
      <c r="L69" s="14">
        <v>3.4559220249785208E-2</v>
      </c>
      <c r="M69" s="14">
        <v>2.8355840214948764E-2</v>
      </c>
      <c r="N69" s="14">
        <v>122.60588751764081</v>
      </c>
      <c r="O69" s="14">
        <v>52670.263218703316</v>
      </c>
      <c r="P69" s="8">
        <v>122.60588751764081</v>
      </c>
      <c r="Q69" s="54">
        <v>0.35115843578791717</v>
      </c>
    </row>
    <row r="70" spans="1:17">
      <c r="A70" s="2" t="s">
        <v>501</v>
      </c>
      <c r="B70" s="16" t="s">
        <v>411</v>
      </c>
      <c r="D70" s="14">
        <v>1</v>
      </c>
      <c r="E70" s="14">
        <v>0.99954280844149823</v>
      </c>
      <c r="F70" s="14">
        <v>0.99683321721152529</v>
      </c>
      <c r="G70" s="14">
        <v>3.1721300866773357E-15</v>
      </c>
      <c r="H70" s="14">
        <v>8.8048609426514748</v>
      </c>
      <c r="I70" s="14">
        <v>7.7478238985981152E-3</v>
      </c>
      <c r="J70" s="14">
        <v>0</v>
      </c>
      <c r="K70" s="14">
        <v>1.0031768431607175</v>
      </c>
      <c r="L70" s="14">
        <v>0.9968332172115254</v>
      </c>
      <c r="M70" s="14">
        <v>0.81790165472205656</v>
      </c>
      <c r="N70" s="14">
        <v>0.9499949013638842</v>
      </c>
      <c r="O70" s="14">
        <v>285.09346989930168</v>
      </c>
      <c r="P70" s="8">
        <v>0.94999490136388431</v>
      </c>
      <c r="Q70" s="54">
        <v>3.9280747259379358E-5</v>
      </c>
    </row>
    <row r="71" spans="1:17">
      <c r="A71" s="2" t="s">
        <v>502</v>
      </c>
      <c r="B71" s="16" t="s">
        <v>412</v>
      </c>
      <c r="D71" s="14">
        <v>1</v>
      </c>
      <c r="E71" s="14">
        <v>0.99949058526628687</v>
      </c>
      <c r="F71" s="14">
        <v>0.993959546795806</v>
      </c>
      <c r="G71" s="14">
        <v>1.4847617224027725E-10</v>
      </c>
      <c r="H71" s="14">
        <v>16.820105264134991</v>
      </c>
      <c r="I71" s="14">
        <v>1.4153265012917391E-2</v>
      </c>
      <c r="J71" s="14">
        <v>0</v>
      </c>
      <c r="K71" s="14">
        <v>1.0060771620169717</v>
      </c>
      <c r="L71" s="14">
        <v>0.99395954679580611</v>
      </c>
      <c r="M71" s="14">
        <v>0.81554380814595884</v>
      </c>
      <c r="N71" s="14">
        <v>1.0183675858386627</v>
      </c>
      <c r="O71" s="14">
        <v>334.17732329295711</v>
      </c>
      <c r="P71" s="8">
        <v>1.0183675858386627</v>
      </c>
      <c r="Q71" s="54">
        <v>5.5138714743550457E-5</v>
      </c>
    </row>
    <row r="72" spans="1:17">
      <c r="A72" s="2" t="s">
        <v>503</v>
      </c>
      <c r="B72" s="16" t="s">
        <v>413</v>
      </c>
      <c r="D72" s="14">
        <v>1</v>
      </c>
      <c r="E72" s="14">
        <v>0.94296841216690397</v>
      </c>
      <c r="F72" s="14">
        <v>3.5629644774558322E-2</v>
      </c>
      <c r="G72" s="14">
        <v>1.7456611969607603E-11</v>
      </c>
      <c r="H72" s="14">
        <v>2577.6947824637641</v>
      </c>
      <c r="I72" s="14">
        <v>10.961183974044809</v>
      </c>
      <c r="J72" s="14">
        <v>0</v>
      </c>
      <c r="K72" s="14">
        <v>28.066516136418493</v>
      </c>
      <c r="L72" s="14">
        <v>3.5629644774558322E-2</v>
      </c>
      <c r="M72" s="14">
        <v>2.9234123537525105E-2</v>
      </c>
      <c r="N72" s="14">
        <v>133.87741838666017</v>
      </c>
      <c r="O72" s="14">
        <v>62129.832324881245</v>
      </c>
      <c r="P72" s="8">
        <v>133.87741838666017</v>
      </c>
      <c r="Q72" s="54">
        <v>5.4207261423263556E-4</v>
      </c>
    </row>
    <row r="73" spans="1:17">
      <c r="A73" s="2" t="s">
        <v>504</v>
      </c>
      <c r="B73" s="16" t="s">
        <v>414</v>
      </c>
      <c r="D73" s="14">
        <v>1</v>
      </c>
      <c r="E73" s="14">
        <v>0.99396764037615037</v>
      </c>
      <c r="F73" s="14">
        <v>0.27170085825213341</v>
      </c>
      <c r="G73" s="14">
        <v>1.8750785952006888E-11</v>
      </c>
      <c r="H73" s="14">
        <v>2053.0097423452735</v>
      </c>
      <c r="I73" s="14">
        <v>1.0987957851829582</v>
      </c>
      <c r="J73" s="14">
        <v>0</v>
      </c>
      <c r="K73" s="14">
        <v>3.6805183702144153</v>
      </c>
      <c r="L73" s="14">
        <v>0.27170085825213341</v>
      </c>
      <c r="M73" s="14">
        <v>0.22293055419587546</v>
      </c>
      <c r="N73" s="14">
        <v>13.088186317569866</v>
      </c>
      <c r="O73" s="14">
        <v>4110.3449130328163</v>
      </c>
      <c r="P73" s="8">
        <v>13.088186317569868</v>
      </c>
      <c r="Q73" s="54">
        <v>3.6134078595707214E-4</v>
      </c>
    </row>
    <row r="74" spans="1:17">
      <c r="A74" s="2" t="s">
        <v>505</v>
      </c>
      <c r="B74" s="16" t="s">
        <v>415</v>
      </c>
      <c r="D74" s="14">
        <v>1</v>
      </c>
      <c r="E74" s="14">
        <v>0.99950054749779194</v>
      </c>
      <c r="F74" s="14">
        <v>0.99453000790697543</v>
      </c>
      <c r="G74" s="14">
        <v>1.8266963354156969E-11</v>
      </c>
      <c r="H74" s="14">
        <v>15.227825504862105</v>
      </c>
      <c r="I74" s="14">
        <v>1.2869564955179763E-2</v>
      </c>
      <c r="J74" s="14">
        <v>0</v>
      </c>
      <c r="K74" s="14">
        <v>1.0055000774733147</v>
      </c>
      <c r="L74" s="14">
        <v>0.99453000790697543</v>
      </c>
      <c r="M74" s="14">
        <v>0.8160118714876734</v>
      </c>
      <c r="N74" s="14">
        <v>1.0050021385637466</v>
      </c>
      <c r="O74" s="14">
        <v>215.11065773818433</v>
      </c>
      <c r="P74" s="8">
        <v>1.0050021385637466</v>
      </c>
      <c r="Q74" s="54">
        <v>5.2211222989554595E-5</v>
      </c>
    </row>
    <row r="75" spans="1:17">
      <c r="A75" s="2" t="s">
        <v>506</v>
      </c>
      <c r="B75" s="16" t="s">
        <v>416</v>
      </c>
      <c r="D75" s="14">
        <v>1</v>
      </c>
      <c r="E75" s="14">
        <v>0.994145552240708</v>
      </c>
      <c r="F75" s="14">
        <v>0.30765295209103982</v>
      </c>
      <c r="G75" s="14">
        <v>7.7013977304979349E-11</v>
      </c>
      <c r="H75" s="14">
        <v>1951.3765725867602</v>
      </c>
      <c r="I75" s="14">
        <v>1.0579546733056806</v>
      </c>
      <c r="J75" s="14">
        <v>0</v>
      </c>
      <c r="K75" s="14">
        <v>3.2504157467147681</v>
      </c>
      <c r="L75" s="14">
        <v>0.30765295209103982</v>
      </c>
      <c r="M75" s="14">
        <v>0.2524292471906982</v>
      </c>
      <c r="N75" s="14">
        <v>12.621755934036734</v>
      </c>
      <c r="O75" s="14">
        <v>5226.2904796065905</v>
      </c>
      <c r="P75" s="8">
        <v>12.621755934036734</v>
      </c>
      <c r="Q75" s="54">
        <v>3.7347975162347821E-4</v>
      </c>
    </row>
    <row r="76" spans="1:17">
      <c r="A76" s="2" t="s">
        <v>507</v>
      </c>
      <c r="B76" s="16" t="s">
        <v>417</v>
      </c>
      <c r="D76" s="14">
        <v>1</v>
      </c>
      <c r="E76" s="14">
        <v>0.99832742643299366</v>
      </c>
      <c r="F76" s="14">
        <v>0.88951729648281663</v>
      </c>
      <c r="G76" s="14">
        <v>4.9057165432023127E-10</v>
      </c>
      <c r="H76" s="14">
        <v>310.22328852064862</v>
      </c>
      <c r="I76" s="14">
        <v>0.20888262981432609</v>
      </c>
      <c r="J76" s="14">
        <v>0</v>
      </c>
      <c r="K76" s="14">
        <v>1.1242052335058981</v>
      </c>
      <c r="L76" s="14">
        <v>0.88951729648281663</v>
      </c>
      <c r="M76" s="14">
        <v>0.72984894176415105</v>
      </c>
      <c r="N76" s="14">
        <v>3.1397529453586501</v>
      </c>
      <c r="O76" s="14">
        <v>1344.3480186142133</v>
      </c>
      <c r="P76" s="8">
        <v>3.1397529453586501</v>
      </c>
      <c r="Q76" s="54">
        <v>2.3883739549206349E-4</v>
      </c>
    </row>
    <row r="77" spans="1:17">
      <c r="A77" s="2" t="s">
        <v>508</v>
      </c>
      <c r="B77" s="16" t="s">
        <v>418</v>
      </c>
      <c r="D77" s="14">
        <v>1</v>
      </c>
      <c r="E77" s="14">
        <v>0.99401398662185914</v>
      </c>
      <c r="F77" s="14">
        <v>0.28170050738399155</v>
      </c>
      <c r="G77" s="14">
        <v>5.735822227382817E-10</v>
      </c>
      <c r="H77" s="14">
        <v>2024.7323844652785</v>
      </c>
      <c r="I77" s="14">
        <v>1.0909266684866148</v>
      </c>
      <c r="J77" s="14">
        <v>0</v>
      </c>
      <c r="K77" s="14">
        <v>3.5498693605009386</v>
      </c>
      <c r="L77" s="14">
        <v>0.28170050738399155</v>
      </c>
      <c r="M77" s="14">
        <v>0.2311352663085651</v>
      </c>
      <c r="N77" s="14">
        <v>12.960944270268095</v>
      </c>
      <c r="O77" s="14">
        <v>6845.7115446702019</v>
      </c>
      <c r="P77" s="8">
        <v>12.960944270268095</v>
      </c>
      <c r="Q77" s="54">
        <v>3.6609648450406241E-4</v>
      </c>
    </row>
    <row r="78" spans="1:17">
      <c r="A78" s="2" t="s">
        <v>509</v>
      </c>
      <c r="B78" s="16" t="s">
        <v>419</v>
      </c>
      <c r="D78" s="14">
        <v>1</v>
      </c>
      <c r="E78" s="14">
        <v>0.95186360036796891</v>
      </c>
      <c r="F78" s="14">
        <v>3.974179203283397E-2</v>
      </c>
      <c r="G78" s="14">
        <v>7.0579066881228588E-11</v>
      </c>
      <c r="H78" s="14">
        <v>2591.4775230531827</v>
      </c>
      <c r="I78" s="14">
        <v>9.2591990607666066</v>
      </c>
      <c r="J78" s="14">
        <v>0</v>
      </c>
      <c r="K78" s="14">
        <v>25.162428487719367</v>
      </c>
      <c r="L78" s="14">
        <v>3.974179203283397E-2</v>
      </c>
      <c r="M78" s="14">
        <v>3.2608140362940269E-2</v>
      </c>
      <c r="N78" s="14">
        <v>112.78647899007173</v>
      </c>
      <c r="O78" s="14">
        <v>63621.724933509562</v>
      </c>
      <c r="P78" s="8">
        <v>112.78647899007173</v>
      </c>
      <c r="Q78" s="54">
        <v>5.1709867025734118E-4</v>
      </c>
    </row>
    <row r="79" spans="1:17">
      <c r="A79" s="2" t="s">
        <v>510</v>
      </c>
      <c r="B79" s="16" t="s">
        <v>420</v>
      </c>
      <c r="D79" s="14">
        <v>1</v>
      </c>
      <c r="E79" s="14">
        <v>0.95186375141416091</v>
      </c>
      <c r="F79" s="14">
        <v>3.9741800664067385E-2</v>
      </c>
      <c r="G79" s="14">
        <v>1.7728664782765916E-15</v>
      </c>
      <c r="H79" s="14">
        <v>2591.4780858775111</v>
      </c>
      <c r="I79" s="14">
        <v>9.2577357505482869</v>
      </c>
      <c r="J79" s="14">
        <v>0</v>
      </c>
      <c r="K79" s="14">
        <v>25.162423022874037</v>
      </c>
      <c r="L79" s="14">
        <v>3.9741800664067392E-2</v>
      </c>
      <c r="M79" s="14">
        <v>3.2608147444867293E-2</v>
      </c>
      <c r="N79" s="14">
        <v>112.78642273929631</v>
      </c>
      <c r="O79" s="14">
        <v>56407.873604604269</v>
      </c>
      <c r="P79" s="8">
        <v>112.78642273929631</v>
      </c>
      <c r="Q79" s="54">
        <v>5.170169487430826E-4</v>
      </c>
    </row>
    <row r="80" spans="1:17">
      <c r="A80" s="2" t="s">
        <v>511</v>
      </c>
      <c r="B80" s="16" t="s">
        <v>421</v>
      </c>
      <c r="D80" s="14">
        <v>1</v>
      </c>
      <c r="E80" s="14">
        <v>0.99645226637616702</v>
      </c>
      <c r="F80" s="14">
        <v>0.66545110265277962</v>
      </c>
      <c r="G80" s="14">
        <v>8.6701101481999892E-11</v>
      </c>
      <c r="H80" s="14">
        <v>941.44759215460545</v>
      </c>
      <c r="I80" s="14">
        <v>0.57006204129454274</v>
      </c>
      <c r="J80" s="14">
        <v>0</v>
      </c>
      <c r="K80" s="14">
        <v>1.5027400150267418</v>
      </c>
      <c r="L80" s="14">
        <v>0.66545110265277962</v>
      </c>
      <c r="M80" s="14">
        <v>0.54600262972660574</v>
      </c>
      <c r="N80" s="14">
        <v>7.1432920711943835</v>
      </c>
      <c r="O80" s="14">
        <v>2600.5869114390271</v>
      </c>
      <c r="P80" s="8">
        <v>7.1432920711943835</v>
      </c>
      <c r="Q80" s="54">
        <v>3.6959162681160019E-4</v>
      </c>
    </row>
    <row r="81" spans="1:17">
      <c r="A81" s="2" t="s">
        <v>512</v>
      </c>
      <c r="B81" s="16" t="s">
        <v>422</v>
      </c>
      <c r="D81" s="14">
        <v>1</v>
      </c>
      <c r="E81" s="14">
        <v>0.99923988864529034</v>
      </c>
      <c r="F81" s="14">
        <v>0.9760443817979042</v>
      </c>
      <c r="G81" s="14">
        <v>3.4444353036959068E-11</v>
      </c>
      <c r="H81" s="14">
        <v>67.002277613558903</v>
      </c>
      <c r="I81" s="14">
        <v>5.0700885046455285E-2</v>
      </c>
      <c r="J81" s="14">
        <v>0</v>
      </c>
      <c r="K81" s="14">
        <v>1.0245435747070935</v>
      </c>
      <c r="L81" s="14">
        <v>0.9760443817979042</v>
      </c>
      <c r="M81" s="14">
        <v>0.80084441526518046</v>
      </c>
      <c r="N81" s="14">
        <v>1.4147220883482916</v>
      </c>
      <c r="O81" s="14">
        <v>373.55736742836638</v>
      </c>
      <c r="P81" s="8">
        <v>1.4147220883482916</v>
      </c>
      <c r="Q81" s="54">
        <v>1.1199935988775985E-4</v>
      </c>
    </row>
    <row r="82" spans="1:17">
      <c r="A82" s="2" t="s">
        <v>513</v>
      </c>
      <c r="B82" s="16" t="s">
        <v>423</v>
      </c>
      <c r="D82" s="14">
        <v>1</v>
      </c>
      <c r="E82" s="14">
        <v>0.99882101594734418</v>
      </c>
      <c r="F82" s="14">
        <v>0.93903899729253693</v>
      </c>
      <c r="G82" s="14">
        <v>1.1032453765507446E-14</v>
      </c>
      <c r="H82" s="14">
        <v>170.9399719778562</v>
      </c>
      <c r="I82" s="14">
        <v>0.12036517954871527</v>
      </c>
      <c r="J82" s="14">
        <v>0</v>
      </c>
      <c r="K82" s="14">
        <v>1.0649184995332754</v>
      </c>
      <c r="L82" s="14">
        <v>0.93903899729253704</v>
      </c>
      <c r="M82" s="14">
        <v>0.77048149727852666</v>
      </c>
      <c r="N82" s="14">
        <v>2.1753511694289016</v>
      </c>
      <c r="O82" s="14">
        <v>870.37975640019783</v>
      </c>
      <c r="P82" s="8">
        <v>2.1753511694289016</v>
      </c>
      <c r="Q82" s="54">
        <v>1.7910217833930754E-4</v>
      </c>
    </row>
    <row r="83" spans="1:17">
      <c r="A83" s="2" t="s">
        <v>514</v>
      </c>
      <c r="B83" s="16" t="s">
        <v>424</v>
      </c>
      <c r="D83" s="14">
        <v>1</v>
      </c>
      <c r="E83" s="14">
        <v>0.91004476789587574</v>
      </c>
      <c r="F83" s="14">
        <v>2.6077978927199211E-2</v>
      </c>
      <c r="G83" s="14">
        <v>2.4456955647958962E-11</v>
      </c>
      <c r="H83" s="14">
        <v>2510.5792211111188</v>
      </c>
      <c r="I83" s="14">
        <v>17.230580322247803</v>
      </c>
      <c r="J83" s="14">
        <v>0</v>
      </c>
      <c r="K83" s="14">
        <v>38.346529951253409</v>
      </c>
      <c r="L83" s="14">
        <v>2.6077978927199215E-2</v>
      </c>
      <c r="M83" s="14">
        <v>2.1396981709766956E-2</v>
      </c>
      <c r="N83" s="14">
        <v>212.02759161405234</v>
      </c>
      <c r="O83" s="14">
        <v>108999.14429695203</v>
      </c>
      <c r="P83" s="8">
        <v>212.02759161405234</v>
      </c>
      <c r="Q83" s="54">
        <v>6.0995796194002715E-4</v>
      </c>
    </row>
    <row r="84" spans="1:17">
      <c r="A84" s="2" t="s">
        <v>403</v>
      </c>
      <c r="B84" s="16" t="s">
        <v>404</v>
      </c>
      <c r="D84" s="14">
        <v>1</v>
      </c>
      <c r="E84" s="14">
        <v>0.48758354346234317</v>
      </c>
      <c r="F84" s="14">
        <v>0.4303673076859364</v>
      </c>
      <c r="G84" s="14">
        <v>7.5004576107688424E-46</v>
      </c>
      <c r="H84" s="14">
        <v>132.45222959905649</v>
      </c>
      <c r="I84" s="14">
        <v>283.73730803955385</v>
      </c>
      <c r="J84" s="14">
        <v>0</v>
      </c>
      <c r="K84" s="14">
        <v>2.3235965700483852</v>
      </c>
      <c r="L84" s="14">
        <v>0.43036730768593645</v>
      </c>
      <c r="M84" s="14">
        <v>0.35311637595631085</v>
      </c>
      <c r="N84" s="14">
        <v>16.214119363638154</v>
      </c>
      <c r="O84" s="14">
        <v>19499.262087904881</v>
      </c>
      <c r="P84" s="8">
        <v>16.214119363638158</v>
      </c>
      <c r="Q84" s="54">
        <v>0.34128440532332688</v>
      </c>
    </row>
    <row r="85" spans="1:17">
      <c r="A85" s="2" t="s">
        <v>405</v>
      </c>
      <c r="B85" s="16" t="s">
        <v>406</v>
      </c>
      <c r="D85" s="14">
        <v>1</v>
      </c>
      <c r="E85" s="14">
        <v>0.36488595772375415</v>
      </c>
      <c r="F85" s="14">
        <v>0.13784672213312205</v>
      </c>
      <c r="G85" s="14">
        <v>4.180840094855362E-10</v>
      </c>
      <c r="H85" s="14">
        <v>613.3773781619102</v>
      </c>
      <c r="I85" s="14">
        <v>296.90202695531553</v>
      </c>
      <c r="J85" s="14">
        <v>0</v>
      </c>
      <c r="K85" s="14">
        <v>7.2544343784560557</v>
      </c>
      <c r="L85" s="14">
        <v>0.13784672213312207</v>
      </c>
      <c r="M85" s="14">
        <v>0.11310323551022665</v>
      </c>
      <c r="N85" s="14">
        <v>1411.097396436588</v>
      </c>
      <c r="O85" s="14">
        <v>449942.51582777046</v>
      </c>
      <c r="P85" s="8">
        <v>1411.097396436588</v>
      </c>
      <c r="Q85" s="54">
        <v>2.8655841248089554E-2</v>
      </c>
    </row>
    <row r="86" spans="1:17">
      <c r="A86" s="2" t="s">
        <v>407</v>
      </c>
      <c r="B86" s="16" t="s">
        <v>408</v>
      </c>
      <c r="D86" s="14">
        <v>1</v>
      </c>
      <c r="E86" s="14">
        <v>0.44086898522444429</v>
      </c>
      <c r="F86" s="14">
        <v>1.7321780346885292E-3</v>
      </c>
      <c r="G86" s="14">
        <v>1.3905320869965916E-6</v>
      </c>
      <c r="H86" s="14">
        <v>237.82227383842508</v>
      </c>
      <c r="I86" s="14">
        <v>9354.2656219665623</v>
      </c>
      <c r="J86" s="14">
        <v>0</v>
      </c>
      <c r="K86" s="14">
        <v>577.30786326465261</v>
      </c>
      <c r="L86" s="14">
        <v>1.7321780346885292E-3</v>
      </c>
      <c r="M86" s="14">
        <v>1.4212520774619384E-3</v>
      </c>
      <c r="N86" s="14">
        <v>559.96234357438152</v>
      </c>
      <c r="O86" s="14">
        <v>272024.10688499879</v>
      </c>
      <c r="P86" s="8">
        <v>559.96234357438152</v>
      </c>
      <c r="Q86" s="54">
        <v>0.21857963574587791</v>
      </c>
    </row>
    <row r="87" spans="1:17">
      <c r="A87" s="2" t="s">
        <v>409</v>
      </c>
      <c r="B87" s="16" t="s">
        <v>410</v>
      </c>
      <c r="D87" s="14">
        <v>1</v>
      </c>
      <c r="E87" s="14">
        <v>0.47905915896414919</v>
      </c>
      <c r="F87" s="14">
        <v>6.431475781023782E-4</v>
      </c>
      <c r="G87" s="14">
        <v>1.8448417831644493E-7</v>
      </c>
      <c r="H87" s="14">
        <v>137.31900204252412</v>
      </c>
      <c r="I87" s="14">
        <v>11318.472221896236</v>
      </c>
      <c r="J87" s="14">
        <v>0</v>
      </c>
      <c r="K87" s="14">
        <v>1554.8530913395073</v>
      </c>
      <c r="L87" s="14">
        <v>6.431475781023782E-4</v>
      </c>
      <c r="M87" s="14">
        <v>5.2770258783300136E-4</v>
      </c>
      <c r="N87" s="14">
        <v>683.83478524741236</v>
      </c>
      <c r="O87" s="14">
        <v>386154.6648813613</v>
      </c>
      <c r="P87" s="8">
        <v>683.83478524741236</v>
      </c>
      <c r="Q87" s="54">
        <v>0.15775669866772524</v>
      </c>
    </row>
    <row r="88" spans="1:17">
      <c r="A88" s="2" t="s">
        <v>301</v>
      </c>
      <c r="B88" s="16" t="s">
        <v>302</v>
      </c>
      <c r="D88" s="14">
        <v>1</v>
      </c>
      <c r="E88" s="14">
        <v>0.51777991797647727</v>
      </c>
      <c r="F88" s="14">
        <v>1.9262113080908204E-4</v>
      </c>
      <c r="G88" s="14">
        <v>2.4312656588566161E-8</v>
      </c>
      <c r="H88" s="14">
        <v>67.952263561721821</v>
      </c>
      <c r="I88" s="14">
        <v>12991.553882250886</v>
      </c>
      <c r="J88" s="14">
        <v>0</v>
      </c>
      <c r="K88" s="14">
        <v>5191.5384142934854</v>
      </c>
      <c r="L88" s="14">
        <v>1.9262113080908207E-4</v>
      </c>
      <c r="M88" s="14">
        <v>1.5804563782885182E-4</v>
      </c>
      <c r="N88" s="14">
        <v>793.23617852919529</v>
      </c>
      <c r="O88" s="14">
        <v>510510.93977781956</v>
      </c>
      <c r="P88" s="8">
        <v>793.2361785291954</v>
      </c>
      <c r="Q88" s="54">
        <v>0.10061462175896331</v>
      </c>
    </row>
    <row r="89" spans="1:17">
      <c r="A89" s="2" t="s">
        <v>303</v>
      </c>
      <c r="B89" s="16" t="s">
        <v>304</v>
      </c>
      <c r="D89" s="14">
        <v>1</v>
      </c>
      <c r="E89" s="14">
        <v>5.7016871681733632E-2</v>
      </c>
      <c r="F89" s="14">
        <v>1.3577760123589973E-3</v>
      </c>
      <c r="G89" s="14">
        <v>1.9552504475124351E-15</v>
      </c>
      <c r="H89" s="14">
        <v>43.933590730650721</v>
      </c>
      <c r="I89" s="14">
        <v>1057.9481690027144</v>
      </c>
      <c r="J89" s="14">
        <v>0</v>
      </c>
      <c r="K89" s="14">
        <v>736.49850262312555</v>
      </c>
      <c r="L89" s="14">
        <v>1.3577760123589975E-3</v>
      </c>
      <c r="M89" s="14">
        <v>1.1140552181405573E-3</v>
      </c>
      <c r="N89" s="14">
        <v>2204.823036805933</v>
      </c>
      <c r="O89" s="14">
        <v>1422794.3538812366</v>
      </c>
      <c r="P89" s="8">
        <v>2204.823036805933</v>
      </c>
      <c r="Q89" s="54">
        <v>1.1446280680229182E-2</v>
      </c>
    </row>
    <row r="90" spans="1:17">
      <c r="A90" s="2" t="s">
        <v>425</v>
      </c>
      <c r="B90" s="16" t="s">
        <v>426</v>
      </c>
      <c r="D90" s="14">
        <v>1</v>
      </c>
      <c r="E90" s="14">
        <v>0.97457061812667567</v>
      </c>
      <c r="F90" s="14">
        <v>0.97482854942125541</v>
      </c>
      <c r="G90" s="14">
        <v>1.7756799596045893E-15</v>
      </c>
      <c r="H90" s="14">
        <v>0.2597934753723945</v>
      </c>
      <c r="I90" s="14">
        <v>0.80763501977926355</v>
      </c>
      <c r="J90" s="14">
        <v>0</v>
      </c>
      <c r="K90" s="14">
        <v>1.0258214129999461</v>
      </c>
      <c r="L90" s="14">
        <v>0.97482854942125541</v>
      </c>
      <c r="M90" s="14">
        <v>0.79984682480014013</v>
      </c>
      <c r="N90" s="14">
        <v>0.88905544047535656</v>
      </c>
      <c r="O90" s="14">
        <v>246.49951142619736</v>
      </c>
      <c r="P90" s="8">
        <v>0.88905544047535667</v>
      </c>
      <c r="Q90" s="54">
        <v>1.6912785547011377E-2</v>
      </c>
    </row>
    <row r="91" spans="1:17">
      <c r="A91" s="2" t="s">
        <v>427</v>
      </c>
      <c r="B91" s="16" t="s">
        <v>428</v>
      </c>
      <c r="D91" s="14">
        <v>1</v>
      </c>
      <c r="E91" s="14">
        <v>0.77271125189508638</v>
      </c>
      <c r="F91" s="14">
        <v>0.76551088976807191</v>
      </c>
      <c r="G91" s="14">
        <v>9.7463019206887944E-7</v>
      </c>
      <c r="H91" s="14">
        <v>16.634562117263581</v>
      </c>
      <c r="I91" s="14">
        <v>43.318014656412892</v>
      </c>
      <c r="J91" s="14">
        <v>0</v>
      </c>
      <c r="K91" s="14">
        <v>1.3063171450153657</v>
      </c>
      <c r="L91" s="14">
        <v>0.76551088976807191</v>
      </c>
      <c r="M91" s="14">
        <v>0.6281016850547031</v>
      </c>
      <c r="N91" s="14">
        <v>3.0375752968737606</v>
      </c>
      <c r="O91" s="14">
        <v>501.77706329057651</v>
      </c>
      <c r="P91" s="8">
        <v>3.037575296873761</v>
      </c>
      <c r="Q91" s="54">
        <v>0.1524995435899848</v>
      </c>
    </row>
    <row r="92" spans="1:17">
      <c r="A92" s="2" t="s">
        <v>429</v>
      </c>
      <c r="B92" s="16" t="s">
        <v>430</v>
      </c>
      <c r="D92" s="14">
        <v>1</v>
      </c>
      <c r="E92" s="14">
        <v>0.38704833125722204</v>
      </c>
      <c r="F92" s="14">
        <v>0.26556580009369407</v>
      </c>
      <c r="G92" s="14">
        <v>1.1706326504533342E-5</v>
      </c>
      <c r="H92" s="14">
        <v>285.35937510695834</v>
      </c>
      <c r="I92" s="14">
        <v>557.50570519484927</v>
      </c>
      <c r="J92" s="14">
        <v>0</v>
      </c>
      <c r="K92" s="14">
        <v>3.7655451102784725</v>
      </c>
      <c r="L92" s="14">
        <v>0.26556580009369407</v>
      </c>
      <c r="M92" s="14">
        <v>0.21789673897687598</v>
      </c>
      <c r="N92" s="14">
        <v>31.633160945480853</v>
      </c>
      <c r="O92" s="14">
        <v>5701.5609288134692</v>
      </c>
      <c r="P92" s="8">
        <v>31.633160945480856</v>
      </c>
      <c r="Q92" s="54">
        <v>0.40406321593818084</v>
      </c>
    </row>
    <row r="93" spans="1:17">
      <c r="A93" s="2" t="s">
        <v>431</v>
      </c>
      <c r="B93" s="16" t="s">
        <v>432</v>
      </c>
      <c r="D93" s="14">
        <v>1</v>
      </c>
      <c r="E93" s="14">
        <v>0.99947693682286831</v>
      </c>
      <c r="F93" s="14">
        <v>0.99943000320340358</v>
      </c>
      <c r="G93" s="14">
        <v>1.3393842958298435E-19</v>
      </c>
      <c r="H93" s="14">
        <v>1.2397735965842711</v>
      </c>
      <c r="I93" s="14">
        <v>9.1965708247720955E-3</v>
      </c>
      <c r="J93" s="14">
        <v>0</v>
      </c>
      <c r="K93" s="14">
        <v>1.00057032187824</v>
      </c>
      <c r="L93" s="14">
        <v>0.99943000320340358</v>
      </c>
      <c r="M93" s="14">
        <v>0.82003231762839268</v>
      </c>
      <c r="N93" s="14">
        <v>0.88107703711786101</v>
      </c>
      <c r="O93" s="14">
        <v>342.64204896476497</v>
      </c>
      <c r="P93" s="8">
        <v>0.88107703711786101</v>
      </c>
      <c r="Q93" s="54">
        <v>1.0328230454088145E-4</v>
      </c>
    </row>
    <row r="94" spans="1:17">
      <c r="A94" s="2" t="s">
        <v>433</v>
      </c>
      <c r="B94" s="16" t="s">
        <v>434</v>
      </c>
      <c r="D94" s="14">
        <v>1</v>
      </c>
      <c r="E94" s="14">
        <v>0.9996283090144007</v>
      </c>
      <c r="F94" s="14">
        <v>1.0000164620772305</v>
      </c>
      <c r="G94" s="14">
        <v>2.8198475979682905E-20</v>
      </c>
      <c r="H94" s="14">
        <v>4.8061481027655137E-3</v>
      </c>
      <c r="I94" s="14">
        <v>6.209468191654815E-5</v>
      </c>
      <c r="J94" s="14">
        <v>0</v>
      </c>
      <c r="K94" s="14">
        <v>0.99998353819376506</v>
      </c>
      <c r="L94" s="14">
        <v>1.0000164620772305</v>
      </c>
      <c r="M94" s="14">
        <v>0.82051350713436766</v>
      </c>
      <c r="N94" s="14">
        <v>0.87579729706947407</v>
      </c>
      <c r="O94" s="14">
        <v>156.97790752673254</v>
      </c>
      <c r="P94" s="8">
        <v>0.87579729706947407</v>
      </c>
      <c r="Q94" s="54">
        <v>2.602881560303113E-6</v>
      </c>
    </row>
    <row r="95" spans="1:17">
      <c r="A95" s="2" t="s">
        <v>435</v>
      </c>
      <c r="B95" s="16" t="s">
        <v>436</v>
      </c>
      <c r="D95" s="14">
        <v>1</v>
      </c>
      <c r="E95" s="14">
        <v>0.94160532751586168</v>
      </c>
      <c r="F95" s="14">
        <v>0.9414685354708211</v>
      </c>
      <c r="G95" s="14">
        <v>1.5151858152924971E-10</v>
      </c>
      <c r="H95" s="14">
        <v>1.063184411755858</v>
      </c>
      <c r="I95" s="14">
        <v>3.4142983020087789</v>
      </c>
      <c r="J95" s="14">
        <v>0</v>
      </c>
      <c r="K95" s="14">
        <v>1.0621703884133606</v>
      </c>
      <c r="L95" s="14">
        <v>0.94146853547082121</v>
      </c>
      <c r="M95" s="14">
        <v>0.77247493335380879</v>
      </c>
      <c r="N95" s="14">
        <v>1.01287576201468</v>
      </c>
      <c r="O95" s="14">
        <v>264.45173270441279</v>
      </c>
      <c r="P95" s="8">
        <v>1.01287576201468</v>
      </c>
      <c r="Q95" s="54">
        <v>3.9129244443508369E-2</v>
      </c>
    </row>
    <row r="96" spans="1:17">
      <c r="A96" s="2" t="s">
        <v>437</v>
      </c>
      <c r="B96" s="164" t="s">
        <v>438</v>
      </c>
      <c r="D96" s="14">
        <v>1</v>
      </c>
      <c r="E96" s="14">
        <v>0.42762053742319717</v>
      </c>
      <c r="F96" s="14">
        <v>2.4557964717876702E-3</v>
      </c>
      <c r="G96" s="14">
        <v>2.5330330642462401E-9</v>
      </c>
      <c r="H96" s="14">
        <v>286.03051699403687</v>
      </c>
      <c r="I96" s="14">
        <v>8540.229505787478</v>
      </c>
      <c r="J96" s="14">
        <v>0</v>
      </c>
      <c r="K96" s="14">
        <v>407.19986834742082</v>
      </c>
      <c r="L96" s="14">
        <v>2.4557964717876707E-3</v>
      </c>
      <c r="M96" s="14">
        <v>2.0149810051017835E-3</v>
      </c>
      <c r="N96" s="14">
        <v>509.47875362212579</v>
      </c>
      <c r="O96" s="14">
        <v>212096.00513289098</v>
      </c>
      <c r="P96" s="8">
        <v>509.47875362212585</v>
      </c>
      <c r="Q96" s="54">
        <v>0.24191875670571061</v>
      </c>
    </row>
    <row r="97" spans="1:17">
      <c r="A97" s="2" t="s">
        <v>439</v>
      </c>
      <c r="B97" s="16" t="s">
        <v>440</v>
      </c>
      <c r="D97" s="14">
        <v>1</v>
      </c>
      <c r="E97" s="14">
        <v>0.69362956582918434</v>
      </c>
      <c r="F97" s="14">
        <v>0.67926890349376745</v>
      </c>
      <c r="G97" s="14">
        <v>4.9986211335674377E-7</v>
      </c>
      <c r="H97" s="14">
        <v>32.856532869141006</v>
      </c>
      <c r="I97" s="14">
        <v>80.663842107271478</v>
      </c>
      <c r="J97" s="14">
        <v>0</v>
      </c>
      <c r="K97" s="14">
        <v>1.4721710280811866</v>
      </c>
      <c r="L97" s="14">
        <v>0.67926890349376745</v>
      </c>
      <c r="M97" s="14">
        <v>0.55734013531663618</v>
      </c>
      <c r="N97" s="14">
        <v>5.0340337902669683</v>
      </c>
      <c r="O97" s="14">
        <v>962.85964306436301</v>
      </c>
      <c r="P97" s="8">
        <v>5.0340337902669683</v>
      </c>
      <c r="Q97" s="54">
        <v>0.20534252786237339</v>
      </c>
    </row>
    <row r="98" spans="1:17">
      <c r="A98" s="2" t="s">
        <v>441</v>
      </c>
      <c r="B98" s="16" t="s">
        <v>442</v>
      </c>
      <c r="D98" s="14">
        <v>1</v>
      </c>
      <c r="E98" s="14">
        <v>0.75900449099265765</v>
      </c>
      <c r="F98" s="14">
        <v>0.75077286313683445</v>
      </c>
      <c r="G98" s="14">
        <v>3.2415823144236064E-19</v>
      </c>
      <c r="H98" s="14">
        <v>18.955208530336044</v>
      </c>
      <c r="I98" s="14">
        <v>48.818646828287271</v>
      </c>
      <c r="J98" s="14">
        <v>0</v>
      </c>
      <c r="K98" s="14">
        <v>1.3319607688294159</v>
      </c>
      <c r="L98" s="14">
        <v>0.75077286313683456</v>
      </c>
      <c r="M98" s="14">
        <v>0.61600913420377268</v>
      </c>
      <c r="N98" s="14">
        <v>3.3290102494333254</v>
      </c>
      <c r="O98" s="14">
        <v>1306.5033624926027</v>
      </c>
      <c r="P98" s="8">
        <v>3.3290102494333254</v>
      </c>
      <c r="Q98" s="54">
        <v>0.16172819417424175</v>
      </c>
    </row>
    <row r="99" spans="1:17">
      <c r="A99" s="2" t="s">
        <v>443</v>
      </c>
      <c r="B99" s="16" t="s">
        <v>444</v>
      </c>
      <c r="D99" s="14">
        <v>1</v>
      </c>
      <c r="E99" s="14">
        <v>0.88070082891997359</v>
      </c>
      <c r="F99" s="14">
        <v>0.87907353054563675</v>
      </c>
      <c r="G99" s="14">
        <v>4.7349313973992029E-31</v>
      </c>
      <c r="H99" s="14">
        <v>4.260741667782316</v>
      </c>
      <c r="I99" s="14">
        <v>12.392027660323507</v>
      </c>
      <c r="J99" s="14">
        <v>0</v>
      </c>
      <c r="K99" s="14">
        <v>1.1375612679172638</v>
      </c>
      <c r="L99" s="14">
        <v>0.87907353054563675</v>
      </c>
      <c r="M99" s="14">
        <v>0.72127983181269495</v>
      </c>
      <c r="N99" s="14">
        <v>1.4344833084447237</v>
      </c>
      <c r="O99" s="14">
        <v>1120.2453948968225</v>
      </c>
      <c r="P99" s="8">
        <v>1.4344833084447237</v>
      </c>
      <c r="Q99" s="54">
        <v>8.0120264461073731E-2</v>
      </c>
    </row>
    <row r="100" spans="1:17">
      <c r="A100" s="2" t="s">
        <v>445</v>
      </c>
      <c r="B100" s="16" t="s">
        <v>446</v>
      </c>
      <c r="D100" s="14">
        <v>1</v>
      </c>
      <c r="E100" s="14">
        <v>0.3957818023364707</v>
      </c>
      <c r="F100" s="14">
        <v>1.4781009062245847E-2</v>
      </c>
      <c r="G100" s="14">
        <v>2.4349641470363481E-9</v>
      </c>
      <c r="H100" s="14">
        <v>658.5125910233387</v>
      </c>
      <c r="I100" s="14">
        <v>3929.3548809775325</v>
      </c>
      <c r="J100" s="14">
        <v>0</v>
      </c>
      <c r="K100" s="14">
        <v>67.654379737458783</v>
      </c>
      <c r="L100" s="14">
        <v>1.4781009062245847E-2</v>
      </c>
      <c r="M100" s="14">
        <v>1.2127817935572717E-2</v>
      </c>
      <c r="N100" s="14">
        <v>229.77599199485252</v>
      </c>
      <c r="O100" s="14">
        <v>70403.36394722281</v>
      </c>
      <c r="P100" s="8">
        <v>229.77599199485252</v>
      </c>
      <c r="Q100" s="54">
        <v>0.34270564176826973</v>
      </c>
    </row>
    <row r="101" spans="1:17">
      <c r="A101" s="2" t="s">
        <v>447</v>
      </c>
      <c r="B101" s="16" t="s">
        <v>448</v>
      </c>
      <c r="D101" s="14">
        <v>1</v>
      </c>
      <c r="E101" s="14">
        <v>0.41782760798588481</v>
      </c>
      <c r="F101" s="14">
        <v>0.32488799090080167</v>
      </c>
      <c r="G101" s="14">
        <v>9.0124350135428283E-11</v>
      </c>
      <c r="H101" s="14">
        <v>217.07692375161335</v>
      </c>
      <c r="I101" s="14">
        <v>439.20859386021749</v>
      </c>
      <c r="J101" s="14">
        <v>0</v>
      </c>
      <c r="K101" s="14">
        <v>3.0779838836989541</v>
      </c>
      <c r="L101" s="14">
        <v>0.32488799090080167</v>
      </c>
      <c r="M101" s="14">
        <v>0.26657059653410775</v>
      </c>
      <c r="N101" s="14">
        <v>24.937807312464617</v>
      </c>
      <c r="O101" s="14">
        <v>8399.5522589843313</v>
      </c>
      <c r="P101" s="8">
        <v>24.937807312464617</v>
      </c>
      <c r="Q101" s="54">
        <v>0.38589649076138965</v>
      </c>
    </row>
    <row r="102" spans="1:17">
      <c r="A102" s="2" t="s">
        <v>449</v>
      </c>
      <c r="B102" s="16" t="s">
        <v>450</v>
      </c>
      <c r="D102" s="14">
        <v>1</v>
      </c>
      <c r="E102" s="14">
        <v>0.36927329120385555</v>
      </c>
      <c r="F102" s="14">
        <v>0.1245176597351606</v>
      </c>
      <c r="G102" s="14">
        <v>6.9665769315399172E-6</v>
      </c>
      <c r="H102" s="14">
        <v>585.04725994306591</v>
      </c>
      <c r="I102" s="14">
        <v>1025.2933024946788</v>
      </c>
      <c r="J102" s="14">
        <v>0</v>
      </c>
      <c r="K102" s="14">
        <v>8.0309893562641825</v>
      </c>
      <c r="L102" s="14">
        <v>0.12451765973516062</v>
      </c>
      <c r="M102" s="14">
        <v>0.10216673981269928</v>
      </c>
      <c r="N102" s="14">
        <v>58.470499793664821</v>
      </c>
      <c r="O102" s="14">
        <v>27194.044749035569</v>
      </c>
      <c r="P102" s="8">
        <v>58.470499793664828</v>
      </c>
      <c r="Q102" s="54">
        <v>0.40874092219730246</v>
      </c>
    </row>
    <row r="103" spans="1:17">
      <c r="A103" s="2" t="s">
        <v>451</v>
      </c>
      <c r="B103" s="16" t="s">
        <v>452</v>
      </c>
      <c r="D103" s="14">
        <v>1</v>
      </c>
      <c r="E103" s="14">
        <v>0.99938771394631576</v>
      </c>
      <c r="F103" s="14">
        <v>0.98821400988868602</v>
      </c>
      <c r="G103" s="14">
        <v>5.3795036316305129E-21</v>
      </c>
      <c r="H103" s="14">
        <v>32.849669658282579</v>
      </c>
      <c r="I103" s="14">
        <v>2.9516701963435317E-2</v>
      </c>
      <c r="J103" s="14">
        <v>0</v>
      </c>
      <c r="K103" s="14">
        <v>1.0119265563869526</v>
      </c>
      <c r="L103" s="14">
        <v>0.98821400988868602</v>
      </c>
      <c r="M103" s="14">
        <v>0.81082959511366692</v>
      </c>
      <c r="N103" s="14">
        <v>1.1492815987586438</v>
      </c>
      <c r="O103" s="14">
        <v>380.1133959734338</v>
      </c>
      <c r="P103" s="8">
        <v>1.1492815987586438</v>
      </c>
      <c r="Q103" s="54">
        <v>8.7471752988779392E-5</v>
      </c>
    </row>
    <row r="104" spans="1:17">
      <c r="A104" s="2" t="s">
        <v>453</v>
      </c>
      <c r="B104" s="16" t="s">
        <v>454</v>
      </c>
      <c r="D104" s="14">
        <v>1</v>
      </c>
      <c r="E104" s="14">
        <v>0.98416627602548501</v>
      </c>
      <c r="F104" s="14">
        <v>9.9803279926919231E-2</v>
      </c>
      <c r="G104" s="14">
        <v>1.1226587789507041E-21</v>
      </c>
      <c r="H104" s="14">
        <v>2510.9890228754803</v>
      </c>
      <c r="I104" s="14">
        <v>24.619094755355103</v>
      </c>
      <c r="J104" s="14">
        <v>0</v>
      </c>
      <c r="K104" s="14">
        <v>10.019710782373565</v>
      </c>
      <c r="L104" s="14">
        <v>9.9803279926919244E-2</v>
      </c>
      <c r="M104" s="14">
        <v>8.1888591180037232E-2</v>
      </c>
      <c r="N104" s="14">
        <v>22.917825474838374</v>
      </c>
      <c r="O104" s="14">
        <v>11321.405784570157</v>
      </c>
      <c r="P104" s="8">
        <v>22.917825474838374</v>
      </c>
      <c r="Q104" s="54">
        <v>4.1905601606809272E-3</v>
      </c>
    </row>
    <row r="105" spans="1:17">
      <c r="A105" s="2" t="s">
        <v>455</v>
      </c>
      <c r="B105" s="164">
        <v>354656</v>
      </c>
      <c r="D105" s="14">
        <v>1</v>
      </c>
      <c r="E105" s="14">
        <v>0.96959591109931154</v>
      </c>
      <c r="F105" s="14">
        <v>0.96983805478994056</v>
      </c>
      <c r="G105" s="14">
        <v>4.0851471877974419E-12</v>
      </c>
      <c r="H105" s="14">
        <v>0.2785987869258208</v>
      </c>
      <c r="I105" s="14">
        <v>0.99778366995396783</v>
      </c>
      <c r="J105" s="14">
        <v>0</v>
      </c>
      <c r="K105" s="14">
        <v>1.031099981137152</v>
      </c>
      <c r="L105" s="14">
        <v>0.96983805478994067</v>
      </c>
      <c r="M105" s="14">
        <v>0.79575212395514627</v>
      </c>
      <c r="N105" s="14">
        <v>0.89442626471912545</v>
      </c>
      <c r="O105" s="14">
        <v>176.37191513996433</v>
      </c>
      <c r="P105" s="8">
        <v>0.89442626471912545</v>
      </c>
      <c r="Q105" s="54">
        <v>2.0269189913744132E-2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0.93887172826053966</v>
      </c>
      <c r="F106" s="14">
        <v>0.9386920315927626</v>
      </c>
      <c r="G106" s="14">
        <v>6.0764136355988235E-12</v>
      </c>
      <c r="H106" s="14">
        <v>1.1527745156405715</v>
      </c>
      <c r="I106" s="14">
        <v>3.6853732576395761</v>
      </c>
      <c r="J106" s="14">
        <v>0</v>
      </c>
      <c r="K106" s="14">
        <v>1.0653121219141604</v>
      </c>
      <c r="L106" s="14">
        <v>0.9386920315927626</v>
      </c>
      <c r="M106" s="14">
        <v>0.77019681192186173</v>
      </c>
      <c r="N106" s="14">
        <v>1.0233484340856214</v>
      </c>
      <c r="O106" s="14">
        <v>163.91995217183484</v>
      </c>
      <c r="P106" s="8">
        <v>1.0233484340856214</v>
      </c>
      <c r="Q106" s="54">
        <v>4.0971463773930274E-2</v>
      </c>
    </row>
    <row r="107" spans="1:17">
      <c r="A107" s="2" t="s">
        <v>459</v>
      </c>
      <c r="B107" s="16" t="s">
        <v>460</v>
      </c>
      <c r="D107" s="14">
        <v>1</v>
      </c>
      <c r="E107" s="14">
        <v>0.41609701742321709</v>
      </c>
      <c r="F107" s="14">
        <v>8.3461080644707752E-2</v>
      </c>
      <c r="G107" s="14">
        <v>2.0296467475347046E-21</v>
      </c>
      <c r="H107" s="14">
        <v>804.6760914943352</v>
      </c>
      <c r="I107" s="14">
        <v>1303.9799267058152</v>
      </c>
      <c r="J107" s="14">
        <v>0</v>
      </c>
      <c r="K107" s="14">
        <v>11.981632543879718</v>
      </c>
      <c r="L107" s="14">
        <v>8.3461080644707752E-2</v>
      </c>
      <c r="M107" s="14">
        <v>6.8479816668982715E-2</v>
      </c>
      <c r="N107" s="14">
        <v>90.920052821857851</v>
      </c>
      <c r="O107" s="14">
        <v>48317.643671119913</v>
      </c>
      <c r="P107" s="8">
        <v>90.920052821857851</v>
      </c>
      <c r="Q107" s="54">
        <v>0.36835867826433166</v>
      </c>
    </row>
    <row r="108" spans="1:17">
      <c r="A108" s="2" t="s">
        <v>461</v>
      </c>
      <c r="B108" s="16" t="s">
        <v>462</v>
      </c>
      <c r="D108" s="14">
        <v>1</v>
      </c>
      <c r="E108" s="14">
        <v>0.99957847462055294</v>
      </c>
      <c r="F108" s="14">
        <v>0.99996740063034373</v>
      </c>
      <c r="G108" s="14">
        <v>1.2183237919861495E-11</v>
      </c>
      <c r="H108" s="14">
        <v>2.4894683734189588E-3</v>
      </c>
      <c r="I108" s="14">
        <v>6.6808206090433861E-4</v>
      </c>
      <c r="J108" s="14">
        <v>0</v>
      </c>
      <c r="K108" s="14">
        <v>1.0000326004324096</v>
      </c>
      <c r="L108" s="14">
        <v>0.99996740063034384</v>
      </c>
      <c r="M108" s="14">
        <v>0.82047325221719714</v>
      </c>
      <c r="N108" s="14">
        <v>0.87178027339729458</v>
      </c>
      <c r="O108" s="14">
        <v>112.59914011199456</v>
      </c>
      <c r="P108" s="8">
        <v>0.87178027339729458</v>
      </c>
      <c r="Q108" s="54">
        <v>3.7379183487014254E-5</v>
      </c>
    </row>
    <row r="109" spans="1:17">
      <c r="A109" s="2" t="s">
        <v>463</v>
      </c>
      <c r="B109" s="16" t="s">
        <v>464</v>
      </c>
      <c r="D109" s="14">
        <v>1</v>
      </c>
      <c r="E109" s="14">
        <v>0.97437364873908694</v>
      </c>
      <c r="F109" s="14">
        <v>0.96840606689206066</v>
      </c>
      <c r="G109" s="14">
        <v>3.2713857963132756E-14</v>
      </c>
      <c r="H109" s="14">
        <v>17.180115125552618</v>
      </c>
      <c r="I109" s="14">
        <v>7.9066726939215544</v>
      </c>
      <c r="J109" s="14">
        <v>0</v>
      </c>
      <c r="K109" s="14">
        <v>1.0326246749045416</v>
      </c>
      <c r="L109" s="14">
        <v>0.96840606689206077</v>
      </c>
      <c r="M109" s="14">
        <v>0.79457717788493587</v>
      </c>
      <c r="N109" s="14">
        <v>15.553942709404538</v>
      </c>
      <c r="O109" s="14">
        <v>4663.0720242794805</v>
      </c>
      <c r="P109" s="8">
        <v>15.55394270940454</v>
      </c>
      <c r="Q109" s="54">
        <v>1.2888244341012711E-2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0.99340092472441222</v>
      </c>
      <c r="F110" s="14">
        <v>0.99376164348318385</v>
      </c>
      <c r="G110" s="14">
        <v>2.3136029362100915E-13</v>
      </c>
      <c r="H110" s="14">
        <v>6.3674014227916909E-2</v>
      </c>
      <c r="I110" s="14">
        <v>0.11279513573704736</v>
      </c>
      <c r="J110" s="14">
        <v>0</v>
      </c>
      <c r="K110" s="14">
        <v>1.0062775179115893</v>
      </c>
      <c r="L110" s="14">
        <v>0.99376164348318385</v>
      </c>
      <c r="M110" s="14">
        <v>0.81538142847795236</v>
      </c>
      <c r="N110" s="14">
        <v>0.86855006332971674</v>
      </c>
      <c r="O110" s="14">
        <v>206.85388308260534</v>
      </c>
      <c r="P110" s="8">
        <v>0.86855006332971674</v>
      </c>
      <c r="Q110" s="54">
        <v>4.2081418540125164E-3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0.99962998922663104</v>
      </c>
      <c r="F111" s="14">
        <v>1.0000182432798501</v>
      </c>
      <c r="G111" s="14">
        <v>4.1115919782606458E-32</v>
      </c>
      <c r="H111" s="14">
        <v>4.5240554872863483E-3</v>
      </c>
      <c r="I111" s="14">
        <v>3.4606803489500913E-5</v>
      </c>
      <c r="J111" s="14">
        <v>0</v>
      </c>
      <c r="K111" s="14">
        <v>0.99998175705296111</v>
      </c>
      <c r="L111" s="14">
        <v>1.0000182432798501</v>
      </c>
      <c r="M111" s="14">
        <v>0.82051496861111706</v>
      </c>
      <c r="N111" s="14">
        <v>0.86764869865314531</v>
      </c>
      <c r="O111" s="14">
        <v>399.49149032086768</v>
      </c>
      <c r="P111" s="8">
        <v>0.86764869865314531</v>
      </c>
      <c r="Q111" s="54">
        <v>3.7788659558416181E-6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0.99156102096396204</v>
      </c>
      <c r="F112" s="14">
        <v>0.99193638180338417</v>
      </c>
      <c r="G112" s="14">
        <v>2.599215613185138E-15</v>
      </c>
      <c r="H112" s="14">
        <v>2.1959063744321949E-2</v>
      </c>
      <c r="I112" s="14">
        <v>9.4988491375696191E-2</v>
      </c>
      <c r="J112" s="14">
        <v>0</v>
      </c>
      <c r="K112" s="14">
        <v>1.0081291687093437</v>
      </c>
      <c r="L112" s="14">
        <v>0.99193638180338428</v>
      </c>
      <c r="M112" s="14">
        <v>0.81388380126967674</v>
      </c>
      <c r="N112" s="14">
        <v>0.86552385756231653</v>
      </c>
      <c r="O112" s="14">
        <v>177.64877176466547</v>
      </c>
      <c r="P112" s="8">
        <v>0.86552385756231653</v>
      </c>
      <c r="Q112" s="54">
        <v>5.4509348355487918E-3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0.95418180457816315</v>
      </c>
      <c r="F113" s="14">
        <v>0.95425356161590535</v>
      </c>
      <c r="G113" s="14">
        <v>3.2073937401093594E-11</v>
      </c>
      <c r="H113" s="14">
        <v>0.6256389659647883</v>
      </c>
      <c r="I113" s="14">
        <v>2.1085357087687533</v>
      </c>
      <c r="J113" s="14">
        <v>0</v>
      </c>
      <c r="K113" s="14">
        <v>1.0479394997558396</v>
      </c>
      <c r="L113" s="14">
        <v>0.95425356161590535</v>
      </c>
      <c r="M113" s="14">
        <v>0.78296504730585037</v>
      </c>
      <c r="N113" s="14">
        <v>0.94059261317680476</v>
      </c>
      <c r="O113" s="14">
        <v>142.1799794078058</v>
      </c>
      <c r="P113" s="8">
        <v>0.94059261317680476</v>
      </c>
      <c r="Q113" s="54">
        <v>3.066062195541254E-2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0.99544977589262795</v>
      </c>
      <c r="F114" s="14">
        <v>0.99583460918123956</v>
      </c>
      <c r="G114" s="14">
        <v>2.5512121528209991E-18</v>
      </c>
      <c r="H114" s="14">
        <v>6.3936258138355875E-3</v>
      </c>
      <c r="I114" s="14">
        <v>2.982479276739641E-2</v>
      </c>
      <c r="J114" s="14">
        <v>0</v>
      </c>
      <c r="K114" s="14">
        <v>1.0041828138732647</v>
      </c>
      <c r="L114" s="14">
        <v>0.99583460918123956</v>
      </c>
      <c r="M114" s="14">
        <v>0.8170822968332071</v>
      </c>
      <c r="N114" s="14">
        <v>0.86549182665482438</v>
      </c>
      <c r="O114" s="14">
        <v>293.71330629358118</v>
      </c>
      <c r="P114" s="8">
        <v>0.86549182665482438</v>
      </c>
      <c r="Q114" s="54">
        <v>2.8260343396193199E-3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0.99953491929358285</v>
      </c>
      <c r="F115" s="14">
        <v>0.99711946580033872</v>
      </c>
      <c r="G115" s="14">
        <v>1.3526990545115562E-14</v>
      </c>
      <c r="H115" s="14">
        <v>7.9690617974740974</v>
      </c>
      <c r="I115" s="14">
        <v>8.8379728535652666E-3</v>
      </c>
      <c r="J115" s="14">
        <v>0</v>
      </c>
      <c r="K115" s="14">
        <v>1.0028888556471507</v>
      </c>
      <c r="L115" s="14">
        <v>0.99711946580033872</v>
      </c>
      <c r="M115" s="14">
        <v>0.81813652168917794</v>
      </c>
      <c r="N115" s="14">
        <v>0.94274646963709907</v>
      </c>
      <c r="O115" s="14">
        <v>181.12987921137585</v>
      </c>
      <c r="P115" s="8">
        <v>0.94274646963709918</v>
      </c>
      <c r="Q115" s="54">
        <v>4.6660851867706187E-5</v>
      </c>
    </row>
    <row r="116" spans="1:17">
      <c r="A116" s="2" t="s">
        <v>477</v>
      </c>
      <c r="B116" s="16" t="s">
        <v>478</v>
      </c>
      <c r="D116" s="14">
        <v>1</v>
      </c>
      <c r="E116" s="14">
        <v>0.71936781776989156</v>
      </c>
      <c r="F116" s="14">
        <v>0.44267581678046675</v>
      </c>
      <c r="G116" s="14">
        <v>1.2298868460651278E-18</v>
      </c>
      <c r="H116" s="14">
        <v>768.2962317346246</v>
      </c>
      <c r="I116" s="14">
        <v>172.29546200863734</v>
      </c>
      <c r="J116" s="14">
        <v>0</v>
      </c>
      <c r="K116" s="14">
        <v>2.2589894502773875</v>
      </c>
      <c r="L116" s="14">
        <v>0.44267581678046675</v>
      </c>
      <c r="M116" s="14">
        <v>0.36321550766837302</v>
      </c>
      <c r="N116" s="14">
        <v>517.6773114011454</v>
      </c>
      <c r="O116" s="14">
        <v>235336.10576296074</v>
      </c>
      <c r="P116" s="8">
        <v>517.67731140114552</v>
      </c>
      <c r="Q116" s="54">
        <v>4.2665205223098419E-2</v>
      </c>
    </row>
    <row r="117" spans="1:17">
      <c r="A117" s="2" t="s">
        <v>291</v>
      </c>
      <c r="B117" s="16" t="s">
        <v>479</v>
      </c>
      <c r="D117" s="14">
        <v>1</v>
      </c>
      <c r="E117" s="14">
        <v>0.60996415213618771</v>
      </c>
      <c r="F117" s="14">
        <v>0.5838730233363324</v>
      </c>
      <c r="G117" s="14">
        <v>4.0264925298974076E-12</v>
      </c>
      <c r="H117" s="14">
        <v>59.799618041188609</v>
      </c>
      <c r="I117" s="14">
        <v>138.91705914897074</v>
      </c>
      <c r="J117" s="14">
        <v>0</v>
      </c>
      <c r="K117" s="14">
        <v>1.7127011525311779</v>
      </c>
      <c r="L117" s="14">
        <v>0.58387302333633251</v>
      </c>
      <c r="M117" s="14">
        <v>0.47906781564746082</v>
      </c>
      <c r="N117" s="14">
        <v>8.2018722351078814</v>
      </c>
      <c r="O117" s="14">
        <v>2528.883266250813</v>
      </c>
      <c r="P117" s="8">
        <v>8.2018722351078814</v>
      </c>
      <c r="Q117" s="54">
        <v>0.26094896628481073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2.6138432075447426E-8</v>
      </c>
      <c r="E2" s="20">
        <v>0.97632972866571799</v>
      </c>
      <c r="F2" s="20">
        <v>5.9862348037888769E-5</v>
      </c>
      <c r="G2" s="20">
        <v>2.402422037213304E-5</v>
      </c>
      <c r="H2" s="20">
        <v>0</v>
      </c>
      <c r="I2" s="20">
        <v>0.97624584209730791</v>
      </c>
      <c r="J2" s="20">
        <v>3.6992262257284897E-4</v>
      </c>
      <c r="K2" s="20">
        <v>2.330032257327707E-2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2.5078524599744523E-8</v>
      </c>
      <c r="E3" s="20">
        <v>0.61729750747870749</v>
      </c>
      <c r="F3" s="20">
        <v>2.3291921944516833E-2</v>
      </c>
      <c r="G3" s="20">
        <v>5.658398355255792E-3</v>
      </c>
      <c r="H3" s="20">
        <v>0</v>
      </c>
      <c r="I3" s="20">
        <v>0.58834718717893486</v>
      </c>
      <c r="J3" s="20">
        <v>4.4287657281869329E-3</v>
      </c>
      <c r="K3" s="20">
        <v>0.37827370171458097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1.3555780635968228E-17</v>
      </c>
      <c r="E4" s="20">
        <v>0.99954529844220263</v>
      </c>
      <c r="F4" s="20">
        <v>4.2033809097822895E-5</v>
      </c>
      <c r="G4" s="20">
        <v>4.6290768332154236E-8</v>
      </c>
      <c r="H4" s="20">
        <v>0</v>
      </c>
      <c r="I4" s="20">
        <v>0.99950321834233646</v>
      </c>
      <c r="J4" s="20">
        <v>4.3412337504607066E-4</v>
      </c>
      <c r="K4" s="20">
        <v>2.0578182751182123E-5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3.8024095490057391E-10</v>
      </c>
      <c r="E5" s="20">
        <v>0.99863774070827516</v>
      </c>
      <c r="F5" s="20">
        <v>7.5917477961218519E-2</v>
      </c>
      <c r="G5" s="20">
        <v>6.0256102595466933E-6</v>
      </c>
      <c r="H5" s="20">
        <v>0</v>
      </c>
      <c r="I5" s="20">
        <v>0.92271423713679712</v>
      </c>
      <c r="J5" s="20">
        <v>1.0463850654506284E-3</v>
      </c>
      <c r="K5" s="20">
        <v>3.1587384603335924E-4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4.7129102094799856E-11</v>
      </c>
      <c r="E6" s="20">
        <v>0.9963796074453074</v>
      </c>
      <c r="F6" s="20">
        <v>0.17123693984868729</v>
      </c>
      <c r="G6" s="20">
        <v>4.9658086879668693E-5</v>
      </c>
      <c r="H6" s="20">
        <v>0</v>
      </c>
      <c r="I6" s="20">
        <v>0.8250930095097404</v>
      </c>
      <c r="J6" s="20">
        <v>1.8310123607802103E-3</v>
      </c>
      <c r="K6" s="20">
        <v>1.7893801467834265E-3</v>
      </c>
      <c r="L6" s="20">
        <v>0</v>
      </c>
    </row>
    <row r="7" spans="1:14">
      <c r="A7" s="2" t="s">
        <v>366</v>
      </c>
      <c r="B7" s="3" t="s">
        <v>305</v>
      </c>
      <c r="D7" s="20">
        <v>8.0440228732281401E-7</v>
      </c>
      <c r="E7" s="20">
        <v>0.97725043595791161</v>
      </c>
      <c r="F7" s="20">
        <v>0.44021910400098285</v>
      </c>
      <c r="G7" s="20">
        <v>8.961154997697596E-4</v>
      </c>
      <c r="H7" s="20">
        <v>0</v>
      </c>
      <c r="I7" s="20">
        <v>0.536135216457159</v>
      </c>
      <c r="J7" s="20">
        <v>4.2528106171371999E-3</v>
      </c>
      <c r="K7" s="20">
        <v>1.8495949022663907E-2</v>
      </c>
      <c r="L7" s="20">
        <v>0</v>
      </c>
    </row>
    <row r="8" spans="1:14">
      <c r="A8" s="2" t="s">
        <v>289</v>
      </c>
      <c r="B8" s="3" t="s">
        <v>290</v>
      </c>
      <c r="D8" s="20">
        <v>3.7286557076555935E-17</v>
      </c>
      <c r="E8" s="20">
        <v>0.99645821027424586</v>
      </c>
      <c r="F8" s="20">
        <v>0.2493442513952614</v>
      </c>
      <c r="G8" s="20">
        <v>3.7916124892906856E-5</v>
      </c>
      <c r="H8" s="20">
        <v>0</v>
      </c>
      <c r="I8" s="20">
        <v>0.74707604275409156</v>
      </c>
      <c r="J8" s="20">
        <v>2.4147568733459256E-3</v>
      </c>
      <c r="K8" s="20">
        <v>1.1270328524082666E-3</v>
      </c>
      <c r="L8" s="20">
        <v>0</v>
      </c>
    </row>
    <row r="9" spans="1:14">
      <c r="A9" s="2" t="s">
        <v>291</v>
      </c>
      <c r="B9" s="3" t="s">
        <v>292</v>
      </c>
      <c r="D9" s="20">
        <v>7.3535380745546546E-13</v>
      </c>
      <c r="E9" s="20">
        <v>0.99778548040091863</v>
      </c>
      <c r="F9" s="20">
        <v>5.8683628729172876E-2</v>
      </c>
      <c r="G9" s="20">
        <v>2.224277196218294E-5</v>
      </c>
      <c r="H9" s="20">
        <v>0</v>
      </c>
      <c r="I9" s="20">
        <v>0.93907960889978359</v>
      </c>
      <c r="J9" s="20">
        <v>9.1104809820845008E-4</v>
      </c>
      <c r="K9" s="20">
        <v>1.3034715001375326E-3</v>
      </c>
      <c r="L9" s="20">
        <v>0</v>
      </c>
    </row>
    <row r="10" spans="1:14">
      <c r="A10" s="2" t="s">
        <v>367</v>
      </c>
      <c r="B10" s="3" t="s">
        <v>368</v>
      </c>
      <c r="D10" s="20">
        <v>6.6982956881601858E-5</v>
      </c>
      <c r="E10" s="20">
        <v>0.45250450999688885</v>
      </c>
      <c r="F10" s="20">
        <v>0.34445978796858795</v>
      </c>
      <c r="G10" s="20">
        <v>6.0163637420363097E-2</v>
      </c>
      <c r="H10" s="20">
        <v>0</v>
      </c>
      <c r="I10" s="20">
        <v>4.7881084607937774E-2</v>
      </c>
      <c r="J10" s="20">
        <v>3.8277372501546759E-2</v>
      </c>
      <c r="K10" s="20">
        <v>0.50915113454468275</v>
      </c>
      <c r="L10" s="20">
        <v>0</v>
      </c>
    </row>
    <row r="11" spans="1:14">
      <c r="A11" s="2" t="s">
        <v>369</v>
      </c>
      <c r="B11" s="3" t="s">
        <v>370</v>
      </c>
      <c r="D11" s="20">
        <v>3.4920241933625998E-11</v>
      </c>
      <c r="E11" s="20">
        <v>0.57000428503849021</v>
      </c>
      <c r="F11" s="20">
        <v>0.32728329162987502</v>
      </c>
      <c r="G11" s="20">
        <v>0.2391212687419379</v>
      </c>
      <c r="H11" s="20">
        <v>0</v>
      </c>
      <c r="I11" s="20">
        <v>3.5997246666772979E-3</v>
      </c>
      <c r="J11" s="20">
        <v>0.32602025816367625</v>
      </c>
      <c r="K11" s="20">
        <v>0.1039754567629133</v>
      </c>
      <c r="L11" s="20">
        <v>0</v>
      </c>
    </row>
    <row r="12" spans="1:14">
      <c r="A12" s="2" t="s">
        <v>371</v>
      </c>
      <c r="B12" s="3" t="s">
        <v>372</v>
      </c>
      <c r="D12" s="20">
        <v>7.4693928832904308E-2</v>
      </c>
      <c r="E12" s="20">
        <v>0.92078762229747957</v>
      </c>
      <c r="F12" s="20">
        <v>2.5791754851345899E-6</v>
      </c>
      <c r="G12" s="20">
        <v>1.278406020338429E-6</v>
      </c>
      <c r="H12" s="20">
        <v>0</v>
      </c>
      <c r="I12" s="20">
        <v>0.92078376471597412</v>
      </c>
      <c r="J12" s="20">
        <v>3.3647381695553664E-4</v>
      </c>
      <c r="K12" s="20">
        <v>4.1819750526607951E-3</v>
      </c>
      <c r="L12" s="20">
        <v>0</v>
      </c>
    </row>
    <row r="13" spans="1:14">
      <c r="A13" s="2" t="s">
        <v>293</v>
      </c>
      <c r="B13" s="3" t="s">
        <v>294</v>
      </c>
      <c r="D13" s="20">
        <v>2.0746211253752711E-8</v>
      </c>
      <c r="E13" s="20">
        <v>0.6441269217145732</v>
      </c>
      <c r="F13" s="20">
        <v>1.6642287135869568E-2</v>
      </c>
      <c r="G13" s="20">
        <v>4.2688271117976425E-3</v>
      </c>
      <c r="H13" s="20">
        <v>0</v>
      </c>
      <c r="I13" s="20">
        <v>0.62321580746690597</v>
      </c>
      <c r="J13" s="20">
        <v>2.835266783591619E-3</v>
      </c>
      <c r="K13" s="20">
        <v>0.35303779075562375</v>
      </c>
      <c r="L13" s="20">
        <v>0</v>
      </c>
    </row>
    <row r="14" spans="1:14">
      <c r="A14" s="2" t="s">
        <v>373</v>
      </c>
      <c r="B14" s="3" t="s">
        <v>374</v>
      </c>
      <c r="D14" s="20">
        <v>7.7822624461669857E-7</v>
      </c>
      <c r="E14" s="20">
        <v>0.97838812516739182</v>
      </c>
      <c r="F14" s="20">
        <v>0.8968206767389918</v>
      </c>
      <c r="G14" s="20">
        <v>1.4049836261606301E-3</v>
      </c>
      <c r="H14" s="20">
        <v>0</v>
      </c>
      <c r="I14" s="20">
        <v>8.0162464802239389E-2</v>
      </c>
      <c r="J14" s="20">
        <v>1.4518848932854033E-2</v>
      </c>
      <c r="K14" s="20">
        <v>7.0922476735094785E-3</v>
      </c>
      <c r="L14" s="20">
        <v>0</v>
      </c>
    </row>
    <row r="15" spans="1:14">
      <c r="A15" s="2" t="s">
        <v>375</v>
      </c>
      <c r="B15" s="3" t="s">
        <v>376</v>
      </c>
      <c r="D15" s="20">
        <v>8.6857891889766226E-2</v>
      </c>
      <c r="E15" s="20">
        <v>0.78268876565685941</v>
      </c>
      <c r="F15" s="20">
        <v>1.9855622136657198E-3</v>
      </c>
      <c r="G15" s="20">
        <v>6.0559050146173025E-4</v>
      </c>
      <c r="H15" s="20">
        <v>0</v>
      </c>
      <c r="I15" s="20">
        <v>0.78009761294173197</v>
      </c>
      <c r="J15" s="20">
        <v>6.4826361239419216E-4</v>
      </c>
      <c r="K15" s="20">
        <v>0.12980507884098011</v>
      </c>
      <c r="L15" s="20">
        <v>0</v>
      </c>
    </row>
    <row r="16" spans="1:14">
      <c r="A16" s="2" t="s">
        <v>377</v>
      </c>
      <c r="B16" s="3" t="s">
        <v>378</v>
      </c>
      <c r="D16" s="20">
        <v>8.0986764721201025E-4</v>
      </c>
      <c r="E16" s="20">
        <v>0.62090745886896859</v>
      </c>
      <c r="F16" s="20">
        <v>1.945755491823303E-2</v>
      </c>
      <c r="G16" s="20">
        <v>4.9179467302011264E-3</v>
      </c>
      <c r="H16" s="20">
        <v>0</v>
      </c>
      <c r="I16" s="20">
        <v>0.59653195722053443</v>
      </c>
      <c r="J16" s="20">
        <v>3.2263856482757304E-3</v>
      </c>
      <c r="K16" s="20">
        <v>0.37505628783554346</v>
      </c>
      <c r="L16" s="20">
        <v>0</v>
      </c>
    </row>
    <row r="17" spans="1:12">
      <c r="A17" s="2" t="s">
        <v>379</v>
      </c>
      <c r="B17" s="3" t="s">
        <v>380</v>
      </c>
      <c r="D17" s="20">
        <v>2.394637328440483E-3</v>
      </c>
      <c r="E17" s="20">
        <v>0.63412128671386747</v>
      </c>
      <c r="F17" s="20">
        <v>1.7616270204735572E-2</v>
      </c>
      <c r="G17" s="20">
        <v>4.4937563189530703E-3</v>
      </c>
      <c r="H17" s="20">
        <v>0</v>
      </c>
      <c r="I17" s="20">
        <v>0.61201126019017882</v>
      </c>
      <c r="J17" s="20">
        <v>2.9700639748117623E-3</v>
      </c>
      <c r="K17" s="20">
        <v>0.36051401198288024</v>
      </c>
      <c r="L17" s="20">
        <v>0</v>
      </c>
    </row>
    <row r="18" spans="1:12">
      <c r="A18" s="2" t="s">
        <v>381</v>
      </c>
      <c r="B18" s="3" t="s">
        <v>382</v>
      </c>
      <c r="D18" s="20">
        <v>1.9507937117268431E-7</v>
      </c>
      <c r="E18" s="20">
        <v>0.41991615264836746</v>
      </c>
      <c r="F18" s="20">
        <v>0.11237910315943431</v>
      </c>
      <c r="G18" s="20">
        <v>0.30449566720741661</v>
      </c>
      <c r="H18" s="20">
        <v>0</v>
      </c>
      <c r="I18" s="20">
        <v>3.0413822815165449E-3</v>
      </c>
      <c r="J18" s="20">
        <v>0.20033718024418104</v>
      </c>
      <c r="K18" s="20">
        <v>0.37974647202808037</v>
      </c>
      <c r="L18" s="20">
        <v>0</v>
      </c>
    </row>
    <row r="19" spans="1:12">
      <c r="A19" s="2" t="s">
        <v>383</v>
      </c>
      <c r="B19" s="3" t="s">
        <v>384</v>
      </c>
      <c r="D19" s="20">
        <v>1.1818924310133455E-2</v>
      </c>
      <c r="E19" s="20">
        <v>0.91083493082404876</v>
      </c>
      <c r="F19" s="20">
        <v>6.3103313791326146E-4</v>
      </c>
      <c r="G19" s="20">
        <v>2.1181061521040364E-4</v>
      </c>
      <c r="H19" s="20">
        <v>0</v>
      </c>
      <c r="I19" s="20">
        <v>0.90999208707092505</v>
      </c>
      <c r="J19" s="20">
        <v>4.5782832387116141E-4</v>
      </c>
      <c r="K19" s="20">
        <v>7.6888316541946666E-2</v>
      </c>
      <c r="L19" s="20">
        <v>0</v>
      </c>
    </row>
    <row r="20" spans="1:12">
      <c r="A20" s="2" t="s">
        <v>385</v>
      </c>
      <c r="B20" s="3" t="s">
        <v>386</v>
      </c>
      <c r="D20" s="20">
        <v>2.219836416390843E-2</v>
      </c>
      <c r="E20" s="20">
        <v>0.87503034103177768</v>
      </c>
      <c r="F20" s="20">
        <v>1.1318664488236935E-3</v>
      </c>
      <c r="G20" s="20">
        <v>3.6281960149135229E-4</v>
      </c>
      <c r="H20" s="20">
        <v>0</v>
      </c>
      <c r="I20" s="20">
        <v>0.87353565498146268</v>
      </c>
      <c r="J20" s="20">
        <v>5.3540704099132698E-4</v>
      </c>
      <c r="K20" s="20">
        <v>0.10223588776332257</v>
      </c>
      <c r="L20" s="20">
        <v>0</v>
      </c>
    </row>
    <row r="21" spans="1:12">
      <c r="A21" s="2" t="s">
        <v>387</v>
      </c>
      <c r="B21" s="3" t="s">
        <v>388</v>
      </c>
      <c r="D21" s="20">
        <v>7.1160269307595251E-3</v>
      </c>
      <c r="E21" s="20">
        <v>0.72105805229299957</v>
      </c>
      <c r="F21" s="20">
        <v>0.30215834397696612</v>
      </c>
      <c r="G21" s="20">
        <v>1.2194212355940138E-2</v>
      </c>
      <c r="H21" s="20">
        <v>0</v>
      </c>
      <c r="I21" s="20">
        <v>0.40670549596009337</v>
      </c>
      <c r="J21" s="20">
        <v>9.7263049854714612E-3</v>
      </c>
      <c r="K21" s="20">
        <v>0.2620996157907694</v>
      </c>
      <c r="L21" s="20">
        <v>0</v>
      </c>
    </row>
    <row r="22" spans="1:12">
      <c r="A22" s="2" t="s">
        <v>295</v>
      </c>
      <c r="B22" s="3" t="s">
        <v>296</v>
      </c>
      <c r="D22" s="20">
        <v>6.5404773899846655E-2</v>
      </c>
      <c r="E22" s="20">
        <v>0.90472433771255123</v>
      </c>
      <c r="F22" s="20">
        <v>1.0108428966006225E-4</v>
      </c>
      <c r="G22" s="20">
        <v>3.8813179337236836E-5</v>
      </c>
      <c r="H22" s="20">
        <v>0</v>
      </c>
      <c r="I22" s="20">
        <v>0.90458444024355389</v>
      </c>
      <c r="J22" s="20">
        <v>3.5255391140818311E-4</v>
      </c>
      <c r="K22" s="20">
        <v>2.9518334476193935E-2</v>
      </c>
      <c r="L22" s="20">
        <v>0</v>
      </c>
    </row>
    <row r="23" spans="1:12">
      <c r="A23" s="2" t="s">
        <v>389</v>
      </c>
      <c r="B23" s="3" t="s">
        <v>390</v>
      </c>
      <c r="D23" s="20">
        <v>7.1503652289133302E-2</v>
      </c>
      <c r="E23" s="20">
        <v>0.75652349290562049</v>
      </c>
      <c r="F23" s="20">
        <v>3.4882085343159496E-3</v>
      </c>
      <c r="G23" s="20">
        <v>1.0178833153504979E-3</v>
      </c>
      <c r="H23" s="20">
        <v>0</v>
      </c>
      <c r="I23" s="20">
        <v>0.75201740105595405</v>
      </c>
      <c r="J23" s="20">
        <v>8.8837003544819503E-4</v>
      </c>
      <c r="K23" s="20">
        <v>0.17108448476979807</v>
      </c>
      <c r="L23" s="20">
        <v>0</v>
      </c>
    </row>
    <row r="24" spans="1:12">
      <c r="A24" s="2" t="s">
        <v>391</v>
      </c>
      <c r="B24" s="3" t="s">
        <v>392</v>
      </c>
      <c r="D24" s="20">
        <v>2.6410309376929736E-3</v>
      </c>
      <c r="E24" s="20">
        <v>0.54848859125879512</v>
      </c>
      <c r="F24" s="20">
        <v>3.1077616528700301E-2</v>
      </c>
      <c r="G24" s="20">
        <v>7.5014161465032465E-3</v>
      </c>
      <c r="H24" s="20">
        <v>0</v>
      </c>
      <c r="I24" s="20">
        <v>0.50990955858359155</v>
      </c>
      <c r="J24" s="20">
        <v>4.7958225886330893E-3</v>
      </c>
      <c r="K24" s="20">
        <v>0.44407455521487882</v>
      </c>
      <c r="L24" s="20">
        <v>0</v>
      </c>
    </row>
    <row r="25" spans="1:12">
      <c r="A25" s="2" t="s">
        <v>393</v>
      </c>
      <c r="B25" s="3" t="s">
        <v>394</v>
      </c>
      <c r="D25" s="20">
        <v>8.7971209184308083E-4</v>
      </c>
      <c r="E25" s="20">
        <v>0.40941173741759457</v>
      </c>
      <c r="F25" s="20">
        <v>0.13128489960132972</v>
      </c>
      <c r="G25" s="20">
        <v>0.27397461905906534</v>
      </c>
      <c r="H25" s="20">
        <v>0</v>
      </c>
      <c r="I25" s="20">
        <v>4.1522187571994881E-3</v>
      </c>
      <c r="J25" s="20">
        <v>0.17967163081615561</v>
      </c>
      <c r="K25" s="20">
        <v>0.4100369196744067</v>
      </c>
      <c r="L25" s="20">
        <v>0</v>
      </c>
    </row>
    <row r="26" spans="1:12">
      <c r="A26" s="2" t="s">
        <v>395</v>
      </c>
      <c r="B26" s="3" t="s">
        <v>396</v>
      </c>
      <c r="D26" s="20">
        <v>0.22726519822149974</v>
      </c>
      <c r="E26" s="20">
        <v>0.31325133364013186</v>
      </c>
      <c r="F26" s="20">
        <v>6.5464695315656143E-2</v>
      </c>
      <c r="G26" s="20">
        <v>1.412221133504001E-2</v>
      </c>
      <c r="H26" s="20">
        <v>0</v>
      </c>
      <c r="I26" s="20">
        <v>0.23366442698943571</v>
      </c>
      <c r="J26" s="20">
        <v>8.8584112834654768E-3</v>
      </c>
      <c r="K26" s="20">
        <v>0.45062505685490284</v>
      </c>
      <c r="L26" s="20">
        <v>0</v>
      </c>
    </row>
    <row r="27" spans="1:12">
      <c r="A27" s="2" t="s">
        <v>397</v>
      </c>
      <c r="B27" s="3" t="s">
        <v>398</v>
      </c>
      <c r="D27" s="20">
        <v>0.82717172048463405</v>
      </c>
      <c r="E27" s="20">
        <v>6.3634247654743986E-2</v>
      </c>
      <c r="F27" s="20">
        <v>3.4855385721288268E-2</v>
      </c>
      <c r="G27" s="20">
        <v>6.6216382135661491E-3</v>
      </c>
      <c r="H27" s="20">
        <v>0</v>
      </c>
      <c r="I27" s="20">
        <v>2.2157223719889565E-2</v>
      </c>
      <c r="J27" s="20">
        <v>4.1725651986358955E-3</v>
      </c>
      <c r="K27" s="20">
        <v>0.10502146666198617</v>
      </c>
      <c r="L27" s="20">
        <v>0</v>
      </c>
    </row>
    <row r="28" spans="1:12">
      <c r="A28" s="2" t="s">
        <v>399</v>
      </c>
      <c r="B28" s="3" t="s">
        <v>400</v>
      </c>
      <c r="D28" s="20">
        <v>0.87328745653754725</v>
      </c>
      <c r="E28" s="20">
        <v>4.8932301641022205E-2</v>
      </c>
      <c r="F28" s="20">
        <v>1.2913127439854788E-2</v>
      </c>
      <c r="G28" s="20">
        <v>2.7197375192679831E-3</v>
      </c>
      <c r="H28" s="20">
        <v>0</v>
      </c>
      <c r="I28" s="20">
        <v>3.3299436681899434E-2</v>
      </c>
      <c r="J28" s="20">
        <v>1.7056513659127071E-3</v>
      </c>
      <c r="K28" s="20">
        <v>7.6074590455517524E-2</v>
      </c>
      <c r="L28" s="20">
        <v>0</v>
      </c>
    </row>
    <row r="29" spans="1:12">
      <c r="A29" s="2" t="s">
        <v>297</v>
      </c>
      <c r="B29" s="3" t="s">
        <v>298</v>
      </c>
      <c r="D29" s="20">
        <v>0.93247720360969788</v>
      </c>
      <c r="E29" s="20">
        <v>5.9558925477829441E-2</v>
      </c>
      <c r="F29" s="20">
        <v>9.8880906283649122E-5</v>
      </c>
      <c r="G29" s="20">
        <v>3.1117736118498859E-5</v>
      </c>
      <c r="H29" s="20">
        <v>0</v>
      </c>
      <c r="I29" s="20">
        <v>5.9428926835427297E-2</v>
      </c>
      <c r="J29" s="20">
        <v>4.0305926814625075E-5</v>
      </c>
      <c r="K29" s="20">
        <v>7.9235649856582331E-3</v>
      </c>
      <c r="L29" s="20">
        <v>0</v>
      </c>
    </row>
    <row r="30" spans="1:12">
      <c r="A30" s="2" t="s">
        <v>401</v>
      </c>
      <c r="B30" s="3" t="s">
        <v>402</v>
      </c>
      <c r="D30" s="20">
        <v>0.95357572697946247</v>
      </c>
      <c r="E30" s="20">
        <v>1.811153392726032E-2</v>
      </c>
      <c r="F30" s="20">
        <v>4.5376333655245821E-3</v>
      </c>
      <c r="G30" s="20">
        <v>9.6100347469286584E-4</v>
      </c>
      <c r="H30" s="20">
        <v>0</v>
      </c>
      <c r="I30" s="20">
        <v>1.2612897087042871E-2</v>
      </c>
      <c r="J30" s="20">
        <v>6.0267128695609283E-4</v>
      </c>
      <c r="K30" s="20">
        <v>2.7710067806321233E-2</v>
      </c>
      <c r="L30" s="20">
        <v>0</v>
      </c>
    </row>
    <row r="31" spans="1:12">
      <c r="A31" s="2" t="s">
        <v>299</v>
      </c>
      <c r="B31" s="3" t="s">
        <v>300</v>
      </c>
      <c r="D31" s="20">
        <v>0.99881078992801864</v>
      </c>
      <c r="E31" s="20">
        <v>5.3653889820228146E-4</v>
      </c>
      <c r="F31" s="20">
        <v>7.0885505406206628E-5</v>
      </c>
      <c r="G31" s="20">
        <v>1.5953390491193001E-5</v>
      </c>
      <c r="H31" s="20">
        <v>0</v>
      </c>
      <c r="I31" s="20">
        <v>4.497000023048818E-4</v>
      </c>
      <c r="J31" s="20">
        <v>1.003432242313126E-5</v>
      </c>
      <c r="K31" s="20">
        <v>6.4263685135584208E-4</v>
      </c>
      <c r="L31" s="20">
        <v>0</v>
      </c>
    </row>
    <row r="32" spans="1:12">
      <c r="A32" s="2" t="s">
        <v>343</v>
      </c>
      <c r="B32" s="3" t="s">
        <v>344</v>
      </c>
      <c r="D32" s="20">
        <v>2.2637651366590092E-3</v>
      </c>
      <c r="E32" s="20">
        <v>0.66771634863568041</v>
      </c>
      <c r="F32" s="20">
        <v>1.386454373746163E-2</v>
      </c>
      <c r="G32" s="20">
        <v>3.6157728340192171E-3</v>
      </c>
      <c r="H32" s="20">
        <v>0</v>
      </c>
      <c r="I32" s="20">
        <v>0.65023603206419955</v>
      </c>
      <c r="J32" s="20">
        <v>2.4426095619651685E-3</v>
      </c>
      <c r="K32" s="20">
        <v>0.32757727666569525</v>
      </c>
      <c r="L32" s="20">
        <v>0</v>
      </c>
    </row>
    <row r="33" spans="1:12">
      <c r="A33" s="2" t="s">
        <v>345</v>
      </c>
      <c r="B33" s="3" t="s">
        <v>346</v>
      </c>
      <c r="D33" s="20">
        <v>8.921425978451175E-5</v>
      </c>
      <c r="E33" s="20">
        <v>0.76817762964348113</v>
      </c>
      <c r="F33" s="20">
        <v>6.113761480597329E-3</v>
      </c>
      <c r="G33" s="20">
        <v>1.7131841459968474E-3</v>
      </c>
      <c r="H33" s="20">
        <v>0</v>
      </c>
      <c r="I33" s="20">
        <v>0.76035068401688699</v>
      </c>
      <c r="J33" s="20">
        <v>1.3150104047027127E-3</v>
      </c>
      <c r="K33" s="20">
        <v>0.23041814569203151</v>
      </c>
      <c r="L33" s="20">
        <v>0</v>
      </c>
    </row>
    <row r="34" spans="1:12">
      <c r="A34" s="2" t="s">
        <v>347</v>
      </c>
      <c r="B34" s="3" t="s">
        <v>348</v>
      </c>
      <c r="D34" s="20">
        <v>1.3327100688871661E-4</v>
      </c>
      <c r="E34" s="20">
        <v>0.41590884779084863</v>
      </c>
      <c r="F34" s="20">
        <v>7.7519309179355206E-2</v>
      </c>
      <c r="G34" s="20">
        <v>1.6908514301676496E-2</v>
      </c>
      <c r="H34" s="20">
        <v>0</v>
      </c>
      <c r="I34" s="20">
        <v>0.32148102430981695</v>
      </c>
      <c r="J34" s="20">
        <v>1.0610174517110408E-2</v>
      </c>
      <c r="K34" s="20">
        <v>0.57334770668515223</v>
      </c>
      <c r="L34" s="20">
        <v>0</v>
      </c>
    </row>
    <row r="35" spans="1:12">
      <c r="A35" s="2" t="s">
        <v>349</v>
      </c>
      <c r="B35" s="3" t="s">
        <v>350</v>
      </c>
      <c r="D35" s="20">
        <v>4.9149700110951919E-2</v>
      </c>
      <c r="E35" s="20">
        <v>0.38058565889390439</v>
      </c>
      <c r="F35" s="20">
        <v>0.25715506764685309</v>
      </c>
      <c r="G35" s="20">
        <v>4.6226460630332512E-2</v>
      </c>
      <c r="H35" s="20">
        <v>0</v>
      </c>
      <c r="I35" s="20">
        <v>7.7204130616718769E-2</v>
      </c>
      <c r="J35" s="20">
        <v>2.9257156765231235E-2</v>
      </c>
      <c r="K35" s="20">
        <v>0.54100748422991241</v>
      </c>
      <c r="L35" s="20">
        <v>0</v>
      </c>
    </row>
    <row r="36" spans="1:12">
      <c r="A36" s="2" t="s">
        <v>351</v>
      </c>
      <c r="B36" s="3" t="s">
        <v>352</v>
      </c>
      <c r="D36" s="20">
        <v>1.5790109391826195E-3</v>
      </c>
      <c r="E36" s="20">
        <v>0.40255582902799508</v>
      </c>
      <c r="F36" s="20">
        <v>0.26149257013684107</v>
      </c>
      <c r="G36" s="20">
        <v>0.12071324063087931</v>
      </c>
      <c r="H36" s="20">
        <v>0</v>
      </c>
      <c r="I36" s="20">
        <v>2.0350018260274695E-2</v>
      </c>
      <c r="J36" s="20">
        <v>7.7700798582720013E-2</v>
      </c>
      <c r="K36" s="20">
        <v>0.51816436145010214</v>
      </c>
      <c r="L36" s="20">
        <v>0</v>
      </c>
    </row>
    <row r="37" spans="1:12">
      <c r="A37" s="2" t="s">
        <v>353</v>
      </c>
      <c r="B37" s="3" t="s">
        <v>354</v>
      </c>
      <c r="D37" s="20">
        <v>1.1301141689243987E-2</v>
      </c>
      <c r="E37" s="20">
        <v>0.41220052014209091</v>
      </c>
      <c r="F37" s="20">
        <v>0.11617068090197687</v>
      </c>
      <c r="G37" s="20">
        <v>0.29274675531666461</v>
      </c>
      <c r="H37" s="20">
        <v>0</v>
      </c>
      <c r="I37" s="20">
        <v>3.2830839234494137E-3</v>
      </c>
      <c r="J37" s="20">
        <v>0.1924333476766813</v>
      </c>
      <c r="K37" s="20">
        <v>0.38406499049198384</v>
      </c>
      <c r="L37" s="20">
        <v>0</v>
      </c>
    </row>
    <row r="38" spans="1:12">
      <c r="A38" s="2" t="s">
        <v>355</v>
      </c>
      <c r="B38" s="3" t="s">
        <v>356</v>
      </c>
      <c r="D38" s="20">
        <v>5.9003788491654614E-4</v>
      </c>
      <c r="E38" s="20">
        <v>0.39337791335165695</v>
      </c>
      <c r="F38" s="20">
        <v>0.20670648998720823</v>
      </c>
      <c r="G38" s="20">
        <v>0.17548890649384208</v>
      </c>
      <c r="H38" s="20">
        <v>0</v>
      </c>
      <c r="I38" s="20">
        <v>1.1182516870606625E-2</v>
      </c>
      <c r="J38" s="20">
        <v>0.11380860070111989</v>
      </c>
      <c r="K38" s="20">
        <v>0.49222344806230667</v>
      </c>
      <c r="L38" s="20">
        <v>0</v>
      </c>
    </row>
    <row r="39" spans="1:12">
      <c r="A39" s="2" t="s">
        <v>357</v>
      </c>
      <c r="B39" s="3" t="s">
        <v>358</v>
      </c>
      <c r="D39" s="20">
        <v>0.10904526288467661</v>
      </c>
      <c r="E39" s="20">
        <v>0.35520239961043526</v>
      </c>
      <c r="F39" s="20">
        <v>0.21932140466947003</v>
      </c>
      <c r="G39" s="20">
        <v>0.12049709422795483</v>
      </c>
      <c r="H39" s="20">
        <v>0</v>
      </c>
      <c r="I39" s="20">
        <v>1.5383900713010379E-2</v>
      </c>
      <c r="J39" s="20">
        <v>7.7727315098214678E-2</v>
      </c>
      <c r="K39" s="20">
        <v>0.45802502240667342</v>
      </c>
      <c r="L39" s="20">
        <v>0</v>
      </c>
    </row>
    <row r="40" spans="1:12">
      <c r="A40" s="2" t="s">
        <v>359</v>
      </c>
      <c r="B40" s="3" t="s">
        <v>360</v>
      </c>
      <c r="D40" s="20">
        <v>5.9003788491654614E-4</v>
      </c>
      <c r="E40" s="20">
        <v>0.39337791335165695</v>
      </c>
      <c r="F40" s="20">
        <v>0.20670648998720823</v>
      </c>
      <c r="G40" s="20">
        <v>0.17548890649384208</v>
      </c>
      <c r="H40" s="20">
        <v>0</v>
      </c>
      <c r="I40" s="20">
        <v>1.1182516870606625E-2</v>
      </c>
      <c r="J40" s="20">
        <v>0.11380860070111989</v>
      </c>
      <c r="K40" s="20">
        <v>0.49222344806230667</v>
      </c>
      <c r="L40" s="20">
        <v>0</v>
      </c>
    </row>
    <row r="41" spans="1:12">
      <c r="A41" s="2" t="s">
        <v>313</v>
      </c>
      <c r="B41" s="3" t="s">
        <v>314</v>
      </c>
      <c r="D41" s="20">
        <v>5.829341493796528E-8</v>
      </c>
      <c r="E41" s="20">
        <v>0.99939652181888161</v>
      </c>
      <c r="F41" s="20">
        <v>4.7305465569556131E-3</v>
      </c>
      <c r="G41" s="20">
        <v>1.1257238593314297E-6</v>
      </c>
      <c r="H41" s="20">
        <v>0</v>
      </c>
      <c r="I41" s="20">
        <v>0.99466484953806666</v>
      </c>
      <c r="J41" s="20">
        <v>4.1611698775610077E-4</v>
      </c>
      <c r="K41" s="20">
        <v>1.8730289994727648E-4</v>
      </c>
      <c r="L41" s="20">
        <v>0</v>
      </c>
    </row>
    <row r="42" spans="1:12">
      <c r="A42" s="2" t="s">
        <v>315</v>
      </c>
      <c r="B42" s="3" t="s">
        <v>316</v>
      </c>
      <c r="D42" s="20">
        <v>1.6332762190431817E-2</v>
      </c>
      <c r="E42" s="20">
        <v>0.41305784256630473</v>
      </c>
      <c r="F42" s="20">
        <v>0.11054366355714564</v>
      </c>
      <c r="G42" s="20">
        <v>0.29952247031755613</v>
      </c>
      <c r="H42" s="20">
        <v>0</v>
      </c>
      <c r="I42" s="20">
        <v>2.9917086916029928E-3</v>
      </c>
      <c r="J42" s="20">
        <v>0.19706515916469849</v>
      </c>
      <c r="K42" s="20">
        <v>0.37354423607856496</v>
      </c>
      <c r="L42" s="20">
        <v>0</v>
      </c>
    </row>
    <row r="43" spans="1:12">
      <c r="A43" s="2" t="s">
        <v>317</v>
      </c>
      <c r="B43" s="3" t="s">
        <v>318</v>
      </c>
      <c r="D43" s="20">
        <v>6.0949009290639468E-12</v>
      </c>
      <c r="E43" s="20">
        <v>0.533141700922655</v>
      </c>
      <c r="F43" s="20">
        <v>3.4708901231248777E-2</v>
      </c>
      <c r="G43" s="20">
        <v>8.2858376750972566E-3</v>
      </c>
      <c r="H43" s="20">
        <v>0</v>
      </c>
      <c r="I43" s="20">
        <v>0.49014696201630897</v>
      </c>
      <c r="J43" s="20">
        <v>5.2761004299182847E-3</v>
      </c>
      <c r="K43" s="20">
        <v>0.46158219864133176</v>
      </c>
      <c r="L43" s="20">
        <v>0</v>
      </c>
    </row>
    <row r="44" spans="1:12">
      <c r="A44" s="2" t="s">
        <v>307</v>
      </c>
      <c r="B44" s="3" t="s">
        <v>308</v>
      </c>
      <c r="D44" s="20">
        <v>5.3753505949541425E-4</v>
      </c>
      <c r="E44" s="20">
        <v>0.42168667101899043</v>
      </c>
      <c r="F44" s="20">
        <v>0.30274781001078216</v>
      </c>
      <c r="G44" s="20">
        <v>8.7857039660087316E-2</v>
      </c>
      <c r="H44" s="20">
        <v>0</v>
      </c>
      <c r="I44" s="20">
        <v>3.1081821348120941E-2</v>
      </c>
      <c r="J44" s="20">
        <v>5.6233904284351356E-2</v>
      </c>
      <c r="K44" s="20">
        <v>0.52154188963716297</v>
      </c>
      <c r="L44" s="20">
        <v>0</v>
      </c>
    </row>
    <row r="45" spans="1:12">
      <c r="A45" s="2" t="s">
        <v>319</v>
      </c>
      <c r="B45" s="3" t="s">
        <v>320</v>
      </c>
      <c r="D45" s="20">
        <v>5.7053919209499848E-5</v>
      </c>
      <c r="E45" s="20">
        <v>0.44826405824745968</v>
      </c>
      <c r="F45" s="20">
        <v>7.5589191070423556E-2</v>
      </c>
      <c r="G45" s="20">
        <v>0.37124041806064961</v>
      </c>
      <c r="H45" s="20">
        <v>0</v>
      </c>
      <c r="I45" s="20">
        <v>1.4344491163864885E-3</v>
      </c>
      <c r="J45" s="20">
        <v>0.24606866072246503</v>
      </c>
      <c r="K45" s="20">
        <v>0.30561022711086594</v>
      </c>
      <c r="L45" s="20">
        <v>0</v>
      </c>
    </row>
    <row r="46" spans="1:12">
      <c r="A46" s="2" t="s">
        <v>321</v>
      </c>
      <c r="B46" s="3" t="s">
        <v>322</v>
      </c>
      <c r="D46" s="20">
        <v>8.0218583194332789E-5</v>
      </c>
      <c r="E46" s="20">
        <v>0.42365316390769103</v>
      </c>
      <c r="F46" s="20">
        <v>0.10640185566187942</v>
      </c>
      <c r="G46" s="20">
        <v>0.31451745843696982</v>
      </c>
      <c r="H46" s="20">
        <v>0</v>
      </c>
      <c r="I46" s="20">
        <v>2.7338498088417913E-3</v>
      </c>
      <c r="J46" s="20">
        <v>0.20715527741238021</v>
      </c>
      <c r="K46" s="20">
        <v>0.36911134009673446</v>
      </c>
      <c r="L46" s="20">
        <v>0</v>
      </c>
    </row>
    <row r="47" spans="1:12">
      <c r="A47" s="2" t="s">
        <v>323</v>
      </c>
      <c r="B47" s="3" t="s">
        <v>324</v>
      </c>
      <c r="D47" s="20">
        <v>7.2141632608510933E-4</v>
      </c>
      <c r="E47" s="20">
        <v>0.40073419029751645</v>
      </c>
      <c r="F47" s="20">
        <v>0.1541914105242537</v>
      </c>
      <c r="G47" s="20">
        <v>0.24074414666430419</v>
      </c>
      <c r="H47" s="20">
        <v>0</v>
      </c>
      <c r="I47" s="20">
        <v>5.7986331089585532E-3</v>
      </c>
      <c r="J47" s="20">
        <v>0.15731100608107781</v>
      </c>
      <c r="K47" s="20">
        <v>0.4412333872953208</v>
      </c>
      <c r="L47" s="20">
        <v>0</v>
      </c>
    </row>
    <row r="48" spans="1:12">
      <c r="A48" s="2" t="s">
        <v>325</v>
      </c>
      <c r="B48" s="3" t="s">
        <v>326</v>
      </c>
      <c r="D48" s="20">
        <v>2.8022999949093685E-4</v>
      </c>
      <c r="E48" s="20">
        <v>0.36217322216721293</v>
      </c>
      <c r="F48" s="20">
        <v>0.16511587901526378</v>
      </c>
      <c r="G48" s="20">
        <v>3.2425329371311283E-2</v>
      </c>
      <c r="H48" s="20">
        <v>0</v>
      </c>
      <c r="I48" s="20">
        <v>0.16463201378063785</v>
      </c>
      <c r="J48" s="20">
        <v>2.0387604455735734E-2</v>
      </c>
      <c r="K48" s="20">
        <v>0.61715894337756039</v>
      </c>
      <c r="L48" s="20">
        <v>0</v>
      </c>
    </row>
    <row r="49" spans="1:12">
      <c r="A49" s="2" t="s">
        <v>275</v>
      </c>
      <c r="B49" s="3" t="s">
        <v>276</v>
      </c>
      <c r="D49" s="20">
        <v>6.8787624146033995E-6</v>
      </c>
      <c r="E49" s="20">
        <v>0.41768763137498532</v>
      </c>
      <c r="F49" s="20">
        <v>0.29538233856525259</v>
      </c>
      <c r="G49" s="20">
        <v>9.3514741972544474E-2</v>
      </c>
      <c r="H49" s="20">
        <v>0</v>
      </c>
      <c r="I49" s="20">
        <v>2.8790550837188258E-2</v>
      </c>
      <c r="J49" s="20">
        <v>5.9918069125794303E-2</v>
      </c>
      <c r="K49" s="20">
        <v>0.52238742073680577</v>
      </c>
      <c r="L49" s="20">
        <v>0</v>
      </c>
    </row>
    <row r="50" spans="1:12">
      <c r="A50" s="2" t="s">
        <v>327</v>
      </c>
      <c r="B50" s="3" t="s">
        <v>328</v>
      </c>
      <c r="D50" s="20">
        <v>3.5581340024754248E-4</v>
      </c>
      <c r="E50" s="20">
        <v>0.4112236634968402</v>
      </c>
      <c r="F50" s="20">
        <v>0.28255078281529944</v>
      </c>
      <c r="G50" s="20">
        <v>0.10341703213817739</v>
      </c>
      <c r="H50" s="20">
        <v>0</v>
      </c>
      <c r="I50" s="20">
        <v>2.5255848543363379E-2</v>
      </c>
      <c r="J50" s="20">
        <v>6.6379417479814865E-2</v>
      </c>
      <c r="K50" s="20">
        <v>0.52204110562309736</v>
      </c>
      <c r="L50" s="20">
        <v>0</v>
      </c>
    </row>
    <row r="51" spans="1:12">
      <c r="A51" s="2" t="s">
        <v>329</v>
      </c>
      <c r="B51" s="3" t="s">
        <v>330</v>
      </c>
      <c r="D51" s="20">
        <v>1.7029472420660555E-4</v>
      </c>
      <c r="E51" s="20">
        <v>0.3701449520995817</v>
      </c>
      <c r="F51" s="20">
        <v>0.20810159479539792</v>
      </c>
      <c r="G51" s="20">
        <v>3.9316148234624357E-2</v>
      </c>
      <c r="H51" s="20">
        <v>0</v>
      </c>
      <c r="I51" s="20">
        <v>0.12272720906955942</v>
      </c>
      <c r="J51" s="20">
        <v>2.4784739422499886E-2</v>
      </c>
      <c r="K51" s="20">
        <v>0.60490001375371194</v>
      </c>
      <c r="L51" s="20">
        <v>0</v>
      </c>
    </row>
    <row r="52" spans="1:12">
      <c r="A52" s="2" t="s">
        <v>277</v>
      </c>
      <c r="B52" s="3" t="s">
        <v>278</v>
      </c>
      <c r="D52" s="20">
        <v>4.4246031019298516E-4</v>
      </c>
      <c r="E52" s="20">
        <v>0.36223551402750698</v>
      </c>
      <c r="F52" s="20">
        <v>0.16894624141065462</v>
      </c>
      <c r="G52" s="20">
        <v>3.3055527325649259E-2</v>
      </c>
      <c r="H52" s="20">
        <v>0</v>
      </c>
      <c r="I52" s="20">
        <v>0.16023374529120307</v>
      </c>
      <c r="J52" s="20">
        <v>2.0788467655643104E-2</v>
      </c>
      <c r="K52" s="20">
        <v>0.6165335580066571</v>
      </c>
      <c r="L52" s="20">
        <v>0</v>
      </c>
    </row>
    <row r="53" spans="1:12">
      <c r="A53" s="2" t="s">
        <v>331</v>
      </c>
      <c r="B53" s="3" t="s">
        <v>332</v>
      </c>
      <c r="D53" s="20">
        <v>2.341694221832416E-4</v>
      </c>
      <c r="E53" s="20">
        <v>0.39767480935471256</v>
      </c>
      <c r="F53" s="20">
        <v>0.24216111031521059</v>
      </c>
      <c r="G53" s="20">
        <v>0.13896324742919988</v>
      </c>
      <c r="H53" s="20">
        <v>0</v>
      </c>
      <c r="I53" s="20">
        <v>1.6550451610302067E-2</v>
      </c>
      <c r="J53" s="20">
        <v>8.9686934159339537E-2</v>
      </c>
      <c r="K53" s="20">
        <v>0.51240408706376461</v>
      </c>
      <c r="L53" s="20">
        <v>0</v>
      </c>
    </row>
    <row r="54" spans="1:12">
      <c r="A54" s="2" t="s">
        <v>333</v>
      </c>
      <c r="B54" s="3" t="s">
        <v>334</v>
      </c>
      <c r="D54" s="20">
        <v>3.8867899118488379E-7</v>
      </c>
      <c r="E54" s="20">
        <v>0.41441642148350805</v>
      </c>
      <c r="F54" s="20">
        <v>0.28904488056003541</v>
      </c>
      <c r="G54" s="20">
        <v>9.8392237569099705E-2</v>
      </c>
      <c r="H54" s="20">
        <v>0</v>
      </c>
      <c r="I54" s="20">
        <v>2.697930335437294E-2</v>
      </c>
      <c r="J54" s="20">
        <v>6.3098621926239898E-2</v>
      </c>
      <c r="K54" s="20">
        <v>0.52248456791126086</v>
      </c>
      <c r="L54" s="20">
        <v>0</v>
      </c>
    </row>
    <row r="55" spans="1:12">
      <c r="A55" s="2" t="s">
        <v>335</v>
      </c>
      <c r="B55" s="3" t="s">
        <v>336</v>
      </c>
      <c r="D55" s="20">
        <v>1.8695401916465194E-3</v>
      </c>
      <c r="E55" s="20">
        <v>0.39956853383050328</v>
      </c>
      <c r="F55" s="20">
        <v>0.15639001489400886</v>
      </c>
      <c r="G55" s="20">
        <v>0.23719447917437805</v>
      </c>
      <c r="H55" s="20">
        <v>0</v>
      </c>
      <c r="I55" s="20">
        <v>5.9840397621163909E-3</v>
      </c>
      <c r="J55" s="20">
        <v>0.15493570573649343</v>
      </c>
      <c r="K55" s="20">
        <v>0.44362622024135662</v>
      </c>
      <c r="L55" s="20">
        <v>0</v>
      </c>
    </row>
    <row r="56" spans="1:12">
      <c r="A56" s="2" t="s">
        <v>337</v>
      </c>
      <c r="B56" s="3" t="s">
        <v>338</v>
      </c>
      <c r="D56" s="20">
        <v>1.3790615276327805E-4</v>
      </c>
      <c r="E56" s="20">
        <v>0.42041257533818382</v>
      </c>
      <c r="F56" s="20">
        <v>0.30037090136704026</v>
      </c>
      <c r="G56" s="20">
        <v>8.9733253235389804E-2</v>
      </c>
      <c r="H56" s="20">
        <v>0</v>
      </c>
      <c r="I56" s="20">
        <v>3.0308420735753763E-2</v>
      </c>
      <c r="J56" s="20">
        <v>5.7454878309075932E-2</v>
      </c>
      <c r="K56" s="20">
        <v>0.52199464019997699</v>
      </c>
      <c r="L56" s="20">
        <v>0</v>
      </c>
    </row>
    <row r="57" spans="1:12">
      <c r="A57" s="2" t="s">
        <v>279</v>
      </c>
      <c r="B57" s="3" t="s">
        <v>280</v>
      </c>
      <c r="D57" s="20">
        <v>7.8531977742629239E-3</v>
      </c>
      <c r="E57" s="20">
        <v>0.36057875412526152</v>
      </c>
      <c r="F57" s="20">
        <v>0.14727219159556001</v>
      </c>
      <c r="G57" s="20">
        <v>2.9404669680540452E-2</v>
      </c>
      <c r="H57" s="20">
        <v>0</v>
      </c>
      <c r="I57" s="20">
        <v>0.18390189284916106</v>
      </c>
      <c r="J57" s="20">
        <v>1.8471408661310116E-2</v>
      </c>
      <c r="K57" s="20">
        <v>0.61309663943916537</v>
      </c>
      <c r="L57" s="20">
        <v>0</v>
      </c>
    </row>
    <row r="58" spans="1:12">
      <c r="A58" s="2" t="s">
        <v>339</v>
      </c>
      <c r="B58" s="3" t="s">
        <v>340</v>
      </c>
      <c r="D58" s="20">
        <v>1.3613547209649766E-6</v>
      </c>
      <c r="E58" s="20">
        <v>0.4137883908791587</v>
      </c>
      <c r="F58" s="20">
        <v>0.28776999990080804</v>
      </c>
      <c r="G58" s="20">
        <v>9.9389629581041763E-2</v>
      </c>
      <c r="H58" s="20">
        <v>0</v>
      </c>
      <c r="I58" s="20">
        <v>2.6628761397308895E-2</v>
      </c>
      <c r="J58" s="20">
        <v>6.3749458011572432E-2</v>
      </c>
      <c r="K58" s="20">
        <v>0.52246078975454779</v>
      </c>
      <c r="L58" s="20">
        <v>0</v>
      </c>
    </row>
    <row r="59" spans="1:12">
      <c r="A59" s="2" t="s">
        <v>281</v>
      </c>
      <c r="B59" s="3" t="s">
        <v>282</v>
      </c>
      <c r="D59" s="20">
        <v>6.6994233695280171E-5</v>
      </c>
      <c r="E59" s="20">
        <v>0.3623715813791295</v>
      </c>
      <c r="F59" s="20">
        <v>0.16900970307232258</v>
      </c>
      <c r="G59" s="20">
        <v>3.3067944048707915E-2</v>
      </c>
      <c r="H59" s="20">
        <v>0</v>
      </c>
      <c r="I59" s="20">
        <v>0.16029393425809904</v>
      </c>
      <c r="J59" s="20">
        <v>2.0796276475122857E-2</v>
      </c>
      <c r="K59" s="20">
        <v>0.61676514791205228</v>
      </c>
      <c r="L59" s="20">
        <v>0</v>
      </c>
    </row>
    <row r="60" spans="1:12">
      <c r="A60" s="2" t="s">
        <v>341</v>
      </c>
      <c r="B60" s="3" t="s">
        <v>342</v>
      </c>
      <c r="D60" s="20">
        <v>1.9623995862610181E-3</v>
      </c>
      <c r="E60" s="20">
        <v>0.39997194425908711</v>
      </c>
      <c r="F60" s="20">
        <v>0.25354885784053433</v>
      </c>
      <c r="G60" s="20">
        <v>0.12769009612301663</v>
      </c>
      <c r="H60" s="20">
        <v>0</v>
      </c>
      <c r="I60" s="20">
        <v>1.8732990295536132E-2</v>
      </c>
      <c r="J60" s="20">
        <v>8.2279306323566365E-2</v>
      </c>
      <c r="K60" s="20">
        <v>0.51578634983108562</v>
      </c>
      <c r="L60" s="20">
        <v>0</v>
      </c>
    </row>
    <row r="61" spans="1:12">
      <c r="A61" s="2" t="s">
        <v>483</v>
      </c>
      <c r="B61" s="3" t="s">
        <v>484</v>
      </c>
      <c r="D61" s="20">
        <v>1.4077346467407286E-13</v>
      </c>
      <c r="E61" s="20">
        <v>0.60887747076868537</v>
      </c>
      <c r="F61" s="20">
        <v>8.2322359217477825E-2</v>
      </c>
      <c r="G61" s="20">
        <v>1.3716250409084318E-2</v>
      </c>
      <c r="H61" s="20">
        <v>0</v>
      </c>
      <c r="I61" s="20">
        <v>0.51283886114212318</v>
      </c>
      <c r="J61" s="20">
        <v>3.008858521859032E-2</v>
      </c>
      <c r="K61" s="20">
        <v>0.3610339440125836</v>
      </c>
      <c r="L61" s="20">
        <v>0</v>
      </c>
    </row>
    <row r="62" spans="1:12">
      <c r="A62" s="2" t="s">
        <v>485</v>
      </c>
      <c r="B62" s="3" t="s">
        <v>486</v>
      </c>
      <c r="D62" s="20">
        <v>3.6796143841427423E-7</v>
      </c>
      <c r="E62" s="20">
        <v>0.42358174197569393</v>
      </c>
      <c r="F62" s="20">
        <v>7.2992211634948942E-2</v>
      </c>
      <c r="G62" s="20">
        <v>1.6038807618703899E-2</v>
      </c>
      <c r="H62" s="20">
        <v>0</v>
      </c>
      <c r="I62" s="20">
        <v>0.33455072272204106</v>
      </c>
      <c r="J62" s="20">
        <v>1.006814582136443E-2</v>
      </c>
      <c r="K62" s="20">
        <v>0.56634974424150342</v>
      </c>
      <c r="L62" s="20">
        <v>0</v>
      </c>
    </row>
    <row r="63" spans="1:12">
      <c r="A63" s="2" t="s">
        <v>487</v>
      </c>
      <c r="B63" s="3" t="s">
        <v>488</v>
      </c>
      <c r="D63" s="20">
        <v>7.3592481658904893E-13</v>
      </c>
      <c r="E63" s="20">
        <v>0.95595840166149626</v>
      </c>
      <c r="F63" s="20">
        <v>3.2822953602496606E-3</v>
      </c>
      <c r="G63" s="20">
        <v>4.3308626575568363E-4</v>
      </c>
      <c r="H63" s="20">
        <v>0</v>
      </c>
      <c r="I63" s="20">
        <v>0.95224302003549088</v>
      </c>
      <c r="J63" s="20">
        <v>2.8918634141008896E-3</v>
      </c>
      <c r="K63" s="20">
        <v>4.1149734923666977E-2</v>
      </c>
      <c r="L63" s="20">
        <v>0</v>
      </c>
    </row>
    <row r="64" spans="1:12">
      <c r="A64" s="2" t="s">
        <v>489</v>
      </c>
      <c r="B64" s="3" t="s">
        <v>490</v>
      </c>
      <c r="D64" s="20">
        <v>1.3284720056417377E-14</v>
      </c>
      <c r="E64" s="20">
        <v>0.99524028370227879</v>
      </c>
      <c r="F64" s="20">
        <v>1.2251264361385261E-3</v>
      </c>
      <c r="G64" s="20">
        <v>1.5211017715750351E-5</v>
      </c>
      <c r="H64" s="20">
        <v>0</v>
      </c>
      <c r="I64" s="20">
        <v>0.99399994624842447</v>
      </c>
      <c r="J64" s="20">
        <v>3.8579562024496018E-4</v>
      </c>
      <c r="K64" s="20">
        <v>4.3739206774631402E-3</v>
      </c>
      <c r="L64" s="20">
        <v>0</v>
      </c>
    </row>
    <row r="65" spans="1:12">
      <c r="A65" s="2" t="s">
        <v>491</v>
      </c>
      <c r="B65" s="3" t="s">
        <v>492</v>
      </c>
      <c r="D65" s="20">
        <v>2.1939600545944225E-12</v>
      </c>
      <c r="E65" s="20">
        <v>0.99748608008217221</v>
      </c>
      <c r="F65" s="20">
        <v>1.590504730575491E-4</v>
      </c>
      <c r="G65" s="20">
        <v>7.0742187598703153E-6</v>
      </c>
      <c r="H65" s="20">
        <v>0</v>
      </c>
      <c r="I65" s="20">
        <v>0.99731995539035478</v>
      </c>
      <c r="J65" s="20">
        <v>5.8119023472536445E-4</v>
      </c>
      <c r="K65" s="20">
        <v>1.932729680908496E-3</v>
      </c>
      <c r="L65" s="20">
        <v>0</v>
      </c>
    </row>
    <row r="66" spans="1:12">
      <c r="A66" s="2" t="s">
        <v>493</v>
      </c>
      <c r="B66" s="3" t="s">
        <v>494</v>
      </c>
      <c r="D66" s="20">
        <v>3.455330132004487E-11</v>
      </c>
      <c r="E66" s="20">
        <v>0.95460469016352156</v>
      </c>
      <c r="F66" s="20">
        <v>2.4133521871707656E-2</v>
      </c>
      <c r="G66" s="20">
        <v>6.0483030477908402E-4</v>
      </c>
      <c r="H66" s="20">
        <v>0</v>
      </c>
      <c r="I66" s="20">
        <v>0.92986633798703477</v>
      </c>
      <c r="J66" s="20">
        <v>2.4614322655189855E-2</v>
      </c>
      <c r="K66" s="20">
        <v>2.0780987146735399E-2</v>
      </c>
      <c r="L66" s="20">
        <v>0</v>
      </c>
    </row>
    <row r="67" spans="1:12">
      <c r="A67" s="2" t="s">
        <v>495</v>
      </c>
      <c r="B67" s="3" t="s">
        <v>496</v>
      </c>
      <c r="D67" s="20">
        <v>1.7136299461687377E-12</v>
      </c>
      <c r="E67" s="20">
        <v>0.99728272689638064</v>
      </c>
      <c r="F67" s="20">
        <v>1.3409142544283548E-4</v>
      </c>
      <c r="G67" s="20">
        <v>7.3302019796191627E-6</v>
      </c>
      <c r="H67" s="20">
        <v>0</v>
      </c>
      <c r="I67" s="20">
        <v>0.99714130526895817</v>
      </c>
      <c r="J67" s="20">
        <v>5.4442897699974913E-4</v>
      </c>
      <c r="K67" s="20">
        <v>2.1728441249058063E-3</v>
      </c>
      <c r="L67" s="20">
        <v>0</v>
      </c>
    </row>
    <row r="68" spans="1:12">
      <c r="A68" s="2" t="s">
        <v>497</v>
      </c>
      <c r="B68" s="3" t="s">
        <v>498</v>
      </c>
      <c r="D68" s="20">
        <v>1.5495534179070358E-11</v>
      </c>
      <c r="E68" s="20">
        <v>0.99873417575435985</v>
      </c>
      <c r="F68" s="20">
        <v>1.5945698965555181E-5</v>
      </c>
      <c r="G68" s="20">
        <v>1.230296070204943E-6</v>
      </c>
      <c r="H68" s="20">
        <v>0</v>
      </c>
      <c r="I68" s="20">
        <v>0.99871699975932404</v>
      </c>
      <c r="J68" s="20">
        <v>3.8801070646332484E-4</v>
      </c>
      <c r="K68" s="20">
        <v>8.7781352368143011E-4</v>
      </c>
      <c r="L68" s="20">
        <v>0</v>
      </c>
    </row>
    <row r="69" spans="1:12">
      <c r="A69" s="2" t="s">
        <v>499</v>
      </c>
      <c r="B69" s="3" t="s">
        <v>500</v>
      </c>
      <c r="D69" s="20">
        <v>3.4577766097584883E-11</v>
      </c>
      <c r="E69" s="20">
        <v>0.42827080752220981</v>
      </c>
      <c r="F69" s="20">
        <v>0.3131562956115268</v>
      </c>
      <c r="G69" s="20">
        <v>8.0568764227319969E-2</v>
      </c>
      <c r="H69" s="20">
        <v>0</v>
      </c>
      <c r="I69" s="20">
        <v>3.4545747683363034E-2</v>
      </c>
      <c r="J69" s="20">
        <v>5.1494472757409135E-2</v>
      </c>
      <c r="K69" s="20">
        <v>0.52023471968580326</v>
      </c>
      <c r="L69" s="20">
        <v>0</v>
      </c>
    </row>
    <row r="70" spans="1:12">
      <c r="A70" s="2" t="s">
        <v>501</v>
      </c>
      <c r="B70" s="3" t="s">
        <v>411</v>
      </c>
      <c r="D70" s="20">
        <v>2.8549170780096017E-13</v>
      </c>
      <c r="E70" s="20">
        <v>0.99954280844149834</v>
      </c>
      <c r="F70" s="20">
        <v>3.097902274062495E-3</v>
      </c>
      <c r="G70" s="20">
        <v>2.9441730814672838E-7</v>
      </c>
      <c r="H70" s="20">
        <v>0</v>
      </c>
      <c r="I70" s="20">
        <v>0.99644461175012766</v>
      </c>
      <c r="J70" s="20">
        <v>3.9899785857283127E-4</v>
      </c>
      <c r="K70" s="20">
        <v>5.8193699643524969E-5</v>
      </c>
      <c r="L70" s="20">
        <v>0</v>
      </c>
    </row>
    <row r="71" spans="1:12">
      <c r="A71" s="2" t="s">
        <v>502</v>
      </c>
      <c r="B71" s="3" t="s">
        <v>412</v>
      </c>
      <c r="D71" s="20">
        <v>1.3362855501624951E-8</v>
      </c>
      <c r="E71" s="20">
        <v>0.99949058526628687</v>
      </c>
      <c r="F71" s="20">
        <v>5.9179858361332561E-3</v>
      </c>
      <c r="G71" s="20">
        <v>5.3782407049086081E-7</v>
      </c>
      <c r="H71" s="20">
        <v>0</v>
      </c>
      <c r="I71" s="20">
        <v>0.99357206160608313</v>
      </c>
      <c r="J71" s="20">
        <v>4.2771438605223824E-4</v>
      </c>
      <c r="K71" s="20">
        <v>8.1686984805259941E-5</v>
      </c>
      <c r="L71" s="20">
        <v>0</v>
      </c>
    </row>
    <row r="72" spans="1:12">
      <c r="A72" s="2" t="s">
        <v>503</v>
      </c>
      <c r="B72" s="3" t="s">
        <v>413</v>
      </c>
      <c r="D72" s="20">
        <v>1.571095077264684E-9</v>
      </c>
      <c r="E72" s="20">
        <v>0.94296841216690397</v>
      </c>
      <c r="F72" s="20">
        <v>0.90693613226205083</v>
      </c>
      <c r="G72" s="20">
        <v>4.1652499101370273E-4</v>
      </c>
      <c r="H72" s="20">
        <v>0</v>
      </c>
      <c r="I72" s="20">
        <v>3.5615754913839406E-2</v>
      </c>
      <c r="J72" s="20">
        <v>5.6228515722397253E-2</v>
      </c>
      <c r="K72" s="20">
        <v>8.0307053960390455E-4</v>
      </c>
      <c r="L72" s="20">
        <v>0</v>
      </c>
    </row>
    <row r="73" spans="1:12">
      <c r="A73" s="2" t="s">
        <v>504</v>
      </c>
      <c r="B73" s="3" t="s">
        <v>414</v>
      </c>
      <c r="D73" s="20">
        <v>1.68757073568062E-9</v>
      </c>
      <c r="E73" s="20">
        <v>0.99396764037615049</v>
      </c>
      <c r="F73" s="20">
        <v>0.7223309477467611</v>
      </c>
      <c r="G73" s="20">
        <v>4.1754239836952402E-5</v>
      </c>
      <c r="H73" s="20">
        <v>0</v>
      </c>
      <c r="I73" s="20">
        <v>0.2715949383895524</v>
      </c>
      <c r="J73" s="20">
        <v>5.4970382533793428E-3</v>
      </c>
      <c r="K73" s="20">
        <v>5.353196828993661E-4</v>
      </c>
      <c r="L73" s="20">
        <v>0</v>
      </c>
    </row>
    <row r="74" spans="1:12">
      <c r="A74" s="2" t="s">
        <v>505</v>
      </c>
      <c r="B74" s="3" t="s">
        <v>415</v>
      </c>
      <c r="D74" s="20">
        <v>1.6440267018741271E-9</v>
      </c>
      <c r="E74" s="20">
        <v>0.99950054749779194</v>
      </c>
      <c r="F74" s="20">
        <v>5.3577581256306836E-3</v>
      </c>
      <c r="G74" s="20">
        <v>4.8904346829683097E-7</v>
      </c>
      <c r="H74" s="20">
        <v>0</v>
      </c>
      <c r="I74" s="20">
        <v>0.994142300328693</v>
      </c>
      <c r="J74" s="20">
        <v>4.2210089819677348E-4</v>
      </c>
      <c r="K74" s="20">
        <v>7.7349959984525339E-5</v>
      </c>
      <c r="L74" s="20">
        <v>0</v>
      </c>
    </row>
    <row r="75" spans="1:12">
      <c r="A75" s="2" t="s">
        <v>506</v>
      </c>
      <c r="B75" s="3" t="s">
        <v>416</v>
      </c>
      <c r="D75" s="20">
        <v>6.9312579574481407E-9</v>
      </c>
      <c r="E75" s="20">
        <v>0.99414555224070811</v>
      </c>
      <c r="F75" s="20">
        <v>0.68657233329892575</v>
      </c>
      <c r="G75" s="20">
        <v>4.0202277585615862E-5</v>
      </c>
      <c r="H75" s="20">
        <v>0</v>
      </c>
      <c r="I75" s="20">
        <v>0.30753301666419669</v>
      </c>
      <c r="J75" s="20">
        <v>5.3011374922954276E-3</v>
      </c>
      <c r="K75" s="20">
        <v>5.5330333573848627E-4</v>
      </c>
      <c r="L75" s="20">
        <v>0</v>
      </c>
    </row>
    <row r="76" spans="1:12">
      <c r="A76" s="2" t="s">
        <v>507</v>
      </c>
      <c r="B76" s="3" t="s">
        <v>417</v>
      </c>
      <c r="D76" s="20">
        <v>4.4151448888820808E-8</v>
      </c>
      <c r="E76" s="20">
        <v>0.99832742643299366</v>
      </c>
      <c r="F76" s="20">
        <v>0.109148961833105</v>
      </c>
      <c r="G76" s="20">
        <v>7.937539932944392E-6</v>
      </c>
      <c r="H76" s="20">
        <v>0</v>
      </c>
      <c r="I76" s="20">
        <v>0.8891705270599557</v>
      </c>
      <c r="J76" s="20">
        <v>1.3186962370506329E-3</v>
      </c>
      <c r="K76" s="20">
        <v>3.5383317850676071E-4</v>
      </c>
      <c r="L76" s="20">
        <v>0</v>
      </c>
    </row>
    <row r="77" spans="1:12">
      <c r="A77" s="2" t="s">
        <v>508</v>
      </c>
      <c r="B77" s="3" t="s">
        <v>418</v>
      </c>
      <c r="D77" s="20">
        <v>5.162240004644535E-8</v>
      </c>
      <c r="E77" s="20">
        <v>0.99401398662185925</v>
      </c>
      <c r="F77" s="20">
        <v>0.71238184215026368</v>
      </c>
      <c r="G77" s="20">
        <v>4.1455213402491359E-5</v>
      </c>
      <c r="H77" s="20">
        <v>0</v>
      </c>
      <c r="I77" s="20">
        <v>0.28159068925819303</v>
      </c>
      <c r="J77" s="20">
        <v>5.4435965935125986E-3</v>
      </c>
      <c r="K77" s="20">
        <v>5.4236516222824066E-4</v>
      </c>
      <c r="L77" s="20">
        <v>0</v>
      </c>
    </row>
    <row r="78" spans="1:12">
      <c r="A78" s="2" t="s">
        <v>509</v>
      </c>
      <c r="B78" s="3" t="s">
        <v>419</v>
      </c>
      <c r="D78" s="20">
        <v>6.3521160193105729E-9</v>
      </c>
      <c r="E78" s="20">
        <v>0.95186360036796902</v>
      </c>
      <c r="F78" s="20">
        <v>0.91178545171103198</v>
      </c>
      <c r="G78" s="20">
        <v>3.5184956430913105E-4</v>
      </c>
      <c r="H78" s="20">
        <v>0</v>
      </c>
      <c r="I78" s="20">
        <v>3.9726299092627891E-2</v>
      </c>
      <c r="J78" s="20">
        <v>4.7370321175830121E-2</v>
      </c>
      <c r="K78" s="20">
        <v>7.6607210408494988E-4</v>
      </c>
      <c r="L78" s="20">
        <v>0</v>
      </c>
    </row>
    <row r="79" spans="1:12">
      <c r="A79" s="2" t="s">
        <v>510</v>
      </c>
      <c r="B79" s="3" t="s">
        <v>420</v>
      </c>
      <c r="D79" s="20">
        <v>1.5955798304489325E-13</v>
      </c>
      <c r="E79" s="20">
        <v>0.95186375141416102</v>
      </c>
      <c r="F79" s="20">
        <v>0.91178564973514364</v>
      </c>
      <c r="G79" s="20">
        <v>3.517939585208349E-4</v>
      </c>
      <c r="H79" s="20">
        <v>0</v>
      </c>
      <c r="I79" s="20">
        <v>3.9726307720496505E-2</v>
      </c>
      <c r="J79" s="20">
        <v>4.7370297550504439E-2</v>
      </c>
      <c r="K79" s="20">
        <v>7.6595103517493725E-4</v>
      </c>
      <c r="L79" s="20">
        <v>0</v>
      </c>
    </row>
    <row r="80" spans="1:12">
      <c r="A80" s="2" t="s">
        <v>511</v>
      </c>
      <c r="B80" s="3" t="s">
        <v>421</v>
      </c>
      <c r="D80" s="20">
        <v>7.8030991333799908E-9</v>
      </c>
      <c r="E80" s="20">
        <v>0.99645226637616713</v>
      </c>
      <c r="F80" s="20">
        <v>0.3312389208236764</v>
      </c>
      <c r="G80" s="20">
        <v>2.1662357569192625E-5</v>
      </c>
      <c r="H80" s="20">
        <v>0</v>
      </c>
      <c r="I80" s="20">
        <v>0.6651916831949215</v>
      </c>
      <c r="J80" s="20">
        <v>3.0001826699016403E-3</v>
      </c>
      <c r="K80" s="20">
        <v>5.4754315083200026E-4</v>
      </c>
      <c r="L80" s="20">
        <v>0</v>
      </c>
    </row>
    <row r="81" spans="1:12">
      <c r="A81" s="2" t="s">
        <v>512</v>
      </c>
      <c r="B81" s="3" t="s">
        <v>422</v>
      </c>
      <c r="D81" s="20">
        <v>3.0999917733263153E-9</v>
      </c>
      <c r="E81" s="20">
        <v>0.99923988864529045</v>
      </c>
      <c r="F81" s="20">
        <v>2.3574081355554562E-2</v>
      </c>
      <c r="G81" s="20">
        <v>1.9266336317653007E-6</v>
      </c>
      <c r="H81" s="20">
        <v>0</v>
      </c>
      <c r="I81" s="20">
        <v>0.9756638806561041</v>
      </c>
      <c r="J81" s="20">
        <v>5.9418327710628234E-4</v>
      </c>
      <c r="K81" s="20">
        <v>1.6592497761149606E-4</v>
      </c>
      <c r="L81" s="20">
        <v>0</v>
      </c>
    </row>
    <row r="82" spans="1:12">
      <c r="A82" s="2" t="s">
        <v>513</v>
      </c>
      <c r="B82" s="3" t="s">
        <v>423</v>
      </c>
      <c r="D82" s="20">
        <v>9.9292083889567024E-13</v>
      </c>
      <c r="E82" s="20">
        <v>0.99882101594734418</v>
      </c>
      <c r="F82" s="20">
        <v>6.0143519740688926E-2</v>
      </c>
      <c r="G82" s="20">
        <v>4.5738768228511804E-6</v>
      </c>
      <c r="H82" s="20">
        <v>0</v>
      </c>
      <c r="I82" s="20">
        <v>0.93867292232983246</v>
      </c>
      <c r="J82" s="20">
        <v>9.1364749116013846E-4</v>
      </c>
      <c r="K82" s="20">
        <v>2.6533656050267782E-4</v>
      </c>
      <c r="L82" s="20">
        <v>0</v>
      </c>
    </row>
    <row r="83" spans="1:12">
      <c r="A83" s="2" t="s">
        <v>514</v>
      </c>
      <c r="B83" s="3" t="s">
        <v>424</v>
      </c>
      <c r="D83" s="20">
        <v>2.2011260083163062E-9</v>
      </c>
      <c r="E83" s="20">
        <v>0.91004476789587574</v>
      </c>
      <c r="F83" s="20">
        <v>0.88332219315573612</v>
      </c>
      <c r="G83" s="20">
        <v>6.5476205224541647E-4</v>
      </c>
      <c r="H83" s="20">
        <v>0</v>
      </c>
      <c r="I83" s="20">
        <v>2.6067812687894234E-2</v>
      </c>
      <c r="J83" s="20">
        <v>8.9051588477901969E-2</v>
      </c>
      <c r="K83" s="20">
        <v>9.0364142509633655E-4</v>
      </c>
      <c r="L83" s="20">
        <v>0</v>
      </c>
    </row>
    <row r="84" spans="1:12">
      <c r="A84" s="2" t="s">
        <v>403</v>
      </c>
      <c r="B84" s="3" t="s">
        <v>404</v>
      </c>
      <c r="D84" s="20">
        <v>6.7504118496919585E-44</v>
      </c>
      <c r="E84" s="20">
        <v>0.48758354346234317</v>
      </c>
      <c r="F84" s="20">
        <v>4.6601992462132036E-2</v>
      </c>
      <c r="G84" s="20">
        <v>1.0782017705503048E-2</v>
      </c>
      <c r="H84" s="20">
        <v>0</v>
      </c>
      <c r="I84" s="20">
        <v>0.43019953329470811</v>
      </c>
      <c r="J84" s="20">
        <v>6.8099301327280244E-3</v>
      </c>
      <c r="K84" s="20">
        <v>0.50560652640492876</v>
      </c>
      <c r="L84" s="20">
        <v>0</v>
      </c>
    </row>
    <row r="85" spans="1:12">
      <c r="A85" s="2" t="s">
        <v>405</v>
      </c>
      <c r="B85" s="3" t="s">
        <v>406</v>
      </c>
      <c r="D85" s="20">
        <v>3.7627560853698253E-8</v>
      </c>
      <c r="E85" s="20">
        <v>0.36488595772375415</v>
      </c>
      <c r="F85" s="20">
        <v>0.21581069673248648</v>
      </c>
      <c r="G85" s="20">
        <v>1.128227702430199E-2</v>
      </c>
      <c r="H85" s="20">
        <v>0</v>
      </c>
      <c r="I85" s="20">
        <v>0.13779298396696568</v>
      </c>
      <c r="J85" s="20">
        <v>0.59266090650336678</v>
      </c>
      <c r="K85" s="20">
        <v>4.2453098145317857E-2</v>
      </c>
      <c r="L85" s="20">
        <v>0</v>
      </c>
    </row>
    <row r="86" spans="1:12">
      <c r="A86" s="2" t="s">
        <v>407</v>
      </c>
      <c r="B86" s="3" t="s">
        <v>408</v>
      </c>
      <c r="D86" s="20">
        <v>1.2514788782969324E-4</v>
      </c>
      <c r="E86" s="20">
        <v>0.44086898522444434</v>
      </c>
      <c r="F86" s="20">
        <v>8.3675388827311487E-2</v>
      </c>
      <c r="G86" s="20">
        <v>0.35546209363472936</v>
      </c>
      <c r="H86" s="20">
        <v>0</v>
      </c>
      <c r="I86" s="20">
        <v>1.7315027624034863E-3</v>
      </c>
      <c r="J86" s="20">
        <v>0.23518418430124016</v>
      </c>
      <c r="K86" s="20">
        <v>0.3238216825864858</v>
      </c>
      <c r="L86" s="20">
        <v>0</v>
      </c>
    </row>
    <row r="87" spans="1:12">
      <c r="A87" s="2" t="s">
        <v>409</v>
      </c>
      <c r="B87" s="3" t="s">
        <v>410</v>
      </c>
      <c r="D87" s="20">
        <v>1.6603576048480042E-5</v>
      </c>
      <c r="E87" s="20">
        <v>0.47905915896414919</v>
      </c>
      <c r="F87" s="20">
        <v>4.8314317678641687E-2</v>
      </c>
      <c r="G87" s="20">
        <v>0.43010194443205696</v>
      </c>
      <c r="H87" s="20">
        <v>0</v>
      </c>
      <c r="I87" s="20">
        <v>6.4289685345053074E-4</v>
      </c>
      <c r="J87" s="20">
        <v>0.28721060980391316</v>
      </c>
      <c r="K87" s="20">
        <v>0.23371362765588924</v>
      </c>
      <c r="L87" s="20">
        <v>0</v>
      </c>
    </row>
    <row r="88" spans="1:12">
      <c r="A88" s="2" t="s">
        <v>301</v>
      </c>
      <c r="B88" s="3" t="s">
        <v>302</v>
      </c>
      <c r="D88" s="20">
        <v>2.1881390929709545E-6</v>
      </c>
      <c r="E88" s="20">
        <v>0.51777991797647727</v>
      </c>
      <c r="F88" s="20">
        <v>2.3908324411556207E-2</v>
      </c>
      <c r="G88" s="20">
        <v>0.49367904752553365</v>
      </c>
      <c r="H88" s="20">
        <v>0</v>
      </c>
      <c r="I88" s="20">
        <v>1.9254603938744747E-4</v>
      </c>
      <c r="J88" s="20">
        <v>0.33315919498226199</v>
      </c>
      <c r="K88" s="20">
        <v>0.14905869890216786</v>
      </c>
      <c r="L88" s="20">
        <v>0</v>
      </c>
    </row>
    <row r="89" spans="1:12">
      <c r="A89" s="2" t="s">
        <v>303</v>
      </c>
      <c r="B89" s="3" t="s">
        <v>304</v>
      </c>
      <c r="D89" s="20">
        <v>1.7597254027611914E-13</v>
      </c>
      <c r="E89" s="20">
        <v>5.7016871681733632E-2</v>
      </c>
      <c r="F89" s="20">
        <v>1.5457594562672152E-2</v>
      </c>
      <c r="G89" s="20">
        <v>4.0202030422103144E-2</v>
      </c>
      <c r="H89" s="20">
        <v>0</v>
      </c>
      <c r="I89" s="20">
        <v>1.3572466969583392E-3</v>
      </c>
      <c r="J89" s="20">
        <v>0.92602567545849179</v>
      </c>
      <c r="K89" s="20">
        <v>1.6957452859598789E-2</v>
      </c>
      <c r="L89" s="20">
        <v>0</v>
      </c>
    </row>
    <row r="90" spans="1:12">
      <c r="A90" s="2" t="s">
        <v>425</v>
      </c>
      <c r="B90" s="3" t="s">
        <v>426</v>
      </c>
      <c r="D90" s="20">
        <v>1.5981119636441301E-13</v>
      </c>
      <c r="E90" s="20">
        <v>0.97457061812667567</v>
      </c>
      <c r="F90" s="20">
        <v>9.1405736375023305E-5</v>
      </c>
      <c r="G90" s="20">
        <v>3.0690130751612011E-5</v>
      </c>
      <c r="H90" s="20">
        <v>0</v>
      </c>
      <c r="I90" s="20">
        <v>0.97444852225954903</v>
      </c>
      <c r="J90" s="20">
        <v>3.7340328499964971E-4</v>
      </c>
      <c r="K90" s="20">
        <v>2.5055978588165006E-2</v>
      </c>
      <c r="L90" s="20">
        <v>0</v>
      </c>
    </row>
    <row r="91" spans="1:12">
      <c r="A91" s="2" t="s">
        <v>427</v>
      </c>
      <c r="B91" s="3" t="s">
        <v>428</v>
      </c>
      <c r="D91" s="20">
        <v>8.7716717286199131E-5</v>
      </c>
      <c r="E91" s="20">
        <v>0.77271125189508649</v>
      </c>
      <c r="F91" s="20">
        <v>5.852704335338018E-3</v>
      </c>
      <c r="G91" s="20">
        <v>1.6460845569436899E-3</v>
      </c>
      <c r="H91" s="20">
        <v>0</v>
      </c>
      <c r="I91" s="20">
        <v>0.76521246300280477</v>
      </c>
      <c r="J91" s="20">
        <v>1.2757816246869794E-3</v>
      </c>
      <c r="K91" s="20">
        <v>0.22592524976294043</v>
      </c>
      <c r="L91" s="20">
        <v>0</v>
      </c>
    </row>
    <row r="92" spans="1:12">
      <c r="A92" s="2" t="s">
        <v>429</v>
      </c>
      <c r="B92" s="3" t="s">
        <v>430</v>
      </c>
      <c r="D92" s="20">
        <v>1.0535693854080007E-3</v>
      </c>
      <c r="E92" s="20">
        <v>0.38704833125722204</v>
      </c>
      <c r="F92" s="20">
        <v>0.10040084253763225</v>
      </c>
      <c r="G92" s="20">
        <v>2.1185216797404271E-2</v>
      </c>
      <c r="H92" s="20">
        <v>0</v>
      </c>
      <c r="I92" s="20">
        <v>0.26546227192218552</v>
      </c>
      <c r="J92" s="20">
        <v>1.3285927597101956E-2</v>
      </c>
      <c r="K92" s="20">
        <v>0.59861217176026793</v>
      </c>
      <c r="L92" s="20">
        <v>0</v>
      </c>
    </row>
    <row r="93" spans="1:12">
      <c r="A93" s="2" t="s">
        <v>431</v>
      </c>
      <c r="B93" s="3" t="s">
        <v>432</v>
      </c>
      <c r="D93" s="20">
        <v>1.205445866246859E-17</v>
      </c>
      <c r="E93" s="20">
        <v>0.99947693682286842</v>
      </c>
      <c r="F93" s="20">
        <v>4.3620194222221002E-4</v>
      </c>
      <c r="G93" s="20">
        <v>3.4946969134133957E-7</v>
      </c>
      <c r="H93" s="20">
        <v>0</v>
      </c>
      <c r="I93" s="20">
        <v>0.99904038541095486</v>
      </c>
      <c r="J93" s="20">
        <v>3.7005235558950147E-4</v>
      </c>
      <c r="K93" s="20">
        <v>1.530108215420466E-4</v>
      </c>
      <c r="L93" s="20">
        <v>0</v>
      </c>
    </row>
    <row r="94" spans="1:12">
      <c r="A94" s="2" t="s">
        <v>433</v>
      </c>
      <c r="B94" s="3" t="s">
        <v>434</v>
      </c>
      <c r="D94" s="20">
        <v>2.5378628381714617E-18</v>
      </c>
      <c r="E94" s="20">
        <v>0.99962830901440081</v>
      </c>
      <c r="F94" s="20">
        <v>1.6909951484770186E-6</v>
      </c>
      <c r="G94" s="20">
        <v>2.3595979128288299E-9</v>
      </c>
      <c r="H94" s="20">
        <v>0</v>
      </c>
      <c r="I94" s="20">
        <v>0.99962661565965438</v>
      </c>
      <c r="J94" s="20">
        <v>3.67834864769179E-4</v>
      </c>
      <c r="K94" s="20">
        <v>3.8561208300786857E-6</v>
      </c>
      <c r="L94" s="20">
        <v>0</v>
      </c>
    </row>
    <row r="95" spans="1:12">
      <c r="A95" s="2" t="s">
        <v>435</v>
      </c>
      <c r="B95" s="3" t="s">
        <v>436</v>
      </c>
      <c r="D95" s="20">
        <v>1.3636672337632472E-8</v>
      </c>
      <c r="E95" s="20">
        <v>0.94160532751586179</v>
      </c>
      <c r="F95" s="20">
        <v>3.7407080343218114E-4</v>
      </c>
      <c r="G95" s="20">
        <v>1.2974333547633362E-4</v>
      </c>
      <c r="H95" s="20">
        <v>0</v>
      </c>
      <c r="I95" s="20">
        <v>0.94110151337695325</v>
      </c>
      <c r="J95" s="20">
        <v>4.2540782004616546E-4</v>
      </c>
      <c r="K95" s="20">
        <v>5.7969251027419802E-2</v>
      </c>
      <c r="L95" s="20">
        <v>0</v>
      </c>
    </row>
    <row r="96" spans="1:12">
      <c r="A96" s="2" t="s">
        <v>437</v>
      </c>
      <c r="B96" s="163" t="s">
        <v>438</v>
      </c>
      <c r="D96" s="20">
        <v>2.2797297578216157E-7</v>
      </c>
      <c r="E96" s="20">
        <v>0.42762053742319722</v>
      </c>
      <c r="F96" s="20">
        <v>0.10063697709918194</v>
      </c>
      <c r="G96" s="20">
        <v>0.32452872121992415</v>
      </c>
      <c r="H96" s="20">
        <v>0</v>
      </c>
      <c r="I96" s="20">
        <v>2.4548391040911089E-3</v>
      </c>
      <c r="J96" s="20">
        <v>0.21398107652129281</v>
      </c>
      <c r="K96" s="20">
        <v>0.35839815808253422</v>
      </c>
      <c r="L96" s="20">
        <v>0</v>
      </c>
    </row>
    <row r="97" spans="1:12">
      <c r="A97" s="2" t="s">
        <v>439</v>
      </c>
      <c r="B97" s="3" t="s">
        <v>440</v>
      </c>
      <c r="D97" s="20">
        <v>4.4987590202106935E-5</v>
      </c>
      <c r="E97" s="20">
        <v>0.69362956582918434</v>
      </c>
      <c r="F97" s="20">
        <v>1.1560242524678573E-2</v>
      </c>
      <c r="G97" s="20">
        <v>3.0652260000763156E-3</v>
      </c>
      <c r="H97" s="20">
        <v>0</v>
      </c>
      <c r="I97" s="20">
        <v>0.67900409730442945</v>
      </c>
      <c r="J97" s="20">
        <v>2.1142941919121265E-3</v>
      </c>
      <c r="K97" s="20">
        <v>0.30421115238870133</v>
      </c>
      <c r="L97" s="20">
        <v>0</v>
      </c>
    </row>
    <row r="98" spans="1:12">
      <c r="A98" s="2" t="s">
        <v>441</v>
      </c>
      <c r="B98" s="3" t="s">
        <v>442</v>
      </c>
      <c r="D98" s="20">
        <v>2.9174240829812452E-17</v>
      </c>
      <c r="E98" s="20">
        <v>0.75900449099265765</v>
      </c>
      <c r="F98" s="20">
        <v>6.6692005693134351E-3</v>
      </c>
      <c r="G98" s="20">
        <v>1.8551085794749165E-3</v>
      </c>
      <c r="H98" s="20">
        <v>0</v>
      </c>
      <c r="I98" s="20">
        <v>0.75048018184386933</v>
      </c>
      <c r="J98" s="20">
        <v>1.3981843047619963E-3</v>
      </c>
      <c r="K98" s="20">
        <v>0.23959732470258038</v>
      </c>
      <c r="L98" s="20">
        <v>0</v>
      </c>
    </row>
    <row r="99" spans="1:12">
      <c r="A99" s="2" t="s">
        <v>443</v>
      </c>
      <c r="B99" s="3" t="s">
        <v>444</v>
      </c>
      <c r="D99" s="20">
        <v>4.2614382576592814E-29</v>
      </c>
      <c r="E99" s="20">
        <v>0.8807008289199737</v>
      </c>
      <c r="F99" s="20">
        <v>1.4990993483925299E-3</v>
      </c>
      <c r="G99" s="20">
        <v>4.7089705109229323E-4</v>
      </c>
      <c r="H99" s="20">
        <v>0</v>
      </c>
      <c r="I99" s="20">
        <v>0.87873083252048889</v>
      </c>
      <c r="J99" s="20">
        <v>6.0248298954678381E-4</v>
      </c>
      <c r="K99" s="20">
        <v>0.11869668809047959</v>
      </c>
      <c r="L99" s="20">
        <v>0</v>
      </c>
    </row>
    <row r="100" spans="1:12">
      <c r="A100" s="2" t="s">
        <v>445</v>
      </c>
      <c r="B100" s="3" t="s">
        <v>446</v>
      </c>
      <c r="D100" s="20">
        <v>2.1914677323327131E-7</v>
      </c>
      <c r="E100" s="20">
        <v>0.39578180233647076</v>
      </c>
      <c r="F100" s="20">
        <v>0.23169107002565148</v>
      </c>
      <c r="G100" s="20">
        <v>0.14931548547714624</v>
      </c>
      <c r="H100" s="20">
        <v>0</v>
      </c>
      <c r="I100" s="20">
        <v>1.477524683367302E-2</v>
      </c>
      <c r="J100" s="20">
        <v>9.6505916637838043E-2</v>
      </c>
      <c r="K100" s="20">
        <v>0.50771206187891815</v>
      </c>
      <c r="L100" s="20">
        <v>0</v>
      </c>
    </row>
    <row r="101" spans="1:12">
      <c r="A101" s="2" t="s">
        <v>447</v>
      </c>
      <c r="B101" s="3" t="s">
        <v>448</v>
      </c>
      <c r="D101" s="20">
        <v>8.1111915121885432E-9</v>
      </c>
      <c r="E101" s="20">
        <v>0.41782760798588481</v>
      </c>
      <c r="F101" s="20">
        <v>7.6376344852767647E-2</v>
      </c>
      <c r="G101" s="20">
        <v>1.6689926566688263E-2</v>
      </c>
      <c r="H101" s="20">
        <v>0</v>
      </c>
      <c r="I101" s="20">
        <v>0.32476133656642892</v>
      </c>
      <c r="J101" s="20">
        <v>1.0473879071235136E-2</v>
      </c>
      <c r="K101" s="20">
        <v>0.57169850483168838</v>
      </c>
      <c r="L101" s="20">
        <v>0</v>
      </c>
    </row>
    <row r="102" spans="1:12">
      <c r="A102" s="2" t="s">
        <v>449</v>
      </c>
      <c r="B102" s="3" t="s">
        <v>450</v>
      </c>
      <c r="D102" s="20">
        <v>6.2699192383859246E-4</v>
      </c>
      <c r="E102" s="20">
        <v>0.36927329120385555</v>
      </c>
      <c r="F102" s="20">
        <v>0.20584302793836828</v>
      </c>
      <c r="G102" s="20">
        <v>3.8961145494797789E-2</v>
      </c>
      <c r="H102" s="20">
        <v>0</v>
      </c>
      <c r="I102" s="20">
        <v>0.12446911777068946</v>
      </c>
      <c r="J102" s="20">
        <v>2.4557609913339218E-2</v>
      </c>
      <c r="K102" s="20">
        <v>0.60554210695896671</v>
      </c>
      <c r="L102" s="20">
        <v>0</v>
      </c>
    </row>
    <row r="103" spans="1:12">
      <c r="A103" s="2" t="s">
        <v>451</v>
      </c>
      <c r="B103" s="3" t="s">
        <v>452</v>
      </c>
      <c r="D103" s="20">
        <v>4.8415532684674611E-19</v>
      </c>
      <c r="E103" s="20">
        <v>0.99938771394631587</v>
      </c>
      <c r="F103" s="20">
        <v>1.1557827772570143E-2</v>
      </c>
      <c r="G103" s="20">
        <v>1.1216346746105422E-6</v>
      </c>
      <c r="H103" s="20">
        <v>0</v>
      </c>
      <c r="I103" s="20">
        <v>0.98782876453907109</v>
      </c>
      <c r="J103" s="20">
        <v>4.8269827147863026E-4</v>
      </c>
      <c r="K103" s="20">
        <v>1.2958778220559908E-4</v>
      </c>
      <c r="L103" s="20">
        <v>0</v>
      </c>
    </row>
    <row r="104" spans="1:12">
      <c r="A104" s="2" t="s">
        <v>453</v>
      </c>
      <c r="B104" s="3" t="s">
        <v>454</v>
      </c>
      <c r="D104" s="20">
        <v>1.0103929010556335E-19</v>
      </c>
      <c r="E104" s="20">
        <v>0.98416627602548501</v>
      </c>
      <c r="F104" s="20">
        <v>0.88346637780850901</v>
      </c>
      <c r="G104" s="20">
        <v>9.3552560070349399E-4</v>
      </c>
      <c r="H104" s="20">
        <v>0</v>
      </c>
      <c r="I104" s="20">
        <v>9.9764372616272537E-2</v>
      </c>
      <c r="J104" s="20">
        <v>9.6254866994321137E-3</v>
      </c>
      <c r="K104" s="20">
        <v>6.2082372750828551E-3</v>
      </c>
      <c r="L104" s="20">
        <v>0</v>
      </c>
    </row>
    <row r="105" spans="1:12">
      <c r="A105" s="2" t="s">
        <v>455</v>
      </c>
      <c r="B105" s="163">
        <v>354656</v>
      </c>
      <c r="D105" s="20">
        <v>3.6766324690176974E-10</v>
      </c>
      <c r="E105" s="20">
        <v>0.96959591109931154</v>
      </c>
      <c r="F105" s="20">
        <v>9.8022197191980793E-5</v>
      </c>
      <c r="G105" s="20">
        <v>3.7915779458250777E-5</v>
      </c>
      <c r="H105" s="20">
        <v>0</v>
      </c>
      <c r="I105" s="20">
        <v>0.9694599731226613</v>
      </c>
      <c r="J105" s="20">
        <v>3.7565903118203257E-4</v>
      </c>
      <c r="K105" s="20">
        <v>3.0028429501843163E-2</v>
      </c>
      <c r="L105" s="20">
        <v>0</v>
      </c>
    </row>
    <row r="106" spans="1:12">
      <c r="A106" s="2" t="s">
        <v>457</v>
      </c>
      <c r="B106" s="3" t="s">
        <v>458</v>
      </c>
      <c r="D106" s="20">
        <v>5.4687722720389414E-10</v>
      </c>
      <c r="E106" s="20">
        <v>0.93887172826053977</v>
      </c>
      <c r="F106" s="20">
        <v>4.0559218558297876E-4</v>
      </c>
      <c r="G106" s="20">
        <v>1.4004418379030389E-4</v>
      </c>
      <c r="H106" s="20">
        <v>0</v>
      </c>
      <c r="I106" s="20">
        <v>0.93832609189116645</v>
      </c>
      <c r="J106" s="20">
        <v>4.2980634231596087E-4</v>
      </c>
      <c r="K106" s="20">
        <v>6.0698464850267073E-2</v>
      </c>
      <c r="L106" s="20">
        <v>0</v>
      </c>
    </row>
    <row r="107" spans="1:12">
      <c r="A107" s="2" t="s">
        <v>459</v>
      </c>
      <c r="B107" s="3" t="s">
        <v>460</v>
      </c>
      <c r="D107" s="20">
        <v>1.8266820727812338E-19</v>
      </c>
      <c r="E107" s="20">
        <v>0.41609701742321709</v>
      </c>
      <c r="F107" s="20">
        <v>0.2831172360313669</v>
      </c>
      <c r="G107" s="20">
        <v>4.9551237214820978E-2</v>
      </c>
      <c r="H107" s="20">
        <v>0</v>
      </c>
      <c r="I107" s="20">
        <v>8.3428544177029218E-2</v>
      </c>
      <c r="J107" s="20">
        <v>3.8186422185180292E-2</v>
      </c>
      <c r="K107" s="20">
        <v>0.54571656039160255</v>
      </c>
      <c r="L107" s="20">
        <v>0</v>
      </c>
    </row>
    <row r="108" spans="1:12">
      <c r="A108" s="2" t="s">
        <v>461</v>
      </c>
      <c r="B108" s="3" t="s">
        <v>462</v>
      </c>
      <c r="D108" s="20">
        <v>1.0964914127875344E-9</v>
      </c>
      <c r="E108" s="20">
        <v>0.99957847462055305</v>
      </c>
      <c r="F108" s="20">
        <v>8.7589455250372646E-7</v>
      </c>
      <c r="G108" s="20">
        <v>2.5387118314364865E-8</v>
      </c>
      <c r="H108" s="20">
        <v>0</v>
      </c>
      <c r="I108" s="20">
        <v>0.9995775733388822</v>
      </c>
      <c r="J108" s="20">
        <v>3.6614771482686365E-4</v>
      </c>
      <c r="K108" s="20">
        <v>5.5376568128910005E-5</v>
      </c>
      <c r="L108" s="20">
        <v>0</v>
      </c>
    </row>
    <row r="109" spans="1:12">
      <c r="A109" s="2" t="s">
        <v>463</v>
      </c>
      <c r="B109" s="3" t="s">
        <v>464</v>
      </c>
      <c r="D109" s="20">
        <v>2.9442472166819474E-12</v>
      </c>
      <c r="E109" s="20">
        <v>0.97437364873908705</v>
      </c>
      <c r="F109" s="20">
        <v>6.0446517057744335E-3</v>
      </c>
      <c r="G109" s="20">
        <v>3.0045356236901903E-4</v>
      </c>
      <c r="H109" s="20">
        <v>0</v>
      </c>
      <c r="I109" s="20">
        <v>0.96802854347094358</v>
      </c>
      <c r="J109" s="20">
        <v>6.5326559379499044E-3</v>
      </c>
      <c r="K109" s="20">
        <v>1.9093695320018832E-2</v>
      </c>
      <c r="L109" s="20">
        <v>0</v>
      </c>
    </row>
    <row r="110" spans="1:12">
      <c r="A110" s="2" t="s">
        <v>465</v>
      </c>
      <c r="B110" s="3" t="s">
        <v>466</v>
      </c>
      <c r="D110" s="20">
        <v>2.0822426425890825E-11</v>
      </c>
      <c r="E110" s="20">
        <v>0.99340092472441233</v>
      </c>
      <c r="F110" s="20">
        <v>2.2403065165950285E-5</v>
      </c>
      <c r="G110" s="20">
        <v>4.2862151580077993E-6</v>
      </c>
      <c r="H110" s="20">
        <v>0</v>
      </c>
      <c r="I110" s="20">
        <v>0.99337423544408832</v>
      </c>
      <c r="J110" s="20">
        <v>3.6479102659848096E-4</v>
      </c>
      <c r="K110" s="20">
        <v>6.2342842281666918E-3</v>
      </c>
      <c r="L110" s="20">
        <v>0</v>
      </c>
    </row>
    <row r="111" spans="1:12">
      <c r="A111" s="2" t="s">
        <v>467</v>
      </c>
      <c r="B111" s="3" t="s">
        <v>468</v>
      </c>
      <c r="D111" s="20">
        <v>3.7004327804345806E-30</v>
      </c>
      <c r="E111" s="20">
        <v>0.99962998922663104</v>
      </c>
      <c r="F111" s="20">
        <v>1.5917436826468287E-6</v>
      </c>
      <c r="G111" s="20">
        <v>1.3150585326010346E-9</v>
      </c>
      <c r="H111" s="20">
        <v>0</v>
      </c>
      <c r="I111" s="20">
        <v>0.9996283961678899</v>
      </c>
      <c r="J111" s="20">
        <v>3.6441245343432095E-4</v>
      </c>
      <c r="K111" s="20">
        <v>5.5983199345801751E-6</v>
      </c>
      <c r="L111" s="20">
        <v>0</v>
      </c>
    </row>
    <row r="112" spans="1:12">
      <c r="A112" s="2" t="s">
        <v>469</v>
      </c>
      <c r="B112" s="3" t="s">
        <v>470</v>
      </c>
      <c r="D112" s="20">
        <v>2.3392940518666236E-13</v>
      </c>
      <c r="E112" s="20">
        <v>0.99156102096396204</v>
      </c>
      <c r="F112" s="20">
        <v>7.7260769878022352E-6</v>
      </c>
      <c r="G112" s="20">
        <v>3.6095626722764553E-6</v>
      </c>
      <c r="H112" s="20">
        <v>0</v>
      </c>
      <c r="I112" s="20">
        <v>0.99154968532430199</v>
      </c>
      <c r="J112" s="20">
        <v>3.6352002017617284E-4</v>
      </c>
      <c r="K112" s="20">
        <v>8.0754590156278394E-3</v>
      </c>
      <c r="L112" s="20">
        <v>0</v>
      </c>
    </row>
    <row r="113" spans="1:12">
      <c r="A113" s="2" t="s">
        <v>471</v>
      </c>
      <c r="B113" s="3" t="s">
        <v>472</v>
      </c>
      <c r="D113" s="20">
        <v>2.8866543660984231E-9</v>
      </c>
      <c r="E113" s="20">
        <v>0.95418180457816326</v>
      </c>
      <c r="F113" s="20">
        <v>2.2012481378505113E-4</v>
      </c>
      <c r="G113" s="20">
        <v>8.0124356933212622E-5</v>
      </c>
      <c r="H113" s="20">
        <v>0</v>
      </c>
      <c r="I113" s="20">
        <v>0.95388155540744501</v>
      </c>
      <c r="J113" s="20">
        <v>3.9504889753425791E-4</v>
      </c>
      <c r="K113" s="20">
        <v>4.5423143637648211E-2</v>
      </c>
      <c r="L113" s="20">
        <v>0</v>
      </c>
    </row>
    <row r="114" spans="1:12">
      <c r="A114" s="2" t="s">
        <v>473</v>
      </c>
      <c r="B114" s="3" t="s">
        <v>474</v>
      </c>
      <c r="D114" s="20">
        <v>2.2960909375388989E-16</v>
      </c>
      <c r="E114" s="20">
        <v>0.99544977589262795</v>
      </c>
      <c r="F114" s="20">
        <v>2.2495333063399132E-6</v>
      </c>
      <c r="G114" s="20">
        <v>1.1333421251610636E-6</v>
      </c>
      <c r="H114" s="20">
        <v>0</v>
      </c>
      <c r="I114" s="20">
        <v>0.99544639301719651</v>
      </c>
      <c r="J114" s="20">
        <v>3.6350656719502612E-4</v>
      </c>
      <c r="K114" s="20">
        <v>4.18671754017677E-3</v>
      </c>
      <c r="L114" s="20">
        <v>0</v>
      </c>
    </row>
    <row r="115" spans="1:12">
      <c r="A115" s="2" t="s">
        <v>475</v>
      </c>
      <c r="B115" s="3" t="s">
        <v>476</v>
      </c>
      <c r="D115" s="20">
        <v>1.2174291490604005E-12</v>
      </c>
      <c r="E115" s="20">
        <v>0.99953491929358285</v>
      </c>
      <c r="F115" s="20">
        <v>2.8038347028232868E-3</v>
      </c>
      <c r="G115" s="20">
        <v>3.3584296843548011E-7</v>
      </c>
      <c r="H115" s="20">
        <v>0</v>
      </c>
      <c r="I115" s="20">
        <v>0.99673074874779111</v>
      </c>
      <c r="J115" s="20">
        <v>3.9595351724758157E-4</v>
      </c>
      <c r="K115" s="20">
        <v>6.9127187952157314E-5</v>
      </c>
      <c r="L115" s="20">
        <v>0</v>
      </c>
    </row>
    <row r="116" spans="1:12">
      <c r="A116" s="2" t="s">
        <v>477</v>
      </c>
      <c r="B116" s="3" t="s">
        <v>478</v>
      </c>
      <c r="D116" s="20">
        <v>1.1068981614586147E-16</v>
      </c>
      <c r="E116" s="20">
        <v>0.71936781776989167</v>
      </c>
      <c r="F116" s="20">
        <v>0.27031734617351033</v>
      </c>
      <c r="G116" s="20">
        <v>6.5472275563282179E-3</v>
      </c>
      <c r="H116" s="20">
        <v>0</v>
      </c>
      <c r="I116" s="20">
        <v>0.44250324404005309</v>
      </c>
      <c r="J116" s="20">
        <v>0.21742447078848104</v>
      </c>
      <c r="K116" s="20">
        <v>6.320771144162729E-2</v>
      </c>
      <c r="L116" s="20">
        <v>0</v>
      </c>
    </row>
    <row r="117" spans="1:12">
      <c r="A117" s="2" t="s">
        <v>291</v>
      </c>
      <c r="B117" s="3" t="s">
        <v>479</v>
      </c>
      <c r="D117" s="20">
        <v>3.6238432769076666E-10</v>
      </c>
      <c r="E117" s="20">
        <v>0.60996415213618782</v>
      </c>
      <c r="F117" s="20">
        <v>2.1039897611611801E-2</v>
      </c>
      <c r="G117" s="20">
        <v>5.2788482476608875E-3</v>
      </c>
      <c r="H117" s="20">
        <v>0</v>
      </c>
      <c r="I117" s="20">
        <v>0.58364540627691508</v>
      </c>
      <c r="J117" s="20">
        <v>3.4447863387453096E-3</v>
      </c>
      <c r="K117" s="20">
        <v>0.38659106116268255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1.0455372830178971E-12</v>
      </c>
      <c r="E2" s="14">
        <v>3.9049833683892318E-5</v>
      </c>
      <c r="F2" s="14">
        <v>2.394493921515551E-9</v>
      </c>
      <c r="G2" s="14">
        <v>9.6096881488532158E-10</v>
      </c>
      <c r="H2" s="14">
        <v>0</v>
      </c>
      <c r="I2" s="14">
        <v>1.479690490291396E-8</v>
      </c>
      <c r="J2" s="14">
        <v>9.3201290293108279E-7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1.003140983989781E-12</v>
      </c>
      <c r="E3" s="14">
        <v>2.3533887487157399E-5</v>
      </c>
      <c r="F3" s="14">
        <v>9.3167687778067341E-7</v>
      </c>
      <c r="G3" s="14">
        <v>2.2633593421023172E-7</v>
      </c>
      <c r="H3" s="14">
        <v>0</v>
      </c>
      <c r="I3" s="14">
        <v>1.7715062912747735E-7</v>
      </c>
      <c r="J3" s="14">
        <v>1.5130948068583239E-5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5.4223122543872918E-22</v>
      </c>
      <c r="E4" s="14">
        <v>3.9980128733693464E-5</v>
      </c>
      <c r="F4" s="14">
        <v>1.681352363912916E-9</v>
      </c>
      <c r="G4" s="14">
        <v>1.8516307332861698E-12</v>
      </c>
      <c r="H4" s="14">
        <v>0</v>
      </c>
      <c r="I4" s="14">
        <v>1.7364935001842829E-8</v>
      </c>
      <c r="J4" s="14">
        <v>8.2312731004728499E-10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1.5209638196022959E-14</v>
      </c>
      <c r="E5" s="14">
        <v>3.6908569485471888E-5</v>
      </c>
      <c r="F5" s="14">
        <v>3.0366991184487407E-6</v>
      </c>
      <c r="G5" s="14">
        <v>2.4102441038186773E-10</v>
      </c>
      <c r="H5" s="14">
        <v>0</v>
      </c>
      <c r="I5" s="14">
        <v>4.1855402618025138E-8</v>
      </c>
      <c r="J5" s="14">
        <v>1.2634953841334371E-8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1.8851640837919945E-15</v>
      </c>
      <c r="E6" s="14">
        <v>3.300372038038962E-5</v>
      </c>
      <c r="F6" s="14">
        <v>6.8494775939474925E-6</v>
      </c>
      <c r="G6" s="14">
        <v>1.9863234751867477E-9</v>
      </c>
      <c r="H6" s="14">
        <v>0</v>
      </c>
      <c r="I6" s="14">
        <v>7.3240494431208424E-8</v>
      </c>
      <c r="J6" s="14">
        <v>7.1575205871337069E-8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3.2176091492912563E-11</v>
      </c>
      <c r="E7" s="14">
        <v>2.1445408658286361E-5</v>
      </c>
      <c r="F7" s="14">
        <v>1.7608764160039318E-5</v>
      </c>
      <c r="G7" s="14">
        <v>3.5844619990790388E-8</v>
      </c>
      <c r="H7" s="14">
        <v>0</v>
      </c>
      <c r="I7" s="14">
        <v>1.7011242468548803E-7</v>
      </c>
      <c r="J7" s="14">
        <v>7.3983796090655633E-7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1.4914622830622376E-21</v>
      </c>
      <c r="E8" s="14">
        <v>2.9883041710163665E-5</v>
      </c>
      <c r="F8" s="14">
        <v>9.973770055810456E-6</v>
      </c>
      <c r="G8" s="14">
        <v>1.5166449957162744E-9</v>
      </c>
      <c r="H8" s="14">
        <v>0</v>
      </c>
      <c r="I8" s="14">
        <v>9.6590274933837037E-8</v>
      </c>
      <c r="J8" s="14">
        <v>4.5081314096330668E-8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2.9414152298218623E-17</v>
      </c>
      <c r="E9" s="14">
        <v>3.7563184355991349E-5</v>
      </c>
      <c r="F9" s="14">
        <v>2.3473451491669152E-6</v>
      </c>
      <c r="G9" s="14">
        <v>8.8971087848731766E-10</v>
      </c>
      <c r="H9" s="14">
        <v>0</v>
      </c>
      <c r="I9" s="14">
        <v>3.6441923928338007E-8</v>
      </c>
      <c r="J9" s="14">
        <v>5.213886000550131E-8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2.6793182752640746E-9</v>
      </c>
      <c r="E10" s="14">
        <v>1.9152433843175113E-6</v>
      </c>
      <c r="F10" s="14">
        <v>1.3778391518743518E-5</v>
      </c>
      <c r="G10" s="14">
        <v>2.4065454968145243E-6</v>
      </c>
      <c r="H10" s="14">
        <v>0</v>
      </c>
      <c r="I10" s="14">
        <v>1.5310949000618706E-6</v>
      </c>
      <c r="J10" s="14">
        <v>2.0366045381787312E-5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1.3968096773450399E-15</v>
      </c>
      <c r="E11" s="14">
        <v>1.4398898666709192E-7</v>
      </c>
      <c r="F11" s="14">
        <v>1.3091331665195002E-5</v>
      </c>
      <c r="G11" s="14">
        <v>9.5648507496775167E-6</v>
      </c>
      <c r="H11" s="14">
        <v>0</v>
      </c>
      <c r="I11" s="14">
        <v>1.304081032654705E-5</v>
      </c>
      <c r="J11" s="14">
        <v>4.1590182705165324E-6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2.9877571533161723E-6</v>
      </c>
      <c r="E12" s="14">
        <v>3.6831350588638965E-5</v>
      </c>
      <c r="F12" s="14">
        <v>1.031670194053836E-10</v>
      </c>
      <c r="G12" s="14">
        <v>5.1136240813537158E-11</v>
      </c>
      <c r="H12" s="14">
        <v>0</v>
      </c>
      <c r="I12" s="14">
        <v>1.3458952678221467E-8</v>
      </c>
      <c r="J12" s="14">
        <v>1.6727900210643184E-7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8.298484501501085E-13</v>
      </c>
      <c r="E13" s="14">
        <v>2.4928632298676243E-5</v>
      </c>
      <c r="F13" s="14">
        <v>6.6569148543478271E-7</v>
      </c>
      <c r="G13" s="14">
        <v>1.707530844719057E-7</v>
      </c>
      <c r="H13" s="14">
        <v>0</v>
      </c>
      <c r="I13" s="14">
        <v>1.1341067134366478E-7</v>
      </c>
      <c r="J13" s="14">
        <v>1.4121511630224951E-5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3.112904978466795E-11</v>
      </c>
      <c r="E14" s="14">
        <v>3.206498592089576E-6</v>
      </c>
      <c r="F14" s="14">
        <v>3.5872827069559674E-5</v>
      </c>
      <c r="G14" s="14">
        <v>5.6199345046425207E-8</v>
      </c>
      <c r="H14" s="14">
        <v>0</v>
      </c>
      <c r="I14" s="14">
        <v>5.8075395731416141E-7</v>
      </c>
      <c r="J14" s="14">
        <v>2.8368990694037921E-7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3.4743156755906493E-6</v>
      </c>
      <c r="E15" s="14">
        <v>3.120390451766928E-5</v>
      </c>
      <c r="F15" s="14">
        <v>7.94224885466288E-8</v>
      </c>
      <c r="G15" s="14">
        <v>2.4223620058469209E-8</v>
      </c>
      <c r="H15" s="14">
        <v>0</v>
      </c>
      <c r="I15" s="14">
        <v>2.5930544495767688E-8</v>
      </c>
      <c r="J15" s="14">
        <v>5.192203153639204E-6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3.2394705888480415E-8</v>
      </c>
      <c r="E16" s="14">
        <v>2.386127828882138E-5</v>
      </c>
      <c r="F16" s="14">
        <v>7.7830219672932125E-7</v>
      </c>
      <c r="G16" s="14">
        <v>1.9671786920804509E-7</v>
      </c>
      <c r="H16" s="14">
        <v>0</v>
      </c>
      <c r="I16" s="14">
        <v>1.2905542593102923E-7</v>
      </c>
      <c r="J16" s="14">
        <v>1.500225151342174E-5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9.5785493137619331E-8</v>
      </c>
      <c r="E17" s="14">
        <v>2.4480450407607156E-5</v>
      </c>
      <c r="F17" s="14">
        <v>7.04650808189423E-7</v>
      </c>
      <c r="G17" s="14">
        <v>1.7975025275812283E-7</v>
      </c>
      <c r="H17" s="14">
        <v>0</v>
      </c>
      <c r="I17" s="14">
        <v>1.1880255899247051E-7</v>
      </c>
      <c r="J17" s="14">
        <v>1.4420560479315211E-5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7.8031748469073726E-12</v>
      </c>
      <c r="E18" s="14">
        <v>1.216552912606618E-7</v>
      </c>
      <c r="F18" s="14">
        <v>4.4951641263773729E-6</v>
      </c>
      <c r="G18" s="14">
        <v>1.2179826688296667E-5</v>
      </c>
      <c r="H18" s="14">
        <v>0</v>
      </c>
      <c r="I18" s="14">
        <v>8.0134872097672417E-6</v>
      </c>
      <c r="J18" s="14">
        <v>1.5189858881123215E-5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4.7275697240533823E-7</v>
      </c>
      <c r="E19" s="14">
        <v>3.6399683482837006E-5</v>
      </c>
      <c r="F19" s="14">
        <v>2.524132551653046E-8</v>
      </c>
      <c r="G19" s="14">
        <v>8.4724246084161469E-9</v>
      </c>
      <c r="H19" s="14">
        <v>0</v>
      </c>
      <c r="I19" s="14">
        <v>1.8313132954846456E-8</v>
      </c>
      <c r="J19" s="14">
        <v>3.0755326616778667E-6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8.8793456655633731E-7</v>
      </c>
      <c r="E20" s="14">
        <v>3.4941426199258512E-5</v>
      </c>
      <c r="F20" s="14">
        <v>4.5274657952947747E-8</v>
      </c>
      <c r="G20" s="14">
        <v>1.4512784059654093E-8</v>
      </c>
      <c r="H20" s="14">
        <v>0</v>
      </c>
      <c r="I20" s="14">
        <v>2.1416281639653085E-8</v>
      </c>
      <c r="J20" s="14">
        <v>4.0894355105329028E-6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2.8464107723038103E-7</v>
      </c>
      <c r="E21" s="14">
        <v>1.6268219838403735E-5</v>
      </c>
      <c r="F21" s="14">
        <v>1.2086333759078647E-5</v>
      </c>
      <c r="G21" s="14">
        <v>4.8776849423760563E-7</v>
      </c>
      <c r="H21" s="14">
        <v>0</v>
      </c>
      <c r="I21" s="14">
        <v>3.8905219941885847E-7</v>
      </c>
      <c r="J21" s="14">
        <v>1.0483984631630778E-5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2.6161909559938665E-6</v>
      </c>
      <c r="E22" s="14">
        <v>3.6183377609742163E-5</v>
      </c>
      <c r="F22" s="14">
        <v>4.0433715864024903E-9</v>
      </c>
      <c r="G22" s="14">
        <v>1.5525271734894734E-9</v>
      </c>
      <c r="H22" s="14">
        <v>0</v>
      </c>
      <c r="I22" s="14">
        <v>1.4102156456327327E-8</v>
      </c>
      <c r="J22" s="14">
        <v>1.1807333790477575E-6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2.8601460915653326E-6</v>
      </c>
      <c r="E23" s="14">
        <v>3.0080696042238166E-5</v>
      </c>
      <c r="F23" s="14">
        <v>1.3952834137263801E-7</v>
      </c>
      <c r="G23" s="14">
        <v>4.0715332614019918E-8</v>
      </c>
      <c r="H23" s="14">
        <v>0</v>
      </c>
      <c r="I23" s="14">
        <v>3.5534801417927803E-8</v>
      </c>
      <c r="J23" s="14">
        <v>6.8433793907919228E-6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1.0564123750771896E-7</v>
      </c>
      <c r="E24" s="14">
        <v>2.0396382343343664E-5</v>
      </c>
      <c r="F24" s="14">
        <v>1.2431046611480121E-6</v>
      </c>
      <c r="G24" s="14">
        <v>3.0005664586012988E-7</v>
      </c>
      <c r="H24" s="14">
        <v>0</v>
      </c>
      <c r="I24" s="14">
        <v>1.9183290354532358E-7</v>
      </c>
      <c r="J24" s="14">
        <v>1.7762982208595155E-5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3.5188483673723239E-8</v>
      </c>
      <c r="E25" s="14">
        <v>1.6608875028797952E-7</v>
      </c>
      <c r="F25" s="14">
        <v>5.2513959840531895E-6</v>
      </c>
      <c r="G25" s="14">
        <v>1.0958984762362613E-5</v>
      </c>
      <c r="H25" s="14">
        <v>0</v>
      </c>
      <c r="I25" s="14">
        <v>7.1868652326462258E-6</v>
      </c>
      <c r="J25" s="14">
        <v>1.6401476786976271E-5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9.0906079288599907E-6</v>
      </c>
      <c r="E26" s="14">
        <v>9.3465770795774291E-6</v>
      </c>
      <c r="F26" s="14">
        <v>2.6185878126262458E-6</v>
      </c>
      <c r="G26" s="14">
        <v>5.6488845340160047E-7</v>
      </c>
      <c r="H26" s="14">
        <v>0</v>
      </c>
      <c r="I26" s="14">
        <v>3.5433645133861913E-7</v>
      </c>
      <c r="J26" s="14">
        <v>1.8025002274196115E-5</v>
      </c>
      <c r="K26" s="14">
        <v>0</v>
      </c>
    </row>
    <row r="27" spans="1:14">
      <c r="A27" s="2" t="s">
        <v>397</v>
      </c>
      <c r="B27" s="3" t="s">
        <v>398</v>
      </c>
      <c r="D27" s="14">
        <v>3.3086868819385367E-5</v>
      </c>
      <c r="E27" s="14">
        <v>8.8628894879558271E-7</v>
      </c>
      <c r="F27" s="14">
        <v>1.3942154288515309E-6</v>
      </c>
      <c r="G27" s="14">
        <v>2.6486552854264599E-7</v>
      </c>
      <c r="H27" s="14">
        <v>0</v>
      </c>
      <c r="I27" s="14">
        <v>1.6690260794543586E-7</v>
      </c>
      <c r="J27" s="14">
        <v>4.2008586664794474E-6</v>
      </c>
      <c r="K27" s="14">
        <v>0</v>
      </c>
    </row>
    <row r="28" spans="1:14">
      <c r="A28" s="2" t="s">
        <v>399</v>
      </c>
      <c r="B28" s="3" t="s">
        <v>400</v>
      </c>
      <c r="D28" s="14">
        <v>3.4931498261501897E-5</v>
      </c>
      <c r="E28" s="14">
        <v>1.3319774672759773E-6</v>
      </c>
      <c r="F28" s="14">
        <v>5.1652509759419153E-7</v>
      </c>
      <c r="G28" s="14">
        <v>1.0878950077071934E-7</v>
      </c>
      <c r="H28" s="14">
        <v>0</v>
      </c>
      <c r="I28" s="14">
        <v>6.8226054636508297E-8</v>
      </c>
      <c r="J28" s="14">
        <v>3.0429836182207012E-6</v>
      </c>
      <c r="K28" s="14">
        <v>0</v>
      </c>
    </row>
    <row r="29" spans="1:14">
      <c r="A29" s="2" t="s">
        <v>297</v>
      </c>
      <c r="B29" s="3" t="s">
        <v>298</v>
      </c>
      <c r="D29" s="14">
        <v>3.7299088144387917E-5</v>
      </c>
      <c r="E29" s="14">
        <v>2.3771570734170921E-6</v>
      </c>
      <c r="F29" s="14">
        <v>3.9552362513459657E-9</v>
      </c>
      <c r="G29" s="14">
        <v>1.2447094447399545E-9</v>
      </c>
      <c r="H29" s="14">
        <v>0</v>
      </c>
      <c r="I29" s="14">
        <v>1.6122370725850031E-9</v>
      </c>
      <c r="J29" s="14">
        <v>3.1694259942632935E-7</v>
      </c>
      <c r="K29" s="14">
        <v>0</v>
      </c>
    </row>
    <row r="30" spans="1:14">
      <c r="A30" s="2" t="s">
        <v>401</v>
      </c>
      <c r="B30" s="3" t="s">
        <v>402</v>
      </c>
      <c r="D30" s="14">
        <v>3.8143029079178502E-5</v>
      </c>
      <c r="E30" s="14">
        <v>5.0451588348171496E-7</v>
      </c>
      <c r="F30" s="14">
        <v>1.8150533462098331E-7</v>
      </c>
      <c r="G30" s="14">
        <v>3.8440138987714641E-8</v>
      </c>
      <c r="H30" s="14">
        <v>0</v>
      </c>
      <c r="I30" s="14">
        <v>2.4106851478243713E-8</v>
      </c>
      <c r="J30" s="14">
        <v>1.1084027122528494E-6</v>
      </c>
      <c r="K30" s="14">
        <v>0</v>
      </c>
    </row>
    <row r="31" spans="1:14">
      <c r="A31" s="2" t="s">
        <v>299</v>
      </c>
      <c r="B31" s="3" t="s">
        <v>300</v>
      </c>
      <c r="D31" s="14">
        <v>3.9952431597120747E-5</v>
      </c>
      <c r="E31" s="14">
        <v>1.7988000092195273E-8</v>
      </c>
      <c r="F31" s="14">
        <v>2.8354202162482651E-9</v>
      </c>
      <c r="G31" s="14">
        <v>6.3813561964772007E-10</v>
      </c>
      <c r="H31" s="14">
        <v>0</v>
      </c>
      <c r="I31" s="14">
        <v>4.0137289692525042E-10</v>
      </c>
      <c r="J31" s="14">
        <v>2.5705474054233686E-8</v>
      </c>
      <c r="K31" s="14">
        <v>0</v>
      </c>
    </row>
    <row r="32" spans="1:14">
      <c r="A32" s="2" t="s">
        <v>343</v>
      </c>
      <c r="B32" s="3" t="s">
        <v>344</v>
      </c>
      <c r="D32" s="14">
        <v>9.0550605466360377E-8</v>
      </c>
      <c r="E32" s="14">
        <v>2.6009441282567986E-5</v>
      </c>
      <c r="F32" s="14">
        <v>5.5458174949846526E-7</v>
      </c>
      <c r="G32" s="14">
        <v>1.4463091336076869E-7</v>
      </c>
      <c r="H32" s="14">
        <v>0</v>
      </c>
      <c r="I32" s="14">
        <v>9.7704382478606737E-8</v>
      </c>
      <c r="J32" s="14">
        <v>1.3103091066627812E-5</v>
      </c>
      <c r="K32" s="14">
        <v>0</v>
      </c>
    </row>
    <row r="33" spans="1:11">
      <c r="A33" s="2" t="s">
        <v>345</v>
      </c>
      <c r="B33" s="3" t="s">
        <v>346</v>
      </c>
      <c r="D33" s="14">
        <v>3.5685703913804707E-9</v>
      </c>
      <c r="E33" s="14">
        <v>3.0414027360675483E-5</v>
      </c>
      <c r="F33" s="14">
        <v>2.4455045922389318E-7</v>
      </c>
      <c r="G33" s="14">
        <v>6.8527365839873907E-8</v>
      </c>
      <c r="H33" s="14">
        <v>0</v>
      </c>
      <c r="I33" s="14">
        <v>5.2600416188108516E-8</v>
      </c>
      <c r="J33" s="14">
        <v>9.216725827681261E-6</v>
      </c>
      <c r="K33" s="14">
        <v>0</v>
      </c>
    </row>
    <row r="34" spans="1:11">
      <c r="A34" s="2" t="s">
        <v>347</v>
      </c>
      <c r="B34" s="3" t="s">
        <v>348</v>
      </c>
      <c r="D34" s="14">
        <v>5.3308402755486646E-9</v>
      </c>
      <c r="E34" s="14">
        <v>1.2859240972392678E-5</v>
      </c>
      <c r="F34" s="14">
        <v>3.1007723671742083E-6</v>
      </c>
      <c r="G34" s="14">
        <v>6.763405720670598E-7</v>
      </c>
      <c r="H34" s="14">
        <v>0</v>
      </c>
      <c r="I34" s="14">
        <v>4.2440698068441636E-7</v>
      </c>
      <c r="J34" s="14">
        <v>2.2933908267406092E-5</v>
      </c>
      <c r="K34" s="14">
        <v>0</v>
      </c>
    </row>
    <row r="35" spans="1:11">
      <c r="A35" s="2" t="s">
        <v>349</v>
      </c>
      <c r="B35" s="3" t="s">
        <v>350</v>
      </c>
      <c r="D35" s="14">
        <v>1.965988004438077E-6</v>
      </c>
      <c r="E35" s="14">
        <v>3.0881652246687511E-6</v>
      </c>
      <c r="F35" s="14">
        <v>1.0286202705874124E-5</v>
      </c>
      <c r="G35" s="14">
        <v>1.8490584252133008E-6</v>
      </c>
      <c r="H35" s="14">
        <v>0</v>
      </c>
      <c r="I35" s="14">
        <v>1.1702862706092494E-6</v>
      </c>
      <c r="J35" s="14">
        <v>2.1640299369196499E-5</v>
      </c>
      <c r="K35" s="14">
        <v>0</v>
      </c>
    </row>
    <row r="36" spans="1:11">
      <c r="A36" s="2" t="s">
        <v>351</v>
      </c>
      <c r="B36" s="3" t="s">
        <v>352</v>
      </c>
      <c r="D36" s="14">
        <v>6.3160437567304791E-8</v>
      </c>
      <c r="E36" s="14">
        <v>8.1400073041098797E-7</v>
      </c>
      <c r="F36" s="14">
        <v>1.0459702805473645E-5</v>
      </c>
      <c r="G36" s="14">
        <v>4.8285296252351726E-6</v>
      </c>
      <c r="H36" s="14">
        <v>0</v>
      </c>
      <c r="I36" s="14">
        <v>3.1080319433088012E-6</v>
      </c>
      <c r="J36" s="14">
        <v>2.0726574458004089E-5</v>
      </c>
      <c r="K36" s="14">
        <v>0</v>
      </c>
    </row>
    <row r="37" spans="1:11">
      <c r="A37" s="2" t="s">
        <v>353</v>
      </c>
      <c r="B37" s="3" t="s">
        <v>354</v>
      </c>
      <c r="D37" s="14">
        <v>4.5204566756975955E-7</v>
      </c>
      <c r="E37" s="14">
        <v>1.3132335693797656E-7</v>
      </c>
      <c r="F37" s="14">
        <v>4.646827236079075E-6</v>
      </c>
      <c r="G37" s="14">
        <v>1.1709870212666586E-5</v>
      </c>
      <c r="H37" s="14">
        <v>0</v>
      </c>
      <c r="I37" s="14">
        <v>7.697333907067253E-6</v>
      </c>
      <c r="J37" s="14">
        <v>1.5362599619679355E-5</v>
      </c>
      <c r="K37" s="14">
        <v>0</v>
      </c>
    </row>
    <row r="38" spans="1:11">
      <c r="A38" s="2" t="s">
        <v>355</v>
      </c>
      <c r="B38" s="3" t="s">
        <v>356</v>
      </c>
      <c r="D38" s="14">
        <v>2.3601515396661849E-8</v>
      </c>
      <c r="E38" s="14">
        <v>4.4730067482426502E-7</v>
      </c>
      <c r="F38" s="14">
        <v>8.2682595994883304E-6</v>
      </c>
      <c r="G38" s="14">
        <v>7.0195562597536835E-6</v>
      </c>
      <c r="H38" s="14">
        <v>0</v>
      </c>
      <c r="I38" s="14">
        <v>4.5523440280447958E-6</v>
      </c>
      <c r="J38" s="14">
        <v>1.9688937922492268E-5</v>
      </c>
      <c r="K38" s="14">
        <v>0</v>
      </c>
    </row>
    <row r="39" spans="1:11">
      <c r="A39" s="2" t="s">
        <v>357</v>
      </c>
      <c r="B39" s="3" t="s">
        <v>358</v>
      </c>
      <c r="D39" s="14">
        <v>4.3618105153870649E-6</v>
      </c>
      <c r="E39" s="14">
        <v>6.1535602852041515E-7</v>
      </c>
      <c r="F39" s="14">
        <v>8.7728561867788032E-6</v>
      </c>
      <c r="G39" s="14">
        <v>4.8198837691181942E-6</v>
      </c>
      <c r="H39" s="14">
        <v>0</v>
      </c>
      <c r="I39" s="14">
        <v>3.1090926039285878E-6</v>
      </c>
      <c r="J39" s="14">
        <v>1.8321000896266937E-5</v>
      </c>
      <c r="K39" s="14">
        <v>0</v>
      </c>
    </row>
    <row r="40" spans="1:11">
      <c r="A40" s="2" t="s">
        <v>359</v>
      </c>
      <c r="B40" s="3" t="s">
        <v>360</v>
      </c>
      <c r="D40" s="14">
        <v>2.3601515396661849E-8</v>
      </c>
      <c r="E40" s="14">
        <v>4.4730067482426502E-7</v>
      </c>
      <c r="F40" s="14">
        <v>8.2682595994883304E-6</v>
      </c>
      <c r="G40" s="14">
        <v>7.0195562597536835E-6</v>
      </c>
      <c r="H40" s="14">
        <v>0</v>
      </c>
      <c r="I40" s="14">
        <v>4.5523440280447958E-6</v>
      </c>
      <c r="J40" s="14">
        <v>1.9688937922492268E-5</v>
      </c>
      <c r="K40" s="14">
        <v>0</v>
      </c>
    </row>
    <row r="41" spans="1:11">
      <c r="A41" s="2" t="s">
        <v>313</v>
      </c>
      <c r="B41" s="3" t="s">
        <v>314</v>
      </c>
      <c r="D41" s="14">
        <v>2.3317365975186116E-12</v>
      </c>
      <c r="E41" s="14">
        <v>3.9786593981522667E-5</v>
      </c>
      <c r="F41" s="14">
        <v>1.8922186227822457E-7</v>
      </c>
      <c r="G41" s="14">
        <v>4.5028954373257189E-11</v>
      </c>
      <c r="H41" s="14">
        <v>0</v>
      </c>
      <c r="I41" s="14">
        <v>1.6644679510244033E-8</v>
      </c>
      <c r="J41" s="14">
        <v>7.4921159978910591E-9</v>
      </c>
      <c r="K41" s="14">
        <v>0</v>
      </c>
    </row>
    <row r="42" spans="1:11">
      <c r="A42" s="2" t="s">
        <v>315</v>
      </c>
      <c r="B42" s="3" t="s">
        <v>316</v>
      </c>
      <c r="D42" s="14">
        <v>6.5331048761727281E-7</v>
      </c>
      <c r="E42" s="14">
        <v>1.1966834766411973E-7</v>
      </c>
      <c r="F42" s="14">
        <v>4.4217465422858262E-6</v>
      </c>
      <c r="G42" s="14">
        <v>1.1980898812702248E-5</v>
      </c>
      <c r="H42" s="14">
        <v>0</v>
      </c>
      <c r="I42" s="14">
        <v>7.882606366587941E-6</v>
      </c>
      <c r="J42" s="14">
        <v>1.49417694431426E-5</v>
      </c>
      <c r="K42" s="14">
        <v>0</v>
      </c>
    </row>
    <row r="43" spans="1:11">
      <c r="A43" s="2" t="s">
        <v>317</v>
      </c>
      <c r="B43" s="3" t="s">
        <v>318</v>
      </c>
      <c r="D43" s="14">
        <v>2.4379603716255791E-16</v>
      </c>
      <c r="E43" s="14">
        <v>1.9605878480652361E-5</v>
      </c>
      <c r="F43" s="14">
        <v>1.3883560492499512E-6</v>
      </c>
      <c r="G43" s="14">
        <v>3.3143350700389028E-7</v>
      </c>
      <c r="H43" s="14">
        <v>0</v>
      </c>
      <c r="I43" s="14">
        <v>2.1104401719673142E-7</v>
      </c>
      <c r="J43" s="14">
        <v>1.8463287945653272E-5</v>
      </c>
      <c r="K43" s="14">
        <v>0</v>
      </c>
    </row>
    <row r="44" spans="1:11">
      <c r="A44" s="2" t="s">
        <v>307</v>
      </c>
      <c r="B44" s="3" t="s">
        <v>308</v>
      </c>
      <c r="D44" s="14">
        <v>2.1501402379816572E-8</v>
      </c>
      <c r="E44" s="14">
        <v>1.2432728539248377E-6</v>
      </c>
      <c r="F44" s="14">
        <v>1.2109912400431287E-5</v>
      </c>
      <c r="G44" s="14">
        <v>3.5142815864034929E-6</v>
      </c>
      <c r="H44" s="14">
        <v>0</v>
      </c>
      <c r="I44" s="14">
        <v>2.2493561713740544E-6</v>
      </c>
      <c r="J44" s="14">
        <v>2.0861675585486523E-5</v>
      </c>
      <c r="K44" s="14">
        <v>0</v>
      </c>
    </row>
    <row r="45" spans="1:11">
      <c r="A45" s="2" t="s">
        <v>319</v>
      </c>
      <c r="B45" s="3" t="s">
        <v>320</v>
      </c>
      <c r="D45" s="14">
        <v>2.2821567683799943E-9</v>
      </c>
      <c r="E45" s="14">
        <v>5.7377964655459546E-8</v>
      </c>
      <c r="F45" s="14">
        <v>3.0235676428169424E-6</v>
      </c>
      <c r="G45" s="14">
        <v>1.4849616722425986E-5</v>
      </c>
      <c r="H45" s="14">
        <v>0</v>
      </c>
      <c r="I45" s="14">
        <v>9.8427464288986029E-6</v>
      </c>
      <c r="J45" s="14">
        <v>1.2224409084434639E-5</v>
      </c>
      <c r="K45" s="14">
        <v>0</v>
      </c>
    </row>
    <row r="46" spans="1:11">
      <c r="A46" s="2" t="s">
        <v>321</v>
      </c>
      <c r="B46" s="3" t="s">
        <v>322</v>
      </c>
      <c r="D46" s="14">
        <v>3.2087433277733117E-9</v>
      </c>
      <c r="E46" s="14">
        <v>1.0935399235367166E-7</v>
      </c>
      <c r="F46" s="14">
        <v>4.2560742264751771E-6</v>
      </c>
      <c r="G46" s="14">
        <v>1.2580698337478793E-5</v>
      </c>
      <c r="H46" s="14">
        <v>0</v>
      </c>
      <c r="I46" s="14">
        <v>8.2862110964952102E-6</v>
      </c>
      <c r="J46" s="14">
        <v>1.476445360386938E-5</v>
      </c>
      <c r="K46" s="14">
        <v>0</v>
      </c>
    </row>
    <row r="47" spans="1:11">
      <c r="A47" s="2" t="s">
        <v>323</v>
      </c>
      <c r="B47" s="3" t="s">
        <v>324</v>
      </c>
      <c r="D47" s="14">
        <v>2.8856653043404377E-8</v>
      </c>
      <c r="E47" s="14">
        <v>2.3194532435834217E-7</v>
      </c>
      <c r="F47" s="14">
        <v>6.1676564209701485E-6</v>
      </c>
      <c r="G47" s="14">
        <v>9.6297658665721675E-6</v>
      </c>
      <c r="H47" s="14">
        <v>0</v>
      </c>
      <c r="I47" s="14">
        <v>6.2924402432431125E-6</v>
      </c>
      <c r="J47" s="14">
        <v>1.7649335491812835E-5</v>
      </c>
      <c r="K47" s="14">
        <v>0</v>
      </c>
    </row>
    <row r="48" spans="1:11">
      <c r="A48" s="2" t="s">
        <v>325</v>
      </c>
      <c r="B48" s="3" t="s">
        <v>326</v>
      </c>
      <c r="D48" s="14">
        <v>1.1209199979637476E-8</v>
      </c>
      <c r="E48" s="14">
        <v>6.5852805512255146E-6</v>
      </c>
      <c r="F48" s="14">
        <v>6.6046351606105514E-6</v>
      </c>
      <c r="G48" s="14">
        <v>1.2970131748524514E-6</v>
      </c>
      <c r="H48" s="14">
        <v>0</v>
      </c>
      <c r="I48" s="14">
        <v>8.1550417822942944E-7</v>
      </c>
      <c r="J48" s="14">
        <v>2.4686357735102419E-5</v>
      </c>
      <c r="K48" s="14">
        <v>0</v>
      </c>
    </row>
    <row r="49" spans="1:11">
      <c r="A49" s="2" t="s">
        <v>275</v>
      </c>
      <c r="B49" s="3" t="s">
        <v>276</v>
      </c>
      <c r="D49" s="14">
        <v>2.7515049658413598E-10</v>
      </c>
      <c r="E49" s="14">
        <v>1.1516220334875305E-6</v>
      </c>
      <c r="F49" s="14">
        <v>1.1815293542610103E-5</v>
      </c>
      <c r="G49" s="14">
        <v>3.7405896789017795E-6</v>
      </c>
      <c r="H49" s="14">
        <v>0</v>
      </c>
      <c r="I49" s="14">
        <v>2.3967227650317724E-6</v>
      </c>
      <c r="J49" s="14">
        <v>2.0895496829472232E-5</v>
      </c>
      <c r="K49" s="14">
        <v>0</v>
      </c>
    </row>
    <row r="50" spans="1:11">
      <c r="A50" s="2" t="s">
        <v>327</v>
      </c>
      <c r="B50" s="3" t="s">
        <v>328</v>
      </c>
      <c r="D50" s="14">
        <v>1.4232536009901701E-8</v>
      </c>
      <c r="E50" s="14">
        <v>1.0102339417345354E-6</v>
      </c>
      <c r="F50" s="14">
        <v>1.1302031312611979E-5</v>
      </c>
      <c r="G50" s="14">
        <v>4.1366812855270962E-6</v>
      </c>
      <c r="H50" s="14">
        <v>0</v>
      </c>
      <c r="I50" s="14">
        <v>2.6551766991925948E-6</v>
      </c>
      <c r="J50" s="14">
        <v>2.0881644224923897E-5</v>
      </c>
      <c r="K50" s="14">
        <v>0</v>
      </c>
    </row>
    <row r="51" spans="1:11">
      <c r="A51" s="2" t="s">
        <v>329</v>
      </c>
      <c r="B51" s="3" t="s">
        <v>330</v>
      </c>
      <c r="D51" s="14">
        <v>6.811788968264223E-9</v>
      </c>
      <c r="E51" s="14">
        <v>4.9090883627823773E-6</v>
      </c>
      <c r="F51" s="14">
        <v>8.3240637918159173E-6</v>
      </c>
      <c r="G51" s="14">
        <v>1.5726459293849746E-6</v>
      </c>
      <c r="H51" s="14">
        <v>0</v>
      </c>
      <c r="I51" s="14">
        <v>9.9138957689999562E-7</v>
      </c>
      <c r="J51" s="14">
        <v>2.4196000550148479E-5</v>
      </c>
      <c r="K51" s="14">
        <v>0</v>
      </c>
    </row>
    <row r="52" spans="1:11">
      <c r="A52" s="2" t="s">
        <v>277</v>
      </c>
      <c r="B52" s="3" t="s">
        <v>278</v>
      </c>
      <c r="D52" s="14">
        <v>1.7698412407719408E-8</v>
      </c>
      <c r="E52" s="14">
        <v>6.4093498116481235E-6</v>
      </c>
      <c r="F52" s="14">
        <v>6.7578496564261851E-6</v>
      </c>
      <c r="G52" s="14">
        <v>1.3222210930259704E-6</v>
      </c>
      <c r="H52" s="14">
        <v>0</v>
      </c>
      <c r="I52" s="14">
        <v>8.3153870622572423E-7</v>
      </c>
      <c r="J52" s="14">
        <v>2.4661342320266283E-5</v>
      </c>
      <c r="K52" s="14">
        <v>0</v>
      </c>
    </row>
    <row r="53" spans="1:11">
      <c r="A53" s="2" t="s">
        <v>331</v>
      </c>
      <c r="B53" s="3" t="s">
        <v>332</v>
      </c>
      <c r="D53" s="14">
        <v>9.3667768873296647E-9</v>
      </c>
      <c r="E53" s="14">
        <v>6.6201806441208276E-7</v>
      </c>
      <c r="F53" s="14">
        <v>9.6864444126084253E-6</v>
      </c>
      <c r="G53" s="14">
        <v>5.558529897167996E-6</v>
      </c>
      <c r="H53" s="14">
        <v>0</v>
      </c>
      <c r="I53" s="14">
        <v>3.587477366373582E-6</v>
      </c>
      <c r="J53" s="14">
        <v>2.0496163482550588E-5</v>
      </c>
      <c r="K53" s="14">
        <v>0</v>
      </c>
    </row>
    <row r="54" spans="1:11">
      <c r="A54" s="2" t="s">
        <v>333</v>
      </c>
      <c r="B54" s="3" t="s">
        <v>334</v>
      </c>
      <c r="D54" s="14">
        <v>1.5547159647395354E-11</v>
      </c>
      <c r="E54" s="14">
        <v>1.0791721341749177E-6</v>
      </c>
      <c r="F54" s="14">
        <v>1.1561795222401419E-5</v>
      </c>
      <c r="G54" s="14">
        <v>3.9356895027639887E-6</v>
      </c>
      <c r="H54" s="14">
        <v>0</v>
      </c>
      <c r="I54" s="14">
        <v>2.5239448770495965E-6</v>
      </c>
      <c r="J54" s="14">
        <v>2.0899382716450437E-5</v>
      </c>
      <c r="K54" s="14">
        <v>0</v>
      </c>
    </row>
    <row r="55" spans="1:11">
      <c r="A55" s="2" t="s">
        <v>335</v>
      </c>
      <c r="B55" s="3" t="s">
        <v>336</v>
      </c>
      <c r="D55" s="14">
        <v>7.4781607665860784E-8</v>
      </c>
      <c r="E55" s="14">
        <v>2.3936159048465567E-7</v>
      </c>
      <c r="F55" s="14">
        <v>6.2556005957603548E-6</v>
      </c>
      <c r="G55" s="14">
        <v>9.4877791669751222E-6</v>
      </c>
      <c r="H55" s="14">
        <v>0</v>
      </c>
      <c r="I55" s="14">
        <v>6.1974282294597381E-6</v>
      </c>
      <c r="J55" s="14">
        <v>1.7745048809654266E-5</v>
      </c>
      <c r="K55" s="14">
        <v>0</v>
      </c>
    </row>
    <row r="56" spans="1:11">
      <c r="A56" s="2" t="s">
        <v>337</v>
      </c>
      <c r="B56" s="3" t="s">
        <v>338</v>
      </c>
      <c r="D56" s="14">
        <v>5.5162461105311228E-9</v>
      </c>
      <c r="E56" s="14">
        <v>1.2123368294301505E-6</v>
      </c>
      <c r="F56" s="14">
        <v>1.2014836054681612E-5</v>
      </c>
      <c r="G56" s="14">
        <v>3.5893301294155925E-6</v>
      </c>
      <c r="H56" s="14">
        <v>0</v>
      </c>
      <c r="I56" s="14">
        <v>2.2981951323630375E-6</v>
      </c>
      <c r="J56" s="14">
        <v>2.0879785607999083E-5</v>
      </c>
      <c r="K56" s="14">
        <v>0</v>
      </c>
    </row>
    <row r="57" spans="1:11">
      <c r="A57" s="2" t="s">
        <v>279</v>
      </c>
      <c r="B57" s="3" t="s">
        <v>280</v>
      </c>
      <c r="D57" s="14">
        <v>3.1412791097051702E-7</v>
      </c>
      <c r="E57" s="14">
        <v>7.3560757139664426E-6</v>
      </c>
      <c r="F57" s="14">
        <v>5.8908876638224017E-6</v>
      </c>
      <c r="G57" s="14">
        <v>1.1761867872216182E-6</v>
      </c>
      <c r="H57" s="14">
        <v>0</v>
      </c>
      <c r="I57" s="14">
        <v>7.3885634645240482E-7</v>
      </c>
      <c r="J57" s="14">
        <v>2.4523865577566618E-5</v>
      </c>
      <c r="K57" s="14">
        <v>0</v>
      </c>
    </row>
    <row r="58" spans="1:11">
      <c r="A58" s="2" t="s">
        <v>339</v>
      </c>
      <c r="B58" s="3" t="s">
        <v>340</v>
      </c>
      <c r="D58" s="14">
        <v>5.4454188838599069E-11</v>
      </c>
      <c r="E58" s="14">
        <v>1.0651504558923559E-6</v>
      </c>
      <c r="F58" s="14">
        <v>1.1510799996032323E-5</v>
      </c>
      <c r="G58" s="14">
        <v>3.975585183241671E-6</v>
      </c>
      <c r="H58" s="14">
        <v>0</v>
      </c>
      <c r="I58" s="14">
        <v>2.5499783204628974E-6</v>
      </c>
      <c r="J58" s="14">
        <v>2.0898431590181917E-5</v>
      </c>
      <c r="K58" s="14">
        <v>0</v>
      </c>
    </row>
    <row r="59" spans="1:11">
      <c r="A59" s="2" t="s">
        <v>281</v>
      </c>
      <c r="B59" s="3" t="s">
        <v>282</v>
      </c>
      <c r="D59" s="14">
        <v>2.6797693478112072E-9</v>
      </c>
      <c r="E59" s="14">
        <v>6.4117573703239616E-6</v>
      </c>
      <c r="F59" s="14">
        <v>6.7603881228929044E-6</v>
      </c>
      <c r="G59" s="14">
        <v>1.3227177619483167E-6</v>
      </c>
      <c r="H59" s="14">
        <v>0</v>
      </c>
      <c r="I59" s="14">
        <v>8.3185105900491433E-7</v>
      </c>
      <c r="J59" s="14">
        <v>2.4670605916482094E-5</v>
      </c>
      <c r="K59" s="14">
        <v>0</v>
      </c>
    </row>
    <row r="60" spans="1:11">
      <c r="A60" s="2" t="s">
        <v>341</v>
      </c>
      <c r="B60" s="3" t="s">
        <v>342</v>
      </c>
      <c r="D60" s="14">
        <v>7.8495983450440734E-8</v>
      </c>
      <c r="E60" s="14">
        <v>7.4931961182144541E-7</v>
      </c>
      <c r="F60" s="14">
        <v>1.0141954313621373E-5</v>
      </c>
      <c r="G60" s="14">
        <v>5.1076038449206655E-6</v>
      </c>
      <c r="H60" s="14">
        <v>0</v>
      </c>
      <c r="I60" s="14">
        <v>3.2911722529426546E-6</v>
      </c>
      <c r="J60" s="14">
        <v>2.0631453993243426E-5</v>
      </c>
      <c r="K60" s="14">
        <v>0</v>
      </c>
    </row>
    <row r="61" spans="1:11">
      <c r="A61" s="2" t="s">
        <v>483</v>
      </c>
      <c r="B61" s="3" t="s">
        <v>484</v>
      </c>
      <c r="D61" s="14">
        <v>5.6309385869629156E-18</v>
      </c>
      <c r="E61" s="14">
        <v>2.0513554445684929E-5</v>
      </c>
      <c r="F61" s="14">
        <v>3.2928943686991136E-6</v>
      </c>
      <c r="G61" s="14">
        <v>5.4865001636337278E-7</v>
      </c>
      <c r="H61" s="14">
        <v>0</v>
      </c>
      <c r="I61" s="14">
        <v>1.2035434087436129E-6</v>
      </c>
      <c r="J61" s="14">
        <v>1.4441357760503346E-5</v>
      </c>
      <c r="K61" s="14">
        <v>0</v>
      </c>
    </row>
    <row r="62" spans="1:11">
      <c r="A62" s="2" t="s">
        <v>485</v>
      </c>
      <c r="B62" s="3" t="s">
        <v>486</v>
      </c>
      <c r="D62" s="14">
        <v>1.471845753657097E-11</v>
      </c>
      <c r="E62" s="14">
        <v>1.3382028908881643E-5</v>
      </c>
      <c r="F62" s="14">
        <v>2.9196884653979578E-6</v>
      </c>
      <c r="G62" s="14">
        <v>6.4155230474815606E-7</v>
      </c>
      <c r="H62" s="14">
        <v>0</v>
      </c>
      <c r="I62" s="14">
        <v>4.0272583285457729E-7</v>
      </c>
      <c r="J62" s="14">
        <v>2.265398976966014E-5</v>
      </c>
      <c r="K62" s="14">
        <v>0</v>
      </c>
    </row>
    <row r="63" spans="1:11">
      <c r="A63" s="2" t="s">
        <v>487</v>
      </c>
      <c r="B63" s="3" t="s">
        <v>488</v>
      </c>
      <c r="D63" s="14">
        <v>2.9436992663561961E-17</v>
      </c>
      <c r="E63" s="14">
        <v>3.8089720801419637E-5</v>
      </c>
      <c r="F63" s="14">
        <v>1.3129181440998644E-7</v>
      </c>
      <c r="G63" s="14">
        <v>1.7323450630227347E-8</v>
      </c>
      <c r="H63" s="14">
        <v>0</v>
      </c>
      <c r="I63" s="14">
        <v>1.1567453656403559E-7</v>
      </c>
      <c r="J63" s="14">
        <v>1.6459893969466792E-6</v>
      </c>
      <c r="K63" s="14">
        <v>0</v>
      </c>
    </row>
    <row r="64" spans="1:11">
      <c r="A64" s="2" t="s">
        <v>489</v>
      </c>
      <c r="B64" s="3" t="s">
        <v>490</v>
      </c>
      <c r="D64" s="14">
        <v>5.3138880225669516E-19</v>
      </c>
      <c r="E64" s="14">
        <v>3.975999784993698E-5</v>
      </c>
      <c r="F64" s="14">
        <v>4.9005057445541053E-8</v>
      </c>
      <c r="G64" s="14">
        <v>6.0844070863001414E-10</v>
      </c>
      <c r="H64" s="14">
        <v>0</v>
      </c>
      <c r="I64" s="14">
        <v>1.543182480979841E-8</v>
      </c>
      <c r="J64" s="14">
        <v>1.7495682709852561E-7</v>
      </c>
      <c r="K64" s="14">
        <v>0</v>
      </c>
    </row>
    <row r="65" spans="1:11">
      <c r="A65" s="2" t="s">
        <v>491</v>
      </c>
      <c r="B65" s="3" t="s">
        <v>492</v>
      </c>
      <c r="D65" s="14">
        <v>8.7758402183776909E-17</v>
      </c>
      <c r="E65" s="14">
        <v>3.9892798215614195E-5</v>
      </c>
      <c r="F65" s="14">
        <v>6.3620189223019651E-9</v>
      </c>
      <c r="G65" s="14">
        <v>2.829687503948126E-10</v>
      </c>
      <c r="H65" s="14">
        <v>0</v>
      </c>
      <c r="I65" s="14">
        <v>2.324760938901458E-8</v>
      </c>
      <c r="J65" s="14">
        <v>7.7309187236339845E-8</v>
      </c>
      <c r="K65" s="14">
        <v>0</v>
      </c>
    </row>
    <row r="66" spans="1:11">
      <c r="A66" s="2" t="s">
        <v>493</v>
      </c>
      <c r="B66" s="3" t="s">
        <v>494</v>
      </c>
      <c r="D66" s="14">
        <v>1.382132052801795E-15</v>
      </c>
      <c r="E66" s="14">
        <v>3.7194653519481393E-5</v>
      </c>
      <c r="F66" s="14">
        <v>9.6534087486830632E-7</v>
      </c>
      <c r="G66" s="14">
        <v>2.419321219116336E-8</v>
      </c>
      <c r="H66" s="14">
        <v>0</v>
      </c>
      <c r="I66" s="14">
        <v>9.8457290620759426E-7</v>
      </c>
      <c r="J66" s="14">
        <v>8.3123948586941607E-7</v>
      </c>
      <c r="K66" s="14">
        <v>0</v>
      </c>
    </row>
    <row r="67" spans="1:11">
      <c r="A67" s="2" t="s">
        <v>495</v>
      </c>
      <c r="B67" s="3" t="s">
        <v>496</v>
      </c>
      <c r="D67" s="14">
        <v>6.8545197846749519E-17</v>
      </c>
      <c r="E67" s="14">
        <v>3.988565221075833E-5</v>
      </c>
      <c r="F67" s="14">
        <v>5.3636570177134193E-9</v>
      </c>
      <c r="G67" s="14">
        <v>2.932080791847665E-10</v>
      </c>
      <c r="H67" s="14">
        <v>0</v>
      </c>
      <c r="I67" s="14">
        <v>2.1777159079989965E-8</v>
      </c>
      <c r="J67" s="14">
        <v>8.6913764996232266E-8</v>
      </c>
      <c r="K67" s="14">
        <v>0</v>
      </c>
    </row>
    <row r="68" spans="1:11">
      <c r="A68" s="2" t="s">
        <v>497</v>
      </c>
      <c r="B68" s="3" t="s">
        <v>498</v>
      </c>
      <c r="D68" s="14">
        <v>6.1982136716281436E-16</v>
      </c>
      <c r="E68" s="14">
        <v>3.9948679990372967E-5</v>
      </c>
      <c r="F68" s="14">
        <v>6.3782795862220731E-10</v>
      </c>
      <c r="G68" s="14">
        <v>4.9211842808197729E-11</v>
      </c>
      <c r="H68" s="14">
        <v>0</v>
      </c>
      <c r="I68" s="14">
        <v>1.5520428258532994E-8</v>
      </c>
      <c r="J68" s="14">
        <v>3.5112540947257205E-8</v>
      </c>
      <c r="K68" s="14">
        <v>0</v>
      </c>
    </row>
    <row r="69" spans="1:11">
      <c r="A69" s="2" t="s">
        <v>499</v>
      </c>
      <c r="B69" s="3" t="s">
        <v>500</v>
      </c>
      <c r="D69" s="14">
        <v>1.3831106439033954E-15</v>
      </c>
      <c r="E69" s="14">
        <v>1.3818299073345215E-6</v>
      </c>
      <c r="F69" s="14">
        <v>1.2526251824461074E-5</v>
      </c>
      <c r="G69" s="14">
        <v>3.2227505690927993E-6</v>
      </c>
      <c r="H69" s="14">
        <v>0</v>
      </c>
      <c r="I69" s="14">
        <v>2.0597789102963655E-6</v>
      </c>
      <c r="J69" s="14">
        <v>2.0809388787432129E-5</v>
      </c>
      <c r="K69" s="14">
        <v>0</v>
      </c>
    </row>
    <row r="70" spans="1:11">
      <c r="A70" s="2" t="s">
        <v>501</v>
      </c>
      <c r="B70" s="3" t="s">
        <v>411</v>
      </c>
      <c r="D70" s="14">
        <v>1.1419668312038408E-17</v>
      </c>
      <c r="E70" s="14">
        <v>3.9857784470005111E-5</v>
      </c>
      <c r="F70" s="14">
        <v>1.2391609096249981E-7</v>
      </c>
      <c r="G70" s="14">
        <v>1.1776692325869135E-11</v>
      </c>
      <c r="H70" s="14">
        <v>0</v>
      </c>
      <c r="I70" s="14">
        <v>1.5959914342913253E-8</v>
      </c>
      <c r="J70" s="14">
        <v>2.3277479857409991E-9</v>
      </c>
      <c r="K70" s="14">
        <v>0</v>
      </c>
    </row>
    <row r="71" spans="1:11">
      <c r="A71" s="2" t="s">
        <v>502</v>
      </c>
      <c r="B71" s="3" t="s">
        <v>412</v>
      </c>
      <c r="D71" s="14">
        <v>5.3451422006499808E-13</v>
      </c>
      <c r="E71" s="14">
        <v>3.9742882464243328E-5</v>
      </c>
      <c r="F71" s="14">
        <v>2.3671943344533027E-7</v>
      </c>
      <c r="G71" s="14">
        <v>2.1512962819634437E-11</v>
      </c>
      <c r="H71" s="14">
        <v>0</v>
      </c>
      <c r="I71" s="14">
        <v>1.7108575442089532E-8</v>
      </c>
      <c r="J71" s="14">
        <v>3.2674793922103978E-9</v>
      </c>
      <c r="K71" s="14">
        <v>0</v>
      </c>
    </row>
    <row r="72" spans="1:11">
      <c r="A72" s="2" t="s">
        <v>503</v>
      </c>
      <c r="B72" s="3" t="s">
        <v>413</v>
      </c>
      <c r="D72" s="14">
        <v>6.2843803090587363E-14</v>
      </c>
      <c r="E72" s="14">
        <v>1.4246301965535764E-6</v>
      </c>
      <c r="F72" s="14">
        <v>3.6277445290482037E-5</v>
      </c>
      <c r="G72" s="14">
        <v>1.6660999640548112E-8</v>
      </c>
      <c r="H72" s="14">
        <v>0</v>
      </c>
      <c r="I72" s="14">
        <v>2.2491406288958904E-6</v>
      </c>
      <c r="J72" s="14">
        <v>3.2122821584156188E-8</v>
      </c>
      <c r="K72" s="14">
        <v>0</v>
      </c>
    </row>
    <row r="73" spans="1:11">
      <c r="A73" s="2" t="s">
        <v>504</v>
      </c>
      <c r="B73" s="3" t="s">
        <v>414</v>
      </c>
      <c r="D73" s="14">
        <v>6.7502829427224806E-14</v>
      </c>
      <c r="E73" s="14">
        <v>1.0863797535582096E-5</v>
      </c>
      <c r="F73" s="14">
        <v>2.8893237909870447E-5</v>
      </c>
      <c r="G73" s="14">
        <v>1.6701695934780964E-9</v>
      </c>
      <c r="H73" s="14">
        <v>0</v>
      </c>
      <c r="I73" s="14">
        <v>2.1988153013517373E-7</v>
      </c>
      <c r="J73" s="14">
        <v>2.1412787315974646E-8</v>
      </c>
      <c r="K73" s="14">
        <v>0</v>
      </c>
    </row>
    <row r="74" spans="1:11">
      <c r="A74" s="2" t="s">
        <v>505</v>
      </c>
      <c r="B74" s="3" t="s">
        <v>415</v>
      </c>
      <c r="D74" s="14">
        <v>6.5761068074965097E-14</v>
      </c>
      <c r="E74" s="14">
        <v>3.9765692013147723E-5</v>
      </c>
      <c r="F74" s="14">
        <v>2.1431032502522735E-7</v>
      </c>
      <c r="G74" s="14">
        <v>1.956173873187324E-11</v>
      </c>
      <c r="H74" s="14">
        <v>0</v>
      </c>
      <c r="I74" s="14">
        <v>1.6884035927870942E-8</v>
      </c>
      <c r="J74" s="14">
        <v>3.0939983993810135E-9</v>
      </c>
      <c r="K74" s="14">
        <v>0</v>
      </c>
    </row>
    <row r="75" spans="1:11">
      <c r="A75" s="2" t="s">
        <v>506</v>
      </c>
      <c r="B75" s="3" t="s">
        <v>416</v>
      </c>
      <c r="D75" s="14">
        <v>2.7725031829792569E-13</v>
      </c>
      <c r="E75" s="14">
        <v>1.2301320666567868E-5</v>
      </c>
      <c r="F75" s="14">
        <v>2.7462893331957032E-5</v>
      </c>
      <c r="G75" s="14">
        <v>1.6080911034246346E-9</v>
      </c>
      <c r="H75" s="14">
        <v>0</v>
      </c>
      <c r="I75" s="14">
        <v>2.1204549969181713E-7</v>
      </c>
      <c r="J75" s="14">
        <v>2.2132133429539452E-8</v>
      </c>
      <c r="K75" s="14">
        <v>0</v>
      </c>
    </row>
    <row r="76" spans="1:11">
      <c r="A76" s="2" t="s">
        <v>507</v>
      </c>
      <c r="B76" s="3" t="s">
        <v>417</v>
      </c>
      <c r="D76" s="14">
        <v>1.7660579555528324E-12</v>
      </c>
      <c r="E76" s="14">
        <v>3.5566821082398231E-5</v>
      </c>
      <c r="F76" s="14">
        <v>4.3659584733242008E-6</v>
      </c>
      <c r="G76" s="14">
        <v>3.175015973177757E-10</v>
      </c>
      <c r="H76" s="14">
        <v>0</v>
      </c>
      <c r="I76" s="14">
        <v>5.2747849482025319E-8</v>
      </c>
      <c r="J76" s="14">
        <v>1.4153327140270431E-8</v>
      </c>
      <c r="K76" s="14">
        <v>0</v>
      </c>
    </row>
    <row r="77" spans="1:11">
      <c r="A77" s="2" t="s">
        <v>508</v>
      </c>
      <c r="B77" s="3" t="s">
        <v>418</v>
      </c>
      <c r="D77" s="14">
        <v>2.0648960018578141E-12</v>
      </c>
      <c r="E77" s="14">
        <v>1.1263627570327721E-5</v>
      </c>
      <c r="F77" s="14">
        <v>2.8495273686010552E-5</v>
      </c>
      <c r="G77" s="14">
        <v>1.6582085360996543E-9</v>
      </c>
      <c r="H77" s="14">
        <v>0</v>
      </c>
      <c r="I77" s="14">
        <v>2.1774386374050397E-7</v>
      </c>
      <c r="J77" s="14">
        <v>2.1694606489129628E-8</v>
      </c>
      <c r="K77" s="14">
        <v>0</v>
      </c>
    </row>
    <row r="78" spans="1:11">
      <c r="A78" s="2" t="s">
        <v>509</v>
      </c>
      <c r="B78" s="3" t="s">
        <v>419</v>
      </c>
      <c r="D78" s="14">
        <v>2.5408464077242295E-13</v>
      </c>
      <c r="E78" s="14">
        <v>1.5890519637051158E-6</v>
      </c>
      <c r="F78" s="14">
        <v>3.6471418068441279E-5</v>
      </c>
      <c r="G78" s="14">
        <v>1.4073982572365243E-8</v>
      </c>
      <c r="H78" s="14">
        <v>0</v>
      </c>
      <c r="I78" s="14">
        <v>1.8948128470332049E-6</v>
      </c>
      <c r="J78" s="14">
        <v>3.0642884163397997E-8</v>
      </c>
      <c r="K78" s="14">
        <v>0</v>
      </c>
    </row>
    <row r="79" spans="1:11">
      <c r="A79" s="2" t="s">
        <v>510</v>
      </c>
      <c r="B79" s="3" t="s">
        <v>420</v>
      </c>
      <c r="D79" s="14">
        <v>6.3823193217957299E-18</v>
      </c>
      <c r="E79" s="14">
        <v>1.5890523088198605E-6</v>
      </c>
      <c r="F79" s="14">
        <v>3.6471425989405748E-5</v>
      </c>
      <c r="G79" s="14">
        <v>1.4071758340833398E-8</v>
      </c>
      <c r="H79" s="14">
        <v>0</v>
      </c>
      <c r="I79" s="14">
        <v>1.8948119020201778E-6</v>
      </c>
      <c r="J79" s="14">
        <v>3.0638041406997494E-8</v>
      </c>
      <c r="K79" s="14">
        <v>0</v>
      </c>
    </row>
    <row r="80" spans="1:11">
      <c r="A80" s="2" t="s">
        <v>511</v>
      </c>
      <c r="B80" s="3" t="s">
        <v>421</v>
      </c>
      <c r="D80" s="14">
        <v>3.1212396533519962E-13</v>
      </c>
      <c r="E80" s="14">
        <v>2.6607667327796861E-5</v>
      </c>
      <c r="F80" s="14">
        <v>1.3249556832947056E-5</v>
      </c>
      <c r="G80" s="14">
        <v>8.6649430276770507E-10</v>
      </c>
      <c r="H80" s="14">
        <v>0</v>
      </c>
      <c r="I80" s="14">
        <v>1.2000730679606562E-7</v>
      </c>
      <c r="J80" s="14">
        <v>2.1901726033280016E-8</v>
      </c>
      <c r="K80" s="14">
        <v>0</v>
      </c>
    </row>
    <row r="81" spans="1:11">
      <c r="A81" s="2" t="s">
        <v>512</v>
      </c>
      <c r="B81" s="3" t="s">
        <v>422</v>
      </c>
      <c r="D81" s="14">
        <v>1.2399967093305261E-13</v>
      </c>
      <c r="E81" s="14">
        <v>3.9026555226244167E-5</v>
      </c>
      <c r="F81" s="14">
        <v>9.4296325422218258E-7</v>
      </c>
      <c r="G81" s="14">
        <v>7.706534527061204E-11</v>
      </c>
      <c r="H81" s="14">
        <v>0</v>
      </c>
      <c r="I81" s="14">
        <v>2.3767331084251293E-8</v>
      </c>
      <c r="J81" s="14">
        <v>6.6369991044598434E-9</v>
      </c>
      <c r="K81" s="14">
        <v>0</v>
      </c>
    </row>
    <row r="82" spans="1:11">
      <c r="A82" s="2" t="s">
        <v>513</v>
      </c>
      <c r="B82" s="3" t="s">
        <v>423</v>
      </c>
      <c r="D82" s="14">
        <v>3.9716833555826811E-17</v>
      </c>
      <c r="E82" s="14">
        <v>3.7546916893193304E-5</v>
      </c>
      <c r="F82" s="14">
        <v>2.4057407896275571E-6</v>
      </c>
      <c r="G82" s="14">
        <v>1.8295507291404722E-10</v>
      </c>
      <c r="H82" s="14">
        <v>0</v>
      </c>
      <c r="I82" s="14">
        <v>3.6545899646405543E-8</v>
      </c>
      <c r="J82" s="14">
        <v>1.0613462420107115E-8</v>
      </c>
      <c r="K82" s="14">
        <v>0</v>
      </c>
    </row>
    <row r="83" spans="1:11">
      <c r="A83" s="2" t="s">
        <v>514</v>
      </c>
      <c r="B83" s="3" t="s">
        <v>424</v>
      </c>
      <c r="D83" s="14">
        <v>8.8045040332652254E-14</v>
      </c>
      <c r="E83" s="14">
        <v>1.0427125075157695E-6</v>
      </c>
      <c r="F83" s="14">
        <v>3.5332887726229453E-5</v>
      </c>
      <c r="G83" s="14">
        <v>2.6190482089816664E-8</v>
      </c>
      <c r="H83" s="14">
        <v>0</v>
      </c>
      <c r="I83" s="14">
        <v>3.5620635391160788E-6</v>
      </c>
      <c r="J83" s="14">
        <v>3.6145657003853469E-8</v>
      </c>
      <c r="K83" s="14">
        <v>0</v>
      </c>
    </row>
    <row r="84" spans="1:11">
      <c r="A84" s="2" t="s">
        <v>403</v>
      </c>
      <c r="B84" s="3" t="s">
        <v>404</v>
      </c>
      <c r="D84" s="14">
        <v>2.7001647398767834E-48</v>
      </c>
      <c r="E84" s="14">
        <v>1.7207981331788328E-5</v>
      </c>
      <c r="F84" s="14">
        <v>1.8640796984852818E-6</v>
      </c>
      <c r="G84" s="14">
        <v>4.3128070822012195E-7</v>
      </c>
      <c r="H84" s="14">
        <v>0</v>
      </c>
      <c r="I84" s="14">
        <v>2.7239720530912102E-7</v>
      </c>
      <c r="J84" s="14">
        <v>2.0224261056197152E-5</v>
      </c>
      <c r="K84" s="14">
        <v>0</v>
      </c>
    </row>
    <row r="85" spans="1:11">
      <c r="A85" s="2" t="s">
        <v>405</v>
      </c>
      <c r="B85" s="3" t="s">
        <v>406</v>
      </c>
      <c r="D85" s="14">
        <v>1.5051024341479302E-12</v>
      </c>
      <c r="E85" s="14">
        <v>5.5117193586786286E-6</v>
      </c>
      <c r="F85" s="14">
        <v>8.6324278692994608E-6</v>
      </c>
      <c r="G85" s="14">
        <v>4.5129108097207964E-7</v>
      </c>
      <c r="H85" s="14">
        <v>0</v>
      </c>
      <c r="I85" s="14">
        <v>2.3706436260134676E-5</v>
      </c>
      <c r="J85" s="14">
        <v>1.6981239258127145E-6</v>
      </c>
      <c r="K85" s="14">
        <v>0</v>
      </c>
    </row>
    <row r="86" spans="1:11">
      <c r="A86" s="2" t="s">
        <v>407</v>
      </c>
      <c r="B86" s="3" t="s">
        <v>408</v>
      </c>
      <c r="D86" s="14">
        <v>5.0059155131877304E-9</v>
      </c>
      <c r="E86" s="14">
        <v>6.9260110496139452E-8</v>
      </c>
      <c r="F86" s="14">
        <v>3.3470155530924599E-6</v>
      </c>
      <c r="G86" s="14">
        <v>1.4218483745389174E-5</v>
      </c>
      <c r="H86" s="14">
        <v>0</v>
      </c>
      <c r="I86" s="14">
        <v>9.4073673720496071E-6</v>
      </c>
      <c r="J86" s="14">
        <v>1.2952867303459432E-5</v>
      </c>
      <c r="K86" s="14">
        <v>0</v>
      </c>
    </row>
    <row r="87" spans="1:11">
      <c r="A87" s="2" t="s">
        <v>409</v>
      </c>
      <c r="B87" s="3" t="s">
        <v>410</v>
      </c>
      <c r="D87" s="14">
        <v>6.6414304193920174E-10</v>
      </c>
      <c r="E87" s="14">
        <v>2.5715874138021232E-8</v>
      </c>
      <c r="F87" s="14">
        <v>1.9325727071456678E-6</v>
      </c>
      <c r="G87" s="14">
        <v>1.7204077777282282E-5</v>
      </c>
      <c r="H87" s="14">
        <v>0</v>
      </c>
      <c r="I87" s="14">
        <v>1.1488424392156526E-5</v>
      </c>
      <c r="J87" s="14">
        <v>9.3485451062355703E-6</v>
      </c>
      <c r="K87" s="14">
        <v>0</v>
      </c>
    </row>
    <row r="88" spans="1:11">
      <c r="A88" s="2" t="s">
        <v>301</v>
      </c>
      <c r="B88" s="3" t="s">
        <v>302</v>
      </c>
      <c r="D88" s="14">
        <v>8.7525563718838187E-11</v>
      </c>
      <c r="E88" s="14">
        <v>7.7018415754978987E-9</v>
      </c>
      <c r="F88" s="14">
        <v>9.5633297646224836E-7</v>
      </c>
      <c r="G88" s="14">
        <v>1.9747161901021346E-5</v>
      </c>
      <c r="H88" s="14">
        <v>0</v>
      </c>
      <c r="I88" s="14">
        <v>1.332636779929048E-5</v>
      </c>
      <c r="J88" s="14">
        <v>5.9623479560867154E-6</v>
      </c>
      <c r="K88" s="14">
        <v>0</v>
      </c>
    </row>
    <row r="89" spans="1:11">
      <c r="A89" s="2" t="s">
        <v>303</v>
      </c>
      <c r="B89" s="3" t="s">
        <v>304</v>
      </c>
      <c r="D89" s="14">
        <v>7.0389016110447668E-18</v>
      </c>
      <c r="E89" s="14">
        <v>5.428986787833358E-8</v>
      </c>
      <c r="F89" s="14">
        <v>6.1830378250688615E-7</v>
      </c>
      <c r="G89" s="14">
        <v>1.608081216884126E-6</v>
      </c>
      <c r="H89" s="14">
        <v>0</v>
      </c>
      <c r="I89" s="14">
        <v>3.7041027018339673E-5</v>
      </c>
      <c r="J89" s="14">
        <v>6.7829811438395153E-7</v>
      </c>
      <c r="K89" s="14">
        <v>0</v>
      </c>
    </row>
    <row r="90" spans="1:11">
      <c r="A90" s="2" t="s">
        <v>425</v>
      </c>
      <c r="B90" s="3" t="s">
        <v>426</v>
      </c>
      <c r="D90" s="14">
        <v>6.3924478545765209E-18</v>
      </c>
      <c r="E90" s="14">
        <v>3.8977940890381967E-5</v>
      </c>
      <c r="F90" s="14">
        <v>3.6562294550009323E-9</v>
      </c>
      <c r="G90" s="14">
        <v>1.2276052300644807E-9</v>
      </c>
      <c r="H90" s="14">
        <v>0</v>
      </c>
      <c r="I90" s="14">
        <v>1.4936131399985989E-8</v>
      </c>
      <c r="J90" s="14">
        <v>1.0022391435266003E-6</v>
      </c>
      <c r="K90" s="14">
        <v>0</v>
      </c>
    </row>
    <row r="91" spans="1:11">
      <c r="A91" s="2" t="s">
        <v>427</v>
      </c>
      <c r="B91" s="3" t="s">
        <v>428</v>
      </c>
      <c r="D91" s="14">
        <v>3.5086686914479658E-9</v>
      </c>
      <c r="E91" s="14">
        <v>3.060849852011219E-5</v>
      </c>
      <c r="F91" s="14">
        <v>2.3410817341352076E-7</v>
      </c>
      <c r="G91" s="14">
        <v>6.5843382277747595E-8</v>
      </c>
      <c r="H91" s="14">
        <v>0</v>
      </c>
      <c r="I91" s="14">
        <v>5.1031264987479176E-8</v>
      </c>
      <c r="J91" s="14">
        <v>9.0370099905176177E-6</v>
      </c>
      <c r="K91" s="14">
        <v>0</v>
      </c>
    </row>
    <row r="92" spans="1:11">
      <c r="A92" s="2" t="s">
        <v>429</v>
      </c>
      <c r="B92" s="3" t="s">
        <v>430</v>
      </c>
      <c r="D92" s="14">
        <v>4.2142775416320035E-8</v>
      </c>
      <c r="E92" s="14">
        <v>1.0618490876887422E-5</v>
      </c>
      <c r="F92" s="14">
        <v>4.0160337015052902E-6</v>
      </c>
      <c r="G92" s="14">
        <v>8.4740867189617096E-7</v>
      </c>
      <c r="H92" s="14">
        <v>0</v>
      </c>
      <c r="I92" s="14">
        <v>5.3143710388407828E-7</v>
      </c>
      <c r="J92" s="14">
        <v>2.3944486870410717E-5</v>
      </c>
      <c r="K92" s="14">
        <v>0</v>
      </c>
    </row>
    <row r="93" spans="1:11">
      <c r="A93" s="2" t="s">
        <v>431</v>
      </c>
      <c r="B93" s="3" t="s">
        <v>432</v>
      </c>
      <c r="D93" s="14">
        <v>4.8217834649874367E-22</v>
      </c>
      <c r="E93" s="14">
        <v>3.99616154164382E-5</v>
      </c>
      <c r="F93" s="14">
        <v>1.7448077688888402E-8</v>
      </c>
      <c r="G93" s="14">
        <v>1.3978787653653585E-11</v>
      </c>
      <c r="H93" s="14">
        <v>0</v>
      </c>
      <c r="I93" s="14">
        <v>1.4802094223580062E-8</v>
      </c>
      <c r="J93" s="14">
        <v>6.1204328616818642E-9</v>
      </c>
      <c r="K93" s="14">
        <v>0</v>
      </c>
    </row>
    <row r="94" spans="1:11">
      <c r="A94" s="2" t="s">
        <v>433</v>
      </c>
      <c r="B94" s="3" t="s">
        <v>434</v>
      </c>
      <c r="D94" s="14">
        <v>1.0151451352685847E-22</v>
      </c>
      <c r="E94" s="14">
        <v>3.9985064626386176E-5</v>
      </c>
      <c r="F94" s="14">
        <v>6.7639805939080749E-11</v>
      </c>
      <c r="G94" s="14">
        <v>9.4383916513153198E-14</v>
      </c>
      <c r="H94" s="14">
        <v>0</v>
      </c>
      <c r="I94" s="14">
        <v>1.4713394590767161E-8</v>
      </c>
      <c r="J94" s="14">
        <v>1.5424483320314746E-10</v>
      </c>
      <c r="K94" s="14">
        <v>0</v>
      </c>
    </row>
    <row r="95" spans="1:11">
      <c r="A95" s="2" t="s">
        <v>435</v>
      </c>
      <c r="B95" s="3" t="s">
        <v>436</v>
      </c>
      <c r="D95" s="14">
        <v>5.4546689350529895E-13</v>
      </c>
      <c r="E95" s="14">
        <v>3.7644060535078131E-5</v>
      </c>
      <c r="F95" s="14">
        <v>1.4962832137287248E-8</v>
      </c>
      <c r="G95" s="14">
        <v>5.1897334190533451E-9</v>
      </c>
      <c r="H95" s="14">
        <v>0</v>
      </c>
      <c r="I95" s="14">
        <v>1.701631280184662E-8</v>
      </c>
      <c r="J95" s="14">
        <v>2.3187700410967924E-6</v>
      </c>
      <c r="K95" s="14">
        <v>0</v>
      </c>
    </row>
    <row r="96" spans="1:11">
      <c r="A96" s="2" t="s">
        <v>437</v>
      </c>
      <c r="B96" s="163" t="s">
        <v>438</v>
      </c>
      <c r="D96" s="14">
        <v>9.1189190312864631E-12</v>
      </c>
      <c r="E96" s="14">
        <v>9.8193564163644362E-8</v>
      </c>
      <c r="F96" s="14">
        <v>4.025479083967278E-6</v>
      </c>
      <c r="G96" s="14">
        <v>1.2981148848796966E-5</v>
      </c>
      <c r="H96" s="14">
        <v>0</v>
      </c>
      <c r="I96" s="14">
        <v>8.5592430608517129E-6</v>
      </c>
      <c r="J96" s="14">
        <v>1.433592632330137E-5</v>
      </c>
      <c r="K96" s="14">
        <v>0</v>
      </c>
    </row>
    <row r="97" spans="1:11">
      <c r="A97" s="2" t="s">
        <v>439</v>
      </c>
      <c r="B97" s="3" t="s">
        <v>440</v>
      </c>
      <c r="D97" s="14">
        <v>1.7995036080842776E-9</v>
      </c>
      <c r="E97" s="14">
        <v>2.7160163892177181E-5</v>
      </c>
      <c r="F97" s="14">
        <v>4.6240970098714299E-7</v>
      </c>
      <c r="G97" s="14">
        <v>1.2260904000305265E-7</v>
      </c>
      <c r="H97" s="14">
        <v>0</v>
      </c>
      <c r="I97" s="14">
        <v>8.457176767648506E-8</v>
      </c>
      <c r="J97" s="14">
        <v>1.2168446095548053E-5</v>
      </c>
      <c r="K97" s="14">
        <v>0</v>
      </c>
    </row>
    <row r="98" spans="1:11">
      <c r="A98" s="2" t="s">
        <v>441</v>
      </c>
      <c r="B98" s="3" t="s">
        <v>442</v>
      </c>
      <c r="D98" s="14">
        <v>1.1669696331924983E-21</v>
      </c>
      <c r="E98" s="14">
        <v>3.0019207273754775E-5</v>
      </c>
      <c r="F98" s="14">
        <v>2.6676802277253743E-7</v>
      </c>
      <c r="G98" s="14">
        <v>7.4204343178996664E-8</v>
      </c>
      <c r="H98" s="14">
        <v>0</v>
      </c>
      <c r="I98" s="14">
        <v>5.5927372190479857E-8</v>
      </c>
      <c r="J98" s="14">
        <v>9.5838929881032163E-6</v>
      </c>
      <c r="K98" s="14">
        <v>0</v>
      </c>
    </row>
    <row r="99" spans="1:11">
      <c r="A99" s="2" t="s">
        <v>443</v>
      </c>
      <c r="B99" s="3" t="s">
        <v>444</v>
      </c>
      <c r="D99" s="14">
        <v>1.7045753030637129E-33</v>
      </c>
      <c r="E99" s="14">
        <v>3.5149233300819559E-5</v>
      </c>
      <c r="F99" s="14">
        <v>5.9963973935701205E-8</v>
      </c>
      <c r="G99" s="14">
        <v>1.8835882043691732E-8</v>
      </c>
      <c r="H99" s="14">
        <v>0</v>
      </c>
      <c r="I99" s="14">
        <v>2.4099319581871353E-8</v>
      </c>
      <c r="J99" s="14">
        <v>4.7478675236191844E-6</v>
      </c>
      <c r="K99" s="14">
        <v>0</v>
      </c>
    </row>
    <row r="100" spans="1:11">
      <c r="A100" s="2" t="s">
        <v>445</v>
      </c>
      <c r="B100" s="3" t="s">
        <v>446</v>
      </c>
      <c r="D100" s="14">
        <v>8.7658709293308538E-12</v>
      </c>
      <c r="E100" s="14">
        <v>5.9100987334692094E-7</v>
      </c>
      <c r="F100" s="14">
        <v>9.2676428010260604E-6</v>
      </c>
      <c r="G100" s="14">
        <v>5.9726194190858498E-6</v>
      </c>
      <c r="H100" s="14">
        <v>0</v>
      </c>
      <c r="I100" s="14">
        <v>3.8602366655135224E-6</v>
      </c>
      <c r="J100" s="14">
        <v>2.0308482475156726E-5</v>
      </c>
      <c r="K100" s="14">
        <v>0</v>
      </c>
    </row>
    <row r="101" spans="1:11">
      <c r="A101" s="2" t="s">
        <v>447</v>
      </c>
      <c r="B101" s="3" t="s">
        <v>448</v>
      </c>
      <c r="D101" s="14">
        <v>3.2444766048754178E-13</v>
      </c>
      <c r="E101" s="14">
        <v>1.2990453462657158E-5</v>
      </c>
      <c r="F101" s="14">
        <v>3.0550537941107064E-6</v>
      </c>
      <c r="G101" s="14">
        <v>6.6759706266753068E-7</v>
      </c>
      <c r="H101" s="14">
        <v>0</v>
      </c>
      <c r="I101" s="14">
        <v>4.189551628494055E-7</v>
      </c>
      <c r="J101" s="14">
        <v>2.2867940193267539E-5</v>
      </c>
      <c r="K101" s="14">
        <v>0</v>
      </c>
    </row>
    <row r="102" spans="1:11">
      <c r="A102" s="2" t="s">
        <v>449</v>
      </c>
      <c r="B102" s="3" t="s">
        <v>450</v>
      </c>
      <c r="D102" s="14">
        <v>2.50796769535437E-8</v>
      </c>
      <c r="E102" s="14">
        <v>4.9787647108275789E-6</v>
      </c>
      <c r="F102" s="14">
        <v>8.2337211175347318E-6</v>
      </c>
      <c r="G102" s="14">
        <v>1.5584458197919117E-6</v>
      </c>
      <c r="H102" s="14">
        <v>0</v>
      </c>
      <c r="I102" s="14">
        <v>9.8230439653356888E-7</v>
      </c>
      <c r="J102" s="14">
        <v>2.4221684278358667E-5</v>
      </c>
      <c r="K102" s="14">
        <v>0</v>
      </c>
    </row>
    <row r="103" spans="1:11">
      <c r="A103" s="2" t="s">
        <v>451</v>
      </c>
      <c r="B103" s="3" t="s">
        <v>452</v>
      </c>
      <c r="D103" s="14">
        <v>1.9366213073869845E-23</v>
      </c>
      <c r="E103" s="14">
        <v>3.9513150581562843E-5</v>
      </c>
      <c r="F103" s="14">
        <v>4.623131109028058E-7</v>
      </c>
      <c r="G103" s="14">
        <v>4.486538698442169E-11</v>
      </c>
      <c r="H103" s="14">
        <v>0</v>
      </c>
      <c r="I103" s="14">
        <v>1.9307930859145211E-8</v>
      </c>
      <c r="J103" s="14">
        <v>5.183511288223964E-9</v>
      </c>
      <c r="K103" s="14">
        <v>0</v>
      </c>
    </row>
    <row r="104" spans="1:11">
      <c r="A104" s="2" t="s">
        <v>453</v>
      </c>
      <c r="B104" s="3" t="s">
        <v>454</v>
      </c>
      <c r="D104" s="14">
        <v>4.0415716042225341E-24</v>
      </c>
      <c r="E104" s="14">
        <v>3.9905749046509016E-6</v>
      </c>
      <c r="F104" s="14">
        <v>3.5338655112340365E-5</v>
      </c>
      <c r="G104" s="14">
        <v>3.7421024028139767E-8</v>
      </c>
      <c r="H104" s="14">
        <v>0</v>
      </c>
      <c r="I104" s="14">
        <v>3.8501946797728461E-7</v>
      </c>
      <c r="J104" s="14">
        <v>2.4832949100331424E-7</v>
      </c>
      <c r="K104" s="14">
        <v>0</v>
      </c>
    </row>
    <row r="105" spans="1:11">
      <c r="A105" s="2" t="s">
        <v>455</v>
      </c>
      <c r="B105" s="163">
        <v>354656</v>
      </c>
      <c r="D105" s="14">
        <v>1.4706529876070789E-14</v>
      </c>
      <c r="E105" s="14">
        <v>3.8778398924906455E-5</v>
      </c>
      <c r="F105" s="14">
        <v>3.9208878876792323E-9</v>
      </c>
      <c r="G105" s="14">
        <v>1.5166311783300314E-9</v>
      </c>
      <c r="H105" s="14">
        <v>0</v>
      </c>
      <c r="I105" s="14">
        <v>1.5026361247281304E-8</v>
      </c>
      <c r="J105" s="14">
        <v>1.2011371800737266E-6</v>
      </c>
      <c r="K105" s="14">
        <v>0</v>
      </c>
    </row>
    <row r="106" spans="1:11">
      <c r="A106" s="2" t="s">
        <v>457</v>
      </c>
      <c r="B106" s="3" t="s">
        <v>458</v>
      </c>
      <c r="D106" s="14">
        <v>2.1875089088155766E-14</v>
      </c>
      <c r="E106" s="14">
        <v>3.7533043675646658E-5</v>
      </c>
      <c r="F106" s="14">
        <v>1.6223687423319151E-8</v>
      </c>
      <c r="G106" s="14">
        <v>5.6017673516121566E-9</v>
      </c>
      <c r="H106" s="14">
        <v>0</v>
      </c>
      <c r="I106" s="14">
        <v>1.7192253692638436E-8</v>
      </c>
      <c r="J106" s="14">
        <v>2.4279385940106833E-6</v>
      </c>
      <c r="K106" s="14">
        <v>0</v>
      </c>
    </row>
    <row r="107" spans="1:11">
      <c r="A107" s="2" t="s">
        <v>459</v>
      </c>
      <c r="B107" s="3" t="s">
        <v>460</v>
      </c>
      <c r="D107" s="14">
        <v>7.3067282911249356E-24</v>
      </c>
      <c r="E107" s="14">
        <v>3.3371417670811692E-6</v>
      </c>
      <c r="F107" s="14">
        <v>1.1324689441254677E-5</v>
      </c>
      <c r="G107" s="14">
        <v>1.9820494885928394E-6</v>
      </c>
      <c r="H107" s="14">
        <v>0</v>
      </c>
      <c r="I107" s="14">
        <v>1.5274568874072119E-6</v>
      </c>
      <c r="J107" s="14">
        <v>2.1828662415664105E-5</v>
      </c>
      <c r="K107" s="14">
        <v>0</v>
      </c>
    </row>
    <row r="108" spans="1:11">
      <c r="A108" s="2" t="s">
        <v>461</v>
      </c>
      <c r="B108" s="3" t="s">
        <v>462</v>
      </c>
      <c r="D108" s="14">
        <v>4.3859656511501381E-14</v>
      </c>
      <c r="E108" s="14">
        <v>3.9983102933555288E-5</v>
      </c>
      <c r="F108" s="14">
        <v>3.5035782100149061E-11</v>
      </c>
      <c r="G108" s="14">
        <v>1.0154847325745948E-12</v>
      </c>
      <c r="H108" s="14">
        <v>0</v>
      </c>
      <c r="I108" s="14">
        <v>1.4645908593074546E-8</v>
      </c>
      <c r="J108" s="14">
        <v>2.2150627251564005E-9</v>
      </c>
      <c r="K108" s="14">
        <v>0</v>
      </c>
    </row>
    <row r="109" spans="1:11">
      <c r="A109" s="2" t="s">
        <v>463</v>
      </c>
      <c r="B109" s="3" t="s">
        <v>464</v>
      </c>
      <c r="D109" s="14">
        <v>1.1776988866727791E-16</v>
      </c>
      <c r="E109" s="14">
        <v>3.8721141738837746E-5</v>
      </c>
      <c r="F109" s="14">
        <v>2.4178606823097734E-7</v>
      </c>
      <c r="G109" s="14">
        <v>1.2018142494760763E-8</v>
      </c>
      <c r="H109" s="14">
        <v>0</v>
      </c>
      <c r="I109" s="14">
        <v>2.6130623751799618E-7</v>
      </c>
      <c r="J109" s="14">
        <v>7.6374781280075339E-7</v>
      </c>
      <c r="K109" s="14">
        <v>0</v>
      </c>
    </row>
    <row r="110" spans="1:11">
      <c r="A110" s="2" t="s">
        <v>465</v>
      </c>
      <c r="B110" s="3" t="s">
        <v>466</v>
      </c>
      <c r="D110" s="14">
        <v>8.3289705703563301E-16</v>
      </c>
      <c r="E110" s="14">
        <v>3.9734969417763534E-5</v>
      </c>
      <c r="F110" s="14">
        <v>8.9612260663801151E-10</v>
      </c>
      <c r="G110" s="14">
        <v>1.7144860632031199E-10</v>
      </c>
      <c r="H110" s="14">
        <v>0</v>
      </c>
      <c r="I110" s="14">
        <v>1.4591641063939239E-8</v>
      </c>
      <c r="J110" s="14">
        <v>2.4937136912666769E-7</v>
      </c>
      <c r="K110" s="14">
        <v>0</v>
      </c>
    </row>
    <row r="111" spans="1:11">
      <c r="A111" s="2" t="s">
        <v>467</v>
      </c>
      <c r="B111" s="3" t="s">
        <v>468</v>
      </c>
      <c r="D111" s="14">
        <v>1.4801731121738325E-34</v>
      </c>
      <c r="E111" s="14">
        <v>3.9985135846715601E-5</v>
      </c>
      <c r="F111" s="14">
        <v>6.3669747305873155E-11</v>
      </c>
      <c r="G111" s="14">
        <v>5.2602341304041387E-14</v>
      </c>
      <c r="H111" s="14">
        <v>0</v>
      </c>
      <c r="I111" s="14">
        <v>1.457649813737284E-8</v>
      </c>
      <c r="J111" s="14">
        <v>2.2393279738320703E-10</v>
      </c>
      <c r="K111" s="14">
        <v>0</v>
      </c>
    </row>
    <row r="112" spans="1:11">
      <c r="A112" s="2" t="s">
        <v>469</v>
      </c>
      <c r="B112" s="3" t="s">
        <v>470</v>
      </c>
      <c r="D112" s="14">
        <v>9.3571762074664961E-18</v>
      </c>
      <c r="E112" s="14">
        <v>3.9661987412972084E-5</v>
      </c>
      <c r="F112" s="14">
        <v>3.0904307951208945E-10</v>
      </c>
      <c r="G112" s="14">
        <v>1.4438250689105822E-10</v>
      </c>
      <c r="H112" s="14">
        <v>0</v>
      </c>
      <c r="I112" s="14">
        <v>1.4540800807046914E-8</v>
      </c>
      <c r="J112" s="14">
        <v>3.2301836062511362E-7</v>
      </c>
      <c r="K112" s="14">
        <v>0</v>
      </c>
    </row>
    <row r="113" spans="1:11">
      <c r="A113" s="2" t="s">
        <v>471</v>
      </c>
      <c r="B113" s="3" t="s">
        <v>472</v>
      </c>
      <c r="D113" s="14">
        <v>1.1546617464393694E-13</v>
      </c>
      <c r="E113" s="14">
        <v>3.8155262216297805E-5</v>
      </c>
      <c r="F113" s="14">
        <v>8.8049925514020449E-9</v>
      </c>
      <c r="G113" s="14">
        <v>3.2049742773285052E-9</v>
      </c>
      <c r="H113" s="14">
        <v>0</v>
      </c>
      <c r="I113" s="14">
        <v>1.580195590137032E-8</v>
      </c>
      <c r="J113" s="14">
        <v>1.8169257455059286E-6</v>
      </c>
      <c r="K113" s="14">
        <v>0</v>
      </c>
    </row>
    <row r="114" spans="1:11">
      <c r="A114" s="2" t="s">
        <v>473</v>
      </c>
      <c r="B114" s="3" t="s">
        <v>474</v>
      </c>
      <c r="D114" s="14">
        <v>9.1843637501555955E-21</v>
      </c>
      <c r="E114" s="14">
        <v>3.981785572068786E-5</v>
      </c>
      <c r="F114" s="14">
        <v>8.9981332253596543E-11</v>
      </c>
      <c r="G114" s="14">
        <v>4.5333685006442543E-11</v>
      </c>
      <c r="H114" s="14">
        <v>0</v>
      </c>
      <c r="I114" s="14">
        <v>1.4540262687801046E-8</v>
      </c>
      <c r="J114" s="14">
        <v>1.6746870160707082E-7</v>
      </c>
      <c r="K114" s="14">
        <v>0</v>
      </c>
    </row>
    <row r="115" spans="1:11">
      <c r="A115" s="2" t="s">
        <v>475</v>
      </c>
      <c r="B115" s="3" t="s">
        <v>476</v>
      </c>
      <c r="D115" s="14">
        <v>4.8697165962416024E-17</v>
      </c>
      <c r="E115" s="14">
        <v>3.9869229949911652E-5</v>
      </c>
      <c r="F115" s="14">
        <v>1.1215338811293149E-7</v>
      </c>
      <c r="G115" s="14">
        <v>1.3433718737419205E-11</v>
      </c>
      <c r="H115" s="14">
        <v>0</v>
      </c>
      <c r="I115" s="14">
        <v>1.5838140689903264E-8</v>
      </c>
      <c r="J115" s="14">
        <v>2.7650875180862926E-9</v>
      </c>
      <c r="K115" s="14">
        <v>0</v>
      </c>
    </row>
    <row r="116" spans="1:11">
      <c r="A116" s="2" t="s">
        <v>477</v>
      </c>
      <c r="B116" s="3" t="s">
        <v>478</v>
      </c>
      <c r="D116" s="14">
        <v>4.4275926458344592E-21</v>
      </c>
      <c r="E116" s="14">
        <v>1.7700129761602125E-5</v>
      </c>
      <c r="F116" s="14">
        <v>1.0812693846940414E-5</v>
      </c>
      <c r="G116" s="14">
        <v>2.6188910225312875E-7</v>
      </c>
      <c r="H116" s="14">
        <v>0</v>
      </c>
      <c r="I116" s="14">
        <v>8.6969788315392422E-6</v>
      </c>
      <c r="J116" s="14">
        <v>2.528308457665092E-6</v>
      </c>
      <c r="K116" s="14">
        <v>0</v>
      </c>
    </row>
    <row r="117" spans="1:11">
      <c r="A117" s="2" t="s">
        <v>291</v>
      </c>
      <c r="B117" s="3" t="s">
        <v>479</v>
      </c>
      <c r="D117" s="14">
        <v>1.4495373107630669E-14</v>
      </c>
      <c r="E117" s="14">
        <v>2.3345816251076605E-5</v>
      </c>
      <c r="F117" s="14">
        <v>8.4159590446447209E-7</v>
      </c>
      <c r="G117" s="14">
        <v>2.1115392990643552E-7</v>
      </c>
      <c r="H117" s="14">
        <v>0</v>
      </c>
      <c r="I117" s="14">
        <v>1.3779145354981239E-7</v>
      </c>
      <c r="J117" s="14">
        <v>1.5463642446507303E-5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17"/>
  <sheetViews>
    <sheetView tabSelected="1" topLeftCell="A106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1.479690490291396E-8</v>
      </c>
      <c r="B2">
        <f>'Mass Balance'!E2</f>
        <v>3.9049833683892318E-5</v>
      </c>
      <c r="C2">
        <f>SUM('Mass Balance'!E2:H2)</f>
        <v>3.9053189146628719E-5</v>
      </c>
      <c r="D2">
        <f>Concentrations!F2/Concentrations!E2</f>
        <v>1.0003040382004165</v>
      </c>
    </row>
    <row r="3" spans="1:4">
      <c r="A3">
        <f>'Mass Balance'!I3</f>
        <v>1.7715062912747735E-7</v>
      </c>
      <c r="B3">
        <f>'Mass Balance'!E3</f>
        <v>2.3533887487157399E-5</v>
      </c>
      <c r="C3">
        <f>SUM('Mass Balance'!E3:H3)</f>
        <v>2.4691900299148306E-5</v>
      </c>
      <c r="D3">
        <f>Concentrations!F3/Concentrations!E3</f>
        <v>0.95347321310179411</v>
      </c>
    </row>
    <row r="4" spans="1:4">
      <c r="A4">
        <f>'Mass Balance'!I4</f>
        <v>1.7364935001842829E-8</v>
      </c>
      <c r="B4">
        <f>'Mass Balance'!E4</f>
        <v>3.9980128733693464E-5</v>
      </c>
      <c r="C4">
        <f>SUM('Mass Balance'!E4:H4)</f>
        <v>3.9981811937688113E-5</v>
      </c>
      <c r="D4">
        <f>Concentrations!F4/Concentrations!E4</f>
        <v>1.0003478763736682</v>
      </c>
    </row>
    <row r="5" spans="1:4">
      <c r="A5">
        <f>'Mass Balance'!I5</f>
        <v>4.1855402618025138E-8</v>
      </c>
      <c r="B5">
        <f>'Mass Balance'!E5</f>
        <v>3.6908569485471888E-5</v>
      </c>
      <c r="C5">
        <f>SUM('Mass Balance'!E5:H5)</f>
        <v>3.9945509628331016E-5</v>
      </c>
      <c r="D5">
        <f>Concentrations!F5/Concentrations!E5</f>
        <v>0.92433326992500109</v>
      </c>
    </row>
    <row r="6" spans="1:4">
      <c r="A6">
        <f>'Mass Balance'!I6</f>
        <v>7.3240494431208424E-8</v>
      </c>
      <c r="B6">
        <f>'Mass Balance'!E6</f>
        <v>3.300372038038962E-5</v>
      </c>
      <c r="C6">
        <f>SUM('Mass Balance'!E6:H6)</f>
        <v>3.9855184297812299E-5</v>
      </c>
      <c r="D6">
        <f>Concentrations!F6/Concentrations!E6</f>
        <v>0.82841397299118713</v>
      </c>
    </row>
    <row r="7" spans="1:4">
      <c r="A7">
        <f>'Mass Balance'!I7</f>
        <v>1.7011242468548803E-7</v>
      </c>
      <c r="B7">
        <f>'Mass Balance'!E7</f>
        <v>2.1445408658286361E-5</v>
      </c>
      <c r="C7">
        <f>SUM('Mass Balance'!E7:H7)</f>
        <v>3.909001743831647E-5</v>
      </c>
      <c r="D7">
        <f>Concentrations!F7/Concentrations!E7</f>
        <v>0.5488299469472826</v>
      </c>
    </row>
    <row r="8" spans="1:4">
      <c r="A8">
        <f>'Mass Balance'!I8</f>
        <v>9.6590274933837037E-8</v>
      </c>
      <c r="B8">
        <f>'Mass Balance'!E8</f>
        <v>2.9883041710163665E-5</v>
      </c>
      <c r="C8">
        <f>SUM('Mass Balance'!E8:H8)</f>
        <v>3.9858328410969836E-5</v>
      </c>
      <c r="D8">
        <f>Concentrations!F8/Concentrations!E8</f>
        <v>0.75002382313076277</v>
      </c>
    </row>
    <row r="9" spans="1:4">
      <c r="A9">
        <f>'Mass Balance'!I9</f>
        <v>3.6441923928338007E-8</v>
      </c>
      <c r="B9">
        <f>'Mass Balance'!E9</f>
        <v>3.7563184355991349E-5</v>
      </c>
      <c r="C9">
        <f>SUM('Mass Balance'!E9:H9)</f>
        <v>3.9911419216036747E-5</v>
      </c>
      <c r="D9">
        <f>Concentrations!F9/Concentrations!E9</f>
        <v>0.94153088105625027</v>
      </c>
    </row>
    <row r="10" spans="1:4">
      <c r="A10">
        <f>'Mass Balance'!I10</f>
        <v>1.5310949000618706E-6</v>
      </c>
      <c r="B10">
        <f>'Mass Balance'!E10</f>
        <v>1.9152433843175113E-6</v>
      </c>
      <c r="C10">
        <f>SUM('Mass Balance'!E10:H10)</f>
        <v>1.8100180399875556E-5</v>
      </c>
      <c r="D10">
        <f>Concentrations!F10/Concentrations!E10</f>
        <v>0.10585476341410865</v>
      </c>
    </row>
    <row r="11" spans="1:4">
      <c r="A11">
        <f>'Mass Balance'!I11</f>
        <v>1.304081032654705E-5</v>
      </c>
      <c r="B11">
        <f>'Mass Balance'!E11</f>
        <v>1.4398898666709192E-7</v>
      </c>
      <c r="C11">
        <f>SUM('Mass Balance'!E11:H11)</f>
        <v>2.2800171401539611E-5</v>
      </c>
      <c r="D11">
        <f>Concentrations!F11/Concentrations!E11</f>
        <v>6.3177218577935871E-3</v>
      </c>
    </row>
    <row r="12" spans="1:4">
      <c r="A12">
        <f>'Mass Balance'!I12</f>
        <v>1.3458952678221467E-8</v>
      </c>
      <c r="B12">
        <f>'Mass Balance'!E12</f>
        <v>3.6831350588638965E-5</v>
      </c>
      <c r="C12">
        <f>SUM('Mass Balance'!E12:H12)</f>
        <v>3.6831504891899184E-5</v>
      </c>
      <c r="D12">
        <f>Concentrations!F12/Concentrations!E12</f>
        <v>1.000385800963896</v>
      </c>
    </row>
    <row r="13" spans="1:4">
      <c r="A13">
        <f>'Mass Balance'!I13</f>
        <v>1.1341067134366478E-7</v>
      </c>
      <c r="B13">
        <f>'Mass Balance'!E13</f>
        <v>2.4928632298676243E-5</v>
      </c>
      <c r="C13">
        <f>SUM('Mass Balance'!E13:H13)</f>
        <v>2.5765076868582932E-5</v>
      </c>
      <c r="D13">
        <f>Concentrations!F13/Concentrations!E13</f>
        <v>0.96791305509794789</v>
      </c>
    </row>
    <row r="14" spans="1:4">
      <c r="A14">
        <f>'Mass Balance'!I14</f>
        <v>5.8075395731416141E-7</v>
      </c>
      <c r="B14">
        <f>'Mass Balance'!E14</f>
        <v>3.206498592089576E-6</v>
      </c>
      <c r="C14">
        <f>SUM('Mass Balance'!E14:H14)</f>
        <v>3.9135525006695673E-5</v>
      </c>
      <c r="D14">
        <f>Concentrations!F14/Concentrations!E14</f>
        <v>8.1965148045166053E-2</v>
      </c>
    </row>
    <row r="15" spans="1:4">
      <c r="A15">
        <f>'Mass Balance'!I15</f>
        <v>2.5930544495767688E-8</v>
      </c>
      <c r="B15">
        <f>'Mass Balance'!E15</f>
        <v>3.120390451766928E-5</v>
      </c>
      <c r="C15">
        <f>SUM('Mass Balance'!E15:H15)</f>
        <v>3.1307550626274377E-5</v>
      </c>
      <c r="D15">
        <f>Concentrations!F15/Concentrations!E15</f>
        <v>0.99707812228781312</v>
      </c>
    </row>
    <row r="16" spans="1:4">
      <c r="A16">
        <f>'Mass Balance'!I16</f>
        <v>1.2905542593102923E-7</v>
      </c>
      <c r="B16">
        <f>'Mass Balance'!E16</f>
        <v>2.386127828882138E-5</v>
      </c>
      <c r="C16">
        <f>SUM('Mass Balance'!E16:H16)</f>
        <v>2.4836298354758746E-5</v>
      </c>
      <c r="D16">
        <f>Concentrations!F16/Concentrations!E16</f>
        <v>0.96111681605375676</v>
      </c>
    </row>
    <row r="17" spans="1:4">
      <c r="A17">
        <f>'Mass Balance'!I17</f>
        <v>1.1880255899247051E-7</v>
      </c>
      <c r="B17">
        <f>'Mass Balance'!E17</f>
        <v>2.4480450407607156E-5</v>
      </c>
      <c r="C17">
        <f>SUM('Mass Balance'!E17:H17)</f>
        <v>2.53648514685547E-5</v>
      </c>
      <c r="D17">
        <f>Concentrations!F17/Concentrations!E17</f>
        <v>0.96550920546992713</v>
      </c>
    </row>
    <row r="18" spans="1:4">
      <c r="A18">
        <f>'Mass Balance'!I18</f>
        <v>8.0134872097672417E-6</v>
      </c>
      <c r="B18">
        <f>'Mass Balance'!E18</f>
        <v>1.216552912606618E-7</v>
      </c>
      <c r="C18">
        <f>SUM('Mass Balance'!E18:H18)</f>
        <v>1.6796646105934701E-5</v>
      </c>
      <c r="D18">
        <f>Concentrations!F18/Concentrations!E18</f>
        <v>7.2456569655418761E-3</v>
      </c>
    </row>
    <row r="19" spans="1:4">
      <c r="A19">
        <f>'Mass Balance'!I19</f>
        <v>1.8313132954846456E-8</v>
      </c>
      <c r="B19">
        <f>'Mass Balance'!E19</f>
        <v>3.6399683482837006E-5</v>
      </c>
      <c r="C19">
        <f>SUM('Mass Balance'!E19:H19)</f>
        <v>3.6433397232961953E-5</v>
      </c>
      <c r="D19">
        <f>Concentrations!F19/Concentrations!E19</f>
        <v>0.999464278244938</v>
      </c>
    </row>
    <row r="20" spans="1:4">
      <c r="A20">
        <f>'Mass Balance'!I20</f>
        <v>2.1416281639653085E-8</v>
      </c>
      <c r="B20">
        <f>'Mass Balance'!E20</f>
        <v>3.4941426199258512E-5</v>
      </c>
      <c r="C20">
        <f>SUM('Mass Balance'!E20:H20)</f>
        <v>3.5001213641271116E-5</v>
      </c>
      <c r="D20">
        <f>Concentrations!F20/Concentrations!E20</f>
        <v>0.99868117247035748</v>
      </c>
    </row>
    <row r="21" spans="1:4">
      <c r="A21">
        <f>'Mass Balance'!I21</f>
        <v>3.8905219941885847E-7</v>
      </c>
      <c r="B21">
        <f>'Mass Balance'!E21</f>
        <v>1.6268219838403735E-5</v>
      </c>
      <c r="C21">
        <f>SUM('Mass Balance'!E21:H21)</f>
        <v>2.884232209171999E-5</v>
      </c>
      <c r="D21">
        <f>Concentrations!F21/Concentrations!E21</f>
        <v>0.56425984921748729</v>
      </c>
    </row>
    <row r="22" spans="1:4">
      <c r="A22">
        <f>'Mass Balance'!I22</f>
        <v>1.4102156456327327E-8</v>
      </c>
      <c r="B22">
        <f>'Mass Balance'!E22</f>
        <v>3.6183377609742163E-5</v>
      </c>
      <c r="C22">
        <f>SUM('Mass Balance'!E22:H22)</f>
        <v>3.6188973508502055E-5</v>
      </c>
      <c r="D22">
        <f>Concentrations!F22/Concentrations!E22</f>
        <v>1.0002353017912216</v>
      </c>
    </row>
    <row r="23" spans="1:4">
      <c r="A23">
        <f>'Mass Balance'!I23</f>
        <v>3.5534801417927803E-8</v>
      </c>
      <c r="B23">
        <f>'Mass Balance'!E23</f>
        <v>3.0080696042238166E-5</v>
      </c>
      <c r="C23">
        <f>SUM('Mass Balance'!E23:H23)</f>
        <v>3.0260939716224826E-5</v>
      </c>
      <c r="D23">
        <f>Concentrations!F23/Concentrations!E23</f>
        <v>0.99443135462023402</v>
      </c>
    </row>
    <row r="24" spans="1:4">
      <c r="A24">
        <f>'Mass Balance'!I24</f>
        <v>1.9183290354532358E-7</v>
      </c>
      <c r="B24">
        <f>'Mass Balance'!E24</f>
        <v>2.0396382343343664E-5</v>
      </c>
      <c r="C24">
        <f>SUM('Mass Balance'!E24:H24)</f>
        <v>2.1939543650351805E-5</v>
      </c>
      <c r="D24">
        <f>Concentrations!F24/Concentrations!E24</f>
        <v>0.93002557825139109</v>
      </c>
    </row>
    <row r="25" spans="1:4">
      <c r="A25">
        <f>'Mass Balance'!I25</f>
        <v>7.1868652326462258E-6</v>
      </c>
      <c r="B25">
        <f>'Mass Balance'!E25</f>
        <v>1.6608875028797952E-7</v>
      </c>
      <c r="C25">
        <f>SUM('Mass Balance'!E25:H25)</f>
        <v>1.6376469496703783E-5</v>
      </c>
      <c r="D25">
        <f>Concentrations!F25/Concentrations!E25</f>
        <v>1.0145869572868196E-2</v>
      </c>
    </row>
    <row r="26" spans="1:4">
      <c r="A26">
        <f>'Mass Balance'!I26</f>
        <v>3.5433645133861913E-7</v>
      </c>
      <c r="B26">
        <f>'Mass Balance'!E26</f>
        <v>9.3465770795774291E-6</v>
      </c>
      <c r="C26">
        <f>SUM('Mass Balance'!E26:H26)</f>
        <v>1.2530053345605276E-5</v>
      </c>
      <c r="D26">
        <f>Concentrations!F26/Concentrations!E26</f>
        <v>0.7462236522295177</v>
      </c>
    </row>
    <row r="27" spans="1:4">
      <c r="A27">
        <f>'Mass Balance'!I27</f>
        <v>1.6690260794543586E-7</v>
      </c>
      <c r="B27">
        <f>'Mass Balance'!E27</f>
        <v>8.8628894879558271E-7</v>
      </c>
      <c r="C27">
        <f>SUM('Mass Balance'!E27:H27)</f>
        <v>2.5453699061897592E-6</v>
      </c>
      <c r="D27">
        <f>Concentrations!F27/Concentrations!E27</f>
        <v>0.3483323159709637</v>
      </c>
    </row>
    <row r="28" spans="1:4">
      <c r="A28">
        <f>'Mass Balance'!I28</f>
        <v>6.8226054636508297E-8</v>
      </c>
      <c r="B28">
        <f>'Mass Balance'!E28</f>
        <v>1.3319774672759773E-6</v>
      </c>
      <c r="C28">
        <f>SUM('Mass Balance'!E28:H28)</f>
        <v>1.9572920656408882E-6</v>
      </c>
      <c r="D28">
        <f>Concentrations!F28/Concentrations!E28</f>
        <v>0.68078594465769415</v>
      </c>
    </row>
    <row r="29" spans="1:4">
      <c r="A29">
        <f>'Mass Balance'!I29</f>
        <v>1.6122370725850031E-9</v>
      </c>
      <c r="B29">
        <f>'Mass Balance'!E29</f>
        <v>2.3771570734170921E-6</v>
      </c>
      <c r="C29">
        <f>SUM('Mass Balance'!E29:H29)</f>
        <v>2.3823570191131783E-6</v>
      </c>
      <c r="D29">
        <f>Concentrations!F29/Concentrations!E29</f>
        <v>0.99820645128398877</v>
      </c>
    </row>
    <row r="30" spans="1:4">
      <c r="A30">
        <f>'Mass Balance'!I30</f>
        <v>2.4106851478243713E-8</v>
      </c>
      <c r="B30">
        <f>'Mass Balance'!E30</f>
        <v>5.0451588348171496E-7</v>
      </c>
      <c r="C30">
        <f>SUM('Mass Balance'!E30:H30)</f>
        <v>7.2446135709041295E-7</v>
      </c>
      <c r="D30">
        <f>Concentrations!F30/Concentrations!E30</f>
        <v>0.6966729635995762</v>
      </c>
    </row>
    <row r="31" spans="1:4">
      <c r="A31">
        <f>'Mass Balance'!I31</f>
        <v>4.0137289692525042E-10</v>
      </c>
      <c r="B31">
        <f>'Mass Balance'!E31</f>
        <v>1.7988000092195273E-8</v>
      </c>
      <c r="C31">
        <f>SUM('Mass Balance'!E31:H31)</f>
        <v>2.1461555928091258E-8</v>
      </c>
      <c r="D31">
        <f>Concentrations!F31/Concentrations!E31</f>
        <v>0.83847673156790348</v>
      </c>
    </row>
    <row r="32" spans="1:4">
      <c r="A32">
        <f>'Mass Balance'!I32</f>
        <v>9.7704382478606737E-8</v>
      </c>
      <c r="B32">
        <f>'Mass Balance'!E32</f>
        <v>2.6009441282567986E-5</v>
      </c>
      <c r="C32">
        <f>SUM('Mass Balance'!E32:H32)</f>
        <v>2.670865394542722E-5</v>
      </c>
      <c r="D32">
        <f>Concentrations!F32/Concentrations!E32</f>
        <v>0.97420052731428097</v>
      </c>
    </row>
    <row r="33" spans="1:4">
      <c r="A33">
        <f>'Mass Balance'!I33</f>
        <v>5.2600416188108516E-8</v>
      </c>
      <c r="B33">
        <f>'Mass Balance'!E33</f>
        <v>3.0414027360675483E-5</v>
      </c>
      <c r="C33">
        <f>SUM('Mass Balance'!E33:H33)</f>
        <v>3.0727105185739248E-5</v>
      </c>
      <c r="D33">
        <f>Concentrations!F33/Concentrations!E33</f>
        <v>0.99019703955724436</v>
      </c>
    </row>
    <row r="34" spans="1:4">
      <c r="A34">
        <f>'Mass Balance'!I34</f>
        <v>4.2440698068441636E-7</v>
      </c>
      <c r="B34">
        <f>'Mass Balance'!E34</f>
        <v>1.2859240972392678E-5</v>
      </c>
      <c r="C34">
        <f>SUM('Mass Balance'!E34:H34)</f>
        <v>1.6636353911633948E-5</v>
      </c>
      <c r="D34">
        <f>Concentrations!F34/Concentrations!E34</f>
        <v>0.77326174005864801</v>
      </c>
    </row>
    <row r="35" spans="1:4">
      <c r="A35">
        <f>'Mass Balance'!I35</f>
        <v>1.1702862706092494E-6</v>
      </c>
      <c r="B35">
        <f>'Mass Balance'!E35</f>
        <v>3.0881652246687511E-6</v>
      </c>
      <c r="C35">
        <f>SUM('Mass Balance'!E35:H35)</f>
        <v>1.5223426355756177E-5</v>
      </c>
      <c r="D35">
        <f>Concentrations!F35/Concentrations!E35</f>
        <v>0.2029352336531943</v>
      </c>
    </row>
    <row r="36" spans="1:4">
      <c r="A36">
        <f>'Mass Balance'!I36</f>
        <v>3.1080319433088012E-6</v>
      </c>
      <c r="B36">
        <f>'Mass Balance'!E36</f>
        <v>8.1400073041098797E-7</v>
      </c>
      <c r="C36">
        <f>SUM('Mass Balance'!E36:H36)</f>
        <v>1.6102233161119805E-5</v>
      </c>
      <c r="D36">
        <f>Concentrations!F36/Concentrations!E36</f>
        <v>5.0571754617127318E-2</v>
      </c>
    </row>
    <row r="37" spans="1:4">
      <c r="A37">
        <f>'Mass Balance'!I37</f>
        <v>7.697333907067253E-6</v>
      </c>
      <c r="B37">
        <f>'Mass Balance'!E37</f>
        <v>1.3132335693797656E-7</v>
      </c>
      <c r="C37">
        <f>SUM('Mass Balance'!E37:H37)</f>
        <v>1.6488020805683638E-5</v>
      </c>
      <c r="D37">
        <f>Concentrations!F37/Concentrations!E37</f>
        <v>7.9678800475457261E-3</v>
      </c>
    </row>
    <row r="38" spans="1:4">
      <c r="A38">
        <f>'Mass Balance'!I38</f>
        <v>4.5523440280447958E-6</v>
      </c>
      <c r="B38">
        <f>'Mass Balance'!E38</f>
        <v>4.4730067482426502E-7</v>
      </c>
      <c r="C38">
        <f>SUM('Mass Balance'!E38:H38)</f>
        <v>1.5735116534066279E-5</v>
      </c>
      <c r="D38">
        <f>Concentrations!F38/Concentrations!E38</f>
        <v>2.8437992026032605E-2</v>
      </c>
    </row>
    <row r="39" spans="1:4">
      <c r="A39">
        <f>'Mass Balance'!I39</f>
        <v>3.1090926039285878E-6</v>
      </c>
      <c r="B39">
        <f>'Mass Balance'!E39</f>
        <v>6.1535602852041515E-7</v>
      </c>
      <c r="C39">
        <f>SUM('Mass Balance'!E39:H39)</f>
        <v>1.4208095984417412E-5</v>
      </c>
      <c r="D39">
        <f>Concentrations!F39/Concentrations!E39</f>
        <v>4.3327129345484806E-2</v>
      </c>
    </row>
    <row r="40" spans="1:4">
      <c r="A40">
        <f>'Mass Balance'!I40</f>
        <v>4.5523440280447958E-6</v>
      </c>
      <c r="B40">
        <f>'Mass Balance'!E40</f>
        <v>4.4730067482426502E-7</v>
      </c>
      <c r="C40">
        <f>SUM('Mass Balance'!E40:H40)</f>
        <v>1.5735116534066279E-5</v>
      </c>
      <c r="D40">
        <f>Concentrations!F40/Concentrations!E40</f>
        <v>2.8437992026032605E-2</v>
      </c>
    </row>
    <row r="41" spans="1:4">
      <c r="A41">
        <f>'Mass Balance'!I41</f>
        <v>1.6644679510244033E-8</v>
      </c>
      <c r="B41">
        <f>'Mass Balance'!E41</f>
        <v>3.9786593981522667E-5</v>
      </c>
      <c r="C41">
        <f>SUM('Mass Balance'!E41:H41)</f>
        <v>3.9975860872755266E-5</v>
      </c>
      <c r="D41">
        <f>Concentrations!F41/Concentrations!E41</f>
        <v>0.99565361613967041</v>
      </c>
    </row>
    <row r="42" spans="1:4">
      <c r="A42">
        <f>'Mass Balance'!I42</f>
        <v>7.882606366587941E-6</v>
      </c>
      <c r="B42">
        <f>'Mass Balance'!E42</f>
        <v>1.1966834766411973E-7</v>
      </c>
      <c r="C42">
        <f>SUM('Mass Balance'!E42:H42)</f>
        <v>1.6522313702652195E-5</v>
      </c>
      <c r="D42">
        <f>Concentrations!F42/Concentrations!E42</f>
        <v>7.2456569655418761E-3</v>
      </c>
    </row>
    <row r="43" spans="1:4">
      <c r="A43">
        <f>'Mass Balance'!I43</f>
        <v>2.1104401719673142E-7</v>
      </c>
      <c r="B43">
        <f>'Mass Balance'!E43</f>
        <v>1.9605878480652361E-5</v>
      </c>
      <c r="C43">
        <f>SUM('Mass Balance'!E43:H43)</f>
        <v>2.1325668036906202E-5</v>
      </c>
      <c r="D43">
        <f>Concentrations!F43/Concentrations!E43</f>
        <v>0.91971442972599593</v>
      </c>
    </row>
    <row r="44" spans="1:4">
      <c r="A44">
        <f>'Mass Balance'!I44</f>
        <v>2.2493561713740544E-6</v>
      </c>
      <c r="B44">
        <f>'Mass Balance'!E44</f>
        <v>1.2432728539248377E-6</v>
      </c>
      <c r="C44">
        <f>SUM('Mass Balance'!E44:H44)</f>
        <v>1.6867466840759619E-5</v>
      </c>
      <c r="D44">
        <f>Concentrations!F44/Concentrations!E44</f>
        <v>7.3737078138436107E-2</v>
      </c>
    </row>
    <row r="45" spans="1:4">
      <c r="A45">
        <f>'Mass Balance'!I45</f>
        <v>9.8427464288986029E-6</v>
      </c>
      <c r="B45">
        <f>'Mass Balance'!E45</f>
        <v>5.7377964655459546E-8</v>
      </c>
      <c r="C45">
        <f>SUM('Mass Balance'!E45:H45)</f>
        <v>1.7930562329898388E-5</v>
      </c>
      <c r="D45">
        <f>Concentrations!F45/Concentrations!E45</f>
        <v>3.2012571914110171E-3</v>
      </c>
    </row>
    <row r="46" spans="1:4">
      <c r="A46">
        <f>'Mass Balance'!I46</f>
        <v>8.2862110964952102E-6</v>
      </c>
      <c r="B46">
        <f>'Mass Balance'!E46</f>
        <v>1.0935399235367166E-7</v>
      </c>
      <c r="C46">
        <f>SUM('Mass Balance'!E46:H46)</f>
        <v>1.6946126556307643E-5</v>
      </c>
      <c r="D46">
        <f>Concentrations!F46/Concentrations!E46</f>
        <v>6.4555542634555903E-3</v>
      </c>
    </row>
    <row r="47" spans="1:4">
      <c r="A47">
        <f>'Mass Balance'!I47</f>
        <v>6.2924402432431125E-6</v>
      </c>
      <c r="B47">
        <f>'Mass Balance'!E47</f>
        <v>2.3194532435834217E-7</v>
      </c>
      <c r="C47">
        <f>SUM('Mass Balance'!E47:H47)</f>
        <v>1.6029367611900659E-5</v>
      </c>
      <c r="D47">
        <f>Concentrations!F47/Concentrations!E47</f>
        <v>1.4475666589305136E-2</v>
      </c>
    </row>
    <row r="48" spans="1:4">
      <c r="A48">
        <f>'Mass Balance'!I48</f>
        <v>8.1550417822942944E-7</v>
      </c>
      <c r="B48">
        <f>'Mass Balance'!E48</f>
        <v>6.5852805512255146E-6</v>
      </c>
      <c r="C48">
        <f>SUM('Mass Balance'!E48:H48)</f>
        <v>1.4486928886688516E-5</v>
      </c>
      <c r="D48">
        <f>Concentrations!F48/Concentrations!E48</f>
        <v>0.45474432916135366</v>
      </c>
    </row>
    <row r="49" spans="1:4">
      <c r="A49">
        <f>'Mass Balance'!I49</f>
        <v>2.3967227650317724E-6</v>
      </c>
      <c r="B49">
        <f>'Mass Balance'!E49</f>
        <v>1.1516220334875305E-6</v>
      </c>
      <c r="C49">
        <f>SUM('Mass Balance'!E49:H49)</f>
        <v>1.6707505254999414E-5</v>
      </c>
      <c r="D49">
        <f>Concentrations!F49/Concentrations!E49</f>
        <v>6.895530717026728E-2</v>
      </c>
    </row>
    <row r="50" spans="1:4">
      <c r="A50">
        <f>'Mass Balance'!I50</f>
        <v>2.6551766991925948E-6</v>
      </c>
      <c r="B50">
        <f>'Mass Balance'!E50</f>
        <v>1.0102339417345354E-6</v>
      </c>
      <c r="C50">
        <f>SUM('Mass Balance'!E50:H50)</f>
        <v>1.644894653987361E-5</v>
      </c>
      <c r="D50">
        <f>Concentrations!F50/Concentrations!E50</f>
        <v>6.1440282663387719E-2</v>
      </c>
    </row>
    <row r="51" spans="1:4">
      <c r="A51">
        <f>'Mass Balance'!I51</f>
        <v>9.9138957689999562E-7</v>
      </c>
      <c r="B51">
        <f>'Mass Balance'!E51</f>
        <v>4.9090883627823773E-6</v>
      </c>
      <c r="C51">
        <f>SUM('Mass Balance'!E51:H51)</f>
        <v>1.4805798083983269E-5</v>
      </c>
      <c r="D51">
        <f>Concentrations!F51/Concentrations!E51</f>
        <v>0.33169457264537167</v>
      </c>
    </row>
    <row r="52" spans="1:4">
      <c r="A52">
        <f>'Mass Balance'!I52</f>
        <v>8.3153870622572423E-7</v>
      </c>
      <c r="B52">
        <f>'Mass Balance'!E52</f>
        <v>6.4093498116481235E-6</v>
      </c>
      <c r="C52">
        <f>SUM('Mass Balance'!E52:H52)</f>
        <v>1.4489420561100279E-5</v>
      </c>
      <c r="D52">
        <f>Concentrations!F52/Concentrations!E52</f>
        <v>0.44251938025974874</v>
      </c>
    </row>
    <row r="53" spans="1:4">
      <c r="A53">
        <f>'Mass Balance'!I53</f>
        <v>3.587477366373582E-6</v>
      </c>
      <c r="B53">
        <f>'Mass Balance'!E53</f>
        <v>6.6201806441208276E-7</v>
      </c>
      <c r="C53">
        <f>SUM('Mass Balance'!E53:H53)</f>
        <v>1.5906992374188504E-5</v>
      </c>
      <c r="D53">
        <f>Concentrations!F53/Concentrations!E53</f>
        <v>4.1634284508650303E-2</v>
      </c>
    </row>
    <row r="54" spans="1:4">
      <c r="A54">
        <f>'Mass Balance'!I54</f>
        <v>2.5239448770495965E-6</v>
      </c>
      <c r="B54">
        <f>'Mass Balance'!E54</f>
        <v>1.0791721341749177E-6</v>
      </c>
      <c r="C54">
        <f>SUM('Mass Balance'!E54:H54)</f>
        <v>1.6576656859340325E-5</v>
      </c>
      <c r="D54">
        <f>Concentrations!F54/Concentrations!E54</f>
        <v>6.512730593821664E-2</v>
      </c>
    </row>
    <row r="55" spans="1:4">
      <c r="A55">
        <f>'Mass Balance'!I55</f>
        <v>6.1974282294597381E-6</v>
      </c>
      <c r="B55">
        <f>'Mass Balance'!E55</f>
        <v>2.3936159048465567E-7</v>
      </c>
      <c r="C55">
        <f>SUM('Mass Balance'!E55:H55)</f>
        <v>1.5982741353220133E-5</v>
      </c>
      <c r="D55">
        <f>Concentrations!F55/Concentrations!E55</f>
        <v>1.4982094392090275E-2</v>
      </c>
    </row>
    <row r="56" spans="1:4">
      <c r="A56">
        <f>'Mass Balance'!I56</f>
        <v>2.2981951323630375E-6</v>
      </c>
      <c r="B56">
        <f>'Mass Balance'!E56</f>
        <v>1.2123368294301505E-6</v>
      </c>
      <c r="C56">
        <f>SUM('Mass Balance'!E56:H56)</f>
        <v>1.6816503013527356E-5</v>
      </c>
      <c r="D56">
        <f>Concentrations!F56/Concentrations!E56</f>
        <v>7.2120204192343509E-2</v>
      </c>
    </row>
    <row r="57" spans="1:4">
      <c r="A57">
        <f>'Mass Balance'!I57</f>
        <v>7.3885634645240482E-7</v>
      </c>
      <c r="B57">
        <f>'Mass Balance'!E57</f>
        <v>7.3560757139664426E-6</v>
      </c>
      <c r="C57">
        <f>SUM('Mass Balance'!E57:H57)</f>
        <v>1.4423150165010462E-5</v>
      </c>
      <c r="D57">
        <f>Concentrations!F57/Concentrations!E57</f>
        <v>0.51021756278682495</v>
      </c>
    </row>
    <row r="58" spans="1:4">
      <c r="A58">
        <f>'Mass Balance'!I58</f>
        <v>2.5499783204628974E-6</v>
      </c>
      <c r="B58">
        <f>'Mass Balance'!E58</f>
        <v>1.0651504558923559E-6</v>
      </c>
      <c r="C58">
        <f>SUM('Mass Balance'!E58:H58)</f>
        <v>1.6551535635166349E-5</v>
      </c>
      <c r="D58">
        <f>Concentrations!F58/Concentrations!E58</f>
        <v>6.4378670328433432E-2</v>
      </c>
    </row>
    <row r="59" spans="1:4">
      <c r="A59">
        <f>'Mass Balance'!I59</f>
        <v>8.3185105900491433E-7</v>
      </c>
      <c r="B59">
        <f>'Mass Balance'!E59</f>
        <v>6.4117573703239616E-6</v>
      </c>
      <c r="C59">
        <f>SUM('Mass Balance'!E59:H59)</f>
        <v>1.4494863255165182E-5</v>
      </c>
      <c r="D59">
        <f>Concentrations!F59/Concentrations!E59</f>
        <v>0.44251938025974885</v>
      </c>
    </row>
    <row r="60" spans="1:4">
      <c r="A60">
        <f>'Mass Balance'!I60</f>
        <v>3.2911722529426546E-6</v>
      </c>
      <c r="B60">
        <f>'Mass Balance'!E60</f>
        <v>7.4931961182144541E-7</v>
      </c>
      <c r="C60">
        <f>SUM('Mass Balance'!E60:H60)</f>
        <v>1.5998877770363486E-5</v>
      </c>
      <c r="D60">
        <f>Concentrations!F60/Concentrations!E60</f>
        <v>4.685402634239362E-2</v>
      </c>
    </row>
    <row r="61" spans="1:4">
      <c r="A61">
        <f>'Mass Balance'!I61</f>
        <v>1.2035434087436129E-6</v>
      </c>
      <c r="B61">
        <f>'Mass Balance'!E61</f>
        <v>2.0513554445684929E-5</v>
      </c>
      <c r="C61">
        <f>SUM('Mass Balance'!E61:H61)</f>
        <v>2.4355098830747415E-5</v>
      </c>
      <c r="D61">
        <f>Concentrations!F61/Concentrations!E61</f>
        <v>0.8425978769837803</v>
      </c>
    </row>
    <row r="62" spans="1:4">
      <c r="A62">
        <f>'Mass Balance'!I62</f>
        <v>4.0272583285457729E-7</v>
      </c>
      <c r="B62">
        <f>'Mass Balance'!E62</f>
        <v>1.3382028908881643E-5</v>
      </c>
      <c r="C62">
        <f>SUM('Mass Balance'!E62:H62)</f>
        <v>1.6943269679027756E-5</v>
      </c>
      <c r="D62">
        <f>Concentrations!F62/Concentrations!E62</f>
        <v>0.79012186237772708</v>
      </c>
    </row>
    <row r="63" spans="1:4">
      <c r="A63">
        <f>'Mass Balance'!I63</f>
        <v>1.1567453656403559E-7</v>
      </c>
      <c r="B63">
        <f>'Mass Balance'!E63</f>
        <v>3.8089720801419637E-5</v>
      </c>
      <c r="C63">
        <f>SUM('Mass Balance'!E63:H63)</f>
        <v>3.8238336066459853E-5</v>
      </c>
      <c r="D63">
        <f>Concentrations!F63/Concentrations!E63</f>
        <v>0.99650192474120602</v>
      </c>
    </row>
    <row r="64" spans="1:4">
      <c r="A64">
        <f>'Mass Balance'!I64</f>
        <v>1.543182480979841E-8</v>
      </c>
      <c r="B64">
        <f>'Mass Balance'!E64</f>
        <v>3.975999784993698E-5</v>
      </c>
      <c r="C64">
        <f>SUM('Mass Balance'!E64:H64)</f>
        <v>3.9809611348091154E-5</v>
      </c>
      <c r="D64">
        <f>Concentrations!F64/Concentrations!E64</f>
        <v>0.99914323665702387</v>
      </c>
    </row>
    <row r="65" spans="1:4">
      <c r="A65">
        <f>'Mass Balance'!I65</f>
        <v>2.324760938901458E-8</v>
      </c>
      <c r="B65">
        <f>'Mass Balance'!E65</f>
        <v>3.9892798215614195E-5</v>
      </c>
      <c r="C65">
        <f>SUM('Mass Balance'!E65:H65)</f>
        <v>3.9899443203286888E-5</v>
      </c>
      <c r="D65">
        <f>Concentrations!F65/Concentrations!E65</f>
        <v>1.0002233837153989</v>
      </c>
    </row>
    <row r="66" spans="1:4">
      <c r="A66">
        <f>'Mass Balance'!I66</f>
        <v>9.8457290620759426E-7</v>
      </c>
      <c r="B66">
        <f>'Mass Balance'!E66</f>
        <v>3.7194653519481393E-5</v>
      </c>
      <c r="C66">
        <f>SUM('Mass Balance'!E66:H66)</f>
        <v>3.8184187606540863E-5</v>
      </c>
      <c r="D66">
        <f>Concentrations!F66/Concentrations!E66</f>
        <v>0.97446512471319258</v>
      </c>
    </row>
    <row r="67" spans="1:4">
      <c r="A67">
        <f>'Mass Balance'!I67</f>
        <v>2.1777159079989965E-8</v>
      </c>
      <c r="B67">
        <f>'Mass Balance'!E67</f>
        <v>3.988565221075833E-5</v>
      </c>
      <c r="C67">
        <f>SUM('Mass Balance'!E67:H67)</f>
        <v>3.9891309075855229E-5</v>
      </c>
      <c r="D67">
        <f>Concentrations!F67/Concentrations!E67</f>
        <v>1.0002481297752628</v>
      </c>
    </row>
    <row r="68" spans="1:4">
      <c r="A68">
        <f>'Mass Balance'!I68</f>
        <v>1.5520428258532994E-8</v>
      </c>
      <c r="B68">
        <f>'Mass Balance'!E68</f>
        <v>3.9948679990372967E-5</v>
      </c>
      <c r="C68">
        <f>SUM('Mass Balance'!E68:H68)</f>
        <v>3.9949367030174394E-5</v>
      </c>
      <c r="D68">
        <f>Concentrations!F68/Concentrations!E68</f>
        <v>1.0003727875631208</v>
      </c>
    </row>
    <row r="69" spans="1:4">
      <c r="A69">
        <f>'Mass Balance'!I69</f>
        <v>2.0597789102963655E-6</v>
      </c>
      <c r="B69">
        <f>'Mass Balance'!E69</f>
        <v>1.3818299073345215E-6</v>
      </c>
      <c r="C69">
        <f>SUM('Mass Balance'!E69:H69)</f>
        <v>1.7130832300888396E-5</v>
      </c>
      <c r="D69">
        <f>Concentrations!F69/Concentrations!E69</f>
        <v>8.0694783867548553E-2</v>
      </c>
    </row>
    <row r="70" spans="1:4">
      <c r="A70">
        <f>'Mass Balance'!I70</f>
        <v>1.5959914342913253E-8</v>
      </c>
      <c r="B70">
        <f>'Mass Balance'!E70</f>
        <v>3.9857784470005111E-5</v>
      </c>
      <c r="C70">
        <f>SUM('Mass Balance'!E70:H70)</f>
        <v>3.9981712337659937E-5</v>
      </c>
      <c r="D70">
        <f>Concentrations!F70/Concentrations!E70</f>
        <v>0.99728916940116075</v>
      </c>
    </row>
    <row r="71" spans="1:4">
      <c r="A71">
        <f>'Mass Balance'!I71</f>
        <v>1.7108575442089532E-8</v>
      </c>
      <c r="B71">
        <f>'Mass Balance'!E71</f>
        <v>3.9742882464243328E-5</v>
      </c>
      <c r="C71">
        <f>SUM('Mass Balance'!E71:H71)</f>
        <v>3.9979623410651475E-5</v>
      </c>
      <c r="D71">
        <f>Concentrations!F71/Concentrations!E71</f>
        <v>0.99446614250097487</v>
      </c>
    </row>
    <row r="72" spans="1:4">
      <c r="A72">
        <f>'Mass Balance'!I72</f>
        <v>2.2491406288958904E-6</v>
      </c>
      <c r="B72">
        <f>'Mass Balance'!E72</f>
        <v>1.4246301965535764E-6</v>
      </c>
      <c r="C72">
        <f>SUM('Mass Balance'!E72:H72)</f>
        <v>3.7718736486676163E-5</v>
      </c>
      <c r="D72">
        <f>Concentrations!F72/Concentrations!E72</f>
        <v>3.7784558119696512E-2</v>
      </c>
    </row>
    <row r="73" spans="1:4">
      <c r="A73">
        <f>'Mass Balance'!I73</f>
        <v>2.1988153013517373E-7</v>
      </c>
      <c r="B73">
        <f>'Mass Balance'!E73</f>
        <v>1.0863797535582096E-5</v>
      </c>
      <c r="C73">
        <f>SUM('Mass Balance'!E73:H73)</f>
        <v>3.9758705615046022E-5</v>
      </c>
      <c r="D73">
        <f>Concentrations!F73/Concentrations!E73</f>
        <v>0.27334980256430963</v>
      </c>
    </row>
    <row r="74" spans="1:4">
      <c r="A74">
        <f>'Mass Balance'!I74</f>
        <v>1.6884035927870942E-8</v>
      </c>
      <c r="B74">
        <f>'Mass Balance'!E74</f>
        <v>3.9765692013147723E-5</v>
      </c>
      <c r="C74">
        <f>SUM('Mass Balance'!E74:H74)</f>
        <v>3.998002189991168E-5</v>
      </c>
      <c r="D74">
        <f>Concentrations!F74/Concentrations!E74</f>
        <v>0.99502697662021289</v>
      </c>
    </row>
    <row r="75" spans="1:4">
      <c r="A75">
        <f>'Mass Balance'!I75</f>
        <v>2.1204549969181713E-7</v>
      </c>
      <c r="B75">
        <f>'Mass Balance'!E75</f>
        <v>1.2301320666567868E-5</v>
      </c>
      <c r="C75">
        <f>SUM('Mass Balance'!E75:H75)</f>
        <v>3.9765822089628329E-5</v>
      </c>
      <c r="D75">
        <f>Concentrations!F75/Concentrations!E75</f>
        <v>0.30946469699293006</v>
      </c>
    </row>
    <row r="76" spans="1:4">
      <c r="A76">
        <f>'Mass Balance'!I76</f>
        <v>5.2747849482025319E-8</v>
      </c>
      <c r="B76">
        <f>'Mass Balance'!E76</f>
        <v>3.5566821082398231E-5</v>
      </c>
      <c r="C76">
        <f>SUM('Mass Balance'!E76:H76)</f>
        <v>3.9933097057319754E-5</v>
      </c>
      <c r="D76">
        <f>Concentrations!F76/Concentrations!E76</f>
        <v>0.89100757219607429</v>
      </c>
    </row>
    <row r="77" spans="1:4">
      <c r="A77">
        <f>'Mass Balance'!I77</f>
        <v>2.1774386374050397E-7</v>
      </c>
      <c r="B77">
        <f>'Mass Balance'!E77</f>
        <v>1.1263627570327721E-5</v>
      </c>
      <c r="C77">
        <f>SUM('Mass Balance'!E77:H77)</f>
        <v>3.976055946487437E-5</v>
      </c>
      <c r="D77">
        <f>Concentrations!F77/Concentrations!E77</f>
        <v>0.28339692516937942</v>
      </c>
    </row>
    <row r="78" spans="1:4">
      <c r="A78">
        <f>'Mass Balance'!I78</f>
        <v>1.8948128470332049E-6</v>
      </c>
      <c r="B78">
        <f>'Mass Balance'!E78</f>
        <v>1.5890519637051158E-6</v>
      </c>
      <c r="C78">
        <f>SUM('Mass Balance'!E78:H78)</f>
        <v>3.8074544014718759E-5</v>
      </c>
      <c r="D78">
        <f>Concentrations!F78/Concentrations!E78</f>
        <v>4.1751561901800523E-2</v>
      </c>
    </row>
    <row r="79" spans="1:4">
      <c r="A79">
        <f>'Mass Balance'!I79</f>
        <v>1.8948119020201778E-6</v>
      </c>
      <c r="B79">
        <f>'Mass Balance'!E79</f>
        <v>1.5890523088198605E-6</v>
      </c>
      <c r="C79">
        <f>SUM('Mass Balance'!E79:H79)</f>
        <v>3.8074550056566445E-5</v>
      </c>
      <c r="D79">
        <f>Concentrations!F79/Concentrations!E79</f>
        <v>4.1751564344186816E-2</v>
      </c>
    </row>
    <row r="80" spans="1:4">
      <c r="A80">
        <f>'Mass Balance'!I80</f>
        <v>1.2000730679606562E-7</v>
      </c>
      <c r="B80">
        <f>'Mass Balance'!E80</f>
        <v>2.6607667327796861E-5</v>
      </c>
      <c r="C80">
        <f>SUM('Mass Balance'!E80:H80)</f>
        <v>3.9858090655046685E-5</v>
      </c>
      <c r="D80">
        <f>Concentrations!F80/Concentrations!E80</f>
        <v>0.66782035136800788</v>
      </c>
    </row>
    <row r="81" spans="1:4">
      <c r="A81">
        <f>'Mass Balance'!I81</f>
        <v>2.3767331084251293E-8</v>
      </c>
      <c r="B81">
        <f>'Mass Balance'!E81</f>
        <v>3.9026555226244167E-5</v>
      </c>
      <c r="C81">
        <f>SUM('Mass Balance'!E81:H81)</f>
        <v>3.9969595545811616E-5</v>
      </c>
      <c r="D81">
        <f>Concentrations!F81/Concentrations!E81</f>
        <v>0.97678684857263531</v>
      </c>
    </row>
    <row r="82" spans="1:4">
      <c r="A82">
        <f>'Mass Balance'!I82</f>
        <v>3.6545899646405543E-8</v>
      </c>
      <c r="B82">
        <f>'Mass Balance'!E82</f>
        <v>3.7546916893193304E-5</v>
      </c>
      <c r="C82">
        <f>SUM('Mass Balance'!E82:H82)</f>
        <v>3.9952840637893774E-5</v>
      </c>
      <c r="D82">
        <f>Concentrations!F82/Concentrations!E82</f>
        <v>0.94014741610326824</v>
      </c>
    </row>
    <row r="83" spans="1:4">
      <c r="A83">
        <f>'Mass Balance'!I83</f>
        <v>3.5620635391160788E-6</v>
      </c>
      <c r="B83">
        <f>'Mass Balance'!E83</f>
        <v>1.0427125075157695E-6</v>
      </c>
      <c r="C83">
        <f>SUM('Mass Balance'!E83:H83)</f>
        <v>3.6401790715835039E-5</v>
      </c>
      <c r="D83">
        <f>Concentrations!F83/Concentrations!E83</f>
        <v>2.8655709968526479E-2</v>
      </c>
    </row>
    <row r="84" spans="1:4">
      <c r="A84">
        <f>'Mass Balance'!I84</f>
        <v>2.7239720530912102E-7</v>
      </c>
      <c r="B84">
        <f>'Mass Balance'!E84</f>
        <v>1.7207981331788328E-5</v>
      </c>
      <c r="C84">
        <f>SUM('Mass Balance'!E84:H84)</f>
        <v>1.9503341738493734E-5</v>
      </c>
      <c r="D84">
        <f>Concentrations!F84/Concentrations!E84</f>
        <v>0.88265347232576219</v>
      </c>
    </row>
    <row r="85" spans="1:4">
      <c r="A85">
        <f>'Mass Balance'!I85</f>
        <v>2.3706436260134676E-5</v>
      </c>
      <c r="B85">
        <f>'Mass Balance'!E85</f>
        <v>5.5117193586786286E-6</v>
      </c>
      <c r="C85">
        <f>SUM('Mass Balance'!E85:H85)</f>
        <v>1.4595438308950168E-5</v>
      </c>
      <c r="D85">
        <f>Concentrations!F85/Concentrations!E85</f>
        <v>0.37778028782758005</v>
      </c>
    </row>
    <row r="86" spans="1:4">
      <c r="A86">
        <f>'Mass Balance'!I86</f>
        <v>9.4073673720496071E-6</v>
      </c>
      <c r="B86">
        <f>'Mass Balance'!E86</f>
        <v>6.9260110496139452E-8</v>
      </c>
      <c r="C86">
        <f>SUM('Mass Balance'!E86:H86)</f>
        <v>1.7634759408977774E-5</v>
      </c>
      <c r="D86">
        <f>Concentrations!F86/Concentrations!E86</f>
        <v>3.9290086006088312E-3</v>
      </c>
    </row>
    <row r="87" spans="1:4">
      <c r="A87">
        <f>'Mass Balance'!I87</f>
        <v>1.1488424392156526E-5</v>
      </c>
      <c r="B87">
        <f>'Mass Balance'!E87</f>
        <v>2.5715874138021232E-8</v>
      </c>
      <c r="C87">
        <f>SUM('Mass Balance'!E87:H87)</f>
        <v>1.9162366358565972E-5</v>
      </c>
      <c r="D87">
        <f>Concentrations!F87/Concentrations!E87</f>
        <v>1.3425222460896708E-3</v>
      </c>
    </row>
    <row r="88" spans="1:4">
      <c r="A88">
        <f>'Mass Balance'!I88</f>
        <v>1.332636779929048E-5</v>
      </c>
      <c r="B88">
        <f>'Mass Balance'!E88</f>
        <v>7.7018415754978987E-9</v>
      </c>
      <c r="C88">
        <f>SUM('Mass Balance'!E88:H88)</f>
        <v>2.0711196719059091E-5</v>
      </c>
      <c r="D88">
        <f>Concentrations!F88/Concentrations!E88</f>
        <v>3.7201352181030864E-4</v>
      </c>
    </row>
    <row r="89" spans="1:4">
      <c r="A89">
        <f>'Mass Balance'!I89</f>
        <v>3.7041027018339673E-5</v>
      </c>
      <c r="B89">
        <f>'Mass Balance'!E89</f>
        <v>5.428986787833358E-8</v>
      </c>
      <c r="C89">
        <f>SUM('Mass Balance'!E89:H89)</f>
        <v>2.2806748672693459E-6</v>
      </c>
      <c r="D89">
        <f>Concentrations!F89/Concentrations!E89</f>
        <v>2.3813583108137883E-2</v>
      </c>
    </row>
    <row r="90" spans="1:4">
      <c r="A90">
        <f>'Mass Balance'!I90</f>
        <v>1.4936131399985989E-8</v>
      </c>
      <c r="B90">
        <f>'Mass Balance'!E90</f>
        <v>3.8977940890381967E-5</v>
      </c>
      <c r="C90">
        <f>SUM('Mass Balance'!E90:H90)</f>
        <v>3.8982824725067028E-5</v>
      </c>
      <c r="D90">
        <f>Concentrations!F90/Concentrations!E90</f>
        <v>1.0002646614722241</v>
      </c>
    </row>
    <row r="91" spans="1:4">
      <c r="A91">
        <f>'Mass Balance'!I91</f>
        <v>5.1031264987479176E-8</v>
      </c>
      <c r="B91">
        <f>'Mass Balance'!E91</f>
        <v>3.060849852011219E-5</v>
      </c>
      <c r="C91">
        <f>SUM('Mass Balance'!E91:H91)</f>
        <v>3.0908450075803459E-5</v>
      </c>
      <c r="D91">
        <f>Concentrations!F91/Concentrations!E91</f>
        <v>0.99068169111119386</v>
      </c>
    </row>
    <row r="92" spans="1:4">
      <c r="A92">
        <f>'Mass Balance'!I92</f>
        <v>5.3143710388407828E-7</v>
      </c>
      <c r="B92">
        <f>'Mass Balance'!E92</f>
        <v>1.0618490876887422E-5</v>
      </c>
      <c r="C92">
        <f>SUM('Mass Balance'!E92:H92)</f>
        <v>1.5481933250288883E-5</v>
      </c>
      <c r="D92">
        <f>Concentrations!F92/Concentrations!E92</f>
        <v>0.68613084890735798</v>
      </c>
    </row>
    <row r="93" spans="1:4">
      <c r="A93">
        <f>'Mass Balance'!I93</f>
        <v>1.4802094223580062E-8</v>
      </c>
      <c r="B93">
        <f>'Mass Balance'!E93</f>
        <v>3.99616154164382E-5</v>
      </c>
      <c r="C93">
        <f>SUM('Mass Balance'!E93:H93)</f>
        <v>3.9979077472914739E-5</v>
      </c>
      <c r="D93">
        <f>Concentrations!F93/Concentrations!E93</f>
        <v>0.99995304181843958</v>
      </c>
    </row>
    <row r="94" spans="1:4">
      <c r="A94">
        <f>'Mass Balance'!I94</f>
        <v>1.4713394590767161E-8</v>
      </c>
      <c r="B94">
        <f>'Mass Balance'!E94</f>
        <v>3.9985064626386176E-5</v>
      </c>
      <c r="C94">
        <f>SUM('Mass Balance'!E94:H94)</f>
        <v>3.9985132360576036E-5</v>
      </c>
      <c r="D94">
        <f>Concentrations!F94/Concentrations!E94</f>
        <v>1.0003882973894691</v>
      </c>
    </row>
    <row r="95" spans="1:4">
      <c r="A95">
        <f>'Mass Balance'!I95</f>
        <v>1.701631280184662E-8</v>
      </c>
      <c r="B95">
        <f>'Mass Balance'!E95</f>
        <v>3.7644060535078131E-5</v>
      </c>
      <c r="C95">
        <f>SUM('Mass Balance'!E95:H95)</f>
        <v>3.7664213100634466E-5</v>
      </c>
      <c r="D95">
        <f>Concentrations!F95/Concentrations!E95</f>
        <v>0.99985472464838165</v>
      </c>
    </row>
    <row r="96" spans="1:4">
      <c r="A96">
        <f>'Mass Balance'!I96</f>
        <v>8.5592430608517129E-6</v>
      </c>
      <c r="B96">
        <f>'Mass Balance'!E96</f>
        <v>9.8193564163644362E-8</v>
      </c>
      <c r="C96">
        <f>SUM('Mass Balance'!E96:H96)</f>
        <v>1.7104821496927887E-5</v>
      </c>
      <c r="D96">
        <f>Concentrations!F96/Concentrations!E96</f>
        <v>5.742933879149207E-3</v>
      </c>
    </row>
    <row r="97" spans="1:4">
      <c r="A97">
        <f>'Mass Balance'!I97</f>
        <v>8.457176767648506E-8</v>
      </c>
      <c r="B97">
        <f>'Mass Balance'!E97</f>
        <v>2.7160163892177181E-5</v>
      </c>
      <c r="C97">
        <f>SUM('Mass Balance'!E97:H97)</f>
        <v>2.7745182633167374E-5</v>
      </c>
      <c r="D97">
        <f>Concentrations!F97/Concentrations!E97</f>
        <v>0.97929635205464494</v>
      </c>
    </row>
    <row r="98" spans="1:4">
      <c r="A98">
        <f>'Mass Balance'!I98</f>
        <v>5.5927372190479857E-8</v>
      </c>
      <c r="B98">
        <f>'Mass Balance'!E98</f>
        <v>3.0019207273754775E-5</v>
      </c>
      <c r="C98">
        <f>SUM('Mass Balance'!E98:H98)</f>
        <v>3.0360179639706309E-5</v>
      </c>
      <c r="D98">
        <f>Concentrations!F98/Concentrations!E98</f>
        <v>0.98915470467762645</v>
      </c>
    </row>
    <row r="99" spans="1:4">
      <c r="A99">
        <f>'Mass Balance'!I99</f>
        <v>2.4099319581871353E-8</v>
      </c>
      <c r="B99">
        <f>'Mass Balance'!E99</f>
        <v>3.5149233300819559E-5</v>
      </c>
      <c r="C99">
        <f>SUM('Mass Balance'!E99:H99)</f>
        <v>3.5228033156798957E-5</v>
      </c>
      <c r="D99">
        <f>Concentrations!F99/Concentrations!E99</f>
        <v>0.99815226882852781</v>
      </c>
    </row>
    <row r="100" spans="1:4">
      <c r="A100">
        <f>'Mass Balance'!I100</f>
        <v>3.8602366655135224E-6</v>
      </c>
      <c r="B100">
        <f>'Mass Balance'!E100</f>
        <v>5.9100987334692094E-7</v>
      </c>
      <c r="C100">
        <f>SUM('Mass Balance'!E100:H100)</f>
        <v>1.5831272093458832E-5</v>
      </c>
      <c r="D100">
        <f>Concentrations!F100/Concentrations!E100</f>
        <v>3.7346358460614341E-2</v>
      </c>
    </row>
    <row r="101" spans="1:4">
      <c r="A101">
        <f>'Mass Balance'!I101</f>
        <v>4.189551628494055E-7</v>
      </c>
      <c r="B101">
        <f>'Mass Balance'!E101</f>
        <v>1.2990453462657158E-5</v>
      </c>
      <c r="C101">
        <f>SUM('Mass Balance'!E101:H101)</f>
        <v>1.6713104319435395E-5</v>
      </c>
      <c r="D101">
        <f>Concentrations!F101/Concentrations!E101</f>
        <v>0.7775646814410051</v>
      </c>
    </row>
    <row r="102" spans="1:4">
      <c r="A102">
        <f>'Mass Balance'!I102</f>
        <v>9.8230439653356888E-7</v>
      </c>
      <c r="B102">
        <f>'Mass Balance'!E102</f>
        <v>4.9787647108275789E-6</v>
      </c>
      <c r="C102">
        <f>SUM('Mass Balance'!E102:H102)</f>
        <v>1.4770931648154222E-5</v>
      </c>
      <c r="D102">
        <f>Concentrations!F102/Concentrations!E102</f>
        <v>0.33719649566104476</v>
      </c>
    </row>
    <row r="103" spans="1:4">
      <c r="A103">
        <f>'Mass Balance'!I103</f>
        <v>1.9307930859145211E-8</v>
      </c>
      <c r="B103">
        <f>'Mass Balance'!E103</f>
        <v>3.9513150581562843E-5</v>
      </c>
      <c r="C103">
        <f>SUM('Mass Balance'!E103:H103)</f>
        <v>3.9975508557852632E-5</v>
      </c>
      <c r="D103">
        <f>Concentrations!F103/Concentrations!E103</f>
        <v>0.98881945024768436</v>
      </c>
    </row>
    <row r="104" spans="1:4">
      <c r="A104">
        <f>'Mass Balance'!I104</f>
        <v>3.8501946797728461E-7</v>
      </c>
      <c r="B104">
        <f>'Mass Balance'!E104</f>
        <v>3.9905749046509016E-6</v>
      </c>
      <c r="C104">
        <f>SUM('Mass Balance'!E104:H104)</f>
        <v>3.936665104101941E-5</v>
      </c>
      <c r="D104">
        <f>Concentrations!F104/Concentrations!E104</f>
        <v>0.10140896143075606</v>
      </c>
    </row>
    <row r="105" spans="1:4">
      <c r="A105">
        <f>'Mass Balance'!I105</f>
        <v>1.5026361247281304E-8</v>
      </c>
      <c r="B105">
        <f>'Mass Balance'!E105</f>
        <v>3.8778398924906455E-5</v>
      </c>
      <c r="C105">
        <f>SUM('Mass Balance'!E105:H105)</f>
        <v>3.8783836443972466E-5</v>
      </c>
      <c r="D105">
        <f>Concentrations!F105/Concentrations!E105</f>
        <v>1.0002497367076915</v>
      </c>
    </row>
    <row r="106" spans="1:4">
      <c r="A106">
        <f>'Mass Balance'!I106</f>
        <v>1.7192253692638436E-8</v>
      </c>
      <c r="B106">
        <f>'Mass Balance'!E106</f>
        <v>3.7533043675646658E-5</v>
      </c>
      <c r="C106">
        <f>SUM('Mass Balance'!E106:H106)</f>
        <v>3.755486913042159E-5</v>
      </c>
      <c r="D106">
        <f>Concentrations!F106/Concentrations!E106</f>
        <v>0.99980860360114365</v>
      </c>
    </row>
    <row r="107" spans="1:4">
      <c r="A107">
        <f>'Mass Balance'!I107</f>
        <v>1.5274568874072119E-6</v>
      </c>
      <c r="B107">
        <f>'Mass Balance'!E107</f>
        <v>3.3371417670811692E-6</v>
      </c>
      <c r="C107">
        <f>SUM('Mass Balance'!E107:H107)</f>
        <v>1.6643880696928687E-5</v>
      </c>
      <c r="D107">
        <f>Concentrations!F107/Concentrations!E107</f>
        <v>0.20058081925595378</v>
      </c>
    </row>
    <row r="108" spans="1:4">
      <c r="A108">
        <f>'Mass Balance'!I108</f>
        <v>1.4645908593074546E-8</v>
      </c>
      <c r="B108">
        <f>'Mass Balance'!E108</f>
        <v>3.9983102933555288E-5</v>
      </c>
      <c r="C108">
        <f>SUM('Mass Balance'!E108:H108)</f>
        <v>3.9983138984822125E-5</v>
      </c>
      <c r="D108">
        <f>Concentrations!F108/Concentrations!E108</f>
        <v>1.0003890900211097</v>
      </c>
    </row>
    <row r="109" spans="1:4">
      <c r="A109">
        <f>'Mass Balance'!I109</f>
        <v>2.6130623751799618E-7</v>
      </c>
      <c r="B109">
        <f>'Mass Balance'!E109</f>
        <v>3.8721141738837746E-5</v>
      </c>
      <c r="C109">
        <f>SUM('Mass Balance'!E109:H109)</f>
        <v>3.8974945949563489E-5</v>
      </c>
      <c r="D109">
        <f>Concentrations!F109/Concentrations!E109</f>
        <v>0.99387546876421706</v>
      </c>
    </row>
    <row r="110" spans="1:4">
      <c r="A110">
        <f>'Mass Balance'!I110</f>
        <v>1.4591641063939239E-8</v>
      </c>
      <c r="B110">
        <f>'Mass Balance'!E110</f>
        <v>3.9734969417763534E-5</v>
      </c>
      <c r="C110">
        <f>SUM('Mass Balance'!E110:H110)</f>
        <v>3.9736036988976498E-5</v>
      </c>
      <c r="D110">
        <f>Concentrations!F110/Concentrations!E110</f>
        <v>1.0003631149818708</v>
      </c>
    </row>
    <row r="111" spans="1:4">
      <c r="A111">
        <f>'Mass Balance'!I111</f>
        <v>1.457649813737284E-8</v>
      </c>
      <c r="B111">
        <f>'Mass Balance'!E111</f>
        <v>3.9985135846715601E-5</v>
      </c>
      <c r="C111">
        <f>SUM('Mass Balance'!E111:H111)</f>
        <v>3.9985199569065244E-5</v>
      </c>
      <c r="D111">
        <f>Concentrations!F111/Concentrations!E111</f>
        <v>1.0003883977645762</v>
      </c>
    </row>
    <row r="112" spans="1:4">
      <c r="A112">
        <f>'Mass Balance'!I112</f>
        <v>1.4540800807046914E-8</v>
      </c>
      <c r="B112">
        <f>'Mass Balance'!E112</f>
        <v>3.9661987412972084E-5</v>
      </c>
      <c r="C112">
        <f>SUM('Mass Balance'!E112:H112)</f>
        <v>3.9662440838558489E-5</v>
      </c>
      <c r="D112">
        <f>Concentrations!F112/Concentrations!E112</f>
        <v>1.0003785554610216</v>
      </c>
    </row>
    <row r="113" spans="1:4">
      <c r="A113">
        <f>'Mass Balance'!I113</f>
        <v>1.580195590137032E-8</v>
      </c>
      <c r="B113">
        <f>'Mass Balance'!E113</f>
        <v>3.8155262216297805E-5</v>
      </c>
      <c r="C113">
        <f>SUM('Mass Balance'!E113:H113)</f>
        <v>3.8167272183126537E-5</v>
      </c>
      <c r="D113">
        <f>Concentrations!F113/Concentrations!E113</f>
        <v>1.0000752026892548</v>
      </c>
    </row>
    <row r="114" spans="1:4">
      <c r="A114">
        <f>'Mass Balance'!I114</f>
        <v>1.4540262687801046E-8</v>
      </c>
      <c r="B114">
        <f>'Mass Balance'!E114</f>
        <v>3.981785572068786E-5</v>
      </c>
      <c r="C114">
        <f>SUM('Mass Balance'!E114:H114)</f>
        <v>3.9817991035705121E-5</v>
      </c>
      <c r="D114">
        <f>Concentrations!F114/Concentrations!E114</f>
        <v>1.0003865923705357</v>
      </c>
    </row>
    <row r="115" spans="1:4">
      <c r="A115">
        <f>'Mass Balance'!I115</f>
        <v>1.5838140689903264E-8</v>
      </c>
      <c r="B115">
        <f>'Mass Balance'!E115</f>
        <v>3.9869229949911652E-5</v>
      </c>
      <c r="C115">
        <f>SUM('Mass Balance'!E115:H115)</f>
        <v>3.9981396771743318E-5</v>
      </c>
      <c r="D115">
        <f>Concentrations!F115/Concentrations!E115</f>
        <v>0.99758342260323307</v>
      </c>
    </row>
    <row r="116" spans="1:4">
      <c r="A116">
        <f>'Mass Balance'!I116</f>
        <v>8.6969788315392422E-6</v>
      </c>
      <c r="B116">
        <f>'Mass Balance'!E116</f>
        <v>1.7700129761602125E-5</v>
      </c>
      <c r="C116">
        <f>SUM('Mass Balance'!E116:H116)</f>
        <v>2.8774712710795667E-5</v>
      </c>
      <c r="D116">
        <f>Concentrations!F116/Concentrations!E116</f>
        <v>0.61536783526514116</v>
      </c>
    </row>
    <row r="117" spans="1:4">
      <c r="A117">
        <f>'Mass Balance'!I117</f>
        <v>1.3779145354981239E-7</v>
      </c>
      <c r="B117">
        <f>'Mass Balance'!E117</f>
        <v>2.3345816251076605E-5</v>
      </c>
      <c r="C117">
        <f>SUM('Mass Balance'!E117:H117)</f>
        <v>2.4398566085447512E-5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0.97018825170212686</v>
      </c>
      <c r="M2" s="115">
        <v>0.88076814898297395</v>
      </c>
      <c r="N2" s="115">
        <v>1.1368640556529819</v>
      </c>
      <c r="O2" s="115">
        <v>0.8112087943422116</v>
      </c>
      <c r="P2" s="115">
        <v>0.93887993483844712</v>
      </c>
      <c r="Q2" s="111">
        <v>0.81120879434221171</v>
      </c>
      <c r="R2" s="68">
        <v>0.93887993483844712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0.67304636568213105</v>
      </c>
      <c r="M3" s="115">
        <v>10.544680305206985</v>
      </c>
      <c r="N3" s="115">
        <v>304.03561827717436</v>
      </c>
      <c r="O3" s="115">
        <v>3.0120891642956154</v>
      </c>
      <c r="P3" s="115">
        <v>2.7907699969739737</v>
      </c>
      <c r="Q3" s="111">
        <v>3.0120891642956158</v>
      </c>
      <c r="R3" s="68">
        <v>2.7907699969739737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1.097711432639223</v>
      </c>
      <c r="M4" s="115">
        <v>1.0336270834430257</v>
      </c>
      <c r="N4" s="115">
        <v>3.0495773058593594</v>
      </c>
      <c r="O4" s="115">
        <v>0.82524697048190676</v>
      </c>
      <c r="P4" s="115">
        <v>0.95920251364100251</v>
      </c>
      <c r="Q4" s="111">
        <v>0.82524697048190676</v>
      </c>
      <c r="R4" s="68">
        <v>0.95920251364100251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0.92132238903694053</v>
      </c>
      <c r="M5" s="115">
        <v>2.4913930129776869</v>
      </c>
      <c r="N5" s="115">
        <v>75.583615289446101</v>
      </c>
      <c r="O5" s="115">
        <v>4.4113646506718913</v>
      </c>
      <c r="P5" s="115">
        <v>7.2118465569615839</v>
      </c>
      <c r="Q5" s="111">
        <v>4.4113646506718913</v>
      </c>
      <c r="R5" s="68">
        <v>7.2118465569615839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0.82477437132805131</v>
      </c>
      <c r="M6" s="115">
        <v>4.3595532399528825</v>
      </c>
      <c r="N6" s="115">
        <v>162.34239710604407</v>
      </c>
      <c r="O6" s="115">
        <v>8.9002990460247027</v>
      </c>
      <c r="P6" s="115">
        <v>15.058697274979323</v>
      </c>
      <c r="Q6" s="111">
        <v>8.9002990460247045</v>
      </c>
      <c r="R6" s="68">
        <v>15.058697274979325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0.53628924709180548</v>
      </c>
      <c r="M7" s="115">
        <v>10.125739564612383</v>
      </c>
      <c r="N7" s="115">
        <v>418.92175526630558</v>
      </c>
      <c r="O7" s="115">
        <v>21.677676923604761</v>
      </c>
      <c r="P7" s="115">
        <v>37.204130549616842</v>
      </c>
      <c r="Q7" s="111">
        <v>21.677676923604761</v>
      </c>
      <c r="R7" s="68">
        <v>37.204130549616842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0.74707676165961923</v>
      </c>
      <c r="M8" s="115">
        <v>5.7494211270141102</v>
      </c>
      <c r="N8" s="115">
        <v>227.76443490044127</v>
      </c>
      <c r="O8" s="115">
        <v>12.559367720059907</v>
      </c>
      <c r="P8" s="115">
        <v>21.484789513035558</v>
      </c>
      <c r="Q8" s="111">
        <v>12.559367720059907</v>
      </c>
      <c r="R8" s="68">
        <v>21.484789513035558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0.93727443746559758</v>
      </c>
      <c r="M9" s="115">
        <v>2.1691621385915485</v>
      </c>
      <c r="N9" s="115">
        <v>60.27952656011314</v>
      </c>
      <c r="O9" s="115">
        <v>3.6027261751918096</v>
      </c>
      <c r="P9" s="115">
        <v>5.7924024316681075</v>
      </c>
      <c r="Q9" s="111">
        <v>3.6027261751918096</v>
      </c>
      <c r="R9" s="68">
        <v>5.7924024316681075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4.7843543357825098E-2</v>
      </c>
      <c r="M10" s="115">
        <v>91.136601194158985</v>
      </c>
      <c r="N10" s="115">
        <v>3170.9786496072488</v>
      </c>
      <c r="O10" s="115">
        <v>34.358196562447475</v>
      </c>
      <c r="P10" s="115">
        <v>35.050142656084923</v>
      </c>
      <c r="Q10" s="111">
        <v>34.358196562447475</v>
      </c>
      <c r="R10" s="68">
        <v>35.050142656084923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3.6000242969232397E-3</v>
      </c>
      <c r="M11" s="115">
        <v>776.23870991351498</v>
      </c>
      <c r="N11" s="115">
        <v>31142.760511011369</v>
      </c>
      <c r="O11" s="115">
        <v>126.41936663978295</v>
      </c>
      <c r="P11" s="115">
        <v>58.029157599031791</v>
      </c>
      <c r="Q11" s="111">
        <v>126.41936663978295</v>
      </c>
      <c r="R11" s="68">
        <v>58.029157599031791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0.91509534049852936</v>
      </c>
      <c r="M12" s="115">
        <v>0.80112813560842078</v>
      </c>
      <c r="N12" s="115">
        <v>6.1390716170516925E-2</v>
      </c>
      <c r="O12" s="115">
        <v>0.75634544304954365</v>
      </c>
      <c r="P12" s="115">
        <v>0.87890014770169511</v>
      </c>
      <c r="Q12" s="111">
        <v>0.75634544304954376</v>
      </c>
      <c r="R12" s="68">
        <v>0.87890014770169511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0.62240822726053135</v>
      </c>
      <c r="M13" s="115">
        <v>6.7506351990276654</v>
      </c>
      <c r="N13" s="115">
        <v>213.63273414461699</v>
      </c>
      <c r="O13" s="115">
        <v>2.566973275245501</v>
      </c>
      <c r="P13" s="115">
        <v>2.4264256310177701</v>
      </c>
      <c r="Q13" s="111">
        <v>2.566973275245501</v>
      </c>
      <c r="R13" s="68">
        <v>2.4264256310177701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8.0220642490340666E-2</v>
      </c>
      <c r="M14" s="115">
        <v>34.568687935366754</v>
      </c>
      <c r="N14" s="115">
        <v>1523.0984343293467</v>
      </c>
      <c r="O14" s="115">
        <v>45.044618987865462</v>
      </c>
      <c r="P14" s="115">
        <v>75.465812937633103</v>
      </c>
      <c r="Q14" s="111">
        <v>45.044618987865469</v>
      </c>
      <c r="R14" s="68">
        <v>75.465812937633103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0.77751383016972142</v>
      </c>
      <c r="M15" s="115">
        <v>1.5434847914147434</v>
      </c>
      <c r="N15" s="115">
        <v>29.657755967179309</v>
      </c>
      <c r="O15" s="115">
        <v>0.91341176783319489</v>
      </c>
      <c r="P15" s="115">
        <v>0.97268080059814699</v>
      </c>
      <c r="Q15" s="111">
        <v>0.91341176783319489</v>
      </c>
      <c r="R15" s="68">
        <v>0.97268080059814699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0.59580273447999821</v>
      </c>
      <c r="M16" s="115">
        <v>7.681870591132693</v>
      </c>
      <c r="N16" s="115">
        <v>246.57159976059776</v>
      </c>
      <c r="O16" s="115">
        <v>2.8715616061274822</v>
      </c>
      <c r="P16" s="115">
        <v>2.7033403001173988</v>
      </c>
      <c r="Q16" s="111">
        <v>2.8715616061274822</v>
      </c>
      <c r="R16" s="68">
        <v>2.7033403001173992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0.61123585449114648</v>
      </c>
      <c r="M17" s="115">
        <v>7.07158089240896</v>
      </c>
      <c r="N17" s="115">
        <v>225.0446801271415</v>
      </c>
      <c r="O17" s="115">
        <v>2.670835719664054</v>
      </c>
      <c r="P17" s="115">
        <v>2.5203832249762779</v>
      </c>
      <c r="Q17" s="111">
        <v>2.6708357196640544</v>
      </c>
      <c r="R17" s="68">
        <v>2.5203832249762783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3.0391700963630377E-3</v>
      </c>
      <c r="M18" s="115">
        <v>476.99328629566924</v>
      </c>
      <c r="N18" s="115">
        <v>16762.560173445316</v>
      </c>
      <c r="O18" s="115">
        <v>101.09622074038222</v>
      </c>
      <c r="P18" s="115">
        <v>43.304724138294425</v>
      </c>
      <c r="Q18" s="111">
        <v>101.09622074038222</v>
      </c>
      <c r="R18" s="68">
        <v>43.304724138294425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0.90553509593363046</v>
      </c>
      <c r="M19" s="115">
        <v>1.0900674377884798</v>
      </c>
      <c r="N19" s="115">
        <v>10.249600879645318</v>
      </c>
      <c r="O19" s="115">
        <v>0.83929972501967476</v>
      </c>
      <c r="P19" s="115">
        <v>0.94275956516028514</v>
      </c>
      <c r="Q19" s="111">
        <v>0.83929972501967487</v>
      </c>
      <c r="R19" s="68">
        <v>0.94275956516028514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0.86988479191139856</v>
      </c>
      <c r="M20" s="115">
        <v>1.2747786690269693</v>
      </c>
      <c r="N20" s="115">
        <v>17.658344064457943</v>
      </c>
      <c r="O20" s="115">
        <v>0.87776263627875517</v>
      </c>
      <c r="P20" s="115">
        <v>0.96541569955079642</v>
      </c>
      <c r="Q20" s="111">
        <v>0.87776263627875517</v>
      </c>
      <c r="R20" s="68">
        <v>0.96541569955079654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0.40647603981565783</v>
      </c>
      <c r="M21" s="115">
        <v>23.157869013027291</v>
      </c>
      <c r="N21" s="115">
        <v>837.03830049844771</v>
      </c>
      <c r="O21" s="115">
        <v>17.805223054147032</v>
      </c>
      <c r="P21" s="115">
        <v>26.165193909765442</v>
      </c>
      <c r="Q21" s="111">
        <v>17.805223054147032</v>
      </c>
      <c r="R21" s="68">
        <v>26.165193909765442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0.89910391565486258</v>
      </c>
      <c r="M22" s="115">
        <v>0.83941407478138863</v>
      </c>
      <c r="N22" s="115">
        <v>1.8468790356415596</v>
      </c>
      <c r="O22" s="115">
        <v>0.75869497651566631</v>
      </c>
      <c r="P22" s="115">
        <v>0.87547741129188339</v>
      </c>
      <c r="Q22" s="111">
        <v>0.75869497651566642</v>
      </c>
      <c r="R22" s="68">
        <v>0.8754774112918835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0.75007274642730226</v>
      </c>
      <c r="M23" s="115">
        <v>2.1151667510671315</v>
      </c>
      <c r="N23" s="115">
        <v>50.125328092868081</v>
      </c>
      <c r="O23" s="115">
        <v>1.0837549161985827</v>
      </c>
      <c r="P23" s="115">
        <v>1.1140503094056733</v>
      </c>
      <c r="Q23" s="111">
        <v>1.0837549161985827</v>
      </c>
      <c r="R23" s="68">
        <v>1.1140503094056733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0.50937158043612341</v>
      </c>
      <c r="M24" s="115">
        <v>11.418625211031166</v>
      </c>
      <c r="N24" s="115">
        <v>378.27051571845362</v>
      </c>
      <c r="O24" s="115">
        <v>4.1200996643633223</v>
      </c>
      <c r="P24" s="115">
        <v>3.858851019130078</v>
      </c>
      <c r="Q24" s="111">
        <v>4.1200996643633223</v>
      </c>
      <c r="R24" s="68">
        <v>3.8588510191300784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4.1491773504354693E-3</v>
      </c>
      <c r="M25" s="115">
        <v>427.78959718132296</v>
      </c>
      <c r="N25" s="115">
        <v>15019.987262218652</v>
      </c>
      <c r="O25" s="115">
        <v>92.198779261591312</v>
      </c>
      <c r="P25" s="115">
        <v>41.402265184732457</v>
      </c>
      <c r="Q25" s="111">
        <v>92.198779261591312</v>
      </c>
      <c r="R25" s="68">
        <v>41.402265184732457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0.23346024059013071</v>
      </c>
      <c r="M26" s="115">
        <v>21.091455436822567</v>
      </c>
      <c r="N26" s="115">
        <v>722.20740808998994</v>
      </c>
      <c r="O26" s="115">
        <v>7.4989351258064172</v>
      </c>
      <c r="P26" s="115">
        <v>7.1533050071352537</v>
      </c>
      <c r="Q26" s="111">
        <v>7.4989351258064181</v>
      </c>
      <c r="R26" s="68">
        <v>7.1533050071352537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2.2139266545079511E-2</v>
      </c>
      <c r="M27" s="115">
        <v>9.9346790443711832</v>
      </c>
      <c r="N27" s="115">
        <v>344.05247085252233</v>
      </c>
      <c r="O27" s="115">
        <v>3.6454843504607437</v>
      </c>
      <c r="P27" s="115">
        <v>3.617900527631837</v>
      </c>
      <c r="Q27" s="111">
        <v>3.6454843504607441</v>
      </c>
      <c r="R27" s="68">
        <v>3.6179005276318374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3.3270932656654331E-2</v>
      </c>
      <c r="M28" s="115">
        <v>4.0610746807445413</v>
      </c>
      <c r="N28" s="115">
        <v>139.50386019560381</v>
      </c>
      <c r="O28" s="115">
        <v>1.4493966127666753</v>
      </c>
      <c r="P28" s="115">
        <v>1.3919800986092177</v>
      </c>
      <c r="Q28" s="111">
        <v>1.4493966127666753</v>
      </c>
      <c r="R28" s="68">
        <v>1.3919800986092177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5.9199431819954212E-2</v>
      </c>
      <c r="M29" s="115">
        <v>9.5966492415774013E-2</v>
      </c>
      <c r="N29" s="115">
        <v>1.5179841126884681</v>
      </c>
      <c r="O29" s="115">
        <v>6.265690775841487E-2</v>
      </c>
      <c r="P29" s="115">
        <v>6.8172174607777941E-2</v>
      </c>
      <c r="Q29" s="111">
        <v>6.2656907758414884E-2</v>
      </c>
      <c r="R29" s="68">
        <v>6.8172174607777941E-2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1.2602053144434815E-2</v>
      </c>
      <c r="M30" s="115">
        <v>1.434931635609745</v>
      </c>
      <c r="N30" s="115">
        <v>49.258841153216018</v>
      </c>
      <c r="O30" s="115">
        <v>0.51161252838643323</v>
      </c>
      <c r="P30" s="115">
        <v>0.49055613507324686</v>
      </c>
      <c r="Q30" s="111">
        <v>0.51161252838643323</v>
      </c>
      <c r="R30" s="68">
        <v>0.49055613507324691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4.4928703439725266E-4</v>
      </c>
      <c r="M31" s="115">
        <v>2.389124386459824E-2</v>
      </c>
      <c r="N31" s="115">
        <v>0.81154429326965738</v>
      </c>
      <c r="O31" s="115">
        <v>8.4747651309572281E-3</v>
      </c>
      <c r="P31" s="115">
        <v>8.0017511605491396E-3</v>
      </c>
      <c r="Q31" s="111">
        <v>8.4747651309572281E-3</v>
      </c>
      <c r="R31" s="68">
        <v>8.0017511605491396E-3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0.64933038233128282</v>
      </c>
      <c r="M32" s="115">
        <v>5.8157370522980214</v>
      </c>
      <c r="N32" s="115">
        <v>180.5761420032035</v>
      </c>
      <c r="O32" s="115">
        <v>2.2633447218693004</v>
      </c>
      <c r="P32" s="115">
        <v>2.1525640430200119</v>
      </c>
      <c r="Q32" s="111">
        <v>2.2633447218693004</v>
      </c>
      <c r="R32" s="68">
        <v>2.1525640430200119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0.75880181448391004</v>
      </c>
      <c r="M33" s="115">
        <v>3.1309771540540785</v>
      </c>
      <c r="N33" s="115">
        <v>84.793640077124337</v>
      </c>
      <c r="O33" s="115">
        <v>1.4212276999774112</v>
      </c>
      <c r="P33" s="115">
        <v>1.4132490742292352</v>
      </c>
      <c r="Q33" s="111">
        <v>1.4212276999774112</v>
      </c>
      <c r="R33" s="68">
        <v>1.4132490742292354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0.32119695298836481</v>
      </c>
      <c r="M34" s="115">
        <v>25.262320278834309</v>
      </c>
      <c r="N34" s="115">
        <v>863.50465236125194</v>
      </c>
      <c r="O34" s="115">
        <v>8.9709058816853275</v>
      </c>
      <c r="P34" s="115">
        <v>8.5324808244588244</v>
      </c>
      <c r="Q34" s="111">
        <v>8.9709058816853275</v>
      </c>
      <c r="R34" s="68">
        <v>8.5324808244588262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7.7142660313017461E-2</v>
      </c>
      <c r="M35" s="115">
        <v>69.659897060074385</v>
      </c>
      <c r="N35" s="115">
        <v>2418.5210694265534</v>
      </c>
      <c r="O35" s="115">
        <v>26.051313617557824</v>
      </c>
      <c r="P35" s="115">
        <v>26.335943764410821</v>
      </c>
      <c r="Q35" s="111">
        <v>26.051313617557824</v>
      </c>
      <c r="R35" s="68">
        <v>26.335943764410821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2.0334497936801903E-2</v>
      </c>
      <c r="M36" s="115">
        <v>185.00190138742866</v>
      </c>
      <c r="N36" s="115">
        <v>6461.2142411389013</v>
      </c>
      <c r="O36" s="115">
        <v>49.554442966681151</v>
      </c>
      <c r="P36" s="115">
        <v>34.919720326368115</v>
      </c>
      <c r="Q36" s="111">
        <v>49.554442966681151</v>
      </c>
      <c r="R36" s="68">
        <v>34.919720326368115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3.2806912745272278E-3</v>
      </c>
      <c r="M37" s="115">
        <v>458.17463732543172</v>
      </c>
      <c r="N37" s="115">
        <v>16097.23642974734</v>
      </c>
      <c r="O37" s="115">
        <v>97.524549431540962</v>
      </c>
      <c r="P37" s="115">
        <v>42.289243504093534</v>
      </c>
      <c r="Q37" s="111">
        <v>97.524549431540962</v>
      </c>
      <c r="R37" s="68">
        <v>42.289243504093534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1.1174126749797716E-2</v>
      </c>
      <c r="M38" s="115">
        <v>270.97285881219028</v>
      </c>
      <c r="N38" s="115">
        <v>9484.3790035930579</v>
      </c>
      <c r="O38" s="115">
        <v>64.338971566432051</v>
      </c>
      <c r="P38" s="115">
        <v>36.524784433596523</v>
      </c>
      <c r="Q38" s="111">
        <v>64.338971566432051</v>
      </c>
      <c r="R38" s="68">
        <v>36.524784433596523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1.5372222955100833E-2</v>
      </c>
      <c r="M39" s="115">
        <v>185.06503594813023</v>
      </c>
      <c r="N39" s="115">
        <v>6467.4906077108071</v>
      </c>
      <c r="O39" s="115">
        <v>47.604475665883612</v>
      </c>
      <c r="P39" s="115">
        <v>31.429450907025746</v>
      </c>
      <c r="Q39" s="111">
        <v>47.604475665883612</v>
      </c>
      <c r="R39" s="68">
        <v>31.429450907025746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1.1174126749797716E-2</v>
      </c>
      <c r="M40" s="115">
        <v>270.97285881219028</v>
      </c>
      <c r="N40" s="115">
        <v>9484.3790035930579</v>
      </c>
      <c r="O40" s="115">
        <v>64.338971566432051</v>
      </c>
      <c r="P40" s="115">
        <v>36.524784433596523</v>
      </c>
      <c r="Q40" s="111">
        <v>64.338971566432051</v>
      </c>
      <c r="R40" s="68">
        <v>36.524784433596523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0.98920610805032283</v>
      </c>
      <c r="M41" s="115">
        <v>0.99075473275262116</v>
      </c>
      <c r="N41" s="115">
        <v>5.6896713507040992</v>
      </c>
      <c r="O41" s="115">
        <v>1.0481038674763745</v>
      </c>
      <c r="P41" s="115">
        <v>1.3459490354081654</v>
      </c>
      <c r="Q41" s="111">
        <v>1.0481038674763747</v>
      </c>
      <c r="R41" s="68">
        <v>1.3459490354081656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2.9895326371190164E-3</v>
      </c>
      <c r="M42" s="115">
        <v>469.20275991594889</v>
      </c>
      <c r="N42" s="115">
        <v>16488.784481051342</v>
      </c>
      <c r="O42" s="115">
        <v>99.445059608357852</v>
      </c>
      <c r="P42" s="115">
        <v>42.597446687104529</v>
      </c>
      <c r="Q42" s="111">
        <v>99.445059608357852</v>
      </c>
      <c r="R42" s="68">
        <v>42.597446687104529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0.48964411820379811</v>
      </c>
      <c r="M43" s="115">
        <v>12.562143880757823</v>
      </c>
      <c r="N43" s="115">
        <v>418.40383212998756</v>
      </c>
      <c r="O43" s="115">
        <v>4.5095688782962347</v>
      </c>
      <c r="P43" s="115">
        <v>4.2245503338221413</v>
      </c>
      <c r="Q43" s="111">
        <v>4.5095688782962347</v>
      </c>
      <c r="R43" s="68">
        <v>4.2245503338221413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3.1057811038111349E-2</v>
      </c>
      <c r="M44" s="115">
        <v>133.89024829607467</v>
      </c>
      <c r="N44" s="115">
        <v>4668.0532146423275</v>
      </c>
      <c r="O44" s="115">
        <v>41.116674168904325</v>
      </c>
      <c r="P44" s="115">
        <v>34.669894086966927</v>
      </c>
      <c r="Q44" s="111">
        <v>41.116674168904332</v>
      </c>
      <c r="R44" s="68">
        <v>34.669894086966927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1.4334223777777784E-3</v>
      </c>
      <c r="M45" s="115">
        <v>585.87776362491684</v>
      </c>
      <c r="N45" s="115">
        <v>20630.72478932422</v>
      </c>
      <c r="O45" s="115">
        <v>120.8876525776779</v>
      </c>
      <c r="P45" s="115">
        <v>47.887199478106936</v>
      </c>
      <c r="Q45" s="111">
        <v>120.8876525776779</v>
      </c>
      <c r="R45" s="68">
        <v>47.887199478106936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2.7318659619124481E-3</v>
      </c>
      <c r="M46" s="115">
        <v>493.22685098185781</v>
      </c>
      <c r="N46" s="115">
        <v>17338.19927465911</v>
      </c>
      <c r="O46" s="115">
        <v>104.03588675231485</v>
      </c>
      <c r="P46" s="115">
        <v>43.951233523453801</v>
      </c>
      <c r="Q46" s="111">
        <v>104.03588675231485</v>
      </c>
      <c r="R46" s="68">
        <v>43.951233523453801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5.7943526395669489E-3</v>
      </c>
      <c r="M47" s="115">
        <v>374.55001447875674</v>
      </c>
      <c r="N47" s="115">
        <v>13137.567769015553</v>
      </c>
      <c r="O47" s="115">
        <v>82.65012216175333</v>
      </c>
      <c r="P47" s="115">
        <v>39.534635313920859</v>
      </c>
      <c r="Q47" s="111">
        <v>82.650122161753345</v>
      </c>
      <c r="R47" s="68">
        <v>39.534635313920859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0.16449678787755476</v>
      </c>
      <c r="M48" s="115">
        <v>48.54191537079938</v>
      </c>
      <c r="N48" s="115">
        <v>1677.8132851828898</v>
      </c>
      <c r="O48" s="115">
        <v>17.629080652821088</v>
      </c>
      <c r="P48" s="115">
        <v>17.305564748482116</v>
      </c>
      <c r="Q48" s="111">
        <v>17.629080652821088</v>
      </c>
      <c r="R48" s="68">
        <v>17.305564748482116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2.8768364639177108E-2</v>
      </c>
      <c r="M49" s="115">
        <v>142.66206934712932</v>
      </c>
      <c r="N49" s="115">
        <v>4975.5295799060068</v>
      </c>
      <c r="O49" s="115">
        <v>42.554511159253863</v>
      </c>
      <c r="P49" s="115">
        <v>34.68989839478823</v>
      </c>
      <c r="Q49" s="111">
        <v>42.554511159253863</v>
      </c>
      <c r="R49" s="68">
        <v>34.68989839478823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2.5236464225560383E-2</v>
      </c>
      <c r="M50" s="115">
        <v>158.04623209479732</v>
      </c>
      <c r="N50" s="115">
        <v>5515.0734763643795</v>
      </c>
      <c r="O50" s="115">
        <v>45.077221305565502</v>
      </c>
      <c r="P50" s="115">
        <v>34.731398340813385</v>
      </c>
      <c r="Q50" s="111">
        <v>45.077221305565502</v>
      </c>
      <c r="R50" s="68">
        <v>34.731398340813385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0.12262794352257844</v>
      </c>
      <c r="M51" s="115">
        <v>59.011284339285446</v>
      </c>
      <c r="N51" s="115">
        <v>2044.2320662650059</v>
      </c>
      <c r="O51" s="115">
        <v>21.693166640904884</v>
      </c>
      <c r="P51" s="115">
        <v>21.568608001995859</v>
      </c>
      <c r="Q51" s="111">
        <v>21.693166640904884</v>
      </c>
      <c r="R51" s="68">
        <v>21.568608001995859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0.16010234661153241</v>
      </c>
      <c r="M52" s="115">
        <v>49.496351561055022</v>
      </c>
      <c r="N52" s="115">
        <v>1711.2100505714343</v>
      </c>
      <c r="O52" s="115">
        <v>17.995457578363823</v>
      </c>
      <c r="P52" s="115">
        <v>17.686493860102274</v>
      </c>
      <c r="Q52" s="111">
        <v>17.995457578363823</v>
      </c>
      <c r="R52" s="68">
        <v>17.686493860102274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1.6537903042492183E-2</v>
      </c>
      <c r="M53" s="115">
        <v>213.54031942699896</v>
      </c>
      <c r="N53" s="115">
        <v>7463.786142049069</v>
      </c>
      <c r="O53" s="115">
        <v>54.420387337348778</v>
      </c>
      <c r="P53" s="115">
        <v>35.361186454681324</v>
      </c>
      <c r="Q53" s="111">
        <v>54.420387337348778</v>
      </c>
      <c r="R53" s="68">
        <v>35.361186454681324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2.6958554759549745E-2</v>
      </c>
      <c r="M54" s="115">
        <v>150.23481411009502</v>
      </c>
      <c r="N54" s="115">
        <v>5241.071321721126</v>
      </c>
      <c r="O54" s="115">
        <v>43.795789264819419</v>
      </c>
      <c r="P54" s="115">
        <v>34.708688119799106</v>
      </c>
      <c r="Q54" s="111">
        <v>43.795789264819419</v>
      </c>
      <c r="R54" s="68">
        <v>34.708688119799106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5.9796190025228173E-3</v>
      </c>
      <c r="M55" s="115">
        <v>368.89453746784159</v>
      </c>
      <c r="N55" s="115">
        <v>12937.900564082605</v>
      </c>
      <c r="O55" s="115">
        <v>81.621962851888853</v>
      </c>
      <c r="P55" s="115">
        <v>39.315811957915564</v>
      </c>
      <c r="Q55" s="111">
        <v>81.621962851888853</v>
      </c>
      <c r="R55" s="68">
        <v>39.315811957915571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3.0285026939235911E-2</v>
      </c>
      <c r="M56" s="115">
        <v>136.79732930732368</v>
      </c>
      <c r="N56" s="115">
        <v>4769.9370301595036</v>
      </c>
      <c r="O56" s="115">
        <v>41.59628496312434</v>
      </c>
      <c r="P56" s="115">
        <v>34.68185959425292</v>
      </c>
      <c r="Q56" s="111">
        <v>41.59628496312434</v>
      </c>
      <c r="R56" s="68">
        <v>34.68185959425292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0.18374964467814434</v>
      </c>
      <c r="M57" s="115">
        <v>43.979544431690762</v>
      </c>
      <c r="N57" s="115">
        <v>1518.3627396300205</v>
      </c>
      <c r="O57" s="115">
        <v>15.896321020301089</v>
      </c>
      <c r="P57" s="115">
        <v>15.520999617565577</v>
      </c>
      <c r="Q57" s="111">
        <v>15.896321020301091</v>
      </c>
      <c r="R57" s="68">
        <v>15.520999617565579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2.6608290606306033E-2</v>
      </c>
      <c r="M58" s="115">
        <v>151.78442383707724</v>
      </c>
      <c r="N58" s="115">
        <v>5295.4186985432825</v>
      </c>
      <c r="O58" s="115">
        <v>44.050693966825776</v>
      </c>
      <c r="P58" s="115">
        <v>34.714322628798101</v>
      </c>
      <c r="Q58" s="111">
        <v>44.050693966825783</v>
      </c>
      <c r="R58" s="68">
        <v>34.714322628798101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0.16016248622084289</v>
      </c>
      <c r="M59" s="115">
        <v>49.514943988387763</v>
      </c>
      <c r="N59" s="115">
        <v>1711.8528363023595</v>
      </c>
      <c r="O59" s="115">
        <v>18.002217253103332</v>
      </c>
      <c r="P59" s="115">
        <v>17.693137478096205</v>
      </c>
      <c r="Q59" s="111">
        <v>18.002217253103332</v>
      </c>
      <c r="R59" s="68">
        <v>17.693137478096205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1.8718736852678251E-2</v>
      </c>
      <c r="M60" s="115">
        <v>195.90311029420567</v>
      </c>
      <c r="N60" s="115">
        <v>6844.1015768964353</v>
      </c>
      <c r="O60" s="115">
        <v>51.38850260726057</v>
      </c>
      <c r="P60" s="115">
        <v>35.042406223032422</v>
      </c>
      <c r="Q60" s="111">
        <v>51.388502607260577</v>
      </c>
      <c r="R60" s="68">
        <v>35.042406223032422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0.96989671704949221</v>
      </c>
      <c r="M61" s="115">
        <v>71.639488615691249</v>
      </c>
      <c r="N61" s="115">
        <v>1468.7418791458513</v>
      </c>
      <c r="O61" s="115">
        <v>8.124379891526555</v>
      </c>
      <c r="P61" s="115">
        <v>8.1695769708858865</v>
      </c>
      <c r="Q61" s="111">
        <v>8.124379891526555</v>
      </c>
      <c r="R61" s="68">
        <v>8.1695769708858865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0.33425270427062348</v>
      </c>
      <c r="M62" s="115">
        <v>23.97177576515341</v>
      </c>
      <c r="N62" s="115">
        <v>818.33534771571385</v>
      </c>
      <c r="O62" s="115">
        <v>8.5075718525373301</v>
      </c>
      <c r="P62" s="115">
        <v>8.0767529656920711</v>
      </c>
      <c r="Q62" s="111">
        <v>8.5075718525373318</v>
      </c>
      <c r="R62" s="68">
        <v>8.0767529656920711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1.8529313613878702</v>
      </c>
      <c r="M63" s="115">
        <v>6.8853890811925949</v>
      </c>
      <c r="N63" s="115">
        <v>114.68643771167133</v>
      </c>
      <c r="O63" s="115">
        <v>1.0906847479931232</v>
      </c>
      <c r="P63" s="115">
        <v>1.2208915881167572</v>
      </c>
      <c r="Q63" s="111">
        <v>1.0906847479931232</v>
      </c>
      <c r="R63" s="68">
        <v>1.2208915881167572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0.98802134895544069</v>
      </c>
      <c r="M64" s="115">
        <v>0.91856100058323875</v>
      </c>
      <c r="N64" s="115">
        <v>2.271651813618889</v>
      </c>
      <c r="O64" s="115">
        <v>0.88083535319947437</v>
      </c>
      <c r="P64" s="115">
        <v>1.0531156173968645</v>
      </c>
      <c r="Q64" s="111">
        <v>0.88083535319947437</v>
      </c>
      <c r="R64" s="68">
        <v>1.0531156173968645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1.2697846183854296</v>
      </c>
      <c r="M65" s="115">
        <v>1.3837862731556299</v>
      </c>
      <c r="N65" s="115">
        <v>9.5560597928192976</v>
      </c>
      <c r="O65" s="115">
        <v>0.83367774727714217</v>
      </c>
      <c r="P65" s="115">
        <v>0.96825531140354471</v>
      </c>
      <c r="Q65" s="111">
        <v>0.83367774727714228</v>
      </c>
      <c r="R65" s="68">
        <v>0.96825531140354482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2.1984024805910418</v>
      </c>
      <c r="M66" s="115">
        <v>58.605530131404421</v>
      </c>
      <c r="N66" s="115">
        <v>1064.9657956923181</v>
      </c>
      <c r="O66" s="115">
        <v>2.5438339522406617</v>
      </c>
      <c r="P66" s="115">
        <v>3.1017156067166267</v>
      </c>
      <c r="Q66" s="111">
        <v>2.5438339522406617</v>
      </c>
      <c r="R66" s="68">
        <v>3.1017156067166267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1.2297809091785075</v>
      </c>
      <c r="M67" s="115">
        <v>1.2962594690470219</v>
      </c>
      <c r="N67" s="115">
        <v>7.9546148435313837</v>
      </c>
      <c r="O67" s="115">
        <v>0.83163400831222767</v>
      </c>
      <c r="P67" s="115">
        <v>0.9657346849256192</v>
      </c>
      <c r="Q67" s="111">
        <v>0.83163400831222778</v>
      </c>
      <c r="R67" s="68">
        <v>0.96573468492561931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1.0293516685105084</v>
      </c>
      <c r="M68" s="115">
        <v>0.92383501538886881</v>
      </c>
      <c r="N68" s="115">
        <v>1.0547984286763432</v>
      </c>
      <c r="O68" s="115">
        <v>0.82262994943731649</v>
      </c>
      <c r="P68" s="115">
        <v>0.95593545230210697</v>
      </c>
      <c r="Q68" s="111">
        <v>0.8226299494373166</v>
      </c>
      <c r="R68" s="68">
        <v>0.95593545230210697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3.4518970306228615E-2</v>
      </c>
      <c r="M69" s="115">
        <v>122.60588751764081</v>
      </c>
      <c r="N69" s="115">
        <v>4272.6363899923335</v>
      </c>
      <c r="O69" s="115">
        <v>39.308202024226055</v>
      </c>
      <c r="P69" s="115">
        <v>34.721004560545936</v>
      </c>
      <c r="Q69" s="111">
        <v>39.308202024226055</v>
      </c>
      <c r="R69" s="68">
        <v>34.721004560545936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0.99069776384552177</v>
      </c>
      <c r="M70" s="115">
        <v>0.9499949013638842</v>
      </c>
      <c r="N70" s="115">
        <v>3.8085384861915084</v>
      </c>
      <c r="O70" s="115">
        <v>0.97024848471356584</v>
      </c>
      <c r="P70" s="115">
        <v>1.2112671096349554</v>
      </c>
      <c r="Q70" s="111">
        <v>0.97024848471356595</v>
      </c>
      <c r="R70" s="68">
        <v>1.2112671096349554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0.98829683079914665</v>
      </c>
      <c r="M71" s="115">
        <v>1.0183675858386627</v>
      </c>
      <c r="N71" s="115">
        <v>6.9770097665760176</v>
      </c>
      <c r="O71" s="115">
        <v>1.1045319342035751</v>
      </c>
      <c r="P71" s="115">
        <v>1.4440132557046195</v>
      </c>
      <c r="Q71" s="111">
        <v>1.1045319342035751</v>
      </c>
      <c r="R71" s="68">
        <v>1.4440132557046197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3.564535406700671E-2</v>
      </c>
      <c r="M72" s="115">
        <v>133.87741838666017</v>
      </c>
      <c r="N72" s="115">
        <v>5985.0471857251005</v>
      </c>
      <c r="O72" s="115">
        <v>57.126412345296814</v>
      </c>
      <c r="P72" s="115">
        <v>80.535717097486753</v>
      </c>
      <c r="Q72" s="111">
        <v>57.126412345296821</v>
      </c>
      <c r="R72" s="68">
        <v>80.535717097486753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0.27178532657107296</v>
      </c>
      <c r="M73" s="115">
        <v>13.088186317569866</v>
      </c>
      <c r="N73" s="115">
        <v>574.68134099316251</v>
      </c>
      <c r="O73" s="115">
        <v>34.594029421388797</v>
      </c>
      <c r="P73" s="115">
        <v>60.348848071446177</v>
      </c>
      <c r="Q73" s="111">
        <v>34.594029421388797</v>
      </c>
      <c r="R73" s="68">
        <v>60.348848071446184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0.98877982677846676</v>
      </c>
      <c r="M74" s="115">
        <v>1.0050021385637466</v>
      </c>
      <c r="N74" s="115">
        <v>6.3573186143586939</v>
      </c>
      <c r="O74" s="115">
        <v>1.0778812310519361</v>
      </c>
      <c r="P74" s="115">
        <v>1.3977859591188904</v>
      </c>
      <c r="Q74" s="111">
        <v>1.0778812310519361</v>
      </c>
      <c r="R74" s="68">
        <v>1.3977859591188904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0.30774155569123612</v>
      </c>
      <c r="M75" s="115">
        <v>12.621755934036734</v>
      </c>
      <c r="N75" s="115">
        <v>552.42989545804539</v>
      </c>
      <c r="O75" s="115">
        <v>32.938505327766016</v>
      </c>
      <c r="P75" s="115">
        <v>57.414460461836619</v>
      </c>
      <c r="Q75" s="111">
        <v>32.938505327766016</v>
      </c>
      <c r="R75" s="68">
        <v>57.414460461836619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0.88831844092387879</v>
      </c>
      <c r="M76" s="115">
        <v>3.1397529453586501</v>
      </c>
      <c r="N76" s="115">
        <v>105.88026480584135</v>
      </c>
      <c r="O76" s="115">
        <v>5.9752281422275608</v>
      </c>
      <c r="P76" s="115">
        <v>9.9479577208453751</v>
      </c>
      <c r="Q76" s="111">
        <v>5.9752281422275617</v>
      </c>
      <c r="R76" s="68">
        <v>9.9479577208453751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0.28178633845926637</v>
      </c>
      <c r="M77" s="115">
        <v>12.960944270268095</v>
      </c>
      <c r="N77" s="115">
        <v>568.60182691533578</v>
      </c>
      <c r="O77" s="115">
        <v>34.133721823340615</v>
      </c>
      <c r="P77" s="115">
        <v>59.532519184351344</v>
      </c>
      <c r="Q77" s="111">
        <v>34.133721823340615</v>
      </c>
      <c r="R77" s="68">
        <v>59.532519184351344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3.9759291862936828E-2</v>
      </c>
      <c r="M78" s="115">
        <v>112.78647899007173</v>
      </c>
      <c r="N78" s="115">
        <v>5041.7758375841431</v>
      </c>
      <c r="O78" s="115">
        <v>54.851793431552117</v>
      </c>
      <c r="P78" s="115">
        <v>80.033363792858381</v>
      </c>
      <c r="Q78" s="111">
        <v>54.851793431552117</v>
      </c>
      <c r="R78" s="68">
        <v>80.033363792858381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3.9759300545929729E-2</v>
      </c>
      <c r="M79" s="115">
        <v>112.78642273929631</v>
      </c>
      <c r="N79" s="115">
        <v>5041.7741573045296</v>
      </c>
      <c r="O79" s="115">
        <v>54.851791142950695</v>
      </c>
      <c r="P79" s="115">
        <v>80.033378224542886</v>
      </c>
      <c r="Q79" s="111">
        <v>54.851791142950695</v>
      </c>
      <c r="R79" s="68">
        <v>80.033378224542886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0.66535321591084617</v>
      </c>
      <c r="M80" s="115">
        <v>7.1432920711943835</v>
      </c>
      <c r="N80" s="115">
        <v>293.58389989940861</v>
      </c>
      <c r="O80" s="115">
        <v>16.387975332037758</v>
      </c>
      <c r="P80" s="115">
        <v>28.219709990447402</v>
      </c>
      <c r="Q80" s="111">
        <v>16.387975332037762</v>
      </c>
      <c r="R80" s="68">
        <v>28.219709990447402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0.97223258838522231</v>
      </c>
      <c r="M81" s="115">
        <v>1.4147220883482916</v>
      </c>
      <c r="N81" s="115">
        <v>25.393680566046793</v>
      </c>
      <c r="O81" s="115">
        <v>1.9415333915552779</v>
      </c>
      <c r="P81" s="115">
        <v>2.8998844080490844</v>
      </c>
      <c r="Q81" s="111">
        <v>1.9415333915552782</v>
      </c>
      <c r="R81" s="68">
        <v>2.8998844080490849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0.93689564759796884</v>
      </c>
      <c r="M82" s="115">
        <v>2.1753511694289016</v>
      </c>
      <c r="N82" s="115">
        <v>60.838636976342372</v>
      </c>
      <c r="O82" s="115">
        <v>3.6680470458842667</v>
      </c>
      <c r="P82" s="115">
        <v>5.9127807942044086</v>
      </c>
      <c r="Q82" s="111">
        <v>3.6680470458842667</v>
      </c>
      <c r="R82" s="68">
        <v>5.9127807942044086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2.6089501976141009E-2</v>
      </c>
      <c r="M83" s="115">
        <v>212.02759161405234</v>
      </c>
      <c r="N83" s="115">
        <v>9480.0366487502233</v>
      </c>
      <c r="O83" s="115">
        <v>65.301981151696907</v>
      </c>
      <c r="P83" s="115">
        <v>81.937044616715298</v>
      </c>
      <c r="Q83" s="111">
        <v>65.301981151696907</v>
      </c>
      <c r="R83" s="68">
        <v>81.937044616715298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0.4297864414881491</v>
      </c>
      <c r="M84" s="115">
        <v>16.214119363638154</v>
      </c>
      <c r="N84" s="115">
        <v>546.58696857975895</v>
      </c>
      <c r="O84" s="115">
        <v>5.767739915840381</v>
      </c>
      <c r="P84" s="115">
        <v>5.4192887102228973</v>
      </c>
      <c r="Q84" s="111">
        <v>5.767739915840381</v>
      </c>
      <c r="R84" s="68">
        <v>5.4192887102228982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0.33302228631457559</v>
      </c>
      <c r="M85" s="115">
        <v>1411.097396436588</v>
      </c>
      <c r="N85" s="115">
        <v>25980.550238458778</v>
      </c>
      <c r="O85" s="115">
        <v>25.798725270062025</v>
      </c>
      <c r="P85" s="115">
        <v>23.242451434109501</v>
      </c>
      <c r="Q85" s="111">
        <v>25.798725270062025</v>
      </c>
      <c r="R85" s="68">
        <v>23.242451434109501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1.7302585191811791E-3</v>
      </c>
      <c r="M86" s="115">
        <v>559.96234357438152</v>
      </c>
      <c r="N86" s="115">
        <v>19708.452596928786</v>
      </c>
      <c r="O86" s="115">
        <v>116.16388996569235</v>
      </c>
      <c r="P86" s="115">
        <v>46.747206143901479</v>
      </c>
      <c r="Q86" s="111">
        <v>116.16388996569236</v>
      </c>
      <c r="R86" s="68">
        <v>46.747206143901479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6.4244408913337412E-4</v>
      </c>
      <c r="M87" s="115">
        <v>683.83478524741236</v>
      </c>
      <c r="N87" s="115">
        <v>24128.517481714036</v>
      </c>
      <c r="O87" s="115">
        <v>138.76742187381851</v>
      </c>
      <c r="P87" s="115">
        <v>52.424346218822677</v>
      </c>
      <c r="Q87" s="111">
        <v>138.76742187381853</v>
      </c>
      <c r="R87" s="68">
        <v>52.424346218822684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1.9241355237558725E-4</v>
      </c>
      <c r="M88" s="115">
        <v>793.23617852919529</v>
      </c>
      <c r="N88" s="115">
        <v>28067.512718746242</v>
      </c>
      <c r="O88" s="115">
        <v>158.66391997105634</v>
      </c>
      <c r="P88" s="115">
        <v>57.870716832222961</v>
      </c>
      <c r="Q88" s="111">
        <v>158.66391997105637</v>
      </c>
      <c r="R88" s="68">
        <v>57.870716832222961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3.2365964366907409E-3</v>
      </c>
      <c r="M89" s="115">
        <v>2204.823036805933</v>
      </c>
      <c r="N89" s="115">
        <v>40811.055324406021</v>
      </c>
      <c r="O89" s="115">
        <v>31.177334696982292</v>
      </c>
      <c r="P89" s="115">
        <v>10.758083833082638</v>
      </c>
      <c r="Q89" s="111">
        <v>31.177334696982292</v>
      </c>
      <c r="R89" s="68">
        <v>10.758083833082638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0.96846022955725197</v>
      </c>
      <c r="M90" s="115">
        <v>0.88905544047535656</v>
      </c>
      <c r="N90" s="115">
        <v>1.477193567050284</v>
      </c>
      <c r="O90" s="115">
        <v>0.81196559133351875</v>
      </c>
      <c r="P90" s="115">
        <v>0.93904572447191359</v>
      </c>
      <c r="Q90" s="111">
        <v>0.81196559133351875</v>
      </c>
      <c r="R90" s="68">
        <v>0.93904572447191359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0.7636197985207861</v>
      </c>
      <c r="M91" s="115">
        <v>3.0375752968737606</v>
      </c>
      <c r="N91" s="115">
        <v>81.435051081578266</v>
      </c>
      <c r="O91" s="115">
        <v>1.3929331239904121</v>
      </c>
      <c r="P91" s="115">
        <v>1.3891374785370727</v>
      </c>
      <c r="Q91" s="111">
        <v>1.3929331239904121</v>
      </c>
      <c r="R91" s="68">
        <v>1.3891374785370727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0.26523471173990842</v>
      </c>
      <c r="M92" s="115">
        <v>31.633160945480853</v>
      </c>
      <c r="N92" s="115">
        <v>1086.4059745592649</v>
      </c>
      <c r="O92" s="115">
        <v>11.286000506852179</v>
      </c>
      <c r="P92" s="115">
        <v>10.833078802344046</v>
      </c>
      <c r="Q92" s="111">
        <v>11.286000506852181</v>
      </c>
      <c r="R92" s="68">
        <v>10.833078802344048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0.99274732783388153</v>
      </c>
      <c r="M93" s="115">
        <v>0.88107703711786101</v>
      </c>
      <c r="N93" s="115">
        <v>0.62191829225446682</v>
      </c>
      <c r="O93" s="115">
        <v>0.84291700253717583</v>
      </c>
      <c r="P93" s="115">
        <v>0.99128078012334231</v>
      </c>
      <c r="Q93" s="111">
        <v>0.84291700253717583</v>
      </c>
      <c r="R93" s="68">
        <v>0.99128078012334231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0.99877589036290326</v>
      </c>
      <c r="M94" s="115">
        <v>0.87579729706947407</v>
      </c>
      <c r="N94" s="115">
        <v>0.15091529645196355</v>
      </c>
      <c r="O94" s="115">
        <v>0.82200886441789245</v>
      </c>
      <c r="P94" s="115">
        <v>0.95543073153965652</v>
      </c>
      <c r="Q94" s="111">
        <v>0.82200886441789245</v>
      </c>
      <c r="R94" s="68">
        <v>0.95543073153965652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0.94516953501395329</v>
      </c>
      <c r="M95" s="115">
        <v>1.01287576201468</v>
      </c>
      <c r="N95" s="115">
        <v>6.3841156782005264</v>
      </c>
      <c r="O95" s="115">
        <v>0.82248518416771965</v>
      </c>
      <c r="P95" s="115">
        <v>0.93560038044141414</v>
      </c>
      <c r="Q95" s="111">
        <v>0.82248518416771965</v>
      </c>
      <c r="R95" s="68">
        <v>0.93560038044141425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2.4530618958381162E-3</v>
      </c>
      <c r="M96" s="115">
        <v>509.47875362212579</v>
      </c>
      <c r="N96" s="115">
        <v>17914.81678882732</v>
      </c>
      <c r="O96" s="115">
        <v>106.98534253130072</v>
      </c>
      <c r="P96" s="115">
        <v>44.615343827400615</v>
      </c>
      <c r="Q96" s="111">
        <v>106.98534253130072</v>
      </c>
      <c r="R96" s="68">
        <v>44.615343827400615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0.67798079466286243</v>
      </c>
      <c r="M97" s="115">
        <v>5.0340337902669683</v>
      </c>
      <c r="N97" s="115">
        <v>152.76425038466371</v>
      </c>
      <c r="O97" s="115">
        <v>2.0141167690010482</v>
      </c>
      <c r="P97" s="115">
        <v>1.9305334021094227</v>
      </c>
      <c r="Q97" s="111">
        <v>2.0141167690010482</v>
      </c>
      <c r="R97" s="68">
        <v>1.9305334021094229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0.74901529807868805</v>
      </c>
      <c r="M98" s="115">
        <v>3.3290102494333254</v>
      </c>
      <c r="N98" s="115">
        <v>91.902762614292996</v>
      </c>
      <c r="O98" s="115">
        <v>1.4815735162717272</v>
      </c>
      <c r="P98" s="115">
        <v>1.4649157561596962</v>
      </c>
      <c r="Q98" s="111">
        <v>1.4815735162717272</v>
      </c>
      <c r="R98" s="68">
        <v>1.4649157561596964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0.87536580225677352</v>
      </c>
      <c r="M99" s="115">
        <v>1.4344833084447237</v>
      </c>
      <c r="N99" s="115">
        <v>22.976570357172541</v>
      </c>
      <c r="O99" s="115">
        <v>0.93140593962939</v>
      </c>
      <c r="P99" s="115">
        <v>1.0122176569259149</v>
      </c>
      <c r="Q99" s="111">
        <v>0.93140593962939</v>
      </c>
      <c r="R99" s="68">
        <v>1.0122176569259149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1.4764079085075784E-2</v>
      </c>
      <c r="M100" s="115">
        <v>229.77599199485252</v>
      </c>
      <c r="N100" s="115">
        <v>8034.5967223985972</v>
      </c>
      <c r="O100" s="115">
        <v>57.208058189603626</v>
      </c>
      <c r="P100" s="115">
        <v>35.65450677754027</v>
      </c>
      <c r="Q100" s="111">
        <v>57.208058189603626</v>
      </c>
      <c r="R100" s="68">
        <v>35.65450677754027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0.32447380109951235</v>
      </c>
      <c r="M101" s="115">
        <v>24.937807312464617</v>
      </c>
      <c r="N101" s="115">
        <v>852.14531073133264</v>
      </c>
      <c r="O101" s="115">
        <v>8.854201279769093</v>
      </c>
      <c r="P101" s="115">
        <v>8.4175065652917418</v>
      </c>
      <c r="Q101" s="111">
        <v>8.854201279769093</v>
      </c>
      <c r="R101" s="68">
        <v>8.4175065652917418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0.12436837712012755</v>
      </c>
      <c r="M102" s="115">
        <v>58.470499793664821</v>
      </c>
      <c r="N102" s="115">
        <v>2025.3074007271446</v>
      </c>
      <c r="O102" s="115">
        <v>21.481343803020753</v>
      </c>
      <c r="P102" s="115">
        <v>21.344919621617155</v>
      </c>
      <c r="Q102" s="111">
        <v>21.481343803020756</v>
      </c>
      <c r="R102" s="68">
        <v>21.344919621617159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0.98330198848151495</v>
      </c>
      <c r="M103" s="115">
        <v>1.1492815987586438</v>
      </c>
      <c r="N103" s="115">
        <v>13.051393564028345</v>
      </c>
      <c r="O103" s="115">
        <v>1.3723995548439309</v>
      </c>
      <c r="P103" s="115">
        <v>1.9092233437707995</v>
      </c>
      <c r="Q103" s="111">
        <v>1.3723995548439309</v>
      </c>
      <c r="R103" s="68">
        <v>1.9092233437707997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9.983544624601759E-2</v>
      </c>
      <c r="M104" s="115">
        <v>22.917825474838374</v>
      </c>
      <c r="N104" s="115">
        <v>1007.8882569997127</v>
      </c>
      <c r="O104" s="115">
        <v>43.035082021571903</v>
      </c>
      <c r="P104" s="115">
        <v>73.8867317376654</v>
      </c>
      <c r="Q104" s="111">
        <v>43.03508202157191</v>
      </c>
      <c r="R104" s="68">
        <v>73.8867317376654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0.96355753499365449</v>
      </c>
      <c r="M105" s="115">
        <v>0.89442626471912545</v>
      </c>
      <c r="N105" s="115">
        <v>1.8025163846324064</v>
      </c>
      <c r="O105" s="115">
        <v>0.81153506930264896</v>
      </c>
      <c r="P105" s="115">
        <v>0.93702465969931925</v>
      </c>
      <c r="Q105" s="111">
        <v>0.81153506930264896</v>
      </c>
      <c r="R105" s="68">
        <v>0.93702465969931936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0.94110075712649754</v>
      </c>
      <c r="M106" s="115">
        <v>1.0233484340856214</v>
      </c>
      <c r="N106" s="115">
        <v>6.8656701748643885</v>
      </c>
      <c r="O106" s="115">
        <v>0.82423837069312755</v>
      </c>
      <c r="P106" s="115">
        <v>0.93607596089284395</v>
      </c>
      <c r="Q106" s="111">
        <v>0.82423837069312766</v>
      </c>
      <c r="R106" s="68">
        <v>0.93607596089284395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9.6285956388654406E-2</v>
      </c>
      <c r="M107" s="115">
        <v>90.920052821857851</v>
      </c>
      <c r="N107" s="115">
        <v>2773.8658168877619</v>
      </c>
      <c r="O107" s="115">
        <v>26.047880158648368</v>
      </c>
      <c r="P107" s="115">
        <v>26.21031019543862</v>
      </c>
      <c r="Q107" s="111">
        <v>26.047880158648368</v>
      </c>
      <c r="R107" s="68">
        <v>26.210310195438623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0.99603246039031312</v>
      </c>
      <c r="M108" s="115">
        <v>0.87178027339729458</v>
      </c>
      <c r="N108" s="115">
        <v>7.8110664359568732E-2</v>
      </c>
      <c r="O108" s="115">
        <v>0.82188608914965566</v>
      </c>
      <c r="P108" s="115">
        <v>0.95528847734659739</v>
      </c>
      <c r="Q108" s="111">
        <v>0.82188608914965577</v>
      </c>
      <c r="R108" s="68">
        <v>0.9552884773465975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2.1441809484279659</v>
      </c>
      <c r="M109" s="115">
        <v>15.553942709404538</v>
      </c>
      <c r="N109" s="115">
        <v>272.14928334344501</v>
      </c>
      <c r="O109" s="115">
        <v>1.2787652833130301</v>
      </c>
      <c r="P109" s="115">
        <v>1.4870038012542344</v>
      </c>
      <c r="Q109" s="111">
        <v>1.2787652833130301</v>
      </c>
      <c r="R109" s="68">
        <v>1.4870038012542346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0.98704490482710194</v>
      </c>
      <c r="M110" s="115">
        <v>0.86855006332971674</v>
      </c>
      <c r="N110" s="115">
        <v>0.22197703085881809</v>
      </c>
      <c r="O110" s="115">
        <v>0.81827358101585268</v>
      </c>
      <c r="P110" s="115">
        <v>0.95069578393983711</v>
      </c>
      <c r="Q110" s="111">
        <v>0.81827358101585268</v>
      </c>
      <c r="R110" s="68">
        <v>0.95069578393983711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0.99321871842050335</v>
      </c>
      <c r="M111" s="115">
        <v>0.86764869865314531</v>
      </c>
      <c r="N111" s="115">
        <v>3.2331511380629995E-3</v>
      </c>
      <c r="O111" s="115">
        <v>0.8219183418697994</v>
      </c>
      <c r="P111" s="115">
        <v>0.95537742178453622</v>
      </c>
      <c r="Q111" s="111">
        <v>0.82191834186979951</v>
      </c>
      <c r="R111" s="68">
        <v>0.95537742178453633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0.9852221002947783</v>
      </c>
      <c r="M112" s="115">
        <v>0.86552385756231653</v>
      </c>
      <c r="N112" s="115">
        <v>0.16759606570689581</v>
      </c>
      <c r="O112" s="115">
        <v>0.81530450953599676</v>
      </c>
      <c r="P112" s="115">
        <v>0.94702515869672432</v>
      </c>
      <c r="Q112" s="111">
        <v>0.81530450953599676</v>
      </c>
      <c r="R112" s="68">
        <v>0.94702515869672432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0.94839118042046799</v>
      </c>
      <c r="M113" s="115">
        <v>0.94059261317680476</v>
      </c>
      <c r="N113" s="115">
        <v>3.8381663146358478</v>
      </c>
      <c r="O113" s="115">
        <v>0.81697216873065936</v>
      </c>
      <c r="P113" s="115">
        <v>0.93671397230342068</v>
      </c>
      <c r="Q113" s="111">
        <v>0.81697216873065936</v>
      </c>
      <c r="R113" s="68">
        <v>0.93671397230342079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0.98907257208335064</v>
      </c>
      <c r="M114" s="115">
        <v>0.86549182665482438</v>
      </c>
      <c r="N114" s="115">
        <v>5.2094465600479173E-2</v>
      </c>
      <c r="O114" s="115">
        <v>0.81748687763434946</v>
      </c>
      <c r="P114" s="115">
        <v>0.94999402567187208</v>
      </c>
      <c r="Q114" s="111">
        <v>0.81748687763434957</v>
      </c>
      <c r="R114" s="68">
        <v>0.94999402567187208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0.99092994979303606</v>
      </c>
      <c r="M115" s="115">
        <v>0.94274646963709907</v>
      </c>
      <c r="N115" s="115">
        <v>3.4723389241303959</v>
      </c>
      <c r="O115" s="115">
        <v>0.95622762346548595</v>
      </c>
      <c r="P115" s="115">
        <v>1.1869788380688022</v>
      </c>
      <c r="Q115" s="111">
        <v>0.95622762346548607</v>
      </c>
      <c r="R115" s="68">
        <v>1.1869788380688022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1.0624881236966344</v>
      </c>
      <c r="M116" s="115">
        <v>517.6773114011454</v>
      </c>
      <c r="N116" s="115">
        <v>9542.2943369744771</v>
      </c>
      <c r="O116" s="115">
        <v>19.045927518623998</v>
      </c>
      <c r="P116" s="115">
        <v>24.766566180580828</v>
      </c>
      <c r="Q116" s="111">
        <v>19.045927518623998</v>
      </c>
      <c r="R116" s="68">
        <v>24.766566180580828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0.58295099321321531</v>
      </c>
      <c r="M117" s="115">
        <v>8.2018722351078814</v>
      </c>
      <c r="N117" s="115">
        <v>264.91003499900086</v>
      </c>
      <c r="O117" s="115">
        <v>3.0433405635468178</v>
      </c>
      <c r="P117" s="115">
        <v>2.860589553073857</v>
      </c>
      <c r="Q117" s="111">
        <v>3.0433405635468178</v>
      </c>
      <c r="R117" s="68">
        <v>2.860589553073857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2025-02-02T13:51:09Z</dcterms:modified>
</cp:coreProperties>
</file>