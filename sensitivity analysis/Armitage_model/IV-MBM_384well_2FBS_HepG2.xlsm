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1CEFB37E-CA1F-441B-8663-03BCB682088B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Input System Parameters" sheetId="2" r:id="rId3"/>
    <sheet name="Options for Generic Calcs" sheetId="20" r:id="rId4"/>
    <sheet name="Well Plate Characteristics" sheetId="18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<sst xmlns="http://schemas.openxmlformats.org/spreadsheetml/2006/main" count="2915" uniqueCount="495">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</sst>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47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9.5700000000000004E-3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2.2329999999999999E-2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9.4600000000000004E-2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1.6799999999999999E-2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1.6799999999999999E-2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4.1999999999999996E-4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1.3397999999999999E-5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2.85</v>
      </c>
      <c r="K5" s="136">
        <v>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1.1399999999999999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0.56999999999999995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0.28499999999999998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0.06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4.8000000000000001E-2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1.6799999999999999E-2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9.2999999999999992E-3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6.0000000000000001E-3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6.8999999999999999E-3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3.5999999999999999E-3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0.06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1.4241889735912382E-5</v>
      </c>
      <c r="J2" s="67" t="s">
        <v>231</v>
      </c>
      <c r="K2" s="68">
        <v>2.3091369504439794E-3</v>
      </c>
      <c r="L2" s="67" t="s">
        <v>231</v>
      </c>
      <c r="M2" s="68">
        <v>5.5117359728551203E-2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4.6056848663056137E-3</v>
      </c>
      <c r="J3" s="67" t="s">
        <v>231</v>
      </c>
      <c r="K3" s="68">
        <v>0.4692027599159489</v>
      </c>
      <c r="L3" s="67" t="s">
        <v>231</v>
      </c>
      <c r="M3" s="68">
        <v>16.48878448105134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2.4169690015737951E-3</v>
      </c>
      <c r="J4" s="67" t="s">
        <v>231</v>
      </c>
      <c r="K4" s="68">
        <v>1.2562143880757824E-2</v>
      </c>
      <c r="L4" s="67" t="s">
        <v>231</v>
      </c>
      <c r="M4" s="68">
        <v>0.41840383212998755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6.9269515646869489E-3</v>
      </c>
      <c r="J5" s="67" t="s">
        <v>231</v>
      </c>
      <c r="K5" s="68">
        <v>0.13389024829607468</v>
      </c>
      <c r="L5" s="67" t="s">
        <v>231</v>
      </c>
      <c r="M5" s="68">
        <v>4.6680532146423275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1.3421987069694106E-2</v>
      </c>
      <c r="J6" s="67" t="s">
        <v>232</v>
      </c>
      <c r="K6" s="68">
        <v>0.58587776362491684</v>
      </c>
      <c r="L6" s="67" t="s">
        <v>231</v>
      </c>
      <c r="M6" s="68">
        <v>20.630724789324223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1.8693525493400421E-3</v>
      </c>
      <c r="J7" s="67" t="s">
        <v>231</v>
      </c>
      <c r="K7" s="68">
        <v>0.49322685098185781</v>
      </c>
      <c r="L7" s="67" t="s">
        <v>231</v>
      </c>
      <c r="M7" s="68">
        <v>17.338199274659107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3.4427002084259552E-3</v>
      </c>
      <c r="J8" s="67" t="s">
        <v>231</v>
      </c>
      <c r="K8" s="68">
        <v>0.37455001447875674</v>
      </c>
      <c r="L8" s="67" t="s">
        <v>231</v>
      </c>
      <c r="M8" s="68">
        <v>13.137567769015554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6.0191621266098136E-4</v>
      </c>
      <c r="J9" s="67" t="s">
        <v>231</v>
      </c>
      <c r="K9" s="68">
        <v>4.8541915370799375E-2</v>
      </c>
      <c r="L9" s="67" t="s">
        <v>231</v>
      </c>
      <c r="M9" s="68">
        <v>1.6778132851828897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4.1530491394473441E-3</v>
      </c>
      <c r="J10" s="67" t="s">
        <v>231</v>
      </c>
      <c r="K10" s="68">
        <v>0.14266206934712933</v>
      </c>
      <c r="L10" s="67" t="s">
        <v>231</v>
      </c>
      <c r="M10" s="68">
        <v>4.9755295799060075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1.015736345359023E-3</v>
      </c>
      <c r="J11" s="67" t="s">
        <v>231</v>
      </c>
      <c r="K11" s="68">
        <v>0.15804623209479732</v>
      </c>
      <c r="L11" s="67" t="s">
        <v>231</v>
      </c>
      <c r="M11" s="68">
        <v>5.5150734763643801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1.5016249430085575E-3</v>
      </c>
      <c r="J12" s="67" t="s">
        <v>231</v>
      </c>
      <c r="K12" s="68">
        <v>5.9011284339285451E-2</v>
      </c>
      <c r="L12" s="67" t="s">
        <v>231</v>
      </c>
      <c r="M12" s="68">
        <v>2.044232066265006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2.8457915689026343E-2</v>
      </c>
      <c r="J13" s="67" t="s">
        <v>232</v>
      </c>
      <c r="K13" s="68">
        <v>4.9496351561055023E-2</v>
      </c>
      <c r="L13" s="67" t="s">
        <v>231</v>
      </c>
      <c r="M13" s="68">
        <v>1.7112100505714343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9.5814270613307061E-3</v>
      </c>
      <c r="J14" s="67" t="s">
        <v>231</v>
      </c>
      <c r="K14" s="68">
        <v>0.21354031942699894</v>
      </c>
      <c r="L14" s="67" t="s">
        <v>231</v>
      </c>
      <c r="M14" s="68">
        <v>7.4637861420490683</v>
      </c>
      <c r="N14" s="67" t="s">
        <v>231</v>
      </c>
      <c r="P14" s="109" t="s">
        <v>229</v>
      </c>
      <c r="Q14" s="103">
        <f>COUNTIF(N2:N50000,"Yes")</f>
        <v>5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4.8865314540147958E-3</v>
      </c>
      <c r="J15" s="67" t="s">
        <v>231</v>
      </c>
      <c r="K15" s="68">
        <v>0.15023481411009501</v>
      </c>
      <c r="L15" s="67" t="s">
        <v>231</v>
      </c>
      <c r="M15" s="68">
        <v>5.241071321721126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3.6119805568024118E-3</v>
      </c>
      <c r="J16" s="67" t="s">
        <v>231</v>
      </c>
      <c r="K16" s="68">
        <v>0.36889453746784157</v>
      </c>
      <c r="L16" s="67" t="s">
        <v>231</v>
      </c>
      <c r="M16" s="68">
        <v>12.937900564082605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2.9148863390537948E-3</v>
      </c>
      <c r="J17" s="67" t="s">
        <v>231</v>
      </c>
      <c r="K17" s="68">
        <v>0.13679732930732369</v>
      </c>
      <c r="L17" s="67" t="s">
        <v>231</v>
      </c>
      <c r="M17" s="68">
        <v>4.7699370301595039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4.1730462054142287E-3</v>
      </c>
      <c r="J18" s="67" t="s">
        <v>231</v>
      </c>
      <c r="K18" s="68">
        <v>4.3979544431690762E-2</v>
      </c>
      <c r="L18" s="67" t="s">
        <v>231</v>
      </c>
      <c r="M18" s="68">
        <v>1.5183627396300206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2.9690782751261916E-2</v>
      </c>
      <c r="J19" s="67" t="s">
        <v>232</v>
      </c>
      <c r="K19" s="68">
        <v>0.15178442383707724</v>
      </c>
      <c r="L19" s="67" t="s">
        <v>231</v>
      </c>
      <c r="M19" s="68">
        <v>5.2954186985432825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2.9453856089317575E-3</v>
      </c>
      <c r="J20" s="67" t="s">
        <v>231</v>
      </c>
      <c r="K20" s="68">
        <v>4.9514943988387766E-2</v>
      </c>
      <c r="L20" s="67" t="s">
        <v>231</v>
      </c>
      <c r="M20" s="68">
        <v>1.7118528363023595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1.3827096954125656E-2</v>
      </c>
      <c r="J21" s="67" t="s">
        <v>232</v>
      </c>
      <c r="K21" s="68">
        <v>0.19590311029420565</v>
      </c>
      <c r="L21" s="67" t="s">
        <v>231</v>
      </c>
      <c r="M21" s="68">
        <v>6.8441015768964348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9.9803915518097198E-5</v>
      </c>
      <c r="J22" s="67" t="s">
        <v>231</v>
      </c>
      <c r="K22" s="68">
        <v>5.8157370522980215E-3</v>
      </c>
      <c r="L22" s="67" t="s">
        <v>231</v>
      </c>
      <c r="M22" s="68">
        <v>0.18057614200320349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3.1280007546375992E-5</v>
      </c>
      <c r="J23" s="67" t="s">
        <v>231</v>
      </c>
      <c r="K23" s="68">
        <v>3.1309771540540786E-3</v>
      </c>
      <c r="L23" s="67" t="s">
        <v>231</v>
      </c>
      <c r="M23" s="68">
        <v>8.4793640077124338E-2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1.5018925331735067E-4</v>
      </c>
      <c r="J24" s="67" t="s">
        <v>231</v>
      </c>
      <c r="K24" s="68">
        <v>2.5262320278834311E-2</v>
      </c>
      <c r="L24" s="67" t="s">
        <v>231</v>
      </c>
      <c r="M24" s="68">
        <v>0.86350465236125196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1.5033460098855189E-3</v>
      </c>
      <c r="J25" s="67" t="s">
        <v>231</v>
      </c>
      <c r="K25" s="68">
        <v>6.9659897060074374E-2</v>
      </c>
      <c r="L25" s="67" t="s">
        <v>231</v>
      </c>
      <c r="M25" s="68">
        <v>2.4185210694265531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3.6669629235832747E-3</v>
      </c>
      <c r="J26" s="67" t="s">
        <v>231</v>
      </c>
      <c r="K26" s="68">
        <v>0.18500190138742867</v>
      </c>
      <c r="L26" s="67" t="s">
        <v>231</v>
      </c>
      <c r="M26" s="68">
        <v>6.4612142411389009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2.5252696994792247E-3</v>
      </c>
      <c r="J27" s="67" t="s">
        <v>231</v>
      </c>
      <c r="K27" s="68">
        <v>0.45817463732543173</v>
      </c>
      <c r="L27" s="67" t="s">
        <v>231</v>
      </c>
      <c r="M27" s="68">
        <v>16.09723642974734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1.2974818734290407E-3</v>
      </c>
      <c r="J28" s="67" t="s">
        <v>231</v>
      </c>
      <c r="K28" s="68">
        <v>0.2709728588121903</v>
      </c>
      <c r="L28" s="67" t="s">
        <v>231</v>
      </c>
      <c r="M28" s="68">
        <v>9.4843790035930589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7.2919031905956219E-4</v>
      </c>
      <c r="J29" s="67" t="s">
        <v>231</v>
      </c>
      <c r="K29" s="68">
        <v>0.18506503594813023</v>
      </c>
      <c r="L29" s="67" t="s">
        <v>231</v>
      </c>
      <c r="M29" s="68">
        <v>6.4674906077108067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1.2974818734290407E-3</v>
      </c>
      <c r="J30" s="67" t="s">
        <v>231</v>
      </c>
      <c r="K30" s="68">
        <v>0.2709728588121903</v>
      </c>
      <c r="L30" s="67" t="s">
        <v>231</v>
      </c>
      <c r="M30" s="68">
        <v>9.4843790035930589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8.1106061687612699E-8</v>
      </c>
      <c r="J31" s="67" t="s">
        <v>231</v>
      </c>
      <c r="K31" s="68">
        <v>8.8076814898297394E-4</v>
      </c>
      <c r="L31" s="67" t="s">
        <v>231</v>
      </c>
      <c r="M31" s="68">
        <v>1.136864055652982E-3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1.0732316873309413E-5</v>
      </c>
      <c r="J32" s="67" t="s">
        <v>231</v>
      </c>
      <c r="K32" s="68">
        <v>9.5457057471389148E-3</v>
      </c>
      <c r="L32" s="67" t="s">
        <v>231</v>
      </c>
      <c r="M32" s="68">
        <v>0.30948253143717425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8.1332360961045897E-8</v>
      </c>
      <c r="J33" s="67" t="s">
        <v>231</v>
      </c>
      <c r="K33" s="68">
        <v>8.8041631309070719E-4</v>
      </c>
      <c r="L33" s="67" t="s">
        <v>231</v>
      </c>
      <c r="M33" s="68">
        <v>5.9130601659811762E-4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3.2506969663721546E-10</v>
      </c>
      <c r="J34" s="67" t="s">
        <v>231</v>
      </c>
      <c r="K34" s="68">
        <v>2.4916518606253944E-3</v>
      </c>
      <c r="L34" s="67" t="s">
        <v>231</v>
      </c>
      <c r="M34" s="68">
        <v>7.5592456634085162E-2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5.0132693869358812E-7</v>
      </c>
      <c r="J35" s="67" t="s">
        <v>231</v>
      </c>
      <c r="K35" s="68">
        <v>4.3394579134690466E-3</v>
      </c>
      <c r="L35" s="67" t="s">
        <v>231</v>
      </c>
      <c r="M35" s="68">
        <v>0.16167128096783137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9.048852858414277E-7</v>
      </c>
      <c r="J36" s="67" t="s">
        <v>231</v>
      </c>
      <c r="K36" s="68">
        <v>9.2093958832990246E-3</v>
      </c>
      <c r="L36" s="67" t="s">
        <v>231</v>
      </c>
      <c r="M36" s="68">
        <v>0.38911315763695559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5.4720704518181391E-6</v>
      </c>
      <c r="J37" s="67" t="s">
        <v>231</v>
      </c>
      <c r="K37" s="68">
        <v>1.3826338238217519E-2</v>
      </c>
      <c r="L37" s="67" t="s">
        <v>231</v>
      </c>
      <c r="M37" s="68">
        <v>0.49457740991840082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1.6033304651700605E-6</v>
      </c>
      <c r="J38" s="67" t="s">
        <v>231</v>
      </c>
      <c r="K38" s="68">
        <v>2.2023023923133556E-3</v>
      </c>
      <c r="L38" s="67" t="s">
        <v>231</v>
      </c>
      <c r="M38" s="68">
        <v>6.1419228163633641E-2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9.667728278070618E-4</v>
      </c>
      <c r="J39" s="67" t="s">
        <v>231</v>
      </c>
      <c r="K39" s="68">
        <v>9.1136601194158978E-2</v>
      </c>
      <c r="L39" s="67" t="s">
        <v>231</v>
      </c>
      <c r="M39" s="68">
        <v>3.1709786496072487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5.2388832707819623E-9</v>
      </c>
      <c r="J40" s="67" t="s">
        <v>231</v>
      </c>
      <c r="K40" s="68">
        <v>0.81826044011484089</v>
      </c>
      <c r="L40" s="67" t="s">
        <v>231</v>
      </c>
      <c r="M40" s="68">
        <v>35.98536007008051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2.6151676668759366E-8</v>
      </c>
      <c r="J41" s="67" t="s">
        <v>231</v>
      </c>
      <c r="K41" s="68">
        <v>7.947972041946566E-4</v>
      </c>
      <c r="L41" s="67" t="s">
        <v>231</v>
      </c>
      <c r="M41" s="68">
        <v>6.4223624757087845E-5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1.1195689854576613E-3</v>
      </c>
      <c r="J42" s="67" t="s">
        <v>231</v>
      </c>
      <c r="K42" s="68">
        <v>6.7506351990276655E-3</v>
      </c>
      <c r="L42" s="67" t="s">
        <v>231</v>
      </c>
      <c r="M42" s="68">
        <v>0.21363273414461698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4.2852251776288143E-8</v>
      </c>
      <c r="J43" s="67" t="s">
        <v>231</v>
      </c>
      <c r="K43" s="68">
        <v>3.3788536080181536E-2</v>
      </c>
      <c r="L43" s="67" t="s">
        <v>231</v>
      </c>
      <c r="M43" s="68">
        <v>1.4978757126488893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1.087777979628655E-6</v>
      </c>
      <c r="J44" s="67" t="s">
        <v>231</v>
      </c>
      <c r="K44" s="68">
        <v>1.5434847914147436E-3</v>
      </c>
      <c r="L44" s="67" t="s">
        <v>231</v>
      </c>
      <c r="M44" s="68">
        <v>2.965775596717931E-2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1.0061977528820047E-4</v>
      </c>
      <c r="J45" s="67" t="s">
        <v>231</v>
      </c>
      <c r="K45" s="68">
        <v>7.6818705911326926E-3</v>
      </c>
      <c r="L45" s="67" t="s">
        <v>231</v>
      </c>
      <c r="M45" s="68">
        <v>0.24657159976059775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2.2261519458950453E-6</v>
      </c>
      <c r="J46" s="67" t="s">
        <v>231</v>
      </c>
      <c r="K46" s="68">
        <v>7.0715808924089602E-3</v>
      </c>
      <c r="L46" s="67" t="s">
        <v>231</v>
      </c>
      <c r="M46" s="68">
        <v>0.22504468012714152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1.1840873659961617E-2</v>
      </c>
      <c r="J47" s="142" t="s">
        <v>232</v>
      </c>
      <c r="K47" s="143">
        <v>0.47699328629566923</v>
      </c>
      <c r="L47" s="142" t="s">
        <v>231</v>
      </c>
      <c r="M47" s="143">
        <v>16.762560173445316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1.8132311027888839E-6</v>
      </c>
      <c r="J48" s="142" t="s">
        <v>231</v>
      </c>
      <c r="K48" s="143">
        <v>1.0900674377884798E-3</v>
      </c>
      <c r="L48" s="142" t="s">
        <v>231</v>
      </c>
      <c r="M48" s="143">
        <v>1.0249600879645316E-2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5.0822439130933072E-6</v>
      </c>
      <c r="J49" s="142" t="s">
        <v>231</v>
      </c>
      <c r="K49" s="143">
        <v>1.2747786690269693E-3</v>
      </c>
      <c r="L49" s="142" t="s">
        <v>231</v>
      </c>
      <c r="M49" s="143">
        <v>1.7658344064457945E-2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1.7844988798817538E-5</v>
      </c>
      <c r="J50" s="142" t="s">
        <v>231</v>
      </c>
      <c r="K50" s="143">
        <v>4.22494917673117E-2</v>
      </c>
      <c r="L50" s="142" t="s">
        <v>231</v>
      </c>
      <c r="M50" s="143">
        <v>1.4580223989425845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4.0148301362823879E-8</v>
      </c>
      <c r="J51" s="142" t="s">
        <v>231</v>
      </c>
      <c r="K51" s="143">
        <v>8.3941407478138857E-4</v>
      </c>
      <c r="L51" s="142" t="s">
        <v>231</v>
      </c>
      <c r="M51" s="143">
        <v>1.8468790356415596E-3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1.1162336115199801E-5</v>
      </c>
      <c r="J52" s="142" t="s">
        <v>231</v>
      </c>
      <c r="K52" s="143">
        <v>2.1151667510671316E-3</v>
      </c>
      <c r="L52" s="142" t="s">
        <v>231</v>
      </c>
      <c r="M52" s="143">
        <v>5.0125328092868078E-2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2.0823855905417496E-4</v>
      </c>
      <c r="J53" s="142" t="s">
        <v>231</v>
      </c>
      <c r="K53" s="143">
        <v>1.1418625211031166E-2</v>
      </c>
      <c r="L53" s="142" t="s">
        <v>231</v>
      </c>
      <c r="M53" s="143">
        <v>0.37827051571845366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3.9528696332760543E-3</v>
      </c>
      <c r="J54" s="67" t="s">
        <v>231</v>
      </c>
      <c r="K54" s="68">
        <v>0.42778959718132298</v>
      </c>
      <c r="L54" s="67" t="s">
        <v>231</v>
      </c>
      <c r="M54" s="68">
        <v>15.019987262218653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2.9265577452293083E-4</v>
      </c>
      <c r="J55" s="67" t="s">
        <v>231</v>
      </c>
      <c r="K55" s="68">
        <v>2.109145543682257E-2</v>
      </c>
      <c r="L55" s="67" t="s">
        <v>231</v>
      </c>
      <c r="M55" s="68">
        <v>0.72220740808998996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6.9653330400500476E-5</v>
      </c>
      <c r="J56" s="67" t="s">
        <v>231</v>
      </c>
      <c r="K56" s="68">
        <v>9.9346790443711839E-3</v>
      </c>
      <c r="L56" s="67" t="s">
        <v>231</v>
      </c>
      <c r="M56" s="68">
        <v>0.34405247085252233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2.7273368483276791E-5</v>
      </c>
      <c r="J57" s="67" t="s">
        <v>231</v>
      </c>
      <c r="K57" s="68">
        <v>4.0610746807445419E-3</v>
      </c>
      <c r="L57" s="67" t="s">
        <v>231</v>
      </c>
      <c r="M57" s="68">
        <v>0.13950386019560379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2.5870474520698151E-7</v>
      </c>
      <c r="J58" s="67" t="s">
        <v>231</v>
      </c>
      <c r="K58" s="68">
        <v>9.5966492415774005E-5</v>
      </c>
      <c r="L58" s="67" t="s">
        <v>231</v>
      </c>
      <c r="M58" s="68">
        <v>1.5179841126884681E-3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6.0287168957147166E-6</v>
      </c>
      <c r="J59" s="67" t="s">
        <v>231</v>
      </c>
      <c r="K59" s="68">
        <v>1.4349316356097449E-3</v>
      </c>
      <c r="L59" s="67" t="s">
        <v>231</v>
      </c>
      <c r="M59" s="68">
        <v>4.9258841153216021E-2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8.9781390408294471E-8</v>
      </c>
      <c r="J60" s="67" t="s">
        <v>231</v>
      </c>
      <c r="K60" s="68">
        <v>2.3891243864598239E-5</v>
      </c>
      <c r="L60" s="67" t="s">
        <v>231</v>
      </c>
      <c r="M60" s="68">
        <v>8.1154429326965735E-4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5.095284382309638E-2</v>
      </c>
      <c r="J61" s="67" t="s">
        <v>232</v>
      </c>
      <c r="K61" s="68">
        <v>1.6214119363638157E-2</v>
      </c>
      <c r="L61" s="67" t="s">
        <v>231</v>
      </c>
      <c r="M61" s="68">
        <v>0.54658696857975897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1.6565170599300118E-4</v>
      </c>
      <c r="J62" s="67" t="s">
        <v>231</v>
      </c>
      <c r="K62" s="68">
        <v>0.2096617248608201</v>
      </c>
      <c r="L62" s="67" t="s">
        <v>231</v>
      </c>
      <c r="M62" s="68">
        <v>7.3274561545826691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1.2814388744403302E-3</v>
      </c>
      <c r="J63" s="67" t="s">
        <v>231</v>
      </c>
      <c r="K63" s="68">
        <v>0.55996234357438146</v>
      </c>
      <c r="L63" s="67" t="s">
        <v>231</v>
      </c>
      <c r="M63" s="68">
        <v>19.708452596928787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9.9265608713287401E-4</v>
      </c>
      <c r="J64" s="67" t="s">
        <v>231</v>
      </c>
      <c r="K64" s="68">
        <v>0.68383478524741237</v>
      </c>
      <c r="L64" s="67" t="s">
        <v>231</v>
      </c>
      <c r="M64" s="68">
        <v>24.128517481714034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1.6208965215363466E-3</v>
      </c>
      <c r="J65" s="67" t="s">
        <v>231</v>
      </c>
      <c r="K65" s="68">
        <v>0.79323617852919537</v>
      </c>
      <c r="L65" s="67" t="s">
        <v>231</v>
      </c>
      <c r="M65" s="68">
        <v>28.067512718746244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6.1755989631114962E-6</v>
      </c>
      <c r="J66" s="67" t="s">
        <v>231</v>
      </c>
      <c r="K66" s="68">
        <v>0.73547483640355749</v>
      </c>
      <c r="L66" s="67" t="s">
        <v>231</v>
      </c>
      <c r="M66" s="68">
        <v>25.982180768082213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3.8262733052447044E-4</v>
      </c>
      <c r="J67" s="67" t="s">
        <v>231</v>
      </c>
      <c r="K67" s="68">
        <v>1.8459518697473332E-3</v>
      </c>
      <c r="L67" s="67" t="s">
        <v>231</v>
      </c>
      <c r="M67" s="68">
        <v>3.8350209295219991E-2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1.5571527838498272E-4</v>
      </c>
      <c r="J68" s="67" t="s">
        <v>231</v>
      </c>
      <c r="K68" s="68">
        <v>2.5934121293840766E-3</v>
      </c>
      <c r="L68" s="67" t="s">
        <v>231</v>
      </c>
      <c r="M68" s="68">
        <v>6.5712927163959295E-2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9.2650976526680362E-7</v>
      </c>
      <c r="J69" s="67" t="s">
        <v>231</v>
      </c>
      <c r="K69" s="68">
        <v>0.35978343112114181</v>
      </c>
      <c r="L69" s="67" t="s">
        <v>231</v>
      </c>
      <c r="M69" s="68">
        <v>12.616454904583682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7.9946982967273896E-4</v>
      </c>
      <c r="J70" s="67" t="s">
        <v>231</v>
      </c>
      <c r="K70" s="68">
        <v>6.7674306853455407E-2</v>
      </c>
      <c r="L70" s="67" t="s">
        <v>231</v>
      </c>
      <c r="M70" s="68">
        <v>2.3479658957231373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2.8989294701992421E-4</v>
      </c>
      <c r="J71" s="67" t="s">
        <v>231</v>
      </c>
      <c r="K71" s="68">
        <v>2.4121182521956368E-3</v>
      </c>
      <c r="L71" s="67" t="s">
        <v>231</v>
      </c>
      <c r="M71" s="68">
        <v>5.9583603452787688E-2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4.5037844787224181E-6</v>
      </c>
      <c r="J72" s="67" t="s">
        <v>231</v>
      </c>
      <c r="K72" s="68">
        <v>6.1855307589301869E-2</v>
      </c>
      <c r="L72" s="67" t="s">
        <v>231</v>
      </c>
      <c r="M72" s="68">
        <v>2.1448483501016327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7.5329195568543698E-3</v>
      </c>
      <c r="J73" s="67" t="s">
        <v>231</v>
      </c>
      <c r="K73" s="68">
        <v>1.7085681355840935E-2</v>
      </c>
      <c r="L73" s="67" t="s">
        <v>231</v>
      </c>
      <c r="M73" s="68">
        <v>0.57758480319333627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0.16459919655273572</v>
      </c>
      <c r="J74" s="67" t="s">
        <v>232</v>
      </c>
      <c r="K74" s="68">
        <v>6.6225455934477845E-2</v>
      </c>
      <c r="L74" s="67" t="s">
        <v>231</v>
      </c>
      <c r="M74" s="68">
        <v>2.2973305776146349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2.0850680330907131E-12</v>
      </c>
      <c r="J75" s="67" t="s">
        <v>231</v>
      </c>
      <c r="K75" s="68">
        <v>0.11278646740915334</v>
      </c>
      <c r="L75" s="67" t="s">
        <v>231</v>
      </c>
      <c r="M75" s="68">
        <v>5.0417754916457822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1.1470960124816925E-12</v>
      </c>
      <c r="J76" s="67" t="s">
        <v>231</v>
      </c>
      <c r="K76" s="68">
        <v>0.1127864679639414</v>
      </c>
      <c r="L76" s="67" t="s">
        <v>231</v>
      </c>
      <c r="M76" s="68">
        <v>5.0417755164458926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5.4820365237414558E-7</v>
      </c>
      <c r="J77" s="67" t="s">
        <v>231</v>
      </c>
      <c r="K77" s="68">
        <v>3.4159676225428648E-2</v>
      </c>
      <c r="L77" s="67" t="s">
        <v>231</v>
      </c>
      <c r="M77" s="68">
        <v>1.1757900050918939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1.058990379231106E-3</v>
      </c>
      <c r="J78" s="67" t="s">
        <v>231</v>
      </c>
      <c r="K78" s="68">
        <v>6.0792804463186039E-3</v>
      </c>
      <c r="L78" s="67" t="s">
        <v>231</v>
      </c>
      <c r="M78" s="68">
        <v>0.19084935507807493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2.2712355709271509E-5</v>
      </c>
      <c r="J79" s="67" t="s">
        <v>231</v>
      </c>
      <c r="K79" s="68">
        <v>1.1685867190049378E-2</v>
      </c>
      <c r="L79" s="67" t="s">
        <v>231</v>
      </c>
      <c r="M79" s="68">
        <v>0.38785018753080613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1.2015245943816835E-13</v>
      </c>
      <c r="J80" s="67" t="s">
        <v>231</v>
      </c>
      <c r="K80" s="68">
        <v>0.21202757406970116</v>
      </c>
      <c r="L80" s="67" t="s">
        <v>231</v>
      </c>
      <c r="M80" s="68">
        <v>9.4800361842109577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2.1987083438863073E-5</v>
      </c>
      <c r="J81" s="67" t="s">
        <v>231</v>
      </c>
      <c r="K81" s="68">
        <v>8.918768995690101E-4</v>
      </c>
      <c r="L81" s="67" t="s">
        <v>231</v>
      </c>
      <c r="M81" s="68">
        <v>1.6823036800401874E-3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3.5483826544137481E-5</v>
      </c>
      <c r="J82" s="67" t="s">
        <v>231</v>
      </c>
      <c r="K82" s="68">
        <v>3.0375752968737606E-3</v>
      </c>
      <c r="L82" s="67" t="s">
        <v>231</v>
      </c>
      <c r="M82" s="68">
        <v>8.1435051081578266E-2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5.7798520623507085E-5</v>
      </c>
      <c r="J83" s="67" t="s">
        <v>231</v>
      </c>
      <c r="K83" s="68">
        <v>3.1633160945480854E-2</v>
      </c>
      <c r="L83" s="67" t="s">
        <v>231</v>
      </c>
      <c r="M83" s="68">
        <v>1.0864059745592649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6.0744475478199885E-6</v>
      </c>
      <c r="J84" s="67" t="s">
        <v>231</v>
      </c>
      <c r="K84" s="68">
        <v>1.0138112911212307E-3</v>
      </c>
      <c r="L84" s="67" t="s">
        <v>231</v>
      </c>
      <c r="M84" s="68">
        <v>6.844916908964163E-3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3.2982576391174448E-8</v>
      </c>
      <c r="J85" s="67" t="s">
        <v>231</v>
      </c>
      <c r="K85" s="68">
        <v>8.6728893102694024E-4</v>
      </c>
      <c r="L85" s="67" t="s">
        <v>231</v>
      </c>
      <c r="M85" s="68">
        <v>3.4472665836522606E-4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2.3832169975094802E-6</v>
      </c>
      <c r="J86" s="67" t="s">
        <v>231</v>
      </c>
      <c r="K86" s="68">
        <v>1.0062969789974275E-3</v>
      </c>
      <c r="L86" s="67" t="s">
        <v>231</v>
      </c>
      <c r="M86" s="68">
        <v>6.5426977480223646E-3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1.3891224236022326E-2</v>
      </c>
      <c r="J87" s="67" t="s">
        <v>232</v>
      </c>
      <c r="K87" s="68">
        <v>0.5094787536221258</v>
      </c>
      <c r="L87" s="67" t="s">
        <v>231</v>
      </c>
      <c r="M87" s="68">
        <v>17.91481678882732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1.112611105874602E-4</v>
      </c>
      <c r="J88" s="67" t="s">
        <v>231</v>
      </c>
      <c r="K88" s="68">
        <v>5.0340337902669684E-3</v>
      </c>
      <c r="L88" s="67" t="s">
        <v>231</v>
      </c>
      <c r="M88" s="68">
        <v>0.15276425038466371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2.8827529342895706E-5</v>
      </c>
      <c r="J89" s="67" t="s">
        <v>231</v>
      </c>
      <c r="K89" s="68">
        <v>3.329010249433325E-3</v>
      </c>
      <c r="L89" s="67" t="s">
        <v>231</v>
      </c>
      <c r="M89" s="68">
        <v>9.190276261429299E-2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1.7864240704382292E-6</v>
      </c>
      <c r="J90" s="67" t="s">
        <v>231</v>
      </c>
      <c r="K90" s="68">
        <v>1.4344833084447236E-3</v>
      </c>
      <c r="L90" s="67" t="s">
        <v>231</v>
      </c>
      <c r="M90" s="68">
        <v>2.297657035717254E-2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1.0023341902848386E-2</v>
      </c>
      <c r="J91" s="67" t="s">
        <v>232</v>
      </c>
      <c r="K91" s="68">
        <v>0.22977599199485252</v>
      </c>
      <c r="L91" s="67" t="s">
        <v>231</v>
      </c>
      <c r="M91" s="68">
        <v>8.0345967223985966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3.3883877375432976E-2</v>
      </c>
      <c r="J92" s="67" t="s">
        <v>232</v>
      </c>
      <c r="K92" s="68">
        <v>2.4937807312464616E-2</v>
      </c>
      <c r="L92" s="67" t="s">
        <v>231</v>
      </c>
      <c r="M92" s="68">
        <v>0.85214531073133271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1.8050482311923254E-2</v>
      </c>
      <c r="J93" s="67" t="s">
        <v>232</v>
      </c>
      <c r="K93" s="68">
        <v>5.8470499793664824E-2</v>
      </c>
      <c r="L93" s="67" t="s">
        <v>231</v>
      </c>
      <c r="M93" s="68">
        <v>2.0253074007271445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7.1317451330504501E-9</v>
      </c>
      <c r="J94" s="67" t="s">
        <v>231</v>
      </c>
      <c r="K94" s="68">
        <v>1.1497659552687678E-3</v>
      </c>
      <c r="L94" s="67" t="s">
        <v>231</v>
      </c>
      <c r="M94" s="68">
        <v>1.3068874623690878E-2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1.9900089263291977E-4</v>
      </c>
      <c r="J95" s="67" t="s">
        <v>231</v>
      </c>
      <c r="K95" s="68">
        <v>0.11907837352597124</v>
      </c>
      <c r="L95" s="67" t="s">
        <v>231</v>
      </c>
      <c r="M95" s="68">
        <v>4.1490706643290194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9.696111700940072E-8</v>
      </c>
      <c r="J96" s="67" t="s">
        <v>231</v>
      </c>
      <c r="K96" s="68">
        <v>8.9442626471912545E-4</v>
      </c>
      <c r="L96" s="67" t="s">
        <v>231</v>
      </c>
      <c r="M96" s="68">
        <v>1.8025163846324063E-3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3.450330254325205E-8</v>
      </c>
      <c r="J97" s="67" t="s">
        <v>231</v>
      </c>
      <c r="K97" s="68">
        <v>1.0177052824021375E-3</v>
      </c>
      <c r="L97" s="67" t="s">
        <v>231</v>
      </c>
      <c r="M97" s="68">
        <v>7.0011145112740571E-3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3.4623197335809325E-5</v>
      </c>
      <c r="J98" s="67" t="s">
        <v>231</v>
      </c>
      <c r="K98" s="68">
        <v>7.6469698397819807E-2</v>
      </c>
      <c r="L98" s="67" t="s">
        <v>231</v>
      </c>
      <c r="M98" s="68">
        <v>2.6561043229282681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4.1860600621243992E-8</v>
      </c>
      <c r="J99" s="67" t="s">
        <v>231</v>
      </c>
      <c r="K99" s="68">
        <v>8.6558944232979838E-4</v>
      </c>
      <c r="L99" s="67" t="s">
        <v>231</v>
      </c>
      <c r="M99" s="68">
        <v>1.7764265107938866E-4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6.5165473318855223E-5</v>
      </c>
      <c r="J100" s="67" t="s">
        <v>231</v>
      </c>
      <c r="K100" s="68">
        <v>1.0258224500987576E-2</v>
      </c>
      <c r="L100" s="67" t="s">
        <v>231</v>
      </c>
      <c r="M100" s="68">
        <v>0.33738236198278759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1.3054563831738183E-5</v>
      </c>
      <c r="J101" s="67" t="s">
        <v>231</v>
      </c>
      <c r="K101" s="68">
        <v>8.6872377822547816E-4</v>
      </c>
      <c r="L101" s="67" t="s">
        <v>231</v>
      </c>
      <c r="M101" s="68">
        <v>4.5026252490620281E-4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6.4328835083245252E-11</v>
      </c>
      <c r="J102" s="67" t="s">
        <v>231</v>
      </c>
      <c r="K102" s="68">
        <v>8.6563523024181359E-4</v>
      </c>
      <c r="L102" s="67" t="s">
        <v>231</v>
      </c>
      <c r="M102" s="68">
        <v>3.8114220887685572E-5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9.1576766422137558E-9</v>
      </c>
      <c r="J103" s="67" t="s">
        <v>231</v>
      </c>
      <c r="K103" s="68">
        <v>8.655238575623165E-4</v>
      </c>
      <c r="L103" s="67" t="s">
        <v>231</v>
      </c>
      <c r="M103" s="68">
        <v>1.6759606570689582E-4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4.2154487962510684E-7</v>
      </c>
      <c r="J104" s="67" t="s">
        <v>231</v>
      </c>
      <c r="K104" s="68">
        <v>9.4059261317680476E-4</v>
      </c>
      <c r="L104" s="67" t="s">
        <v>231</v>
      </c>
      <c r="M104" s="68">
        <v>3.8381663146358478E-3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5.7866261586714971E-8</v>
      </c>
      <c r="J105" s="67" t="s">
        <v>231</v>
      </c>
      <c r="K105" s="68">
        <v>8.654573239189157E-4</v>
      </c>
      <c r="L105" s="67" t="s">
        <v>231</v>
      </c>
      <c r="M105" s="68">
        <v>5.2846763664953765E-5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5.1930745416101364E-7</v>
      </c>
      <c r="J106" s="67" t="s">
        <v>231</v>
      </c>
      <c r="K106" s="68">
        <v>1.7691079127065881E-3</v>
      </c>
      <c r="L106" s="67" t="s">
        <v>231</v>
      </c>
      <c r="M106" s="68">
        <v>3.5383891740451548E-2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2.6768527510099725E-4</v>
      </c>
      <c r="J107" s="67" t="s">
        <v>231</v>
      </c>
      <c r="K107" s="68">
        <v>8.3392532210230616E-2</v>
      </c>
      <c r="L107" s="67" t="s">
        <v>231</v>
      </c>
      <c r="M107" s="68">
        <v>2.8991324309446624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8.3153169560385557E-5</v>
      </c>
      <c r="J108" s="67" t="s">
        <v>231</v>
      </c>
      <c r="K108" s="68">
        <v>8.2018722351078818E-3</v>
      </c>
      <c r="L108" s="67" t="s">
        <v>231</v>
      </c>
      <c r="M108" s="68">
        <v>0.2649100349990009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0.81275189357254241</v>
      </c>
      <c r="F2" s="14">
        <v>0.8081061380609017</v>
      </c>
      <c r="G2" s="14">
        <v>1.0500667168374169E-6</v>
      </c>
      <c r="H2" s="14">
        <v>10.919139275099223</v>
      </c>
      <c r="I2" s="14">
        <v>29.447306472403952</v>
      </c>
      <c r="J2" s="14">
        <v>0</v>
      </c>
      <c r="K2" s="14">
        <v>1.2374612107260547</v>
      </c>
      <c r="L2" s="14">
        <v>0.80810613806090181</v>
      </c>
      <c r="M2" s="14">
        <v>0.66305108627896991</v>
      </c>
      <c r="N2" s="14">
        <v>2.3091369504439796</v>
      </c>
      <c r="O2" s="14">
        <v>425.13520394624112</v>
      </c>
      <c r="P2" s="8">
        <v>2.3091369504439796</v>
      </c>
      <c r="Q2" s="54">
        <v>0.12567403996003509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0.41305784256630479</v>
      </c>
      <c r="F3" s="14">
        <v>2.992875434162246E-3</v>
      </c>
      <c r="G3" s="14">
        <v>1.8147513544924246E-4</v>
      </c>
      <c r="H3" s="14">
        <v>314.18731115605289</v>
      </c>
      <c r="I3" s="14">
        <v>7882.1702715146366</v>
      </c>
      <c r="J3" s="14">
        <v>0</v>
      </c>
      <c r="K3" s="14">
        <v>334.12683621425629</v>
      </c>
      <c r="L3" s="14">
        <v>2.9928754341622464E-3</v>
      </c>
      <c r="M3" s="14">
        <v>2.4556542937301229E-3</v>
      </c>
      <c r="N3" s="14">
        <v>469.20275991594889</v>
      </c>
      <c r="O3" s="14">
        <v>171216.77912092893</v>
      </c>
      <c r="P3" s="8">
        <v>469.20275991594895</v>
      </c>
      <c r="Q3" s="54">
        <v>0.25214235935303131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0.533141700922655</v>
      </c>
      <c r="F4" s="14">
        <v>0.49033811542722711</v>
      </c>
      <c r="G4" s="14">
        <v>6.7721121434043861E-14</v>
      </c>
      <c r="H4" s="14">
        <v>98.649673804140448</v>
      </c>
      <c r="I4" s="14">
        <v>218.04835987098045</v>
      </c>
      <c r="J4" s="14">
        <v>0</v>
      </c>
      <c r="K4" s="14">
        <v>2.0394090700632344</v>
      </c>
      <c r="L4" s="14">
        <v>0.49033811542722711</v>
      </c>
      <c r="M4" s="14">
        <v>0.40232242370803983</v>
      </c>
      <c r="N4" s="14">
        <v>12.562143880757823</v>
      </c>
      <c r="O4" s="14">
        <v>3986.2194962420726</v>
      </c>
      <c r="P4" s="8">
        <v>12.562143880757825</v>
      </c>
      <c r="Q4" s="54">
        <v>0.31156798408289893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0.42168667101899038</v>
      </c>
      <c r="F5" s="14">
        <v>3.1093943010864294E-2</v>
      </c>
      <c r="G5" s="14">
        <v>5.9726117721712694E-6</v>
      </c>
      <c r="H5" s="14">
        <v>860.47012849813018</v>
      </c>
      <c r="I5" s="14">
        <v>2312.0273594759819</v>
      </c>
      <c r="J5" s="14">
        <v>0</v>
      </c>
      <c r="K5" s="14">
        <v>32.16060438686074</v>
      </c>
      <c r="L5" s="14">
        <v>3.1093943010864294E-2</v>
      </c>
      <c r="M5" s="14">
        <v>2.5512580240414154E-2</v>
      </c>
      <c r="N5" s="14">
        <v>133.89024829607467</v>
      </c>
      <c r="O5" s="14">
        <v>46940.582150120819</v>
      </c>
      <c r="P5" s="8">
        <v>133.89024829607467</v>
      </c>
      <c r="Q5" s="54">
        <v>0.35204077550508506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0.44826405824745963</v>
      </c>
      <c r="F6" s="14">
        <v>1.4350085401157672E-3</v>
      </c>
      <c r="G6" s="14">
        <v>6.3393243566110954E-7</v>
      </c>
      <c r="H6" s="14">
        <v>214.83967448392323</v>
      </c>
      <c r="I6" s="14">
        <v>9769.4846858065685</v>
      </c>
      <c r="J6" s="14">
        <v>0</v>
      </c>
      <c r="K6" s="14">
        <v>696.85996427542273</v>
      </c>
      <c r="L6" s="14">
        <v>1.4350085401157672E-3</v>
      </c>
      <c r="M6" s="14">
        <v>1.1774245071649869E-3</v>
      </c>
      <c r="N6" s="14">
        <v>585.87776362491684</v>
      </c>
      <c r="O6" s="14">
        <v>207687.80842739678</v>
      </c>
      <c r="P6" s="8">
        <v>585.87776362491684</v>
      </c>
      <c r="Q6" s="54">
        <v>0.20628690329983448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0.42365316390769098</v>
      </c>
      <c r="F7" s="14">
        <v>2.7349159884907446E-3</v>
      </c>
      <c r="G7" s="14">
        <v>8.9131759104814219E-7</v>
      </c>
      <c r="H7" s="14">
        <v>302.41546061243577</v>
      </c>
      <c r="I7" s="14">
        <v>8276.7752220255206</v>
      </c>
      <c r="J7" s="14">
        <v>0</v>
      </c>
      <c r="K7" s="14">
        <v>365.64194447224941</v>
      </c>
      <c r="L7" s="14">
        <v>2.7349159884907446E-3</v>
      </c>
      <c r="M7" s="14">
        <v>2.2439985685566558E-3</v>
      </c>
      <c r="N7" s="14">
        <v>493.22685098185781</v>
      </c>
      <c r="O7" s="14">
        <v>174843.98640455879</v>
      </c>
      <c r="P7" s="8">
        <v>493.22685098185787</v>
      </c>
      <c r="Q7" s="54">
        <v>0.24915015456529577</v>
      </c>
    </row>
    <row r="8" spans="1:20">
      <c r="A8" s="2" t="s">
        <v>323</v>
      </c>
      <c r="B8" s="16" t="s">
        <v>324</v>
      </c>
      <c r="D8" s="14">
        <v>1</v>
      </c>
      <c r="E8" s="14">
        <v>0.40073419029751639</v>
      </c>
      <c r="F8" s="14">
        <v>5.800894529682004E-3</v>
      </c>
      <c r="G8" s="14">
        <v>8.0157369565012156E-6</v>
      </c>
      <c r="H8" s="14">
        <v>438.24298125356319</v>
      </c>
      <c r="I8" s="14">
        <v>6335.3722806395845</v>
      </c>
      <c r="J8" s="14">
        <v>0</v>
      </c>
      <c r="K8" s="14">
        <v>172.38720595301331</v>
      </c>
      <c r="L8" s="14">
        <v>5.8008945296820049E-3</v>
      </c>
      <c r="M8" s="14">
        <v>4.7596339616040846E-3</v>
      </c>
      <c r="N8" s="14">
        <v>374.55001447875674</v>
      </c>
      <c r="O8" s="14">
        <v>119870.98663378131</v>
      </c>
      <c r="P8" s="8">
        <v>374.55001447875679</v>
      </c>
      <c r="Q8" s="54">
        <v>0.29783253642434154</v>
      </c>
    </row>
    <row r="9" spans="1:20">
      <c r="A9" s="2" t="s">
        <v>325</v>
      </c>
      <c r="B9" s="16" t="s">
        <v>326</v>
      </c>
      <c r="D9" s="14">
        <v>1</v>
      </c>
      <c r="E9" s="14">
        <v>0.36217322216721287</v>
      </c>
      <c r="F9" s="14">
        <v>0.16469621895463513</v>
      </c>
      <c r="G9" s="14">
        <v>3.1136666610104096E-6</v>
      </c>
      <c r="H9" s="14">
        <v>469.2925165281485</v>
      </c>
      <c r="I9" s="14">
        <v>853.29814135029687</v>
      </c>
      <c r="J9" s="14">
        <v>0</v>
      </c>
      <c r="K9" s="14">
        <v>6.0717848068840352</v>
      </c>
      <c r="L9" s="14">
        <v>0.16469621895463513</v>
      </c>
      <c r="M9" s="14">
        <v>0.13513324765227813</v>
      </c>
      <c r="N9" s="14">
        <v>48.54191537079938</v>
      </c>
      <c r="O9" s="14">
        <v>14773.731943102792</v>
      </c>
      <c r="P9" s="8">
        <v>48.54191537079938</v>
      </c>
      <c r="Q9" s="54">
        <v>0.41658228677985326</v>
      </c>
    </row>
    <row r="10" spans="1:20">
      <c r="A10" s="2" t="s">
        <v>275</v>
      </c>
      <c r="B10" s="16" t="s">
        <v>276</v>
      </c>
      <c r="D10" s="14">
        <v>1</v>
      </c>
      <c r="E10" s="14">
        <v>0.41768763137498527</v>
      </c>
      <c r="F10" s="14">
        <v>2.8801778922683478E-2</v>
      </c>
      <c r="G10" s="14">
        <v>7.6430693495593329E-8</v>
      </c>
      <c r="H10" s="14">
        <v>839.5359781868251</v>
      </c>
      <c r="I10" s="14">
        <v>2460.9142624353808</v>
      </c>
      <c r="J10" s="14">
        <v>0</v>
      </c>
      <c r="K10" s="14">
        <v>34.720077627303354</v>
      </c>
      <c r="L10" s="14">
        <v>2.8801778922683482E-2</v>
      </c>
      <c r="M10" s="14">
        <v>2.3631859606061796E-2</v>
      </c>
      <c r="N10" s="14">
        <v>142.66206934712932</v>
      </c>
      <c r="O10" s="14">
        <v>52854.870072417943</v>
      </c>
      <c r="P10" s="8">
        <v>142.66206934712935</v>
      </c>
      <c r="Q10" s="54">
        <v>0.35261150899734389</v>
      </c>
    </row>
    <row r="11" spans="1:20">
      <c r="A11" s="2" t="s">
        <v>327</v>
      </c>
      <c r="B11" s="16" t="s">
        <v>328</v>
      </c>
      <c r="D11" s="14">
        <v>1</v>
      </c>
      <c r="E11" s="14">
        <v>0.4112236634968402</v>
      </c>
      <c r="F11" s="14">
        <v>2.5265698123119695E-2</v>
      </c>
      <c r="G11" s="14">
        <v>3.9534822249726948E-6</v>
      </c>
      <c r="H11" s="14">
        <v>803.06611759691748</v>
      </c>
      <c r="I11" s="14">
        <v>2721.5008457415106</v>
      </c>
      <c r="J11" s="14">
        <v>0</v>
      </c>
      <c r="K11" s="14">
        <v>39.579353601353183</v>
      </c>
      <c r="L11" s="14">
        <v>2.5265698123119698E-2</v>
      </c>
      <c r="M11" s="14">
        <v>2.0730505310019711E-2</v>
      </c>
      <c r="N11" s="14">
        <v>158.04623209479732</v>
      </c>
      <c r="O11" s="14">
        <v>60201.390267229253</v>
      </c>
      <c r="P11" s="8">
        <v>158.04623209479735</v>
      </c>
      <c r="Q11" s="54">
        <v>0.35237774629559077</v>
      </c>
    </row>
    <row r="12" spans="1:20">
      <c r="A12" s="2" t="s">
        <v>329</v>
      </c>
      <c r="B12" s="16" t="s">
        <v>330</v>
      </c>
      <c r="D12" s="14">
        <v>1</v>
      </c>
      <c r="E12" s="14">
        <v>0.37014495209958165</v>
      </c>
      <c r="F12" s="14">
        <v>0.1227750717035123</v>
      </c>
      <c r="G12" s="14">
        <v>1.8921636022956176E-6</v>
      </c>
      <c r="H12" s="14">
        <v>591.46656092370927</v>
      </c>
      <c r="I12" s="14">
        <v>1034.6354798585357</v>
      </c>
      <c r="J12" s="14">
        <v>0</v>
      </c>
      <c r="K12" s="14">
        <v>8.1449758988118131</v>
      </c>
      <c r="L12" s="14">
        <v>0.1227750717035123</v>
      </c>
      <c r="M12" s="14">
        <v>0.10073694633273185</v>
      </c>
      <c r="N12" s="14">
        <v>59.011284339285446</v>
      </c>
      <c r="O12" s="14">
        <v>16192.696422699926</v>
      </c>
      <c r="P12" s="8">
        <v>59.011284339285453</v>
      </c>
      <c r="Q12" s="54">
        <v>0.40830750928375553</v>
      </c>
    </row>
    <row r="13" spans="1:20">
      <c r="A13" s="2" t="s">
        <v>277</v>
      </c>
      <c r="B13" s="16" t="s">
        <v>278</v>
      </c>
      <c r="D13" s="14">
        <v>1</v>
      </c>
      <c r="E13" s="14">
        <v>0.36223551402750692</v>
      </c>
      <c r="F13" s="14">
        <v>0.16029623517552388</v>
      </c>
      <c r="G13" s="14">
        <v>4.9162256688109476E-6</v>
      </c>
      <c r="H13" s="14">
        <v>480.17917636043256</v>
      </c>
      <c r="I13" s="14">
        <v>869.88229804340142</v>
      </c>
      <c r="J13" s="14">
        <v>0</v>
      </c>
      <c r="K13" s="14">
        <v>6.238449698491066</v>
      </c>
      <c r="L13" s="14">
        <v>0.16029623517552388</v>
      </c>
      <c r="M13" s="14">
        <v>0.13152306096151736</v>
      </c>
      <c r="N13" s="14">
        <v>49.496351561055022</v>
      </c>
      <c r="O13" s="14">
        <v>20141.550340740119</v>
      </c>
      <c r="P13" s="8">
        <v>49.496351561055022</v>
      </c>
      <c r="Q13" s="54">
        <v>0.41616015165449355</v>
      </c>
    </row>
    <row r="14" spans="1:20">
      <c r="A14" s="2" t="s">
        <v>331</v>
      </c>
      <c r="B14" s="16" t="s">
        <v>332</v>
      </c>
      <c r="D14" s="14">
        <v>1</v>
      </c>
      <c r="E14" s="14">
        <v>0.39767480935471256</v>
      </c>
      <c r="F14" s="14">
        <v>1.6556906154597373E-2</v>
      </c>
      <c r="G14" s="14">
        <v>2.6018824687026849E-6</v>
      </c>
      <c r="H14" s="14">
        <v>688.27055000912515</v>
      </c>
      <c r="I14" s="14">
        <v>3656.9275639263133</v>
      </c>
      <c r="J14" s="14">
        <v>0</v>
      </c>
      <c r="K14" s="14">
        <v>60.39775732631842</v>
      </c>
      <c r="L14" s="14">
        <v>1.6556906154597373E-2</v>
      </c>
      <c r="M14" s="14">
        <v>1.3584941499847146E-2</v>
      </c>
      <c r="N14" s="14">
        <v>213.54031942699896</v>
      </c>
      <c r="O14" s="14">
        <v>81339.643072938168</v>
      </c>
      <c r="P14" s="8">
        <v>213.54031942699896</v>
      </c>
      <c r="Q14" s="54">
        <v>0.34587275876804113</v>
      </c>
    </row>
    <row r="15" spans="1:20">
      <c r="A15" s="2" t="s">
        <v>333</v>
      </c>
      <c r="B15" s="16" t="s">
        <v>334</v>
      </c>
      <c r="D15" s="14">
        <v>1</v>
      </c>
      <c r="E15" s="14">
        <v>0.41441642148350805</v>
      </c>
      <c r="F15" s="14">
        <v>2.6989825067777362E-2</v>
      </c>
      <c r="G15" s="14">
        <v>4.3186554576098208E-9</v>
      </c>
      <c r="H15" s="14">
        <v>821.523648704057</v>
      </c>
      <c r="I15" s="14">
        <v>2589.2694097131503</v>
      </c>
      <c r="J15" s="14">
        <v>0</v>
      </c>
      <c r="K15" s="14">
        <v>37.050999681872</v>
      </c>
      <c r="L15" s="14">
        <v>2.6989825067777362E-2</v>
      </c>
      <c r="M15" s="14">
        <v>2.2145151468111326E-2</v>
      </c>
      <c r="N15" s="14">
        <v>150.23481411009502</v>
      </c>
      <c r="O15" s="14">
        <v>57762.281329049336</v>
      </c>
      <c r="P15" s="8">
        <v>150.23481411009504</v>
      </c>
      <c r="Q15" s="54">
        <v>0.35267708334010112</v>
      </c>
    </row>
    <row r="16" spans="1:20">
      <c r="A16" s="2" t="s">
        <v>335</v>
      </c>
      <c r="B16" s="16" t="s">
        <v>336</v>
      </c>
      <c r="D16" s="14">
        <v>1</v>
      </c>
      <c r="E16" s="14">
        <v>0.39956853383050328</v>
      </c>
      <c r="F16" s="14">
        <v>5.9863734899577165E-3</v>
      </c>
      <c r="G16" s="14">
        <v>2.0772668796072437E-5</v>
      </c>
      <c r="H16" s="14">
        <v>444.49185679288553</v>
      </c>
      <c r="I16" s="14">
        <v>6241.9599782731066</v>
      </c>
      <c r="J16" s="14">
        <v>0</v>
      </c>
      <c r="K16" s="14">
        <v>167.04604242911401</v>
      </c>
      <c r="L16" s="14">
        <v>5.9863734899577165E-3</v>
      </c>
      <c r="M16" s="14">
        <v>4.9118194485103066E-3</v>
      </c>
      <c r="N16" s="14">
        <v>368.89453746784159</v>
      </c>
      <c r="O16" s="14">
        <v>137715.70872749461</v>
      </c>
      <c r="P16" s="8">
        <v>368.89453746784159</v>
      </c>
      <c r="Q16" s="54">
        <v>0.29944769866291571</v>
      </c>
    </row>
    <row r="17" spans="1:21">
      <c r="A17" s="2" t="s">
        <v>337</v>
      </c>
      <c r="B17" s="16" t="s">
        <v>338</v>
      </c>
      <c r="D17" s="14">
        <v>1</v>
      </c>
      <c r="E17" s="14">
        <v>0.42041257533818382</v>
      </c>
      <c r="F17" s="14">
        <v>3.0320240778418817E-2</v>
      </c>
      <c r="G17" s="14">
        <v>1.5322905862586454E-6</v>
      </c>
      <c r="H17" s="14">
        <v>853.71447637289748</v>
      </c>
      <c r="I17" s="14">
        <v>2361.4014009313105</v>
      </c>
      <c r="J17" s="14">
        <v>0</v>
      </c>
      <c r="K17" s="14">
        <v>32.981268430815845</v>
      </c>
      <c r="L17" s="14">
        <v>3.0320240778418821E-2</v>
      </c>
      <c r="M17" s="14">
        <v>2.4877757558692641E-2</v>
      </c>
      <c r="N17" s="14">
        <v>136.79732930732368</v>
      </c>
      <c r="O17" s="14">
        <v>53257.936245927252</v>
      </c>
      <c r="P17" s="8">
        <v>136.79732930732368</v>
      </c>
      <c r="Q17" s="54">
        <v>0.35234638213498443</v>
      </c>
    </row>
    <row r="18" spans="1:21">
      <c r="A18" s="2" t="s">
        <v>279</v>
      </c>
      <c r="B18" s="16" t="s">
        <v>280</v>
      </c>
      <c r="D18" s="14">
        <v>1</v>
      </c>
      <c r="E18" s="14">
        <v>0.36057875412526152</v>
      </c>
      <c r="F18" s="14">
        <v>0.18397361312250074</v>
      </c>
      <c r="G18" s="14">
        <v>8.7257753047365833E-5</v>
      </c>
      <c r="H18" s="14">
        <v>418.57717029206464</v>
      </c>
      <c r="I18" s="14">
        <v>773.80709685632769</v>
      </c>
      <c r="J18" s="14">
        <v>0</v>
      </c>
      <c r="K18" s="14">
        <v>5.4355621060403898</v>
      </c>
      <c r="L18" s="14">
        <v>0.18397361312250074</v>
      </c>
      <c r="M18" s="14">
        <v>0.15095034956701187</v>
      </c>
      <c r="N18" s="14">
        <v>43.979544431690762</v>
      </c>
      <c r="O18" s="14">
        <v>12790.570907068624</v>
      </c>
      <c r="P18" s="8">
        <v>43.979544431690762</v>
      </c>
      <c r="Q18" s="54">
        <v>0.41384023162143663</v>
      </c>
    </row>
    <row r="19" spans="1:21">
      <c r="A19" s="2" t="s">
        <v>339</v>
      </c>
      <c r="B19" s="16" t="s">
        <v>340</v>
      </c>
      <c r="D19" s="14">
        <v>1</v>
      </c>
      <c r="E19" s="14">
        <v>0.4137883908791587</v>
      </c>
      <c r="F19" s="14">
        <v>2.6639146402142308E-2</v>
      </c>
      <c r="G19" s="14">
        <v>1.5126163566277519E-8</v>
      </c>
      <c r="H19" s="14">
        <v>817.90018161894056</v>
      </c>
      <c r="I19" s="14">
        <v>2615.5165679221523</v>
      </c>
      <c r="J19" s="14">
        <v>0</v>
      </c>
      <c r="K19" s="14">
        <v>37.53874035241536</v>
      </c>
      <c r="L19" s="14">
        <v>2.6639146402142308E-2</v>
      </c>
      <c r="M19" s="14">
        <v>2.1857419622957765E-2</v>
      </c>
      <c r="N19" s="14">
        <v>151.78442383707724</v>
      </c>
      <c r="O19" s="14">
        <v>52464.286099285746</v>
      </c>
      <c r="P19" s="8">
        <v>151.78442383707724</v>
      </c>
      <c r="Q19" s="54">
        <v>0.35266103308431979</v>
      </c>
    </row>
    <row r="20" spans="1:21">
      <c r="A20" s="2" t="s">
        <v>281</v>
      </c>
      <c r="B20" s="16" t="s">
        <v>282</v>
      </c>
      <c r="D20" s="14">
        <v>1</v>
      </c>
      <c r="E20" s="14">
        <v>0.3623715813791295</v>
      </c>
      <c r="F20" s="14">
        <v>0.16035644761563753</v>
      </c>
      <c r="G20" s="14">
        <v>7.4438037439200196E-7</v>
      </c>
      <c r="H20" s="14">
        <v>480.35954715871583</v>
      </c>
      <c r="I20" s="14">
        <v>870.20905391336623</v>
      </c>
      <c r="J20" s="14">
        <v>0</v>
      </c>
      <c r="K20" s="14">
        <v>6.2361072153264807</v>
      </c>
      <c r="L20" s="14">
        <v>0.16035644761563753</v>
      </c>
      <c r="M20" s="14">
        <v>0.13157246526863059</v>
      </c>
      <c r="N20" s="14">
        <v>49.514943988387763</v>
      </c>
      <c r="O20" s="14">
        <v>14421.72258605782</v>
      </c>
      <c r="P20" s="8">
        <v>49.514943988387763</v>
      </c>
      <c r="Q20" s="54">
        <v>0.41631647484063528</v>
      </c>
    </row>
    <row r="21" spans="1:21">
      <c r="A21" s="2" t="s">
        <v>341</v>
      </c>
      <c r="B21" s="16" t="s">
        <v>342</v>
      </c>
      <c r="D21" s="14">
        <v>1</v>
      </c>
      <c r="E21" s="14">
        <v>0.39997194425908705</v>
      </c>
      <c r="F21" s="14">
        <v>1.8740296012533658E-2</v>
      </c>
      <c r="G21" s="14">
        <v>2.1804439847344646E-5</v>
      </c>
      <c r="H21" s="14">
        <v>720.63681741852645</v>
      </c>
      <c r="I21" s="14">
        <v>3360.2656874478062</v>
      </c>
      <c r="J21" s="14">
        <v>0</v>
      </c>
      <c r="K21" s="14">
        <v>53.360950079507397</v>
      </c>
      <c r="L21" s="14">
        <v>1.8740296012533658E-2</v>
      </c>
      <c r="M21" s="14">
        <v>1.5376412878283868E-2</v>
      </c>
      <c r="N21" s="14">
        <v>195.90311029420567</v>
      </c>
      <c r="O21" s="14">
        <v>65682.394819441266</v>
      </c>
      <c r="P21" s="8">
        <v>195.90311029420567</v>
      </c>
      <c r="Q21" s="54">
        <v>0.3481557861359828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0.66771634863568041</v>
      </c>
      <c r="F22" s="14">
        <v>0.65048961893724611</v>
      </c>
      <c r="G22" s="14">
        <v>2.5152945962877883E-5</v>
      </c>
      <c r="H22" s="14">
        <v>39.40582008146211</v>
      </c>
      <c r="I22" s="14">
        <v>95.151916684716241</v>
      </c>
      <c r="J22" s="14">
        <v>0</v>
      </c>
      <c r="K22" s="14">
        <v>1.537303549338382</v>
      </c>
      <c r="L22" s="14">
        <v>0.65048961893724611</v>
      </c>
      <c r="M22" s="14">
        <v>0.53372673233801038</v>
      </c>
      <c r="N22" s="14">
        <v>5.8157370522980214</v>
      </c>
      <c r="O22" s="14">
        <v>954.94402398733496</v>
      </c>
      <c r="P22" s="8">
        <v>5.8157370522980214</v>
      </c>
      <c r="Q22" s="54">
        <v>0.2211146617493443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0.76817762964348113</v>
      </c>
      <c r="F23" s="14">
        <v>0.7606472147270763</v>
      </c>
      <c r="G23" s="14">
        <v>9.9126955316124175E-7</v>
      </c>
      <c r="H23" s="14">
        <v>17.376538996695455</v>
      </c>
      <c r="I23" s="14">
        <v>45.083793315706508</v>
      </c>
      <c r="J23" s="14">
        <v>0</v>
      </c>
      <c r="K23" s="14">
        <v>1.3146699029967586</v>
      </c>
      <c r="L23" s="14">
        <v>0.7606472147270763</v>
      </c>
      <c r="M23" s="14">
        <v>0.62411103968356607</v>
      </c>
      <c r="N23" s="14">
        <v>3.1309771540540785</v>
      </c>
      <c r="O23" s="14">
        <v>473.27850660681452</v>
      </c>
      <c r="P23" s="8">
        <v>3.1309771540540785</v>
      </c>
      <c r="Q23" s="54">
        <v>0.15553224834212126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0.41590884779084858</v>
      </c>
      <c r="F24" s="14">
        <v>0.32160639934853896</v>
      </c>
      <c r="G24" s="14">
        <v>1.4807889654301847E-6</v>
      </c>
      <c r="H24" s="14">
        <v>220.32545810412461</v>
      </c>
      <c r="I24" s="14">
        <v>444.96090267569718</v>
      </c>
      <c r="J24" s="14">
        <v>0</v>
      </c>
      <c r="K24" s="14">
        <v>3.1093908641919037</v>
      </c>
      <c r="L24" s="14">
        <v>0.32160639934853896</v>
      </c>
      <c r="M24" s="14">
        <v>0.26387805066547626</v>
      </c>
      <c r="N24" s="14">
        <v>25.262320278834309</v>
      </c>
      <c r="O24" s="14">
        <v>4452.4839491445473</v>
      </c>
      <c r="P24" s="8">
        <v>25.262320278834313</v>
      </c>
      <c r="Q24" s="54">
        <v>0.38700970201247775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0.38058565889390433</v>
      </c>
      <c r="F25" s="14">
        <v>7.7234239612689382E-2</v>
      </c>
      <c r="G25" s="14">
        <v>5.4610777901057707E-4</v>
      </c>
      <c r="H25" s="14">
        <v>730.88639053789529</v>
      </c>
      <c r="I25" s="14">
        <v>1216.4858060613819</v>
      </c>
      <c r="J25" s="14">
        <v>0</v>
      </c>
      <c r="K25" s="14">
        <v>12.947625366867761</v>
      </c>
      <c r="L25" s="14">
        <v>7.7234239612689382E-2</v>
      </c>
      <c r="M25" s="14">
        <v>6.3370693602211633E-2</v>
      </c>
      <c r="N25" s="14">
        <v>69.659897060074385</v>
      </c>
      <c r="O25" s="14">
        <v>13395.598204652304</v>
      </c>
      <c r="P25" s="8">
        <v>69.659897060074385</v>
      </c>
      <c r="Q25" s="54">
        <v>0.36518005185519092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0.40255582902799508</v>
      </c>
      <c r="F26" s="14">
        <v>2.0357954605298025E-2</v>
      </c>
      <c r="G26" s="14">
        <v>1.7544565990917996E-5</v>
      </c>
      <c r="H26" s="14">
        <v>743.21444445441409</v>
      </c>
      <c r="I26" s="14">
        <v>3176.6642271284027</v>
      </c>
      <c r="J26" s="14">
        <v>0</v>
      </c>
      <c r="K26" s="14">
        <v>49.1208483066249</v>
      </c>
      <c r="L26" s="14">
        <v>2.0357954605298025E-2</v>
      </c>
      <c r="M26" s="14">
        <v>1.6703701753647028E-2</v>
      </c>
      <c r="N26" s="14">
        <v>185.00190138742866</v>
      </c>
      <c r="O26" s="14">
        <v>41138.872811522509</v>
      </c>
      <c r="P26" s="8">
        <v>185.00190138742866</v>
      </c>
      <c r="Q26" s="54">
        <v>0.34976094397881896</v>
      </c>
    </row>
    <row r="27" spans="1:21">
      <c r="A27" s="2" t="s">
        <v>353</v>
      </c>
      <c r="B27" s="16" t="s">
        <v>354</v>
      </c>
      <c r="D27" s="14">
        <v>1</v>
      </c>
      <c r="E27" s="14">
        <v>0.41220052014209085</v>
      </c>
      <c r="F27" s="14">
        <v>3.2843643000281361E-3</v>
      </c>
      <c r="G27" s="14">
        <v>1.2556824099159989E-4</v>
      </c>
      <c r="H27" s="14">
        <v>330.18042548310842</v>
      </c>
      <c r="I27" s="14">
        <v>7703.8619820174899</v>
      </c>
      <c r="J27" s="14">
        <v>0</v>
      </c>
      <c r="K27" s="14">
        <v>304.47292341821924</v>
      </c>
      <c r="L27" s="14">
        <v>3.2843643000281366E-3</v>
      </c>
      <c r="M27" s="14">
        <v>2.6948209081730859E-3</v>
      </c>
      <c r="N27" s="14">
        <v>458.17463732543172</v>
      </c>
      <c r="O27" s="14">
        <v>108307.9025173588</v>
      </c>
      <c r="P27" s="8">
        <v>458.17463732543177</v>
      </c>
      <c r="Q27" s="54">
        <v>0.25924386858208909</v>
      </c>
    </row>
    <row r="28" spans="1:21">
      <c r="A28" s="2" t="s">
        <v>355</v>
      </c>
      <c r="B28" s="16" t="s">
        <v>356</v>
      </c>
      <c r="D28" s="14">
        <v>1</v>
      </c>
      <c r="E28" s="14">
        <v>0.39337791335165689</v>
      </c>
      <c r="F28" s="14">
        <v>1.1186877963111764E-2</v>
      </c>
      <c r="G28" s="14">
        <v>6.5559764990727364E-6</v>
      </c>
      <c r="H28" s="14">
        <v>587.5013926421334</v>
      </c>
      <c r="I28" s="14">
        <v>4618.1291182590021</v>
      </c>
      <c r="J28" s="14">
        <v>0</v>
      </c>
      <c r="K28" s="14">
        <v>89.390445064070235</v>
      </c>
      <c r="L28" s="14">
        <v>1.1186877963111764E-2</v>
      </c>
      <c r="M28" s="14">
        <v>9.1788333687332028E-3</v>
      </c>
      <c r="N28" s="14">
        <v>270.97285881219028</v>
      </c>
      <c r="O28" s="14">
        <v>70019.386717069967</v>
      </c>
      <c r="P28" s="8">
        <v>270.97285881219028</v>
      </c>
      <c r="Q28" s="54">
        <v>0.33225082744205697</v>
      </c>
    </row>
    <row r="29" spans="1:21">
      <c r="A29" s="2" t="s">
        <v>357</v>
      </c>
      <c r="B29" s="16" t="s">
        <v>358</v>
      </c>
      <c r="D29" s="14">
        <v>1</v>
      </c>
      <c r="E29" s="14">
        <v>0.35520239961043526</v>
      </c>
      <c r="F29" s="14">
        <v>1.538990031174791E-2</v>
      </c>
      <c r="G29" s="14">
        <v>1.2116140320519626E-3</v>
      </c>
      <c r="H29" s="14">
        <v>623.35551577270928</v>
      </c>
      <c r="I29" s="14">
        <v>3170.9761638935483</v>
      </c>
      <c r="J29" s="14">
        <v>0</v>
      </c>
      <c r="K29" s="14">
        <v>64.977678850632188</v>
      </c>
      <c r="L29" s="14">
        <v>1.5389900311747912E-2</v>
      </c>
      <c r="M29" s="14">
        <v>1.2627413205789162E-2</v>
      </c>
      <c r="N29" s="14">
        <v>185.06503594813023</v>
      </c>
      <c r="O29" s="14">
        <v>43747.523847778502</v>
      </c>
      <c r="P29" s="8">
        <v>185.06503594813023</v>
      </c>
      <c r="Q29" s="54">
        <v>0.30916689012450455</v>
      </c>
    </row>
    <row r="30" spans="1:21">
      <c r="A30" s="2" t="s">
        <v>359</v>
      </c>
      <c r="B30" s="16" t="s">
        <v>360</v>
      </c>
      <c r="D30" s="14">
        <v>1</v>
      </c>
      <c r="E30" s="14">
        <v>0.39337791335165689</v>
      </c>
      <c r="F30" s="14">
        <v>1.1186877963111764E-2</v>
      </c>
      <c r="G30" s="14">
        <v>6.5559764990727364E-6</v>
      </c>
      <c r="H30" s="14">
        <v>587.5013926421334</v>
      </c>
      <c r="I30" s="14">
        <v>4618.1291182590021</v>
      </c>
      <c r="J30" s="14">
        <v>0</v>
      </c>
      <c r="K30" s="14">
        <v>89.390445064070235</v>
      </c>
      <c r="L30" s="14">
        <v>1.1186877963111764E-2</v>
      </c>
      <c r="M30" s="14">
        <v>9.1788333687332028E-3</v>
      </c>
      <c r="N30" s="14">
        <v>270.97285881219028</v>
      </c>
      <c r="O30" s="14">
        <v>70019.386717069967</v>
      </c>
      <c r="P30" s="8">
        <v>270.97285881219028</v>
      </c>
      <c r="Q30" s="54">
        <v>0.33225082744205697</v>
      </c>
    </row>
    <row r="31" spans="1:21">
      <c r="A31" s="2" t="s">
        <v>283</v>
      </c>
      <c r="B31" s="16" t="s">
        <v>284</v>
      </c>
      <c r="D31" s="14">
        <v>1</v>
      </c>
      <c r="E31" s="14">
        <v>0.97632972866571788</v>
      </c>
      <c r="F31" s="14">
        <v>0.97662657019943444</v>
      </c>
      <c r="G31" s="14">
        <v>2.9042702306052697E-10</v>
      </c>
      <c r="H31" s="14">
        <v>0.170140825482858</v>
      </c>
      <c r="I31" s="14">
        <v>0.63221632558244845</v>
      </c>
      <c r="J31" s="14">
        <v>0</v>
      </c>
      <c r="K31" s="14">
        <v>1.0239328219339685</v>
      </c>
      <c r="L31" s="14">
        <v>0.97662657019943455</v>
      </c>
      <c r="M31" s="14">
        <v>0.80132210084863598</v>
      </c>
      <c r="N31" s="14">
        <v>0.88076814898297395</v>
      </c>
      <c r="O31" s="14">
        <v>171.03636685100372</v>
      </c>
      <c r="P31" s="8">
        <v>0.88076814898297406</v>
      </c>
      <c r="Q31" s="54">
        <v>1.5727717736962021E-2</v>
      </c>
    </row>
    <row r="32" spans="1:21">
      <c r="A32" s="2" t="s">
        <v>361</v>
      </c>
      <c r="B32" s="16" t="s">
        <v>362</v>
      </c>
      <c r="D32" s="14">
        <v>1</v>
      </c>
      <c r="E32" s="14">
        <v>0.58610971075283091</v>
      </c>
      <c r="F32" s="14">
        <v>0.55532782185166307</v>
      </c>
      <c r="G32" s="14">
        <v>3.0194771698201706E-10</v>
      </c>
      <c r="H32" s="14">
        <v>70.677528213744282</v>
      </c>
      <c r="I32" s="14">
        <v>161.34727296091336</v>
      </c>
      <c r="J32" s="14">
        <v>0</v>
      </c>
      <c r="K32" s="14">
        <v>1.800738159787564</v>
      </c>
      <c r="L32" s="14">
        <v>0.55532782185166307</v>
      </c>
      <c r="M32" s="14">
        <v>0.45564647782928958</v>
      </c>
      <c r="N32" s="14">
        <v>9.545705747138916</v>
      </c>
      <c r="O32" s="14">
        <v>2444.5597847848048</v>
      </c>
      <c r="P32" s="8">
        <v>9.545705747138916</v>
      </c>
      <c r="Q32" s="54">
        <v>0.27666971931920142</v>
      </c>
    </row>
    <row r="33" spans="1:17">
      <c r="A33" s="2" t="s">
        <v>364</v>
      </c>
      <c r="B33" s="16" t="s">
        <v>365</v>
      </c>
      <c r="D33" s="14">
        <v>1</v>
      </c>
      <c r="E33" s="14">
        <v>0.99957310526341814</v>
      </c>
      <c r="F33" s="14">
        <v>0.99954244768241829</v>
      </c>
      <c r="G33" s="14">
        <v>1.3411753929734472E-12</v>
      </c>
      <c r="H33" s="14">
        <v>1.194266477627479</v>
      </c>
      <c r="I33" s="14">
        <v>3.3813504177427618E-3</v>
      </c>
      <c r="J33" s="14">
        <v>0</v>
      </c>
      <c r="K33" s="14">
        <v>1.0004577617675394</v>
      </c>
      <c r="L33" s="14">
        <v>0.99954244768241829</v>
      </c>
      <c r="M33" s="14">
        <v>0.82012457832342422</v>
      </c>
      <c r="N33" s="14">
        <v>0.88041631309070723</v>
      </c>
      <c r="O33" s="14">
        <v>260.73529112181291</v>
      </c>
      <c r="P33" s="8">
        <v>0.88041631309070723</v>
      </c>
      <c r="Q33" s="54">
        <v>3.855584095501055E-5</v>
      </c>
    </row>
    <row r="34" spans="1:17">
      <c r="A34" s="2" t="s">
        <v>285</v>
      </c>
      <c r="B34" s="16" t="s">
        <v>286</v>
      </c>
      <c r="D34" s="14">
        <v>1</v>
      </c>
      <c r="E34" s="14">
        <v>0.9986266740414893</v>
      </c>
      <c r="F34" s="14">
        <v>0.92306366577514687</v>
      </c>
      <c r="G34" s="14">
        <v>6.6958607087921675E-12</v>
      </c>
      <c r="H34" s="14">
        <v>215.77029549197124</v>
      </c>
      <c r="I34" s="14">
        <v>0.16406947139636374</v>
      </c>
      <c r="J34" s="14">
        <v>0</v>
      </c>
      <c r="K34" s="14">
        <v>1.0833488924734629</v>
      </c>
      <c r="L34" s="14">
        <v>0.92306366577514687</v>
      </c>
      <c r="M34" s="14">
        <v>0.75737373776850803</v>
      </c>
      <c r="N34" s="14">
        <v>2.4916518606253946</v>
      </c>
      <c r="O34" s="14">
        <v>550.75472727263718</v>
      </c>
      <c r="P34" s="8">
        <v>2.4916518606253946</v>
      </c>
      <c r="Q34" s="54">
        <v>2.206113127338333E-4</v>
      </c>
    </row>
    <row r="35" spans="1:17">
      <c r="A35" s="2" t="s">
        <v>287</v>
      </c>
      <c r="B35" s="16" t="s">
        <v>288</v>
      </c>
      <c r="D35" s="14">
        <v>1</v>
      </c>
      <c r="E35" s="14">
        <v>0.99698176960952323</v>
      </c>
      <c r="F35" s="14">
        <v>0.82592730384463919</v>
      </c>
      <c r="G35" s="14">
        <v>2.9478552750961437E-13</v>
      </c>
      <c r="H35" s="14">
        <v>486.9919960538698</v>
      </c>
      <c r="I35" s="14">
        <v>0.87319403740217305</v>
      </c>
      <c r="J35" s="14">
        <v>0</v>
      </c>
      <c r="K35" s="14">
        <v>1.2107603118883024</v>
      </c>
      <c r="L35" s="14">
        <v>0.82592730384463919</v>
      </c>
      <c r="M35" s="14">
        <v>0.67767335280452645</v>
      </c>
      <c r="N35" s="14">
        <v>4.3394579134690465</v>
      </c>
      <c r="O35" s="14">
        <v>999.20357915538273</v>
      </c>
      <c r="P35" s="8">
        <v>4.3394579134690474</v>
      </c>
      <c r="Q35" s="54">
        <v>8.0706917719513931E-4</v>
      </c>
    </row>
    <row r="36" spans="1:17">
      <c r="A36" s="2" t="s">
        <v>366</v>
      </c>
      <c r="B36" s="16" t="s">
        <v>305</v>
      </c>
      <c r="D36" s="14">
        <v>1</v>
      </c>
      <c r="E36" s="14">
        <v>0.99348516081307547</v>
      </c>
      <c r="F36" s="14">
        <v>0.54568440825107389</v>
      </c>
      <c r="G36" s="14">
        <v>1.02934988270265E-9</v>
      </c>
      <c r="H36" s="14">
        <v>1272.9798959518691</v>
      </c>
      <c r="I36" s="14">
        <v>3.374620526539569</v>
      </c>
      <c r="J36" s="14">
        <v>0</v>
      </c>
      <c r="K36" s="14">
        <v>1.8325610643797097</v>
      </c>
      <c r="L36" s="14">
        <v>0.54568440825107389</v>
      </c>
      <c r="M36" s="14">
        <v>0.44773405697000618</v>
      </c>
      <c r="N36" s="14">
        <v>9.2093958832990257</v>
      </c>
      <c r="O36" s="14">
        <v>1899.714182806923</v>
      </c>
      <c r="P36" s="8">
        <v>9.2093958832990257</v>
      </c>
      <c r="Q36" s="54">
        <v>1.7865901852533912E-3</v>
      </c>
    </row>
    <row r="37" spans="1:17">
      <c r="A37" s="2" t="s">
        <v>289</v>
      </c>
      <c r="B37" s="16" t="s">
        <v>290</v>
      </c>
      <c r="D37" s="14">
        <v>1</v>
      </c>
      <c r="E37" s="14">
        <v>0.79421486294513832</v>
      </c>
      <c r="F37" s="14">
        <v>0.59065657119580095</v>
      </c>
      <c r="G37" s="14">
        <v>1.3168530720421925E-16</v>
      </c>
      <c r="H37" s="14">
        <v>560.08641635840036</v>
      </c>
      <c r="I37" s="14">
        <v>177.04601514507419</v>
      </c>
      <c r="J37" s="14">
        <v>0</v>
      </c>
      <c r="K37" s="14">
        <v>1.6930311940413558</v>
      </c>
      <c r="L37" s="14">
        <v>0.59065657119580095</v>
      </c>
      <c r="M37" s="14">
        <v>0.48463371666615468</v>
      </c>
      <c r="N37" s="14">
        <v>13.826338238217518</v>
      </c>
      <c r="O37" s="14">
        <v>4817.3727689597481</v>
      </c>
      <c r="P37" s="8">
        <v>13.82633823821752</v>
      </c>
      <c r="Q37" s="54">
        <v>0.13498520062148894</v>
      </c>
    </row>
    <row r="38" spans="1:17">
      <c r="A38" s="2" t="s">
        <v>291</v>
      </c>
      <c r="B38" s="16" t="s">
        <v>292</v>
      </c>
      <c r="D38" s="14">
        <v>1</v>
      </c>
      <c r="E38" s="14">
        <v>0.99620658349062929</v>
      </c>
      <c r="F38" s="14">
        <v>0.93793408481036866</v>
      </c>
      <c r="G38" s="14">
        <v>2.0451709410413058E-14</v>
      </c>
      <c r="H38" s="14">
        <v>166.52226849117611</v>
      </c>
      <c r="I38" s="14">
        <v>1.2881041565210942</v>
      </c>
      <c r="J38" s="14">
        <v>0</v>
      </c>
      <c r="K38" s="14">
        <v>1.0661730031936945</v>
      </c>
      <c r="L38" s="14">
        <v>0.93793408481036866</v>
      </c>
      <c r="M38" s="14">
        <v>0.76957491658690746</v>
      </c>
      <c r="N38" s="14">
        <v>2.2023023923133556</v>
      </c>
      <c r="O38" s="14">
        <v>679.0358966219768</v>
      </c>
      <c r="P38" s="8">
        <v>2.2023023923133556</v>
      </c>
      <c r="Q38" s="54">
        <v>1.93620341436185E-3</v>
      </c>
    </row>
    <row r="39" spans="1:17">
      <c r="A39" s="2" t="s">
        <v>367</v>
      </c>
      <c r="B39" s="16" t="s">
        <v>368</v>
      </c>
      <c r="D39" s="14">
        <v>1</v>
      </c>
      <c r="E39" s="14">
        <v>0.45250450999688879</v>
      </c>
      <c r="F39" s="14">
        <v>4.789975784953783E-2</v>
      </c>
      <c r="G39" s="14">
        <v>7.4425507646224293E-7</v>
      </c>
      <c r="H39" s="14">
        <v>979.02395398075237</v>
      </c>
      <c r="I39" s="14">
        <v>1583.2536163253446</v>
      </c>
      <c r="J39" s="14">
        <v>0</v>
      </c>
      <c r="K39" s="14">
        <v>20.876932262187804</v>
      </c>
      <c r="L39" s="14">
        <v>4.7899757849537837E-2</v>
      </c>
      <c r="M39" s="14">
        <v>3.9301751315545794E-2</v>
      </c>
      <c r="N39" s="14">
        <v>91.136601194158985</v>
      </c>
      <c r="O39" s="14">
        <v>25366.961576382208</v>
      </c>
      <c r="P39" s="8">
        <v>91.136601194158985</v>
      </c>
      <c r="Q39" s="54">
        <v>0.34367701581766086</v>
      </c>
    </row>
    <row r="40" spans="1:17">
      <c r="A40" s="2" t="s">
        <v>369</v>
      </c>
      <c r="B40" s="16" t="s">
        <v>370</v>
      </c>
      <c r="D40" s="14">
        <v>1</v>
      </c>
      <c r="E40" s="14">
        <v>0.63780992420703531</v>
      </c>
      <c r="F40" s="14">
        <v>6.4779704871237359E-3</v>
      </c>
      <c r="G40" s="14">
        <v>6.5761555392692049E-14</v>
      </c>
      <c r="H40" s="14">
        <v>1673.3198581570932</v>
      </c>
      <c r="I40" s="14">
        <v>1120.8847420509101</v>
      </c>
      <c r="J40" s="14">
        <v>0</v>
      </c>
      <c r="K40" s="14">
        <v>154.36933557936089</v>
      </c>
      <c r="L40" s="14">
        <v>6.4779704871237359E-3</v>
      </c>
      <c r="M40" s="14">
        <v>5.3151747846850259E-3</v>
      </c>
      <c r="N40" s="14">
        <v>818.26044011484089</v>
      </c>
      <c r="O40" s="14">
        <v>332950.17308272875</v>
      </c>
      <c r="P40" s="8">
        <v>818.26044011484089</v>
      </c>
      <c r="Q40" s="54">
        <v>1.2501466383698829E-2</v>
      </c>
    </row>
    <row r="41" spans="1:17">
      <c r="A41" s="2" t="s">
        <v>371</v>
      </c>
      <c r="B41" s="16" t="s">
        <v>372</v>
      </c>
      <c r="D41" s="14">
        <v>1</v>
      </c>
      <c r="E41" s="14">
        <v>0.91358185036850004</v>
      </c>
      <c r="F41" s="14">
        <v>0.91393395616520512</v>
      </c>
      <c r="G41" s="14">
        <v>9.0578119710435295E-4</v>
      </c>
      <c r="H41" s="14">
        <v>7.92126993937977E-3</v>
      </c>
      <c r="I41" s="14">
        <v>3.6715714497354432E-2</v>
      </c>
      <c r="J41" s="14">
        <v>0</v>
      </c>
      <c r="K41" s="14">
        <v>1.0941709663528876</v>
      </c>
      <c r="L41" s="14">
        <v>0.91393395616520512</v>
      </c>
      <c r="M41" s="14">
        <v>0.74988281103355081</v>
      </c>
      <c r="N41" s="14">
        <v>0.7947972041946566</v>
      </c>
      <c r="O41" s="14">
        <v>111.4226200560489</v>
      </c>
      <c r="P41" s="8">
        <v>0.7947972041946566</v>
      </c>
      <c r="Q41" s="54">
        <v>3.0807182697839362E-3</v>
      </c>
    </row>
    <row r="42" spans="1:17">
      <c r="A42" s="2" t="s">
        <v>293</v>
      </c>
      <c r="B42" s="16" t="s">
        <v>294</v>
      </c>
      <c r="D42" s="14">
        <v>1</v>
      </c>
      <c r="E42" s="14">
        <v>0.6441269217145732</v>
      </c>
      <c r="F42" s="14">
        <v>0.62345885666758927</v>
      </c>
      <c r="G42" s="14">
        <v>2.3051345837503015E-10</v>
      </c>
      <c r="H42" s="14">
        <v>47.300725147423734</v>
      </c>
      <c r="I42" s="14">
        <v>112.33755557362215</v>
      </c>
      <c r="J42" s="14">
        <v>0</v>
      </c>
      <c r="K42" s="14">
        <v>1.6039550794819677</v>
      </c>
      <c r="L42" s="14">
        <v>0.62345885666758938</v>
      </c>
      <c r="M42" s="14">
        <v>0.51154799189575706</v>
      </c>
      <c r="N42" s="14">
        <v>6.7506351990276654</v>
      </c>
      <c r="O42" s="14">
        <v>2230.1398443507796</v>
      </c>
      <c r="P42" s="8">
        <v>6.7506351990276654</v>
      </c>
      <c r="Q42" s="54">
        <v>0.23830050876004602</v>
      </c>
    </row>
    <row r="43" spans="1:17">
      <c r="A43" s="2" t="s">
        <v>373</v>
      </c>
      <c r="B43" s="16" t="s">
        <v>374</v>
      </c>
      <c r="D43" s="14">
        <v>1</v>
      </c>
      <c r="E43" s="14">
        <v>0.98196945343428133</v>
      </c>
      <c r="F43" s="14">
        <v>8.0540594535742166E-2</v>
      </c>
      <c r="G43" s="14">
        <v>4.3611161232563541E-9</v>
      </c>
      <c r="H43" s="14">
        <v>2559.9697363430555</v>
      </c>
      <c r="I43" s="14">
        <v>20.013284446635851</v>
      </c>
      <c r="J43" s="14">
        <v>0</v>
      </c>
      <c r="K43" s="14">
        <v>12.416099058670616</v>
      </c>
      <c r="L43" s="14">
        <v>8.0540594535742166E-2</v>
      </c>
      <c r="M43" s="14">
        <v>6.6083557816576446E-2</v>
      </c>
      <c r="N43" s="14">
        <v>33.788536080181537</v>
      </c>
      <c r="O43" s="14">
        <v>8999.2386995955494</v>
      </c>
      <c r="P43" s="8">
        <v>33.788536080181537</v>
      </c>
      <c r="Q43" s="54">
        <v>2.5913040153241838E-3</v>
      </c>
    </row>
    <row r="44" spans="1:17">
      <c r="A44" s="2" t="s">
        <v>375</v>
      </c>
      <c r="B44" s="16" t="s">
        <v>376</v>
      </c>
      <c r="D44" s="14">
        <v>1</v>
      </c>
      <c r="E44" s="14">
        <v>0.78268876565685941</v>
      </c>
      <c r="F44" s="14">
        <v>0.78040184479690755</v>
      </c>
      <c r="G44" s="14">
        <v>9.6508768766406935E-4</v>
      </c>
      <c r="H44" s="14">
        <v>5.6433669101458612</v>
      </c>
      <c r="I44" s="14">
        <v>15.936592143729742</v>
      </c>
      <c r="J44" s="14">
        <v>0</v>
      </c>
      <c r="K44" s="14">
        <v>1.2813911277468095</v>
      </c>
      <c r="L44" s="14">
        <v>0.78040184479690755</v>
      </c>
      <c r="M44" s="14">
        <v>0.64031971365586271</v>
      </c>
      <c r="N44" s="14">
        <v>1.5434847914147434</v>
      </c>
      <c r="O44" s="14">
        <v>230.59662783736269</v>
      </c>
      <c r="P44" s="8">
        <v>1.5434847914147436</v>
      </c>
      <c r="Q44" s="54">
        <v>8.7618428217661568E-2</v>
      </c>
    </row>
    <row r="45" spans="1:17">
      <c r="A45" s="2" t="s">
        <v>377</v>
      </c>
      <c r="B45" s="16" t="s">
        <v>378</v>
      </c>
      <c r="D45" s="14">
        <v>1</v>
      </c>
      <c r="E45" s="14">
        <v>0.62090745886896859</v>
      </c>
      <c r="F45" s="14">
        <v>0.59676459993217201</v>
      </c>
      <c r="G45" s="14">
        <v>8.9985294134667814E-6</v>
      </c>
      <c r="H45" s="14">
        <v>55.3022820550052</v>
      </c>
      <c r="I45" s="14">
        <v>129.41965079476648</v>
      </c>
      <c r="J45" s="14">
        <v>0</v>
      </c>
      <c r="K45" s="14">
        <v>1.6757026139178823</v>
      </c>
      <c r="L45" s="14">
        <v>0.59676459993217201</v>
      </c>
      <c r="M45" s="14">
        <v>0.48964535424434713</v>
      </c>
      <c r="N45" s="14">
        <v>7.681870591132693</v>
      </c>
      <c r="O45" s="14">
        <v>1707.2189201733297</v>
      </c>
      <c r="P45" s="8">
        <v>7.681870591132693</v>
      </c>
      <c r="Q45" s="54">
        <v>0.25316299428899186</v>
      </c>
    </row>
    <row r="46" spans="1:17">
      <c r="A46" s="2" t="s">
        <v>379</v>
      </c>
      <c r="B46" s="16" t="s">
        <v>380</v>
      </c>
      <c r="D46" s="14">
        <v>1</v>
      </c>
      <c r="E46" s="14">
        <v>0.63412128671386736</v>
      </c>
      <c r="F46" s="14">
        <v>0.61224993970667396</v>
      </c>
      <c r="G46" s="14">
        <v>2.6607081427116482E-5</v>
      </c>
      <c r="H46" s="14">
        <v>50.068980800180682</v>
      </c>
      <c r="I46" s="14">
        <v>118.25674523560711</v>
      </c>
      <c r="J46" s="14">
        <v>0</v>
      </c>
      <c r="K46" s="14">
        <v>1.6333198831821774</v>
      </c>
      <c r="L46" s="14">
        <v>0.61224993970667407</v>
      </c>
      <c r="M46" s="14">
        <v>0.50235107552932601</v>
      </c>
      <c r="N46" s="14">
        <v>7.07158089240896</v>
      </c>
      <c r="O46" s="14">
        <v>909.12243952809592</v>
      </c>
      <c r="P46" s="8">
        <v>7.07158089240896</v>
      </c>
      <c r="Q46" s="54">
        <v>0.24334695808844417</v>
      </c>
    </row>
    <row r="47" spans="1:17">
      <c r="A47" s="2" t="s">
        <v>381</v>
      </c>
      <c r="B47" s="16" t="s">
        <v>382</v>
      </c>
      <c r="D47" s="14">
        <v>1</v>
      </c>
      <c r="E47" s="14">
        <v>0.41991615264836746</v>
      </c>
      <c r="F47" s="14">
        <v>3.0425683963801894E-3</v>
      </c>
      <c r="G47" s="14">
        <v>2.1675485685853814E-9</v>
      </c>
      <c r="H47" s="14">
        <v>319.40399942995202</v>
      </c>
      <c r="I47" s="14">
        <v>8013.0438738793846</v>
      </c>
      <c r="J47" s="14">
        <v>0</v>
      </c>
      <c r="K47" s="14">
        <v>328.66968617360317</v>
      </c>
      <c r="L47" s="14">
        <v>3.0425683963801898E-3</v>
      </c>
      <c r="M47" s="14">
        <v>2.4964273692299455E-3</v>
      </c>
      <c r="N47" s="14">
        <v>476.99328629566924</v>
      </c>
      <c r="O47" s="14">
        <v>186642.70299463242</v>
      </c>
      <c r="P47" s="8">
        <v>476.99328629566924</v>
      </c>
      <c r="Q47" s="54">
        <v>0.25632886861895421</v>
      </c>
    </row>
    <row r="48" spans="1:17">
      <c r="A48" s="2" t="s">
        <v>383</v>
      </c>
      <c r="B48" s="16" t="s">
        <v>384</v>
      </c>
      <c r="D48" s="14">
        <v>1</v>
      </c>
      <c r="E48" s="14">
        <v>0.91083493082404865</v>
      </c>
      <c r="F48" s="14">
        <v>0.9103469767363358</v>
      </c>
      <c r="G48" s="14">
        <v>1.3132138122370508E-4</v>
      </c>
      <c r="H48" s="14">
        <v>1.7935230158971731</v>
      </c>
      <c r="I48" s="14">
        <v>5.5739635581685176</v>
      </c>
      <c r="J48" s="14">
        <v>0</v>
      </c>
      <c r="K48" s="14">
        <v>1.0984822551782147</v>
      </c>
      <c r="L48" s="14">
        <v>0.91034697673633591</v>
      </c>
      <c r="M48" s="14">
        <v>0.74693969441216357</v>
      </c>
      <c r="N48" s="14">
        <v>1.0900674377884798</v>
      </c>
      <c r="O48" s="14">
        <v>101.51798048124111</v>
      </c>
      <c r="P48" s="8">
        <v>1.0900674377884798</v>
      </c>
      <c r="Q48" s="54">
        <v>5.1899613665813991E-2</v>
      </c>
    </row>
    <row r="49" spans="1:17">
      <c r="A49" s="2" t="s">
        <v>385</v>
      </c>
      <c r="B49" s="16" t="s">
        <v>386</v>
      </c>
      <c r="D49" s="14">
        <v>1</v>
      </c>
      <c r="E49" s="14">
        <v>0.87503034103177768</v>
      </c>
      <c r="F49" s="14">
        <v>0.8738763269287525</v>
      </c>
      <c r="G49" s="14">
        <v>2.4664849071009373E-4</v>
      </c>
      <c r="H49" s="14">
        <v>3.2169919532278688</v>
      </c>
      <c r="I49" s="14">
        <v>9.5478842497724283</v>
      </c>
      <c r="J49" s="14">
        <v>0</v>
      </c>
      <c r="K49" s="14">
        <v>1.144326684663161</v>
      </c>
      <c r="L49" s="14">
        <v>0.8738763269287525</v>
      </c>
      <c r="M49" s="14">
        <v>0.71701552624504139</v>
      </c>
      <c r="N49" s="14">
        <v>1.2747786690269693</v>
      </c>
      <c r="O49" s="14">
        <v>141.65340570227684</v>
      </c>
      <c r="P49" s="8">
        <v>1.2747786690269693</v>
      </c>
      <c r="Q49" s="54">
        <v>6.9009224240242736E-2</v>
      </c>
    </row>
    <row r="50" spans="1:17">
      <c r="A50" s="2" t="s">
        <v>387</v>
      </c>
      <c r="B50" s="16" t="s">
        <v>388</v>
      </c>
      <c r="D50" s="14">
        <v>1</v>
      </c>
      <c r="E50" s="14">
        <v>0.35842565042049501</v>
      </c>
      <c r="F50" s="14">
        <v>0.18950653718221822</v>
      </c>
      <c r="G50" s="14">
        <v>1.8343942634497549E-4</v>
      </c>
      <c r="H50" s="14">
        <v>400.00387257645389</v>
      </c>
      <c r="I50" s="14">
        <v>743.56915630085234</v>
      </c>
      <c r="J50" s="14">
        <v>0</v>
      </c>
      <c r="K50" s="14">
        <v>5.2768628189246023</v>
      </c>
      <c r="L50" s="14">
        <v>0.18950653718221822</v>
      </c>
      <c r="M50" s="14">
        <v>0.15549011375801006</v>
      </c>
      <c r="N50" s="14">
        <v>42.249491767311703</v>
      </c>
      <c r="O50" s="14">
        <v>8342.1621494556948</v>
      </c>
      <c r="P50" s="8">
        <v>42.249491767311703</v>
      </c>
      <c r="Q50" s="54">
        <v>0.4099410098996758</v>
      </c>
    </row>
    <row r="51" spans="1:17">
      <c r="A51" s="2" t="s">
        <v>295</v>
      </c>
      <c r="B51" s="16" t="s">
        <v>296</v>
      </c>
      <c r="D51" s="14">
        <v>1</v>
      </c>
      <c r="E51" s="14">
        <v>0.90472433771255123</v>
      </c>
      <c r="F51" s="14">
        <v>0.90493722096977669</v>
      </c>
      <c r="G51" s="14">
        <v>7.2671970999829618E-4</v>
      </c>
      <c r="H51" s="14">
        <v>0.28730186920208683</v>
      </c>
      <c r="I51" s="14">
        <v>1.0213994562430746</v>
      </c>
      <c r="J51" s="14">
        <v>0</v>
      </c>
      <c r="K51" s="14">
        <v>1.105049031940966</v>
      </c>
      <c r="L51" s="14">
        <v>0.9049372209697768</v>
      </c>
      <c r="M51" s="14">
        <v>0.74250098980570189</v>
      </c>
      <c r="N51" s="14">
        <v>0.83941407478138863</v>
      </c>
      <c r="O51" s="14">
        <v>48.753169463303053</v>
      </c>
      <c r="P51" s="8">
        <v>0.83941407478138863</v>
      </c>
      <c r="Q51" s="54">
        <v>1.9924875771430907E-2</v>
      </c>
    </row>
    <row r="52" spans="1:17">
      <c r="A52" s="2" t="s">
        <v>389</v>
      </c>
      <c r="B52" s="16" t="s">
        <v>390</v>
      </c>
      <c r="D52" s="14">
        <v>1</v>
      </c>
      <c r="E52" s="14">
        <v>0.75652349290562049</v>
      </c>
      <c r="F52" s="14">
        <v>0.75231068185216721</v>
      </c>
      <c r="G52" s="14">
        <v>7.9448502543481457E-4</v>
      </c>
      <c r="H52" s="14">
        <v>9.9141897860275954</v>
      </c>
      <c r="I52" s="14">
        <v>26.786403035539415</v>
      </c>
      <c r="J52" s="14">
        <v>0</v>
      </c>
      <c r="K52" s="14">
        <v>1.3292380716142815</v>
      </c>
      <c r="L52" s="14">
        <v>0.75231068185216721</v>
      </c>
      <c r="M52" s="14">
        <v>0.61727091445970328</v>
      </c>
      <c r="N52" s="14">
        <v>2.1151667510671315</v>
      </c>
      <c r="O52" s="14">
        <v>226.64011737684314</v>
      </c>
      <c r="P52" s="8">
        <v>2.1151667510671315</v>
      </c>
      <c r="Q52" s="54">
        <v>0.11548202721961369</v>
      </c>
    </row>
    <row r="53" spans="1:17">
      <c r="A53" s="2" t="s">
        <v>391</v>
      </c>
      <c r="B53" s="16" t="s">
        <v>392</v>
      </c>
      <c r="D53" s="14">
        <v>1</v>
      </c>
      <c r="E53" s="14">
        <v>0.54848859125879512</v>
      </c>
      <c r="F53" s="14">
        <v>0.51010841924975181</v>
      </c>
      <c r="G53" s="14">
        <v>2.93447881965886E-5</v>
      </c>
      <c r="H53" s="14">
        <v>88.328832789621131</v>
      </c>
      <c r="I53" s="14">
        <v>197.4056880658749</v>
      </c>
      <c r="J53" s="14">
        <v>0</v>
      </c>
      <c r="K53" s="14">
        <v>1.9603675655280544</v>
      </c>
      <c r="L53" s="14">
        <v>0.51010841924975181</v>
      </c>
      <c r="M53" s="14">
        <v>0.4185439579944214</v>
      </c>
      <c r="N53" s="14">
        <v>11.418625211031166</v>
      </c>
      <c r="O53" s="14">
        <v>1850.0456566912699</v>
      </c>
      <c r="P53" s="8">
        <v>11.418625211031168</v>
      </c>
      <c r="Q53" s="54">
        <v>0.29975032477004321</v>
      </c>
    </row>
    <row r="54" spans="1:17">
      <c r="A54" s="2" t="s">
        <v>393</v>
      </c>
      <c r="B54" s="16" t="s">
        <v>394</v>
      </c>
      <c r="D54" s="14">
        <v>1</v>
      </c>
      <c r="E54" s="14">
        <v>0.40941173741759451</v>
      </c>
      <c r="F54" s="14">
        <v>4.1538380894402755E-3</v>
      </c>
      <c r="G54" s="14">
        <v>9.7745787982564544E-6</v>
      </c>
      <c r="H54" s="14">
        <v>373.13807299150102</v>
      </c>
      <c r="I54" s="14">
        <v>7209.8583962911925</v>
      </c>
      <c r="J54" s="14">
        <v>0</v>
      </c>
      <c r="K54" s="14">
        <v>240.74120812319595</v>
      </c>
      <c r="L54" s="14">
        <v>4.1538380894402755E-3</v>
      </c>
      <c r="M54" s="14">
        <v>3.408224152385746E-3</v>
      </c>
      <c r="N54" s="14">
        <v>427.78959718132296</v>
      </c>
      <c r="O54" s="14">
        <v>99841.814086148966</v>
      </c>
      <c r="P54" s="8">
        <v>427.78959718132302</v>
      </c>
      <c r="Q54" s="54">
        <v>0.27677492078022453</v>
      </c>
    </row>
    <row r="55" spans="1:17">
      <c r="A55" s="2" t="s">
        <v>395</v>
      </c>
      <c r="B55" s="16" t="s">
        <v>396</v>
      </c>
      <c r="D55" s="14">
        <v>1</v>
      </c>
      <c r="E55" s="14">
        <v>0.31325133364013186</v>
      </c>
      <c r="F55" s="14">
        <v>0.23375555425470637</v>
      </c>
      <c r="G55" s="14">
        <v>2.5251688691277753E-3</v>
      </c>
      <c r="H55" s="14">
        <v>186.0638225206234</v>
      </c>
      <c r="I55" s="14">
        <v>371.63714039578974</v>
      </c>
      <c r="J55" s="14">
        <v>0</v>
      </c>
      <c r="K55" s="14">
        <v>4.2779732151749128</v>
      </c>
      <c r="L55" s="14">
        <v>0.23375555425470637</v>
      </c>
      <c r="M55" s="14">
        <v>0.19179643226598658</v>
      </c>
      <c r="N55" s="14">
        <v>21.091455436822567</v>
      </c>
      <c r="O55" s="14">
        <v>2703.2918433375485</v>
      </c>
      <c r="P55" s="8">
        <v>21.091455436822571</v>
      </c>
      <c r="Q55" s="54">
        <v>0.3041719133770594</v>
      </c>
    </row>
    <row r="56" spans="1:17">
      <c r="A56" s="2" t="s">
        <v>397</v>
      </c>
      <c r="B56" s="16" t="s">
        <v>398</v>
      </c>
      <c r="D56" s="14">
        <v>1</v>
      </c>
      <c r="E56" s="14">
        <v>6.3634247654743986E-2</v>
      </c>
      <c r="F56" s="14">
        <v>2.2165864860646839E-2</v>
      </c>
      <c r="G56" s="14">
        <v>9.1907968942737117E-3</v>
      </c>
      <c r="H56" s="14">
        <v>99.066012168281787</v>
      </c>
      <c r="I56" s="14">
        <v>174.25363719910916</v>
      </c>
      <c r="J56" s="14">
        <v>0</v>
      </c>
      <c r="K56" s="14">
        <v>45.114413819936026</v>
      </c>
      <c r="L56" s="14">
        <v>2.2165864860646839E-2</v>
      </c>
      <c r="M56" s="14">
        <v>1.8187092118160733E-2</v>
      </c>
      <c r="N56" s="14">
        <v>9.9346790443711832</v>
      </c>
      <c r="O56" s="14">
        <v>1802.647512601151</v>
      </c>
      <c r="P56" s="8">
        <v>9.9346790443711832</v>
      </c>
      <c r="Q56" s="54">
        <v>7.0889489996840652E-2</v>
      </c>
    </row>
    <row r="57" spans="1:17">
      <c r="A57" s="2" t="s">
        <v>399</v>
      </c>
      <c r="B57" s="16" t="s">
        <v>400</v>
      </c>
      <c r="D57" s="14">
        <v>1</v>
      </c>
      <c r="E57" s="14">
        <v>4.8932301641022198E-2</v>
      </c>
      <c r="F57" s="14">
        <v>3.3312423196958534E-2</v>
      </c>
      <c r="G57" s="14">
        <v>9.7031939615283037E-3</v>
      </c>
      <c r="H57" s="14">
        <v>36.701703728554989</v>
      </c>
      <c r="I57" s="14">
        <v>71.572039980736392</v>
      </c>
      <c r="J57" s="14">
        <v>0</v>
      </c>
      <c r="K57" s="14">
        <v>30.018830935460176</v>
      </c>
      <c r="L57" s="14">
        <v>3.3312423196958534E-2</v>
      </c>
      <c r="M57" s="14">
        <v>2.7332843233104479E-2</v>
      </c>
      <c r="N57" s="14">
        <v>4.0610746807445413</v>
      </c>
      <c r="O57" s="14">
        <v>596.97797806944766</v>
      </c>
      <c r="P57" s="8">
        <v>4.0610746807445421</v>
      </c>
      <c r="Q57" s="54">
        <v>5.1350348557474328E-2</v>
      </c>
    </row>
    <row r="58" spans="1:17">
      <c r="A58" s="2" t="s">
        <v>297</v>
      </c>
      <c r="B58" s="16" t="s">
        <v>298</v>
      </c>
      <c r="D58" s="14">
        <v>1</v>
      </c>
      <c r="E58" s="14">
        <v>5.9558925477829441E-2</v>
      </c>
      <c r="F58" s="14">
        <v>5.9452103643511674E-2</v>
      </c>
      <c r="G58" s="14">
        <v>1.0360857817885533E-2</v>
      </c>
      <c r="H58" s="14">
        <v>0.28103941076526012</v>
      </c>
      <c r="I58" s="14">
        <v>0.81888779259207523</v>
      </c>
      <c r="J58" s="14">
        <v>0</v>
      </c>
      <c r="K58" s="14">
        <v>16.820262677267525</v>
      </c>
      <c r="L58" s="14">
        <v>5.9452103643511674E-2</v>
      </c>
      <c r="M58" s="14">
        <v>4.8780451039501328E-2</v>
      </c>
      <c r="N58" s="14">
        <v>9.5966492415774013E-2</v>
      </c>
      <c r="O58" s="14">
        <v>8.1504342008716879</v>
      </c>
      <c r="P58" s="8">
        <v>9.5966492415774013E-2</v>
      </c>
      <c r="Q58" s="54">
        <v>5.3484063653193069E-3</v>
      </c>
    </row>
    <row r="59" spans="1:17">
      <c r="A59" s="2" t="s">
        <v>401</v>
      </c>
      <c r="B59" s="16" t="s">
        <v>402</v>
      </c>
      <c r="D59" s="14">
        <v>1</v>
      </c>
      <c r="E59" s="14">
        <v>1.811153392726032E-2</v>
      </c>
      <c r="F59" s="14">
        <v>1.2617816016438719E-2</v>
      </c>
      <c r="G59" s="14">
        <v>1.0595285855327364E-2</v>
      </c>
      <c r="H59" s="14">
        <v>12.89686609119083</v>
      </c>
      <c r="I59" s="14">
        <v>25.289565123496473</v>
      </c>
      <c r="J59" s="14">
        <v>0</v>
      </c>
      <c r="K59" s="14">
        <v>79.253018010183524</v>
      </c>
      <c r="L59" s="14">
        <v>1.2617816016438721E-2</v>
      </c>
      <c r="M59" s="14">
        <v>1.035291804148797E-2</v>
      </c>
      <c r="N59" s="14">
        <v>1.434931635609745</v>
      </c>
      <c r="O59" s="14">
        <v>237.95471313316403</v>
      </c>
      <c r="P59" s="8">
        <v>1.434931635609745</v>
      </c>
      <c r="Q59" s="54">
        <v>1.8704295769266834E-2</v>
      </c>
    </row>
    <row r="60" spans="1:17">
      <c r="A60" s="2" t="s">
        <v>299</v>
      </c>
      <c r="B60" s="16" t="s">
        <v>300</v>
      </c>
      <c r="D60" s="14">
        <v>1</v>
      </c>
      <c r="E60" s="14">
        <v>5.3653889820228136E-4</v>
      </c>
      <c r="F60" s="14">
        <v>4.4987538172369294E-4</v>
      </c>
      <c r="G60" s="14">
        <v>1.1097897665866874E-2</v>
      </c>
      <c r="H60" s="14">
        <v>0.20147085438326121</v>
      </c>
      <c r="I60" s="14">
        <v>0.41982606555771057</v>
      </c>
      <c r="J60" s="14">
        <v>0</v>
      </c>
      <c r="K60" s="14">
        <v>2222.8377915868841</v>
      </c>
      <c r="L60" s="14">
        <v>4.4987538172369294E-4</v>
      </c>
      <c r="M60" s="14">
        <v>3.6912275070429007E-4</v>
      </c>
      <c r="N60" s="14">
        <v>2.389124386459824E-2</v>
      </c>
      <c r="O60" s="14">
        <v>1.9624267710380994</v>
      </c>
      <c r="P60" s="8">
        <v>2.389124386459824E-2</v>
      </c>
      <c r="Q60" s="54">
        <v>4.3377987466519343E-4</v>
      </c>
    </row>
    <row r="61" spans="1:17">
      <c r="A61" s="2" t="s">
        <v>403</v>
      </c>
      <c r="B61" s="16" t="s">
        <v>404</v>
      </c>
      <c r="D61" s="14">
        <v>1</v>
      </c>
      <c r="E61" s="14">
        <v>0.48758354346234317</v>
      </c>
      <c r="F61" s="14">
        <v>0.4303673076859364</v>
      </c>
      <c r="G61" s="14">
        <v>7.5004576107688424E-46</v>
      </c>
      <c r="H61" s="14">
        <v>132.45222959905649</v>
      </c>
      <c r="I61" s="14">
        <v>283.73730803955385</v>
      </c>
      <c r="J61" s="14">
        <v>0</v>
      </c>
      <c r="K61" s="14">
        <v>2.3235965700483852</v>
      </c>
      <c r="L61" s="14">
        <v>0.43036730768593645</v>
      </c>
      <c r="M61" s="14">
        <v>0.35311637595631085</v>
      </c>
      <c r="N61" s="14">
        <v>16.214119363638154</v>
      </c>
      <c r="O61" s="14">
        <v>19499.262087904881</v>
      </c>
      <c r="P61" s="8">
        <v>16.214119363638158</v>
      </c>
      <c r="Q61" s="54">
        <v>0.34128440532332688</v>
      </c>
    </row>
    <row r="62" spans="1:17">
      <c r="A62" s="2" t="s">
        <v>405</v>
      </c>
      <c r="B62" s="16" t="s">
        <v>406</v>
      </c>
      <c r="D62" s="14">
        <v>1</v>
      </c>
      <c r="E62" s="14">
        <v>0.39836335211733565</v>
      </c>
      <c r="F62" s="14">
        <v>1.703308165629068E-2</v>
      </c>
      <c r="G62" s="14">
        <v>5.2177313701650151E-9</v>
      </c>
      <c r="H62" s="14">
        <v>695.91024230299706</v>
      </c>
      <c r="I62" s="14">
        <v>3591.7855522555624</v>
      </c>
      <c r="J62" s="14">
        <v>0</v>
      </c>
      <c r="K62" s="14">
        <v>58.709282335335878</v>
      </c>
      <c r="L62" s="14">
        <v>1.703308165629068E-2</v>
      </c>
      <c r="M62" s="14">
        <v>1.3975643498986504E-2</v>
      </c>
      <c r="N62" s="14">
        <v>209.6617248608201</v>
      </c>
      <c r="O62" s="14">
        <v>66852.737589121098</v>
      </c>
      <c r="P62" s="8">
        <v>209.66172486082013</v>
      </c>
      <c r="Q62" s="54">
        <v>0.34666532134557526</v>
      </c>
    </row>
    <row r="63" spans="1:17">
      <c r="A63" s="2" t="s">
        <v>407</v>
      </c>
      <c r="B63" s="16" t="s">
        <v>408</v>
      </c>
      <c r="D63" s="14">
        <v>1</v>
      </c>
      <c r="E63" s="14">
        <v>0.44086898522444429</v>
      </c>
      <c r="F63" s="14">
        <v>1.7321780346885292E-3</v>
      </c>
      <c r="G63" s="14">
        <v>1.3905320869965916E-6</v>
      </c>
      <c r="H63" s="14">
        <v>237.82227383842508</v>
      </c>
      <c r="I63" s="14">
        <v>9354.2656219665623</v>
      </c>
      <c r="J63" s="14">
        <v>0</v>
      </c>
      <c r="K63" s="14">
        <v>577.30786326465261</v>
      </c>
      <c r="L63" s="14">
        <v>1.7321780346885292E-3</v>
      </c>
      <c r="M63" s="14">
        <v>1.4212520774619384E-3</v>
      </c>
      <c r="N63" s="14">
        <v>559.96234357438152</v>
      </c>
      <c r="O63" s="14">
        <v>272024.10688499879</v>
      </c>
      <c r="P63" s="8">
        <v>559.96234357438152</v>
      </c>
      <c r="Q63" s="54">
        <v>0.21857963574587791</v>
      </c>
    </row>
    <row r="64" spans="1:17">
      <c r="A64" s="2" t="s">
        <v>409</v>
      </c>
      <c r="B64" s="16" t="s">
        <v>410</v>
      </c>
      <c r="D64" s="14">
        <v>1</v>
      </c>
      <c r="E64" s="14">
        <v>0.47905915896414919</v>
      </c>
      <c r="F64" s="14">
        <v>6.431475781023782E-4</v>
      </c>
      <c r="G64" s="14">
        <v>1.8448417831644493E-7</v>
      </c>
      <c r="H64" s="14">
        <v>137.31900204252412</v>
      </c>
      <c r="I64" s="14">
        <v>11318.472221896236</v>
      </c>
      <c r="J64" s="14">
        <v>0</v>
      </c>
      <c r="K64" s="14">
        <v>1554.8530913395073</v>
      </c>
      <c r="L64" s="14">
        <v>6.431475781023782E-4</v>
      </c>
      <c r="M64" s="14">
        <v>5.2770258783300136E-4</v>
      </c>
      <c r="N64" s="14">
        <v>683.83478524741236</v>
      </c>
      <c r="O64" s="14">
        <v>386154.6648813613</v>
      </c>
      <c r="P64" s="8">
        <v>683.83478524741236</v>
      </c>
      <c r="Q64" s="54">
        <v>0.15775669866772524</v>
      </c>
    </row>
    <row r="65" spans="1:17">
      <c r="A65" s="2" t="s">
        <v>301</v>
      </c>
      <c r="B65" s="16" t="s">
        <v>302</v>
      </c>
      <c r="D65" s="14">
        <v>1</v>
      </c>
      <c r="E65" s="14">
        <v>0.51777991797647727</v>
      </c>
      <c r="F65" s="14">
        <v>1.9262113080908204E-4</v>
      </c>
      <c r="G65" s="14">
        <v>2.4312656588566161E-8</v>
      </c>
      <c r="H65" s="14">
        <v>67.952263561721821</v>
      </c>
      <c r="I65" s="14">
        <v>12991.553882250886</v>
      </c>
      <c r="J65" s="14">
        <v>0</v>
      </c>
      <c r="K65" s="14">
        <v>5191.5384142934854</v>
      </c>
      <c r="L65" s="14">
        <v>1.9262113080908207E-4</v>
      </c>
      <c r="M65" s="14">
        <v>1.5804563782885182E-4</v>
      </c>
      <c r="N65" s="14">
        <v>793.23617852919529</v>
      </c>
      <c r="O65" s="14">
        <v>510510.93977781956</v>
      </c>
      <c r="P65" s="8">
        <v>793.2361785291954</v>
      </c>
      <c r="Q65" s="54">
        <v>0.10061462175896331</v>
      </c>
    </row>
    <row r="66" spans="1:17">
      <c r="A66" s="2" t="s">
        <v>303</v>
      </c>
      <c r="B66" s="16" t="s">
        <v>304</v>
      </c>
      <c r="D66" s="14">
        <v>1</v>
      </c>
      <c r="E66" s="14">
        <v>0.49686489425807295</v>
      </c>
      <c r="F66" s="14">
        <v>3.8588295892019107E-4</v>
      </c>
      <c r="G66" s="14">
        <v>2.2677965365307804E-14</v>
      </c>
      <c r="H66" s="14">
        <v>102.29999205917194</v>
      </c>
      <c r="I66" s="14">
        <v>12118.050855938591</v>
      </c>
      <c r="J66" s="14">
        <v>0</v>
      </c>
      <c r="K66" s="14">
        <v>2591.4593450777948</v>
      </c>
      <c r="L66" s="14">
        <v>3.8588295892019107E-4</v>
      </c>
      <c r="M66" s="14">
        <v>3.1661696779401678E-4</v>
      </c>
      <c r="N66" s="14">
        <v>735.47483640355745</v>
      </c>
      <c r="O66" s="14">
        <v>474609.26667957962</v>
      </c>
      <c r="P66" s="8">
        <v>735.47483640355756</v>
      </c>
      <c r="Q66" s="54">
        <v>0.13110908025401452</v>
      </c>
    </row>
    <row r="67" spans="1:17">
      <c r="A67" s="2" t="s">
        <v>411</v>
      </c>
      <c r="B67" s="16" t="s">
        <v>412</v>
      </c>
      <c r="D67" s="14">
        <v>1</v>
      </c>
      <c r="E67" s="14">
        <v>0.83994499288609736</v>
      </c>
      <c r="F67" s="14">
        <v>0.83688876659411859</v>
      </c>
      <c r="G67" s="14">
        <v>5.3136901468216773E-5</v>
      </c>
      <c r="H67" s="14">
        <v>7.3920983842623151</v>
      </c>
      <c r="I67" s="14">
        <v>20.569555611285736</v>
      </c>
      <c r="J67" s="14">
        <v>0</v>
      </c>
      <c r="K67" s="14">
        <v>1.1949019271338701</v>
      </c>
      <c r="L67" s="14">
        <v>0.8368887665941187</v>
      </c>
      <c r="M67" s="14">
        <v>0.68666723299047439</v>
      </c>
      <c r="N67" s="14">
        <v>1.8459518697473332</v>
      </c>
      <c r="O67" s="14">
        <v>553.97015611117467</v>
      </c>
      <c r="P67" s="8">
        <v>1.8459518697473332</v>
      </c>
      <c r="Q67" s="54">
        <v>0.10428573568261676</v>
      </c>
    </row>
    <row r="68" spans="1:17">
      <c r="A68" s="2" t="s">
        <v>413</v>
      </c>
      <c r="B68" s="16" t="s">
        <v>414</v>
      </c>
      <c r="D68" s="14">
        <v>1</v>
      </c>
      <c r="E68" s="14">
        <v>0.78620649548510824</v>
      </c>
      <c r="F68" s="14">
        <v>0.78053218029682614</v>
      </c>
      <c r="G68" s="14">
        <v>1.1659483195755157E-4</v>
      </c>
      <c r="H68" s="14">
        <v>13.208418267081132</v>
      </c>
      <c r="I68" s="14">
        <v>35.035472904190335</v>
      </c>
      <c r="J68" s="14">
        <v>0</v>
      </c>
      <c r="K68" s="14">
        <v>1.2811771573847386</v>
      </c>
      <c r="L68" s="14">
        <v>0.78053218029682614</v>
      </c>
      <c r="M68" s="14">
        <v>0.64042665393354581</v>
      </c>
      <c r="N68" s="14">
        <v>2.5934121293840766</v>
      </c>
      <c r="O68" s="14">
        <v>851.02819025738472</v>
      </c>
      <c r="P68" s="8">
        <v>2.5934121293840771</v>
      </c>
      <c r="Q68" s="54">
        <v>0.13649224716745023</v>
      </c>
    </row>
    <row r="69" spans="1:17">
      <c r="A69" s="2" t="s">
        <v>415</v>
      </c>
      <c r="B69" s="16" t="s">
        <v>416</v>
      </c>
      <c r="D69" s="14">
        <v>1</v>
      </c>
      <c r="E69" s="14">
        <v>0.39711865470911939</v>
      </c>
      <c r="F69" s="14">
        <v>6.262061661382089E-3</v>
      </c>
      <c r="G69" s="14">
        <v>6.1216123908077705E-5</v>
      </c>
      <c r="H69" s="14">
        <v>453.04082524945909</v>
      </c>
      <c r="I69" s="14">
        <v>6091.0829024759396</v>
      </c>
      <c r="J69" s="14">
        <v>0</v>
      </c>
      <c r="K69" s="14">
        <v>159.69181622195839</v>
      </c>
      <c r="L69" s="14">
        <v>6.262061661382089E-3</v>
      </c>
      <c r="M69" s="14">
        <v>5.1380215931640045E-3</v>
      </c>
      <c r="N69" s="14">
        <v>359.7834311211418</v>
      </c>
      <c r="O69" s="14">
        <v>166968.29471469947</v>
      </c>
      <c r="P69" s="8">
        <v>359.7834311211418</v>
      </c>
      <c r="Q69" s="54">
        <v>0.30122742582108508</v>
      </c>
    </row>
    <row r="70" spans="1:17">
      <c r="A70" s="2" t="s">
        <v>417</v>
      </c>
      <c r="B70" s="16" t="s">
        <v>418</v>
      </c>
      <c r="D70" s="14">
        <v>1</v>
      </c>
      <c r="E70" s="14">
        <v>0.38354591397505688</v>
      </c>
      <c r="F70" s="14">
        <v>9.255327363577022E-2</v>
      </c>
      <c r="G70" s="14">
        <v>1.2744425772282596E-4</v>
      </c>
      <c r="H70" s="14">
        <v>699.3454996150798</v>
      </c>
      <c r="I70" s="14">
        <v>1183.4473874450305</v>
      </c>
      <c r="J70" s="14">
        <v>0</v>
      </c>
      <c r="K70" s="14">
        <v>10.804588111441122</v>
      </c>
      <c r="L70" s="14">
        <v>9.255327363577022E-2</v>
      </c>
      <c r="M70" s="14">
        <v>7.5939961018149468E-2</v>
      </c>
      <c r="N70" s="14">
        <v>67.674306853455406</v>
      </c>
      <c r="O70" s="14">
        <v>21253.116067327672</v>
      </c>
      <c r="P70" s="8">
        <v>67.674306853455406</v>
      </c>
      <c r="Q70" s="54">
        <v>0.38917860341722038</v>
      </c>
    </row>
    <row r="71" spans="1:17">
      <c r="A71" s="2" t="s">
        <v>419</v>
      </c>
      <c r="B71" s="16" t="s">
        <v>420</v>
      </c>
      <c r="D71" s="14">
        <v>1</v>
      </c>
      <c r="E71" s="14">
        <v>0.78224543936407942</v>
      </c>
      <c r="F71" s="14">
        <v>0.77715342371379803</v>
      </c>
      <c r="G71" s="14">
        <v>2.848100121302434E-4</v>
      </c>
      <c r="H71" s="14">
        <v>11.899446605664231</v>
      </c>
      <c r="I71" s="14">
        <v>31.796838085398292</v>
      </c>
      <c r="J71" s="14">
        <v>0</v>
      </c>
      <c r="K71" s="14">
        <v>1.2867472103787188</v>
      </c>
      <c r="L71" s="14">
        <v>0.77715342371379803</v>
      </c>
      <c r="M71" s="14">
        <v>0.63765438415717135</v>
      </c>
      <c r="N71" s="14">
        <v>2.4121182521956368</v>
      </c>
      <c r="O71" s="14">
        <v>516.2897906999541</v>
      </c>
      <c r="P71" s="8">
        <v>2.4121182521956372</v>
      </c>
      <c r="Q71" s="54">
        <v>0.12899828466783658</v>
      </c>
    </row>
    <row r="72" spans="1:17">
      <c r="A72" s="2" t="s">
        <v>421</v>
      </c>
      <c r="B72" s="16" t="s">
        <v>422</v>
      </c>
      <c r="D72" s="14">
        <v>1</v>
      </c>
      <c r="E72" s="14">
        <v>0.36294831233044589</v>
      </c>
      <c r="F72" s="14">
        <v>9.9590196928279542E-2</v>
      </c>
      <c r="G72" s="14">
        <v>4.9742210247956484E-4</v>
      </c>
      <c r="H72" s="14">
        <v>631.67922109727942</v>
      </c>
      <c r="I72" s="14">
        <v>1082.8137498334227</v>
      </c>
      <c r="J72" s="14">
        <v>0</v>
      </c>
      <c r="K72" s="14">
        <v>10.041148936778946</v>
      </c>
      <c r="L72" s="14">
        <v>9.9590196928279542E-2</v>
      </c>
      <c r="M72" s="14">
        <v>8.1713756579653365E-2</v>
      </c>
      <c r="N72" s="14">
        <v>61.855307589301873</v>
      </c>
      <c r="O72" s="14">
        <v>25612.427213502226</v>
      </c>
      <c r="P72" s="8">
        <v>61.855307589301873</v>
      </c>
      <c r="Q72" s="54">
        <v>0.38225551674974834</v>
      </c>
    </row>
    <row r="73" spans="1:17">
      <c r="A73" s="2" t="s">
        <v>423</v>
      </c>
      <c r="B73" s="16" t="s">
        <v>424</v>
      </c>
      <c r="D73" s="14">
        <v>1</v>
      </c>
      <c r="E73" s="14">
        <v>0.46543793279540963</v>
      </c>
      <c r="F73" s="14">
        <v>0.40457194000449848</v>
      </c>
      <c r="G73" s="14">
        <v>2.2312295124090608E-4</v>
      </c>
      <c r="H73" s="14">
        <v>141.09634311512073</v>
      </c>
      <c r="I73" s="14">
        <v>299.48351985206443</v>
      </c>
      <c r="J73" s="14">
        <v>0</v>
      </c>
      <c r="K73" s="14">
        <v>2.4717482878048362</v>
      </c>
      <c r="L73" s="14">
        <v>0.40457194000449848</v>
      </c>
      <c r="M73" s="14">
        <v>0.33195127677369102</v>
      </c>
      <c r="N73" s="14">
        <v>17.085681355840936</v>
      </c>
      <c r="O73" s="14">
        <v>7315.5761861304136</v>
      </c>
      <c r="P73" s="8">
        <v>17.085681355840936</v>
      </c>
      <c r="Q73" s="54">
        <v>0.34243088541083261</v>
      </c>
    </row>
    <row r="74" spans="1:17">
      <c r="A74" s="2" t="s">
        <v>425</v>
      </c>
      <c r="B74" s="16" t="s">
        <v>426</v>
      </c>
      <c r="D74" s="14">
        <v>1</v>
      </c>
      <c r="E74" s="14">
        <v>0.37885597788427439</v>
      </c>
      <c r="F74" s="14">
        <v>9.4895035610198603E-2</v>
      </c>
      <c r="G74" s="14">
        <v>1.9321995685310118E-4</v>
      </c>
      <c r="H74" s="14">
        <v>682.06143293540163</v>
      </c>
      <c r="I74" s="14">
        <v>1158.4589892306938</v>
      </c>
      <c r="J74" s="14">
        <v>0</v>
      </c>
      <c r="K74" s="14">
        <v>10.537959057286317</v>
      </c>
      <c r="L74" s="14">
        <v>9.4895035610198603E-2</v>
      </c>
      <c r="M74" s="14">
        <v>7.7861376718167952E-2</v>
      </c>
      <c r="N74" s="14">
        <v>66.22545593447785</v>
      </c>
      <c r="O74" s="14">
        <v>34978.961315472508</v>
      </c>
      <c r="P74" s="8">
        <v>66.22545593447785</v>
      </c>
      <c r="Q74" s="54">
        <v>0.38875918579186447</v>
      </c>
    </row>
    <row r="75" spans="1:17">
      <c r="A75" s="2" t="s">
        <v>427</v>
      </c>
      <c r="B75" s="16" t="s">
        <v>428</v>
      </c>
      <c r="D75" s="14">
        <v>1</v>
      </c>
      <c r="E75" s="14">
        <v>0.95186363146378283</v>
      </c>
      <c r="F75" s="14">
        <v>3.9741793809760916E-2</v>
      </c>
      <c r="G75" s="14">
        <v>5.6062948688825615E-11</v>
      </c>
      <c r="H75" s="14">
        <v>2591.4776389228005</v>
      </c>
      <c r="I75" s="14">
        <v>9.258897797960131</v>
      </c>
      <c r="J75" s="14">
        <v>0</v>
      </c>
      <c r="K75" s="14">
        <v>25.162427362662015</v>
      </c>
      <c r="L75" s="14">
        <v>3.9741793809760916E-2</v>
      </c>
      <c r="M75" s="14">
        <v>3.2608141820908834E-2</v>
      </c>
      <c r="N75" s="14">
        <v>112.78646740915333</v>
      </c>
      <c r="O75" s="14">
        <v>63621.718400829304</v>
      </c>
      <c r="P75" s="8">
        <v>112.78646740915335</v>
      </c>
      <c r="Q75" s="54">
        <v>5.1708184562752131E-4</v>
      </c>
    </row>
    <row r="76" spans="1:17">
      <c r="A76" s="2" t="s">
        <v>429</v>
      </c>
      <c r="B76" s="16" t="s">
        <v>430</v>
      </c>
      <c r="D76" s="14">
        <v>1</v>
      </c>
      <c r="E76" s="14">
        <v>0.95186363614592762</v>
      </c>
      <c r="F76" s="14">
        <v>3.9741794005247778E-2</v>
      </c>
      <c r="G76" s="14">
        <v>1.4082376081458025E-12</v>
      </c>
      <c r="H76" s="14">
        <v>2591.4776516700822</v>
      </c>
      <c r="I76" s="14">
        <v>9.2588978435039468</v>
      </c>
      <c r="J76" s="14">
        <v>0</v>
      </c>
      <c r="K76" s="14">
        <v>25.162427238889951</v>
      </c>
      <c r="L76" s="14">
        <v>3.9741794005247778E-2</v>
      </c>
      <c r="M76" s="14">
        <v>3.2608141981305808E-2</v>
      </c>
      <c r="N76" s="14">
        <v>112.7864679639414</v>
      </c>
      <c r="O76" s="14">
        <v>56407.896222806012</v>
      </c>
      <c r="P76" s="8">
        <v>112.7864679639414</v>
      </c>
      <c r="Q76" s="54">
        <v>5.1708184817100757E-4</v>
      </c>
    </row>
    <row r="77" spans="1:17">
      <c r="A77" s="2" t="s">
        <v>431</v>
      </c>
      <c r="B77" s="16" t="s">
        <v>432</v>
      </c>
      <c r="D77" s="14">
        <v>1</v>
      </c>
      <c r="E77" s="14">
        <v>0.35559158259302714</v>
      </c>
      <c r="F77" s="14">
        <v>0.22220292119831683</v>
      </c>
      <c r="G77" s="14">
        <v>5.7764132006577591E-4</v>
      </c>
      <c r="H77" s="14">
        <v>314.361798031354</v>
      </c>
      <c r="I77" s="14">
        <v>601.84815689891343</v>
      </c>
      <c r="J77" s="14">
        <v>0</v>
      </c>
      <c r="K77" s="14">
        <v>4.5003908796837857</v>
      </c>
      <c r="L77" s="14">
        <v>0.22220292119831683</v>
      </c>
      <c r="M77" s="14">
        <v>0.18231749684321896</v>
      </c>
      <c r="N77" s="14">
        <v>34.159676225428647</v>
      </c>
      <c r="O77" s="14">
        <v>12436.171726629555</v>
      </c>
      <c r="P77" s="8">
        <v>34.159676225428647</v>
      </c>
      <c r="Q77" s="54">
        <v>0.39019970334580173</v>
      </c>
    </row>
    <row r="78" spans="1:17">
      <c r="A78" s="2" t="s">
        <v>433</v>
      </c>
      <c r="B78" s="16" t="s">
        <v>434</v>
      </c>
      <c r="D78" s="14">
        <v>1</v>
      </c>
      <c r="E78" s="14">
        <v>0.62995507312438825</v>
      </c>
      <c r="F78" s="14">
        <v>0.61160453457623243</v>
      </c>
      <c r="G78" s="14">
        <v>4.3064477707763064E-4</v>
      </c>
      <c r="H78" s="14">
        <v>41.984665430790962</v>
      </c>
      <c r="I78" s="14">
        <v>100.4495203880398</v>
      </c>
      <c r="J78" s="14">
        <v>0</v>
      </c>
      <c r="K78" s="14">
        <v>1.6350434692131222</v>
      </c>
      <c r="L78" s="14">
        <v>0.61160453457623243</v>
      </c>
      <c r="M78" s="14">
        <v>0.50182152061979868</v>
      </c>
      <c r="N78" s="14">
        <v>6.0792804463186041</v>
      </c>
      <c r="O78" s="14">
        <v>1605.2340018504274</v>
      </c>
      <c r="P78" s="8">
        <v>6.0792804463186041</v>
      </c>
      <c r="Q78" s="54">
        <v>0.22189517942704051</v>
      </c>
    </row>
    <row r="79" spans="1:17">
      <c r="A79" s="2" t="s">
        <v>435</v>
      </c>
      <c r="B79" s="16" t="s">
        <v>436</v>
      </c>
      <c r="D79" s="14">
        <v>1</v>
      </c>
      <c r="E79" s="14">
        <v>0.53857970009327039</v>
      </c>
      <c r="F79" s="14">
        <v>0.49911888882762351</v>
      </c>
      <c r="G79" s="14">
        <v>1.1700178661203012E-4</v>
      </c>
      <c r="H79" s="14">
        <v>90.858174277966981</v>
      </c>
      <c r="I79" s="14">
        <v>202.3117825080927</v>
      </c>
      <c r="J79" s="14">
        <v>0</v>
      </c>
      <c r="K79" s="14">
        <v>2.0035306665089196</v>
      </c>
      <c r="L79" s="14">
        <v>0.49911888882762356</v>
      </c>
      <c r="M79" s="14">
        <v>0.40952704828306513</v>
      </c>
      <c r="N79" s="14">
        <v>11.685867190049377</v>
      </c>
      <c r="O79" s="14">
        <v>4675.6323214106569</v>
      </c>
      <c r="P79" s="8">
        <v>11.685867190049379</v>
      </c>
      <c r="Q79" s="54">
        <v>0.30103790055198271</v>
      </c>
    </row>
    <row r="80" spans="1:17">
      <c r="A80" s="2" t="s">
        <v>437</v>
      </c>
      <c r="B80" s="16" t="s">
        <v>438</v>
      </c>
      <c r="D80" s="14">
        <v>1</v>
      </c>
      <c r="E80" s="14">
        <v>0.91004480510090513</v>
      </c>
      <c r="F80" s="14">
        <v>2.6077980604648103E-2</v>
      </c>
      <c r="G80" s="14">
        <v>1.9426851856444817E-11</v>
      </c>
      <c r="H80" s="14">
        <v>2510.5793826024806</v>
      </c>
      <c r="I80" s="14">
        <v>17.230020035765104</v>
      </c>
      <c r="J80" s="14">
        <v>0</v>
      </c>
      <c r="K80" s="14">
        <v>38.34652748463818</v>
      </c>
      <c r="L80" s="14">
        <v>2.6077980604648106E-2</v>
      </c>
      <c r="M80" s="14">
        <v>2.139698308611377E-2</v>
      </c>
      <c r="N80" s="14">
        <v>212.02757406970116</v>
      </c>
      <c r="O80" s="14">
        <v>108999.13527775198</v>
      </c>
      <c r="P80" s="8">
        <v>212.02757406970119</v>
      </c>
      <c r="Q80" s="54">
        <v>6.0993812794751519E-4</v>
      </c>
    </row>
    <row r="81" spans="1:17">
      <c r="A81" s="2" t="s">
        <v>440</v>
      </c>
      <c r="B81" s="16" t="s">
        <v>441</v>
      </c>
      <c r="D81" s="14">
        <v>1</v>
      </c>
      <c r="E81" s="14">
        <v>0.97071476590680217</v>
      </c>
      <c r="F81" s="14">
        <v>0.97096683240958437</v>
      </c>
      <c r="G81" s="14">
        <v>2.0489571810022842E-15</v>
      </c>
      <c r="H81" s="14">
        <v>0.25876432118526865</v>
      </c>
      <c r="I81" s="14">
        <v>0.93188337890989015</v>
      </c>
      <c r="J81" s="14">
        <v>0</v>
      </c>
      <c r="K81" s="14">
        <v>1.0299012969561132</v>
      </c>
      <c r="L81" s="14">
        <v>0.97096683240958437</v>
      </c>
      <c r="M81" s="14">
        <v>0.79667828599206403</v>
      </c>
      <c r="N81" s="14">
        <v>0.89187689956901006</v>
      </c>
      <c r="O81" s="14">
        <v>247.28178917450373</v>
      </c>
      <c r="P81" s="8">
        <v>0.89187689956901017</v>
      </c>
      <c r="Q81" s="54">
        <v>1.9514685911756174E-2</v>
      </c>
    </row>
    <row r="82" spans="1:17">
      <c r="A82" s="2" t="s">
        <v>442</v>
      </c>
      <c r="B82" s="16" t="s">
        <v>443</v>
      </c>
      <c r="D82" s="14">
        <v>1</v>
      </c>
      <c r="E82" s="14">
        <v>0.77271125189508638</v>
      </c>
      <c r="F82" s="14">
        <v>0.76551088976807191</v>
      </c>
      <c r="G82" s="14">
        <v>9.7463019206887944E-7</v>
      </c>
      <c r="H82" s="14">
        <v>16.634562117263581</v>
      </c>
      <c r="I82" s="14">
        <v>43.318014656412892</v>
      </c>
      <c r="J82" s="14">
        <v>0</v>
      </c>
      <c r="K82" s="14">
        <v>1.3063171450153657</v>
      </c>
      <c r="L82" s="14">
        <v>0.76551088976807191</v>
      </c>
      <c r="M82" s="14">
        <v>0.6281016850547031</v>
      </c>
      <c r="N82" s="14">
        <v>3.0375752968737606</v>
      </c>
      <c r="O82" s="14">
        <v>501.77706329057651</v>
      </c>
      <c r="P82" s="8">
        <v>3.037575296873761</v>
      </c>
      <c r="Q82" s="54">
        <v>0.1524995435899848</v>
      </c>
    </row>
    <row r="83" spans="1:17">
      <c r="A83" s="2" t="s">
        <v>444</v>
      </c>
      <c r="B83" s="16" t="s">
        <v>445</v>
      </c>
      <c r="D83" s="14">
        <v>1</v>
      </c>
      <c r="E83" s="14">
        <v>0.38704833125722204</v>
      </c>
      <c r="F83" s="14">
        <v>0.26556580009369407</v>
      </c>
      <c r="G83" s="14">
        <v>1.1706326504533342E-5</v>
      </c>
      <c r="H83" s="14">
        <v>285.35937510695834</v>
      </c>
      <c r="I83" s="14">
        <v>557.50570519484927</v>
      </c>
      <c r="J83" s="14">
        <v>0</v>
      </c>
      <c r="K83" s="14">
        <v>3.7655451102784725</v>
      </c>
      <c r="L83" s="14">
        <v>0.26556580009369407</v>
      </c>
      <c r="M83" s="14">
        <v>0.21789673897687598</v>
      </c>
      <c r="N83" s="14">
        <v>31.633160945480853</v>
      </c>
      <c r="O83" s="14">
        <v>5701.5609288134692</v>
      </c>
      <c r="P83" s="8">
        <v>31.633160945480856</v>
      </c>
      <c r="Q83" s="54">
        <v>0.40406321593818084</v>
      </c>
    </row>
    <row r="84" spans="1:17">
      <c r="A84" s="2" t="s">
        <v>446</v>
      </c>
      <c r="B84" s="16" t="s">
        <v>447</v>
      </c>
      <c r="D84" s="14">
        <v>1</v>
      </c>
      <c r="E84" s="14">
        <v>0.9373768926363899</v>
      </c>
      <c r="F84" s="14">
        <v>0.93719115369135408</v>
      </c>
      <c r="G84" s="14">
        <v>6.3073461837827149E-17</v>
      </c>
      <c r="H84" s="14">
        <v>1.1625675070537402</v>
      </c>
      <c r="I84" s="14">
        <v>3.7383103344489599</v>
      </c>
      <c r="J84" s="14">
        <v>0</v>
      </c>
      <c r="K84" s="14">
        <v>1.0670181809348691</v>
      </c>
      <c r="L84" s="14">
        <v>0.9371911536913542</v>
      </c>
      <c r="M84" s="14">
        <v>0.76896534160375607</v>
      </c>
      <c r="N84" s="14">
        <v>1.0138112911212307</v>
      </c>
      <c r="O84" s="14">
        <v>394.26107300413537</v>
      </c>
      <c r="P84" s="8">
        <v>1.0138112911212307</v>
      </c>
      <c r="Q84" s="54">
        <v>4.1983181969399985E-2</v>
      </c>
    </row>
    <row r="85" spans="1:17">
      <c r="A85" s="2" t="s">
        <v>448</v>
      </c>
      <c r="B85" s="16" t="s">
        <v>449</v>
      </c>
      <c r="D85" s="14">
        <v>1</v>
      </c>
      <c r="E85" s="14">
        <v>0.98758871674490045</v>
      </c>
      <c r="F85" s="14">
        <v>0.98794978151409174</v>
      </c>
      <c r="G85" s="14">
        <v>4.4152302567623403E-10</v>
      </c>
      <c r="H85" s="14">
        <v>4.7481548008641822E-2</v>
      </c>
      <c r="I85" s="14">
        <v>0.19399120480845411</v>
      </c>
      <c r="J85" s="14">
        <v>0</v>
      </c>
      <c r="K85" s="14">
        <v>1.0121971973792439</v>
      </c>
      <c r="L85" s="14">
        <v>0.98794978151409185</v>
      </c>
      <c r="M85" s="14">
        <v>0.81061279573231237</v>
      </c>
      <c r="N85" s="14">
        <v>0.86728893102694027</v>
      </c>
      <c r="O85" s="14">
        <v>155.45286799726878</v>
      </c>
      <c r="P85" s="8">
        <v>0.86728893102694027</v>
      </c>
      <c r="Q85" s="54">
        <v>8.1317129627222311E-3</v>
      </c>
    </row>
    <row r="86" spans="1:17">
      <c r="A86" s="2" t="s">
        <v>450</v>
      </c>
      <c r="B86" s="16" t="s">
        <v>451</v>
      </c>
      <c r="D86" s="14">
        <v>1</v>
      </c>
      <c r="E86" s="14">
        <v>0.93888131518950824</v>
      </c>
      <c r="F86" s="14">
        <v>0.93872170077655226</v>
      </c>
      <c r="G86" s="14">
        <v>1.5864827174286075E-10</v>
      </c>
      <c r="H86" s="14">
        <v>1.10766098205484</v>
      </c>
      <c r="I86" s="14">
        <v>3.57490107527703</v>
      </c>
      <c r="J86" s="14">
        <v>0</v>
      </c>
      <c r="K86" s="14">
        <v>1.0652784517208409</v>
      </c>
      <c r="L86" s="14">
        <v>0.93872170077655226</v>
      </c>
      <c r="M86" s="14">
        <v>0.77022115548716119</v>
      </c>
      <c r="N86" s="14">
        <v>1.0062969789974274</v>
      </c>
      <c r="O86" s="14">
        <v>262.73407824643834</v>
      </c>
      <c r="P86" s="8">
        <v>1.0062969789974276</v>
      </c>
      <c r="Q86" s="54">
        <v>4.0969817415653614E-2</v>
      </c>
    </row>
    <row r="87" spans="1:17">
      <c r="A87" s="2" t="s">
        <v>452</v>
      </c>
      <c r="B87" s="16" t="s">
        <v>453</v>
      </c>
      <c r="D87" s="14">
        <v>1</v>
      </c>
      <c r="E87" s="14">
        <v>0.42762053742319717</v>
      </c>
      <c r="F87" s="14">
        <v>2.4557964717876702E-3</v>
      </c>
      <c r="G87" s="14">
        <v>2.5330330642462401E-9</v>
      </c>
      <c r="H87" s="14">
        <v>286.03051699403687</v>
      </c>
      <c r="I87" s="14">
        <v>8540.229505787478</v>
      </c>
      <c r="J87" s="14">
        <v>0</v>
      </c>
      <c r="K87" s="14">
        <v>407.19986834742082</v>
      </c>
      <c r="L87" s="14">
        <v>2.4557964717876707E-3</v>
      </c>
      <c r="M87" s="14">
        <v>2.0149810051017835E-3</v>
      </c>
      <c r="N87" s="14">
        <v>509.47875362212579</v>
      </c>
      <c r="O87" s="14">
        <v>212096.00513289098</v>
      </c>
      <c r="P87" s="8">
        <v>509.47875362212585</v>
      </c>
      <c r="Q87" s="54">
        <v>0.24191875670571061</v>
      </c>
    </row>
    <row r="88" spans="1:17">
      <c r="A88" s="2" t="s">
        <v>454</v>
      </c>
      <c r="B88" s="16" t="s">
        <v>455</v>
      </c>
      <c r="D88" s="14">
        <v>1</v>
      </c>
      <c r="E88" s="14">
        <v>0.69362956582918434</v>
      </c>
      <c r="F88" s="14">
        <v>0.67926890349376745</v>
      </c>
      <c r="G88" s="14">
        <v>4.9986211335674377E-7</v>
      </c>
      <c r="H88" s="14">
        <v>32.856532869141006</v>
      </c>
      <c r="I88" s="14">
        <v>80.663842107271478</v>
      </c>
      <c r="J88" s="14">
        <v>0</v>
      </c>
      <c r="K88" s="14">
        <v>1.4721710280811866</v>
      </c>
      <c r="L88" s="14">
        <v>0.67926890349376745</v>
      </c>
      <c r="M88" s="14">
        <v>0.55734013531663618</v>
      </c>
      <c r="N88" s="14">
        <v>5.0340337902669683</v>
      </c>
      <c r="O88" s="14">
        <v>962.85964306436301</v>
      </c>
      <c r="P88" s="8">
        <v>5.0340337902669683</v>
      </c>
      <c r="Q88" s="54">
        <v>0.20534252786237339</v>
      </c>
    </row>
    <row r="89" spans="1:17">
      <c r="A89" s="2" t="s">
        <v>456</v>
      </c>
      <c r="B89" s="16" t="s">
        <v>457</v>
      </c>
      <c r="D89" s="14">
        <v>1</v>
      </c>
      <c r="E89" s="14">
        <v>0.75900449099265765</v>
      </c>
      <c r="F89" s="14">
        <v>0.75077286313683445</v>
      </c>
      <c r="G89" s="14">
        <v>3.2415823144236064E-19</v>
      </c>
      <c r="H89" s="14">
        <v>18.955208530336044</v>
      </c>
      <c r="I89" s="14">
        <v>48.818646828287271</v>
      </c>
      <c r="J89" s="14">
        <v>0</v>
      </c>
      <c r="K89" s="14">
        <v>1.3319607688294159</v>
      </c>
      <c r="L89" s="14">
        <v>0.75077286313683456</v>
      </c>
      <c r="M89" s="14">
        <v>0.61600913420377268</v>
      </c>
      <c r="N89" s="14">
        <v>3.3290102494333254</v>
      </c>
      <c r="O89" s="14">
        <v>1306.5033624926027</v>
      </c>
      <c r="P89" s="8">
        <v>3.3290102494333254</v>
      </c>
      <c r="Q89" s="54">
        <v>0.16172819417424175</v>
      </c>
    </row>
    <row r="90" spans="1:17">
      <c r="A90" s="2" t="s">
        <v>458</v>
      </c>
      <c r="B90" s="16" t="s">
        <v>459</v>
      </c>
      <c r="D90" s="14">
        <v>1</v>
      </c>
      <c r="E90" s="14">
        <v>0.88070082891997359</v>
      </c>
      <c r="F90" s="14">
        <v>0.87907353054563675</v>
      </c>
      <c r="G90" s="14">
        <v>4.7349313973992029E-31</v>
      </c>
      <c r="H90" s="14">
        <v>4.260741667782316</v>
      </c>
      <c r="I90" s="14">
        <v>12.392027660323507</v>
      </c>
      <c r="J90" s="14">
        <v>0</v>
      </c>
      <c r="K90" s="14">
        <v>1.1375612679172638</v>
      </c>
      <c r="L90" s="14">
        <v>0.87907353054563675</v>
      </c>
      <c r="M90" s="14">
        <v>0.72127983181269495</v>
      </c>
      <c r="N90" s="14">
        <v>1.4344833084447237</v>
      </c>
      <c r="O90" s="14">
        <v>1120.2453948968225</v>
      </c>
      <c r="P90" s="8">
        <v>1.4344833084447237</v>
      </c>
      <c r="Q90" s="54">
        <v>8.0120264461073731E-2</v>
      </c>
    </row>
    <row r="91" spans="1:17">
      <c r="A91" s="2" t="s">
        <v>460</v>
      </c>
      <c r="B91" s="16" t="s">
        <v>461</v>
      </c>
      <c r="D91" s="14">
        <v>1</v>
      </c>
      <c r="E91" s="14">
        <v>0.3957818023364707</v>
      </c>
      <c r="F91" s="14">
        <v>1.4781009062245847E-2</v>
      </c>
      <c r="G91" s="14">
        <v>2.4349641470363481E-9</v>
      </c>
      <c r="H91" s="14">
        <v>658.5125910233387</v>
      </c>
      <c r="I91" s="14">
        <v>3929.3548809775325</v>
      </c>
      <c r="J91" s="14">
        <v>0</v>
      </c>
      <c r="K91" s="14">
        <v>67.654379737458783</v>
      </c>
      <c r="L91" s="14">
        <v>1.4781009062245847E-2</v>
      </c>
      <c r="M91" s="14">
        <v>1.2127817935572717E-2</v>
      </c>
      <c r="N91" s="14">
        <v>229.77599199485252</v>
      </c>
      <c r="O91" s="14">
        <v>70403.36394722281</v>
      </c>
      <c r="P91" s="8">
        <v>229.77599199485252</v>
      </c>
      <c r="Q91" s="54">
        <v>0.34270564176826973</v>
      </c>
    </row>
    <row r="92" spans="1:17">
      <c r="A92" s="2" t="s">
        <v>462</v>
      </c>
      <c r="B92" s="16" t="s">
        <v>463</v>
      </c>
      <c r="D92" s="14">
        <v>1</v>
      </c>
      <c r="E92" s="14">
        <v>0.41782760798588481</v>
      </c>
      <c r="F92" s="14">
        <v>0.32488799090080167</v>
      </c>
      <c r="G92" s="14">
        <v>9.0124350135428283E-11</v>
      </c>
      <c r="H92" s="14">
        <v>217.07692375161335</v>
      </c>
      <c r="I92" s="14">
        <v>439.20859386021749</v>
      </c>
      <c r="J92" s="14">
        <v>0</v>
      </c>
      <c r="K92" s="14">
        <v>3.0779838836989541</v>
      </c>
      <c r="L92" s="14">
        <v>0.32488799090080167</v>
      </c>
      <c r="M92" s="14">
        <v>0.26657059653410775</v>
      </c>
      <c r="N92" s="14">
        <v>24.937807312464617</v>
      </c>
      <c r="O92" s="14">
        <v>8399.5522589843313</v>
      </c>
      <c r="P92" s="8">
        <v>24.937807312464617</v>
      </c>
      <c r="Q92" s="54">
        <v>0.38589649076138965</v>
      </c>
    </row>
    <row r="93" spans="1:17">
      <c r="A93" s="2" t="s">
        <v>464</v>
      </c>
      <c r="B93" s="16" t="s">
        <v>465</v>
      </c>
      <c r="D93" s="14">
        <v>1</v>
      </c>
      <c r="E93" s="14">
        <v>0.36927329120385555</v>
      </c>
      <c r="F93" s="14">
        <v>0.1245176597351606</v>
      </c>
      <c r="G93" s="14">
        <v>6.9665769315399172E-6</v>
      </c>
      <c r="H93" s="14">
        <v>585.04725994306591</v>
      </c>
      <c r="I93" s="14">
        <v>1025.2933024946788</v>
      </c>
      <c r="J93" s="14">
        <v>0</v>
      </c>
      <c r="K93" s="14">
        <v>8.0309893562641825</v>
      </c>
      <c r="L93" s="14">
        <v>0.12451765973516062</v>
      </c>
      <c r="M93" s="14">
        <v>0.10216673981269928</v>
      </c>
      <c r="N93" s="14">
        <v>58.470499793664821</v>
      </c>
      <c r="O93" s="14">
        <v>27194.044749035569</v>
      </c>
      <c r="P93" s="8">
        <v>58.470499793664828</v>
      </c>
      <c r="Q93" s="54">
        <v>0.40874092219730246</v>
      </c>
    </row>
    <row r="94" spans="1:17">
      <c r="A94" s="2" t="s">
        <v>466</v>
      </c>
      <c r="B94" s="16" t="s">
        <v>467</v>
      </c>
      <c r="D94" s="14">
        <v>1</v>
      </c>
      <c r="E94" s="14">
        <v>0.99934162657485737</v>
      </c>
      <c r="F94" s="14">
        <v>0.98816804504400269</v>
      </c>
      <c r="G94" s="14">
        <v>2.2421632213565873E-20</v>
      </c>
      <c r="H94" s="14">
        <v>32.848141720053981</v>
      </c>
      <c r="I94" s="14">
        <v>3.9967861862401338E-2</v>
      </c>
      <c r="J94" s="14">
        <v>0</v>
      </c>
      <c r="K94" s="14">
        <v>1.0119736263637937</v>
      </c>
      <c r="L94" s="14">
        <v>0.98816804504400269</v>
      </c>
      <c r="M94" s="14">
        <v>0.81079188095860422</v>
      </c>
      <c r="N94" s="14">
        <v>1.1497659552687678</v>
      </c>
      <c r="O94" s="14">
        <v>380.2735920455923</v>
      </c>
      <c r="P94" s="8">
        <v>1.1497659552687678</v>
      </c>
      <c r="Q94" s="54">
        <v>1.1844341365266596E-4</v>
      </c>
    </row>
    <row r="95" spans="1:17">
      <c r="A95" s="2" t="s">
        <v>468</v>
      </c>
      <c r="B95" s="16" t="s">
        <v>469</v>
      </c>
      <c r="D95" s="14">
        <v>1</v>
      </c>
      <c r="E95" s="14">
        <v>0.4304647406658853</v>
      </c>
      <c r="F95" s="14">
        <v>3.5747924458015889E-2</v>
      </c>
      <c r="G95" s="14">
        <v>1.014096582633116E-19</v>
      </c>
      <c r="H95" s="14">
        <v>899.39575102530011</v>
      </c>
      <c r="I95" s="14">
        <v>2060.193450999961</v>
      </c>
      <c r="J95" s="14">
        <v>0</v>
      </c>
      <c r="K95" s="14">
        <v>27.973652041657662</v>
      </c>
      <c r="L95" s="14">
        <v>3.5747924458015889E-2</v>
      </c>
      <c r="M95" s="14">
        <v>2.9331172017802037E-2</v>
      </c>
      <c r="N95" s="14">
        <v>119.07837352597123</v>
      </c>
      <c r="O95" s="14">
        <v>58824.716521829789</v>
      </c>
      <c r="P95" s="8">
        <v>119.07837352597124</v>
      </c>
      <c r="Q95" s="54">
        <v>0.35067758115591452</v>
      </c>
    </row>
    <row r="96" spans="1:17">
      <c r="A96" s="2" t="s">
        <v>470</v>
      </c>
      <c r="B96" s="164">
        <v>354656</v>
      </c>
      <c r="D96" s="14">
        <v>1</v>
      </c>
      <c r="E96" s="14">
        <v>0.96959591109931154</v>
      </c>
      <c r="F96" s="14">
        <v>0.96983805478994056</v>
      </c>
      <c r="G96" s="14">
        <v>4.0851471877974419E-12</v>
      </c>
      <c r="H96" s="14">
        <v>0.2785987869258208</v>
      </c>
      <c r="I96" s="14">
        <v>0.99778366995396783</v>
      </c>
      <c r="J96" s="14">
        <v>0</v>
      </c>
      <c r="K96" s="14">
        <v>1.031099981137152</v>
      </c>
      <c r="L96" s="14">
        <v>0.96983805478994067</v>
      </c>
      <c r="M96" s="14">
        <v>0.79575212395514627</v>
      </c>
      <c r="N96" s="14">
        <v>0.89442626471912545</v>
      </c>
      <c r="O96" s="14">
        <v>176.37191513996433</v>
      </c>
      <c r="P96" s="8">
        <v>0.89442626471912545</v>
      </c>
      <c r="Q96" s="54">
        <v>2.0269189913744132E-2</v>
      </c>
    </row>
    <row r="97" spans="1:17">
      <c r="A97" s="2" t="s">
        <v>472</v>
      </c>
      <c r="B97" s="16" t="s">
        <v>473</v>
      </c>
      <c r="D97" s="14">
        <v>1</v>
      </c>
      <c r="E97" s="14">
        <v>0.93661171372548679</v>
      </c>
      <c r="F97" s="14">
        <v>0.93641245410410878</v>
      </c>
      <c r="G97" s="14">
        <v>6.3029762224456817E-12</v>
      </c>
      <c r="H97" s="14">
        <v>1.1910148627237862</v>
      </c>
      <c r="I97" s="14">
        <v>3.8227363996120958</v>
      </c>
      <c r="J97" s="14">
        <v>0</v>
      </c>
      <c r="K97" s="14">
        <v>1.0679054893142437</v>
      </c>
      <c r="L97" s="14">
        <v>0.93641245410410878</v>
      </c>
      <c r="M97" s="14">
        <v>0.76832641859242123</v>
      </c>
      <c r="N97" s="14">
        <v>1.0177052824021375</v>
      </c>
      <c r="O97" s="14">
        <v>163.01603213517438</v>
      </c>
      <c r="P97" s="8">
        <v>1.0177052824021375</v>
      </c>
      <c r="Q97" s="54">
        <v>4.2498573404829626E-2</v>
      </c>
    </row>
    <row r="98" spans="1:17">
      <c r="A98" s="2" t="s">
        <v>474</v>
      </c>
      <c r="B98" s="16" t="s">
        <v>475</v>
      </c>
      <c r="D98" s="14">
        <v>1</v>
      </c>
      <c r="E98" s="14">
        <v>0.40954300387503645</v>
      </c>
      <c r="F98" s="14">
        <v>7.3713176864117672E-2</v>
      </c>
      <c r="G98" s="14">
        <v>2.0766992992556155E-21</v>
      </c>
      <c r="H98" s="14">
        <v>810.48527450109043</v>
      </c>
      <c r="I98" s="14">
        <v>1334.1427467190481</v>
      </c>
      <c r="J98" s="14">
        <v>0</v>
      </c>
      <c r="K98" s="14">
        <v>13.566095541417139</v>
      </c>
      <c r="L98" s="14">
        <v>7.3713176864117685E-2</v>
      </c>
      <c r="M98" s="14">
        <v>6.0481661617008554E-2</v>
      </c>
      <c r="N98" s="14">
        <v>76.469698397819798</v>
      </c>
      <c r="O98" s="14">
        <v>40638.291819553371</v>
      </c>
      <c r="P98" s="8">
        <v>76.469698397819812</v>
      </c>
      <c r="Q98" s="54">
        <v>0.37687931288856852</v>
      </c>
    </row>
    <row r="99" spans="1:17">
      <c r="A99" s="2" t="s">
        <v>476</v>
      </c>
      <c r="B99" s="16" t="s">
        <v>477</v>
      </c>
      <c r="D99" s="14">
        <v>1</v>
      </c>
      <c r="E99" s="14">
        <v>0.99129561466915217</v>
      </c>
      <c r="F99" s="14">
        <v>0.99167016134414676</v>
      </c>
      <c r="G99" s="14">
        <v>1.9269734613168237E-9</v>
      </c>
      <c r="H99" s="14">
        <v>2.3369382975431615E-2</v>
      </c>
      <c r="I99" s="14">
        <v>0.10062465783196826</v>
      </c>
      <c r="J99" s="14">
        <v>0</v>
      </c>
      <c r="K99" s="14">
        <v>1.0083998076987237</v>
      </c>
      <c r="L99" s="14">
        <v>0.99167016134414687</v>
      </c>
      <c r="M99" s="14">
        <v>0.81366536738287243</v>
      </c>
      <c r="N99" s="14">
        <v>0.8655894423297984</v>
      </c>
      <c r="O99" s="14">
        <v>111.79953237131676</v>
      </c>
      <c r="P99" s="8">
        <v>0.8655894423297984</v>
      </c>
      <c r="Q99" s="54">
        <v>5.6299484277841354E-3</v>
      </c>
    </row>
    <row r="100" spans="1:17">
      <c r="A100" s="2" t="s">
        <v>478</v>
      </c>
      <c r="B100" s="16" t="s">
        <v>479</v>
      </c>
      <c r="D100" s="14">
        <v>1</v>
      </c>
      <c r="E100" s="14">
        <v>0.56982279629835419</v>
      </c>
      <c r="F100" s="14">
        <v>0.53592297342871342</v>
      </c>
      <c r="G100" s="14">
        <v>7.3884078666613102E-13</v>
      </c>
      <c r="H100" s="14">
        <v>77.897294532283013</v>
      </c>
      <c r="I100" s="14">
        <v>176.35165719378514</v>
      </c>
      <c r="J100" s="14">
        <v>0</v>
      </c>
      <c r="K100" s="14">
        <v>1.8659397890749621</v>
      </c>
      <c r="L100" s="14">
        <v>0.53592297342871342</v>
      </c>
      <c r="M100" s="14">
        <v>0.43972479969825934</v>
      </c>
      <c r="N100" s="14">
        <v>10.258224500987575</v>
      </c>
      <c r="O100" s="14">
        <v>3075.4157053960753</v>
      </c>
      <c r="P100" s="8">
        <v>10.258224500987577</v>
      </c>
      <c r="Q100" s="54">
        <v>0.28746140580769636</v>
      </c>
    </row>
    <row r="101" spans="1:17">
      <c r="A101" s="2" t="s">
        <v>480</v>
      </c>
      <c r="B101" s="16" t="s">
        <v>481</v>
      </c>
      <c r="D101" s="14">
        <v>1</v>
      </c>
      <c r="E101" s="14">
        <v>0.98566761923315804</v>
      </c>
      <c r="F101" s="14">
        <v>0.98602017780333329</v>
      </c>
      <c r="G101" s="14">
        <v>5.1855435989698837E-13</v>
      </c>
      <c r="H101" s="14">
        <v>6.3177989653939601E-2</v>
      </c>
      <c r="I101" s="14">
        <v>0.2527103173650625</v>
      </c>
      <c r="J101" s="14">
        <v>0</v>
      </c>
      <c r="K101" s="14">
        <v>1.0141780285143973</v>
      </c>
      <c r="L101" s="14">
        <v>0.98602017780333329</v>
      </c>
      <c r="M101" s="14">
        <v>0.80902955588763492</v>
      </c>
      <c r="N101" s="14">
        <v>0.86872377822547819</v>
      </c>
      <c r="O101" s="14">
        <v>206.89525502217987</v>
      </c>
      <c r="P101" s="8">
        <v>0.86872377822547819</v>
      </c>
      <c r="Q101" s="54">
        <v>9.4280737949891981E-3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0.9960904192147555</v>
      </c>
      <c r="F102" s="14">
        <v>0.99647646652724764</v>
      </c>
      <c r="G102" s="14">
        <v>3.2584835603941142E-29</v>
      </c>
      <c r="H102" s="14">
        <v>4.5080325850442833E-3</v>
      </c>
      <c r="I102" s="14">
        <v>2.1920185110271762E-2</v>
      </c>
      <c r="J102" s="14">
        <v>0</v>
      </c>
      <c r="K102" s="14">
        <v>1.0035359926612537</v>
      </c>
      <c r="L102" s="14">
        <v>0.99647646652724764</v>
      </c>
      <c r="M102" s="14">
        <v>0.81760894078560675</v>
      </c>
      <c r="N102" s="14">
        <v>0.86563523024181366</v>
      </c>
      <c r="O102" s="14">
        <v>398.56442906023824</v>
      </c>
      <c r="P102" s="8">
        <v>0.86563523024181366</v>
      </c>
      <c r="Q102" s="54">
        <v>2.3935594422663871E-3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0.99156102096396204</v>
      </c>
      <c r="F103" s="14">
        <v>0.99193638180338417</v>
      </c>
      <c r="G103" s="14">
        <v>2.599215613185138E-15</v>
      </c>
      <c r="H103" s="14">
        <v>2.1959063744321949E-2</v>
      </c>
      <c r="I103" s="14">
        <v>9.4988491375696191E-2</v>
      </c>
      <c r="J103" s="14">
        <v>0</v>
      </c>
      <c r="K103" s="14">
        <v>1.0081291687093437</v>
      </c>
      <c r="L103" s="14">
        <v>0.99193638180338428</v>
      </c>
      <c r="M103" s="14">
        <v>0.81388380126967674</v>
      </c>
      <c r="N103" s="14">
        <v>0.86552385756231653</v>
      </c>
      <c r="O103" s="14">
        <v>177.64877176466547</v>
      </c>
      <c r="P103" s="8">
        <v>0.86552385756231653</v>
      </c>
      <c r="Q103" s="54">
        <v>5.4509348355487918E-3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0.95418180457816315</v>
      </c>
      <c r="F104" s="14">
        <v>0.95425356161590535</v>
      </c>
      <c r="G104" s="14">
        <v>3.2073937401093594E-11</v>
      </c>
      <c r="H104" s="14">
        <v>0.6256389659647883</v>
      </c>
      <c r="I104" s="14">
        <v>2.1085357087687533</v>
      </c>
      <c r="J104" s="14">
        <v>0</v>
      </c>
      <c r="K104" s="14">
        <v>1.0479394997558396</v>
      </c>
      <c r="L104" s="14">
        <v>0.95425356161590535</v>
      </c>
      <c r="M104" s="14">
        <v>0.78296504730585037</v>
      </c>
      <c r="N104" s="14">
        <v>0.94059261317680476</v>
      </c>
      <c r="O104" s="14">
        <v>142.1799794078058</v>
      </c>
      <c r="P104" s="8">
        <v>0.94059261317680476</v>
      </c>
      <c r="Q104" s="54">
        <v>3.066062195541254E-2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0.99538373891740861</v>
      </c>
      <c r="F105" s="14">
        <v>0.99576852871438759</v>
      </c>
      <c r="G105" s="14">
        <v>2.5914741670324794E-18</v>
      </c>
      <c r="H105" s="14">
        <v>6.3932015528440937E-3</v>
      </c>
      <c r="I105" s="14">
        <v>3.0295321595175187E-2</v>
      </c>
      <c r="J105" s="14">
        <v>0</v>
      </c>
      <c r="K105" s="14">
        <v>1.0042494527227883</v>
      </c>
      <c r="L105" s="14">
        <v>0.9957685287143877</v>
      </c>
      <c r="M105" s="14">
        <v>0.81702807781015507</v>
      </c>
      <c r="N105" s="14">
        <v>0.86545732391891561</v>
      </c>
      <c r="O105" s="14">
        <v>293.70159744512324</v>
      </c>
      <c r="P105" s="8">
        <v>0.86545732391891572</v>
      </c>
      <c r="Q105" s="54">
        <v>2.8706190794179904E-3</v>
      </c>
    </row>
    <row r="106" spans="1:17">
      <c r="A106" s="2" t="s">
        <v>490</v>
      </c>
      <c r="B106" s="16" t="s">
        <v>491</v>
      </c>
      <c r="D106" s="14">
        <v>1</v>
      </c>
      <c r="E106" s="14">
        <v>0.85067742639708577</v>
      </c>
      <c r="F106" s="14">
        <v>0.84790187884521218</v>
      </c>
      <c r="G106" s="14">
        <v>1.4482184809937567E-10</v>
      </c>
      <c r="H106" s="14">
        <v>6.7765024176801054</v>
      </c>
      <c r="I106" s="14">
        <v>18.996026570687004</v>
      </c>
      <c r="J106" s="14">
        <v>0</v>
      </c>
      <c r="K106" s="14">
        <v>1.1793817479941615</v>
      </c>
      <c r="L106" s="14">
        <v>0.84790187884521218</v>
      </c>
      <c r="M106" s="14">
        <v>0.69570349159249656</v>
      </c>
      <c r="N106" s="14">
        <v>1.7691079127065881</v>
      </c>
      <c r="O106" s="14">
        <v>339.89870326831675</v>
      </c>
      <c r="P106" s="8">
        <v>1.7691079127065883</v>
      </c>
      <c r="Q106" s="54">
        <v>0.1002911862907875</v>
      </c>
    </row>
    <row r="107" spans="1:17">
      <c r="A107" s="2" t="s">
        <v>492</v>
      </c>
      <c r="B107" s="16" t="s">
        <v>493</v>
      </c>
      <c r="D107" s="14">
        <v>1</v>
      </c>
      <c r="E107" s="14">
        <v>0.43235025310586322</v>
      </c>
      <c r="F107" s="14">
        <v>5.9359202044787986E-2</v>
      </c>
      <c r="G107" s="14">
        <v>1.0570524614545337E-17</v>
      </c>
      <c r="H107" s="14">
        <v>903.37497179502168</v>
      </c>
      <c r="I107" s="14">
        <v>1451.8616204221041</v>
      </c>
      <c r="J107" s="14">
        <v>0</v>
      </c>
      <c r="K107" s="14">
        <v>16.846587648625654</v>
      </c>
      <c r="L107" s="14">
        <v>5.9359202044787986E-2</v>
      </c>
      <c r="M107" s="14">
        <v>4.8704225277748543E-2</v>
      </c>
      <c r="N107" s="14">
        <v>83.392532210230613</v>
      </c>
      <c r="O107" s="14">
        <v>37910.245142770837</v>
      </c>
      <c r="P107" s="8">
        <v>83.392532210230613</v>
      </c>
      <c r="Q107" s="54">
        <v>0.35952179627194125</v>
      </c>
    </row>
    <row r="108" spans="1:17">
      <c r="A108" s="2" t="s">
        <v>291</v>
      </c>
      <c r="B108" s="16" t="s">
        <v>494</v>
      </c>
      <c r="D108" s="14">
        <v>1</v>
      </c>
      <c r="E108" s="14">
        <v>0.60996415213618771</v>
      </c>
      <c r="F108" s="14">
        <v>0.5838730233363324</v>
      </c>
      <c r="G108" s="14">
        <v>4.0264925298974076E-12</v>
      </c>
      <c r="H108" s="14">
        <v>59.799618041188609</v>
      </c>
      <c r="I108" s="14">
        <v>138.91705914897074</v>
      </c>
      <c r="J108" s="14">
        <v>0</v>
      </c>
      <c r="K108" s="14">
        <v>1.7127011525311779</v>
      </c>
      <c r="L108" s="14">
        <v>0.58387302333633251</v>
      </c>
      <c r="M108" s="14">
        <v>0.47906781564746082</v>
      </c>
      <c r="N108" s="14">
        <v>8.2018722351078814</v>
      </c>
      <c r="O108" s="14">
        <v>2528.883266250813</v>
      </c>
      <c r="P108" s="8">
        <v>8.2018722351078814</v>
      </c>
      <c r="Q108" s="54">
        <v>0.26094896628481073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9.4506004515367511E-5</v>
      </c>
      <c r="E2" s="20">
        <v>0.81275189357254252</v>
      </c>
      <c r="F2" s="20">
        <v>3.8417899625509109E-3</v>
      </c>
      <c r="G2" s="20">
        <v>1.1189976459513502E-3</v>
      </c>
      <c r="H2" s="20">
        <v>0</v>
      </c>
      <c r="I2" s="20">
        <v>0.80779110596404025</v>
      </c>
      <c r="J2" s="20">
        <v>9.6983751918647125E-4</v>
      </c>
      <c r="K2" s="20">
        <v>0.18618376290375568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1.6332762190431817E-2</v>
      </c>
      <c r="E3" s="20">
        <v>0.41305784256630473</v>
      </c>
      <c r="F3" s="20">
        <v>0.11054366355714564</v>
      </c>
      <c r="G3" s="20">
        <v>0.29952247031755613</v>
      </c>
      <c r="H3" s="20">
        <v>0</v>
      </c>
      <c r="I3" s="20">
        <v>2.9917086916029928E-3</v>
      </c>
      <c r="J3" s="20">
        <v>0.19706515916469849</v>
      </c>
      <c r="K3" s="20">
        <v>0.37354423607856496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6.0949009290639468E-12</v>
      </c>
      <c r="E4" s="20">
        <v>0.533141700922655</v>
      </c>
      <c r="F4" s="20">
        <v>3.4708901231248777E-2</v>
      </c>
      <c r="G4" s="20">
        <v>8.2858376750972566E-3</v>
      </c>
      <c r="H4" s="20">
        <v>0</v>
      </c>
      <c r="I4" s="20">
        <v>0.49014696201630897</v>
      </c>
      <c r="J4" s="20">
        <v>5.2761004299182847E-3</v>
      </c>
      <c r="K4" s="20">
        <v>0.46158219864133176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5.3753505949541425E-4</v>
      </c>
      <c r="E5" s="20">
        <v>0.42168667101899043</v>
      </c>
      <c r="F5" s="20">
        <v>0.30274781001078216</v>
      </c>
      <c r="G5" s="20">
        <v>8.7857039660087316E-2</v>
      </c>
      <c r="H5" s="20">
        <v>0</v>
      </c>
      <c r="I5" s="20">
        <v>3.1081821348120941E-2</v>
      </c>
      <c r="J5" s="20">
        <v>5.6233904284351356E-2</v>
      </c>
      <c r="K5" s="20">
        <v>0.52154188963716297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5.7053919209499848E-5</v>
      </c>
      <c r="E6" s="20">
        <v>0.44826405824745968</v>
      </c>
      <c r="F6" s="20">
        <v>7.5589191070423556E-2</v>
      </c>
      <c r="G6" s="20">
        <v>0.37124041806064961</v>
      </c>
      <c r="H6" s="20">
        <v>0</v>
      </c>
      <c r="I6" s="20">
        <v>1.4344491163864885E-3</v>
      </c>
      <c r="J6" s="20">
        <v>0.24606866072246503</v>
      </c>
      <c r="K6" s="20">
        <v>0.30561022711086594</v>
      </c>
      <c r="L6" s="20">
        <v>0</v>
      </c>
    </row>
    <row r="7" spans="1:14">
      <c r="A7" s="2" t="s">
        <v>321</v>
      </c>
      <c r="B7" s="3" t="s">
        <v>322</v>
      </c>
      <c r="D7" s="20">
        <v>8.0218583194332789E-5</v>
      </c>
      <c r="E7" s="20">
        <v>0.42365316390769103</v>
      </c>
      <c r="F7" s="20">
        <v>0.10640185566187942</v>
      </c>
      <c r="G7" s="20">
        <v>0.31451745843696982</v>
      </c>
      <c r="H7" s="20">
        <v>0</v>
      </c>
      <c r="I7" s="20">
        <v>2.7338498088417913E-3</v>
      </c>
      <c r="J7" s="20">
        <v>0.20715527741238021</v>
      </c>
      <c r="K7" s="20">
        <v>0.36911134009673446</v>
      </c>
      <c r="L7" s="20">
        <v>0</v>
      </c>
    </row>
    <row r="8" spans="1:14">
      <c r="A8" s="2" t="s">
        <v>323</v>
      </c>
      <c r="B8" s="3" t="s">
        <v>324</v>
      </c>
      <c r="D8" s="20">
        <v>7.2141632608510933E-4</v>
      </c>
      <c r="E8" s="20">
        <v>0.40073419029751645</v>
      </c>
      <c r="F8" s="20">
        <v>0.1541914105242537</v>
      </c>
      <c r="G8" s="20">
        <v>0.24074414666430419</v>
      </c>
      <c r="H8" s="20">
        <v>0</v>
      </c>
      <c r="I8" s="20">
        <v>5.7986331089585532E-3</v>
      </c>
      <c r="J8" s="20">
        <v>0.15731100608107781</v>
      </c>
      <c r="K8" s="20">
        <v>0.4412333872953208</v>
      </c>
      <c r="L8" s="20">
        <v>0</v>
      </c>
    </row>
    <row r="9" spans="1:14">
      <c r="A9" s="2" t="s">
        <v>325</v>
      </c>
      <c r="B9" s="3" t="s">
        <v>326</v>
      </c>
      <c r="D9" s="20">
        <v>2.8022999949093685E-4</v>
      </c>
      <c r="E9" s="20">
        <v>0.36217322216721293</v>
      </c>
      <c r="F9" s="20">
        <v>0.16511587901526378</v>
      </c>
      <c r="G9" s="20">
        <v>3.2425329371311283E-2</v>
      </c>
      <c r="H9" s="20">
        <v>0</v>
      </c>
      <c r="I9" s="20">
        <v>0.16463201378063785</v>
      </c>
      <c r="J9" s="20">
        <v>2.0387604455735734E-2</v>
      </c>
      <c r="K9" s="20">
        <v>0.61715894337756039</v>
      </c>
      <c r="L9" s="20">
        <v>0</v>
      </c>
    </row>
    <row r="10" spans="1:14">
      <c r="A10" s="2" t="s">
        <v>275</v>
      </c>
      <c r="B10" s="3" t="s">
        <v>276</v>
      </c>
      <c r="D10" s="20">
        <v>6.8787624146033995E-6</v>
      </c>
      <c r="E10" s="20">
        <v>0.41768763137498532</v>
      </c>
      <c r="F10" s="20">
        <v>0.29538233856525259</v>
      </c>
      <c r="G10" s="20">
        <v>9.3514741972544474E-2</v>
      </c>
      <c r="H10" s="20">
        <v>0</v>
      </c>
      <c r="I10" s="20">
        <v>2.8790550837188258E-2</v>
      </c>
      <c r="J10" s="20">
        <v>5.9918069125794303E-2</v>
      </c>
      <c r="K10" s="20">
        <v>0.52238742073680577</v>
      </c>
      <c r="L10" s="20">
        <v>0</v>
      </c>
    </row>
    <row r="11" spans="1:14">
      <c r="A11" s="2" t="s">
        <v>327</v>
      </c>
      <c r="B11" s="3" t="s">
        <v>328</v>
      </c>
      <c r="D11" s="20">
        <v>3.5581340024754248E-4</v>
      </c>
      <c r="E11" s="20">
        <v>0.4112236634968402</v>
      </c>
      <c r="F11" s="20">
        <v>0.28255078281529944</v>
      </c>
      <c r="G11" s="20">
        <v>0.10341703213817739</v>
      </c>
      <c r="H11" s="20">
        <v>0</v>
      </c>
      <c r="I11" s="20">
        <v>2.5255848543363379E-2</v>
      </c>
      <c r="J11" s="20">
        <v>6.6379417479814865E-2</v>
      </c>
      <c r="K11" s="20">
        <v>0.52204110562309736</v>
      </c>
      <c r="L11" s="20">
        <v>0</v>
      </c>
    </row>
    <row r="12" spans="1:14">
      <c r="A12" s="2" t="s">
        <v>329</v>
      </c>
      <c r="B12" s="3" t="s">
        <v>330</v>
      </c>
      <c r="D12" s="20">
        <v>1.7029472420660555E-4</v>
      </c>
      <c r="E12" s="20">
        <v>0.3701449520995817</v>
      </c>
      <c r="F12" s="20">
        <v>0.20810159479539792</v>
      </c>
      <c r="G12" s="20">
        <v>3.9316148234624357E-2</v>
      </c>
      <c r="H12" s="20">
        <v>0</v>
      </c>
      <c r="I12" s="20">
        <v>0.12272720906955942</v>
      </c>
      <c r="J12" s="20">
        <v>2.4784739422499886E-2</v>
      </c>
      <c r="K12" s="20">
        <v>0.60490001375371194</v>
      </c>
      <c r="L12" s="20">
        <v>0</v>
      </c>
    </row>
    <row r="13" spans="1:14">
      <c r="A13" s="2" t="s">
        <v>277</v>
      </c>
      <c r="B13" s="3" t="s">
        <v>278</v>
      </c>
      <c r="D13" s="20">
        <v>4.4246031019298516E-4</v>
      </c>
      <c r="E13" s="20">
        <v>0.36223551402750698</v>
      </c>
      <c r="F13" s="20">
        <v>0.16894624141065462</v>
      </c>
      <c r="G13" s="20">
        <v>3.3055527325649259E-2</v>
      </c>
      <c r="H13" s="20">
        <v>0</v>
      </c>
      <c r="I13" s="20">
        <v>0.16023374529120307</v>
      </c>
      <c r="J13" s="20">
        <v>2.0788467655643104E-2</v>
      </c>
      <c r="K13" s="20">
        <v>0.6165335580066571</v>
      </c>
      <c r="L13" s="20">
        <v>0</v>
      </c>
    </row>
    <row r="14" spans="1:14">
      <c r="A14" s="2" t="s">
        <v>331</v>
      </c>
      <c r="B14" s="3" t="s">
        <v>332</v>
      </c>
      <c r="D14" s="20">
        <v>2.341694221832416E-4</v>
      </c>
      <c r="E14" s="20">
        <v>0.39767480935471256</v>
      </c>
      <c r="F14" s="20">
        <v>0.24216111031521059</v>
      </c>
      <c r="G14" s="20">
        <v>0.13896324742919988</v>
      </c>
      <c r="H14" s="20">
        <v>0</v>
      </c>
      <c r="I14" s="20">
        <v>1.6550451610302067E-2</v>
      </c>
      <c r="J14" s="20">
        <v>8.9686934159339537E-2</v>
      </c>
      <c r="K14" s="20">
        <v>0.51240408706376461</v>
      </c>
      <c r="L14" s="20">
        <v>0</v>
      </c>
    </row>
    <row r="15" spans="1:14">
      <c r="A15" s="2" t="s">
        <v>333</v>
      </c>
      <c r="B15" s="3" t="s">
        <v>334</v>
      </c>
      <c r="D15" s="20">
        <v>3.8867899118488379E-7</v>
      </c>
      <c r="E15" s="20">
        <v>0.41441642148350805</v>
      </c>
      <c r="F15" s="20">
        <v>0.28904488056003541</v>
      </c>
      <c r="G15" s="20">
        <v>9.8392237569099705E-2</v>
      </c>
      <c r="H15" s="20">
        <v>0</v>
      </c>
      <c r="I15" s="20">
        <v>2.697930335437294E-2</v>
      </c>
      <c r="J15" s="20">
        <v>6.3098621926239898E-2</v>
      </c>
      <c r="K15" s="20">
        <v>0.52248456791126086</v>
      </c>
      <c r="L15" s="20">
        <v>0</v>
      </c>
    </row>
    <row r="16" spans="1:14">
      <c r="A16" s="2" t="s">
        <v>335</v>
      </c>
      <c r="B16" s="3" t="s">
        <v>336</v>
      </c>
      <c r="D16" s="20">
        <v>1.8695401916465194E-3</v>
      </c>
      <c r="E16" s="20">
        <v>0.39956853383050328</v>
      </c>
      <c r="F16" s="20">
        <v>0.15639001489400886</v>
      </c>
      <c r="G16" s="20">
        <v>0.23719447917437805</v>
      </c>
      <c r="H16" s="20">
        <v>0</v>
      </c>
      <c r="I16" s="20">
        <v>5.9840397621163909E-3</v>
      </c>
      <c r="J16" s="20">
        <v>0.15493570573649343</v>
      </c>
      <c r="K16" s="20">
        <v>0.44362622024135662</v>
      </c>
      <c r="L16" s="20">
        <v>0</v>
      </c>
    </row>
    <row r="17" spans="1:12">
      <c r="A17" s="2" t="s">
        <v>337</v>
      </c>
      <c r="B17" s="3" t="s">
        <v>338</v>
      </c>
      <c r="D17" s="20">
        <v>1.3790615276327805E-4</v>
      </c>
      <c r="E17" s="20">
        <v>0.42041257533818382</v>
      </c>
      <c r="F17" s="20">
        <v>0.30037090136704026</v>
      </c>
      <c r="G17" s="20">
        <v>8.9733253235389804E-2</v>
      </c>
      <c r="H17" s="20">
        <v>0</v>
      </c>
      <c r="I17" s="20">
        <v>3.0308420735753763E-2</v>
      </c>
      <c r="J17" s="20">
        <v>5.7454878309075932E-2</v>
      </c>
      <c r="K17" s="20">
        <v>0.52199464019997699</v>
      </c>
      <c r="L17" s="20">
        <v>0</v>
      </c>
    </row>
    <row r="18" spans="1:12">
      <c r="A18" s="2" t="s">
        <v>279</v>
      </c>
      <c r="B18" s="3" t="s">
        <v>280</v>
      </c>
      <c r="D18" s="20">
        <v>7.8531977742629239E-3</v>
      </c>
      <c r="E18" s="20">
        <v>0.36057875412526152</v>
      </c>
      <c r="F18" s="20">
        <v>0.14727219159556001</v>
      </c>
      <c r="G18" s="20">
        <v>2.9404669680540452E-2</v>
      </c>
      <c r="H18" s="20">
        <v>0</v>
      </c>
      <c r="I18" s="20">
        <v>0.18390189284916106</v>
      </c>
      <c r="J18" s="20">
        <v>1.8471408661310116E-2</v>
      </c>
      <c r="K18" s="20">
        <v>0.61309663943916537</v>
      </c>
      <c r="L18" s="20">
        <v>0</v>
      </c>
    </row>
    <row r="19" spans="1:12">
      <c r="A19" s="2" t="s">
        <v>339</v>
      </c>
      <c r="B19" s="3" t="s">
        <v>340</v>
      </c>
      <c r="D19" s="20">
        <v>1.3613547209649766E-6</v>
      </c>
      <c r="E19" s="20">
        <v>0.4137883908791587</v>
      </c>
      <c r="F19" s="20">
        <v>0.28776999990080804</v>
      </c>
      <c r="G19" s="20">
        <v>9.9389629581041763E-2</v>
      </c>
      <c r="H19" s="20">
        <v>0</v>
      </c>
      <c r="I19" s="20">
        <v>2.6628761397308895E-2</v>
      </c>
      <c r="J19" s="20">
        <v>6.3749458011572432E-2</v>
      </c>
      <c r="K19" s="20">
        <v>0.52246078975454779</v>
      </c>
      <c r="L19" s="20">
        <v>0</v>
      </c>
    </row>
    <row r="20" spans="1:12">
      <c r="A20" s="2" t="s">
        <v>281</v>
      </c>
      <c r="B20" s="3" t="s">
        <v>282</v>
      </c>
      <c r="D20" s="20">
        <v>6.6994233695280171E-5</v>
      </c>
      <c r="E20" s="20">
        <v>0.3623715813791295</v>
      </c>
      <c r="F20" s="20">
        <v>0.16900970307232258</v>
      </c>
      <c r="G20" s="20">
        <v>3.3067944048707915E-2</v>
      </c>
      <c r="H20" s="20">
        <v>0</v>
      </c>
      <c r="I20" s="20">
        <v>0.16029393425809904</v>
      </c>
      <c r="J20" s="20">
        <v>2.0796276475122857E-2</v>
      </c>
      <c r="K20" s="20">
        <v>0.61676514791205228</v>
      </c>
      <c r="L20" s="20">
        <v>0</v>
      </c>
    </row>
    <row r="21" spans="1:12">
      <c r="A21" s="2" t="s">
        <v>341</v>
      </c>
      <c r="B21" s="3" t="s">
        <v>342</v>
      </c>
      <c r="D21" s="20">
        <v>1.9623995862610181E-3</v>
      </c>
      <c r="E21" s="20">
        <v>0.39997194425908711</v>
      </c>
      <c r="F21" s="20">
        <v>0.25354885784053433</v>
      </c>
      <c r="G21" s="20">
        <v>0.12769009612301663</v>
      </c>
      <c r="H21" s="20">
        <v>0</v>
      </c>
      <c r="I21" s="20">
        <v>1.8732990295536132E-2</v>
      </c>
      <c r="J21" s="20">
        <v>8.2279306323566365E-2</v>
      </c>
      <c r="K21" s="20">
        <v>0.51578634983108562</v>
      </c>
      <c r="L21" s="20">
        <v>0</v>
      </c>
    </row>
    <row r="22" spans="1:12">
      <c r="A22" s="2" t="s">
        <v>343</v>
      </c>
      <c r="B22" s="3" t="s">
        <v>344</v>
      </c>
      <c r="D22" s="20">
        <v>2.2637651366590092E-3</v>
      </c>
      <c r="E22" s="20">
        <v>0.66771634863568041</v>
      </c>
      <c r="F22" s="20">
        <v>1.386454373746163E-2</v>
      </c>
      <c r="G22" s="20">
        <v>3.6157728340192171E-3</v>
      </c>
      <c r="H22" s="20">
        <v>0</v>
      </c>
      <c r="I22" s="20">
        <v>0.65023603206419955</v>
      </c>
      <c r="J22" s="20">
        <v>2.4426095619651685E-3</v>
      </c>
      <c r="K22" s="20">
        <v>0.32757727666569525</v>
      </c>
      <c r="L22" s="20">
        <v>0</v>
      </c>
    </row>
    <row r="23" spans="1:12">
      <c r="A23" s="2" t="s">
        <v>345</v>
      </c>
      <c r="B23" s="3" t="s">
        <v>346</v>
      </c>
      <c r="D23" s="20">
        <v>8.921425978451175E-5</v>
      </c>
      <c r="E23" s="20">
        <v>0.76817762964348113</v>
      </c>
      <c r="F23" s="20">
        <v>6.113761480597329E-3</v>
      </c>
      <c r="G23" s="20">
        <v>1.7131841459968474E-3</v>
      </c>
      <c r="H23" s="20">
        <v>0</v>
      </c>
      <c r="I23" s="20">
        <v>0.76035068401688699</v>
      </c>
      <c r="J23" s="20">
        <v>1.3150104047027127E-3</v>
      </c>
      <c r="K23" s="20">
        <v>0.23041814569203151</v>
      </c>
      <c r="L23" s="20">
        <v>0</v>
      </c>
    </row>
    <row r="24" spans="1:12">
      <c r="A24" s="2" t="s">
        <v>347</v>
      </c>
      <c r="B24" s="3" t="s">
        <v>348</v>
      </c>
      <c r="D24" s="20">
        <v>1.3327100688871661E-4</v>
      </c>
      <c r="E24" s="20">
        <v>0.41590884779084863</v>
      </c>
      <c r="F24" s="20">
        <v>7.7519309179355206E-2</v>
      </c>
      <c r="G24" s="20">
        <v>1.6908514301676496E-2</v>
      </c>
      <c r="H24" s="20">
        <v>0</v>
      </c>
      <c r="I24" s="20">
        <v>0.32148102430981695</v>
      </c>
      <c r="J24" s="20">
        <v>1.0610174517110408E-2</v>
      </c>
      <c r="K24" s="20">
        <v>0.57334770668515223</v>
      </c>
      <c r="L24" s="20">
        <v>0</v>
      </c>
    </row>
    <row r="25" spans="1:12">
      <c r="A25" s="2" t="s">
        <v>349</v>
      </c>
      <c r="B25" s="3" t="s">
        <v>350</v>
      </c>
      <c r="D25" s="20">
        <v>4.9149700110951919E-2</v>
      </c>
      <c r="E25" s="20">
        <v>0.38058565889390439</v>
      </c>
      <c r="F25" s="20">
        <v>0.25715506764685309</v>
      </c>
      <c r="G25" s="20">
        <v>4.6226460630332512E-2</v>
      </c>
      <c r="H25" s="20">
        <v>0</v>
      </c>
      <c r="I25" s="20">
        <v>7.7204130616718769E-2</v>
      </c>
      <c r="J25" s="20">
        <v>2.9257156765231235E-2</v>
      </c>
      <c r="K25" s="20">
        <v>0.54100748422991241</v>
      </c>
      <c r="L25" s="20">
        <v>0</v>
      </c>
    </row>
    <row r="26" spans="1:12">
      <c r="A26" s="2" t="s">
        <v>351</v>
      </c>
      <c r="B26" s="3" t="s">
        <v>352</v>
      </c>
      <c r="D26" s="20">
        <v>1.5790109391826195E-3</v>
      </c>
      <c r="E26" s="20">
        <v>0.40255582902799508</v>
      </c>
      <c r="F26" s="20">
        <v>0.26149257013684107</v>
      </c>
      <c r="G26" s="20">
        <v>0.12071324063087931</v>
      </c>
      <c r="H26" s="20">
        <v>0</v>
      </c>
      <c r="I26" s="20">
        <v>2.0350018260274695E-2</v>
      </c>
      <c r="J26" s="20">
        <v>7.7700798582720013E-2</v>
      </c>
      <c r="K26" s="20">
        <v>0.51816436145010214</v>
      </c>
      <c r="L26" s="20">
        <v>0</v>
      </c>
    </row>
    <row r="27" spans="1:12">
      <c r="A27" s="2" t="s">
        <v>353</v>
      </c>
      <c r="B27" s="3" t="s">
        <v>354</v>
      </c>
      <c r="D27" s="20">
        <v>1.1301141689243987E-2</v>
      </c>
      <c r="E27" s="20">
        <v>0.41220052014209091</v>
      </c>
      <c r="F27" s="20">
        <v>0.11617068090197687</v>
      </c>
      <c r="G27" s="20">
        <v>0.29274675531666461</v>
      </c>
      <c r="H27" s="20">
        <v>0</v>
      </c>
      <c r="I27" s="20">
        <v>3.2830839234494137E-3</v>
      </c>
      <c r="J27" s="20">
        <v>0.1924333476766813</v>
      </c>
      <c r="K27" s="20">
        <v>0.38406499049198384</v>
      </c>
      <c r="L27" s="20">
        <v>0</v>
      </c>
    </row>
    <row r="28" spans="1:12">
      <c r="A28" s="2" t="s">
        <v>355</v>
      </c>
      <c r="B28" s="3" t="s">
        <v>356</v>
      </c>
      <c r="D28" s="20">
        <v>5.9003788491654614E-4</v>
      </c>
      <c r="E28" s="20">
        <v>0.39337791335165695</v>
      </c>
      <c r="F28" s="20">
        <v>0.20670648998720823</v>
      </c>
      <c r="G28" s="20">
        <v>0.17548890649384208</v>
      </c>
      <c r="H28" s="20">
        <v>0</v>
      </c>
      <c r="I28" s="20">
        <v>1.1182516870606625E-2</v>
      </c>
      <c r="J28" s="20">
        <v>0.11380860070111989</v>
      </c>
      <c r="K28" s="20">
        <v>0.49222344806230667</v>
      </c>
      <c r="L28" s="20">
        <v>0</v>
      </c>
    </row>
    <row r="29" spans="1:12">
      <c r="A29" s="2" t="s">
        <v>357</v>
      </c>
      <c r="B29" s="3" t="s">
        <v>358</v>
      </c>
      <c r="D29" s="20">
        <v>0.10904526288467661</v>
      </c>
      <c r="E29" s="20">
        <v>0.35520239961043526</v>
      </c>
      <c r="F29" s="20">
        <v>0.21932140466947003</v>
      </c>
      <c r="G29" s="20">
        <v>0.12049709422795483</v>
      </c>
      <c r="H29" s="20">
        <v>0</v>
      </c>
      <c r="I29" s="20">
        <v>1.5383900713010379E-2</v>
      </c>
      <c r="J29" s="20">
        <v>7.7727315098214678E-2</v>
      </c>
      <c r="K29" s="20">
        <v>0.45802502240667342</v>
      </c>
      <c r="L29" s="20">
        <v>0</v>
      </c>
    </row>
    <row r="30" spans="1:12">
      <c r="A30" s="2" t="s">
        <v>359</v>
      </c>
      <c r="B30" s="3" t="s">
        <v>360</v>
      </c>
      <c r="D30" s="20">
        <v>5.9003788491654614E-4</v>
      </c>
      <c r="E30" s="20">
        <v>0.39337791335165695</v>
      </c>
      <c r="F30" s="20">
        <v>0.20670648998720823</v>
      </c>
      <c r="G30" s="20">
        <v>0.17548890649384208</v>
      </c>
      <c r="H30" s="20">
        <v>0</v>
      </c>
      <c r="I30" s="20">
        <v>1.1182516870606625E-2</v>
      </c>
      <c r="J30" s="20">
        <v>0.11380860070111989</v>
      </c>
      <c r="K30" s="20">
        <v>0.49222344806230667</v>
      </c>
      <c r="L30" s="20">
        <v>0</v>
      </c>
    </row>
    <row r="31" spans="1:12">
      <c r="A31" s="2" t="s">
        <v>283</v>
      </c>
      <c r="B31" s="3" t="s">
        <v>284</v>
      </c>
      <c r="D31" s="20">
        <v>2.6138432075447426E-8</v>
      </c>
      <c r="E31" s="20">
        <v>0.97632972866571799</v>
      </c>
      <c r="F31" s="20">
        <v>5.9862348037888769E-5</v>
      </c>
      <c r="G31" s="20">
        <v>2.402422037213304E-5</v>
      </c>
      <c r="H31" s="20">
        <v>0</v>
      </c>
      <c r="I31" s="20">
        <v>0.97624584209730791</v>
      </c>
      <c r="J31" s="20">
        <v>3.6992262257284897E-4</v>
      </c>
      <c r="K31" s="20">
        <v>2.330032257327707E-2</v>
      </c>
      <c r="L31" s="20">
        <v>0</v>
      </c>
    </row>
    <row r="32" spans="1:12">
      <c r="A32" s="2" t="s">
        <v>361</v>
      </c>
      <c r="B32" s="3" t="s">
        <v>362</v>
      </c>
      <c r="D32" s="20">
        <v>2.7175294528381529E-8</v>
      </c>
      <c r="E32" s="20">
        <v>0.58610971075283103</v>
      </c>
      <c r="F32" s="20">
        <v>2.4867181526723792E-2</v>
      </c>
      <c r="G32" s="20">
        <v>6.1311963725147077E-3</v>
      </c>
      <c r="H32" s="20">
        <v>0</v>
      </c>
      <c r="I32" s="20">
        <v>0.55511133285359249</v>
      </c>
      <c r="J32" s="20">
        <v>4.0091964137983441E-3</v>
      </c>
      <c r="K32" s="20">
        <v>0.40988106565807625</v>
      </c>
      <c r="L32" s="20">
        <v>0</v>
      </c>
    </row>
    <row r="33" spans="1:12">
      <c r="A33" s="2" t="s">
        <v>364</v>
      </c>
      <c r="B33" s="3" t="s">
        <v>365</v>
      </c>
      <c r="D33" s="20">
        <v>1.2070578536761024E-10</v>
      </c>
      <c r="E33" s="20">
        <v>0.99957310526341825</v>
      </c>
      <c r="F33" s="20">
        <v>4.2019071748845225E-4</v>
      </c>
      <c r="G33" s="20">
        <v>1.2849131587422494E-7</v>
      </c>
      <c r="H33" s="20">
        <v>0</v>
      </c>
      <c r="I33" s="20">
        <v>0.99915278605461388</v>
      </c>
      <c r="J33" s="20">
        <v>3.6977485149809698E-4</v>
      </c>
      <c r="K33" s="20">
        <v>5.7119764377793401E-5</v>
      </c>
      <c r="L33" s="20">
        <v>0</v>
      </c>
    </row>
    <row r="34" spans="1:12">
      <c r="A34" s="2" t="s">
        <v>285</v>
      </c>
      <c r="B34" s="3" t="s">
        <v>286</v>
      </c>
      <c r="D34" s="20">
        <v>6.0262746379129504E-10</v>
      </c>
      <c r="E34" s="20">
        <v>0.9986266740414893</v>
      </c>
      <c r="F34" s="20">
        <v>7.5916620765895171E-2</v>
      </c>
      <c r="G34" s="20">
        <v>6.2346399130618222E-6</v>
      </c>
      <c r="H34" s="20">
        <v>0</v>
      </c>
      <c r="I34" s="20">
        <v>0.92270381863568107</v>
      </c>
      <c r="J34" s="20">
        <v>1.0464937814626655E-3</v>
      </c>
      <c r="K34" s="20">
        <v>3.2683157442049384E-4</v>
      </c>
      <c r="L34" s="20">
        <v>0</v>
      </c>
    </row>
    <row r="35" spans="1:12">
      <c r="A35" s="2" t="s">
        <v>287</v>
      </c>
      <c r="B35" s="3" t="s">
        <v>288</v>
      </c>
      <c r="D35" s="20">
        <v>2.653069747586529E-11</v>
      </c>
      <c r="E35" s="20">
        <v>0.99698176960952323</v>
      </c>
      <c r="F35" s="20">
        <v>0.17134326389159354</v>
      </c>
      <c r="G35" s="20">
        <v>3.3181373421282577E-5</v>
      </c>
      <c r="H35" s="20">
        <v>0</v>
      </c>
      <c r="I35" s="20">
        <v>0.8256053243445084</v>
      </c>
      <c r="J35" s="20">
        <v>1.8225723236569992E-3</v>
      </c>
      <c r="K35" s="20">
        <v>1.1956580402890952E-3</v>
      </c>
      <c r="L35" s="20">
        <v>0</v>
      </c>
    </row>
    <row r="36" spans="1:12">
      <c r="A36" s="2" t="s">
        <v>366</v>
      </c>
      <c r="B36" s="3" t="s">
        <v>305</v>
      </c>
      <c r="D36" s="20">
        <v>9.2641489443238474E-8</v>
      </c>
      <c r="E36" s="20">
        <v>0.99348516081307536</v>
      </c>
      <c r="F36" s="20">
        <v>0.44788524659170564</v>
      </c>
      <c r="G36" s="20">
        <v>1.2823558000850361E-4</v>
      </c>
      <c r="H36" s="20">
        <v>0</v>
      </c>
      <c r="I36" s="20">
        <v>0.54547167864136126</v>
      </c>
      <c r="J36" s="20">
        <v>3.8679462709855896E-3</v>
      </c>
      <c r="K36" s="20">
        <v>2.6468002744494683E-3</v>
      </c>
      <c r="L36" s="20">
        <v>0</v>
      </c>
    </row>
    <row r="37" spans="1:12">
      <c r="A37" s="2" t="s">
        <v>289</v>
      </c>
      <c r="B37" s="3" t="s">
        <v>290</v>
      </c>
      <c r="D37" s="20">
        <v>1.1851677648379729E-14</v>
      </c>
      <c r="E37" s="20">
        <v>0.79421486294513832</v>
      </c>
      <c r="F37" s="20">
        <v>0.19706080473153958</v>
      </c>
      <c r="G37" s="20">
        <v>6.7277485755128192E-3</v>
      </c>
      <c r="H37" s="20">
        <v>0</v>
      </c>
      <c r="I37" s="20">
        <v>0.59042630963808596</v>
      </c>
      <c r="J37" s="20">
        <v>5.8070620600513571E-3</v>
      </c>
      <c r="K37" s="20">
        <v>0.19997807499479844</v>
      </c>
      <c r="L37" s="20">
        <v>0</v>
      </c>
    </row>
    <row r="38" spans="1:12">
      <c r="A38" s="2" t="s">
        <v>291</v>
      </c>
      <c r="B38" s="3" t="s">
        <v>292</v>
      </c>
      <c r="D38" s="20">
        <v>1.8406538469371748E-12</v>
      </c>
      <c r="E38" s="20">
        <v>0.9962065834906294</v>
      </c>
      <c r="F38" s="20">
        <v>5.8589194945935404E-2</v>
      </c>
      <c r="G38" s="20">
        <v>4.8947957947801579E-5</v>
      </c>
      <c r="H38" s="20">
        <v>0</v>
      </c>
      <c r="I38" s="20">
        <v>0.93756844058674615</v>
      </c>
      <c r="J38" s="20">
        <v>9.2496700477160917E-4</v>
      </c>
      <c r="K38" s="20">
        <v>2.8684495027582963E-3</v>
      </c>
      <c r="L38" s="20">
        <v>0</v>
      </c>
    </row>
    <row r="39" spans="1:12">
      <c r="A39" s="2" t="s">
        <v>367</v>
      </c>
      <c r="B39" s="3" t="s">
        <v>368</v>
      </c>
      <c r="D39" s="20">
        <v>6.6982956881601858E-5</v>
      </c>
      <c r="E39" s="20">
        <v>0.45250450999688885</v>
      </c>
      <c r="F39" s="20">
        <v>0.34445978796858795</v>
      </c>
      <c r="G39" s="20">
        <v>6.0163637420363097E-2</v>
      </c>
      <c r="H39" s="20">
        <v>0</v>
      </c>
      <c r="I39" s="20">
        <v>4.7881084607937774E-2</v>
      </c>
      <c r="J39" s="20">
        <v>3.8277372501546759E-2</v>
      </c>
      <c r="K39" s="20">
        <v>0.50915113454468275</v>
      </c>
      <c r="L39" s="20">
        <v>0</v>
      </c>
    </row>
    <row r="40" spans="1:12">
      <c r="A40" s="2" t="s">
        <v>369</v>
      </c>
      <c r="B40" s="3" t="s">
        <v>370</v>
      </c>
      <c r="D40" s="20">
        <v>5.9185399853422848E-12</v>
      </c>
      <c r="E40" s="20">
        <v>0.63780992420703531</v>
      </c>
      <c r="F40" s="20">
        <v>0.58874085889399175</v>
      </c>
      <c r="G40" s="20">
        <v>4.2593620197934577E-2</v>
      </c>
      <c r="H40" s="20">
        <v>0</v>
      </c>
      <c r="I40" s="20">
        <v>6.4754451151090358E-3</v>
      </c>
      <c r="J40" s="20">
        <v>0.34366938484823312</v>
      </c>
      <c r="K40" s="20">
        <v>1.8520690938813079E-2</v>
      </c>
      <c r="L40" s="20">
        <v>0</v>
      </c>
    </row>
    <row r="41" spans="1:12">
      <c r="A41" s="2" t="s">
        <v>371</v>
      </c>
      <c r="B41" s="3" t="s">
        <v>372</v>
      </c>
      <c r="D41" s="20">
        <v>8.1520307739391756E-2</v>
      </c>
      <c r="E41" s="20">
        <v>0.91358185036850004</v>
      </c>
      <c r="F41" s="20">
        <v>2.7870196154713783E-6</v>
      </c>
      <c r="G41" s="20">
        <v>1.3951971508994686E-6</v>
      </c>
      <c r="H41" s="20">
        <v>0</v>
      </c>
      <c r="I41" s="20">
        <v>0.91357766815173369</v>
      </c>
      <c r="J41" s="20">
        <v>3.3381482576175567E-4</v>
      </c>
      <c r="K41" s="20">
        <v>4.5640270663465723E-3</v>
      </c>
      <c r="L41" s="20">
        <v>0</v>
      </c>
    </row>
    <row r="42" spans="1:12">
      <c r="A42" s="2" t="s">
        <v>293</v>
      </c>
      <c r="B42" s="3" t="s">
        <v>294</v>
      </c>
      <c r="D42" s="20">
        <v>2.0746211253752711E-8</v>
      </c>
      <c r="E42" s="20">
        <v>0.6441269217145732</v>
      </c>
      <c r="F42" s="20">
        <v>1.6642287135869568E-2</v>
      </c>
      <c r="G42" s="20">
        <v>4.2688271117976425E-3</v>
      </c>
      <c r="H42" s="20">
        <v>0</v>
      </c>
      <c r="I42" s="20">
        <v>0.62321580746690597</v>
      </c>
      <c r="J42" s="20">
        <v>2.835266783591619E-3</v>
      </c>
      <c r="K42" s="20">
        <v>0.35303779075562375</v>
      </c>
      <c r="L42" s="20">
        <v>0</v>
      </c>
    </row>
    <row r="43" spans="1:12">
      <c r="A43" s="2" t="s">
        <v>373</v>
      </c>
      <c r="B43" s="3" t="s">
        <v>374</v>
      </c>
      <c r="D43" s="20">
        <v>3.9250045109307176E-7</v>
      </c>
      <c r="E43" s="20">
        <v>0.98196945343428133</v>
      </c>
      <c r="F43" s="20">
        <v>0.90069975203494079</v>
      </c>
      <c r="G43" s="20">
        <v>7.6050480897216232E-4</v>
      </c>
      <c r="H43" s="20">
        <v>0</v>
      </c>
      <c r="I43" s="20">
        <v>8.0509196590368357E-2</v>
      </c>
      <c r="J43" s="20">
        <v>1.4191185153676242E-2</v>
      </c>
      <c r="K43" s="20">
        <v>3.8389689115913834E-3</v>
      </c>
      <c r="L43" s="20">
        <v>0</v>
      </c>
    </row>
    <row r="44" spans="1:12">
      <c r="A44" s="2" t="s">
        <v>375</v>
      </c>
      <c r="B44" s="3" t="s">
        <v>376</v>
      </c>
      <c r="D44" s="20">
        <v>8.6857891889766226E-2</v>
      </c>
      <c r="E44" s="20">
        <v>0.78268876565685941</v>
      </c>
      <c r="F44" s="20">
        <v>1.9855622136657198E-3</v>
      </c>
      <c r="G44" s="20">
        <v>6.0559050146173025E-4</v>
      </c>
      <c r="H44" s="20">
        <v>0</v>
      </c>
      <c r="I44" s="20">
        <v>0.78009761294173197</v>
      </c>
      <c r="J44" s="20">
        <v>6.4826361239419216E-4</v>
      </c>
      <c r="K44" s="20">
        <v>0.12980507884098011</v>
      </c>
      <c r="L44" s="20">
        <v>0</v>
      </c>
    </row>
    <row r="45" spans="1:12">
      <c r="A45" s="2" t="s">
        <v>377</v>
      </c>
      <c r="B45" s="3" t="s">
        <v>378</v>
      </c>
      <c r="D45" s="20">
        <v>8.0986764721201025E-4</v>
      </c>
      <c r="E45" s="20">
        <v>0.62090745886896859</v>
      </c>
      <c r="F45" s="20">
        <v>1.945755491823303E-2</v>
      </c>
      <c r="G45" s="20">
        <v>4.9179467302011264E-3</v>
      </c>
      <c r="H45" s="20">
        <v>0</v>
      </c>
      <c r="I45" s="20">
        <v>0.59653195722053443</v>
      </c>
      <c r="J45" s="20">
        <v>3.2263856482757304E-3</v>
      </c>
      <c r="K45" s="20">
        <v>0.37505628783554346</v>
      </c>
      <c r="L45" s="20">
        <v>0</v>
      </c>
    </row>
    <row r="46" spans="1:12">
      <c r="A46" s="2" t="s">
        <v>379</v>
      </c>
      <c r="B46" s="3" t="s">
        <v>380</v>
      </c>
      <c r="D46" s="20">
        <v>2.394637328440483E-3</v>
      </c>
      <c r="E46" s="20">
        <v>0.63412128671386747</v>
      </c>
      <c r="F46" s="20">
        <v>1.7616270204735572E-2</v>
      </c>
      <c r="G46" s="20">
        <v>4.4937563189530703E-3</v>
      </c>
      <c r="H46" s="20">
        <v>0</v>
      </c>
      <c r="I46" s="20">
        <v>0.61201126019017882</v>
      </c>
      <c r="J46" s="20">
        <v>2.9700639748117623E-3</v>
      </c>
      <c r="K46" s="20">
        <v>0.36051401198288024</v>
      </c>
      <c r="L46" s="20">
        <v>0</v>
      </c>
    </row>
    <row r="47" spans="1:12">
      <c r="A47" s="2" t="s">
        <v>381</v>
      </c>
      <c r="B47" s="3" t="s">
        <v>382</v>
      </c>
      <c r="D47" s="20">
        <v>1.9507937117268431E-7</v>
      </c>
      <c r="E47" s="20">
        <v>0.41991615264836746</v>
      </c>
      <c r="F47" s="20">
        <v>0.11237910315943431</v>
      </c>
      <c r="G47" s="20">
        <v>0.30449566720741661</v>
      </c>
      <c r="H47" s="20">
        <v>0</v>
      </c>
      <c r="I47" s="20">
        <v>3.0413822815165449E-3</v>
      </c>
      <c r="J47" s="20">
        <v>0.20033718024418104</v>
      </c>
      <c r="K47" s="20">
        <v>0.37974647202808037</v>
      </c>
      <c r="L47" s="20">
        <v>0</v>
      </c>
    </row>
    <row r="48" spans="1:12">
      <c r="A48" s="2" t="s">
        <v>383</v>
      </c>
      <c r="B48" s="3" t="s">
        <v>384</v>
      </c>
      <c r="D48" s="20">
        <v>1.1818924310133455E-2</v>
      </c>
      <c r="E48" s="20">
        <v>0.91083493082404876</v>
      </c>
      <c r="F48" s="20">
        <v>6.3103313791326146E-4</v>
      </c>
      <c r="G48" s="20">
        <v>2.1181061521040364E-4</v>
      </c>
      <c r="H48" s="20">
        <v>0</v>
      </c>
      <c r="I48" s="20">
        <v>0.90999208707092505</v>
      </c>
      <c r="J48" s="20">
        <v>4.5782832387116141E-4</v>
      </c>
      <c r="K48" s="20">
        <v>7.6888316541946666E-2</v>
      </c>
      <c r="L48" s="20">
        <v>0</v>
      </c>
    </row>
    <row r="49" spans="1:12">
      <c r="A49" s="2" t="s">
        <v>385</v>
      </c>
      <c r="B49" s="3" t="s">
        <v>386</v>
      </c>
      <c r="D49" s="20">
        <v>2.219836416390843E-2</v>
      </c>
      <c r="E49" s="20">
        <v>0.87503034103177768</v>
      </c>
      <c r="F49" s="20">
        <v>1.1318664488236935E-3</v>
      </c>
      <c r="G49" s="20">
        <v>3.6281960149135229E-4</v>
      </c>
      <c r="H49" s="20">
        <v>0</v>
      </c>
      <c r="I49" s="20">
        <v>0.87353565498146268</v>
      </c>
      <c r="J49" s="20">
        <v>5.3540704099132698E-4</v>
      </c>
      <c r="K49" s="20">
        <v>0.10223588776332257</v>
      </c>
      <c r="L49" s="20">
        <v>0</v>
      </c>
    </row>
    <row r="50" spans="1:12">
      <c r="A50" s="2" t="s">
        <v>387</v>
      </c>
      <c r="B50" s="3" t="s">
        <v>388</v>
      </c>
      <c r="D50" s="20">
        <v>1.6509548371047792E-2</v>
      </c>
      <c r="E50" s="20">
        <v>0.35842565042049501</v>
      </c>
      <c r="F50" s="20">
        <v>0.14073736252729954</v>
      </c>
      <c r="G50" s="20">
        <v>2.8255627939432391E-2</v>
      </c>
      <c r="H50" s="20">
        <v>0</v>
      </c>
      <c r="I50" s="20">
        <v>0.1894326599537631</v>
      </c>
      <c r="J50" s="20">
        <v>1.7744786542270911E-2</v>
      </c>
      <c r="K50" s="20">
        <v>0.60732001466618646</v>
      </c>
      <c r="L50" s="20">
        <v>0</v>
      </c>
    </row>
    <row r="51" spans="1:12">
      <c r="A51" s="2" t="s">
        <v>295</v>
      </c>
      <c r="B51" s="3" t="s">
        <v>296</v>
      </c>
      <c r="D51" s="20">
        <v>6.5404773899846655E-2</v>
      </c>
      <c r="E51" s="20">
        <v>0.90472433771255123</v>
      </c>
      <c r="F51" s="20">
        <v>1.0108428966006225E-4</v>
      </c>
      <c r="G51" s="20">
        <v>3.8813179337236836E-5</v>
      </c>
      <c r="H51" s="20">
        <v>0</v>
      </c>
      <c r="I51" s="20">
        <v>0.90458444024355389</v>
      </c>
      <c r="J51" s="20">
        <v>3.5255391140818311E-4</v>
      </c>
      <c r="K51" s="20">
        <v>2.9518334476193935E-2</v>
      </c>
      <c r="L51" s="20">
        <v>0</v>
      </c>
    </row>
    <row r="52" spans="1:12">
      <c r="A52" s="2" t="s">
        <v>389</v>
      </c>
      <c r="B52" s="3" t="s">
        <v>390</v>
      </c>
      <c r="D52" s="20">
        <v>7.1503652289133302E-2</v>
      </c>
      <c r="E52" s="20">
        <v>0.75652349290562049</v>
      </c>
      <c r="F52" s="20">
        <v>3.4882085343159496E-3</v>
      </c>
      <c r="G52" s="20">
        <v>1.0178833153504979E-3</v>
      </c>
      <c r="H52" s="20">
        <v>0</v>
      </c>
      <c r="I52" s="20">
        <v>0.75201740105595405</v>
      </c>
      <c r="J52" s="20">
        <v>8.8837003544819503E-4</v>
      </c>
      <c r="K52" s="20">
        <v>0.17108448476979807</v>
      </c>
      <c r="L52" s="20">
        <v>0</v>
      </c>
    </row>
    <row r="53" spans="1:12">
      <c r="A53" s="2" t="s">
        <v>391</v>
      </c>
      <c r="B53" s="3" t="s">
        <v>392</v>
      </c>
      <c r="D53" s="20">
        <v>2.6410309376929736E-3</v>
      </c>
      <c r="E53" s="20">
        <v>0.54848859125879512</v>
      </c>
      <c r="F53" s="20">
        <v>3.1077616528700301E-2</v>
      </c>
      <c r="G53" s="20">
        <v>7.5014161465032465E-3</v>
      </c>
      <c r="H53" s="20">
        <v>0</v>
      </c>
      <c r="I53" s="20">
        <v>0.50990955858359155</v>
      </c>
      <c r="J53" s="20">
        <v>4.7958225886330893E-3</v>
      </c>
      <c r="K53" s="20">
        <v>0.44407455521487882</v>
      </c>
      <c r="L53" s="20">
        <v>0</v>
      </c>
    </row>
    <row r="54" spans="1:12">
      <c r="A54" s="2" t="s">
        <v>393</v>
      </c>
      <c r="B54" s="3" t="s">
        <v>394</v>
      </c>
      <c r="D54" s="20">
        <v>8.7971209184308083E-4</v>
      </c>
      <c r="E54" s="20">
        <v>0.40941173741759457</v>
      </c>
      <c r="F54" s="20">
        <v>0.13128489960132972</v>
      </c>
      <c r="G54" s="20">
        <v>0.27397461905906534</v>
      </c>
      <c r="H54" s="20">
        <v>0</v>
      </c>
      <c r="I54" s="20">
        <v>4.1522187571994881E-3</v>
      </c>
      <c r="J54" s="20">
        <v>0.17967163081615561</v>
      </c>
      <c r="K54" s="20">
        <v>0.4100369196744067</v>
      </c>
      <c r="L54" s="20">
        <v>0</v>
      </c>
    </row>
    <row r="55" spans="1:12">
      <c r="A55" s="2" t="s">
        <v>395</v>
      </c>
      <c r="B55" s="3" t="s">
        <v>396</v>
      </c>
      <c r="D55" s="20">
        <v>0.22726519822149974</v>
      </c>
      <c r="E55" s="20">
        <v>0.31325133364013186</v>
      </c>
      <c r="F55" s="20">
        <v>6.5464695315656143E-2</v>
      </c>
      <c r="G55" s="20">
        <v>1.412221133504001E-2</v>
      </c>
      <c r="H55" s="20">
        <v>0</v>
      </c>
      <c r="I55" s="20">
        <v>0.23366442698943571</v>
      </c>
      <c r="J55" s="20">
        <v>8.8584112834654768E-3</v>
      </c>
      <c r="K55" s="20">
        <v>0.45062505685490284</v>
      </c>
      <c r="L55" s="20">
        <v>0</v>
      </c>
    </row>
    <row r="56" spans="1:12">
      <c r="A56" s="2" t="s">
        <v>397</v>
      </c>
      <c r="B56" s="3" t="s">
        <v>398</v>
      </c>
      <c r="D56" s="20">
        <v>0.82717172048463405</v>
      </c>
      <c r="E56" s="20">
        <v>6.3634247654743986E-2</v>
      </c>
      <c r="F56" s="20">
        <v>3.4855385721288268E-2</v>
      </c>
      <c r="G56" s="20">
        <v>6.6216382135661491E-3</v>
      </c>
      <c r="H56" s="20">
        <v>0</v>
      </c>
      <c r="I56" s="20">
        <v>2.2157223719889565E-2</v>
      </c>
      <c r="J56" s="20">
        <v>4.1725651986358955E-3</v>
      </c>
      <c r="K56" s="20">
        <v>0.10502146666198617</v>
      </c>
      <c r="L56" s="20">
        <v>0</v>
      </c>
    </row>
    <row r="57" spans="1:12">
      <c r="A57" s="2" t="s">
        <v>399</v>
      </c>
      <c r="B57" s="3" t="s">
        <v>400</v>
      </c>
      <c r="D57" s="20">
        <v>0.87328745653754725</v>
      </c>
      <c r="E57" s="20">
        <v>4.8932301641022205E-2</v>
      </c>
      <c r="F57" s="20">
        <v>1.2913127439854788E-2</v>
      </c>
      <c r="G57" s="20">
        <v>2.7197375192679831E-3</v>
      </c>
      <c r="H57" s="20">
        <v>0</v>
      </c>
      <c r="I57" s="20">
        <v>3.3299436681899434E-2</v>
      </c>
      <c r="J57" s="20">
        <v>1.7056513659127071E-3</v>
      </c>
      <c r="K57" s="20">
        <v>7.6074590455517524E-2</v>
      </c>
      <c r="L57" s="20">
        <v>0</v>
      </c>
    </row>
    <row r="58" spans="1:12">
      <c r="A58" s="2" t="s">
        <v>297</v>
      </c>
      <c r="B58" s="3" t="s">
        <v>298</v>
      </c>
      <c r="D58" s="20">
        <v>0.93247720360969788</v>
      </c>
      <c r="E58" s="20">
        <v>5.9558925477829441E-2</v>
      </c>
      <c r="F58" s="20">
        <v>9.8880906283649122E-5</v>
      </c>
      <c r="G58" s="20">
        <v>3.1117736118498859E-5</v>
      </c>
      <c r="H58" s="20">
        <v>0</v>
      </c>
      <c r="I58" s="20">
        <v>5.9428926835427297E-2</v>
      </c>
      <c r="J58" s="20">
        <v>4.0305926814625075E-5</v>
      </c>
      <c r="K58" s="20">
        <v>7.9235649856582331E-3</v>
      </c>
      <c r="L58" s="20">
        <v>0</v>
      </c>
    </row>
    <row r="59" spans="1:12">
      <c r="A59" s="2" t="s">
        <v>401</v>
      </c>
      <c r="B59" s="3" t="s">
        <v>402</v>
      </c>
      <c r="D59" s="20">
        <v>0.95357572697946247</v>
      </c>
      <c r="E59" s="20">
        <v>1.811153392726032E-2</v>
      </c>
      <c r="F59" s="20">
        <v>4.5376333655245821E-3</v>
      </c>
      <c r="G59" s="20">
        <v>9.6100347469286584E-4</v>
      </c>
      <c r="H59" s="20">
        <v>0</v>
      </c>
      <c r="I59" s="20">
        <v>1.2612897087042871E-2</v>
      </c>
      <c r="J59" s="20">
        <v>6.0267128695609283E-4</v>
      </c>
      <c r="K59" s="20">
        <v>2.7710067806321233E-2</v>
      </c>
      <c r="L59" s="20">
        <v>0</v>
      </c>
    </row>
    <row r="60" spans="1:12">
      <c r="A60" s="2" t="s">
        <v>299</v>
      </c>
      <c r="B60" s="3" t="s">
        <v>300</v>
      </c>
      <c r="D60" s="20">
        <v>0.99881078992801864</v>
      </c>
      <c r="E60" s="20">
        <v>5.3653889820228146E-4</v>
      </c>
      <c r="F60" s="20">
        <v>7.0885505406206628E-5</v>
      </c>
      <c r="G60" s="20">
        <v>1.5953390491193001E-5</v>
      </c>
      <c r="H60" s="20">
        <v>0</v>
      </c>
      <c r="I60" s="20">
        <v>4.497000023048818E-4</v>
      </c>
      <c r="J60" s="20">
        <v>1.003432242313126E-5</v>
      </c>
      <c r="K60" s="20">
        <v>6.4263685135584208E-4</v>
      </c>
      <c r="L60" s="20">
        <v>0</v>
      </c>
    </row>
    <row r="61" spans="1:12">
      <c r="A61" s="2" t="s">
        <v>403</v>
      </c>
      <c r="B61" s="3" t="s">
        <v>404</v>
      </c>
      <c r="D61" s="20">
        <v>6.7504118496919585E-44</v>
      </c>
      <c r="E61" s="20">
        <v>0.48758354346234317</v>
      </c>
      <c r="F61" s="20">
        <v>4.6601992462132036E-2</v>
      </c>
      <c r="G61" s="20">
        <v>1.0782017705503048E-2</v>
      </c>
      <c r="H61" s="20">
        <v>0</v>
      </c>
      <c r="I61" s="20">
        <v>0.43019953329470811</v>
      </c>
      <c r="J61" s="20">
        <v>6.8099301327280244E-3</v>
      </c>
      <c r="K61" s="20">
        <v>0.50560652640492876</v>
      </c>
      <c r="L61" s="20">
        <v>0</v>
      </c>
    </row>
    <row r="62" spans="1:12">
      <c r="A62" s="2" t="s">
        <v>405</v>
      </c>
      <c r="B62" s="3" t="s">
        <v>406</v>
      </c>
      <c r="D62" s="20">
        <v>4.6959582331485126E-7</v>
      </c>
      <c r="E62" s="20">
        <v>0.3983633521173357</v>
      </c>
      <c r="F62" s="20">
        <v>0.24484905965188652</v>
      </c>
      <c r="G62" s="20">
        <v>0.13648785098571137</v>
      </c>
      <c r="H62" s="20">
        <v>0</v>
      </c>
      <c r="I62" s="20">
        <v>1.7026441479737794E-2</v>
      </c>
      <c r="J62" s="20">
        <v>8.8057924441544436E-2</v>
      </c>
      <c r="K62" s="20">
        <v>0.51357825384529665</v>
      </c>
      <c r="L62" s="20">
        <v>0</v>
      </c>
    </row>
    <row r="63" spans="1:12">
      <c r="A63" s="2" t="s">
        <v>407</v>
      </c>
      <c r="B63" s="3" t="s">
        <v>408</v>
      </c>
      <c r="D63" s="20">
        <v>1.2514788782969324E-4</v>
      </c>
      <c r="E63" s="20">
        <v>0.44086898522444434</v>
      </c>
      <c r="F63" s="20">
        <v>8.3675388827311487E-2</v>
      </c>
      <c r="G63" s="20">
        <v>0.35546209363472936</v>
      </c>
      <c r="H63" s="20">
        <v>0</v>
      </c>
      <c r="I63" s="20">
        <v>1.7315027624034863E-3</v>
      </c>
      <c r="J63" s="20">
        <v>0.23518418430124016</v>
      </c>
      <c r="K63" s="20">
        <v>0.3238216825864858</v>
      </c>
      <c r="L63" s="20">
        <v>0</v>
      </c>
    </row>
    <row r="64" spans="1:12">
      <c r="A64" s="2" t="s">
        <v>409</v>
      </c>
      <c r="B64" s="3" t="s">
        <v>410</v>
      </c>
      <c r="D64" s="20">
        <v>1.6603576048480042E-5</v>
      </c>
      <c r="E64" s="20">
        <v>0.47905915896414919</v>
      </c>
      <c r="F64" s="20">
        <v>4.8314317678641687E-2</v>
      </c>
      <c r="G64" s="20">
        <v>0.43010194443205696</v>
      </c>
      <c r="H64" s="20">
        <v>0</v>
      </c>
      <c r="I64" s="20">
        <v>6.4289685345053074E-4</v>
      </c>
      <c r="J64" s="20">
        <v>0.28721060980391316</v>
      </c>
      <c r="K64" s="20">
        <v>0.23371362765588924</v>
      </c>
      <c r="L64" s="20">
        <v>0</v>
      </c>
    </row>
    <row r="65" spans="1:12">
      <c r="A65" s="2" t="s">
        <v>301</v>
      </c>
      <c r="B65" s="3" t="s">
        <v>302</v>
      </c>
      <c r="D65" s="20">
        <v>2.1881390929709545E-6</v>
      </c>
      <c r="E65" s="20">
        <v>0.51777991797647727</v>
      </c>
      <c r="F65" s="20">
        <v>2.3908324411556207E-2</v>
      </c>
      <c r="G65" s="20">
        <v>0.49367904752553365</v>
      </c>
      <c r="H65" s="20">
        <v>0</v>
      </c>
      <c r="I65" s="20">
        <v>1.9254603938744747E-4</v>
      </c>
      <c r="J65" s="20">
        <v>0.33315919498226199</v>
      </c>
      <c r="K65" s="20">
        <v>0.14905869890216786</v>
      </c>
      <c r="L65" s="20">
        <v>0</v>
      </c>
    </row>
    <row r="66" spans="1:12">
      <c r="A66" s="2" t="s">
        <v>303</v>
      </c>
      <c r="B66" s="3" t="s">
        <v>304</v>
      </c>
      <c r="D66" s="20">
        <v>2.0410168828777022E-12</v>
      </c>
      <c r="E66" s="20">
        <v>0.49686489425807295</v>
      </c>
      <c r="F66" s="20">
        <v>3.5993229206099056E-2</v>
      </c>
      <c r="G66" s="20">
        <v>0.46048593252566639</v>
      </c>
      <c r="H66" s="20">
        <v>0</v>
      </c>
      <c r="I66" s="20">
        <v>3.8573252630748562E-4</v>
      </c>
      <c r="J66" s="20">
        <v>0.30889943128949404</v>
      </c>
      <c r="K66" s="20">
        <v>0.19423567445039189</v>
      </c>
      <c r="L66" s="20">
        <v>0</v>
      </c>
    </row>
    <row r="67" spans="1:12">
      <c r="A67" s="2" t="s">
        <v>411</v>
      </c>
      <c r="B67" s="3" t="s">
        <v>412</v>
      </c>
      <c r="D67" s="20">
        <v>4.7823211321395094E-3</v>
      </c>
      <c r="E67" s="20">
        <v>0.83994499288609725</v>
      </c>
      <c r="F67" s="20">
        <v>2.6008358955188532E-3</v>
      </c>
      <c r="G67" s="20">
        <v>7.8164311322885798E-4</v>
      </c>
      <c r="H67" s="20">
        <v>0</v>
      </c>
      <c r="I67" s="20">
        <v>0.83656251387734959</v>
      </c>
      <c r="J67" s="20">
        <v>7.7529978529387975E-4</v>
      </c>
      <c r="K67" s="20">
        <v>0.15449738619646927</v>
      </c>
      <c r="L67" s="20">
        <v>0</v>
      </c>
    </row>
    <row r="68" spans="1:12">
      <c r="A68" s="2" t="s">
        <v>413</v>
      </c>
      <c r="B68" s="3" t="s">
        <v>414</v>
      </c>
      <c r="D68" s="20">
        <v>1.0493534876179642E-2</v>
      </c>
      <c r="E68" s="20">
        <v>0.78620649548510824</v>
      </c>
      <c r="F68" s="20">
        <v>4.6472498830898261E-3</v>
      </c>
      <c r="G68" s="20">
        <v>1.3313479703592327E-3</v>
      </c>
      <c r="H68" s="20">
        <v>0</v>
      </c>
      <c r="I68" s="20">
        <v>0.78022789763165923</v>
      </c>
      <c r="J68" s="20">
        <v>1.0892330943413121E-3</v>
      </c>
      <c r="K68" s="20">
        <v>0.20221073654437072</v>
      </c>
      <c r="L68" s="20">
        <v>0</v>
      </c>
    </row>
    <row r="69" spans="1:12">
      <c r="A69" s="2" t="s">
        <v>415</v>
      </c>
      <c r="B69" s="3" t="s">
        <v>416</v>
      </c>
      <c r="D69" s="20">
        <v>5.5094511517269924E-3</v>
      </c>
      <c r="E69" s="20">
        <v>0.39711865470911945</v>
      </c>
      <c r="F69" s="20">
        <v>0.1593978839557697</v>
      </c>
      <c r="G69" s="20">
        <v>0.2314611502940857</v>
      </c>
      <c r="H69" s="20">
        <v>0</v>
      </c>
      <c r="I69" s="20">
        <v>6.2596204592640162E-3</v>
      </c>
      <c r="J69" s="20">
        <v>0.15110904107087952</v>
      </c>
      <c r="K69" s="20">
        <v>0.44626285306827418</v>
      </c>
      <c r="L69" s="20">
        <v>0</v>
      </c>
    </row>
    <row r="70" spans="1:12">
      <c r="A70" s="2" t="s">
        <v>417</v>
      </c>
      <c r="B70" s="3" t="s">
        <v>418</v>
      </c>
      <c r="D70" s="20">
        <v>1.1469983195054335E-2</v>
      </c>
      <c r="E70" s="20">
        <v>0.38354591397505688</v>
      </c>
      <c r="F70" s="20">
        <v>0.24605772058456968</v>
      </c>
      <c r="G70" s="20">
        <v>4.4971000722911159E-2</v>
      </c>
      <c r="H70" s="20">
        <v>0</v>
      </c>
      <c r="I70" s="20">
        <v>9.2517192667576048E-2</v>
      </c>
      <c r="J70" s="20">
        <v>2.8423208878451265E-2</v>
      </c>
      <c r="K70" s="20">
        <v>0.57656089395143761</v>
      </c>
      <c r="L70" s="20">
        <v>0</v>
      </c>
    </row>
    <row r="71" spans="1:12">
      <c r="A71" s="2" t="s">
        <v>419</v>
      </c>
      <c r="B71" s="3" t="s">
        <v>420</v>
      </c>
      <c r="D71" s="20">
        <v>2.5632901091721901E-2</v>
      </c>
      <c r="E71" s="20">
        <v>0.78224543936407942</v>
      </c>
      <c r="F71" s="20">
        <v>4.1867012937369039E-3</v>
      </c>
      <c r="G71" s="20">
        <v>1.2082798472451352E-3</v>
      </c>
      <c r="H71" s="20">
        <v>0</v>
      </c>
      <c r="I71" s="20">
        <v>0.7768504582230974</v>
      </c>
      <c r="J71" s="20">
        <v>1.0130896659221675E-3</v>
      </c>
      <c r="K71" s="20">
        <v>0.19110856987827643</v>
      </c>
      <c r="L71" s="20">
        <v>0</v>
      </c>
    </row>
    <row r="72" spans="1:12">
      <c r="A72" s="2" t="s">
        <v>421</v>
      </c>
      <c r="B72" s="3" t="s">
        <v>422</v>
      </c>
      <c r="D72" s="20">
        <v>4.4767989223160831E-2</v>
      </c>
      <c r="E72" s="20">
        <v>0.36294831233044589</v>
      </c>
      <c r="F72" s="20">
        <v>0.22225001715086679</v>
      </c>
      <c r="G72" s="20">
        <v>4.1146922493670059E-2</v>
      </c>
      <c r="H72" s="20">
        <v>0</v>
      </c>
      <c r="I72" s="20">
        <v>9.9551372685909037E-2</v>
      </c>
      <c r="J72" s="20">
        <v>2.597922918750678E-2</v>
      </c>
      <c r="K72" s="20">
        <v>0.56630446925888644</v>
      </c>
      <c r="L72" s="20">
        <v>0</v>
      </c>
    </row>
    <row r="73" spans="1:12">
      <c r="A73" s="2" t="s">
        <v>423</v>
      </c>
      <c r="B73" s="3" t="s">
        <v>424</v>
      </c>
      <c r="D73" s="20">
        <v>2.0081065611681544E-2</v>
      </c>
      <c r="E73" s="20">
        <v>0.46543793279540963</v>
      </c>
      <c r="F73" s="20">
        <v>4.9643337361624088E-2</v>
      </c>
      <c r="G73" s="20">
        <v>1.1380373754378446E-2</v>
      </c>
      <c r="H73" s="20">
        <v>0</v>
      </c>
      <c r="I73" s="20">
        <v>0.4044142216794071</v>
      </c>
      <c r="J73" s="20">
        <v>7.1759861694531907E-3</v>
      </c>
      <c r="K73" s="20">
        <v>0.50730501542345574</v>
      </c>
      <c r="L73" s="20">
        <v>0</v>
      </c>
    </row>
    <row r="74" spans="1:12">
      <c r="A74" s="2" t="s">
        <v>425</v>
      </c>
      <c r="B74" s="3" t="s">
        <v>426</v>
      </c>
      <c r="D74" s="20">
        <v>1.7389796116779103E-2</v>
      </c>
      <c r="E74" s="20">
        <v>0.37885597788427439</v>
      </c>
      <c r="F74" s="20">
        <v>0.2399764945639917</v>
      </c>
      <c r="G74" s="20">
        <v>4.4021441590766361E-2</v>
      </c>
      <c r="H74" s="20">
        <v>0</v>
      </c>
      <c r="I74" s="20">
        <v>9.4858041729516326E-2</v>
      </c>
      <c r="J74" s="20">
        <v>2.7814691492480691E-2</v>
      </c>
      <c r="K74" s="20">
        <v>0.57593953450646596</v>
      </c>
      <c r="L74" s="20">
        <v>0</v>
      </c>
    </row>
    <row r="75" spans="1:12">
      <c r="A75" s="2" t="s">
        <v>427</v>
      </c>
      <c r="B75" s="3" t="s">
        <v>428</v>
      </c>
      <c r="D75" s="20">
        <v>5.0456653819943049E-9</v>
      </c>
      <c r="E75" s="20">
        <v>0.95186363146378283</v>
      </c>
      <c r="F75" s="20">
        <v>0.91178549247859819</v>
      </c>
      <c r="G75" s="20">
        <v>3.51838116322485E-4</v>
      </c>
      <c r="H75" s="20">
        <v>0</v>
      </c>
      <c r="I75" s="20">
        <v>3.972630086886212E-2</v>
      </c>
      <c r="J75" s="20">
        <v>4.7370316311844386E-2</v>
      </c>
      <c r="K75" s="20">
        <v>7.6604717870743899E-4</v>
      </c>
      <c r="L75" s="20">
        <v>0</v>
      </c>
    </row>
    <row r="76" spans="1:12">
      <c r="A76" s="2" t="s">
        <v>429</v>
      </c>
      <c r="B76" s="3" t="s">
        <v>430</v>
      </c>
      <c r="D76" s="20">
        <v>1.2674138473312221E-10</v>
      </c>
      <c r="E76" s="20">
        <v>0.95186363614592762</v>
      </c>
      <c r="F76" s="20">
        <v>0.91178549696360167</v>
      </c>
      <c r="G76" s="20">
        <v>3.5183811805315003E-4</v>
      </c>
      <c r="H76" s="20">
        <v>0</v>
      </c>
      <c r="I76" s="20">
        <v>3.9726301064272773E-2</v>
      </c>
      <c r="J76" s="20">
        <v>4.7370316544855379E-2</v>
      </c>
      <c r="K76" s="20">
        <v>7.6604718247556684E-4</v>
      </c>
      <c r="L76" s="20">
        <v>0</v>
      </c>
    </row>
    <row r="77" spans="1:12">
      <c r="A77" s="2" t="s">
        <v>431</v>
      </c>
      <c r="B77" s="3" t="s">
        <v>432</v>
      </c>
      <c r="D77" s="20">
        <v>5.1987718805919826E-2</v>
      </c>
      <c r="E77" s="20">
        <v>0.3555915825930272</v>
      </c>
      <c r="F77" s="20">
        <v>0.1106050550193516</v>
      </c>
      <c r="G77" s="20">
        <v>2.2870229962158709E-2</v>
      </c>
      <c r="H77" s="20">
        <v>0</v>
      </c>
      <c r="I77" s="20">
        <v>0.22211629761151688</v>
      </c>
      <c r="J77" s="20">
        <v>1.4347064014680029E-2</v>
      </c>
      <c r="K77" s="20">
        <v>0.57807363458637295</v>
      </c>
      <c r="L77" s="20">
        <v>0</v>
      </c>
    </row>
    <row r="78" spans="1:12">
      <c r="A78" s="2" t="s">
        <v>433</v>
      </c>
      <c r="B78" s="3" t="s">
        <v>434</v>
      </c>
      <c r="D78" s="20">
        <v>3.8758029936986751E-2</v>
      </c>
      <c r="E78" s="20">
        <v>0.62995507312438825</v>
      </c>
      <c r="F78" s="20">
        <v>1.4771884685169493E-2</v>
      </c>
      <c r="G78" s="20">
        <v>3.8170817747455129E-3</v>
      </c>
      <c r="H78" s="20">
        <v>0</v>
      </c>
      <c r="I78" s="20">
        <v>0.61136610666447322</v>
      </c>
      <c r="J78" s="20">
        <v>2.553297787453813E-3</v>
      </c>
      <c r="K78" s="20">
        <v>0.32873359915117112</v>
      </c>
      <c r="L78" s="20">
        <v>0</v>
      </c>
    </row>
    <row r="79" spans="1:12">
      <c r="A79" s="2" t="s">
        <v>435</v>
      </c>
      <c r="B79" s="3" t="s">
        <v>436</v>
      </c>
      <c r="D79" s="20">
        <v>1.053016079508271E-2</v>
      </c>
      <c r="E79" s="20">
        <v>0.53857970009327039</v>
      </c>
      <c r="F79" s="20">
        <v>3.1967540037959909E-2</v>
      </c>
      <c r="G79" s="20">
        <v>7.6878477353075226E-3</v>
      </c>
      <c r="H79" s="20">
        <v>0</v>
      </c>
      <c r="I79" s="20">
        <v>0.49892431232000301</v>
      </c>
      <c r="J79" s="20">
        <v>4.9080642198207373E-3</v>
      </c>
      <c r="K79" s="20">
        <v>0.44598207489182623</v>
      </c>
      <c r="L79" s="20">
        <v>0</v>
      </c>
    </row>
    <row r="80" spans="1:12">
      <c r="A80" s="2" t="s">
        <v>437</v>
      </c>
      <c r="B80" s="3" t="s">
        <v>438</v>
      </c>
      <c r="D80" s="20">
        <v>1.7484166670800331E-9</v>
      </c>
      <c r="E80" s="20">
        <v>0.91004480510090524</v>
      </c>
      <c r="F80" s="20">
        <v>0.88332224997485698</v>
      </c>
      <c r="G80" s="20">
        <v>6.5474076135907389E-4</v>
      </c>
      <c r="H80" s="20">
        <v>0</v>
      </c>
      <c r="I80" s="20">
        <v>2.6067814364689187E-2</v>
      </c>
      <c r="J80" s="20">
        <v>8.9051581109274469E-2</v>
      </c>
      <c r="K80" s="20">
        <v>9.0361204140372629E-4</v>
      </c>
      <c r="L80" s="20">
        <v>0</v>
      </c>
    </row>
    <row r="81" spans="1:12">
      <c r="A81" s="2" t="s">
        <v>440</v>
      </c>
      <c r="B81" s="3" t="s">
        <v>441</v>
      </c>
      <c r="D81" s="20">
        <v>1.8440614629020556E-13</v>
      </c>
      <c r="E81" s="20">
        <v>0.97071476590680217</v>
      </c>
      <c r="F81" s="20">
        <v>9.1043638765824931E-5</v>
      </c>
      <c r="G81" s="20">
        <v>3.5411568398575823E-5</v>
      </c>
      <c r="H81" s="20">
        <v>0</v>
      </c>
      <c r="I81" s="20">
        <v>0.9705883106996378</v>
      </c>
      <c r="J81" s="20">
        <v>3.7458829781898418E-4</v>
      </c>
      <c r="K81" s="20">
        <v>2.8910645795194336E-2</v>
      </c>
      <c r="L81" s="20">
        <v>0</v>
      </c>
    </row>
    <row r="82" spans="1:12">
      <c r="A82" s="2" t="s">
        <v>442</v>
      </c>
      <c r="B82" s="3" t="s">
        <v>443</v>
      </c>
      <c r="D82" s="20">
        <v>8.7716717286199131E-5</v>
      </c>
      <c r="E82" s="20">
        <v>0.77271125189508649</v>
      </c>
      <c r="F82" s="20">
        <v>5.852704335338018E-3</v>
      </c>
      <c r="G82" s="20">
        <v>1.6460845569436899E-3</v>
      </c>
      <c r="H82" s="20">
        <v>0</v>
      </c>
      <c r="I82" s="20">
        <v>0.76521246300280477</v>
      </c>
      <c r="J82" s="20">
        <v>1.2757816246869794E-3</v>
      </c>
      <c r="K82" s="20">
        <v>0.22592524976294043</v>
      </c>
      <c r="L82" s="20">
        <v>0</v>
      </c>
    </row>
    <row r="83" spans="1:12">
      <c r="A83" s="2" t="s">
        <v>444</v>
      </c>
      <c r="B83" s="3" t="s">
        <v>445</v>
      </c>
      <c r="D83" s="20">
        <v>1.0535693854080007E-3</v>
      </c>
      <c r="E83" s="20">
        <v>0.38704833125722204</v>
      </c>
      <c r="F83" s="20">
        <v>0.10040084253763225</v>
      </c>
      <c r="G83" s="20">
        <v>2.1185216797404271E-2</v>
      </c>
      <c r="H83" s="20">
        <v>0</v>
      </c>
      <c r="I83" s="20">
        <v>0.26546227192218552</v>
      </c>
      <c r="J83" s="20">
        <v>1.3285927597101956E-2</v>
      </c>
      <c r="K83" s="20">
        <v>0.59861217176026793</v>
      </c>
      <c r="L83" s="20">
        <v>0</v>
      </c>
    </row>
    <row r="84" spans="1:12">
      <c r="A84" s="2" t="s">
        <v>446</v>
      </c>
      <c r="B84" s="3" t="s">
        <v>447</v>
      </c>
      <c r="D84" s="20">
        <v>5.6766115654044429E-15</v>
      </c>
      <c r="E84" s="20">
        <v>0.9373768926363899</v>
      </c>
      <c r="F84" s="20">
        <v>4.0903775168178806E-4</v>
      </c>
      <c r="G84" s="20">
        <v>1.4205579270906048E-4</v>
      </c>
      <c r="H84" s="20">
        <v>0</v>
      </c>
      <c r="I84" s="20">
        <v>0.93682579909199903</v>
      </c>
      <c r="J84" s="20">
        <v>4.2580074227091677E-4</v>
      </c>
      <c r="K84" s="20">
        <v>6.2197306621333312E-2</v>
      </c>
      <c r="L84" s="20">
        <v>0</v>
      </c>
    </row>
    <row r="85" spans="1:12">
      <c r="A85" s="2" t="s">
        <v>448</v>
      </c>
      <c r="B85" s="3" t="s">
        <v>449</v>
      </c>
      <c r="D85" s="20">
        <v>3.9737072310861055E-8</v>
      </c>
      <c r="E85" s="20">
        <v>0.98758871674490045</v>
      </c>
      <c r="F85" s="20">
        <v>1.6705907851360541E-5</v>
      </c>
      <c r="G85" s="20">
        <v>7.371665782721256E-6</v>
      </c>
      <c r="H85" s="20">
        <v>0</v>
      </c>
      <c r="I85" s="20">
        <v>0.98756463917126636</v>
      </c>
      <c r="J85" s="20">
        <v>3.642613510313148E-4</v>
      </c>
      <c r="K85" s="20">
        <v>1.2046982166995899E-2</v>
      </c>
      <c r="L85" s="20">
        <v>0</v>
      </c>
    </row>
    <row r="86" spans="1:12">
      <c r="A86" s="2" t="s">
        <v>450</v>
      </c>
      <c r="B86" s="3" t="s">
        <v>451</v>
      </c>
      <c r="D86" s="20">
        <v>1.4278344456857467E-8</v>
      </c>
      <c r="E86" s="20">
        <v>0.93888131518950824</v>
      </c>
      <c r="F86" s="20">
        <v>3.8971943992617493E-4</v>
      </c>
      <c r="G86" s="20">
        <v>1.3584624086052715E-4</v>
      </c>
      <c r="H86" s="20">
        <v>0</v>
      </c>
      <c r="I86" s="20">
        <v>0.93835574950872158</v>
      </c>
      <c r="J86" s="20">
        <v>4.2264473117891951E-4</v>
      </c>
      <c r="K86" s="20">
        <v>6.0696025800968313E-2</v>
      </c>
      <c r="L86" s="20">
        <v>0</v>
      </c>
    </row>
    <row r="87" spans="1:12">
      <c r="A87" s="2" t="s">
        <v>452</v>
      </c>
      <c r="B87" s="3" t="s">
        <v>453</v>
      </c>
      <c r="D87" s="20">
        <v>2.2797297578216157E-7</v>
      </c>
      <c r="E87" s="20">
        <v>0.42762053742319722</v>
      </c>
      <c r="F87" s="20">
        <v>0.10063697709918194</v>
      </c>
      <c r="G87" s="20">
        <v>0.32452872121992415</v>
      </c>
      <c r="H87" s="20">
        <v>0</v>
      </c>
      <c r="I87" s="20">
        <v>2.4548391040911089E-3</v>
      </c>
      <c r="J87" s="20">
        <v>0.21398107652129281</v>
      </c>
      <c r="K87" s="20">
        <v>0.35839815808253422</v>
      </c>
      <c r="L87" s="20">
        <v>0</v>
      </c>
    </row>
    <row r="88" spans="1:12">
      <c r="A88" s="2" t="s">
        <v>454</v>
      </c>
      <c r="B88" s="3" t="s">
        <v>455</v>
      </c>
      <c r="D88" s="20">
        <v>4.4987590202106935E-5</v>
      </c>
      <c r="E88" s="20">
        <v>0.69362956582918434</v>
      </c>
      <c r="F88" s="20">
        <v>1.1560242524678573E-2</v>
      </c>
      <c r="G88" s="20">
        <v>3.0652260000763156E-3</v>
      </c>
      <c r="H88" s="20">
        <v>0</v>
      </c>
      <c r="I88" s="20">
        <v>0.67900409730442945</v>
      </c>
      <c r="J88" s="20">
        <v>2.1142941919121265E-3</v>
      </c>
      <c r="K88" s="20">
        <v>0.30421115238870133</v>
      </c>
      <c r="L88" s="20">
        <v>0</v>
      </c>
    </row>
    <row r="89" spans="1:12">
      <c r="A89" s="2" t="s">
        <v>456</v>
      </c>
      <c r="B89" s="3" t="s">
        <v>457</v>
      </c>
      <c r="D89" s="20">
        <v>2.9174240829812452E-17</v>
      </c>
      <c r="E89" s="20">
        <v>0.75900449099265765</v>
      </c>
      <c r="F89" s="20">
        <v>6.6692005693134351E-3</v>
      </c>
      <c r="G89" s="20">
        <v>1.8551085794749165E-3</v>
      </c>
      <c r="H89" s="20">
        <v>0</v>
      </c>
      <c r="I89" s="20">
        <v>0.75048018184386933</v>
      </c>
      <c r="J89" s="20">
        <v>1.3981843047619963E-3</v>
      </c>
      <c r="K89" s="20">
        <v>0.23959732470258038</v>
      </c>
      <c r="L89" s="20">
        <v>0</v>
      </c>
    </row>
    <row r="90" spans="1:12">
      <c r="A90" s="2" t="s">
        <v>458</v>
      </c>
      <c r="B90" s="3" t="s">
        <v>459</v>
      </c>
      <c r="D90" s="20">
        <v>4.2614382576592814E-29</v>
      </c>
      <c r="E90" s="20">
        <v>0.8807008289199737</v>
      </c>
      <c r="F90" s="20">
        <v>1.4990993483925299E-3</v>
      </c>
      <c r="G90" s="20">
        <v>4.7089705109229323E-4</v>
      </c>
      <c r="H90" s="20">
        <v>0</v>
      </c>
      <c r="I90" s="20">
        <v>0.87873083252048889</v>
      </c>
      <c r="J90" s="20">
        <v>6.0248298954678381E-4</v>
      </c>
      <c r="K90" s="20">
        <v>0.11869668809047959</v>
      </c>
      <c r="L90" s="20">
        <v>0</v>
      </c>
    </row>
    <row r="91" spans="1:12">
      <c r="A91" s="2" t="s">
        <v>460</v>
      </c>
      <c r="B91" s="3" t="s">
        <v>461</v>
      </c>
      <c r="D91" s="20">
        <v>2.1914677323327131E-7</v>
      </c>
      <c r="E91" s="20">
        <v>0.39578180233647076</v>
      </c>
      <c r="F91" s="20">
        <v>0.23169107002565148</v>
      </c>
      <c r="G91" s="20">
        <v>0.14931548547714624</v>
      </c>
      <c r="H91" s="20">
        <v>0</v>
      </c>
      <c r="I91" s="20">
        <v>1.477524683367302E-2</v>
      </c>
      <c r="J91" s="20">
        <v>9.6505916637838043E-2</v>
      </c>
      <c r="K91" s="20">
        <v>0.50771206187891815</v>
      </c>
      <c r="L91" s="20">
        <v>0</v>
      </c>
    </row>
    <row r="92" spans="1:12">
      <c r="A92" s="2" t="s">
        <v>462</v>
      </c>
      <c r="B92" s="3" t="s">
        <v>463</v>
      </c>
      <c r="D92" s="20">
        <v>8.1111915121885432E-9</v>
      </c>
      <c r="E92" s="20">
        <v>0.41782760798588481</v>
      </c>
      <c r="F92" s="20">
        <v>7.6376344852767647E-2</v>
      </c>
      <c r="G92" s="20">
        <v>1.6689926566688263E-2</v>
      </c>
      <c r="H92" s="20">
        <v>0</v>
      </c>
      <c r="I92" s="20">
        <v>0.32476133656642892</v>
      </c>
      <c r="J92" s="20">
        <v>1.0473879071235136E-2</v>
      </c>
      <c r="K92" s="20">
        <v>0.57169850483168838</v>
      </c>
      <c r="L92" s="20">
        <v>0</v>
      </c>
    </row>
    <row r="93" spans="1:12">
      <c r="A93" s="2" t="s">
        <v>464</v>
      </c>
      <c r="B93" s="3" t="s">
        <v>465</v>
      </c>
      <c r="D93" s="20">
        <v>6.2699192383859246E-4</v>
      </c>
      <c r="E93" s="20">
        <v>0.36927329120385555</v>
      </c>
      <c r="F93" s="20">
        <v>0.20584302793836828</v>
      </c>
      <c r="G93" s="20">
        <v>3.8961145494797789E-2</v>
      </c>
      <c r="H93" s="20">
        <v>0</v>
      </c>
      <c r="I93" s="20">
        <v>0.12446911777068946</v>
      </c>
      <c r="J93" s="20">
        <v>2.4557609913339218E-2</v>
      </c>
      <c r="K93" s="20">
        <v>0.60554210695896671</v>
      </c>
      <c r="L93" s="20">
        <v>0</v>
      </c>
    </row>
    <row r="94" spans="1:12">
      <c r="A94" s="2" t="s">
        <v>466</v>
      </c>
      <c r="B94" s="3" t="s">
        <v>467</v>
      </c>
      <c r="D94" s="20">
        <v>2.0179468992209282E-18</v>
      </c>
      <c r="E94" s="20">
        <v>0.99934162657485748</v>
      </c>
      <c r="F94" s="20">
        <v>1.1557290182783793E-2</v>
      </c>
      <c r="G94" s="20">
        <v>1.5187787507712508E-6</v>
      </c>
      <c r="H94" s="20">
        <v>0</v>
      </c>
      <c r="I94" s="20">
        <v>0.98778281761332287</v>
      </c>
      <c r="J94" s="20">
        <v>4.829017012128824E-4</v>
      </c>
      <c r="K94" s="20">
        <v>1.7547172392987548E-4</v>
      </c>
      <c r="L94" s="20">
        <v>0</v>
      </c>
    </row>
    <row r="95" spans="1:12">
      <c r="A95" s="2" t="s">
        <v>468</v>
      </c>
      <c r="B95" s="3" t="s">
        <v>469</v>
      </c>
      <c r="D95" s="20">
        <v>9.1268692436980417E-18</v>
      </c>
      <c r="E95" s="20">
        <v>0.4304647406658853</v>
      </c>
      <c r="F95" s="20">
        <v>0.31644340104074159</v>
      </c>
      <c r="G95" s="20">
        <v>7.828735113799852E-2</v>
      </c>
      <c r="H95" s="20">
        <v>0</v>
      </c>
      <c r="I95" s="20">
        <v>3.573398848714518E-2</v>
      </c>
      <c r="J95" s="20">
        <v>5.0012916880907907E-2</v>
      </c>
      <c r="K95" s="20">
        <v>0.51952234245320672</v>
      </c>
      <c r="L95" s="20">
        <v>0</v>
      </c>
    </row>
    <row r="96" spans="1:12">
      <c r="A96" s="2" t="s">
        <v>470</v>
      </c>
      <c r="B96" s="163">
        <v>354656</v>
      </c>
      <c r="D96" s="20">
        <v>3.6766324690176974E-10</v>
      </c>
      <c r="E96" s="20">
        <v>0.96959591109931154</v>
      </c>
      <c r="F96" s="20">
        <v>9.8022197191980793E-5</v>
      </c>
      <c r="G96" s="20">
        <v>3.7915779458250777E-5</v>
      </c>
      <c r="H96" s="20">
        <v>0</v>
      </c>
      <c r="I96" s="20">
        <v>0.9694599731226613</v>
      </c>
      <c r="J96" s="20">
        <v>3.7565903118203257E-4</v>
      </c>
      <c r="K96" s="20">
        <v>3.0028429501843163E-2</v>
      </c>
      <c r="L96" s="20">
        <v>0</v>
      </c>
    </row>
    <row r="97" spans="1:12">
      <c r="A97" s="2" t="s">
        <v>472</v>
      </c>
      <c r="B97" s="3" t="s">
        <v>473</v>
      </c>
      <c r="D97" s="20">
        <v>5.6726786002011127E-10</v>
      </c>
      <c r="E97" s="20">
        <v>0.93661171372548679</v>
      </c>
      <c r="F97" s="20">
        <v>4.1904666930073702E-4</v>
      </c>
      <c r="G97" s="20">
        <v>1.4526398318525963E-4</v>
      </c>
      <c r="H97" s="20">
        <v>0</v>
      </c>
      <c r="I97" s="20">
        <v>0.93604740307300083</v>
      </c>
      <c r="J97" s="20">
        <v>4.2743621860889765E-4</v>
      </c>
      <c r="K97" s="20">
        <v>6.2960849488636492E-2</v>
      </c>
      <c r="L97" s="20">
        <v>0</v>
      </c>
    </row>
    <row r="98" spans="1:12">
      <c r="A98" s="2" t="s">
        <v>474</v>
      </c>
      <c r="B98" s="3" t="s">
        <v>475</v>
      </c>
      <c r="D98" s="20">
        <v>1.8690293693300536E-19</v>
      </c>
      <c r="E98" s="20">
        <v>0.4095430038750365</v>
      </c>
      <c r="F98" s="20">
        <v>0.28516113898046369</v>
      </c>
      <c r="G98" s="20">
        <v>5.0697424375323825E-2</v>
      </c>
      <c r="H98" s="20">
        <v>0</v>
      </c>
      <c r="I98" s="20">
        <v>7.3684440519248967E-2</v>
      </c>
      <c r="J98" s="20">
        <v>3.2117273327084313E-2</v>
      </c>
      <c r="K98" s="20">
        <v>0.55833972279787925</v>
      </c>
      <c r="L98" s="20">
        <v>0</v>
      </c>
    </row>
    <row r="99" spans="1:12">
      <c r="A99" s="2" t="s">
        <v>476</v>
      </c>
      <c r="B99" s="3" t="s">
        <v>477</v>
      </c>
      <c r="D99" s="20">
        <v>1.7342761151851411E-7</v>
      </c>
      <c r="E99" s="20">
        <v>0.99129561466915217</v>
      </c>
      <c r="F99" s="20">
        <v>8.2222837060758611E-6</v>
      </c>
      <c r="G99" s="20">
        <v>3.8237369976147941E-6</v>
      </c>
      <c r="H99" s="20">
        <v>0</v>
      </c>
      <c r="I99" s="20">
        <v>0.99128356864844847</v>
      </c>
      <c r="J99" s="20">
        <v>3.6354756577851522E-4</v>
      </c>
      <c r="K99" s="20">
        <v>8.3406643374579793E-3</v>
      </c>
      <c r="L99" s="20">
        <v>0</v>
      </c>
    </row>
    <row r="100" spans="1:12">
      <c r="A100" s="2" t="s">
        <v>478</v>
      </c>
      <c r="B100" s="3" t="s">
        <v>479</v>
      </c>
      <c r="D100" s="20">
        <v>6.6495670799951789E-11</v>
      </c>
      <c r="E100" s="20">
        <v>0.56982279629835419</v>
      </c>
      <c r="F100" s="20">
        <v>2.740738410823846E-2</v>
      </c>
      <c r="G100" s="20">
        <v>6.7013629733638355E-3</v>
      </c>
      <c r="H100" s="20">
        <v>0</v>
      </c>
      <c r="I100" s="20">
        <v>0.53571404921675192</v>
      </c>
      <c r="J100" s="20">
        <v>4.3084542904147814E-3</v>
      </c>
      <c r="K100" s="20">
        <v>0.42586874934473534</v>
      </c>
      <c r="L100" s="20">
        <v>0</v>
      </c>
    </row>
    <row r="101" spans="1:12">
      <c r="A101" s="2" t="s">
        <v>480</v>
      </c>
      <c r="B101" s="3" t="s">
        <v>481</v>
      </c>
      <c r="D101" s="20">
        <v>4.6669892390728942E-11</v>
      </c>
      <c r="E101" s="20">
        <v>0.98566761923315804</v>
      </c>
      <c r="F101" s="20">
        <v>2.2228543879842108E-5</v>
      </c>
      <c r="G101" s="20">
        <v>9.6029920598723739E-6</v>
      </c>
      <c r="H101" s="20">
        <v>0</v>
      </c>
      <c r="I101" s="20">
        <v>0.98563578769721838</v>
      </c>
      <c r="J101" s="20">
        <v>3.6486398685470076E-4</v>
      </c>
      <c r="K101" s="20">
        <v>1.3967516733317331E-2</v>
      </c>
      <c r="L101" s="20">
        <v>0</v>
      </c>
    </row>
    <row r="102" spans="1:12">
      <c r="A102" s="2" t="s">
        <v>482</v>
      </c>
      <c r="B102" s="3" t="s">
        <v>483</v>
      </c>
      <c r="D102" s="20">
        <v>2.9326352043547023E-27</v>
      </c>
      <c r="E102" s="20">
        <v>0.9960904192147555</v>
      </c>
      <c r="F102" s="20">
        <v>1.586106184721981E-6</v>
      </c>
      <c r="G102" s="20">
        <v>8.3296703419032689E-7</v>
      </c>
      <c r="H102" s="20">
        <v>0</v>
      </c>
      <c r="I102" s="20">
        <v>0.99608800014153653</v>
      </c>
      <c r="J102" s="20">
        <v>3.6356679670156161E-4</v>
      </c>
      <c r="K102" s="20">
        <v>3.5460139885427956E-3</v>
      </c>
      <c r="L102" s="20">
        <v>0</v>
      </c>
    </row>
    <row r="103" spans="1:12">
      <c r="A103" s="2" t="s">
        <v>484</v>
      </c>
      <c r="B103" s="3" t="s">
        <v>485</v>
      </c>
      <c r="D103" s="20">
        <v>2.3392940518666236E-13</v>
      </c>
      <c r="E103" s="20">
        <v>0.99156102096396204</v>
      </c>
      <c r="F103" s="20">
        <v>7.7260769878022352E-6</v>
      </c>
      <c r="G103" s="20">
        <v>3.6095626722764553E-6</v>
      </c>
      <c r="H103" s="20">
        <v>0</v>
      </c>
      <c r="I103" s="20">
        <v>0.99154968532430199</v>
      </c>
      <c r="J103" s="20">
        <v>3.6352002017617284E-4</v>
      </c>
      <c r="K103" s="20">
        <v>8.0754590156278394E-3</v>
      </c>
      <c r="L103" s="20">
        <v>0</v>
      </c>
    </row>
    <row r="104" spans="1:12">
      <c r="A104" s="2" t="s">
        <v>486</v>
      </c>
      <c r="B104" s="3" t="s">
        <v>487</v>
      </c>
      <c r="D104" s="20">
        <v>2.8866543660984231E-9</v>
      </c>
      <c r="E104" s="20">
        <v>0.95418180457816326</v>
      </c>
      <c r="F104" s="20">
        <v>2.2012481378505113E-4</v>
      </c>
      <c r="G104" s="20">
        <v>8.0124356933212622E-5</v>
      </c>
      <c r="H104" s="20">
        <v>0</v>
      </c>
      <c r="I104" s="20">
        <v>0.95388155540744501</v>
      </c>
      <c r="J104" s="20">
        <v>3.9504889753425791E-4</v>
      </c>
      <c r="K104" s="20">
        <v>4.5423143637648211E-2</v>
      </c>
      <c r="L104" s="20">
        <v>0</v>
      </c>
    </row>
    <row r="105" spans="1:12">
      <c r="A105" s="2" t="s">
        <v>488</v>
      </c>
      <c r="B105" s="3" t="s">
        <v>489</v>
      </c>
      <c r="D105" s="20">
        <v>2.3323267503292312E-16</v>
      </c>
      <c r="E105" s="20">
        <v>0.99538373891740861</v>
      </c>
      <c r="F105" s="20">
        <v>2.2493840343526659E-6</v>
      </c>
      <c r="G105" s="20">
        <v>1.1512222206166569E-6</v>
      </c>
      <c r="H105" s="20">
        <v>0</v>
      </c>
      <c r="I105" s="20">
        <v>0.99538033831115369</v>
      </c>
      <c r="J105" s="20">
        <v>3.6349207604594448E-4</v>
      </c>
      <c r="K105" s="20">
        <v>4.2527690065451715E-3</v>
      </c>
      <c r="L105" s="20">
        <v>0</v>
      </c>
    </row>
    <row r="106" spans="1:12">
      <c r="A106" s="2" t="s">
        <v>490</v>
      </c>
      <c r="B106" s="3" t="s">
        <v>491</v>
      </c>
      <c r="D106" s="20">
        <v>1.3033966328943808E-8</v>
      </c>
      <c r="E106" s="20">
        <v>0.85067742639708577</v>
      </c>
      <c r="F106" s="20">
        <v>2.3842446106365684E-3</v>
      </c>
      <c r="G106" s="20">
        <v>7.2184900968610619E-4</v>
      </c>
      <c r="H106" s="20">
        <v>0</v>
      </c>
      <c r="I106" s="20">
        <v>0.84757133277676311</v>
      </c>
      <c r="J106" s="20">
        <v>7.4302532333676689E-4</v>
      </c>
      <c r="K106" s="20">
        <v>0.1485795352456111</v>
      </c>
      <c r="L106" s="20">
        <v>0</v>
      </c>
    </row>
    <row r="107" spans="1:12">
      <c r="A107" s="2" t="s">
        <v>492</v>
      </c>
      <c r="B107" s="3" t="s">
        <v>493</v>
      </c>
      <c r="D107" s="20">
        <v>9.5134721530908031E-16</v>
      </c>
      <c r="E107" s="20">
        <v>0.43235025310586328</v>
      </c>
      <c r="F107" s="20">
        <v>0.31784345007636045</v>
      </c>
      <c r="G107" s="20">
        <v>5.5170741576039961E-2</v>
      </c>
      <c r="H107" s="20">
        <v>0</v>
      </c>
      <c r="I107" s="20">
        <v>5.9336061453462853E-2</v>
      </c>
      <c r="J107" s="20">
        <v>3.5024863528296854E-2</v>
      </c>
      <c r="K107" s="20">
        <v>0.5326248833658388</v>
      </c>
      <c r="L107" s="20">
        <v>0</v>
      </c>
    </row>
    <row r="108" spans="1:12">
      <c r="A108" s="2" t="s">
        <v>291</v>
      </c>
      <c r="B108" s="3" t="s">
        <v>494</v>
      </c>
      <c r="D108" s="20">
        <v>3.6238432769076666E-10</v>
      </c>
      <c r="E108" s="20">
        <v>0.60996415213618782</v>
      </c>
      <c r="F108" s="20">
        <v>2.1039897611611801E-2</v>
      </c>
      <c r="G108" s="20">
        <v>5.2788482476608875E-3</v>
      </c>
      <c r="H108" s="20">
        <v>0</v>
      </c>
      <c r="I108" s="20">
        <v>0.58364540627691508</v>
      </c>
      <c r="J108" s="20">
        <v>3.4447863387453096E-3</v>
      </c>
      <c r="K108" s="20">
        <v>0.38659106116268255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313</v>
      </c>
      <c r="B2" s="3" t="s">
        <v>314</v>
      </c>
      <c r="D2" s="14">
        <v>3.7802401806147008E-9</v>
      </c>
      <c r="E2" s="14">
        <v>3.231164423856161E-5</v>
      </c>
      <c r="F2" s="14">
        <v>1.5367159850203645E-7</v>
      </c>
      <c r="G2" s="14">
        <v>4.4759905838054006E-8</v>
      </c>
      <c r="H2" s="14">
        <v>0</v>
      </c>
      <c r="I2" s="14">
        <v>3.8793500767458856E-8</v>
      </c>
      <c r="J2" s="14">
        <v>7.4473505161502278E-6</v>
      </c>
      <c r="K2" s="14">
        <v>0</v>
      </c>
      <c r="M2" s="21"/>
      <c r="N2" s="102"/>
    </row>
    <row r="3" spans="1:24">
      <c r="A3" s="2" t="s">
        <v>315</v>
      </c>
      <c r="B3" s="3" t="s">
        <v>316</v>
      </c>
      <c r="D3" s="14">
        <v>6.5331048761727281E-7</v>
      </c>
      <c r="E3" s="14">
        <v>1.1966834766411973E-7</v>
      </c>
      <c r="F3" s="14">
        <v>4.4217465422858262E-6</v>
      </c>
      <c r="G3" s="14">
        <v>1.1980898812702248E-5</v>
      </c>
      <c r="H3" s="14">
        <v>0</v>
      </c>
      <c r="I3" s="14">
        <v>7.882606366587941E-6</v>
      </c>
      <c r="J3" s="14">
        <v>1.49417694431426E-5</v>
      </c>
      <c r="K3" s="14">
        <v>0</v>
      </c>
      <c r="M3" s="21"/>
      <c r="N3" s="102"/>
    </row>
    <row r="4" spans="1:24">
      <c r="A4" s="2" t="s">
        <v>317</v>
      </c>
      <c r="B4" s="3" t="s">
        <v>318</v>
      </c>
      <c r="D4" s="14">
        <v>2.4379603716255791E-16</v>
      </c>
      <c r="E4" s="14">
        <v>1.9605878480652361E-5</v>
      </c>
      <c r="F4" s="14">
        <v>1.3883560492499512E-6</v>
      </c>
      <c r="G4" s="14">
        <v>3.3143350700389028E-7</v>
      </c>
      <c r="H4" s="14">
        <v>0</v>
      </c>
      <c r="I4" s="14">
        <v>2.1104401719673142E-7</v>
      </c>
      <c r="J4" s="14">
        <v>1.8463287945653272E-5</v>
      </c>
      <c r="K4" s="14">
        <v>0</v>
      </c>
      <c r="M4" s="21"/>
    </row>
    <row r="5" spans="1:24">
      <c r="A5" s="2" t="s">
        <v>307</v>
      </c>
      <c r="B5" s="3" t="s">
        <v>308</v>
      </c>
      <c r="D5" s="14">
        <v>2.1501402379816572E-8</v>
      </c>
      <c r="E5" s="14">
        <v>1.2432728539248377E-6</v>
      </c>
      <c r="F5" s="14">
        <v>1.2109912400431287E-5</v>
      </c>
      <c r="G5" s="14">
        <v>3.5142815864034929E-6</v>
      </c>
      <c r="H5" s="14">
        <v>0</v>
      </c>
      <c r="I5" s="14">
        <v>2.2493561713740544E-6</v>
      </c>
      <c r="J5" s="14">
        <v>2.0861675585486523E-5</v>
      </c>
      <c r="K5" s="14">
        <v>0</v>
      </c>
      <c r="M5" s="21"/>
    </row>
    <row r="6" spans="1:24">
      <c r="A6" s="2" t="s">
        <v>319</v>
      </c>
      <c r="B6" s="3" t="s">
        <v>320</v>
      </c>
      <c r="D6" s="14">
        <v>2.2821567683799943E-9</v>
      </c>
      <c r="E6" s="14">
        <v>5.7377964655459546E-8</v>
      </c>
      <c r="F6" s="14">
        <v>3.0235676428169424E-6</v>
      </c>
      <c r="G6" s="14">
        <v>1.4849616722425986E-5</v>
      </c>
      <c r="H6" s="14">
        <v>0</v>
      </c>
      <c r="I6" s="14">
        <v>9.8427464288986029E-6</v>
      </c>
      <c r="J6" s="14">
        <v>1.2224409084434639E-5</v>
      </c>
      <c r="K6" s="14">
        <v>0</v>
      </c>
      <c r="M6" s="21"/>
      <c r="N6" s="12"/>
    </row>
    <row r="7" spans="1:24">
      <c r="A7" s="2" t="s">
        <v>321</v>
      </c>
      <c r="B7" s="3" t="s">
        <v>322</v>
      </c>
      <c r="D7" s="14">
        <v>3.2087433277733117E-9</v>
      </c>
      <c r="E7" s="14">
        <v>1.0935399235367166E-7</v>
      </c>
      <c r="F7" s="14">
        <v>4.2560742264751771E-6</v>
      </c>
      <c r="G7" s="14">
        <v>1.2580698337478793E-5</v>
      </c>
      <c r="H7" s="14">
        <v>0</v>
      </c>
      <c r="I7" s="14">
        <v>8.2862110964952102E-6</v>
      </c>
      <c r="J7" s="14">
        <v>1.476445360386938E-5</v>
      </c>
      <c r="K7" s="14">
        <v>0</v>
      </c>
      <c r="M7" s="21"/>
      <c r="N7" s="12"/>
    </row>
    <row r="8" spans="1:24">
      <c r="A8" s="2" t="s">
        <v>323</v>
      </c>
      <c r="B8" s="3" t="s">
        <v>324</v>
      </c>
      <c r="D8" s="14">
        <v>2.8856653043404377E-8</v>
      </c>
      <c r="E8" s="14">
        <v>2.3194532435834217E-7</v>
      </c>
      <c r="F8" s="14">
        <v>6.1676564209701485E-6</v>
      </c>
      <c r="G8" s="14">
        <v>9.6297658665721675E-6</v>
      </c>
      <c r="H8" s="14">
        <v>0</v>
      </c>
      <c r="I8" s="14">
        <v>6.2924402432431125E-6</v>
      </c>
      <c r="J8" s="14">
        <v>1.7649335491812835E-5</v>
      </c>
      <c r="K8" s="14">
        <v>0</v>
      </c>
      <c r="M8" s="21"/>
      <c r="N8" s="12"/>
    </row>
    <row r="9" spans="1:24">
      <c r="A9" s="2" t="s">
        <v>325</v>
      </c>
      <c r="B9" s="3" t="s">
        <v>326</v>
      </c>
      <c r="D9" s="14">
        <v>1.1209199979637476E-8</v>
      </c>
      <c r="E9" s="14">
        <v>6.5852805512255146E-6</v>
      </c>
      <c r="F9" s="14">
        <v>6.6046351606105514E-6</v>
      </c>
      <c r="G9" s="14">
        <v>1.2970131748524514E-6</v>
      </c>
      <c r="H9" s="14">
        <v>0</v>
      </c>
      <c r="I9" s="14">
        <v>8.1550417822942944E-7</v>
      </c>
      <c r="J9" s="14">
        <v>2.4686357735102419E-5</v>
      </c>
      <c r="K9" s="14">
        <v>0</v>
      </c>
      <c r="M9" s="21"/>
      <c r="N9" s="12"/>
    </row>
    <row r="10" spans="1:24">
      <c r="A10" s="2" t="s">
        <v>275</v>
      </c>
      <c r="B10" s="3" t="s">
        <v>276</v>
      </c>
      <c r="D10" s="14">
        <v>2.7515049658413598E-10</v>
      </c>
      <c r="E10" s="14">
        <v>1.1516220334875305E-6</v>
      </c>
      <c r="F10" s="14">
        <v>1.1815293542610103E-5</v>
      </c>
      <c r="G10" s="14">
        <v>3.7405896789017795E-6</v>
      </c>
      <c r="H10" s="14">
        <v>0</v>
      </c>
      <c r="I10" s="14">
        <v>2.3967227650317724E-6</v>
      </c>
      <c r="J10" s="14">
        <v>2.0895496829472232E-5</v>
      </c>
      <c r="K10" s="14">
        <v>0</v>
      </c>
      <c r="M10" s="21"/>
      <c r="N10" s="12"/>
    </row>
    <row r="11" spans="1:24">
      <c r="A11" s="2" t="s">
        <v>327</v>
      </c>
      <c r="B11" s="3" t="s">
        <v>328</v>
      </c>
      <c r="D11" s="14">
        <v>1.4232536009901701E-8</v>
      </c>
      <c r="E11" s="14">
        <v>1.0102339417345354E-6</v>
      </c>
      <c r="F11" s="14">
        <v>1.1302031312611979E-5</v>
      </c>
      <c r="G11" s="14">
        <v>4.1366812855270962E-6</v>
      </c>
      <c r="H11" s="14">
        <v>0</v>
      </c>
      <c r="I11" s="14">
        <v>2.6551766991925948E-6</v>
      </c>
      <c r="J11" s="14">
        <v>2.0881644224923897E-5</v>
      </c>
      <c r="K11" s="14">
        <v>0</v>
      </c>
      <c r="M11" s="21"/>
      <c r="N11" s="12"/>
    </row>
    <row r="12" spans="1:24">
      <c r="A12" s="2" t="s">
        <v>329</v>
      </c>
      <c r="B12" s="3" t="s">
        <v>330</v>
      </c>
      <c r="D12" s="14">
        <v>6.811788968264223E-9</v>
      </c>
      <c r="E12" s="14">
        <v>4.9090883627823773E-6</v>
      </c>
      <c r="F12" s="14">
        <v>8.3240637918159173E-6</v>
      </c>
      <c r="G12" s="14">
        <v>1.5726459293849746E-6</v>
      </c>
      <c r="H12" s="14">
        <v>0</v>
      </c>
      <c r="I12" s="14">
        <v>9.9138957689999562E-7</v>
      </c>
      <c r="J12" s="14">
        <v>2.4196000550148479E-5</v>
      </c>
      <c r="K12" s="14">
        <v>0</v>
      </c>
      <c r="M12" s="21"/>
      <c r="N12" s="12"/>
    </row>
    <row r="13" spans="1:24">
      <c r="A13" s="2" t="s">
        <v>277</v>
      </c>
      <c r="B13" s="3" t="s">
        <v>278</v>
      </c>
      <c r="D13" s="14">
        <v>1.7698412407719408E-8</v>
      </c>
      <c r="E13" s="14">
        <v>6.4093498116481235E-6</v>
      </c>
      <c r="F13" s="14">
        <v>6.7578496564261851E-6</v>
      </c>
      <c r="G13" s="14">
        <v>1.3222210930259704E-6</v>
      </c>
      <c r="H13" s="14">
        <v>0</v>
      </c>
      <c r="I13" s="14">
        <v>8.3153870622572423E-7</v>
      </c>
      <c r="J13" s="14">
        <v>2.4661342320266283E-5</v>
      </c>
      <c r="K13" s="14">
        <v>0</v>
      </c>
      <c r="M13" s="21"/>
      <c r="N13" s="12"/>
    </row>
    <row r="14" spans="1:24">
      <c r="A14" s="2" t="s">
        <v>331</v>
      </c>
      <c r="B14" s="3" t="s">
        <v>332</v>
      </c>
      <c r="D14" s="14">
        <v>9.3667768873296647E-9</v>
      </c>
      <c r="E14" s="14">
        <v>6.6201806441208276E-7</v>
      </c>
      <c r="F14" s="14">
        <v>9.6864444126084253E-6</v>
      </c>
      <c r="G14" s="14">
        <v>5.558529897167996E-6</v>
      </c>
      <c r="H14" s="14">
        <v>0</v>
      </c>
      <c r="I14" s="14">
        <v>3.587477366373582E-6</v>
      </c>
      <c r="J14" s="14">
        <v>2.0496163482550588E-5</v>
      </c>
      <c r="K14" s="14">
        <v>0</v>
      </c>
      <c r="M14" s="21"/>
      <c r="N14" s="12"/>
    </row>
    <row r="15" spans="1:24">
      <c r="A15" s="2" t="s">
        <v>333</v>
      </c>
      <c r="B15" s="3" t="s">
        <v>334</v>
      </c>
      <c r="D15" s="14">
        <v>1.5547159647395354E-11</v>
      </c>
      <c r="E15" s="14">
        <v>1.0791721341749177E-6</v>
      </c>
      <c r="F15" s="14">
        <v>1.1561795222401419E-5</v>
      </c>
      <c r="G15" s="14">
        <v>3.9356895027639887E-6</v>
      </c>
      <c r="H15" s="14">
        <v>0</v>
      </c>
      <c r="I15" s="14">
        <v>2.5239448770495965E-6</v>
      </c>
      <c r="J15" s="14">
        <v>2.0899382716450437E-5</v>
      </c>
      <c r="K15" s="14">
        <v>0</v>
      </c>
      <c r="M15" s="21"/>
      <c r="N15" s="12"/>
    </row>
    <row r="16" spans="1:24">
      <c r="A16" s="2" t="s">
        <v>335</v>
      </c>
      <c r="B16" s="3" t="s">
        <v>336</v>
      </c>
      <c r="D16" s="14">
        <v>7.4781607665860784E-8</v>
      </c>
      <c r="E16" s="14">
        <v>2.3936159048465567E-7</v>
      </c>
      <c r="F16" s="14">
        <v>6.2556005957603548E-6</v>
      </c>
      <c r="G16" s="14">
        <v>9.4877791669751222E-6</v>
      </c>
      <c r="H16" s="14">
        <v>0</v>
      </c>
      <c r="I16" s="14">
        <v>6.1974282294597381E-6</v>
      </c>
      <c r="J16" s="14">
        <v>1.7745048809654266E-5</v>
      </c>
      <c r="K16" s="14">
        <v>0</v>
      </c>
      <c r="M16" s="21"/>
      <c r="N16" s="12"/>
      <c r="V16" s="22"/>
      <c r="X16" s="22"/>
    </row>
    <row r="17" spans="1:14">
      <c r="A17" s="2" t="s">
        <v>337</v>
      </c>
      <c r="B17" s="3" t="s">
        <v>338</v>
      </c>
      <c r="D17" s="14">
        <v>5.5162461105311228E-9</v>
      </c>
      <c r="E17" s="14">
        <v>1.2123368294301505E-6</v>
      </c>
      <c r="F17" s="14">
        <v>1.2014836054681612E-5</v>
      </c>
      <c r="G17" s="14">
        <v>3.5893301294155925E-6</v>
      </c>
      <c r="H17" s="14">
        <v>0</v>
      </c>
      <c r="I17" s="14">
        <v>2.2981951323630375E-6</v>
      </c>
      <c r="J17" s="14">
        <v>2.0879785607999083E-5</v>
      </c>
      <c r="K17" s="14">
        <v>0</v>
      </c>
      <c r="M17" s="21"/>
      <c r="N17" s="12"/>
    </row>
    <row r="18" spans="1:14">
      <c r="A18" s="2" t="s">
        <v>279</v>
      </c>
      <c r="B18" s="3" t="s">
        <v>280</v>
      </c>
      <c r="D18" s="14">
        <v>3.1412791097051702E-7</v>
      </c>
      <c r="E18" s="14">
        <v>7.3560757139664426E-6</v>
      </c>
      <c r="F18" s="14">
        <v>5.8908876638224017E-6</v>
      </c>
      <c r="G18" s="14">
        <v>1.1761867872216182E-6</v>
      </c>
      <c r="H18" s="14">
        <v>0</v>
      </c>
      <c r="I18" s="14">
        <v>7.3885634645240482E-7</v>
      </c>
      <c r="J18" s="14">
        <v>2.4523865577566618E-5</v>
      </c>
      <c r="K18" s="14">
        <v>0</v>
      </c>
      <c r="M18" s="21"/>
      <c r="N18" s="12"/>
    </row>
    <row r="19" spans="1:14">
      <c r="A19" s="2" t="s">
        <v>339</v>
      </c>
      <c r="B19" s="3" t="s">
        <v>340</v>
      </c>
      <c r="D19" s="14">
        <v>5.4454188838599069E-11</v>
      </c>
      <c r="E19" s="14">
        <v>1.0651504558923559E-6</v>
      </c>
      <c r="F19" s="14">
        <v>1.1510799996032323E-5</v>
      </c>
      <c r="G19" s="14">
        <v>3.975585183241671E-6</v>
      </c>
      <c r="H19" s="14">
        <v>0</v>
      </c>
      <c r="I19" s="14">
        <v>2.5499783204628974E-6</v>
      </c>
      <c r="J19" s="14">
        <v>2.0898431590181917E-5</v>
      </c>
      <c r="K19" s="14">
        <v>0</v>
      </c>
      <c r="M19" s="21"/>
      <c r="N19" s="12"/>
    </row>
    <row r="20" spans="1:14">
      <c r="A20" s="2" t="s">
        <v>281</v>
      </c>
      <c r="B20" s="3" t="s">
        <v>282</v>
      </c>
      <c r="D20" s="14">
        <v>2.6797693478112072E-9</v>
      </c>
      <c r="E20" s="14">
        <v>6.4117573703239616E-6</v>
      </c>
      <c r="F20" s="14">
        <v>6.7603881228929044E-6</v>
      </c>
      <c r="G20" s="14">
        <v>1.3227177619483167E-6</v>
      </c>
      <c r="H20" s="14">
        <v>0</v>
      </c>
      <c r="I20" s="14">
        <v>8.3185105900491433E-7</v>
      </c>
      <c r="J20" s="14">
        <v>2.4670605916482094E-5</v>
      </c>
      <c r="K20" s="14">
        <v>0</v>
      </c>
      <c r="M20" s="21"/>
      <c r="N20" s="12"/>
    </row>
    <row r="21" spans="1:14">
      <c r="A21" s="2" t="s">
        <v>341</v>
      </c>
      <c r="B21" s="3" t="s">
        <v>342</v>
      </c>
      <c r="D21" s="14">
        <v>7.8495983450440734E-8</v>
      </c>
      <c r="E21" s="14">
        <v>7.4931961182144541E-7</v>
      </c>
      <c r="F21" s="14">
        <v>1.0141954313621373E-5</v>
      </c>
      <c r="G21" s="14">
        <v>5.1076038449206655E-6</v>
      </c>
      <c r="H21" s="14">
        <v>0</v>
      </c>
      <c r="I21" s="14">
        <v>3.2911722529426546E-6</v>
      </c>
      <c r="J21" s="14">
        <v>2.0631453993243426E-5</v>
      </c>
      <c r="K21" s="14">
        <v>0</v>
      </c>
      <c r="M21" s="21"/>
      <c r="N21" s="12"/>
    </row>
    <row r="22" spans="1:14">
      <c r="A22" s="2" t="s">
        <v>343</v>
      </c>
      <c r="B22" s="3" t="s">
        <v>344</v>
      </c>
      <c r="D22" s="14">
        <v>9.0550605466360377E-8</v>
      </c>
      <c r="E22" s="14">
        <v>2.6009441282567986E-5</v>
      </c>
      <c r="F22" s="14">
        <v>5.5458174949846526E-7</v>
      </c>
      <c r="G22" s="14">
        <v>1.4463091336076869E-7</v>
      </c>
      <c r="H22" s="14">
        <v>0</v>
      </c>
      <c r="I22" s="14">
        <v>9.7704382478606737E-8</v>
      </c>
      <c r="J22" s="14">
        <v>1.3103091066627812E-5</v>
      </c>
      <c r="K22" s="14">
        <v>0</v>
      </c>
      <c r="M22" s="21"/>
      <c r="N22" s="12"/>
    </row>
    <row r="23" spans="1:14">
      <c r="A23" s="2" t="s">
        <v>345</v>
      </c>
      <c r="B23" s="3" t="s">
        <v>346</v>
      </c>
      <c r="D23" s="14">
        <v>3.5685703913804707E-9</v>
      </c>
      <c r="E23" s="14">
        <v>3.0414027360675483E-5</v>
      </c>
      <c r="F23" s="14">
        <v>2.4455045922389318E-7</v>
      </c>
      <c r="G23" s="14">
        <v>6.8527365839873907E-8</v>
      </c>
      <c r="H23" s="14">
        <v>0</v>
      </c>
      <c r="I23" s="14">
        <v>5.2600416188108516E-8</v>
      </c>
      <c r="J23" s="14">
        <v>9.216725827681261E-6</v>
      </c>
      <c r="K23" s="14">
        <v>0</v>
      </c>
      <c r="M23" s="21"/>
    </row>
    <row r="24" spans="1:14">
      <c r="A24" s="2" t="s">
        <v>347</v>
      </c>
      <c r="B24" s="3" t="s">
        <v>348</v>
      </c>
      <c r="D24" s="14">
        <v>5.3308402755486646E-9</v>
      </c>
      <c r="E24" s="14">
        <v>1.2859240972392678E-5</v>
      </c>
      <c r="F24" s="14">
        <v>3.1007723671742083E-6</v>
      </c>
      <c r="G24" s="14">
        <v>6.763405720670598E-7</v>
      </c>
      <c r="H24" s="14">
        <v>0</v>
      </c>
      <c r="I24" s="14">
        <v>4.2440698068441636E-7</v>
      </c>
      <c r="J24" s="14">
        <v>2.2933908267406092E-5</v>
      </c>
      <c r="K24" s="14">
        <v>0</v>
      </c>
      <c r="M24" s="21"/>
    </row>
    <row r="25" spans="1:14">
      <c r="A25" s="2" t="s">
        <v>349</v>
      </c>
      <c r="B25" s="3" t="s">
        <v>350</v>
      </c>
      <c r="D25" s="14">
        <v>1.965988004438077E-6</v>
      </c>
      <c r="E25" s="14">
        <v>3.0881652246687511E-6</v>
      </c>
      <c r="F25" s="14">
        <v>1.0286202705874124E-5</v>
      </c>
      <c r="G25" s="14">
        <v>1.8490584252133008E-6</v>
      </c>
      <c r="H25" s="14">
        <v>0</v>
      </c>
      <c r="I25" s="14">
        <v>1.1702862706092494E-6</v>
      </c>
      <c r="J25" s="14">
        <v>2.1640299369196499E-5</v>
      </c>
      <c r="K25" s="14">
        <v>0</v>
      </c>
      <c r="M25" s="21"/>
    </row>
    <row r="26" spans="1:14">
      <c r="A26" s="2" t="s">
        <v>351</v>
      </c>
      <c r="B26" s="3" t="s">
        <v>352</v>
      </c>
      <c r="D26" s="14">
        <v>6.3160437567304791E-8</v>
      </c>
      <c r="E26" s="14">
        <v>8.1400073041098797E-7</v>
      </c>
      <c r="F26" s="14">
        <v>1.0459702805473645E-5</v>
      </c>
      <c r="G26" s="14">
        <v>4.8285296252351726E-6</v>
      </c>
      <c r="H26" s="14">
        <v>0</v>
      </c>
      <c r="I26" s="14">
        <v>3.1080319433088012E-6</v>
      </c>
      <c r="J26" s="14">
        <v>2.0726574458004089E-5</v>
      </c>
      <c r="K26" s="14">
        <v>0</v>
      </c>
    </row>
    <row r="27" spans="1:14">
      <c r="A27" s="2" t="s">
        <v>353</v>
      </c>
      <c r="B27" s="3" t="s">
        <v>354</v>
      </c>
      <c r="D27" s="14">
        <v>4.5204566756975955E-7</v>
      </c>
      <c r="E27" s="14">
        <v>1.3132335693797656E-7</v>
      </c>
      <c r="F27" s="14">
        <v>4.646827236079075E-6</v>
      </c>
      <c r="G27" s="14">
        <v>1.1709870212666586E-5</v>
      </c>
      <c r="H27" s="14">
        <v>0</v>
      </c>
      <c r="I27" s="14">
        <v>7.697333907067253E-6</v>
      </c>
      <c r="J27" s="14">
        <v>1.5362599619679355E-5</v>
      </c>
      <c r="K27" s="14">
        <v>0</v>
      </c>
    </row>
    <row r="28" spans="1:14">
      <c r="A28" s="2" t="s">
        <v>355</v>
      </c>
      <c r="B28" s="3" t="s">
        <v>356</v>
      </c>
      <c r="D28" s="14">
        <v>2.3601515396661849E-8</v>
      </c>
      <c r="E28" s="14">
        <v>4.4730067482426502E-7</v>
      </c>
      <c r="F28" s="14">
        <v>8.2682595994883304E-6</v>
      </c>
      <c r="G28" s="14">
        <v>7.0195562597536835E-6</v>
      </c>
      <c r="H28" s="14">
        <v>0</v>
      </c>
      <c r="I28" s="14">
        <v>4.5523440280447958E-6</v>
      </c>
      <c r="J28" s="14">
        <v>1.9688937922492268E-5</v>
      </c>
      <c r="K28" s="14">
        <v>0</v>
      </c>
    </row>
    <row r="29" spans="1:14">
      <c r="A29" s="2" t="s">
        <v>357</v>
      </c>
      <c r="B29" s="3" t="s">
        <v>358</v>
      </c>
      <c r="D29" s="14">
        <v>4.3618105153870649E-6</v>
      </c>
      <c r="E29" s="14">
        <v>6.1535602852041515E-7</v>
      </c>
      <c r="F29" s="14">
        <v>8.7728561867788032E-6</v>
      </c>
      <c r="G29" s="14">
        <v>4.8198837691181942E-6</v>
      </c>
      <c r="H29" s="14">
        <v>0</v>
      </c>
      <c r="I29" s="14">
        <v>3.1090926039285878E-6</v>
      </c>
      <c r="J29" s="14">
        <v>1.8321000896266937E-5</v>
      </c>
      <c r="K29" s="14">
        <v>0</v>
      </c>
    </row>
    <row r="30" spans="1:14">
      <c r="A30" s="2" t="s">
        <v>359</v>
      </c>
      <c r="B30" s="3" t="s">
        <v>360</v>
      </c>
      <c r="D30" s="14">
        <v>2.3601515396661849E-8</v>
      </c>
      <c r="E30" s="14">
        <v>4.4730067482426502E-7</v>
      </c>
      <c r="F30" s="14">
        <v>8.2682595994883304E-6</v>
      </c>
      <c r="G30" s="14">
        <v>7.0195562597536835E-6</v>
      </c>
      <c r="H30" s="14">
        <v>0</v>
      </c>
      <c r="I30" s="14">
        <v>4.5523440280447958E-6</v>
      </c>
      <c r="J30" s="14">
        <v>1.9688937922492268E-5</v>
      </c>
      <c r="K30" s="14">
        <v>0</v>
      </c>
    </row>
    <row r="31" spans="1:14">
      <c r="A31" s="2" t="s">
        <v>283</v>
      </c>
      <c r="B31" s="3" t="s">
        <v>284</v>
      </c>
      <c r="D31" s="14">
        <v>1.0455372830178971E-12</v>
      </c>
      <c r="E31" s="14">
        <v>3.9049833683892318E-5</v>
      </c>
      <c r="F31" s="14">
        <v>2.394493921515551E-9</v>
      </c>
      <c r="G31" s="14">
        <v>9.6096881488532158E-10</v>
      </c>
      <c r="H31" s="14">
        <v>0</v>
      </c>
      <c r="I31" s="14">
        <v>1.479690490291396E-8</v>
      </c>
      <c r="J31" s="14">
        <v>9.3201290293108279E-7</v>
      </c>
      <c r="K31" s="14">
        <v>0</v>
      </c>
    </row>
    <row r="32" spans="1:14">
      <c r="A32" s="2" t="s">
        <v>361</v>
      </c>
      <c r="B32" s="3" t="s">
        <v>362</v>
      </c>
      <c r="D32" s="14">
        <v>1.0870117811352613E-12</v>
      </c>
      <c r="E32" s="14">
        <v>2.2204453314143699E-5</v>
      </c>
      <c r="F32" s="14">
        <v>9.946872610689517E-7</v>
      </c>
      <c r="G32" s="14">
        <v>2.4524785490058835E-7</v>
      </c>
      <c r="H32" s="14">
        <v>0</v>
      </c>
      <c r="I32" s="14">
        <v>1.6036785655193377E-7</v>
      </c>
      <c r="J32" s="14">
        <v>1.6395242626323053E-5</v>
      </c>
      <c r="K32" s="14">
        <v>0</v>
      </c>
    </row>
    <row r="33" spans="1:11">
      <c r="A33" s="2" t="s">
        <v>364</v>
      </c>
      <c r="B33" s="3" t="s">
        <v>365</v>
      </c>
      <c r="D33" s="14">
        <v>4.8282314147044104E-15</v>
      </c>
      <c r="E33" s="14">
        <v>3.9966111442184558E-5</v>
      </c>
      <c r="F33" s="14">
        <v>1.6807628699538092E-8</v>
      </c>
      <c r="G33" s="14">
        <v>5.1396526349689983E-12</v>
      </c>
      <c r="H33" s="14">
        <v>0</v>
      </c>
      <c r="I33" s="14">
        <v>1.4790994059923882E-8</v>
      </c>
      <c r="J33" s="14">
        <v>2.2847905751117365E-9</v>
      </c>
      <c r="K33" s="14">
        <v>0</v>
      </c>
    </row>
    <row r="34" spans="1:11">
      <c r="A34" s="2" t="s">
        <v>285</v>
      </c>
      <c r="B34" s="3" t="s">
        <v>286</v>
      </c>
      <c r="D34" s="14">
        <v>2.4105098551651804E-14</v>
      </c>
      <c r="E34" s="14">
        <v>3.6908152745427248E-5</v>
      </c>
      <c r="F34" s="14">
        <v>3.0366648306358068E-6</v>
      </c>
      <c r="G34" s="14">
        <v>2.4938559652247289E-10</v>
      </c>
      <c r="H34" s="14">
        <v>0</v>
      </c>
      <c r="I34" s="14">
        <v>4.1859751258506623E-8</v>
      </c>
      <c r="J34" s="14">
        <v>1.3073262976819754E-8</v>
      </c>
      <c r="K34" s="14">
        <v>0</v>
      </c>
    </row>
    <row r="35" spans="1:11">
      <c r="A35" s="2" t="s">
        <v>287</v>
      </c>
      <c r="B35" s="3" t="s">
        <v>288</v>
      </c>
      <c r="D35" s="14">
        <v>1.0612278990346118E-15</v>
      </c>
      <c r="E35" s="14">
        <v>3.3024212973780343E-5</v>
      </c>
      <c r="F35" s="14">
        <v>6.8537305556637428E-6</v>
      </c>
      <c r="G35" s="14">
        <v>1.3272549368513033E-9</v>
      </c>
      <c r="H35" s="14">
        <v>0</v>
      </c>
      <c r="I35" s="14">
        <v>7.2902892946279976E-8</v>
      </c>
      <c r="J35" s="14">
        <v>4.782632161156381E-8</v>
      </c>
      <c r="K35" s="14">
        <v>0</v>
      </c>
    </row>
    <row r="36" spans="1:11">
      <c r="A36" s="2" t="s">
        <v>366</v>
      </c>
      <c r="B36" s="3" t="s">
        <v>305</v>
      </c>
      <c r="D36" s="14">
        <v>3.7056595777295397E-12</v>
      </c>
      <c r="E36" s="14">
        <v>2.1818867145654453E-5</v>
      </c>
      <c r="F36" s="14">
        <v>1.791540986366823E-5</v>
      </c>
      <c r="G36" s="14">
        <v>5.129423200340145E-9</v>
      </c>
      <c r="H36" s="14">
        <v>0</v>
      </c>
      <c r="I36" s="14">
        <v>1.5471785083942361E-7</v>
      </c>
      <c r="J36" s="14">
        <v>1.0587201097797874E-7</v>
      </c>
      <c r="K36" s="14">
        <v>0</v>
      </c>
    </row>
    <row r="37" spans="1:11">
      <c r="A37" s="2" t="s">
        <v>289</v>
      </c>
      <c r="B37" s="3" t="s">
        <v>290</v>
      </c>
      <c r="D37" s="14">
        <v>4.7406710593518925E-19</v>
      </c>
      <c r="E37" s="14">
        <v>2.3617052385523441E-5</v>
      </c>
      <c r="F37" s="14">
        <v>7.882432189261584E-6</v>
      </c>
      <c r="G37" s="14">
        <v>2.6910994302051282E-7</v>
      </c>
      <c r="H37" s="14">
        <v>0</v>
      </c>
      <c r="I37" s="14">
        <v>2.3228248240205429E-7</v>
      </c>
      <c r="J37" s="14">
        <v>7.9991229997919388E-6</v>
      </c>
      <c r="K37" s="14">
        <v>0</v>
      </c>
    </row>
    <row r="38" spans="1:11">
      <c r="A38" s="2" t="s">
        <v>291</v>
      </c>
      <c r="B38" s="3" t="s">
        <v>292</v>
      </c>
      <c r="D38" s="14">
        <v>7.3626153877487E-17</v>
      </c>
      <c r="E38" s="14">
        <v>3.7502737623469853E-5</v>
      </c>
      <c r="F38" s="14">
        <v>2.3435677978374164E-6</v>
      </c>
      <c r="G38" s="14">
        <v>1.9579183179120635E-9</v>
      </c>
      <c r="H38" s="14">
        <v>0</v>
      </c>
      <c r="I38" s="14">
        <v>3.6998680190864372E-8</v>
      </c>
      <c r="J38" s="14">
        <v>1.1473798011033186E-7</v>
      </c>
      <c r="K38" s="14">
        <v>0</v>
      </c>
    </row>
    <row r="39" spans="1:11">
      <c r="A39" s="2" t="s">
        <v>367</v>
      </c>
      <c r="B39" s="3" t="s">
        <v>368</v>
      </c>
      <c r="D39" s="14">
        <v>2.6793182752640746E-9</v>
      </c>
      <c r="E39" s="14">
        <v>1.9152433843175113E-6</v>
      </c>
      <c r="F39" s="14">
        <v>1.3778391518743518E-5</v>
      </c>
      <c r="G39" s="14">
        <v>2.4065454968145243E-6</v>
      </c>
      <c r="H39" s="14">
        <v>0</v>
      </c>
      <c r="I39" s="14">
        <v>1.5310949000618706E-6</v>
      </c>
      <c r="J39" s="14">
        <v>2.0366045381787312E-5</v>
      </c>
      <c r="K39" s="14">
        <v>0</v>
      </c>
    </row>
    <row r="40" spans="1:11">
      <c r="A40" s="2" t="s">
        <v>369</v>
      </c>
      <c r="B40" s="3" t="s">
        <v>370</v>
      </c>
      <c r="D40" s="14">
        <v>2.3674159941369139E-16</v>
      </c>
      <c r="E40" s="14">
        <v>2.5901780460436148E-7</v>
      </c>
      <c r="F40" s="14">
        <v>2.3549634355759671E-5</v>
      </c>
      <c r="G40" s="14">
        <v>1.7037448079173834E-6</v>
      </c>
      <c r="H40" s="14">
        <v>0</v>
      </c>
      <c r="I40" s="14">
        <v>1.3746775393929325E-5</v>
      </c>
      <c r="J40" s="14">
        <v>7.4082763755252325E-7</v>
      </c>
      <c r="K40" s="14">
        <v>0</v>
      </c>
    </row>
    <row r="41" spans="1:11">
      <c r="A41" s="2" t="s">
        <v>371</v>
      </c>
      <c r="B41" s="3" t="s">
        <v>372</v>
      </c>
      <c r="D41" s="14">
        <v>3.2608123095756705E-6</v>
      </c>
      <c r="E41" s="14">
        <v>3.6543106726069353E-5</v>
      </c>
      <c r="F41" s="14">
        <v>1.1148078461885515E-10</v>
      </c>
      <c r="G41" s="14">
        <v>5.5807886035978744E-11</v>
      </c>
      <c r="H41" s="14">
        <v>0</v>
      </c>
      <c r="I41" s="14">
        <v>1.3352593030470228E-8</v>
      </c>
      <c r="J41" s="14">
        <v>1.8256108265386292E-7</v>
      </c>
      <c r="K41" s="14">
        <v>0</v>
      </c>
    </row>
    <row r="42" spans="1:11">
      <c r="A42" s="2" t="s">
        <v>293</v>
      </c>
      <c r="B42" s="3" t="s">
        <v>294</v>
      </c>
      <c r="D42" s="14">
        <v>8.298484501501085E-13</v>
      </c>
      <c r="E42" s="14">
        <v>2.4928632298676243E-5</v>
      </c>
      <c r="F42" s="14">
        <v>6.6569148543478271E-7</v>
      </c>
      <c r="G42" s="14">
        <v>1.707530844719057E-7</v>
      </c>
      <c r="H42" s="14">
        <v>0</v>
      </c>
      <c r="I42" s="14">
        <v>1.1341067134366478E-7</v>
      </c>
      <c r="J42" s="14">
        <v>1.4121511630224951E-5</v>
      </c>
      <c r="K42" s="14">
        <v>0</v>
      </c>
    </row>
    <row r="43" spans="1:11">
      <c r="A43" s="2" t="s">
        <v>373</v>
      </c>
      <c r="B43" s="3" t="s">
        <v>374</v>
      </c>
      <c r="D43" s="14">
        <v>1.5700018043722873E-11</v>
      </c>
      <c r="E43" s="14">
        <v>3.2203678636147343E-6</v>
      </c>
      <c r="F43" s="14">
        <v>3.6027990081397637E-5</v>
      </c>
      <c r="G43" s="14">
        <v>3.0420192358886495E-8</v>
      </c>
      <c r="H43" s="14">
        <v>0</v>
      </c>
      <c r="I43" s="14">
        <v>5.6764740614704978E-7</v>
      </c>
      <c r="J43" s="14">
        <v>1.5355875646365535E-7</v>
      </c>
      <c r="K43" s="14">
        <v>0</v>
      </c>
    </row>
    <row r="44" spans="1:11">
      <c r="A44" s="2" t="s">
        <v>375</v>
      </c>
      <c r="B44" s="3" t="s">
        <v>376</v>
      </c>
      <c r="D44" s="14">
        <v>3.4743156755906493E-6</v>
      </c>
      <c r="E44" s="14">
        <v>3.120390451766928E-5</v>
      </c>
      <c r="F44" s="14">
        <v>7.94224885466288E-8</v>
      </c>
      <c r="G44" s="14">
        <v>2.4223620058469209E-8</v>
      </c>
      <c r="H44" s="14">
        <v>0</v>
      </c>
      <c r="I44" s="14">
        <v>2.5930544495767688E-8</v>
      </c>
      <c r="J44" s="14">
        <v>5.192203153639204E-6</v>
      </c>
      <c r="K44" s="14">
        <v>0</v>
      </c>
    </row>
    <row r="45" spans="1:11">
      <c r="A45" s="2" t="s">
        <v>377</v>
      </c>
      <c r="B45" s="3" t="s">
        <v>378</v>
      </c>
      <c r="D45" s="14">
        <v>3.2394705888480415E-8</v>
      </c>
      <c r="E45" s="14">
        <v>2.386127828882138E-5</v>
      </c>
      <c r="F45" s="14">
        <v>7.7830219672932125E-7</v>
      </c>
      <c r="G45" s="14">
        <v>1.9671786920804509E-7</v>
      </c>
      <c r="H45" s="14">
        <v>0</v>
      </c>
      <c r="I45" s="14">
        <v>1.2905542593102923E-7</v>
      </c>
      <c r="J45" s="14">
        <v>1.500225151342174E-5</v>
      </c>
      <c r="K45" s="14">
        <v>0</v>
      </c>
    </row>
    <row r="46" spans="1:11">
      <c r="A46" s="2" t="s">
        <v>379</v>
      </c>
      <c r="B46" s="3" t="s">
        <v>380</v>
      </c>
      <c r="D46" s="14">
        <v>9.5785493137619331E-8</v>
      </c>
      <c r="E46" s="14">
        <v>2.4480450407607156E-5</v>
      </c>
      <c r="F46" s="14">
        <v>7.04650808189423E-7</v>
      </c>
      <c r="G46" s="14">
        <v>1.7975025275812283E-7</v>
      </c>
      <c r="H46" s="14">
        <v>0</v>
      </c>
      <c r="I46" s="14">
        <v>1.1880255899247051E-7</v>
      </c>
      <c r="J46" s="14">
        <v>1.4420560479315211E-5</v>
      </c>
      <c r="K46" s="14">
        <v>0</v>
      </c>
    </row>
    <row r="47" spans="1:11">
      <c r="A47" s="2" t="s">
        <v>381</v>
      </c>
      <c r="B47" s="3" t="s">
        <v>382</v>
      </c>
      <c r="D47" s="14">
        <v>7.8031748469073726E-12</v>
      </c>
      <c r="E47" s="14">
        <v>1.216552912606618E-7</v>
      </c>
      <c r="F47" s="14">
        <v>4.4951641263773729E-6</v>
      </c>
      <c r="G47" s="14">
        <v>1.2179826688296667E-5</v>
      </c>
      <c r="H47" s="14">
        <v>0</v>
      </c>
      <c r="I47" s="14">
        <v>8.0134872097672417E-6</v>
      </c>
      <c r="J47" s="14">
        <v>1.5189858881123215E-5</v>
      </c>
      <c r="K47" s="14">
        <v>0</v>
      </c>
    </row>
    <row r="48" spans="1:11">
      <c r="A48" s="2" t="s">
        <v>383</v>
      </c>
      <c r="B48" s="3" t="s">
        <v>384</v>
      </c>
      <c r="D48" s="14">
        <v>4.7275697240533823E-7</v>
      </c>
      <c r="E48" s="14">
        <v>3.6399683482837006E-5</v>
      </c>
      <c r="F48" s="14">
        <v>2.524132551653046E-8</v>
      </c>
      <c r="G48" s="14">
        <v>8.4724246084161469E-9</v>
      </c>
      <c r="H48" s="14">
        <v>0</v>
      </c>
      <c r="I48" s="14">
        <v>1.8313132954846456E-8</v>
      </c>
      <c r="J48" s="14">
        <v>3.0755326616778667E-6</v>
      </c>
      <c r="K48" s="14">
        <v>0</v>
      </c>
    </row>
    <row r="49" spans="1:11">
      <c r="A49" s="2" t="s">
        <v>385</v>
      </c>
      <c r="B49" s="3" t="s">
        <v>386</v>
      </c>
      <c r="D49" s="14">
        <v>8.8793456655633731E-7</v>
      </c>
      <c r="E49" s="14">
        <v>3.4941426199258512E-5</v>
      </c>
      <c r="F49" s="14">
        <v>4.5274657952947747E-8</v>
      </c>
      <c r="G49" s="14">
        <v>1.4512784059654093E-8</v>
      </c>
      <c r="H49" s="14">
        <v>0</v>
      </c>
      <c r="I49" s="14">
        <v>2.1416281639653085E-8</v>
      </c>
      <c r="J49" s="14">
        <v>4.0894355105329028E-6</v>
      </c>
      <c r="K49" s="14">
        <v>0</v>
      </c>
    </row>
    <row r="50" spans="1:11">
      <c r="A50" s="2" t="s">
        <v>387</v>
      </c>
      <c r="B50" s="3" t="s">
        <v>388</v>
      </c>
      <c r="D50" s="14">
        <v>6.6038193484191185E-7</v>
      </c>
      <c r="E50" s="14">
        <v>7.5773063981505245E-6</v>
      </c>
      <c r="F50" s="14">
        <v>5.6294945010919822E-6</v>
      </c>
      <c r="G50" s="14">
        <v>1.1302251175772957E-6</v>
      </c>
      <c r="H50" s="14">
        <v>0</v>
      </c>
      <c r="I50" s="14">
        <v>7.0979146169083648E-7</v>
      </c>
      <c r="J50" s="14">
        <v>2.4292800586647459E-5</v>
      </c>
      <c r="K50" s="14">
        <v>0</v>
      </c>
    </row>
    <row r="51" spans="1:11">
      <c r="A51" s="2" t="s">
        <v>295</v>
      </c>
      <c r="B51" s="3" t="s">
        <v>296</v>
      </c>
      <c r="D51" s="14">
        <v>2.6161909559938665E-6</v>
      </c>
      <c r="E51" s="14">
        <v>3.6183377609742163E-5</v>
      </c>
      <c r="F51" s="14">
        <v>4.0433715864024903E-9</v>
      </c>
      <c r="G51" s="14">
        <v>1.5525271734894734E-9</v>
      </c>
      <c r="H51" s="14">
        <v>0</v>
      </c>
      <c r="I51" s="14">
        <v>1.4102156456327327E-8</v>
      </c>
      <c r="J51" s="14">
        <v>1.1807333790477575E-6</v>
      </c>
      <c r="K51" s="14">
        <v>0</v>
      </c>
    </row>
    <row r="52" spans="1:11">
      <c r="A52" s="2" t="s">
        <v>389</v>
      </c>
      <c r="B52" s="3" t="s">
        <v>390</v>
      </c>
      <c r="D52" s="14">
        <v>2.8601460915653326E-6</v>
      </c>
      <c r="E52" s="14">
        <v>3.0080696042238166E-5</v>
      </c>
      <c r="F52" s="14">
        <v>1.3952834137263801E-7</v>
      </c>
      <c r="G52" s="14">
        <v>4.0715332614019918E-8</v>
      </c>
      <c r="H52" s="14">
        <v>0</v>
      </c>
      <c r="I52" s="14">
        <v>3.5534801417927803E-8</v>
      </c>
      <c r="J52" s="14">
        <v>6.8433793907919228E-6</v>
      </c>
      <c r="K52" s="14">
        <v>0</v>
      </c>
    </row>
    <row r="53" spans="1:11">
      <c r="A53" s="2" t="s">
        <v>391</v>
      </c>
      <c r="B53" s="3" t="s">
        <v>392</v>
      </c>
      <c r="D53" s="14">
        <v>1.0564123750771896E-7</v>
      </c>
      <c r="E53" s="14">
        <v>2.0396382343343664E-5</v>
      </c>
      <c r="F53" s="14">
        <v>1.2431046611480121E-6</v>
      </c>
      <c r="G53" s="14">
        <v>3.0005664586012988E-7</v>
      </c>
      <c r="H53" s="14">
        <v>0</v>
      </c>
      <c r="I53" s="14">
        <v>1.9183290354532358E-7</v>
      </c>
      <c r="J53" s="14">
        <v>1.7762982208595155E-5</v>
      </c>
      <c r="K53" s="14">
        <v>0</v>
      </c>
    </row>
    <row r="54" spans="1:11">
      <c r="A54" s="2" t="s">
        <v>393</v>
      </c>
      <c r="B54" s="3" t="s">
        <v>394</v>
      </c>
      <c r="D54" s="14">
        <v>3.5188483673723239E-8</v>
      </c>
      <c r="E54" s="14">
        <v>1.6608875028797952E-7</v>
      </c>
      <c r="F54" s="14">
        <v>5.2513959840531895E-6</v>
      </c>
      <c r="G54" s="14">
        <v>1.0958984762362613E-5</v>
      </c>
      <c r="H54" s="14">
        <v>0</v>
      </c>
      <c r="I54" s="14">
        <v>7.1868652326462258E-6</v>
      </c>
      <c r="J54" s="14">
        <v>1.6401476786976271E-5</v>
      </c>
      <c r="K54" s="14">
        <v>0</v>
      </c>
    </row>
    <row r="55" spans="1:11">
      <c r="A55" s="2" t="s">
        <v>395</v>
      </c>
      <c r="B55" s="3" t="s">
        <v>396</v>
      </c>
      <c r="D55" s="14">
        <v>9.0906079288599907E-6</v>
      </c>
      <c r="E55" s="14">
        <v>9.3465770795774291E-6</v>
      </c>
      <c r="F55" s="14">
        <v>2.6185878126262458E-6</v>
      </c>
      <c r="G55" s="14">
        <v>5.6488845340160047E-7</v>
      </c>
      <c r="H55" s="14">
        <v>0</v>
      </c>
      <c r="I55" s="14">
        <v>3.5433645133861913E-7</v>
      </c>
      <c r="J55" s="14">
        <v>1.8025002274196115E-5</v>
      </c>
      <c r="K55" s="14">
        <v>0</v>
      </c>
    </row>
    <row r="56" spans="1:11">
      <c r="A56" s="2" t="s">
        <v>397</v>
      </c>
      <c r="B56" s="3" t="s">
        <v>398</v>
      </c>
      <c r="D56" s="14">
        <v>3.3086868819385367E-5</v>
      </c>
      <c r="E56" s="14">
        <v>8.8628894879558271E-7</v>
      </c>
      <c r="F56" s="14">
        <v>1.3942154288515309E-6</v>
      </c>
      <c r="G56" s="14">
        <v>2.6486552854264599E-7</v>
      </c>
      <c r="H56" s="14">
        <v>0</v>
      </c>
      <c r="I56" s="14">
        <v>1.6690260794543586E-7</v>
      </c>
      <c r="J56" s="14">
        <v>4.2008586664794474E-6</v>
      </c>
      <c r="K56" s="14">
        <v>0</v>
      </c>
    </row>
    <row r="57" spans="1:11">
      <c r="A57" s="2" t="s">
        <v>399</v>
      </c>
      <c r="B57" s="3" t="s">
        <v>400</v>
      </c>
      <c r="D57" s="14">
        <v>3.4931498261501897E-5</v>
      </c>
      <c r="E57" s="14">
        <v>1.3319774672759773E-6</v>
      </c>
      <c r="F57" s="14">
        <v>5.1652509759419153E-7</v>
      </c>
      <c r="G57" s="14">
        <v>1.0878950077071934E-7</v>
      </c>
      <c r="H57" s="14">
        <v>0</v>
      </c>
      <c r="I57" s="14">
        <v>6.8226054636508297E-8</v>
      </c>
      <c r="J57" s="14">
        <v>3.0429836182207012E-6</v>
      </c>
      <c r="K57" s="14">
        <v>0</v>
      </c>
    </row>
    <row r="58" spans="1:11">
      <c r="A58" s="2" t="s">
        <v>297</v>
      </c>
      <c r="B58" s="3" t="s">
        <v>298</v>
      </c>
      <c r="D58" s="14">
        <v>3.7299088144387917E-5</v>
      </c>
      <c r="E58" s="14">
        <v>2.3771570734170921E-6</v>
      </c>
      <c r="F58" s="14">
        <v>3.9552362513459657E-9</v>
      </c>
      <c r="G58" s="14">
        <v>1.2447094447399545E-9</v>
      </c>
      <c r="H58" s="14">
        <v>0</v>
      </c>
      <c r="I58" s="14">
        <v>1.6122370725850031E-9</v>
      </c>
      <c r="J58" s="14">
        <v>3.1694259942632935E-7</v>
      </c>
      <c r="K58" s="14">
        <v>0</v>
      </c>
    </row>
    <row r="59" spans="1:11">
      <c r="A59" s="2" t="s">
        <v>401</v>
      </c>
      <c r="B59" s="3" t="s">
        <v>402</v>
      </c>
      <c r="D59" s="14">
        <v>3.8143029079178502E-5</v>
      </c>
      <c r="E59" s="14">
        <v>5.0451588348171496E-7</v>
      </c>
      <c r="F59" s="14">
        <v>1.8150533462098331E-7</v>
      </c>
      <c r="G59" s="14">
        <v>3.8440138987714641E-8</v>
      </c>
      <c r="H59" s="14">
        <v>0</v>
      </c>
      <c r="I59" s="14">
        <v>2.4106851478243713E-8</v>
      </c>
      <c r="J59" s="14">
        <v>1.1084027122528494E-6</v>
      </c>
      <c r="K59" s="14">
        <v>0</v>
      </c>
    </row>
    <row r="60" spans="1:11">
      <c r="A60" s="2" t="s">
        <v>299</v>
      </c>
      <c r="B60" s="3" t="s">
        <v>300</v>
      </c>
      <c r="D60" s="14">
        <v>3.9952431597120747E-5</v>
      </c>
      <c r="E60" s="14">
        <v>1.7988000092195273E-8</v>
      </c>
      <c r="F60" s="14">
        <v>2.8354202162482651E-9</v>
      </c>
      <c r="G60" s="14">
        <v>6.3813561964772007E-10</v>
      </c>
      <c r="H60" s="14">
        <v>0</v>
      </c>
      <c r="I60" s="14">
        <v>4.0137289692525042E-10</v>
      </c>
      <c r="J60" s="14">
        <v>2.5705474054233686E-8</v>
      </c>
      <c r="K60" s="14">
        <v>0</v>
      </c>
    </row>
    <row r="61" spans="1:11">
      <c r="A61" s="2" t="s">
        <v>403</v>
      </c>
      <c r="B61" s="3" t="s">
        <v>404</v>
      </c>
      <c r="D61" s="14">
        <v>2.7001647398767834E-48</v>
      </c>
      <c r="E61" s="14">
        <v>1.7207981331788328E-5</v>
      </c>
      <c r="F61" s="14">
        <v>1.8640796984852818E-6</v>
      </c>
      <c r="G61" s="14">
        <v>4.3128070822012195E-7</v>
      </c>
      <c r="H61" s="14">
        <v>0</v>
      </c>
      <c r="I61" s="14">
        <v>2.7239720530912102E-7</v>
      </c>
      <c r="J61" s="14">
        <v>2.0224261056197152E-5</v>
      </c>
      <c r="K61" s="14">
        <v>0</v>
      </c>
    </row>
    <row r="62" spans="1:11">
      <c r="A62" s="2" t="s">
        <v>405</v>
      </c>
      <c r="B62" s="3" t="s">
        <v>406</v>
      </c>
      <c r="D62" s="14">
        <v>1.8783832932594052E-11</v>
      </c>
      <c r="E62" s="14">
        <v>6.8105765918951183E-7</v>
      </c>
      <c r="F62" s="14">
        <v>9.7939623860754616E-6</v>
      </c>
      <c r="G62" s="14">
        <v>5.4595140394284553E-6</v>
      </c>
      <c r="H62" s="14">
        <v>0</v>
      </c>
      <c r="I62" s="14">
        <v>3.5223169776617777E-6</v>
      </c>
      <c r="J62" s="14">
        <v>2.0543130153811868E-5</v>
      </c>
      <c r="K62" s="14">
        <v>0</v>
      </c>
    </row>
    <row r="63" spans="1:11">
      <c r="A63" s="2" t="s">
        <v>407</v>
      </c>
      <c r="B63" s="3" t="s">
        <v>408</v>
      </c>
      <c r="D63" s="14">
        <v>5.0059155131877304E-9</v>
      </c>
      <c r="E63" s="14">
        <v>6.9260110496139452E-8</v>
      </c>
      <c r="F63" s="14">
        <v>3.3470155530924599E-6</v>
      </c>
      <c r="G63" s="14">
        <v>1.4218483745389174E-5</v>
      </c>
      <c r="H63" s="14">
        <v>0</v>
      </c>
      <c r="I63" s="14">
        <v>9.4073673720496071E-6</v>
      </c>
      <c r="J63" s="14">
        <v>1.2952867303459432E-5</v>
      </c>
      <c r="K63" s="14">
        <v>0</v>
      </c>
    </row>
    <row r="64" spans="1:11">
      <c r="A64" s="2" t="s">
        <v>409</v>
      </c>
      <c r="B64" s="3" t="s">
        <v>410</v>
      </c>
      <c r="D64" s="14">
        <v>6.6414304193920174E-10</v>
      </c>
      <c r="E64" s="14">
        <v>2.5715874138021232E-8</v>
      </c>
      <c r="F64" s="14">
        <v>1.9325727071456678E-6</v>
      </c>
      <c r="G64" s="14">
        <v>1.7204077777282282E-5</v>
      </c>
      <c r="H64" s="14">
        <v>0</v>
      </c>
      <c r="I64" s="14">
        <v>1.1488424392156526E-5</v>
      </c>
      <c r="J64" s="14">
        <v>9.3485451062355703E-6</v>
      </c>
      <c r="K64" s="14">
        <v>0</v>
      </c>
    </row>
    <row r="65" spans="1:11">
      <c r="A65" s="2" t="s">
        <v>301</v>
      </c>
      <c r="B65" s="3" t="s">
        <v>302</v>
      </c>
      <c r="D65" s="14">
        <v>8.7525563718838187E-11</v>
      </c>
      <c r="E65" s="14">
        <v>7.7018415754978987E-9</v>
      </c>
      <c r="F65" s="14">
        <v>9.5633297646224836E-7</v>
      </c>
      <c r="G65" s="14">
        <v>1.9747161901021346E-5</v>
      </c>
      <c r="H65" s="14">
        <v>0</v>
      </c>
      <c r="I65" s="14">
        <v>1.332636779929048E-5</v>
      </c>
      <c r="J65" s="14">
        <v>5.9623479560867154E-6</v>
      </c>
      <c r="K65" s="14">
        <v>0</v>
      </c>
    </row>
    <row r="66" spans="1:11">
      <c r="A66" s="2" t="s">
        <v>303</v>
      </c>
      <c r="B66" s="3" t="s">
        <v>304</v>
      </c>
      <c r="D66" s="14">
        <v>8.1640675315108093E-17</v>
      </c>
      <c r="E66" s="14">
        <v>1.5429301052299426E-8</v>
      </c>
      <c r="F66" s="14">
        <v>1.4397291682439625E-6</v>
      </c>
      <c r="G66" s="14">
        <v>1.8419437301026659E-5</v>
      </c>
      <c r="H66" s="14">
        <v>0</v>
      </c>
      <c r="I66" s="14">
        <v>1.2355977251579763E-5</v>
      </c>
      <c r="J66" s="14">
        <v>7.769426978015676E-6</v>
      </c>
      <c r="K66" s="14">
        <v>0</v>
      </c>
    </row>
    <row r="67" spans="1:11">
      <c r="A67" s="2" t="s">
        <v>411</v>
      </c>
      <c r="B67" s="3" t="s">
        <v>412</v>
      </c>
      <c r="D67" s="14">
        <v>1.912928452855804E-7</v>
      </c>
      <c r="E67" s="14">
        <v>3.3462500555093989E-5</v>
      </c>
      <c r="F67" s="14">
        <v>1.0403343582075414E-7</v>
      </c>
      <c r="G67" s="14">
        <v>3.1265724529154322E-8</v>
      </c>
      <c r="H67" s="14">
        <v>0</v>
      </c>
      <c r="I67" s="14">
        <v>3.1011991411755197E-8</v>
      </c>
      <c r="J67" s="14">
        <v>6.179895447858772E-6</v>
      </c>
      <c r="K67" s="14">
        <v>0</v>
      </c>
    </row>
    <row r="68" spans="1:11">
      <c r="A68" s="2" t="s">
        <v>413</v>
      </c>
      <c r="B68" s="3" t="s">
        <v>414</v>
      </c>
      <c r="D68" s="14">
        <v>4.1974139504718567E-7</v>
      </c>
      <c r="E68" s="14">
        <v>3.1209115905266374E-5</v>
      </c>
      <c r="F68" s="14">
        <v>1.8588999532359307E-7</v>
      </c>
      <c r="G68" s="14">
        <v>5.3253918814369314E-8</v>
      </c>
      <c r="H68" s="14">
        <v>0</v>
      </c>
      <c r="I68" s="14">
        <v>4.3569323773652489E-8</v>
      </c>
      <c r="J68" s="14">
        <v>8.0884294617748306E-6</v>
      </c>
      <c r="K68" s="14">
        <v>0</v>
      </c>
    </row>
    <row r="69" spans="1:11">
      <c r="A69" s="2" t="s">
        <v>415</v>
      </c>
      <c r="B69" s="3" t="s">
        <v>416</v>
      </c>
      <c r="D69" s="14">
        <v>2.2037804606907972E-7</v>
      </c>
      <c r="E69" s="14">
        <v>2.5038481837056067E-7</v>
      </c>
      <c r="F69" s="14">
        <v>6.3759153582307888E-6</v>
      </c>
      <c r="G69" s="14">
        <v>9.2584460117634294E-6</v>
      </c>
      <c r="H69" s="14">
        <v>0</v>
      </c>
      <c r="I69" s="14">
        <v>6.0443616428351809E-6</v>
      </c>
      <c r="J69" s="14">
        <v>1.7850514122730971E-5</v>
      </c>
      <c r="K69" s="14">
        <v>0</v>
      </c>
    </row>
    <row r="70" spans="1:11">
      <c r="A70" s="2" t="s">
        <v>417</v>
      </c>
      <c r="B70" s="3" t="s">
        <v>418</v>
      </c>
      <c r="D70" s="14">
        <v>4.5879932780217339E-7</v>
      </c>
      <c r="E70" s="14">
        <v>3.7006877067030421E-6</v>
      </c>
      <c r="F70" s="14">
        <v>9.8423088233827887E-6</v>
      </c>
      <c r="G70" s="14">
        <v>1.7988400289164466E-6</v>
      </c>
      <c r="H70" s="14">
        <v>0</v>
      </c>
      <c r="I70" s="14">
        <v>1.1369283551380506E-6</v>
      </c>
      <c r="J70" s="14">
        <v>2.3062435758057507E-5</v>
      </c>
      <c r="K70" s="14">
        <v>0</v>
      </c>
    </row>
    <row r="71" spans="1:11">
      <c r="A71" s="2" t="s">
        <v>419</v>
      </c>
      <c r="B71" s="3" t="s">
        <v>420</v>
      </c>
      <c r="D71" s="14">
        <v>1.0253160436688761E-6</v>
      </c>
      <c r="E71" s="14">
        <v>3.1074018328923903E-5</v>
      </c>
      <c r="F71" s="14">
        <v>1.6746805174947617E-7</v>
      </c>
      <c r="G71" s="14">
        <v>4.8331193889805408E-8</v>
      </c>
      <c r="H71" s="14">
        <v>0</v>
      </c>
      <c r="I71" s="14">
        <v>4.05235866368867E-8</v>
      </c>
      <c r="J71" s="14">
        <v>7.6443427951310582E-6</v>
      </c>
      <c r="K71" s="14">
        <v>0</v>
      </c>
    </row>
    <row r="72" spans="1:11">
      <c r="A72" s="2" t="s">
        <v>421</v>
      </c>
      <c r="B72" s="3" t="s">
        <v>422</v>
      </c>
      <c r="D72" s="14">
        <v>1.7907195689264335E-6</v>
      </c>
      <c r="E72" s="14">
        <v>3.9820549074363621E-6</v>
      </c>
      <c r="F72" s="14">
        <v>8.8900006860346722E-6</v>
      </c>
      <c r="G72" s="14">
        <v>1.6458768997468026E-6</v>
      </c>
      <c r="H72" s="14">
        <v>0</v>
      </c>
      <c r="I72" s="14">
        <v>1.0391691675002712E-6</v>
      </c>
      <c r="J72" s="14">
        <v>2.2652178770355462E-5</v>
      </c>
      <c r="K72" s="14">
        <v>0</v>
      </c>
    </row>
    <row r="73" spans="1:11">
      <c r="A73" s="2" t="s">
        <v>423</v>
      </c>
      <c r="B73" s="3" t="s">
        <v>424</v>
      </c>
      <c r="D73" s="14">
        <v>8.0324262446726184E-7</v>
      </c>
      <c r="E73" s="14">
        <v>1.6176568867176288E-5</v>
      </c>
      <c r="F73" s="14">
        <v>1.9857334944649635E-6</v>
      </c>
      <c r="G73" s="14">
        <v>4.552149501751379E-7</v>
      </c>
      <c r="H73" s="14">
        <v>0</v>
      </c>
      <c r="I73" s="14">
        <v>2.8703944677812767E-7</v>
      </c>
      <c r="J73" s="14">
        <v>2.0292200616938231E-5</v>
      </c>
      <c r="K73" s="14">
        <v>0</v>
      </c>
    </row>
    <row r="74" spans="1:11">
      <c r="A74" s="2" t="s">
        <v>425</v>
      </c>
      <c r="B74" s="3" t="s">
        <v>426</v>
      </c>
      <c r="D74" s="14">
        <v>6.9559184467116415E-7</v>
      </c>
      <c r="E74" s="14">
        <v>3.7943216691806535E-6</v>
      </c>
      <c r="F74" s="14">
        <v>9.5990597825596678E-6</v>
      </c>
      <c r="G74" s="14">
        <v>1.7608576636306546E-6</v>
      </c>
      <c r="H74" s="14">
        <v>0</v>
      </c>
      <c r="I74" s="14">
        <v>1.1125876596992278E-6</v>
      </c>
      <c r="J74" s="14">
        <v>2.3037581380258639E-5</v>
      </c>
      <c r="K74" s="14">
        <v>0</v>
      </c>
    </row>
    <row r="75" spans="1:11">
      <c r="A75" s="2" t="s">
        <v>427</v>
      </c>
      <c r="B75" s="3" t="s">
        <v>428</v>
      </c>
      <c r="D75" s="14">
        <v>2.018266152797722E-13</v>
      </c>
      <c r="E75" s="14">
        <v>1.5890520347544849E-6</v>
      </c>
      <c r="F75" s="14">
        <v>3.6471419699143932E-5</v>
      </c>
      <c r="G75" s="14">
        <v>1.4073524652899401E-8</v>
      </c>
      <c r="H75" s="14">
        <v>0</v>
      </c>
      <c r="I75" s="14">
        <v>1.8948126524737758E-6</v>
      </c>
      <c r="J75" s="14">
        <v>3.064188714829756E-8</v>
      </c>
      <c r="K75" s="14">
        <v>0</v>
      </c>
    </row>
    <row r="76" spans="1:11">
      <c r="A76" s="2" t="s">
        <v>429</v>
      </c>
      <c r="B76" s="3" t="s">
        <v>430</v>
      </c>
      <c r="D76" s="14">
        <v>5.0696553893248886E-15</v>
      </c>
      <c r="E76" s="14">
        <v>1.5890520425709111E-6</v>
      </c>
      <c r="F76" s="14">
        <v>3.6471419878544074E-5</v>
      </c>
      <c r="G76" s="14">
        <v>1.4073524722126003E-8</v>
      </c>
      <c r="H76" s="14">
        <v>0</v>
      </c>
      <c r="I76" s="14">
        <v>1.8948126617942155E-6</v>
      </c>
      <c r="J76" s="14">
        <v>3.0641887299022679E-8</v>
      </c>
      <c r="K76" s="14">
        <v>0</v>
      </c>
    </row>
    <row r="77" spans="1:11">
      <c r="A77" s="2" t="s">
        <v>431</v>
      </c>
      <c r="B77" s="3" t="s">
        <v>432</v>
      </c>
      <c r="D77" s="14">
        <v>2.0795087522367933E-6</v>
      </c>
      <c r="E77" s="14">
        <v>8.8846519044606757E-6</v>
      </c>
      <c r="F77" s="14">
        <v>4.4242022007740639E-6</v>
      </c>
      <c r="G77" s="14">
        <v>9.1480919848634845E-7</v>
      </c>
      <c r="H77" s="14">
        <v>0</v>
      </c>
      <c r="I77" s="14">
        <v>5.7388256058720122E-7</v>
      </c>
      <c r="J77" s="14">
        <v>2.312294538345492E-5</v>
      </c>
      <c r="K77" s="14">
        <v>0</v>
      </c>
    </row>
    <row r="78" spans="1:11">
      <c r="A78" s="2" t="s">
        <v>433</v>
      </c>
      <c r="B78" s="3" t="s">
        <v>434</v>
      </c>
      <c r="D78" s="14">
        <v>1.5503211974794703E-6</v>
      </c>
      <c r="E78" s="14">
        <v>2.4454644266578933E-5</v>
      </c>
      <c r="F78" s="14">
        <v>5.9087538740677974E-7</v>
      </c>
      <c r="G78" s="14">
        <v>1.5268327098982051E-7</v>
      </c>
      <c r="H78" s="14">
        <v>0</v>
      </c>
      <c r="I78" s="14">
        <v>1.0213191149815253E-7</v>
      </c>
      <c r="J78" s="14">
        <v>1.3149343966046847E-5</v>
      </c>
      <c r="K78" s="14">
        <v>0</v>
      </c>
    </row>
    <row r="79" spans="1:11">
      <c r="A79" s="2" t="s">
        <v>435</v>
      </c>
      <c r="B79" s="3" t="s">
        <v>436</v>
      </c>
      <c r="D79" s="14">
        <v>4.2120643180330844E-7</v>
      </c>
      <c r="E79" s="14">
        <v>1.9956972492800122E-5</v>
      </c>
      <c r="F79" s="14">
        <v>1.2787016015183964E-6</v>
      </c>
      <c r="G79" s="14">
        <v>3.0751390941230093E-7</v>
      </c>
      <c r="H79" s="14">
        <v>0</v>
      </c>
      <c r="I79" s="14">
        <v>1.9632256879282953E-7</v>
      </c>
      <c r="J79" s="14">
        <v>1.7839282995673051E-5</v>
      </c>
      <c r="K79" s="14">
        <v>0</v>
      </c>
    </row>
    <row r="80" spans="1:11">
      <c r="A80" s="2" t="s">
        <v>437</v>
      </c>
      <c r="B80" s="3" t="s">
        <v>438</v>
      </c>
      <c r="D80" s="14">
        <v>6.9936666683201327E-14</v>
      </c>
      <c r="E80" s="14">
        <v>1.0427125745875676E-6</v>
      </c>
      <c r="F80" s="14">
        <v>3.5332889998994282E-5</v>
      </c>
      <c r="G80" s="14">
        <v>2.6189630454362958E-8</v>
      </c>
      <c r="H80" s="14">
        <v>0</v>
      </c>
      <c r="I80" s="14">
        <v>3.5620632443709791E-6</v>
      </c>
      <c r="J80" s="14">
        <v>3.6144481656149057E-8</v>
      </c>
      <c r="K80" s="14">
        <v>0</v>
      </c>
    </row>
    <row r="81" spans="1:11">
      <c r="A81" s="2" t="s">
        <v>440</v>
      </c>
      <c r="B81" s="3" t="s">
        <v>441</v>
      </c>
      <c r="D81" s="14">
        <v>7.3762458516082225E-18</v>
      </c>
      <c r="E81" s="14">
        <v>3.8823532427985514E-5</v>
      </c>
      <c r="F81" s="14">
        <v>3.6417455506329975E-9</v>
      </c>
      <c r="G81" s="14">
        <v>1.4164627359430332E-9</v>
      </c>
      <c r="H81" s="14">
        <v>0</v>
      </c>
      <c r="I81" s="14">
        <v>1.4983531912759369E-8</v>
      </c>
      <c r="J81" s="14">
        <v>1.1564258318077735E-6</v>
      </c>
      <c r="K81" s="14">
        <v>0</v>
      </c>
    </row>
    <row r="82" spans="1:11">
      <c r="A82" s="2" t="s">
        <v>442</v>
      </c>
      <c r="B82" s="3" t="s">
        <v>443</v>
      </c>
      <c r="D82" s="14">
        <v>3.5086686914479658E-9</v>
      </c>
      <c r="E82" s="14">
        <v>3.060849852011219E-5</v>
      </c>
      <c r="F82" s="14">
        <v>2.3410817341352076E-7</v>
      </c>
      <c r="G82" s="14">
        <v>6.5843382277747595E-8</v>
      </c>
      <c r="H82" s="14">
        <v>0</v>
      </c>
      <c r="I82" s="14">
        <v>5.1031264987479176E-8</v>
      </c>
      <c r="J82" s="14">
        <v>9.0370099905176177E-6</v>
      </c>
      <c r="K82" s="14">
        <v>0</v>
      </c>
    </row>
    <row r="83" spans="1:11">
      <c r="A83" s="2" t="s">
        <v>444</v>
      </c>
      <c r="B83" s="3" t="s">
        <v>445</v>
      </c>
      <c r="D83" s="14">
        <v>4.2142775416320035E-8</v>
      </c>
      <c r="E83" s="14">
        <v>1.0618490876887422E-5</v>
      </c>
      <c r="F83" s="14">
        <v>4.0160337015052902E-6</v>
      </c>
      <c r="G83" s="14">
        <v>8.4740867189617096E-7</v>
      </c>
      <c r="H83" s="14">
        <v>0</v>
      </c>
      <c r="I83" s="14">
        <v>5.3143710388407828E-7</v>
      </c>
      <c r="J83" s="14">
        <v>2.3944486870410717E-5</v>
      </c>
      <c r="K83" s="14">
        <v>0</v>
      </c>
    </row>
    <row r="84" spans="1:11">
      <c r="A84" s="2" t="s">
        <v>446</v>
      </c>
      <c r="B84" s="3" t="s">
        <v>447</v>
      </c>
      <c r="D84" s="14">
        <v>2.2706446261617774E-19</v>
      </c>
      <c r="E84" s="14">
        <v>3.7473031963679965E-5</v>
      </c>
      <c r="F84" s="14">
        <v>1.6361510067271523E-8</v>
      </c>
      <c r="G84" s="14">
        <v>5.6822317083624199E-9</v>
      </c>
      <c r="H84" s="14">
        <v>0</v>
      </c>
      <c r="I84" s="14">
        <v>1.7032029690836673E-8</v>
      </c>
      <c r="J84" s="14">
        <v>2.487892264853333E-6</v>
      </c>
      <c r="K84" s="14">
        <v>0</v>
      </c>
    </row>
    <row r="85" spans="1:11">
      <c r="A85" s="2" t="s">
        <v>448</v>
      </c>
      <c r="B85" s="3" t="s">
        <v>449</v>
      </c>
      <c r="D85" s="14">
        <v>1.5894828924344424E-12</v>
      </c>
      <c r="E85" s="14">
        <v>3.950258556685066E-5</v>
      </c>
      <c r="F85" s="14">
        <v>6.682363140544217E-10</v>
      </c>
      <c r="G85" s="14">
        <v>2.9486663130885028E-10</v>
      </c>
      <c r="H85" s="14">
        <v>0</v>
      </c>
      <c r="I85" s="14">
        <v>1.4570454041252592E-8</v>
      </c>
      <c r="J85" s="14">
        <v>4.8187928667983608E-7</v>
      </c>
      <c r="K85" s="14">
        <v>0</v>
      </c>
    </row>
    <row r="86" spans="1:11">
      <c r="A86" s="2" t="s">
        <v>450</v>
      </c>
      <c r="B86" s="3" t="s">
        <v>451</v>
      </c>
      <c r="D86" s="14">
        <v>5.711337782742987E-13</v>
      </c>
      <c r="E86" s="14">
        <v>3.7534229980348869E-5</v>
      </c>
      <c r="F86" s="14">
        <v>1.5588777597046998E-8</v>
      </c>
      <c r="G86" s="14">
        <v>5.4338496344210864E-9</v>
      </c>
      <c r="H86" s="14">
        <v>0</v>
      </c>
      <c r="I86" s="14">
        <v>1.6905789247156781E-8</v>
      </c>
      <c r="J86" s="14">
        <v>2.4278410320387328E-6</v>
      </c>
      <c r="K86" s="14">
        <v>0</v>
      </c>
    </row>
    <row r="87" spans="1:11">
      <c r="A87" s="2" t="s">
        <v>452</v>
      </c>
      <c r="B87" s="3" t="s">
        <v>453</v>
      </c>
      <c r="D87" s="14">
        <v>9.1189190312864631E-12</v>
      </c>
      <c r="E87" s="14">
        <v>9.8193564163644362E-8</v>
      </c>
      <c r="F87" s="14">
        <v>4.025479083967278E-6</v>
      </c>
      <c r="G87" s="14">
        <v>1.2981148848796966E-5</v>
      </c>
      <c r="H87" s="14">
        <v>0</v>
      </c>
      <c r="I87" s="14">
        <v>8.5592430608517129E-6</v>
      </c>
      <c r="J87" s="14">
        <v>1.433592632330137E-5</v>
      </c>
      <c r="K87" s="14">
        <v>0</v>
      </c>
    </row>
    <row r="88" spans="1:11">
      <c r="A88" s="2" t="s">
        <v>454</v>
      </c>
      <c r="B88" s="3" t="s">
        <v>455</v>
      </c>
      <c r="D88" s="14">
        <v>1.7995036080842776E-9</v>
      </c>
      <c r="E88" s="14">
        <v>2.7160163892177181E-5</v>
      </c>
      <c r="F88" s="14">
        <v>4.6240970098714299E-7</v>
      </c>
      <c r="G88" s="14">
        <v>1.2260904000305265E-7</v>
      </c>
      <c r="H88" s="14">
        <v>0</v>
      </c>
      <c r="I88" s="14">
        <v>8.457176767648506E-8</v>
      </c>
      <c r="J88" s="14">
        <v>1.2168446095548053E-5</v>
      </c>
      <c r="K88" s="14">
        <v>0</v>
      </c>
    </row>
    <row r="89" spans="1:11">
      <c r="A89" s="2" t="s">
        <v>456</v>
      </c>
      <c r="B89" s="3" t="s">
        <v>457</v>
      </c>
      <c r="D89" s="14">
        <v>1.1669696331924983E-21</v>
      </c>
      <c r="E89" s="14">
        <v>3.0019207273754775E-5</v>
      </c>
      <c r="F89" s="14">
        <v>2.6676802277253743E-7</v>
      </c>
      <c r="G89" s="14">
        <v>7.4204343178996664E-8</v>
      </c>
      <c r="H89" s="14">
        <v>0</v>
      </c>
      <c r="I89" s="14">
        <v>5.5927372190479857E-8</v>
      </c>
      <c r="J89" s="14">
        <v>9.5838929881032163E-6</v>
      </c>
      <c r="K89" s="14">
        <v>0</v>
      </c>
    </row>
    <row r="90" spans="1:11">
      <c r="A90" s="2" t="s">
        <v>458</v>
      </c>
      <c r="B90" s="3" t="s">
        <v>459</v>
      </c>
      <c r="D90" s="14">
        <v>1.7045753030637129E-33</v>
      </c>
      <c r="E90" s="14">
        <v>3.5149233300819559E-5</v>
      </c>
      <c r="F90" s="14">
        <v>5.9963973935701205E-8</v>
      </c>
      <c r="G90" s="14">
        <v>1.8835882043691732E-8</v>
      </c>
      <c r="H90" s="14">
        <v>0</v>
      </c>
      <c r="I90" s="14">
        <v>2.4099319581871353E-8</v>
      </c>
      <c r="J90" s="14">
        <v>4.7478675236191844E-6</v>
      </c>
      <c r="K90" s="14">
        <v>0</v>
      </c>
    </row>
    <row r="91" spans="1:11">
      <c r="A91" s="2" t="s">
        <v>460</v>
      </c>
      <c r="B91" s="3" t="s">
        <v>461</v>
      </c>
      <c r="D91" s="14">
        <v>8.7658709293308538E-12</v>
      </c>
      <c r="E91" s="14">
        <v>5.9100987334692094E-7</v>
      </c>
      <c r="F91" s="14">
        <v>9.2676428010260604E-6</v>
      </c>
      <c r="G91" s="14">
        <v>5.9726194190858498E-6</v>
      </c>
      <c r="H91" s="14">
        <v>0</v>
      </c>
      <c r="I91" s="14">
        <v>3.8602366655135224E-6</v>
      </c>
      <c r="J91" s="14">
        <v>2.0308482475156726E-5</v>
      </c>
      <c r="K91" s="14">
        <v>0</v>
      </c>
    </row>
    <row r="92" spans="1:11">
      <c r="A92" s="2" t="s">
        <v>462</v>
      </c>
      <c r="B92" s="3" t="s">
        <v>463</v>
      </c>
      <c r="D92" s="14">
        <v>3.2444766048754178E-13</v>
      </c>
      <c r="E92" s="14">
        <v>1.2990453462657158E-5</v>
      </c>
      <c r="F92" s="14">
        <v>3.0550537941107064E-6</v>
      </c>
      <c r="G92" s="14">
        <v>6.6759706266753068E-7</v>
      </c>
      <c r="H92" s="14">
        <v>0</v>
      </c>
      <c r="I92" s="14">
        <v>4.189551628494055E-7</v>
      </c>
      <c r="J92" s="14">
        <v>2.2867940193267539E-5</v>
      </c>
      <c r="K92" s="14">
        <v>0</v>
      </c>
    </row>
    <row r="93" spans="1:11">
      <c r="A93" s="2" t="s">
        <v>464</v>
      </c>
      <c r="B93" s="3" t="s">
        <v>465</v>
      </c>
      <c r="D93" s="14">
        <v>2.50796769535437E-8</v>
      </c>
      <c r="E93" s="14">
        <v>4.9787647108275789E-6</v>
      </c>
      <c r="F93" s="14">
        <v>8.2337211175347318E-6</v>
      </c>
      <c r="G93" s="14">
        <v>1.5584458197919117E-6</v>
      </c>
      <c r="H93" s="14">
        <v>0</v>
      </c>
      <c r="I93" s="14">
        <v>9.8230439653356888E-7</v>
      </c>
      <c r="J93" s="14">
        <v>2.4221684278358667E-5</v>
      </c>
      <c r="K93" s="14">
        <v>0</v>
      </c>
    </row>
    <row r="94" spans="1:11">
      <c r="A94" s="2" t="s">
        <v>466</v>
      </c>
      <c r="B94" s="3" t="s">
        <v>467</v>
      </c>
      <c r="D94" s="14">
        <v>8.0717875968837137E-23</v>
      </c>
      <c r="E94" s="14">
        <v>3.9511312704532917E-5</v>
      </c>
      <c r="F94" s="14">
        <v>4.6229160731135173E-7</v>
      </c>
      <c r="G94" s="14">
        <v>6.0751150030850039E-11</v>
      </c>
      <c r="H94" s="14">
        <v>0</v>
      </c>
      <c r="I94" s="14">
        <v>1.9316068048515299E-8</v>
      </c>
      <c r="J94" s="14">
        <v>7.0188689571950199E-9</v>
      </c>
      <c r="K94" s="14">
        <v>0</v>
      </c>
    </row>
    <row r="95" spans="1:11">
      <c r="A95" s="2" t="s">
        <v>468</v>
      </c>
      <c r="B95" s="3" t="s">
        <v>469</v>
      </c>
      <c r="D95" s="14">
        <v>3.6507476974792172E-22</v>
      </c>
      <c r="E95" s="14">
        <v>1.4293595394858072E-6</v>
      </c>
      <c r="F95" s="14">
        <v>1.2657736041629666E-5</v>
      </c>
      <c r="G95" s="14">
        <v>3.1314940455199409E-6</v>
      </c>
      <c r="H95" s="14">
        <v>0</v>
      </c>
      <c r="I95" s="14">
        <v>2.0005166752363165E-6</v>
      </c>
      <c r="J95" s="14">
        <v>2.0780893698128272E-5</v>
      </c>
      <c r="K95" s="14">
        <v>0</v>
      </c>
    </row>
    <row r="96" spans="1:11">
      <c r="A96" s="2" t="s">
        <v>470</v>
      </c>
      <c r="B96" s="163">
        <v>354656</v>
      </c>
      <c r="D96" s="14">
        <v>1.4706529876070789E-14</v>
      </c>
      <c r="E96" s="14">
        <v>3.8778398924906455E-5</v>
      </c>
      <c r="F96" s="14">
        <v>3.9208878876792323E-9</v>
      </c>
      <c r="G96" s="14">
        <v>1.5166311783300314E-9</v>
      </c>
      <c r="H96" s="14">
        <v>0</v>
      </c>
      <c r="I96" s="14">
        <v>1.5026361247281304E-8</v>
      </c>
      <c r="J96" s="14">
        <v>1.2011371800737266E-6</v>
      </c>
      <c r="K96" s="14">
        <v>0</v>
      </c>
    </row>
    <row r="97" spans="1:11">
      <c r="A97" s="2" t="s">
        <v>472</v>
      </c>
      <c r="B97" s="3" t="s">
        <v>473</v>
      </c>
      <c r="D97" s="14">
        <v>2.2690714400804455E-14</v>
      </c>
      <c r="E97" s="14">
        <v>3.7441896122920039E-5</v>
      </c>
      <c r="F97" s="14">
        <v>1.6761866772029482E-8</v>
      </c>
      <c r="G97" s="14">
        <v>5.8105593274103866E-9</v>
      </c>
      <c r="H97" s="14">
        <v>0</v>
      </c>
      <c r="I97" s="14">
        <v>1.7097448744355906E-8</v>
      </c>
      <c r="J97" s="14">
        <v>2.5184339795454596E-6</v>
      </c>
      <c r="K97" s="14">
        <v>0</v>
      </c>
    </row>
    <row r="98" spans="1:11">
      <c r="A98" s="2" t="s">
        <v>474</v>
      </c>
      <c r="B98" s="3" t="s">
        <v>475</v>
      </c>
      <c r="D98" s="14">
        <v>7.4761174773202143E-24</v>
      </c>
      <c r="E98" s="14">
        <v>2.9473776207699594E-6</v>
      </c>
      <c r="F98" s="14">
        <v>1.1406445559218549E-5</v>
      </c>
      <c r="G98" s="14">
        <v>2.0278969750129531E-6</v>
      </c>
      <c r="H98" s="14">
        <v>0</v>
      </c>
      <c r="I98" s="14">
        <v>1.2846909330833726E-6</v>
      </c>
      <c r="J98" s="14">
        <v>2.2333588911915173E-5</v>
      </c>
      <c r="K98" s="14">
        <v>0</v>
      </c>
    </row>
    <row r="99" spans="1:11">
      <c r="A99" s="2" t="s">
        <v>476</v>
      </c>
      <c r="B99" s="3" t="s">
        <v>477</v>
      </c>
      <c r="D99" s="14">
        <v>6.9371044607405652E-12</v>
      </c>
      <c r="E99" s="14">
        <v>3.9651342745937945E-5</v>
      </c>
      <c r="F99" s="14">
        <v>3.2889134824303447E-10</v>
      </c>
      <c r="G99" s="14">
        <v>1.5294947990459178E-10</v>
      </c>
      <c r="H99" s="14">
        <v>0</v>
      </c>
      <c r="I99" s="14">
        <v>1.4541902631140611E-8</v>
      </c>
      <c r="J99" s="14">
        <v>3.3362657349831918E-7</v>
      </c>
      <c r="K99" s="14">
        <v>0</v>
      </c>
    </row>
    <row r="100" spans="1:11">
      <c r="A100" s="2" t="s">
        <v>478</v>
      </c>
      <c r="B100" s="3" t="s">
        <v>479</v>
      </c>
      <c r="D100" s="14">
        <v>2.6598268319980717E-15</v>
      </c>
      <c r="E100" s="14">
        <v>2.142856196867008E-5</v>
      </c>
      <c r="F100" s="14">
        <v>1.0962953643295385E-6</v>
      </c>
      <c r="G100" s="14">
        <v>2.6805451893455347E-7</v>
      </c>
      <c r="H100" s="14">
        <v>0</v>
      </c>
      <c r="I100" s="14">
        <v>1.7233817161659126E-7</v>
      </c>
      <c r="J100" s="14">
        <v>1.7034749973789417E-5</v>
      </c>
      <c r="K100" s="14">
        <v>0</v>
      </c>
    </row>
    <row r="101" spans="1:11">
      <c r="A101" s="2" t="s">
        <v>480</v>
      </c>
      <c r="B101" s="3" t="s">
        <v>481</v>
      </c>
      <c r="D101" s="14">
        <v>1.8667956956291579E-15</v>
      </c>
      <c r="E101" s="14">
        <v>3.9425431507888743E-5</v>
      </c>
      <c r="F101" s="14">
        <v>8.891417551936845E-10</v>
      </c>
      <c r="G101" s="14">
        <v>3.8411968239489501E-10</v>
      </c>
      <c r="H101" s="14">
        <v>0</v>
      </c>
      <c r="I101" s="14">
        <v>1.4594559474188034E-8</v>
      </c>
      <c r="J101" s="14">
        <v>5.587006693326933E-7</v>
      </c>
      <c r="K101" s="14">
        <v>0</v>
      </c>
    </row>
    <row r="102" spans="1:11">
      <c r="A102" s="2" t="s">
        <v>482</v>
      </c>
      <c r="B102" s="3" t="s">
        <v>483</v>
      </c>
      <c r="D102" s="14">
        <v>1.173054081741881E-31</v>
      </c>
      <c r="E102" s="14">
        <v>3.9843520005661467E-5</v>
      </c>
      <c r="F102" s="14">
        <v>6.3444247388879247E-11</v>
      </c>
      <c r="G102" s="14">
        <v>3.3318681367613077E-11</v>
      </c>
      <c r="H102" s="14">
        <v>0</v>
      </c>
      <c r="I102" s="14">
        <v>1.4542671868062467E-8</v>
      </c>
      <c r="J102" s="14">
        <v>1.4184055954171184E-7</v>
      </c>
      <c r="K102" s="14">
        <v>0</v>
      </c>
    </row>
    <row r="103" spans="1:11">
      <c r="A103" s="2" t="s">
        <v>484</v>
      </c>
      <c r="B103" s="3" t="s">
        <v>485</v>
      </c>
      <c r="D103" s="14">
        <v>9.3571762074664961E-18</v>
      </c>
      <c r="E103" s="14">
        <v>3.9661987412972084E-5</v>
      </c>
      <c r="F103" s="14">
        <v>3.0904307951208945E-10</v>
      </c>
      <c r="G103" s="14">
        <v>1.4438250689105822E-10</v>
      </c>
      <c r="H103" s="14">
        <v>0</v>
      </c>
      <c r="I103" s="14">
        <v>1.4540800807046914E-8</v>
      </c>
      <c r="J103" s="14">
        <v>3.2301836062511362E-7</v>
      </c>
      <c r="K103" s="14">
        <v>0</v>
      </c>
    </row>
    <row r="104" spans="1:11">
      <c r="A104" s="2" t="s">
        <v>486</v>
      </c>
      <c r="B104" s="3" t="s">
        <v>487</v>
      </c>
      <c r="D104" s="14">
        <v>1.1546617464393694E-13</v>
      </c>
      <c r="E104" s="14">
        <v>3.8155262216297805E-5</v>
      </c>
      <c r="F104" s="14">
        <v>8.8049925514020449E-9</v>
      </c>
      <c r="G104" s="14">
        <v>3.2049742773285052E-9</v>
      </c>
      <c r="H104" s="14">
        <v>0</v>
      </c>
      <c r="I104" s="14">
        <v>1.580195590137032E-8</v>
      </c>
      <c r="J104" s="14">
        <v>1.8169257455059286E-6</v>
      </c>
      <c r="K104" s="14">
        <v>0</v>
      </c>
    </row>
    <row r="105" spans="1:11">
      <c r="A105" s="2" t="s">
        <v>488</v>
      </c>
      <c r="B105" s="3" t="s">
        <v>489</v>
      </c>
      <c r="D105" s="14">
        <v>9.3293070013169252E-21</v>
      </c>
      <c r="E105" s="14">
        <v>3.9815213532446151E-5</v>
      </c>
      <c r="F105" s="14">
        <v>8.9975361374106649E-11</v>
      </c>
      <c r="G105" s="14">
        <v>4.6048888824666284E-11</v>
      </c>
      <c r="H105" s="14">
        <v>0</v>
      </c>
      <c r="I105" s="14">
        <v>1.4539683041837781E-8</v>
      </c>
      <c r="J105" s="14">
        <v>1.7011076026180686E-7</v>
      </c>
      <c r="K105" s="14">
        <v>0</v>
      </c>
    </row>
    <row r="106" spans="1:11">
      <c r="A106" s="2" t="s">
        <v>490</v>
      </c>
      <c r="B106" s="3" t="s">
        <v>491</v>
      </c>
      <c r="D106" s="14">
        <v>5.2135865315775234E-13</v>
      </c>
      <c r="E106" s="14">
        <v>3.3902853311070527E-5</v>
      </c>
      <c r="F106" s="14">
        <v>9.5369784425462754E-8</v>
      </c>
      <c r="G106" s="14">
        <v>2.887396038744425E-8</v>
      </c>
      <c r="H106" s="14">
        <v>0</v>
      </c>
      <c r="I106" s="14">
        <v>2.9721012933470677E-8</v>
      </c>
      <c r="J106" s="14">
        <v>5.943181409824445E-6</v>
      </c>
      <c r="K106" s="14">
        <v>0</v>
      </c>
    </row>
    <row r="107" spans="1:11">
      <c r="A107" s="2" t="s">
        <v>492</v>
      </c>
      <c r="B107" s="3" t="s">
        <v>493</v>
      </c>
      <c r="D107" s="14">
        <v>3.8053888612363217E-20</v>
      </c>
      <c r="E107" s="14">
        <v>2.3734424581385145E-6</v>
      </c>
      <c r="F107" s="14">
        <v>1.271373800305442E-5</v>
      </c>
      <c r="G107" s="14">
        <v>2.2068296630415985E-6</v>
      </c>
      <c r="H107" s="14">
        <v>0</v>
      </c>
      <c r="I107" s="14">
        <v>1.4009945411318744E-6</v>
      </c>
      <c r="J107" s="14">
        <v>2.1304995334633556E-5</v>
      </c>
      <c r="K107" s="14">
        <v>0</v>
      </c>
    </row>
    <row r="108" spans="1:11">
      <c r="A108" s="2" t="s">
        <v>291</v>
      </c>
      <c r="B108" s="3" t="s">
        <v>494</v>
      </c>
      <c r="D108" s="14">
        <v>1.4495373107630669E-14</v>
      </c>
      <c r="E108" s="14">
        <v>2.3345816251076605E-5</v>
      </c>
      <c r="F108" s="14">
        <v>8.4159590446447209E-7</v>
      </c>
      <c r="G108" s="14">
        <v>2.1115392990643552E-7</v>
      </c>
      <c r="H108" s="14">
        <v>0</v>
      </c>
      <c r="I108" s="14">
        <v>1.3779145354981239E-7</v>
      </c>
      <c r="J108" s="14">
        <v>1.5463642446507303E-5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B96E-DA5F-41D6-BAAC-E1DFCAA9211A}">
  <dimension ref="A1:D108"/>
  <sheetViews>
    <sheetView tabSelected="1" topLeftCell="A75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3.8793500767458856E-8</v>
      </c>
      <c r="B2">
        <f>'Mass Balance'!E2</f>
        <v>3.231164423856161E-5</v>
      </c>
      <c r="C2">
        <f>SUM('Mass Balance'!E2:H2)</f>
        <v>3.2510075742901695E-5</v>
      </c>
      <c r="D2">
        <f>Concentrations!F2/Concentrations!E2</f>
        <v>0.99428391917831194</v>
      </c>
    </row>
    <row r="3" spans="1:4">
      <c r="A3">
        <f>'Mass Balance'!I3</f>
        <v>7.882606366587941E-6</v>
      </c>
      <c r="B3">
        <f>'Mass Balance'!E3</f>
        <v>1.1966834766411973E-7</v>
      </c>
      <c r="C3">
        <f>SUM('Mass Balance'!E3:H3)</f>
        <v>1.6522313702652195E-5</v>
      </c>
      <c r="D3">
        <f>Concentrations!F3/Concentrations!E3</f>
        <v>7.2456569655418761E-3</v>
      </c>
    </row>
    <row r="4" spans="1:4">
      <c r="A4">
        <f>'Mass Balance'!I4</f>
        <v>2.1104401719673142E-7</v>
      </c>
      <c r="B4">
        <f>'Mass Balance'!E4</f>
        <v>1.9605878480652361E-5</v>
      </c>
      <c r="C4">
        <f>SUM('Mass Balance'!E4:H4)</f>
        <v>2.1325668036906202E-5</v>
      </c>
      <c r="D4">
        <f>Concentrations!F4/Concentrations!E4</f>
        <v>0.91971442972599593</v>
      </c>
    </row>
    <row r="5" spans="1:4">
      <c r="A5">
        <f>'Mass Balance'!I5</f>
        <v>2.2493561713740544E-6</v>
      </c>
      <c r="B5">
        <f>'Mass Balance'!E5</f>
        <v>1.2432728539248377E-6</v>
      </c>
      <c r="C5">
        <f>SUM('Mass Balance'!E5:H5)</f>
        <v>1.6867466840759619E-5</v>
      </c>
      <c r="D5">
        <f>Concentrations!F5/Concentrations!E5</f>
        <v>7.3737078138436107E-2</v>
      </c>
    </row>
    <row r="6" spans="1:4">
      <c r="A6">
        <f>'Mass Balance'!I6</f>
        <v>9.8427464288986029E-6</v>
      </c>
      <c r="B6">
        <f>'Mass Balance'!E6</f>
        <v>5.7377964655459546E-8</v>
      </c>
      <c r="C6">
        <f>SUM('Mass Balance'!E6:H6)</f>
        <v>1.7930562329898388E-5</v>
      </c>
      <c r="D6">
        <f>Concentrations!F6/Concentrations!E6</f>
        <v>3.2012571914110171E-3</v>
      </c>
    </row>
    <row r="7" spans="1:4">
      <c r="A7">
        <f>'Mass Balance'!I7</f>
        <v>8.2862110964952102E-6</v>
      </c>
      <c r="B7">
        <f>'Mass Balance'!E7</f>
        <v>1.0935399235367166E-7</v>
      </c>
      <c r="C7">
        <f>SUM('Mass Balance'!E7:H7)</f>
        <v>1.6946126556307643E-5</v>
      </c>
      <c r="D7">
        <f>Concentrations!F7/Concentrations!E7</f>
        <v>6.4555542634555903E-3</v>
      </c>
    </row>
    <row r="8" spans="1:4">
      <c r="A8">
        <f>'Mass Balance'!I8</f>
        <v>6.2924402432431125E-6</v>
      </c>
      <c r="B8">
        <f>'Mass Balance'!E8</f>
        <v>2.3194532435834217E-7</v>
      </c>
      <c r="C8">
        <f>SUM('Mass Balance'!E8:H8)</f>
        <v>1.6029367611900659E-5</v>
      </c>
      <c r="D8">
        <f>Concentrations!F8/Concentrations!E8</f>
        <v>1.4475666589305136E-2</v>
      </c>
    </row>
    <row r="9" spans="1:4">
      <c r="A9">
        <f>'Mass Balance'!I9</f>
        <v>8.1550417822942944E-7</v>
      </c>
      <c r="B9">
        <f>'Mass Balance'!E9</f>
        <v>6.5852805512255146E-6</v>
      </c>
      <c r="C9">
        <f>SUM('Mass Balance'!E9:H9)</f>
        <v>1.4486928886688516E-5</v>
      </c>
      <c r="D9">
        <f>Concentrations!F9/Concentrations!E9</f>
        <v>0.45474432916135366</v>
      </c>
    </row>
    <row r="10" spans="1:4">
      <c r="A10">
        <f>'Mass Balance'!I10</f>
        <v>2.3967227650317724E-6</v>
      </c>
      <c r="B10">
        <f>'Mass Balance'!E10</f>
        <v>1.1516220334875305E-6</v>
      </c>
      <c r="C10">
        <f>SUM('Mass Balance'!E10:H10)</f>
        <v>1.6707505254999414E-5</v>
      </c>
      <c r="D10">
        <f>Concentrations!F10/Concentrations!E10</f>
        <v>6.895530717026728E-2</v>
      </c>
    </row>
    <row r="11" spans="1:4">
      <c r="A11">
        <f>'Mass Balance'!I11</f>
        <v>2.6551766991925948E-6</v>
      </c>
      <c r="B11">
        <f>'Mass Balance'!E11</f>
        <v>1.0102339417345354E-6</v>
      </c>
      <c r="C11">
        <f>SUM('Mass Balance'!E11:H11)</f>
        <v>1.644894653987361E-5</v>
      </c>
      <c r="D11">
        <f>Concentrations!F11/Concentrations!E11</f>
        <v>6.1440282663387719E-2</v>
      </c>
    </row>
    <row r="12" spans="1:4">
      <c r="A12">
        <f>'Mass Balance'!I12</f>
        <v>9.9138957689999562E-7</v>
      </c>
      <c r="B12">
        <f>'Mass Balance'!E12</f>
        <v>4.9090883627823773E-6</v>
      </c>
      <c r="C12">
        <f>SUM('Mass Balance'!E12:H12)</f>
        <v>1.4805798083983269E-5</v>
      </c>
      <c r="D12">
        <f>Concentrations!F12/Concentrations!E12</f>
        <v>0.33169457264537167</v>
      </c>
    </row>
    <row r="13" spans="1:4">
      <c r="A13">
        <f>'Mass Balance'!I13</f>
        <v>8.3153870622572423E-7</v>
      </c>
      <c r="B13">
        <f>'Mass Balance'!E13</f>
        <v>6.4093498116481235E-6</v>
      </c>
      <c r="C13">
        <f>SUM('Mass Balance'!E13:H13)</f>
        <v>1.4489420561100279E-5</v>
      </c>
      <c r="D13">
        <f>Concentrations!F13/Concentrations!E13</f>
        <v>0.44251938025974874</v>
      </c>
    </row>
    <row r="14" spans="1:4">
      <c r="A14">
        <f>'Mass Balance'!I14</f>
        <v>3.587477366373582E-6</v>
      </c>
      <c r="B14">
        <f>'Mass Balance'!E14</f>
        <v>6.6201806441208276E-7</v>
      </c>
      <c r="C14">
        <f>SUM('Mass Balance'!E14:H14)</f>
        <v>1.5906992374188504E-5</v>
      </c>
      <c r="D14">
        <f>Concentrations!F14/Concentrations!E14</f>
        <v>4.1634284508650303E-2</v>
      </c>
    </row>
    <row r="15" spans="1:4">
      <c r="A15">
        <f>'Mass Balance'!I15</f>
        <v>2.5239448770495965E-6</v>
      </c>
      <c r="B15">
        <f>'Mass Balance'!E15</f>
        <v>1.0791721341749177E-6</v>
      </c>
      <c r="C15">
        <f>SUM('Mass Balance'!E15:H15)</f>
        <v>1.6576656859340325E-5</v>
      </c>
      <c r="D15">
        <f>Concentrations!F15/Concentrations!E15</f>
        <v>6.512730593821664E-2</v>
      </c>
    </row>
    <row r="16" spans="1:4">
      <c r="A16">
        <f>'Mass Balance'!I16</f>
        <v>6.1974282294597381E-6</v>
      </c>
      <c r="B16">
        <f>'Mass Balance'!E16</f>
        <v>2.3936159048465567E-7</v>
      </c>
      <c r="C16">
        <f>SUM('Mass Balance'!E16:H16)</f>
        <v>1.5982741353220133E-5</v>
      </c>
      <c r="D16">
        <f>Concentrations!F16/Concentrations!E16</f>
        <v>1.4982094392090275E-2</v>
      </c>
    </row>
    <row r="17" spans="1:4">
      <c r="A17">
        <f>'Mass Balance'!I17</f>
        <v>2.2981951323630375E-6</v>
      </c>
      <c r="B17">
        <f>'Mass Balance'!E17</f>
        <v>1.2123368294301505E-6</v>
      </c>
      <c r="C17">
        <f>SUM('Mass Balance'!E17:H17)</f>
        <v>1.6816503013527356E-5</v>
      </c>
      <c r="D17">
        <f>Concentrations!F17/Concentrations!E17</f>
        <v>7.2120204192343509E-2</v>
      </c>
    </row>
    <row r="18" spans="1:4">
      <c r="A18">
        <f>'Mass Balance'!I18</f>
        <v>7.3885634645240482E-7</v>
      </c>
      <c r="B18">
        <f>'Mass Balance'!E18</f>
        <v>7.3560757139664426E-6</v>
      </c>
      <c r="C18">
        <f>SUM('Mass Balance'!E18:H18)</f>
        <v>1.4423150165010462E-5</v>
      </c>
      <c r="D18">
        <f>Concentrations!F18/Concentrations!E18</f>
        <v>0.51021756278682495</v>
      </c>
    </row>
    <row r="19" spans="1:4">
      <c r="A19">
        <f>'Mass Balance'!I19</f>
        <v>2.5499783204628974E-6</v>
      </c>
      <c r="B19">
        <f>'Mass Balance'!E19</f>
        <v>1.0651504558923559E-6</v>
      </c>
      <c r="C19">
        <f>SUM('Mass Balance'!E19:H19)</f>
        <v>1.6551535635166349E-5</v>
      </c>
      <c r="D19">
        <f>Concentrations!F19/Concentrations!E19</f>
        <v>6.4378670328433432E-2</v>
      </c>
    </row>
    <row r="20" spans="1:4">
      <c r="A20">
        <f>'Mass Balance'!I20</f>
        <v>8.3185105900491433E-7</v>
      </c>
      <c r="B20">
        <f>'Mass Balance'!E20</f>
        <v>6.4117573703239616E-6</v>
      </c>
      <c r="C20">
        <f>SUM('Mass Balance'!E20:H20)</f>
        <v>1.4494863255165182E-5</v>
      </c>
      <c r="D20">
        <f>Concentrations!F20/Concentrations!E20</f>
        <v>0.44251938025974885</v>
      </c>
    </row>
    <row r="21" spans="1:4">
      <c r="A21">
        <f>'Mass Balance'!I21</f>
        <v>3.2911722529426546E-6</v>
      </c>
      <c r="B21">
        <f>'Mass Balance'!E21</f>
        <v>7.4931961182144541E-7</v>
      </c>
      <c r="C21">
        <f>SUM('Mass Balance'!E21:H21)</f>
        <v>1.5998877770363486E-5</v>
      </c>
      <c r="D21">
        <f>Concentrations!F21/Concentrations!E21</f>
        <v>4.685402634239362E-2</v>
      </c>
    </row>
    <row r="22" spans="1:4">
      <c r="A22">
        <f>'Mass Balance'!I22</f>
        <v>9.7704382478606737E-8</v>
      </c>
      <c r="B22">
        <f>'Mass Balance'!E22</f>
        <v>2.6009441282567986E-5</v>
      </c>
      <c r="C22">
        <f>SUM('Mass Balance'!E22:H22)</f>
        <v>2.670865394542722E-5</v>
      </c>
      <c r="D22">
        <f>Concentrations!F22/Concentrations!E22</f>
        <v>0.97420052731428097</v>
      </c>
    </row>
    <row r="23" spans="1:4">
      <c r="A23">
        <f>'Mass Balance'!I23</f>
        <v>5.2600416188108516E-8</v>
      </c>
      <c r="B23">
        <f>'Mass Balance'!E23</f>
        <v>3.0414027360675483E-5</v>
      </c>
      <c r="C23">
        <f>SUM('Mass Balance'!E23:H23)</f>
        <v>3.0727105185739248E-5</v>
      </c>
      <c r="D23">
        <f>Concentrations!F23/Concentrations!E23</f>
        <v>0.99019703955724436</v>
      </c>
    </row>
    <row r="24" spans="1:4">
      <c r="A24">
        <f>'Mass Balance'!I24</f>
        <v>4.2440698068441636E-7</v>
      </c>
      <c r="B24">
        <f>'Mass Balance'!E24</f>
        <v>1.2859240972392678E-5</v>
      </c>
      <c r="C24">
        <f>SUM('Mass Balance'!E24:H24)</f>
        <v>1.6636353911633948E-5</v>
      </c>
      <c r="D24">
        <f>Concentrations!F24/Concentrations!E24</f>
        <v>0.77326174005864801</v>
      </c>
    </row>
    <row r="25" spans="1:4">
      <c r="A25">
        <f>'Mass Balance'!I25</f>
        <v>1.1702862706092494E-6</v>
      </c>
      <c r="B25">
        <f>'Mass Balance'!E25</f>
        <v>3.0881652246687511E-6</v>
      </c>
      <c r="C25">
        <f>SUM('Mass Balance'!E25:H25)</f>
        <v>1.5223426355756177E-5</v>
      </c>
      <c r="D25">
        <f>Concentrations!F25/Concentrations!E25</f>
        <v>0.2029352336531943</v>
      </c>
    </row>
    <row r="26" spans="1:4">
      <c r="A26">
        <f>'Mass Balance'!I26</f>
        <v>3.1080319433088012E-6</v>
      </c>
      <c r="B26">
        <f>'Mass Balance'!E26</f>
        <v>8.1400073041098797E-7</v>
      </c>
      <c r="C26">
        <f>SUM('Mass Balance'!E26:H26)</f>
        <v>1.6102233161119805E-5</v>
      </c>
      <c r="D26">
        <f>Concentrations!F26/Concentrations!E26</f>
        <v>5.0571754617127318E-2</v>
      </c>
    </row>
    <row r="27" spans="1:4">
      <c r="A27">
        <f>'Mass Balance'!I27</f>
        <v>7.697333907067253E-6</v>
      </c>
      <c r="B27">
        <f>'Mass Balance'!E27</f>
        <v>1.3132335693797656E-7</v>
      </c>
      <c r="C27">
        <f>SUM('Mass Balance'!E27:H27)</f>
        <v>1.6488020805683638E-5</v>
      </c>
      <c r="D27">
        <f>Concentrations!F27/Concentrations!E27</f>
        <v>7.9678800475457261E-3</v>
      </c>
    </row>
    <row r="28" spans="1:4">
      <c r="A28">
        <f>'Mass Balance'!I28</f>
        <v>4.5523440280447958E-6</v>
      </c>
      <c r="B28">
        <f>'Mass Balance'!E28</f>
        <v>4.4730067482426502E-7</v>
      </c>
      <c r="C28">
        <f>SUM('Mass Balance'!E28:H28)</f>
        <v>1.5735116534066279E-5</v>
      </c>
      <c r="D28">
        <f>Concentrations!F28/Concentrations!E28</f>
        <v>2.8437992026032605E-2</v>
      </c>
    </row>
    <row r="29" spans="1:4">
      <c r="A29">
        <f>'Mass Balance'!I29</f>
        <v>3.1090926039285878E-6</v>
      </c>
      <c r="B29">
        <f>'Mass Balance'!E29</f>
        <v>6.1535602852041515E-7</v>
      </c>
      <c r="C29">
        <f>SUM('Mass Balance'!E29:H29)</f>
        <v>1.4208095984417412E-5</v>
      </c>
      <c r="D29">
        <f>Concentrations!F29/Concentrations!E29</f>
        <v>4.3327129345484806E-2</v>
      </c>
    </row>
    <row r="30" spans="1:4">
      <c r="A30">
        <f>'Mass Balance'!I30</f>
        <v>4.5523440280447958E-6</v>
      </c>
      <c r="B30">
        <f>'Mass Balance'!E30</f>
        <v>4.4730067482426502E-7</v>
      </c>
      <c r="C30">
        <f>SUM('Mass Balance'!E30:H30)</f>
        <v>1.5735116534066279E-5</v>
      </c>
      <c r="D30">
        <f>Concentrations!F30/Concentrations!E30</f>
        <v>2.8437992026032605E-2</v>
      </c>
    </row>
    <row r="31" spans="1:4">
      <c r="A31">
        <f>'Mass Balance'!I31</f>
        <v>1.479690490291396E-8</v>
      </c>
      <c r="B31">
        <f>'Mass Balance'!E31</f>
        <v>3.9049833683892318E-5</v>
      </c>
      <c r="C31">
        <f>SUM('Mass Balance'!E31:H31)</f>
        <v>3.9053189146628719E-5</v>
      </c>
      <c r="D31">
        <f>Concentrations!F31/Concentrations!E31</f>
        <v>1.0003040382004165</v>
      </c>
    </row>
    <row r="32" spans="1:4">
      <c r="A32">
        <f>'Mass Balance'!I32</f>
        <v>1.6036785655193377E-7</v>
      </c>
      <c r="B32">
        <f>'Mass Balance'!E32</f>
        <v>2.2204453314143699E-5</v>
      </c>
      <c r="C32">
        <f>SUM('Mass Balance'!E32:H32)</f>
        <v>2.344438843011324E-5</v>
      </c>
      <c r="D32">
        <f>Concentrations!F32/Concentrations!E32</f>
        <v>0.9474810119395054</v>
      </c>
    </row>
    <row r="33" spans="1:4">
      <c r="A33">
        <f>'Mass Balance'!I33</f>
        <v>1.4790994059923882E-8</v>
      </c>
      <c r="B33">
        <f>'Mass Balance'!E33</f>
        <v>3.9966111442184558E-5</v>
      </c>
      <c r="C33">
        <f>SUM('Mass Balance'!E33:H33)</f>
        <v>3.9982924210536733E-5</v>
      </c>
      <c r="D33">
        <f>Concentrations!F33/Concentrations!E33</f>
        <v>0.99996932932585081</v>
      </c>
    </row>
    <row r="34" spans="1:4">
      <c r="A34">
        <f>'Mass Balance'!I34</f>
        <v>4.1859751258506623E-8</v>
      </c>
      <c r="B34">
        <f>'Mass Balance'!E34</f>
        <v>3.6908152745427248E-5</v>
      </c>
      <c r="C34">
        <f>SUM('Mass Balance'!E34:H34)</f>
        <v>3.9945066961659577E-5</v>
      </c>
      <c r="D34">
        <f>Concentrations!F34/Concentrations!E34</f>
        <v>0.92433307638325402</v>
      </c>
    </row>
    <row r="35" spans="1:4">
      <c r="A35">
        <f>'Mass Balance'!I35</f>
        <v>7.2902892946279976E-8</v>
      </c>
      <c r="B35">
        <f>'Mass Balance'!E35</f>
        <v>3.3024212973780343E-5</v>
      </c>
      <c r="C35">
        <f>SUM('Mass Balance'!E35:H35)</f>
        <v>3.9879270784380936E-5</v>
      </c>
      <c r="D35">
        <f>Concentrations!F35/Concentrations!E35</f>
        <v>0.82842768947332002</v>
      </c>
    </row>
    <row r="36" spans="1:4">
      <c r="A36">
        <f>'Mass Balance'!I36</f>
        <v>1.5471785083942361E-7</v>
      </c>
      <c r="B36">
        <f>'Mass Balance'!E36</f>
        <v>2.1818867145654453E-5</v>
      </c>
      <c r="C36">
        <f>SUM('Mass Balance'!E36:H36)</f>
        <v>3.973940643252302E-5</v>
      </c>
      <c r="D36">
        <f>Concentrations!F36/Concentrations!E36</f>
        <v>0.54926276684845676</v>
      </c>
    </row>
    <row r="37" spans="1:4">
      <c r="A37">
        <f>'Mass Balance'!I37</f>
        <v>2.3228248240205429E-7</v>
      </c>
      <c r="B37">
        <f>'Mass Balance'!E37</f>
        <v>2.3617052385523441E-5</v>
      </c>
      <c r="C37">
        <f>SUM('Mass Balance'!E37:H37)</f>
        <v>3.1768594517805542E-5</v>
      </c>
      <c r="D37">
        <f>Concentrations!F37/Concentrations!E37</f>
        <v>0.74369871272051669</v>
      </c>
    </row>
    <row r="38" spans="1:4">
      <c r="A38">
        <f>'Mass Balance'!I38</f>
        <v>3.6998680190864372E-8</v>
      </c>
      <c r="B38">
        <f>'Mass Balance'!E38</f>
        <v>3.7502737623469853E-5</v>
      </c>
      <c r="C38">
        <f>SUM('Mass Balance'!E38:H38)</f>
        <v>3.984826333962518E-5</v>
      </c>
      <c r="D38">
        <f>Concentrations!F38/Concentrations!E38</f>
        <v>0.94150560772638303</v>
      </c>
    </row>
    <row r="39" spans="1:4">
      <c r="A39">
        <f>'Mass Balance'!I39</f>
        <v>1.5310949000618706E-6</v>
      </c>
      <c r="B39">
        <f>'Mass Balance'!E39</f>
        <v>1.9152433843175113E-6</v>
      </c>
      <c r="C39">
        <f>SUM('Mass Balance'!E39:H39)</f>
        <v>1.8100180399875556E-5</v>
      </c>
      <c r="D39">
        <f>Concentrations!F39/Concentrations!E39</f>
        <v>0.10585476341410865</v>
      </c>
    </row>
    <row r="40" spans="1:4">
      <c r="A40">
        <f>'Mass Balance'!I40</f>
        <v>1.3746775393929325E-5</v>
      </c>
      <c r="B40">
        <f>'Mass Balance'!E40</f>
        <v>2.5901780460436148E-7</v>
      </c>
      <c r="C40">
        <f>SUM('Mass Balance'!E40:H40)</f>
        <v>2.5512396968281416E-5</v>
      </c>
      <c r="D40">
        <f>Concentrations!F40/Concentrations!E40</f>
        <v>1.0156584652045903E-2</v>
      </c>
    </row>
    <row r="41" spans="1:4">
      <c r="A41">
        <f>'Mass Balance'!I41</f>
        <v>1.3352593030470228E-8</v>
      </c>
      <c r="B41">
        <f>'Mass Balance'!E41</f>
        <v>3.6543106726069353E-5</v>
      </c>
      <c r="C41">
        <f>SUM('Mass Balance'!E41:H41)</f>
        <v>3.6543274014740008E-5</v>
      </c>
      <c r="D41">
        <f>Concentrations!F41/Concentrations!E41</f>
        <v>1.0003854124253486</v>
      </c>
    </row>
    <row r="42" spans="1:4">
      <c r="A42">
        <f>'Mass Balance'!I42</f>
        <v>1.1341067134366478E-7</v>
      </c>
      <c r="B42">
        <f>'Mass Balance'!E42</f>
        <v>2.4928632298676243E-5</v>
      </c>
      <c r="C42">
        <f>SUM('Mass Balance'!E42:H42)</f>
        <v>2.5765076868582932E-5</v>
      </c>
      <c r="D42">
        <f>Concentrations!F42/Concentrations!E42</f>
        <v>0.96791305509794789</v>
      </c>
    </row>
    <row r="43" spans="1:4">
      <c r="A43">
        <f>'Mass Balance'!I43</f>
        <v>5.6764740614704978E-7</v>
      </c>
      <c r="B43">
        <f>'Mass Balance'!E43</f>
        <v>3.2203678636147343E-6</v>
      </c>
      <c r="C43">
        <f>SUM('Mass Balance'!E43:H43)</f>
        <v>3.9278778137371255E-5</v>
      </c>
      <c r="D43">
        <f>Concentrations!F43/Concentrations!E43</f>
        <v>8.2019450049147971E-2</v>
      </c>
    </row>
    <row r="44" spans="1:4">
      <c r="A44">
        <f>'Mass Balance'!I44</f>
        <v>2.5930544495767688E-8</v>
      </c>
      <c r="B44">
        <f>'Mass Balance'!E44</f>
        <v>3.120390451766928E-5</v>
      </c>
      <c r="C44">
        <f>SUM('Mass Balance'!E44:H44)</f>
        <v>3.1307550626274377E-5</v>
      </c>
      <c r="D44">
        <f>Concentrations!F44/Concentrations!E44</f>
        <v>0.99707812228781312</v>
      </c>
    </row>
    <row r="45" spans="1:4">
      <c r="A45">
        <f>'Mass Balance'!I45</f>
        <v>1.2905542593102923E-7</v>
      </c>
      <c r="B45">
        <f>'Mass Balance'!E45</f>
        <v>2.386127828882138E-5</v>
      </c>
      <c r="C45">
        <f>SUM('Mass Balance'!E45:H45)</f>
        <v>2.4836298354758746E-5</v>
      </c>
      <c r="D45">
        <f>Concentrations!F45/Concentrations!E45</f>
        <v>0.96111681605375676</v>
      </c>
    </row>
    <row r="46" spans="1:4">
      <c r="A46">
        <f>'Mass Balance'!I46</f>
        <v>1.1880255899247051E-7</v>
      </c>
      <c r="B46">
        <f>'Mass Balance'!E46</f>
        <v>2.4480450407607156E-5</v>
      </c>
      <c r="C46">
        <f>SUM('Mass Balance'!E46:H46)</f>
        <v>2.53648514685547E-5</v>
      </c>
      <c r="D46">
        <f>Concentrations!F46/Concentrations!E46</f>
        <v>0.96550920546992713</v>
      </c>
    </row>
    <row r="47" spans="1:4">
      <c r="A47">
        <f>'Mass Balance'!I47</f>
        <v>8.0134872097672417E-6</v>
      </c>
      <c r="B47">
        <f>'Mass Balance'!E47</f>
        <v>1.216552912606618E-7</v>
      </c>
      <c r="C47">
        <f>SUM('Mass Balance'!E47:H47)</f>
        <v>1.6796646105934701E-5</v>
      </c>
      <c r="D47">
        <f>Concentrations!F47/Concentrations!E47</f>
        <v>7.2456569655418761E-3</v>
      </c>
    </row>
    <row r="48" spans="1:4">
      <c r="A48">
        <f>'Mass Balance'!I48</f>
        <v>1.8313132954846456E-8</v>
      </c>
      <c r="B48">
        <f>'Mass Balance'!E48</f>
        <v>3.6399683482837006E-5</v>
      </c>
      <c r="C48">
        <f>SUM('Mass Balance'!E48:H48)</f>
        <v>3.6433397232961953E-5</v>
      </c>
      <c r="D48">
        <f>Concentrations!F48/Concentrations!E48</f>
        <v>0.999464278244938</v>
      </c>
    </row>
    <row r="49" spans="1:4">
      <c r="A49">
        <f>'Mass Balance'!I49</f>
        <v>2.1416281639653085E-8</v>
      </c>
      <c r="B49">
        <f>'Mass Balance'!E49</f>
        <v>3.4941426199258512E-5</v>
      </c>
      <c r="C49">
        <f>SUM('Mass Balance'!E49:H49)</f>
        <v>3.5001213641271116E-5</v>
      </c>
      <c r="D49">
        <f>Concentrations!F49/Concentrations!E49</f>
        <v>0.99868117247035748</v>
      </c>
    </row>
    <row r="50" spans="1:4">
      <c r="A50">
        <f>'Mass Balance'!I50</f>
        <v>7.0979146169083648E-7</v>
      </c>
      <c r="B50">
        <f>'Mass Balance'!E50</f>
        <v>7.5773063981505245E-6</v>
      </c>
      <c r="C50">
        <f>SUM('Mass Balance'!E50:H50)</f>
        <v>1.4337026016819802E-5</v>
      </c>
      <c r="D50">
        <f>Concentrations!F50/Concentrations!E50</f>
        <v>0.52871923915014007</v>
      </c>
    </row>
    <row r="51" spans="1:4">
      <c r="A51">
        <f>'Mass Balance'!I51</f>
        <v>1.4102156456327327E-8</v>
      </c>
      <c r="B51">
        <f>'Mass Balance'!E51</f>
        <v>3.6183377609742163E-5</v>
      </c>
      <c r="C51">
        <f>SUM('Mass Balance'!E51:H51)</f>
        <v>3.6188973508502055E-5</v>
      </c>
      <c r="D51">
        <f>Concentrations!F51/Concentrations!E51</f>
        <v>1.0002353017912216</v>
      </c>
    </row>
    <row r="52" spans="1:4">
      <c r="A52">
        <f>'Mass Balance'!I52</f>
        <v>3.5534801417927803E-8</v>
      </c>
      <c r="B52">
        <f>'Mass Balance'!E52</f>
        <v>3.0080696042238166E-5</v>
      </c>
      <c r="C52">
        <f>SUM('Mass Balance'!E52:H52)</f>
        <v>3.0260939716224826E-5</v>
      </c>
      <c r="D52">
        <f>Concentrations!F52/Concentrations!E52</f>
        <v>0.99443135462023402</v>
      </c>
    </row>
    <row r="53" spans="1:4">
      <c r="A53">
        <f>'Mass Balance'!I53</f>
        <v>1.9183290354532358E-7</v>
      </c>
      <c r="B53">
        <f>'Mass Balance'!E53</f>
        <v>2.0396382343343664E-5</v>
      </c>
      <c r="C53">
        <f>SUM('Mass Balance'!E53:H53)</f>
        <v>2.1939543650351805E-5</v>
      </c>
      <c r="D53">
        <f>Concentrations!F53/Concentrations!E53</f>
        <v>0.93002557825139109</v>
      </c>
    </row>
    <row r="54" spans="1:4">
      <c r="A54">
        <f>'Mass Balance'!I54</f>
        <v>7.1868652326462258E-6</v>
      </c>
      <c r="B54">
        <f>'Mass Balance'!E54</f>
        <v>1.6608875028797952E-7</v>
      </c>
      <c r="C54">
        <f>SUM('Mass Balance'!E54:H54)</f>
        <v>1.6376469496703783E-5</v>
      </c>
      <c r="D54">
        <f>Concentrations!F54/Concentrations!E54</f>
        <v>1.0145869572868196E-2</v>
      </c>
    </row>
    <row r="55" spans="1:4">
      <c r="A55">
        <f>'Mass Balance'!I55</f>
        <v>3.5433645133861913E-7</v>
      </c>
      <c r="B55">
        <f>'Mass Balance'!E55</f>
        <v>9.3465770795774291E-6</v>
      </c>
      <c r="C55">
        <f>SUM('Mass Balance'!E55:H55)</f>
        <v>1.2530053345605276E-5</v>
      </c>
      <c r="D55">
        <f>Concentrations!F55/Concentrations!E55</f>
        <v>0.7462236522295177</v>
      </c>
    </row>
    <row r="56" spans="1:4">
      <c r="A56">
        <f>'Mass Balance'!I56</f>
        <v>1.6690260794543586E-7</v>
      </c>
      <c r="B56">
        <f>'Mass Balance'!E56</f>
        <v>8.8628894879558271E-7</v>
      </c>
      <c r="C56">
        <f>SUM('Mass Balance'!E56:H56)</f>
        <v>2.5453699061897592E-6</v>
      </c>
      <c r="D56">
        <f>Concentrations!F56/Concentrations!E56</f>
        <v>0.3483323159709637</v>
      </c>
    </row>
    <row r="57" spans="1:4">
      <c r="A57">
        <f>'Mass Balance'!I57</f>
        <v>6.8226054636508297E-8</v>
      </c>
      <c r="B57">
        <f>'Mass Balance'!E57</f>
        <v>1.3319774672759773E-6</v>
      </c>
      <c r="C57">
        <f>SUM('Mass Balance'!E57:H57)</f>
        <v>1.9572920656408882E-6</v>
      </c>
      <c r="D57">
        <f>Concentrations!F57/Concentrations!E57</f>
        <v>0.68078594465769415</v>
      </c>
    </row>
    <row r="58" spans="1:4">
      <c r="A58">
        <f>'Mass Balance'!I58</f>
        <v>1.6122370725850031E-9</v>
      </c>
      <c r="B58">
        <f>'Mass Balance'!E58</f>
        <v>2.3771570734170921E-6</v>
      </c>
      <c r="C58">
        <f>SUM('Mass Balance'!E58:H58)</f>
        <v>2.3823570191131783E-6</v>
      </c>
      <c r="D58">
        <f>Concentrations!F58/Concentrations!E58</f>
        <v>0.99820645128398877</v>
      </c>
    </row>
    <row r="59" spans="1:4">
      <c r="A59">
        <f>'Mass Balance'!I59</f>
        <v>2.4106851478243713E-8</v>
      </c>
      <c r="B59">
        <f>'Mass Balance'!E59</f>
        <v>5.0451588348171496E-7</v>
      </c>
      <c r="C59">
        <f>SUM('Mass Balance'!E59:H59)</f>
        <v>7.2446135709041295E-7</v>
      </c>
      <c r="D59">
        <f>Concentrations!F59/Concentrations!E59</f>
        <v>0.6966729635995762</v>
      </c>
    </row>
    <row r="60" spans="1:4">
      <c r="A60">
        <f>'Mass Balance'!I60</f>
        <v>4.0137289692525042E-10</v>
      </c>
      <c r="B60">
        <f>'Mass Balance'!E60</f>
        <v>1.7988000092195273E-8</v>
      </c>
      <c r="C60">
        <f>SUM('Mass Balance'!E60:H60)</f>
        <v>2.1461555928091258E-8</v>
      </c>
      <c r="D60">
        <f>Concentrations!F60/Concentrations!E60</f>
        <v>0.83847673156790348</v>
      </c>
    </row>
    <row r="61" spans="1:4">
      <c r="A61">
        <f>'Mass Balance'!I61</f>
        <v>2.7239720530912102E-7</v>
      </c>
      <c r="B61">
        <f>'Mass Balance'!E61</f>
        <v>1.7207981331788328E-5</v>
      </c>
      <c r="C61">
        <f>SUM('Mass Balance'!E61:H61)</f>
        <v>1.9503341738493734E-5</v>
      </c>
      <c r="D61">
        <f>Concentrations!F61/Concentrations!E61</f>
        <v>0.88265347232576219</v>
      </c>
    </row>
    <row r="62" spans="1:4">
      <c r="A62">
        <f>'Mass Balance'!I62</f>
        <v>3.5223169776617777E-6</v>
      </c>
      <c r="B62">
        <f>'Mass Balance'!E62</f>
        <v>6.8105765918951183E-7</v>
      </c>
      <c r="C62">
        <f>SUM('Mass Balance'!E62:H62)</f>
        <v>1.5934534084693429E-5</v>
      </c>
      <c r="D62">
        <f>Concentrations!F62/Concentrations!E62</f>
        <v>4.275765219305034E-2</v>
      </c>
    </row>
    <row r="63" spans="1:4">
      <c r="A63">
        <f>'Mass Balance'!I63</f>
        <v>9.4073673720496071E-6</v>
      </c>
      <c r="B63">
        <f>'Mass Balance'!E63</f>
        <v>6.9260110496139452E-8</v>
      </c>
      <c r="C63">
        <f>SUM('Mass Balance'!E63:H63)</f>
        <v>1.7634759408977774E-5</v>
      </c>
      <c r="D63">
        <f>Concentrations!F63/Concentrations!E63</f>
        <v>3.9290086006088312E-3</v>
      </c>
    </row>
    <row r="64" spans="1:4">
      <c r="A64">
        <f>'Mass Balance'!I64</f>
        <v>1.1488424392156526E-5</v>
      </c>
      <c r="B64">
        <f>'Mass Balance'!E64</f>
        <v>2.5715874138021232E-8</v>
      </c>
      <c r="C64">
        <f>SUM('Mass Balance'!E64:H64)</f>
        <v>1.9162366358565972E-5</v>
      </c>
      <c r="D64">
        <f>Concentrations!F64/Concentrations!E64</f>
        <v>1.3425222460896708E-3</v>
      </c>
    </row>
    <row r="65" spans="1:4">
      <c r="A65">
        <f>'Mass Balance'!I65</f>
        <v>1.332636779929048E-5</v>
      </c>
      <c r="B65">
        <f>'Mass Balance'!E65</f>
        <v>7.7018415754978987E-9</v>
      </c>
      <c r="C65">
        <f>SUM('Mass Balance'!E65:H65)</f>
        <v>2.0711196719059091E-5</v>
      </c>
      <c r="D65">
        <f>Concentrations!F65/Concentrations!E65</f>
        <v>3.7201352181030864E-4</v>
      </c>
    </row>
    <row r="66" spans="1:4">
      <c r="A66">
        <f>'Mass Balance'!I66</f>
        <v>1.2355977251579763E-5</v>
      </c>
      <c r="B66">
        <f>'Mass Balance'!E66</f>
        <v>1.5429301052299426E-8</v>
      </c>
      <c r="C66">
        <f>SUM('Mass Balance'!E66:H66)</f>
        <v>1.987459577032292E-5</v>
      </c>
      <c r="D66">
        <f>Concentrations!F66/Concentrations!E66</f>
        <v>7.7663558721812701E-4</v>
      </c>
    </row>
    <row r="67" spans="1:4">
      <c r="A67">
        <f>'Mass Balance'!I67</f>
        <v>3.1011991411755197E-8</v>
      </c>
      <c r="B67">
        <f>'Mass Balance'!E67</f>
        <v>3.3462500555093989E-5</v>
      </c>
      <c r="C67">
        <f>SUM('Mass Balance'!E67:H67)</f>
        <v>3.3597799715443895E-5</v>
      </c>
      <c r="D67">
        <f>Concentrations!F67/Concentrations!E67</f>
        <v>0.99636139709401994</v>
      </c>
    </row>
    <row r="68" spans="1:4">
      <c r="A68">
        <f>'Mass Balance'!I68</f>
        <v>4.3569323773652489E-8</v>
      </c>
      <c r="B68">
        <f>'Mass Balance'!E68</f>
        <v>3.1209115905266374E-5</v>
      </c>
      <c r="C68">
        <f>SUM('Mass Balance'!E68:H68)</f>
        <v>3.1448259819404335E-5</v>
      </c>
      <c r="D68">
        <f>Concentrations!F68/Concentrations!E68</f>
        <v>0.99278266559629358</v>
      </c>
    </row>
    <row r="69" spans="1:4">
      <c r="A69">
        <f>'Mass Balance'!I69</f>
        <v>6.0443616428351809E-6</v>
      </c>
      <c r="B69">
        <f>'Mass Balance'!E69</f>
        <v>2.5038481837056067E-7</v>
      </c>
      <c r="C69">
        <f>SUM('Mass Balance'!E69:H69)</f>
        <v>1.5884746188364779E-5</v>
      </c>
      <c r="D69">
        <f>Concentrations!F69/Concentrations!E69</f>
        <v>1.5768742130658431E-2</v>
      </c>
    </row>
    <row r="70" spans="1:4">
      <c r="A70">
        <f>'Mass Balance'!I70</f>
        <v>1.1369283551380506E-6</v>
      </c>
      <c r="B70">
        <f>'Mass Balance'!E70</f>
        <v>3.7006877067030421E-6</v>
      </c>
      <c r="C70">
        <f>SUM('Mass Balance'!E70:H70)</f>
        <v>1.5341836559002278E-5</v>
      </c>
      <c r="D70">
        <f>Concentrations!F70/Concentrations!E70</f>
        <v>0.2413095023658347</v>
      </c>
    </row>
    <row r="71" spans="1:4">
      <c r="A71">
        <f>'Mass Balance'!I71</f>
        <v>4.05235866368867E-8</v>
      </c>
      <c r="B71">
        <f>'Mass Balance'!E71</f>
        <v>3.1074018328923903E-5</v>
      </c>
      <c r="C71">
        <f>SUM('Mass Balance'!E71:H71)</f>
        <v>3.128981757456319E-5</v>
      </c>
      <c r="D71">
        <f>Concentrations!F71/Concentrations!E71</f>
        <v>0.99349051410971356</v>
      </c>
    </row>
    <row r="72" spans="1:4">
      <c r="A72">
        <f>'Mass Balance'!I72</f>
        <v>1.0391691675002712E-6</v>
      </c>
      <c r="B72">
        <f>'Mass Balance'!E72</f>
        <v>3.9820549074363621E-6</v>
      </c>
      <c r="C72">
        <f>SUM('Mass Balance'!E72:H72)</f>
        <v>1.4517932493217837E-5</v>
      </c>
      <c r="D72">
        <f>Concentrations!F72/Concentrations!E72</f>
        <v>0.27439223036697236</v>
      </c>
    </row>
    <row r="73" spans="1:4">
      <c r="A73">
        <f>'Mass Balance'!I73</f>
        <v>2.8703944677812767E-7</v>
      </c>
      <c r="B73">
        <f>'Mass Balance'!E73</f>
        <v>1.6176568867176288E-5</v>
      </c>
      <c r="C73">
        <f>SUM('Mass Balance'!E73:H73)</f>
        <v>1.8617517311816388E-5</v>
      </c>
      <c r="D73">
        <f>Concentrations!F73/Concentrations!E73</f>
        <v>0.86922855121551568</v>
      </c>
    </row>
    <row r="74" spans="1:4">
      <c r="A74">
        <f>'Mass Balance'!I74</f>
        <v>1.1125876596992278E-6</v>
      </c>
      <c r="B74">
        <f>'Mass Balance'!E74</f>
        <v>3.7943216691806535E-6</v>
      </c>
      <c r="C74">
        <f>SUM('Mass Balance'!E74:H74)</f>
        <v>1.5154239115370974E-5</v>
      </c>
      <c r="D74">
        <f>Concentrations!F74/Concentrations!E74</f>
        <v>0.25047786269637617</v>
      </c>
    </row>
    <row r="75" spans="1:4">
      <c r="A75">
        <f>'Mass Balance'!I75</f>
        <v>1.8948126524737758E-6</v>
      </c>
      <c r="B75">
        <f>'Mass Balance'!E75</f>
        <v>1.5890520347544849E-6</v>
      </c>
      <c r="C75">
        <f>SUM('Mass Balance'!E75:H75)</f>
        <v>3.8074545258551318E-5</v>
      </c>
      <c r="D75">
        <f>Concentrations!F75/Concentrations!E75</f>
        <v>4.1751562404633208E-2</v>
      </c>
    </row>
    <row r="76" spans="1:4">
      <c r="A76">
        <f>'Mass Balance'!I76</f>
        <v>1.8948126617942155E-6</v>
      </c>
      <c r="B76">
        <f>'Mass Balance'!E76</f>
        <v>1.5890520425709111E-6</v>
      </c>
      <c r="C76">
        <f>SUM('Mass Balance'!E76:H76)</f>
        <v>3.8074545445837112E-5</v>
      </c>
      <c r="D76">
        <f>Concentrations!F76/Concentrations!E76</f>
        <v>4.1751562404633215E-2</v>
      </c>
    </row>
    <row r="77" spans="1:4">
      <c r="A77">
        <f>'Mass Balance'!I77</f>
        <v>5.7388256058720122E-7</v>
      </c>
      <c r="B77">
        <f>'Mass Balance'!E77</f>
        <v>8.8846519044606757E-6</v>
      </c>
      <c r="C77">
        <f>SUM('Mass Balance'!E77:H77)</f>
        <v>1.4223663303721088E-5</v>
      </c>
      <c r="D77">
        <f>Concentrations!F77/Concentrations!E77</f>
        <v>0.6248823990095036</v>
      </c>
    </row>
    <row r="78" spans="1:4">
      <c r="A78">
        <f>'Mass Balance'!I78</f>
        <v>1.0213191149815253E-7</v>
      </c>
      <c r="B78">
        <f>'Mass Balance'!E78</f>
        <v>2.4454644266578933E-5</v>
      </c>
      <c r="C78">
        <f>SUM('Mass Balance'!E78:H78)</f>
        <v>2.5198202924975534E-5</v>
      </c>
      <c r="D78">
        <f>Concentrations!F78/Concentrations!E78</f>
        <v>0.9708700837074894</v>
      </c>
    </row>
    <row r="79" spans="1:4">
      <c r="A79">
        <f>'Mass Balance'!I79</f>
        <v>1.9632256879282953E-7</v>
      </c>
      <c r="B79">
        <f>'Mass Balance'!E79</f>
        <v>1.9956972492800122E-5</v>
      </c>
      <c r="C79">
        <f>SUM('Mass Balance'!E79:H79)</f>
        <v>2.1543188003730819E-5</v>
      </c>
      <c r="D79">
        <f>Concentrations!F79/Concentrations!E79</f>
        <v>0.92673171443555502</v>
      </c>
    </row>
    <row r="80" spans="1:4">
      <c r="A80">
        <f>'Mass Balance'!I80</f>
        <v>3.5620632443709791E-6</v>
      </c>
      <c r="B80">
        <f>'Mass Balance'!E80</f>
        <v>1.0427125745875676E-6</v>
      </c>
      <c r="C80">
        <f>SUM('Mass Balance'!E80:H80)</f>
        <v>3.6401792204036209E-5</v>
      </c>
      <c r="D80">
        <f>Concentrations!F80/Concentrations!E80</f>
        <v>2.8655710640265227E-2</v>
      </c>
    </row>
    <row r="81" spans="1:4">
      <c r="A81">
        <f>'Mass Balance'!I81</f>
        <v>1.4983531912759369E-8</v>
      </c>
      <c r="B81">
        <f>'Mass Balance'!E81</f>
        <v>3.8823532427985514E-5</v>
      </c>
      <c r="C81">
        <f>SUM('Mass Balance'!E81:H81)</f>
        <v>3.8828590636272091E-5</v>
      </c>
      <c r="D81">
        <f>Concentrations!F81/Concentrations!E81</f>
        <v>1.0002596710296734</v>
      </c>
    </row>
    <row r="82" spans="1:4">
      <c r="A82">
        <f>'Mass Balance'!I82</f>
        <v>5.1031264987479176E-8</v>
      </c>
      <c r="B82">
        <f>'Mass Balance'!E82</f>
        <v>3.060849852011219E-5</v>
      </c>
      <c r="C82">
        <f>SUM('Mass Balance'!E82:H82)</f>
        <v>3.0908450075803459E-5</v>
      </c>
      <c r="D82">
        <f>Concentrations!F82/Concentrations!E82</f>
        <v>0.99068169111119386</v>
      </c>
    </row>
    <row r="83" spans="1:4">
      <c r="A83">
        <f>'Mass Balance'!I83</f>
        <v>5.3143710388407828E-7</v>
      </c>
      <c r="B83">
        <f>'Mass Balance'!E83</f>
        <v>1.0618490876887422E-5</v>
      </c>
      <c r="C83">
        <f>SUM('Mass Balance'!E83:H83)</f>
        <v>1.5481933250288883E-5</v>
      </c>
      <c r="D83">
        <f>Concentrations!F83/Concentrations!E83</f>
        <v>0.68613084890735798</v>
      </c>
    </row>
    <row r="84" spans="1:4">
      <c r="A84">
        <f>'Mass Balance'!I84</f>
        <v>1.7032029690836673E-8</v>
      </c>
      <c r="B84">
        <f>'Mass Balance'!E84</f>
        <v>3.7473031963679965E-5</v>
      </c>
      <c r="C84">
        <f>SUM('Mass Balance'!E84:H84)</f>
        <v>3.7495075705455596E-5</v>
      </c>
      <c r="D84">
        <f>Concentrations!F84/Concentrations!E84</f>
        <v>0.99980185243897635</v>
      </c>
    </row>
    <row r="85" spans="1:4">
      <c r="A85">
        <f>'Mass Balance'!I85</f>
        <v>1.4570454041252592E-8</v>
      </c>
      <c r="B85">
        <f>'Mass Balance'!E85</f>
        <v>3.950258556685066E-5</v>
      </c>
      <c r="C85">
        <f>SUM('Mass Balance'!E85:H85)</f>
        <v>3.9503548669796023E-5</v>
      </c>
      <c r="D85">
        <f>Concentrations!F85/Concentrations!E85</f>
        <v>1.0003656023636858</v>
      </c>
    </row>
    <row r="86" spans="1:4">
      <c r="A86">
        <f>'Mass Balance'!I86</f>
        <v>1.6905789247156781E-8</v>
      </c>
      <c r="B86">
        <f>'Mass Balance'!E86</f>
        <v>3.7534229980348869E-5</v>
      </c>
      <c r="C86">
        <f>SUM('Mass Balance'!E86:H86)</f>
        <v>3.7555252607580336E-5</v>
      </c>
      <c r="D86">
        <f>Concentrations!F86/Concentrations!E86</f>
        <v>0.99982999511187021</v>
      </c>
    </row>
    <row r="87" spans="1:4">
      <c r="A87">
        <f>'Mass Balance'!I87</f>
        <v>8.5592430608517129E-6</v>
      </c>
      <c r="B87">
        <f>'Mass Balance'!E87</f>
        <v>9.8193564163644362E-8</v>
      </c>
      <c r="C87">
        <f>SUM('Mass Balance'!E87:H87)</f>
        <v>1.7104821496927887E-5</v>
      </c>
      <c r="D87">
        <f>Concentrations!F87/Concentrations!E87</f>
        <v>5.742933879149207E-3</v>
      </c>
    </row>
    <row r="88" spans="1:4">
      <c r="A88">
        <f>'Mass Balance'!I88</f>
        <v>8.457176767648506E-8</v>
      </c>
      <c r="B88">
        <f>'Mass Balance'!E88</f>
        <v>2.7160163892177181E-5</v>
      </c>
      <c r="C88">
        <f>SUM('Mass Balance'!E88:H88)</f>
        <v>2.7745182633167374E-5</v>
      </c>
      <c r="D88">
        <f>Concentrations!F88/Concentrations!E88</f>
        <v>0.97929635205464494</v>
      </c>
    </row>
    <row r="89" spans="1:4">
      <c r="A89">
        <f>'Mass Balance'!I89</f>
        <v>5.5927372190479857E-8</v>
      </c>
      <c r="B89">
        <f>'Mass Balance'!E89</f>
        <v>3.0019207273754775E-5</v>
      </c>
      <c r="C89">
        <f>SUM('Mass Balance'!E89:H89)</f>
        <v>3.0360179639706309E-5</v>
      </c>
      <c r="D89">
        <f>Concentrations!F89/Concentrations!E89</f>
        <v>0.98915470467762645</v>
      </c>
    </row>
    <row r="90" spans="1:4">
      <c r="A90">
        <f>'Mass Balance'!I90</f>
        <v>2.4099319581871353E-8</v>
      </c>
      <c r="B90">
        <f>'Mass Balance'!E90</f>
        <v>3.5149233300819559E-5</v>
      </c>
      <c r="C90">
        <f>SUM('Mass Balance'!E90:H90)</f>
        <v>3.5228033156798957E-5</v>
      </c>
      <c r="D90">
        <f>Concentrations!F90/Concentrations!E90</f>
        <v>0.99815226882852781</v>
      </c>
    </row>
    <row r="91" spans="1:4">
      <c r="A91">
        <f>'Mass Balance'!I91</f>
        <v>3.8602366655135224E-6</v>
      </c>
      <c r="B91">
        <f>'Mass Balance'!E91</f>
        <v>5.9100987334692094E-7</v>
      </c>
      <c r="C91">
        <f>SUM('Mass Balance'!E91:H91)</f>
        <v>1.5831272093458832E-5</v>
      </c>
      <c r="D91">
        <f>Concentrations!F91/Concentrations!E91</f>
        <v>3.7346358460614341E-2</v>
      </c>
    </row>
    <row r="92" spans="1:4">
      <c r="A92">
        <f>'Mass Balance'!I92</f>
        <v>4.189551628494055E-7</v>
      </c>
      <c r="B92">
        <f>'Mass Balance'!E92</f>
        <v>1.2990453462657158E-5</v>
      </c>
      <c r="C92">
        <f>SUM('Mass Balance'!E92:H92)</f>
        <v>1.6713104319435395E-5</v>
      </c>
      <c r="D92">
        <f>Concentrations!F92/Concentrations!E92</f>
        <v>0.7775646814410051</v>
      </c>
    </row>
    <row r="93" spans="1:4">
      <c r="A93">
        <f>'Mass Balance'!I93</f>
        <v>9.8230439653356888E-7</v>
      </c>
      <c r="B93">
        <f>'Mass Balance'!E93</f>
        <v>4.9787647108275789E-6</v>
      </c>
      <c r="C93">
        <f>SUM('Mass Balance'!E93:H93)</f>
        <v>1.4770931648154222E-5</v>
      </c>
      <c r="D93">
        <f>Concentrations!F93/Concentrations!E93</f>
        <v>0.33719649566104476</v>
      </c>
    </row>
    <row r="94" spans="1:4">
      <c r="A94">
        <f>'Mass Balance'!I94</f>
        <v>1.9316068048515299E-8</v>
      </c>
      <c r="B94">
        <f>'Mass Balance'!E94</f>
        <v>3.9511312704532917E-5</v>
      </c>
      <c r="C94">
        <f>SUM('Mass Balance'!E94:H94)</f>
        <v>3.9973665062994298E-5</v>
      </c>
      <c r="D94">
        <f>Concentrations!F94/Concentrations!E94</f>
        <v>0.98881905723355989</v>
      </c>
    </row>
    <row r="95" spans="1:4">
      <c r="A95">
        <f>'Mass Balance'!I95</f>
        <v>2.0005166752363165E-6</v>
      </c>
      <c r="B95">
        <f>'Mass Balance'!E95</f>
        <v>1.4293595394858072E-6</v>
      </c>
      <c r="C95">
        <f>SUM('Mass Balance'!E95:H95)</f>
        <v>1.7218589626635416E-5</v>
      </c>
      <c r="D95">
        <f>Concentrations!F95/Concentrations!E95</f>
        <v>8.304495369984885E-2</v>
      </c>
    </row>
    <row r="96" spans="1:4">
      <c r="A96">
        <f>'Mass Balance'!I96</f>
        <v>1.5026361247281304E-8</v>
      </c>
      <c r="B96">
        <f>'Mass Balance'!E96</f>
        <v>3.8778398924906455E-5</v>
      </c>
      <c r="C96">
        <f>SUM('Mass Balance'!E96:H96)</f>
        <v>3.8783836443972466E-5</v>
      </c>
      <c r="D96">
        <f>Concentrations!F96/Concentrations!E96</f>
        <v>1.0002497367076915</v>
      </c>
    </row>
    <row r="97" spans="1:4">
      <c r="A97">
        <f>'Mass Balance'!I97</f>
        <v>1.7097448744355906E-8</v>
      </c>
      <c r="B97">
        <f>'Mass Balance'!E97</f>
        <v>3.7441896122920039E-5</v>
      </c>
      <c r="C97">
        <f>SUM('Mass Balance'!E97:H97)</f>
        <v>3.7464468549019481E-5</v>
      </c>
      <c r="D97">
        <f>Concentrations!F97/Concentrations!E97</f>
        <v>0.99978725482667152</v>
      </c>
    </row>
    <row r="98" spans="1:4">
      <c r="A98">
        <f>'Mass Balance'!I98</f>
        <v>1.2846909330833726E-6</v>
      </c>
      <c r="B98">
        <f>'Mass Balance'!E98</f>
        <v>2.9473776207699594E-6</v>
      </c>
      <c r="C98">
        <f>SUM('Mass Balance'!E98:H98)</f>
        <v>1.638172015500146E-5</v>
      </c>
      <c r="D98">
        <f>Concentrations!F98/Concentrations!E98</f>
        <v>0.17998885627798372</v>
      </c>
    </row>
    <row r="99" spans="1:4">
      <c r="A99">
        <f>'Mass Balance'!I99</f>
        <v>1.4541902631140611E-8</v>
      </c>
      <c r="B99">
        <f>'Mass Balance'!E99</f>
        <v>3.9651342745937945E-5</v>
      </c>
      <c r="C99">
        <f>SUM('Mass Balance'!E99:H99)</f>
        <v>3.9651824586766093E-5</v>
      </c>
      <c r="D99">
        <f>Concentrations!F99/Concentrations!E99</f>
        <v>1.0003778355007851</v>
      </c>
    </row>
    <row r="100" spans="1:4">
      <c r="A100">
        <f>'Mass Balance'!I100</f>
        <v>1.7233817161659126E-7</v>
      </c>
      <c r="B100">
        <f>'Mass Balance'!E100</f>
        <v>2.142856196867008E-5</v>
      </c>
      <c r="C100">
        <f>SUM('Mass Balance'!E100:H100)</f>
        <v>2.2792911851934175E-5</v>
      </c>
      <c r="D100">
        <f>Concentrations!F100/Concentrations!E100</f>
        <v>0.94050813149305612</v>
      </c>
    </row>
    <row r="101" spans="1:4">
      <c r="A101">
        <f>'Mass Balance'!I101</f>
        <v>1.4594559474188034E-8</v>
      </c>
      <c r="B101">
        <f>'Mass Balance'!E101</f>
        <v>3.9425431507888743E-5</v>
      </c>
      <c r="C101">
        <f>SUM('Mass Balance'!E101:H101)</f>
        <v>3.9426704769326332E-5</v>
      </c>
      <c r="D101">
        <f>Concentrations!F101/Concentrations!E101</f>
        <v>1.0003576850484848</v>
      </c>
    </row>
    <row r="102" spans="1:4">
      <c r="A102">
        <f>'Mass Balance'!I102</f>
        <v>1.4542671868062467E-8</v>
      </c>
      <c r="B102">
        <f>'Mass Balance'!E102</f>
        <v>3.9843520005661467E-5</v>
      </c>
      <c r="C102">
        <f>SUM('Mass Balance'!E102:H102)</f>
        <v>3.9843616768590218E-5</v>
      </c>
      <c r="D102">
        <f>Concentrations!F102/Concentrations!E102</f>
        <v>1.0003875625194714</v>
      </c>
    </row>
    <row r="103" spans="1:4">
      <c r="A103">
        <f>'Mass Balance'!I103</f>
        <v>1.4540800807046914E-8</v>
      </c>
      <c r="B103">
        <f>'Mass Balance'!E103</f>
        <v>3.9661987412972084E-5</v>
      </c>
      <c r="C103">
        <f>SUM('Mass Balance'!E103:H103)</f>
        <v>3.9662440838558489E-5</v>
      </c>
      <c r="D103">
        <f>Concentrations!F103/Concentrations!E103</f>
        <v>1.0003785554610216</v>
      </c>
    </row>
    <row r="104" spans="1:4">
      <c r="A104">
        <f>'Mass Balance'!I104</f>
        <v>1.580195590137032E-8</v>
      </c>
      <c r="B104">
        <f>'Mass Balance'!E104</f>
        <v>3.8155262216297805E-5</v>
      </c>
      <c r="C104">
        <f>SUM('Mass Balance'!E104:H104)</f>
        <v>3.8167272183126537E-5</v>
      </c>
      <c r="D104">
        <f>Concentrations!F104/Concentrations!E104</f>
        <v>1.0000752026892548</v>
      </c>
    </row>
    <row r="105" spans="1:4">
      <c r="A105">
        <f>'Mass Balance'!I105</f>
        <v>1.4539683041837781E-8</v>
      </c>
      <c r="B105">
        <f>'Mass Balance'!E105</f>
        <v>3.9815213532446151E-5</v>
      </c>
      <c r="C105">
        <f>SUM('Mass Balance'!E105:H105)</f>
        <v>3.981534955669635E-5</v>
      </c>
      <c r="D105">
        <f>Concentrations!F105/Concentrations!E105</f>
        <v>1.0003865743249909</v>
      </c>
    </row>
    <row r="106" spans="1:4">
      <c r="A106">
        <f>'Mass Balance'!I106</f>
        <v>2.9721012933470677E-8</v>
      </c>
      <c r="B106">
        <f>'Mass Balance'!E106</f>
        <v>3.3902853311070527E-5</v>
      </c>
      <c r="C106">
        <f>SUM('Mass Balance'!E106:H106)</f>
        <v>3.4027097055883436E-5</v>
      </c>
      <c r="D106">
        <f>Concentrations!F106/Concentrations!E106</f>
        <v>0.99673725025991466</v>
      </c>
    </row>
    <row r="107" spans="1:4">
      <c r="A107">
        <f>'Mass Balance'!I107</f>
        <v>1.4009945411318744E-6</v>
      </c>
      <c r="B107">
        <f>'Mass Balance'!E107</f>
        <v>2.3734424581385145E-6</v>
      </c>
      <c r="C107">
        <f>SUM('Mass Balance'!E107:H107)</f>
        <v>1.7294010124234534E-5</v>
      </c>
      <c r="D107">
        <f>Concentrations!F107/Concentrations!E107</f>
        <v>0.13729424608490648</v>
      </c>
    </row>
    <row r="108" spans="1:4">
      <c r="A108">
        <f>'Mass Balance'!I108</f>
        <v>1.3779145354981239E-7</v>
      </c>
      <c r="B108">
        <f>'Mass Balance'!E108</f>
        <v>2.3345816251076605E-5</v>
      </c>
      <c r="C108">
        <f>SUM('Mass Balance'!E108:H108)</f>
        <v>2.4398566085447512E-5</v>
      </c>
      <c r="D108">
        <f>Concentrations!F108/Concentrations!E108</f>
        <v>0.95722514395562397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0.80572464291226198</v>
      </c>
      <c r="M2" s="115">
        <v>2.3091369504439796</v>
      </c>
      <c r="N2" s="115">
        <v>55.1173597285512</v>
      </c>
      <c r="O2" s="115">
        <v>1.1762240435135713</v>
      </c>
      <c r="P2" s="115">
        <v>1.2072499186636503</v>
      </c>
      <c r="Q2" s="111">
        <v>1.1762240435135716</v>
      </c>
      <c r="R2" s="68">
        <v>1.2072499186636503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2.9895326371190164E-3</v>
      </c>
      <c r="M3" s="115">
        <v>469.20275991594889</v>
      </c>
      <c r="N3" s="115">
        <v>16488.784481051342</v>
      </c>
      <c r="O3" s="115">
        <v>99.445059608357852</v>
      </c>
      <c r="P3" s="115">
        <v>42.597446687104529</v>
      </c>
      <c r="Q3" s="111">
        <v>99.445059608357852</v>
      </c>
      <c r="R3" s="68">
        <v>42.597446687104529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0.48964411820379811</v>
      </c>
      <c r="M4" s="115">
        <v>12.562143880757823</v>
      </c>
      <c r="N4" s="115">
        <v>418.40383212998756</v>
      </c>
      <c r="O4" s="115">
        <v>4.5095688782962347</v>
      </c>
      <c r="P4" s="115">
        <v>4.2245503338221413</v>
      </c>
      <c r="Q4" s="111">
        <v>4.5095688782962347</v>
      </c>
      <c r="R4" s="68">
        <v>4.2245503338221413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3.1057811038111349E-2</v>
      </c>
      <c r="M5" s="115">
        <v>133.89024829607467</v>
      </c>
      <c r="N5" s="115">
        <v>4668.0532146423275</v>
      </c>
      <c r="O5" s="115">
        <v>41.116674168904325</v>
      </c>
      <c r="P5" s="115">
        <v>34.669894086966927</v>
      </c>
      <c r="Q5" s="111">
        <v>41.116674168904332</v>
      </c>
      <c r="R5" s="68">
        <v>34.669894086966927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1.4334223777777784E-3</v>
      </c>
      <c r="M6" s="115">
        <v>585.87776362491684</v>
      </c>
      <c r="N6" s="115">
        <v>20630.72478932422</v>
      </c>
      <c r="O6" s="115">
        <v>120.8876525776779</v>
      </c>
      <c r="P6" s="115">
        <v>47.887199478106936</v>
      </c>
      <c r="Q6" s="111">
        <v>120.8876525776779</v>
      </c>
      <c r="R6" s="68">
        <v>47.887199478106936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2.7318659619124481E-3</v>
      </c>
      <c r="M7" s="115">
        <v>493.22685098185781</v>
      </c>
      <c r="N7" s="115">
        <v>17338.19927465911</v>
      </c>
      <c r="O7" s="115">
        <v>104.03588675231485</v>
      </c>
      <c r="P7" s="115">
        <v>43.951233523453801</v>
      </c>
      <c r="Q7" s="111">
        <v>104.03588675231485</v>
      </c>
      <c r="R7" s="68">
        <v>43.951233523453801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5.7943526395669489E-3</v>
      </c>
      <c r="M8" s="115">
        <v>374.55001447875674</v>
      </c>
      <c r="N8" s="115">
        <v>13137.567769015553</v>
      </c>
      <c r="O8" s="115">
        <v>82.65012216175333</v>
      </c>
      <c r="P8" s="115">
        <v>39.534635313920859</v>
      </c>
      <c r="Q8" s="111">
        <v>82.650122161753345</v>
      </c>
      <c r="R8" s="68">
        <v>39.534635313920859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0.16449678787755476</v>
      </c>
      <c r="M9" s="115">
        <v>48.54191537079938</v>
      </c>
      <c r="N9" s="115">
        <v>1677.8132851828898</v>
      </c>
      <c r="O9" s="115">
        <v>17.629080652821088</v>
      </c>
      <c r="P9" s="115">
        <v>17.305564748482116</v>
      </c>
      <c r="Q9" s="111">
        <v>17.629080652821088</v>
      </c>
      <c r="R9" s="68">
        <v>17.305564748482116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2.8768364639177108E-2</v>
      </c>
      <c r="M10" s="115">
        <v>142.66206934712932</v>
      </c>
      <c r="N10" s="115">
        <v>4975.5295799060068</v>
      </c>
      <c r="O10" s="115">
        <v>42.554511159253863</v>
      </c>
      <c r="P10" s="115">
        <v>34.68989839478823</v>
      </c>
      <c r="Q10" s="111">
        <v>42.554511159253863</v>
      </c>
      <c r="R10" s="68">
        <v>34.68989839478823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2.5236464225560383E-2</v>
      </c>
      <c r="M11" s="115">
        <v>158.04623209479732</v>
      </c>
      <c r="N11" s="115">
        <v>5515.0734763643795</v>
      </c>
      <c r="O11" s="115">
        <v>45.077221305565502</v>
      </c>
      <c r="P11" s="115">
        <v>34.731398340813385</v>
      </c>
      <c r="Q11" s="111">
        <v>45.077221305565502</v>
      </c>
      <c r="R11" s="68">
        <v>34.731398340813385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0.12262794352257844</v>
      </c>
      <c r="M12" s="115">
        <v>59.011284339285446</v>
      </c>
      <c r="N12" s="115">
        <v>2044.2320662650059</v>
      </c>
      <c r="O12" s="115">
        <v>21.693166640904884</v>
      </c>
      <c r="P12" s="115">
        <v>21.568608001995859</v>
      </c>
      <c r="Q12" s="111">
        <v>21.693166640904884</v>
      </c>
      <c r="R12" s="68">
        <v>21.568608001995859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0.16010234661153241</v>
      </c>
      <c r="M13" s="115">
        <v>49.496351561055022</v>
      </c>
      <c r="N13" s="115">
        <v>1711.2100505714343</v>
      </c>
      <c r="O13" s="115">
        <v>17.995457578363823</v>
      </c>
      <c r="P13" s="115">
        <v>17.686493860102274</v>
      </c>
      <c r="Q13" s="111">
        <v>17.995457578363823</v>
      </c>
      <c r="R13" s="68">
        <v>17.686493860102274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1.6537903042492183E-2</v>
      </c>
      <c r="M14" s="115">
        <v>213.54031942699896</v>
      </c>
      <c r="N14" s="115">
        <v>7463.786142049069</v>
      </c>
      <c r="O14" s="115">
        <v>54.420387337348778</v>
      </c>
      <c r="P14" s="115">
        <v>35.361186454681324</v>
      </c>
      <c r="Q14" s="111">
        <v>54.420387337348778</v>
      </c>
      <c r="R14" s="68">
        <v>35.361186454681324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2.6958554759549745E-2</v>
      </c>
      <c r="M15" s="115">
        <v>150.23481411009502</v>
      </c>
      <c r="N15" s="115">
        <v>5241.071321721126</v>
      </c>
      <c r="O15" s="115">
        <v>43.795789264819419</v>
      </c>
      <c r="P15" s="115">
        <v>34.708688119799106</v>
      </c>
      <c r="Q15" s="111">
        <v>43.795789264819419</v>
      </c>
      <c r="R15" s="68">
        <v>34.708688119799106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5.9796190025228173E-3</v>
      </c>
      <c r="M16" s="115">
        <v>368.89453746784159</v>
      </c>
      <c r="N16" s="115">
        <v>12937.900564082605</v>
      </c>
      <c r="O16" s="115">
        <v>81.621962851888853</v>
      </c>
      <c r="P16" s="115">
        <v>39.315811957915564</v>
      </c>
      <c r="Q16" s="111">
        <v>81.621962851888853</v>
      </c>
      <c r="R16" s="68">
        <v>39.315811957915571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3.0285026939235911E-2</v>
      </c>
      <c r="M17" s="115">
        <v>136.79732930732368</v>
      </c>
      <c r="N17" s="115">
        <v>4769.9370301595036</v>
      </c>
      <c r="O17" s="115">
        <v>41.59628496312434</v>
      </c>
      <c r="P17" s="115">
        <v>34.68185959425292</v>
      </c>
      <c r="Q17" s="111">
        <v>41.59628496312434</v>
      </c>
      <c r="R17" s="68">
        <v>34.68185959425292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0.18374964467814434</v>
      </c>
      <c r="M18" s="115">
        <v>43.979544431690762</v>
      </c>
      <c r="N18" s="115">
        <v>1518.3627396300205</v>
      </c>
      <c r="O18" s="115">
        <v>15.896321020301089</v>
      </c>
      <c r="P18" s="115">
        <v>15.520999617565577</v>
      </c>
      <c r="Q18" s="111">
        <v>15.896321020301091</v>
      </c>
      <c r="R18" s="68">
        <v>15.520999617565579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2.6608290606306033E-2</v>
      </c>
      <c r="M19" s="115">
        <v>151.78442383707724</v>
      </c>
      <c r="N19" s="115">
        <v>5295.4186985432825</v>
      </c>
      <c r="O19" s="115">
        <v>44.050693966825776</v>
      </c>
      <c r="P19" s="115">
        <v>34.714322628798101</v>
      </c>
      <c r="Q19" s="111">
        <v>44.050693966825783</v>
      </c>
      <c r="R19" s="68">
        <v>34.714322628798101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0.16016248622084289</v>
      </c>
      <c r="M20" s="115">
        <v>49.514943988387763</v>
      </c>
      <c r="N20" s="115">
        <v>1711.8528363023595</v>
      </c>
      <c r="O20" s="115">
        <v>18.002217253103332</v>
      </c>
      <c r="P20" s="115">
        <v>17.693137478096205</v>
      </c>
      <c r="Q20" s="111">
        <v>18.002217253103332</v>
      </c>
      <c r="R20" s="68">
        <v>17.693137478096205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1.8718736852678251E-2</v>
      </c>
      <c r="M21" s="115">
        <v>195.90311029420567</v>
      </c>
      <c r="N21" s="115">
        <v>6844.1015768964353</v>
      </c>
      <c r="O21" s="115">
        <v>51.38850260726057</v>
      </c>
      <c r="P21" s="115">
        <v>35.042406223032422</v>
      </c>
      <c r="Q21" s="111">
        <v>51.388502607260577</v>
      </c>
      <c r="R21" s="68">
        <v>35.042406223032422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0.64933038233128282</v>
      </c>
      <c r="M22" s="115">
        <v>5.8157370522980214</v>
      </c>
      <c r="N22" s="115">
        <v>180.5761420032035</v>
      </c>
      <c r="O22" s="115">
        <v>2.2633447218693004</v>
      </c>
      <c r="P22" s="115">
        <v>2.1525640430200119</v>
      </c>
      <c r="Q22" s="111">
        <v>2.2633447218693004</v>
      </c>
      <c r="R22" s="68">
        <v>2.1525640430200119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0.75880181448391004</v>
      </c>
      <c r="M23" s="115">
        <v>3.1309771540540785</v>
      </c>
      <c r="N23" s="115">
        <v>84.793640077124337</v>
      </c>
      <c r="O23" s="115">
        <v>1.4212276999774112</v>
      </c>
      <c r="P23" s="115">
        <v>1.4132490742292352</v>
      </c>
      <c r="Q23" s="111">
        <v>1.4212276999774112</v>
      </c>
      <c r="R23" s="68">
        <v>1.4132490742292354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0.32119695298836481</v>
      </c>
      <c r="M24" s="115">
        <v>25.262320278834309</v>
      </c>
      <c r="N24" s="115">
        <v>863.50465236125194</v>
      </c>
      <c r="O24" s="115">
        <v>8.9709058816853275</v>
      </c>
      <c r="P24" s="115">
        <v>8.5324808244588244</v>
      </c>
      <c r="Q24" s="111">
        <v>8.9709058816853275</v>
      </c>
      <c r="R24" s="68">
        <v>8.5324808244588262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7.7142660313017461E-2</v>
      </c>
      <c r="M25" s="115">
        <v>69.659897060074385</v>
      </c>
      <c r="N25" s="115">
        <v>2418.5210694265534</v>
      </c>
      <c r="O25" s="115">
        <v>26.051313617557824</v>
      </c>
      <c r="P25" s="115">
        <v>26.335943764410821</v>
      </c>
      <c r="Q25" s="111">
        <v>26.051313617557824</v>
      </c>
      <c r="R25" s="68">
        <v>26.335943764410821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2.0334497936801903E-2</v>
      </c>
      <c r="M26" s="115">
        <v>185.00190138742866</v>
      </c>
      <c r="N26" s="115">
        <v>6461.2142411389013</v>
      </c>
      <c r="O26" s="115">
        <v>49.554442966681151</v>
      </c>
      <c r="P26" s="115">
        <v>34.919720326368115</v>
      </c>
      <c r="Q26" s="111">
        <v>49.554442966681151</v>
      </c>
      <c r="R26" s="68">
        <v>34.919720326368115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3.2806912745272278E-3</v>
      </c>
      <c r="M27" s="115">
        <v>458.17463732543172</v>
      </c>
      <c r="N27" s="115">
        <v>16097.23642974734</v>
      </c>
      <c r="O27" s="115">
        <v>97.524549431540962</v>
      </c>
      <c r="P27" s="115">
        <v>42.289243504093534</v>
      </c>
      <c r="Q27" s="111">
        <v>97.524549431540962</v>
      </c>
      <c r="R27" s="68">
        <v>42.289243504093534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1.1174126749797716E-2</v>
      </c>
      <c r="M28" s="115">
        <v>270.97285881219028</v>
      </c>
      <c r="N28" s="115">
        <v>9484.3790035930579</v>
      </c>
      <c r="O28" s="115">
        <v>64.338971566432051</v>
      </c>
      <c r="P28" s="115">
        <v>36.524784433596523</v>
      </c>
      <c r="Q28" s="111">
        <v>64.338971566432051</v>
      </c>
      <c r="R28" s="68">
        <v>36.524784433596523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1.5372222955100833E-2</v>
      </c>
      <c r="M29" s="115">
        <v>185.06503594813023</v>
      </c>
      <c r="N29" s="115">
        <v>6467.4906077108071</v>
      </c>
      <c r="O29" s="115">
        <v>47.604475665883612</v>
      </c>
      <c r="P29" s="115">
        <v>31.429450907025746</v>
      </c>
      <c r="Q29" s="111">
        <v>47.604475665883612</v>
      </c>
      <c r="R29" s="68">
        <v>31.429450907025746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1.1174126749797716E-2</v>
      </c>
      <c r="M30" s="115">
        <v>270.97285881219028</v>
      </c>
      <c r="N30" s="115">
        <v>9484.3790035930579</v>
      </c>
      <c r="O30" s="115">
        <v>64.338971566432051</v>
      </c>
      <c r="P30" s="115">
        <v>36.524784433596523</v>
      </c>
      <c r="Q30" s="111">
        <v>64.338971566432051</v>
      </c>
      <c r="R30" s="68">
        <v>36.524784433596523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0.97018825170212686</v>
      </c>
      <c r="M31" s="115">
        <v>0.88076814898297395</v>
      </c>
      <c r="N31" s="115">
        <v>1.1368640556529819</v>
      </c>
      <c r="O31" s="115">
        <v>0.8112087943422116</v>
      </c>
      <c r="P31" s="115">
        <v>0.93887993483844712</v>
      </c>
      <c r="Q31" s="111">
        <v>0.81120879434221171</v>
      </c>
      <c r="R31" s="68">
        <v>0.93887993483844712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0.55952277444753562</v>
      </c>
      <c r="M32" s="115">
        <v>9.545705747138916</v>
      </c>
      <c r="N32" s="115">
        <v>309.48253143717426</v>
      </c>
      <c r="O32" s="115">
        <v>3.1690262255824799</v>
      </c>
      <c r="P32" s="115">
        <v>2.9109558169900844</v>
      </c>
      <c r="Q32" s="111">
        <v>3.1690262255824804</v>
      </c>
      <c r="R32" s="68">
        <v>2.9109558169900844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0.99285351597698168</v>
      </c>
      <c r="M33" s="115">
        <v>0.88041631309070723</v>
      </c>
      <c r="N33" s="115">
        <v>0.59130601659811766</v>
      </c>
      <c r="O33" s="115">
        <v>0.84217426492367331</v>
      </c>
      <c r="P33" s="115">
        <v>0.99003967064978504</v>
      </c>
      <c r="Q33" s="111">
        <v>0.84217426492367331</v>
      </c>
      <c r="R33" s="68">
        <v>0.99003967064978504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0.92131204571545555</v>
      </c>
      <c r="M34" s="115">
        <v>2.4916518606253946</v>
      </c>
      <c r="N34" s="115">
        <v>75.592456634085167</v>
      </c>
      <c r="O34" s="115">
        <v>4.4113665853112769</v>
      </c>
      <c r="P34" s="115">
        <v>7.2117756170422629</v>
      </c>
      <c r="Q34" s="111">
        <v>4.4113665853112769</v>
      </c>
      <c r="R34" s="68">
        <v>7.2117756170422629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0.8252888797269391</v>
      </c>
      <c r="M35" s="115">
        <v>4.3394579134690465</v>
      </c>
      <c r="N35" s="115">
        <v>161.67128096783136</v>
      </c>
      <c r="O35" s="115">
        <v>8.9017255563786115</v>
      </c>
      <c r="P35" s="115">
        <v>15.067213394694663</v>
      </c>
      <c r="Q35" s="111">
        <v>8.9017255563786115</v>
      </c>
      <c r="R35" s="68">
        <v>15.067213394694663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0.54570664418352988</v>
      </c>
      <c r="M36" s="115">
        <v>9.2093958832990257</v>
      </c>
      <c r="N36" s="115">
        <v>389.11315763695558</v>
      </c>
      <c r="O36" s="115">
        <v>21.859566495743191</v>
      </c>
      <c r="P36" s="115">
        <v>37.812042719387343</v>
      </c>
      <c r="Q36" s="111">
        <v>21.859566495743191</v>
      </c>
      <c r="R36" s="68">
        <v>37.812042719387343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0.59005724367179779</v>
      </c>
      <c r="M37" s="115">
        <v>13.826338238217518</v>
      </c>
      <c r="N37" s="115">
        <v>494.5774099184008</v>
      </c>
      <c r="O37" s="115">
        <v>11.592384362842237</v>
      </c>
      <c r="P37" s="115">
        <v>17.3193656218447</v>
      </c>
      <c r="Q37" s="111">
        <v>11.592384362842237</v>
      </c>
      <c r="R37" s="68">
        <v>17.319365621844703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0.93578129078121874</v>
      </c>
      <c r="M38" s="115">
        <v>2.2023023923133556</v>
      </c>
      <c r="N38" s="115">
        <v>61.41922816363364</v>
      </c>
      <c r="O38" s="115">
        <v>3.6035387403936583</v>
      </c>
      <c r="P38" s="115">
        <v>5.7844197330021805</v>
      </c>
      <c r="Q38" s="111">
        <v>3.6035387403936587</v>
      </c>
      <c r="R38" s="68">
        <v>5.7844197330021805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4.7843543357825098E-2</v>
      </c>
      <c r="M39" s="115">
        <v>91.136601194158985</v>
      </c>
      <c r="N39" s="115">
        <v>3170.9786496072488</v>
      </c>
      <c r="O39" s="115">
        <v>34.358196562447475</v>
      </c>
      <c r="P39" s="115">
        <v>35.050142656084923</v>
      </c>
      <c r="Q39" s="111">
        <v>34.358196562447475</v>
      </c>
      <c r="R39" s="68">
        <v>35.050142656084923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6.4800578182233008E-3</v>
      </c>
      <c r="M40" s="115">
        <v>818.26044011484089</v>
      </c>
      <c r="N40" s="115">
        <v>35985.360070080511</v>
      </c>
      <c r="O40" s="115">
        <v>127.01241466793984</v>
      </c>
      <c r="P40" s="115">
        <v>83.287588776306833</v>
      </c>
      <c r="Q40" s="111">
        <v>127.01241466793984</v>
      </c>
      <c r="R40" s="68">
        <v>83.287588776306848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0.90773108035176997</v>
      </c>
      <c r="M41" s="115">
        <v>0.7947972041946566</v>
      </c>
      <c r="N41" s="115">
        <v>6.4223624757087844E-2</v>
      </c>
      <c r="O41" s="115">
        <v>0.75042166492677909</v>
      </c>
      <c r="P41" s="115">
        <v>0.87199443193277737</v>
      </c>
      <c r="Q41" s="111">
        <v>0.75042166492677909</v>
      </c>
      <c r="R41" s="68">
        <v>0.87199443193277737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0.62240822726053135</v>
      </c>
      <c r="M42" s="115">
        <v>6.7506351990276654</v>
      </c>
      <c r="N42" s="115">
        <v>213.63273414461699</v>
      </c>
      <c r="O42" s="115">
        <v>2.566973275245501</v>
      </c>
      <c r="P42" s="115">
        <v>2.4264256310177701</v>
      </c>
      <c r="Q42" s="111">
        <v>2.566973275245501</v>
      </c>
      <c r="R42" s="68">
        <v>2.4264256310177701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8.0571184036093535E-2</v>
      </c>
      <c r="M43" s="115">
        <v>33.788536080181537</v>
      </c>
      <c r="N43" s="115">
        <v>1497.8757126488892</v>
      </c>
      <c r="O43" s="115">
        <v>45.074858367963408</v>
      </c>
      <c r="P43" s="115">
        <v>75.758244248590287</v>
      </c>
      <c r="Q43" s="111">
        <v>45.074858367963408</v>
      </c>
      <c r="R43" s="68">
        <v>75.758244248590287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0.77751383016972142</v>
      </c>
      <c r="M44" s="115">
        <v>1.5434847914147434</v>
      </c>
      <c r="N44" s="115">
        <v>29.657755967179309</v>
      </c>
      <c r="O44" s="115">
        <v>0.91341176783319489</v>
      </c>
      <c r="P44" s="115">
        <v>0.97268080059814699</v>
      </c>
      <c r="Q44" s="111">
        <v>0.91341176783319489</v>
      </c>
      <c r="R44" s="68">
        <v>0.97268080059814699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0.59580273447999821</v>
      </c>
      <c r="M45" s="115">
        <v>7.681870591132693</v>
      </c>
      <c r="N45" s="115">
        <v>246.57159976059776</v>
      </c>
      <c r="O45" s="115">
        <v>2.8715616061274822</v>
      </c>
      <c r="P45" s="115">
        <v>2.7033403001173988</v>
      </c>
      <c r="Q45" s="111">
        <v>2.8715616061274822</v>
      </c>
      <c r="R45" s="68">
        <v>2.7033403001173992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0.61123585449114648</v>
      </c>
      <c r="M46" s="115">
        <v>7.07158089240896</v>
      </c>
      <c r="N46" s="115">
        <v>225.0446801271415</v>
      </c>
      <c r="O46" s="115">
        <v>2.670835719664054</v>
      </c>
      <c r="P46" s="115">
        <v>2.5203832249762779</v>
      </c>
      <c r="Q46" s="111">
        <v>2.6708357196640544</v>
      </c>
      <c r="R46" s="68">
        <v>2.5203832249762783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3.0391700963630377E-3</v>
      </c>
      <c r="M47" s="115">
        <v>476.99328629566924</v>
      </c>
      <c r="N47" s="115">
        <v>16762.560173445316</v>
      </c>
      <c r="O47" s="115">
        <v>101.09622074038222</v>
      </c>
      <c r="P47" s="115">
        <v>43.304724138294425</v>
      </c>
      <c r="Q47" s="111">
        <v>101.09622074038222</v>
      </c>
      <c r="R47" s="68">
        <v>43.304724138294425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0.90553509593363046</v>
      </c>
      <c r="M48" s="115">
        <v>1.0900674377884798</v>
      </c>
      <c r="N48" s="115">
        <v>10.249600879645318</v>
      </c>
      <c r="O48" s="115">
        <v>0.83929972501967476</v>
      </c>
      <c r="P48" s="115">
        <v>0.94275956516028514</v>
      </c>
      <c r="Q48" s="111">
        <v>0.83929972501967487</v>
      </c>
      <c r="R48" s="68">
        <v>0.94275956516028514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0.86988479191139856</v>
      </c>
      <c r="M49" s="115">
        <v>1.2747786690269693</v>
      </c>
      <c r="N49" s="115">
        <v>17.658344064457943</v>
      </c>
      <c r="O49" s="115">
        <v>0.87776263627875517</v>
      </c>
      <c r="P49" s="115">
        <v>0.96541569955079642</v>
      </c>
      <c r="Q49" s="111">
        <v>0.87776263627875517</v>
      </c>
      <c r="R49" s="68">
        <v>0.96541569955079654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0.18927538698219393</v>
      </c>
      <c r="M50" s="115">
        <v>42.249491767311703</v>
      </c>
      <c r="N50" s="115">
        <v>1458.0223989425845</v>
      </c>
      <c r="O50" s="115">
        <v>15.247898877356342</v>
      </c>
      <c r="P50" s="115">
        <v>14.861532857074408</v>
      </c>
      <c r="Q50" s="111">
        <v>15.247898877356342</v>
      </c>
      <c r="R50" s="68">
        <v>14.861532857074408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0.89910391565486258</v>
      </c>
      <c r="M51" s="115">
        <v>0.83941407478138863</v>
      </c>
      <c r="N51" s="115">
        <v>1.8468790356415596</v>
      </c>
      <c r="O51" s="115">
        <v>0.75869497651566631</v>
      </c>
      <c r="P51" s="115">
        <v>0.87547741129188339</v>
      </c>
      <c r="Q51" s="111">
        <v>0.75869497651566642</v>
      </c>
      <c r="R51" s="68">
        <v>0.8754774112918835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0.75007274642730226</v>
      </c>
      <c r="M52" s="115">
        <v>2.1151667510671315</v>
      </c>
      <c r="N52" s="115">
        <v>50.125328092868081</v>
      </c>
      <c r="O52" s="115">
        <v>1.0837549161985827</v>
      </c>
      <c r="P52" s="115">
        <v>1.1140503094056733</v>
      </c>
      <c r="Q52" s="111">
        <v>1.0837549161985827</v>
      </c>
      <c r="R52" s="68">
        <v>1.1140503094056733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0.50937158043612341</v>
      </c>
      <c r="M53" s="115">
        <v>11.418625211031166</v>
      </c>
      <c r="N53" s="115">
        <v>378.27051571845362</v>
      </c>
      <c r="O53" s="115">
        <v>4.1200996643633223</v>
      </c>
      <c r="P53" s="115">
        <v>3.858851019130078</v>
      </c>
      <c r="Q53" s="111">
        <v>4.1200996643633223</v>
      </c>
      <c r="R53" s="68">
        <v>3.8588510191300784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4.1491773504354693E-3</v>
      </c>
      <c r="M54" s="115">
        <v>427.78959718132296</v>
      </c>
      <c r="N54" s="115">
        <v>15019.987262218652</v>
      </c>
      <c r="O54" s="115">
        <v>92.198779261591312</v>
      </c>
      <c r="P54" s="115">
        <v>41.402265184732457</v>
      </c>
      <c r="Q54" s="111">
        <v>92.198779261591312</v>
      </c>
      <c r="R54" s="68">
        <v>41.402265184732457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0.23346024059013071</v>
      </c>
      <c r="M55" s="115">
        <v>21.091455436822567</v>
      </c>
      <c r="N55" s="115">
        <v>722.20740808998994</v>
      </c>
      <c r="O55" s="115">
        <v>7.4989351258064172</v>
      </c>
      <c r="P55" s="115">
        <v>7.1533050071352537</v>
      </c>
      <c r="Q55" s="111">
        <v>7.4989351258064181</v>
      </c>
      <c r="R55" s="68">
        <v>7.1533050071352537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2.2139266545079511E-2</v>
      </c>
      <c r="M56" s="115">
        <v>9.9346790443711832</v>
      </c>
      <c r="N56" s="115">
        <v>344.05247085252233</v>
      </c>
      <c r="O56" s="115">
        <v>3.6454843504607437</v>
      </c>
      <c r="P56" s="115">
        <v>3.617900527631837</v>
      </c>
      <c r="Q56" s="111">
        <v>3.6454843504607441</v>
      </c>
      <c r="R56" s="68">
        <v>3.6179005276318374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3.3270932656654331E-2</v>
      </c>
      <c r="M57" s="115">
        <v>4.0610746807445413</v>
      </c>
      <c r="N57" s="115">
        <v>139.50386019560381</v>
      </c>
      <c r="O57" s="115">
        <v>1.4493966127666753</v>
      </c>
      <c r="P57" s="115">
        <v>1.3919800986092177</v>
      </c>
      <c r="Q57" s="111">
        <v>1.4493966127666753</v>
      </c>
      <c r="R57" s="68">
        <v>1.3919800986092177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5.9199431819954212E-2</v>
      </c>
      <c r="M58" s="115">
        <v>9.5966492415774013E-2</v>
      </c>
      <c r="N58" s="115">
        <v>1.5179841126884681</v>
      </c>
      <c r="O58" s="115">
        <v>6.265690775841487E-2</v>
      </c>
      <c r="P58" s="115">
        <v>6.8172174607777941E-2</v>
      </c>
      <c r="Q58" s="111">
        <v>6.2656907758414884E-2</v>
      </c>
      <c r="R58" s="68">
        <v>6.8172174607777941E-2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1.2602053144434815E-2</v>
      </c>
      <c r="M59" s="115">
        <v>1.434931635609745</v>
      </c>
      <c r="N59" s="115">
        <v>49.258841153216018</v>
      </c>
      <c r="O59" s="115">
        <v>0.51161252838643323</v>
      </c>
      <c r="P59" s="115">
        <v>0.49055613507324686</v>
      </c>
      <c r="Q59" s="111">
        <v>0.51161252838643323</v>
      </c>
      <c r="R59" s="68">
        <v>0.49055613507324691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4.4928703439725266E-4</v>
      </c>
      <c r="M60" s="115">
        <v>2.389124386459824E-2</v>
      </c>
      <c r="N60" s="115">
        <v>0.81154429326965738</v>
      </c>
      <c r="O60" s="115">
        <v>8.4747651309572281E-3</v>
      </c>
      <c r="P60" s="115">
        <v>8.0017511605491396E-3</v>
      </c>
      <c r="Q60" s="111">
        <v>8.4747651309572281E-3</v>
      </c>
      <c r="R60" s="68">
        <v>8.0017511605491396E-3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0.4297864414881491</v>
      </c>
      <c r="M61" s="115">
        <v>16.214119363638154</v>
      </c>
      <c r="N61" s="115">
        <v>546.58696857975895</v>
      </c>
      <c r="O61" s="115">
        <v>5.767739915840381</v>
      </c>
      <c r="P61" s="115">
        <v>5.4192887102228973</v>
      </c>
      <c r="Q61" s="111">
        <v>5.767739915840381</v>
      </c>
      <c r="R61" s="68">
        <v>5.4192887102228982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1.7013521933847815E-2</v>
      </c>
      <c r="M62" s="115">
        <v>209.6617248608201</v>
      </c>
      <c r="N62" s="115">
        <v>7327.4561545826691</v>
      </c>
      <c r="O62" s="115">
        <v>53.762588151516489</v>
      </c>
      <c r="P62" s="115">
        <v>35.306423813581894</v>
      </c>
      <c r="Q62" s="111">
        <v>53.762588151516489</v>
      </c>
      <c r="R62" s="68">
        <v>35.306423813581894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1.7302585191811791E-3</v>
      </c>
      <c r="M63" s="115">
        <v>559.96234357438152</v>
      </c>
      <c r="N63" s="115">
        <v>19708.452596928786</v>
      </c>
      <c r="O63" s="115">
        <v>116.16388996569235</v>
      </c>
      <c r="P63" s="115">
        <v>46.747206143901479</v>
      </c>
      <c r="Q63" s="111">
        <v>116.16388996569236</v>
      </c>
      <c r="R63" s="68">
        <v>46.747206143901479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6.4244408913337412E-4</v>
      </c>
      <c r="M64" s="115">
        <v>683.83478524741236</v>
      </c>
      <c r="N64" s="115">
        <v>24128.517481714036</v>
      </c>
      <c r="O64" s="115">
        <v>138.76742187381851</v>
      </c>
      <c r="P64" s="115">
        <v>52.424346218822677</v>
      </c>
      <c r="Q64" s="111">
        <v>138.76742187381853</v>
      </c>
      <c r="R64" s="68">
        <v>52.424346218822684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1.9241355237558725E-4</v>
      </c>
      <c r="M65" s="115">
        <v>793.23617852919529</v>
      </c>
      <c r="N65" s="115">
        <v>28067.512718746242</v>
      </c>
      <c r="O65" s="115">
        <v>158.66391997105634</v>
      </c>
      <c r="P65" s="115">
        <v>57.870716832222961</v>
      </c>
      <c r="Q65" s="111">
        <v>158.66391997105637</v>
      </c>
      <c r="R65" s="68">
        <v>57.870716832222961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3.8546356739449034E-4</v>
      </c>
      <c r="M66" s="115">
        <v>735.47483640355745</v>
      </c>
      <c r="N66" s="115">
        <v>25982.180768082213</v>
      </c>
      <c r="O66" s="115">
        <v>148.1827991908217</v>
      </c>
      <c r="P66" s="115">
        <v>54.949943197669967</v>
      </c>
      <c r="Q66" s="111">
        <v>148.18279919082173</v>
      </c>
      <c r="R66" s="68">
        <v>54.949943197669967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0.83400307358304671</v>
      </c>
      <c r="M67" s="115">
        <v>1.8459518697473332</v>
      </c>
      <c r="N67" s="115">
        <v>38.35020929521999</v>
      </c>
      <c r="O67" s="115">
        <v>1.041035945500669</v>
      </c>
      <c r="P67" s="115">
        <v>1.0961468153103424</v>
      </c>
      <c r="Q67" s="111">
        <v>1.041035945500669</v>
      </c>
      <c r="R67" s="68">
        <v>1.0961468153103424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0.77841781357844109</v>
      </c>
      <c r="M68" s="115">
        <v>2.5934121293840766</v>
      </c>
      <c r="N68" s="115">
        <v>65.712927163959307</v>
      </c>
      <c r="O68" s="115">
        <v>1.2547576267218938</v>
      </c>
      <c r="P68" s="115">
        <v>1.2702045495128496</v>
      </c>
      <c r="Q68" s="111">
        <v>1.2547576267218938</v>
      </c>
      <c r="R68" s="68">
        <v>1.2702045495128498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6.2549907332526836E-3</v>
      </c>
      <c r="M69" s="115">
        <v>359.7834311211418</v>
      </c>
      <c r="N69" s="115">
        <v>12616.454904583681</v>
      </c>
      <c r="O69" s="115">
        <v>79.938896119436663</v>
      </c>
      <c r="P69" s="115">
        <v>38.918415257795417</v>
      </c>
      <c r="Q69" s="111">
        <v>79.938896119436663</v>
      </c>
      <c r="R69" s="68">
        <v>38.918415257795417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9.2443170294601223E-2</v>
      </c>
      <c r="M70" s="115">
        <v>67.674306853455406</v>
      </c>
      <c r="N70" s="115">
        <v>2347.9658957231372</v>
      </c>
      <c r="O70" s="115">
        <v>25.16031003271862</v>
      </c>
      <c r="P70" s="115">
        <v>25.294368299632573</v>
      </c>
      <c r="Q70" s="111">
        <v>25.16031003271862</v>
      </c>
      <c r="R70" s="68">
        <v>25.294368299632573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0.77496800544827926</v>
      </c>
      <c r="M71" s="115">
        <v>2.4121182521956368</v>
      </c>
      <c r="N71" s="115">
        <v>59.583603452787685</v>
      </c>
      <c r="O71" s="115">
        <v>1.1936685553375421</v>
      </c>
      <c r="P71" s="115">
        <v>1.2157809383041527</v>
      </c>
      <c r="Q71" s="111">
        <v>1.1936685553375421</v>
      </c>
      <c r="R71" s="68">
        <v>1.2157809383041527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9.9471401091226361E-2</v>
      </c>
      <c r="M72" s="115">
        <v>61.855307589301873</v>
      </c>
      <c r="N72" s="115">
        <v>2144.8483501016326</v>
      </c>
      <c r="O72" s="115">
        <v>22.89427327334165</v>
      </c>
      <c r="P72" s="115">
        <v>22.917188569738649</v>
      </c>
      <c r="Q72" s="111">
        <v>22.89427327334165</v>
      </c>
      <c r="R72" s="68">
        <v>22.917188569738649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0.40403211436564468</v>
      </c>
      <c r="M73" s="115">
        <v>17.085681355840936</v>
      </c>
      <c r="N73" s="115">
        <v>577.58480319333626</v>
      </c>
      <c r="O73" s="115">
        <v>6.0692227105785603</v>
      </c>
      <c r="P73" s="115">
        <v>5.7107028220355289</v>
      </c>
      <c r="Q73" s="111">
        <v>6.0692227105785603</v>
      </c>
      <c r="R73" s="68">
        <v>5.7107028220355298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9.4782060869325502E-2</v>
      </c>
      <c r="M74" s="115">
        <v>66.22545593447785</v>
      </c>
      <c r="N74" s="115">
        <v>2297.3305776146349</v>
      </c>
      <c r="O74" s="115">
        <v>24.589969839710278</v>
      </c>
      <c r="P74" s="115">
        <v>24.690524450004688</v>
      </c>
      <c r="Q74" s="111">
        <v>24.589969839710278</v>
      </c>
      <c r="R74" s="68">
        <v>24.690524450004688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3.9759293650519861E-2</v>
      </c>
      <c r="M75" s="115">
        <v>112.78646740915333</v>
      </c>
      <c r="N75" s="115">
        <v>5041.7754916457816</v>
      </c>
      <c r="O75" s="115">
        <v>54.851792960310419</v>
      </c>
      <c r="P75" s="115">
        <v>80.033366763916888</v>
      </c>
      <c r="Q75" s="111">
        <v>54.851792960310419</v>
      </c>
      <c r="R75" s="68">
        <v>80.033366763916902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3.9759293846092808E-2</v>
      </c>
      <c r="M76" s="115">
        <v>112.7864679639414</v>
      </c>
      <c r="N76" s="115">
        <v>5041.7755164458922</v>
      </c>
      <c r="O76" s="115">
        <v>54.851793230122226</v>
      </c>
      <c r="P76" s="115">
        <v>80.033367157594952</v>
      </c>
      <c r="Q76" s="111">
        <v>54.851793230122226</v>
      </c>
      <c r="R76" s="68">
        <v>80.033367157594952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0.22192865902584788</v>
      </c>
      <c r="M77" s="115">
        <v>34.159676225428647</v>
      </c>
      <c r="N77" s="115">
        <v>1175.7900050918938</v>
      </c>
      <c r="O77" s="115">
        <v>12.238182660096106</v>
      </c>
      <c r="P77" s="115">
        <v>11.818457860972861</v>
      </c>
      <c r="Q77" s="111">
        <v>12.238182660096106</v>
      </c>
      <c r="R77" s="68">
        <v>11.818457860972861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0.61054875419711607</v>
      </c>
      <c r="M78" s="115">
        <v>6.0792804463186041</v>
      </c>
      <c r="N78" s="115">
        <v>190.84935507807492</v>
      </c>
      <c r="O78" s="115">
        <v>2.3343781657863287</v>
      </c>
      <c r="P78" s="115">
        <v>2.2121227585334178</v>
      </c>
      <c r="Q78" s="111">
        <v>2.3343781657863287</v>
      </c>
      <c r="R78" s="68">
        <v>2.2121227585334178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0.49840296839835613</v>
      </c>
      <c r="M79" s="115">
        <v>11.685867190049377</v>
      </c>
      <c r="N79" s="115">
        <v>387.85018753080612</v>
      </c>
      <c r="O79" s="115">
        <v>4.2088157162237163</v>
      </c>
      <c r="P79" s="115">
        <v>3.9420153644235958</v>
      </c>
      <c r="Q79" s="111">
        <v>4.2088157162237172</v>
      </c>
      <c r="R79" s="68">
        <v>3.9420153644235958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2.6089503660750201E-2</v>
      </c>
      <c r="M80" s="115">
        <v>212.02757406970116</v>
      </c>
      <c r="N80" s="115">
        <v>9480.0361842109578</v>
      </c>
      <c r="O80" s="115">
        <v>65.301979887405849</v>
      </c>
      <c r="P80" s="115">
        <v>81.937048748285406</v>
      </c>
      <c r="Q80" s="111">
        <v>65.301979887405849</v>
      </c>
      <c r="R80" s="68">
        <v>81.937048748285406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0.96465884550466408</v>
      </c>
      <c r="M81" s="115">
        <v>0.89187689956901006</v>
      </c>
      <c r="N81" s="115">
        <v>1.6823036800401874</v>
      </c>
      <c r="O81" s="115">
        <v>0.81139331974282214</v>
      </c>
      <c r="P81" s="115">
        <v>0.93726014924805712</v>
      </c>
      <c r="Q81" s="111">
        <v>0.81139331974282214</v>
      </c>
      <c r="R81" s="68">
        <v>0.93726014924805723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0.7636197985207861</v>
      </c>
      <c r="M82" s="115">
        <v>3.0375752968737606</v>
      </c>
      <c r="N82" s="115">
        <v>81.435051081578266</v>
      </c>
      <c r="O82" s="115">
        <v>1.3929331239904121</v>
      </c>
      <c r="P82" s="115">
        <v>1.3891374785370727</v>
      </c>
      <c r="Q82" s="111">
        <v>1.3929331239904121</v>
      </c>
      <c r="R82" s="68">
        <v>1.3891374785370727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0.26523471173990842</v>
      </c>
      <c r="M83" s="115">
        <v>31.633160945480853</v>
      </c>
      <c r="N83" s="115">
        <v>1086.4059745592649</v>
      </c>
      <c r="O83" s="115">
        <v>11.286000506852179</v>
      </c>
      <c r="P83" s="115">
        <v>10.833078802344046</v>
      </c>
      <c r="Q83" s="111">
        <v>11.286000506852181</v>
      </c>
      <c r="R83" s="68">
        <v>10.833078802344048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0.93183682668926426</v>
      </c>
      <c r="M84" s="115">
        <v>1.0138112911212307</v>
      </c>
      <c r="N84" s="115">
        <v>6.844916908964163</v>
      </c>
      <c r="O84" s="115">
        <v>0.83019967669952821</v>
      </c>
      <c r="P84" s="115">
        <v>0.94261363040615653</v>
      </c>
      <c r="Q84" s="111">
        <v>0.83019967669952832</v>
      </c>
      <c r="R84" s="68">
        <v>0.94261363040615653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0.98129486985985737</v>
      </c>
      <c r="M85" s="115">
        <v>0.86728893102694027</v>
      </c>
      <c r="N85" s="115">
        <v>0.34472665836522604</v>
      </c>
      <c r="O85" s="115">
        <v>0.81356181256398263</v>
      </c>
      <c r="P85" s="115">
        <v>0.94435987054091952</v>
      </c>
      <c r="Q85" s="111">
        <v>0.81356181256398263</v>
      </c>
      <c r="R85" s="68">
        <v>0.94435987054091963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0.93332082591635734</v>
      </c>
      <c r="M86" s="115">
        <v>1.0062969789974274</v>
      </c>
      <c r="N86" s="115">
        <v>6.5426977480223645</v>
      </c>
      <c r="O86" s="115">
        <v>0.82870676845020563</v>
      </c>
      <c r="P86" s="115">
        <v>0.9418185621380879</v>
      </c>
      <c r="Q86" s="111">
        <v>0.82870676845020563</v>
      </c>
      <c r="R86" s="68">
        <v>0.9418185621380879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2.4530618958381162E-3</v>
      </c>
      <c r="M87" s="115">
        <v>509.47875362212579</v>
      </c>
      <c r="N87" s="115">
        <v>17914.81678882732</v>
      </c>
      <c r="O87" s="115">
        <v>106.98534253130072</v>
      </c>
      <c r="P87" s="115">
        <v>44.615343827400615</v>
      </c>
      <c r="Q87" s="111">
        <v>106.98534253130072</v>
      </c>
      <c r="R87" s="68">
        <v>44.615343827400615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0.67798079466286243</v>
      </c>
      <c r="M88" s="115">
        <v>5.0340337902669683</v>
      </c>
      <c r="N88" s="115">
        <v>152.76425038466371</v>
      </c>
      <c r="O88" s="115">
        <v>2.0141167690010482</v>
      </c>
      <c r="P88" s="115">
        <v>1.9305334021094227</v>
      </c>
      <c r="Q88" s="111">
        <v>2.0141167690010482</v>
      </c>
      <c r="R88" s="68">
        <v>1.9305334021094229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0.74901529807868805</v>
      </c>
      <c r="M89" s="115">
        <v>3.3290102494333254</v>
      </c>
      <c r="N89" s="115">
        <v>91.902762614292996</v>
      </c>
      <c r="O89" s="115">
        <v>1.4815735162717272</v>
      </c>
      <c r="P89" s="115">
        <v>1.4649157561596962</v>
      </c>
      <c r="Q89" s="111">
        <v>1.4815735162717272</v>
      </c>
      <c r="R89" s="68">
        <v>1.4649157561596964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0.87536580225677352</v>
      </c>
      <c r="M90" s="115">
        <v>1.4344833084447237</v>
      </c>
      <c r="N90" s="115">
        <v>22.976570357172541</v>
      </c>
      <c r="O90" s="115">
        <v>0.93140593962939</v>
      </c>
      <c r="P90" s="115">
        <v>1.0122176569259149</v>
      </c>
      <c r="Q90" s="111">
        <v>0.93140593962939</v>
      </c>
      <c r="R90" s="68">
        <v>1.0122176569259149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1.4764079085075784E-2</v>
      </c>
      <c r="M91" s="115">
        <v>229.77599199485252</v>
      </c>
      <c r="N91" s="115">
        <v>8034.5967223985972</v>
      </c>
      <c r="O91" s="115">
        <v>57.208058189603626</v>
      </c>
      <c r="P91" s="115">
        <v>35.65450677754027</v>
      </c>
      <c r="Q91" s="111">
        <v>57.208058189603626</v>
      </c>
      <c r="R91" s="68">
        <v>35.65450677754027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0.32447380109951235</v>
      </c>
      <c r="M92" s="115">
        <v>24.937807312464617</v>
      </c>
      <c r="N92" s="115">
        <v>852.14531073133264</v>
      </c>
      <c r="O92" s="115">
        <v>8.854201279769093</v>
      </c>
      <c r="P92" s="115">
        <v>8.4175065652917418</v>
      </c>
      <c r="Q92" s="111">
        <v>8.854201279769093</v>
      </c>
      <c r="R92" s="68">
        <v>8.4175065652917418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0.12436837712012755</v>
      </c>
      <c r="M93" s="115">
        <v>58.470499793664821</v>
      </c>
      <c r="N93" s="115">
        <v>2025.3074007271446</v>
      </c>
      <c r="O93" s="115">
        <v>21.481343803020753</v>
      </c>
      <c r="P93" s="115">
        <v>21.344919621617155</v>
      </c>
      <c r="Q93" s="111">
        <v>21.481343803020756</v>
      </c>
      <c r="R93" s="68">
        <v>21.344919621617159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0.98325791390896156</v>
      </c>
      <c r="M94" s="115">
        <v>1.1497659552687678</v>
      </c>
      <c r="N94" s="115">
        <v>13.068874623690878</v>
      </c>
      <c r="O94" s="115">
        <v>1.3724331592115695</v>
      </c>
      <c r="P94" s="115">
        <v>1.9091540423904527</v>
      </c>
      <c r="Q94" s="111">
        <v>1.3724331592115695</v>
      </c>
      <c r="R94" s="68">
        <v>1.9091540423904527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3.5706258971718745E-2</v>
      </c>
      <c r="M95" s="115">
        <v>119.07837352597123</v>
      </c>
      <c r="N95" s="115">
        <v>4149.0706643290196</v>
      </c>
      <c r="O95" s="115">
        <v>38.74396968919482</v>
      </c>
      <c r="P95" s="115">
        <v>34.739659645814335</v>
      </c>
      <c r="Q95" s="111">
        <v>38.74396968919482</v>
      </c>
      <c r="R95" s="68">
        <v>34.739659645814342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0.96355753499365449</v>
      </c>
      <c r="M96" s="115">
        <v>0.89442626471912545</v>
      </c>
      <c r="N96" s="115">
        <v>1.8025163846324064</v>
      </c>
      <c r="O96" s="115">
        <v>0.81153506930264896</v>
      </c>
      <c r="P96" s="115">
        <v>0.93702465969931925</v>
      </c>
      <c r="Q96" s="111">
        <v>0.81153506930264896</v>
      </c>
      <c r="R96" s="68">
        <v>0.93702465969931936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0.9310818384744205</v>
      </c>
      <c r="M97" s="115">
        <v>1.0177052824021375</v>
      </c>
      <c r="N97" s="115">
        <v>7.0011145112740572</v>
      </c>
      <c r="O97" s="115">
        <v>0.83098228768317073</v>
      </c>
      <c r="P97" s="115">
        <v>0.94303826539905355</v>
      </c>
      <c r="Q97" s="111">
        <v>0.83098228768317073</v>
      </c>
      <c r="R97" s="68">
        <v>0.94303826539905355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7.3625953485309203E-2</v>
      </c>
      <c r="M98" s="115">
        <v>76.469698397819798</v>
      </c>
      <c r="N98" s="115">
        <v>2656.1043229282682</v>
      </c>
      <c r="O98" s="115">
        <v>28.712548277155697</v>
      </c>
      <c r="P98" s="115">
        <v>29.133920077045179</v>
      </c>
      <c r="Q98" s="111">
        <v>28.712548277155701</v>
      </c>
      <c r="R98" s="68">
        <v>29.133920077045179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0.98495953039183703</v>
      </c>
      <c r="M99" s="115">
        <v>0.8655894423297984</v>
      </c>
      <c r="N99" s="115">
        <v>0.17764265107938867</v>
      </c>
      <c r="O99" s="115">
        <v>0.81517231660469858</v>
      </c>
      <c r="P99" s="115">
        <v>0.94683471071333203</v>
      </c>
      <c r="Q99" s="111">
        <v>0.81517231660469858</v>
      </c>
      <c r="R99" s="68">
        <v>0.94683471071333203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0.53512806868552232</v>
      </c>
      <c r="M100" s="115">
        <v>10.258224500987575</v>
      </c>
      <c r="N100" s="115">
        <v>337.38236198278759</v>
      </c>
      <c r="O100" s="115">
        <v>3.7291237026627901</v>
      </c>
      <c r="P100" s="115">
        <v>3.4940429990396846</v>
      </c>
      <c r="Q100" s="111">
        <v>3.7291237026627906</v>
      </c>
      <c r="R100" s="68">
        <v>3.4940429990396851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0.97939742401556851</v>
      </c>
      <c r="M101" s="115">
        <v>0.86872377822547819</v>
      </c>
      <c r="N101" s="115">
        <v>0.45026252490620278</v>
      </c>
      <c r="O101" s="115">
        <v>0.81289501724499713</v>
      </c>
      <c r="P101" s="115">
        <v>0.94321040150469226</v>
      </c>
      <c r="Q101" s="111">
        <v>0.81289501724499724</v>
      </c>
      <c r="R101" s="68">
        <v>0.94321040150469226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0.98970748160561961</v>
      </c>
      <c r="M102" s="115">
        <v>0.86563523024181366</v>
      </c>
      <c r="N102" s="115">
        <v>3.8114220887685568E-2</v>
      </c>
      <c r="O102" s="115">
        <v>0.81792660775274462</v>
      </c>
      <c r="P102" s="115">
        <v>0.95055726253421102</v>
      </c>
      <c r="Q102" s="111">
        <v>0.81792660775274473</v>
      </c>
      <c r="R102" s="68">
        <v>0.95055726253421102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0.9852221002947783</v>
      </c>
      <c r="M103" s="115">
        <v>0.86552385756231653</v>
      </c>
      <c r="N103" s="115">
        <v>0.16759606570689581</v>
      </c>
      <c r="O103" s="115">
        <v>0.81530450953599676</v>
      </c>
      <c r="P103" s="115">
        <v>0.94702515869672432</v>
      </c>
      <c r="Q103" s="111">
        <v>0.81530450953599676</v>
      </c>
      <c r="R103" s="68">
        <v>0.94702515869672432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0.94839118042046799</v>
      </c>
      <c r="M104" s="115">
        <v>0.94059261317680476</v>
      </c>
      <c r="N104" s="115">
        <v>3.8381663146358478</v>
      </c>
      <c r="O104" s="115">
        <v>0.81697216873065936</v>
      </c>
      <c r="P104" s="115">
        <v>0.93671397230342068</v>
      </c>
      <c r="Q104" s="111">
        <v>0.81697216873065936</v>
      </c>
      <c r="R104" s="68">
        <v>0.93671397230342079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0.98900707989225767</v>
      </c>
      <c r="M105" s="115">
        <v>0.86545732391891561</v>
      </c>
      <c r="N105" s="115">
        <v>5.2846763664953764E-2</v>
      </c>
      <c r="O105" s="115">
        <v>0.81747009556192818</v>
      </c>
      <c r="P105" s="115">
        <v>0.94997011941848064</v>
      </c>
      <c r="Q105" s="111">
        <v>0.81747009556192818</v>
      </c>
      <c r="R105" s="68">
        <v>0.94997011941848075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0.84487193964289919</v>
      </c>
      <c r="M106" s="115">
        <v>1.7691079127065881</v>
      </c>
      <c r="N106" s="115">
        <v>35.383891740451546</v>
      </c>
      <c r="O106" s="115">
        <v>1.0220901416879855</v>
      </c>
      <c r="P106" s="115">
        <v>1.0823737356029506</v>
      </c>
      <c r="Q106" s="111">
        <v>1.0220901416879857</v>
      </c>
      <c r="R106" s="68">
        <v>1.0823737356029506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5.9289260922271853E-2</v>
      </c>
      <c r="M107" s="115">
        <v>83.392532210230613</v>
      </c>
      <c r="N107" s="115">
        <v>2899.1324309446622</v>
      </c>
      <c r="O107" s="115">
        <v>31.589983054713208</v>
      </c>
      <c r="P107" s="115">
        <v>32.311513954222782</v>
      </c>
      <c r="Q107" s="111">
        <v>31.589983054713212</v>
      </c>
      <c r="R107" s="68">
        <v>32.311513954222782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0.58295099321321531</v>
      </c>
      <c r="M108" s="115">
        <v>8.2018722351078814</v>
      </c>
      <c r="N108" s="115">
        <v>264.91003499900086</v>
      </c>
      <c r="O108" s="115">
        <v>3.0433405635468178</v>
      </c>
      <c r="P108" s="115">
        <v>2.860589553073857</v>
      </c>
      <c r="Q108" s="111">
        <v>3.0433405635468178</v>
      </c>
      <c r="R108" s="68">
        <v>2.860589553073857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Input System Parameters</vt:lpstr>
      <vt:lpstr>Options for Generic Calcs</vt:lpstr>
      <vt:lpstr>Well Plate Characteristics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2024-10-28T23:24:45Z</dcterms:modified>
</cp:coreProperties>
</file>