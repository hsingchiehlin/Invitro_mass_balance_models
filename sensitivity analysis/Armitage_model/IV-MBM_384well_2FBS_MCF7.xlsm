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51AF1335-E933-4E10-9452-D78ACA34043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<sst xmlns="http://schemas.openxmlformats.org/spreadsheetml/2006/main" count="3131" uniqueCount="515">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</sst>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5.6000000000000001E-2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5.6000000000000001E-2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1.4E-3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8.102652974230721E-8</v>
      </c>
      <c r="J2" s="67" t="s">
        <v>231</v>
      </c>
      <c r="K2" s="68">
        <v>9.6439411209756174E-4</v>
      </c>
      <c r="L2" s="67" t="s">
        <v>231</v>
      </c>
      <c r="M2" s="68">
        <v>1.1357492559942064E-3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9.9027622959440203E-6</v>
      </c>
      <c r="J3" s="67" t="s">
        <v>231</v>
      </c>
      <c r="K3" s="68">
        <v>3.269591792489522E-3</v>
      </c>
      <c r="L3" s="67" t="s">
        <v>231</v>
      </c>
      <c r="M3" s="68">
        <v>0.30399021843126589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9.1239855862892206E-15</v>
      </c>
      <c r="J4" s="67" t="s">
        <v>231</v>
      </c>
      <c r="K4" s="68">
        <v>1.0909424205730405E-3</v>
      </c>
      <c r="L4" s="67" t="s">
        <v>231</v>
      </c>
      <c r="M4" s="68">
        <v>3.0462420722020618E-3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2.0498489208487512E-10</v>
      </c>
      <c r="J5" s="67" t="s">
        <v>231</v>
      </c>
      <c r="K5" s="68">
        <v>1.1820256233360665E-3</v>
      </c>
      <c r="L5" s="67" t="s">
        <v>231</v>
      </c>
      <c r="M5" s="68">
        <v>7.5537578205193204E-2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8.9043642818469213E-7</v>
      </c>
      <c r="J6" s="67" t="s">
        <v>231</v>
      </c>
      <c r="K6" s="68">
        <v>1.4040975208115579E-3</v>
      </c>
      <c r="L6" s="67" t="s">
        <v>231</v>
      </c>
      <c r="M6" s="68">
        <v>0.16232048554125908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7.8675129265970169E-6</v>
      </c>
      <c r="J7" s="67" t="s">
        <v>231</v>
      </c>
      <c r="K7" s="68">
        <v>2.0934955218620214E-3</v>
      </c>
      <c r="L7" s="67" t="s">
        <v>231</v>
      </c>
      <c r="M7" s="68">
        <v>0.41947790018775361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1.7219529810095882E-8</v>
      </c>
      <c r="J8" s="67" t="s">
        <v>231</v>
      </c>
      <c r="K8" s="68">
        <v>1.565402781603664E-3</v>
      </c>
      <c r="L8" s="67" t="s">
        <v>231</v>
      </c>
      <c r="M8" s="68">
        <v>0.22781539337552786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6.4009958171185907E-7</v>
      </c>
      <c r="J9" s="67" t="s">
        <v>231</v>
      </c>
      <c r="K9" s="68">
        <v>1.1430866820946062E-3</v>
      </c>
      <c r="L9" s="67" t="s">
        <v>231</v>
      </c>
      <c r="M9" s="68">
        <v>6.0237939606812556E-2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9.8485707958031305E-4</v>
      </c>
      <c r="J10" s="67" t="s">
        <v>231</v>
      </c>
      <c r="K10" s="68">
        <v>1.4491134804735094E-2</v>
      </c>
      <c r="L10" s="67" t="s">
        <v>231</v>
      </c>
      <c r="M10" s="68">
        <v>3.230294317794963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3.6480608146875449E-8</v>
      </c>
      <c r="J11" s="67" t="s">
        <v>231</v>
      </c>
      <c r="K11" s="68">
        <v>0.14611414663861644</v>
      </c>
      <c r="L11" s="67" t="s">
        <v>231</v>
      </c>
      <c r="M11" s="68">
        <v>36.755115839335112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2.3939465640449257E-8</v>
      </c>
      <c r="J12" s="67" t="s">
        <v>231</v>
      </c>
      <c r="K12" s="68">
        <v>9.0521739912593818E-4</v>
      </c>
      <c r="L12" s="67" t="s">
        <v>231</v>
      </c>
      <c r="M12" s="68">
        <v>6.1333552582870632E-5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1.1202709931990031E-3</v>
      </c>
      <c r="J13" s="67" t="s">
        <v>231</v>
      </c>
      <c r="K13" s="68">
        <v>1.5785790440244949E-3</v>
      </c>
      <c r="L13" s="67" t="s">
        <v>231</v>
      </c>
      <c r="M13" s="68">
        <v>0.21376668911757674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8.5526296193139509E-8</v>
      </c>
      <c r="J14" s="67" t="s">
        <v>231</v>
      </c>
      <c r="K14" s="68">
        <v>5.7192547559476239E-3</v>
      </c>
      <c r="L14" s="67" t="s">
        <v>231</v>
      </c>
      <c r="M14" s="68">
        <v>1.5331628104131652</v>
      </c>
      <c r="N14" s="67" t="s">
        <v>231</v>
      </c>
      <c r="P14" s="109" t="s">
        <v>229</v>
      </c>
      <c r="Q14" s="103">
        <f>COUNTIF(N2:N50000,"Yes")</f>
        <v>5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1.087110331898194E-6</v>
      </c>
      <c r="J15" s="67" t="s">
        <v>231</v>
      </c>
      <c r="K15" s="68">
        <v>9.01169846755526E-4</v>
      </c>
      <c r="L15" s="67" t="s">
        <v>231</v>
      </c>
      <c r="M15" s="68">
        <v>2.9639552865229395E-2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1.0070505545833188E-4</v>
      </c>
      <c r="J16" s="67" t="s">
        <v>231</v>
      </c>
      <c r="K16" s="68">
        <v>1.7011224030678176E-3</v>
      </c>
      <c r="L16" s="67" t="s">
        <v>231</v>
      </c>
      <c r="M16" s="68">
        <v>0.24678058122489666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2.2277222998747466E-6</v>
      </c>
      <c r="J17" s="67" t="s">
        <v>231</v>
      </c>
      <c r="K17" s="68">
        <v>1.6191051681762796E-3</v>
      </c>
      <c r="L17" s="67" t="s">
        <v>231</v>
      </c>
      <c r="M17" s="68">
        <v>0.22520342931301801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1.3101764065546792E-2</v>
      </c>
      <c r="J18" s="67" t="s">
        <v>232</v>
      </c>
      <c r="K18" s="68">
        <v>8.2274338309462861E-2</v>
      </c>
      <c r="L18" s="67" t="s">
        <v>231</v>
      </c>
      <c r="M18" s="68">
        <v>18.547542591356692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1.8116723756678143E-6</v>
      </c>
      <c r="J19" s="67" t="s">
        <v>231</v>
      </c>
      <c r="K19" s="68">
        <v>9.4076813034085836E-4</v>
      </c>
      <c r="L19" s="67" t="s">
        <v>231</v>
      </c>
      <c r="M19" s="68">
        <v>1.0240789906324448E-2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5.0782847715160845E-6</v>
      </c>
      <c r="J20" s="67" t="s">
        <v>231</v>
      </c>
      <c r="K20" s="68">
        <v>9.3857459059527675E-4</v>
      </c>
      <c r="L20" s="67" t="s">
        <v>231</v>
      </c>
      <c r="M20" s="68">
        <v>1.7644587958815242E-2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7.7237147738617759E-6</v>
      </c>
      <c r="J21" s="67" t="s">
        <v>231</v>
      </c>
      <c r="K21" s="68">
        <v>3.9972440398579308E-3</v>
      </c>
      <c r="L21" s="67" t="s">
        <v>231</v>
      </c>
      <c r="M21" s="68">
        <v>0.8405293605070624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4.0112008951975662E-8</v>
      </c>
      <c r="J22" s="67" t="s">
        <v>231</v>
      </c>
      <c r="K22" s="68">
        <v>8.9728145021456516E-4</v>
      </c>
      <c r="L22" s="67" t="s">
        <v>231</v>
      </c>
      <c r="M22" s="68">
        <v>1.8452095330605484E-3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1.1157148371281039E-5</v>
      </c>
      <c r="J23" s="67" t="s">
        <v>231</v>
      </c>
      <c r="K23" s="68">
        <v>9.6622248611152753E-4</v>
      </c>
      <c r="L23" s="67" t="s">
        <v>231</v>
      </c>
      <c r="M23" s="68">
        <v>5.0102032130149694E-2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2.0859440997076674E-4</v>
      </c>
      <c r="J24" s="67" t="s">
        <v>231</v>
      </c>
      <c r="K24" s="68">
        <v>2.2108258553353143E-3</v>
      </c>
      <c r="L24" s="67" t="s">
        <v>231</v>
      </c>
      <c r="M24" s="68">
        <v>0.37891692774872049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4.3263305259099976E-3</v>
      </c>
      <c r="J25" s="67" t="s">
        <v>231</v>
      </c>
      <c r="K25" s="68">
        <v>7.2977356754817868E-2</v>
      </c>
      <c r="L25" s="67" t="s">
        <v>231</v>
      </c>
      <c r="M25" s="68">
        <v>16.439051984990627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2.9382818833447951E-4</v>
      </c>
      <c r="J26" s="67" t="s">
        <v>231</v>
      </c>
      <c r="K26" s="68">
        <v>3.491271637974087E-3</v>
      </c>
      <c r="L26" s="67" t="s">
        <v>231</v>
      </c>
      <c r="M26" s="68">
        <v>0.72510065679293367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6.9791702777646824E-5</v>
      </c>
      <c r="J27" s="67" t="s">
        <v>231</v>
      </c>
      <c r="K27" s="68">
        <v>1.5673340706283015E-3</v>
      </c>
      <c r="L27" s="67" t="s">
        <v>231</v>
      </c>
      <c r="M27" s="68">
        <v>0.34473596090218966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2.7294715074705435E-5</v>
      </c>
      <c r="J28" s="67" t="s">
        <v>231</v>
      </c>
      <c r="K28" s="68">
        <v>6.6021172255545911E-4</v>
      </c>
      <c r="L28" s="67" t="s">
        <v>231</v>
      </c>
      <c r="M28" s="68">
        <v>0.13961304846503741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2.5869150868443E-7</v>
      </c>
      <c r="J29" s="67" t="s">
        <v>231</v>
      </c>
      <c r="K29" s="68">
        <v>6.5334611329663915E-5</v>
      </c>
      <c r="L29" s="67" t="s">
        <v>231</v>
      </c>
      <c r="M29" s="68">
        <v>1.5179064456517682E-3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6.0303772963090803E-6</v>
      </c>
      <c r="J30" s="67" t="s">
        <v>231</v>
      </c>
      <c r="K30" s="68">
        <v>2.3387286996290072E-4</v>
      </c>
      <c r="L30" s="67" t="s">
        <v>231</v>
      </c>
      <c r="M30" s="68">
        <v>4.9272407789457746E-2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8.9781776559365455E-8</v>
      </c>
      <c r="J31" s="67" t="s">
        <v>231</v>
      </c>
      <c r="K31" s="68">
        <v>4.0952507004300131E-6</v>
      </c>
      <c r="L31" s="67" t="s">
        <v>231</v>
      </c>
      <c r="M31" s="68">
        <v>8.115477837335116E-4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9.9844381537993909E-5</v>
      </c>
      <c r="J32" s="67" t="s">
        <v>231</v>
      </c>
      <c r="K32" s="68">
        <v>1.4558176407389915E-3</v>
      </c>
      <c r="L32" s="67" t="s">
        <v>231</v>
      </c>
      <c r="M32" s="68">
        <v>0.18064935754507117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3.1271591674264758E-5</v>
      </c>
      <c r="J33" s="67" t="s">
        <v>231</v>
      </c>
      <c r="K33" s="68">
        <v>1.1312186833955776E-3</v>
      </c>
      <c r="L33" s="67" t="s">
        <v>231</v>
      </c>
      <c r="M33" s="68">
        <v>8.4770826385993439E-2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1.5090302945432494E-4</v>
      </c>
      <c r="J34" s="67" t="s">
        <v>231</v>
      </c>
      <c r="K34" s="68">
        <v>4.220062930591067E-3</v>
      </c>
      <c r="L34" s="67" t="s">
        <v>231</v>
      </c>
      <c r="M34" s="68">
        <v>0.86760846805650249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1.5246777158141702E-3</v>
      </c>
      <c r="J35" s="67" t="s">
        <v>231</v>
      </c>
      <c r="K35" s="68">
        <v>1.1059153983524903E-2</v>
      </c>
      <c r="L35" s="67" t="s">
        <v>231</v>
      </c>
      <c r="M35" s="68">
        <v>2.4528386383002574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3.8092117274965689E-3</v>
      </c>
      <c r="J36" s="67" t="s">
        <v>231</v>
      </c>
      <c r="K36" s="68">
        <v>2.9944981035000588E-2</v>
      </c>
      <c r="L36" s="67" t="s">
        <v>231</v>
      </c>
      <c r="M36" s="68">
        <v>6.7118576255370801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2.7824976287643827E-3</v>
      </c>
      <c r="J37" s="67" t="s">
        <v>231</v>
      </c>
      <c r="K37" s="68">
        <v>7.8695244873328435E-2</v>
      </c>
      <c r="L37" s="67" t="s">
        <v>231</v>
      </c>
      <c r="M37" s="68">
        <v>17.736926160666545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1.3725591100864519E-3</v>
      </c>
      <c r="J38" s="67" t="s">
        <v>231</v>
      </c>
      <c r="K38" s="68">
        <v>4.4664425267892063E-2</v>
      </c>
      <c r="L38" s="67" t="s">
        <v>231</v>
      </c>
      <c r="M38" s="68">
        <v>10.033181250147354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7.5748861164990115E-4</v>
      </c>
      <c r="J39" s="67" t="s">
        <v>231</v>
      </c>
      <c r="K39" s="68">
        <v>2.9954225168266273E-2</v>
      </c>
      <c r="L39" s="67" t="s">
        <v>231</v>
      </c>
      <c r="M39" s="68">
        <v>6.7184798717733223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1.3725591100864519E-3</v>
      </c>
      <c r="J40" s="67" t="s">
        <v>231</v>
      </c>
      <c r="K40" s="68">
        <v>4.4664425267892063E-2</v>
      </c>
      <c r="L40" s="67" t="s">
        <v>231</v>
      </c>
      <c r="M40" s="68">
        <v>10.033181250147354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8.7760932294831889E-9</v>
      </c>
      <c r="J41" s="67" t="s">
        <v>231</v>
      </c>
      <c r="K41" s="68">
        <v>9.9803361588078751E-4</v>
      </c>
      <c r="L41" s="67" t="s">
        <v>231</v>
      </c>
      <c r="M41" s="68">
        <v>5.6840867191679818E-3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5.0872792759790002E-3</v>
      </c>
      <c r="J42" s="67" t="s">
        <v>231</v>
      </c>
      <c r="K42" s="68">
        <v>8.0790077245270819E-2</v>
      </c>
      <c r="L42" s="67" t="s">
        <v>231</v>
      </c>
      <c r="M42" s="68">
        <v>18.212937708832492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2.4217175169413876E-3</v>
      </c>
      <c r="J43" s="67" t="s">
        <v>231</v>
      </c>
      <c r="K43" s="68">
        <v>2.3727207386768892E-3</v>
      </c>
      <c r="L43" s="67" t="s">
        <v>231</v>
      </c>
      <c r="M43" s="68">
        <v>0.41922585219951886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7.1192755885064705E-3</v>
      </c>
      <c r="J44" s="67" t="s">
        <v>231</v>
      </c>
      <c r="K44" s="68">
        <v>2.1450441619838181E-2</v>
      </c>
      <c r="L44" s="67" t="s">
        <v>231</v>
      </c>
      <c r="M44" s="68">
        <v>4.7976598344172467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1.5220558292327328E-2</v>
      </c>
      <c r="J45" s="67" t="s">
        <v>232</v>
      </c>
      <c r="K45" s="68">
        <v>0.10360032820451924</v>
      </c>
      <c r="L45" s="67" t="s">
        <v>231</v>
      </c>
      <c r="M45" s="68">
        <v>23.395280269483095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2.0759253288133999E-3</v>
      </c>
      <c r="J46" s="67" t="s">
        <v>231</v>
      </c>
      <c r="K46" s="68">
        <v>8.538712965591877E-2</v>
      </c>
      <c r="L46" s="67" t="s">
        <v>231</v>
      </c>
      <c r="M46" s="68">
        <v>19.254156762985073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3.7242150065995273E-3</v>
      </c>
      <c r="J47" s="142" t="s">
        <v>231</v>
      </c>
      <c r="K47" s="143">
        <v>6.3145038352654295E-2</v>
      </c>
      <c r="L47" s="142" t="s">
        <v>231</v>
      </c>
      <c r="M47" s="143">
        <v>14.21184653715639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6.0776415581848247E-4</v>
      </c>
      <c r="J48" s="142" t="s">
        <v>231</v>
      </c>
      <c r="K48" s="143">
        <v>7.7643839981068538E-3</v>
      </c>
      <c r="L48" s="142" t="s">
        <v>231</v>
      </c>
      <c r="M48" s="143">
        <v>1.6941141531679427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4.2761510113751714E-3</v>
      </c>
      <c r="J49" s="142" t="s">
        <v>231</v>
      </c>
      <c r="K49" s="143">
        <v>2.2894854822222657E-2</v>
      </c>
      <c r="L49" s="142" t="s">
        <v>231</v>
      </c>
      <c r="M49" s="143">
        <v>5.1230108604189111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1.0492032529322108E-3</v>
      </c>
      <c r="J50" s="142" t="s">
        <v>231</v>
      </c>
      <c r="K50" s="143">
        <v>2.544149609835963E-2</v>
      </c>
      <c r="L50" s="142" t="s">
        <v>231</v>
      </c>
      <c r="M50" s="143">
        <v>5.6967864328182403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1.5195357412967885E-3</v>
      </c>
      <c r="J51" s="142" t="s">
        <v>231</v>
      </c>
      <c r="K51" s="143">
        <v>9.3948222057433136E-3</v>
      </c>
      <c r="L51" s="142" t="s">
        <v>231</v>
      </c>
      <c r="M51" s="143">
        <v>2.0686148712814498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2.8740147961433562E-2</v>
      </c>
      <c r="J52" s="142" t="s">
        <v>232</v>
      </c>
      <c r="K52" s="143">
        <v>7.912218954978156E-3</v>
      </c>
      <c r="L52" s="142" t="s">
        <v>231</v>
      </c>
      <c r="M52" s="143">
        <v>1.7281810299789344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1.001305448904293E-2</v>
      </c>
      <c r="J53" s="142" t="s">
        <v>232</v>
      </c>
      <c r="K53" s="143">
        <v>3.4770598217552934E-2</v>
      </c>
      <c r="L53" s="142" t="s">
        <v>231</v>
      </c>
      <c r="M53" s="143">
        <v>7.8000173519581448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5.039317207834155E-3</v>
      </c>
      <c r="J54" s="67" t="s">
        <v>231</v>
      </c>
      <c r="K54" s="68">
        <v>2.4146285560434758E-2</v>
      </c>
      <c r="L54" s="67" t="s">
        <v>231</v>
      </c>
      <c r="M54" s="68">
        <v>5.4049423701827664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3.9025233735503432E-3</v>
      </c>
      <c r="J55" s="67" t="s">
        <v>231</v>
      </c>
      <c r="K55" s="68">
        <v>6.2114200099743846E-2</v>
      </c>
      <c r="L55" s="67" t="s">
        <v>231</v>
      </c>
      <c r="M55" s="68">
        <v>13.978607736665218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2.9976278484132755E-3</v>
      </c>
      <c r="J56" s="67" t="s">
        <v>231</v>
      </c>
      <c r="K56" s="68">
        <v>2.1928528123292983E-2</v>
      </c>
      <c r="L56" s="67" t="s">
        <v>231</v>
      </c>
      <c r="M56" s="68">
        <v>4.9053357193424203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4.2095732919035043E-3</v>
      </c>
      <c r="J57" s="67" t="s">
        <v>231</v>
      </c>
      <c r="K57" s="68">
        <v>7.0571369631472645E-3</v>
      </c>
      <c r="L57" s="67" t="s">
        <v>231</v>
      </c>
      <c r="M57" s="68">
        <v>1.5316531189794278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3.0629008723450223E-2</v>
      </c>
      <c r="J58" s="67" t="s">
        <v>232</v>
      </c>
      <c r="K58" s="68">
        <v>2.440287714543957E-2</v>
      </c>
      <c r="L58" s="67" t="s">
        <v>231</v>
      </c>
      <c r="M58" s="68">
        <v>5.462753436674217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2.9746076446311395E-3</v>
      </c>
      <c r="J59" s="67" t="s">
        <v>231</v>
      </c>
      <c r="K59" s="68">
        <v>7.9152205267417342E-3</v>
      </c>
      <c r="L59" s="67" t="s">
        <v>231</v>
      </c>
      <c r="M59" s="68">
        <v>1.728836631070291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1.4396403622241719E-2</v>
      </c>
      <c r="J60" s="67" t="s">
        <v>232</v>
      </c>
      <c r="K60" s="68">
        <v>3.1781252085626932E-2</v>
      </c>
      <c r="L60" s="67" t="s">
        <v>231</v>
      </c>
      <c r="M60" s="68">
        <v>7.1258955556265997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4.5444930445950891E-5</v>
      </c>
      <c r="J61" s="67" t="s">
        <v>231</v>
      </c>
      <c r="K61" s="68">
        <v>3.9187650968249568E-2</v>
      </c>
      <c r="L61" s="67" t="s">
        <v>231</v>
      </c>
      <c r="M61" s="68">
        <v>1.4312262916168663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2.2594107596450789E-4</v>
      </c>
      <c r="J62" s="67" t="s">
        <v>231</v>
      </c>
      <c r="K62" s="68">
        <v>4.0283798147406537E-3</v>
      </c>
      <c r="L62" s="67" t="s">
        <v>231</v>
      </c>
      <c r="M62" s="68">
        <v>0.82199613281044959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1.7259798033251132E-6</v>
      </c>
      <c r="J63" s="67" t="s">
        <v>231</v>
      </c>
      <c r="K63" s="68">
        <v>4.706315346257285E-3</v>
      </c>
      <c r="L63" s="67" t="s">
        <v>231</v>
      </c>
      <c r="M63" s="68">
        <v>0.11426121477980976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1.0597359156479697E-7</v>
      </c>
      <c r="J64" s="67" t="s">
        <v>231</v>
      </c>
      <c r="K64" s="68">
        <v>9.8556260854449967E-4</v>
      </c>
      <c r="L64" s="67" t="s">
        <v>231</v>
      </c>
      <c r="M64" s="68">
        <v>2.2693929383531307E-3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2.0072581310637987E-8</v>
      </c>
      <c r="J65" s="67" t="s">
        <v>231</v>
      </c>
      <c r="K65" s="68">
        <v>1.3166373784992238E-3</v>
      </c>
      <c r="L65" s="67" t="s">
        <v>231</v>
      </c>
      <c r="M65" s="68">
        <v>9.543992056082428E-3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1.6979906300481238E-7</v>
      </c>
      <c r="J66" s="67" t="s">
        <v>231</v>
      </c>
      <c r="K66" s="68">
        <v>3.7514143069492516E-2</v>
      </c>
      <c r="L66" s="67" t="s">
        <v>231</v>
      </c>
      <c r="M66" s="68">
        <v>1.0344974590214415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1.9772039096886007E-8</v>
      </c>
      <c r="J67" s="67" t="s">
        <v>231</v>
      </c>
      <c r="K67" s="68">
        <v>1.2590932663894584E-3</v>
      </c>
      <c r="L67" s="67" t="s">
        <v>231</v>
      </c>
      <c r="M67" s="68">
        <v>7.9449184445718121E-3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6.419492847493375E-9</v>
      </c>
      <c r="J68" s="67" t="s">
        <v>231</v>
      </c>
      <c r="K68" s="68">
        <v>1.0181557786804846E-3</v>
      </c>
      <c r="L68" s="67" t="s">
        <v>231</v>
      </c>
      <c r="M68" s="68">
        <v>1.0537037482504048E-3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1.6826409816456673E-4</v>
      </c>
      <c r="J69" s="67" t="s">
        <v>231</v>
      </c>
      <c r="K69" s="68">
        <v>1.9600569107764497E-2</v>
      </c>
      <c r="L69" s="67" t="s">
        <v>231</v>
      </c>
      <c r="M69" s="68">
        <v>4.3809885381526028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2.2819175748934286E-14</v>
      </c>
      <c r="J70" s="67" t="s">
        <v>231</v>
      </c>
      <c r="K70" s="68">
        <v>9.9289896612579469E-4</v>
      </c>
      <c r="L70" s="67" t="s">
        <v>231</v>
      </c>
      <c r="M70" s="68">
        <v>3.8047624867805661E-3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1.9810026560495323E-10</v>
      </c>
      <c r="J71" s="67" t="s">
        <v>231</v>
      </c>
      <c r="K71" s="68">
        <v>1.0016195643414553E-3</v>
      </c>
      <c r="L71" s="67" t="s">
        <v>231</v>
      </c>
      <c r="M71" s="68">
        <v>6.9702073912751086E-3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2.7116776487529544E-13</v>
      </c>
      <c r="J72" s="67" t="s">
        <v>231</v>
      </c>
      <c r="K72" s="68">
        <v>2.2402578914569819E-2</v>
      </c>
      <c r="L72" s="67" t="s">
        <v>231</v>
      </c>
      <c r="M72" s="68">
        <v>6.14273115225844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1.17884020100797E-10</v>
      </c>
      <c r="J73" s="67" t="s">
        <v>231</v>
      </c>
      <c r="K73" s="68">
        <v>2.3648845490262106E-3</v>
      </c>
      <c r="L73" s="67" t="s">
        <v>231</v>
      </c>
      <c r="M73" s="68">
        <v>0.57594465375317327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1.8574781698766694E-11</v>
      </c>
      <c r="J74" s="67" t="s">
        <v>231</v>
      </c>
      <c r="K74" s="68">
        <v>9.9992217968540228E-4</v>
      </c>
      <c r="L74" s="67" t="s">
        <v>231</v>
      </c>
      <c r="M74" s="68">
        <v>6.351099865876465E-3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6.9874433346586084E-13</v>
      </c>
      <c r="J75" s="67" t="s">
        <v>231</v>
      </c>
      <c r="K75" s="68">
        <v>2.3188019560971373E-3</v>
      </c>
      <c r="L75" s="67" t="s">
        <v>231</v>
      </c>
      <c r="M75" s="68">
        <v>0.55357108616650075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1.655496044232737E-8</v>
      </c>
      <c r="J76" s="67" t="s">
        <v>231</v>
      </c>
      <c r="K76" s="68">
        <v>1.2595005216193822E-3</v>
      </c>
      <c r="L76" s="67" t="s">
        <v>231</v>
      </c>
      <c r="M76" s="68">
        <v>0.10583312780498005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4.8967654519864256E-7</v>
      </c>
      <c r="J77" s="67" t="s">
        <v>231</v>
      </c>
      <c r="K77" s="68">
        <v>2.3524720602777095E-3</v>
      </c>
      <c r="L77" s="67" t="s">
        <v>231</v>
      </c>
      <c r="M77" s="68">
        <v>0.56983108961791973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2.6829353735156188E-12</v>
      </c>
      <c r="J78" s="67" t="s">
        <v>231</v>
      </c>
      <c r="K78" s="68">
        <v>1.8803421159522295E-2</v>
      </c>
      <c r="L78" s="67" t="s">
        <v>231</v>
      </c>
      <c r="M78" s="68">
        <v>5.1531589435581981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1.4760119049037124E-15</v>
      </c>
      <c r="J79" s="67" t="s">
        <v>231</v>
      </c>
      <c r="K79" s="68">
        <v>1.8803412200579638E-2</v>
      </c>
      <c r="L79" s="67" t="s">
        <v>231</v>
      </c>
      <c r="M79" s="68">
        <v>5.1531571647399375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8.2331032327445021E-14</v>
      </c>
      <c r="J80" s="67" t="s">
        <v>231</v>
      </c>
      <c r="K80" s="68">
        <v>1.7242755555246961E-3</v>
      </c>
      <c r="L80" s="67" t="s">
        <v>231</v>
      </c>
      <c r="M80" s="68">
        <v>0.293756515748198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8.4627093002875375E-11</v>
      </c>
      <c r="J81" s="67" t="s">
        <v>231</v>
      </c>
      <c r="K81" s="68">
        <v>1.0511231756616809E-3</v>
      </c>
      <c r="L81" s="67" t="s">
        <v>231</v>
      </c>
      <c r="M81" s="68">
        <v>2.5371387179404136E-2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2.1401424756066996E-15</v>
      </c>
      <c r="J82" s="67" t="s">
        <v>231</v>
      </c>
      <c r="K82" s="68">
        <v>1.1439460117766596E-3</v>
      </c>
      <c r="L82" s="67" t="s">
        <v>231</v>
      </c>
      <c r="M82" s="68">
        <v>6.0796749211146403E-2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1.5767899868174807E-13</v>
      </c>
      <c r="J83" s="67" t="s">
        <v>231</v>
      </c>
      <c r="K83" s="68">
        <v>3.6008905772133649E-2</v>
      </c>
      <c r="L83" s="67" t="s">
        <v>231</v>
      </c>
      <c r="M83" s="68">
        <v>9.8821453442647975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5.1094419130780264E-2</v>
      </c>
      <c r="J84" s="67" t="s">
        <v>232</v>
      </c>
      <c r="K84" s="68">
        <v>2.8930688131610901E-3</v>
      </c>
      <c r="L84" s="67" t="s">
        <v>231</v>
      </c>
      <c r="M84" s="68">
        <v>0.54810569084227589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7.8168538314869071E-6</v>
      </c>
      <c r="J85" s="67" t="s">
        <v>231</v>
      </c>
      <c r="K85" s="68">
        <v>0.54293643035634853</v>
      </c>
      <c r="L85" s="67" t="s">
        <v>231</v>
      </c>
      <c r="M85" s="68">
        <v>15.300392844033956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1.4446067520267622E-3</v>
      </c>
      <c r="J86" s="67" t="s">
        <v>231</v>
      </c>
      <c r="K86" s="68">
        <v>9.842773873023225E-2</v>
      </c>
      <c r="L86" s="67" t="s">
        <v>231</v>
      </c>
      <c r="M86" s="68">
        <v>22.217964712485742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1.1514083607912996E-3</v>
      </c>
      <c r="J87" s="67" t="s">
        <v>231</v>
      </c>
      <c r="K87" s="68">
        <v>0.1237260790998486</v>
      </c>
      <c r="L87" s="67" t="s">
        <v>231</v>
      </c>
      <c r="M87" s="68">
        <v>27.987313151111309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1.9293058679199051E-3</v>
      </c>
      <c r="J88" s="67" t="s">
        <v>231</v>
      </c>
      <c r="K88" s="68">
        <v>0.14734202382301514</v>
      </c>
      <c r="L88" s="67" t="s">
        <v>231</v>
      </c>
      <c r="M88" s="68">
        <v>33.40794200413702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2.5651450890657678E-7</v>
      </c>
      <c r="J89" s="67" t="s">
        <v>231</v>
      </c>
      <c r="K89" s="68">
        <v>0.68882986943594937</v>
      </c>
      <c r="L89" s="67" t="s">
        <v>231</v>
      </c>
      <c r="M89" s="68">
        <v>19.661306250582196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1.9035970126708238E-5</v>
      </c>
      <c r="J90" s="67" t="s">
        <v>231</v>
      </c>
      <c r="K90" s="68">
        <v>9.6416116416897903E-4</v>
      </c>
      <c r="L90" s="67" t="s">
        <v>231</v>
      </c>
      <c r="M90" s="68">
        <v>1.4757506634588255E-3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3.5473403962866295E-5</v>
      </c>
      <c r="J91" s="67" t="s">
        <v>231</v>
      </c>
      <c r="K91" s="68">
        <v>1.1208103931689363E-3</v>
      </c>
      <c r="L91" s="67" t="s">
        <v>231</v>
      </c>
      <c r="M91" s="68">
        <v>8.1411131354736932E-2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5.8152361275440575E-5</v>
      </c>
      <c r="J92" s="67" t="s">
        <v>231</v>
      </c>
      <c r="K92" s="68">
        <v>5.1752116669996776E-3</v>
      </c>
      <c r="L92" s="67" t="s">
        <v>231</v>
      </c>
      <c r="M92" s="68">
        <v>1.0930569163853803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1.288627675626748E-8</v>
      </c>
      <c r="J93" s="67" t="s">
        <v>231</v>
      </c>
      <c r="K93" s="68">
        <v>9.838540696950383E-4</v>
      </c>
      <c r="L93" s="67" t="s">
        <v>231</v>
      </c>
      <c r="M93" s="68">
        <v>6.2129157508534192E-4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2.1043393778098831E-18</v>
      </c>
      <c r="J94" s="67" t="s">
        <v>231</v>
      </c>
      <c r="K94" s="68">
        <v>9.875413811639938E-4</v>
      </c>
      <c r="L94" s="67" t="s">
        <v>231</v>
      </c>
      <c r="M94" s="68">
        <v>1.5076210286926904E-4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2.2740120897306094E-6</v>
      </c>
      <c r="J95" s="67" t="s">
        <v>231</v>
      </c>
      <c r="K95" s="68">
        <v>9.6341003522591414E-4</v>
      </c>
      <c r="L95" s="67" t="s">
        <v>231</v>
      </c>
      <c r="M95" s="68">
        <v>6.3782182925855649E-3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1.5482563157507002E-2</v>
      </c>
      <c r="J96" s="67" t="s">
        <v>232</v>
      </c>
      <c r="K96" s="68">
        <v>8.8526426109837367E-2</v>
      </c>
      <c r="L96" s="67" t="s">
        <v>231</v>
      </c>
      <c r="M96" s="68">
        <v>19.967086966239076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1.1128479887533074E-4</v>
      </c>
      <c r="J97" s="67" t="s">
        <v>231</v>
      </c>
      <c r="K97" s="68">
        <v>1.3584551236690242E-3</v>
      </c>
      <c r="L97" s="67" t="s">
        <v>231</v>
      </c>
      <c r="M97" s="68">
        <v>0.15279677498845684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2.8821266756115234E-5</v>
      </c>
      <c r="J98" s="67" t="s">
        <v>231</v>
      </c>
      <c r="K98" s="68">
        <v>1.1536598785836713E-3</v>
      </c>
      <c r="L98" s="67" t="s">
        <v>231</v>
      </c>
      <c r="M98" s="68">
        <v>9.1882797357493093E-2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1.7850791378093892E-6</v>
      </c>
      <c r="J99" s="67" t="s">
        <v>231</v>
      </c>
      <c r="K99" s="68">
        <v>9.677803049669703E-4</v>
      </c>
      <c r="L99" s="67" t="s">
        <v>231</v>
      </c>
      <c r="M99" s="68">
        <v>2.2959272146919129E-2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1.0510880822192061E-2</v>
      </c>
      <c r="J100" s="67" t="s">
        <v>232</v>
      </c>
      <c r="K100" s="68">
        <v>3.7542601928528166E-2</v>
      </c>
      <c r="L100" s="67" t="s">
        <v>231</v>
      </c>
      <c r="M100" s="68">
        <v>8.4254023679974228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3.4042533052824162E-2</v>
      </c>
      <c r="J101" s="67" t="s">
        <v>232</v>
      </c>
      <c r="K101" s="68">
        <v>4.1718470850537854E-3</v>
      </c>
      <c r="L101" s="67" t="s">
        <v>231</v>
      </c>
      <c r="M101" s="68">
        <v>0.85613534085721854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1.8263724146975999E-2</v>
      </c>
      <c r="J102" s="67" t="s">
        <v>232</v>
      </c>
      <c r="K102" s="68">
        <v>9.3100629844633988E-3</v>
      </c>
      <c r="L102" s="67" t="s">
        <v>231</v>
      </c>
      <c r="M102" s="68">
        <v>2.0492336459772051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1.7094681454524637E-9</v>
      </c>
      <c r="J103" s="67" t="s">
        <v>231</v>
      </c>
      <c r="K103" s="68">
        <v>1.0181121967599567E-3</v>
      </c>
      <c r="L103" s="67" t="s">
        <v>231</v>
      </c>
      <c r="M103" s="68">
        <v>1.3039084611470814E-2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2.212553134698506E-6</v>
      </c>
      <c r="J104" s="67" t="s">
        <v>231</v>
      </c>
      <c r="K104" s="68">
        <v>3.8224173135064398E-3</v>
      </c>
      <c r="L104" s="67" t="s">
        <v>231</v>
      </c>
      <c r="M104" s="68">
        <v>1.0122379425190002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9.6867086317186202E-8</v>
      </c>
      <c r="J105" s="67" t="s">
        <v>231</v>
      </c>
      <c r="K105" s="68">
        <v>9.6076574696282995E-4</v>
      </c>
      <c r="L105" s="67" t="s">
        <v>231</v>
      </c>
      <c r="M105" s="68">
        <v>1.8007683451233465E-3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3.3232575692408615E-8</v>
      </c>
      <c r="J106" s="67" t="s">
        <v>231</v>
      </c>
      <c r="K106" s="68">
        <v>9.6154859632391798E-4</v>
      </c>
      <c r="L106" s="67" t="s">
        <v>231</v>
      </c>
      <c r="M106" s="68">
        <v>6.8593760324602215E-3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3.3968541197458868E-5</v>
      </c>
      <c r="J107" s="67" t="s">
        <v>231</v>
      </c>
      <c r="K107" s="68">
        <v>2.4640459434803016E-2</v>
      </c>
      <c r="L107" s="67" t="s">
        <v>231</v>
      </c>
      <c r="M107" s="68">
        <v>2.7845071220333137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2.6439440528058042E-10</v>
      </c>
      <c r="J108" s="67" t="s">
        <v>231</v>
      </c>
      <c r="K108" s="68">
        <v>9.8487825792069783E-4</v>
      </c>
      <c r="L108" s="67" t="s">
        <v>231</v>
      </c>
      <c r="M108" s="68">
        <v>7.8031534134421208E-5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2.862021957185796E-6</v>
      </c>
      <c r="J109" s="67" t="s">
        <v>231</v>
      </c>
      <c r="K109" s="68">
        <v>1.0403379315969272E-2</v>
      </c>
      <c r="L109" s="67" t="s">
        <v>231</v>
      </c>
      <c r="M109" s="68">
        <v>0.26994898607500395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5.818632355073244E-6</v>
      </c>
      <c r="J110" s="67" t="s">
        <v>231</v>
      </c>
      <c r="K110" s="68">
        <v>9.770103068668524E-4</v>
      </c>
      <c r="L110" s="67" t="s">
        <v>231</v>
      </c>
      <c r="M110" s="68">
        <v>2.2175430145224604E-4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8.1088800231210411E-14</v>
      </c>
      <c r="J111" s="67" t="s">
        <v>231</v>
      </c>
      <c r="K111" s="68">
        <v>9.8216474746935507E-4</v>
      </c>
      <c r="L111" s="67" t="s">
        <v>231</v>
      </c>
      <c r="M111" s="68">
        <v>3.2298824655571131E-6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9.1485021819867937E-9</v>
      </c>
      <c r="J112" s="67" t="s">
        <v>231</v>
      </c>
      <c r="K112" s="68">
        <v>9.7499183418231559E-4</v>
      </c>
      <c r="L112" s="67" t="s">
        <v>231</v>
      </c>
      <c r="M112" s="68">
        <v>1.6742816248219194E-4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4.2114780401369013E-7</v>
      </c>
      <c r="J113" s="67" t="s">
        <v>231</v>
      </c>
      <c r="K113" s="68">
        <v>9.5473580686690734E-4</v>
      </c>
      <c r="L113" s="67" t="s">
        <v>231</v>
      </c>
      <c r="M113" s="68">
        <v>3.8345509410190257E-3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5.6909896541608224E-8</v>
      </c>
      <c r="J114" s="67" t="s">
        <v>231</v>
      </c>
      <c r="K114" s="68">
        <v>9.7828752141846309E-4</v>
      </c>
      <c r="L114" s="67" t="s">
        <v>231</v>
      </c>
      <c r="M114" s="68">
        <v>5.2042034509909044E-5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4.8457400221429211E-11</v>
      </c>
      <c r="J115" s="67" t="s">
        <v>231</v>
      </c>
      <c r="K115" s="68">
        <v>9.919582963360497E-4</v>
      </c>
      <c r="L115" s="67" t="s">
        <v>231</v>
      </c>
      <c r="M115" s="68">
        <v>3.4688902618656534E-3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2.4819605652898362E-5</v>
      </c>
      <c r="J116" s="67" t="s">
        <v>231</v>
      </c>
      <c r="K116" s="68">
        <v>0.26883464276343766</v>
      </c>
      <c r="L116" s="67" t="s">
        <v>231</v>
      </c>
      <c r="M116" s="68">
        <v>7.6042185194015826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8.3233688745568479E-5</v>
      </c>
      <c r="J117" s="67" t="s">
        <v>231</v>
      </c>
      <c r="K117" s="68">
        <v>1.7712845018531772E-3</v>
      </c>
      <c r="L117" s="67" t="s">
        <v>231</v>
      </c>
      <c r="M117" s="68">
        <v>0.26516655366542896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0.97537234766404335</v>
      </c>
      <c r="F2" s="14">
        <v>0.97566889811736301</v>
      </c>
      <c r="G2" s="14">
        <v>2.9014223268071225E-10</v>
      </c>
      <c r="H2" s="14">
        <v>0.1699739867713613</v>
      </c>
      <c r="I2" s="14">
        <v>0.63159637938877033</v>
      </c>
      <c r="J2" s="14">
        <v>0</v>
      </c>
      <c r="K2" s="14">
        <v>1.0249378676819418</v>
      </c>
      <c r="L2" s="14">
        <v>0.97566889811736313</v>
      </c>
      <c r="M2" s="14">
        <v>0.80053633090529641</v>
      </c>
      <c r="N2" s="14">
        <v>0.96439411209756176</v>
      </c>
      <c r="O2" s="14">
        <v>187.2756926282255</v>
      </c>
      <c r="P2" s="8">
        <v>0.96439411209756176</v>
      </c>
      <c r="Q2" s="54">
        <v>1.5712295264697817E-2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0.61720533008226286</v>
      </c>
      <c r="F3" s="14">
        <v>0.5884887492170886</v>
      </c>
      <c r="G3" s="14">
        <v>2.7860866412844387E-10</v>
      </c>
      <c r="H3" s="14">
        <v>66.190438549257465</v>
      </c>
      <c r="I3" s="14">
        <v>148.88298473679723</v>
      </c>
      <c r="J3" s="14">
        <v>0</v>
      </c>
      <c r="K3" s="14">
        <v>1.6992678302352868</v>
      </c>
      <c r="L3" s="14">
        <v>0.5884887492170886</v>
      </c>
      <c r="M3" s="14">
        <v>0.48285501873262127</v>
      </c>
      <c r="N3" s="14">
        <v>3.2695917924895217</v>
      </c>
      <c r="O3" s="14">
        <v>837.30976213864153</v>
      </c>
      <c r="P3" s="8">
        <v>3.2695917924895221</v>
      </c>
      <c r="Q3" s="54">
        <v>0.25529662102509365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0.99845212493420421</v>
      </c>
      <c r="F4" s="14">
        <v>0.99879946283870769</v>
      </c>
      <c r="G4" s="14">
        <v>1.5045505638323171E-19</v>
      </c>
      <c r="H4" s="14">
        <v>0.11933787502308864</v>
      </c>
      <c r="I4" s="14">
        <v>1.2168458281693619E-3</v>
      </c>
      <c r="J4" s="14">
        <v>0</v>
      </c>
      <c r="K4" s="14">
        <v>1.0012019801831693</v>
      </c>
      <c r="L4" s="14">
        <v>0.9987994628387078</v>
      </c>
      <c r="M4" s="14">
        <v>0.81951495925915974</v>
      </c>
      <c r="N4" s="14">
        <v>1.0909424205730407</v>
      </c>
      <c r="O4" s="14">
        <v>323.08259785270593</v>
      </c>
      <c r="P4" s="8">
        <v>1.0909424205730407</v>
      </c>
      <c r="Q4" s="54">
        <v>1.3875081970648094E-5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0.99802948229630251</v>
      </c>
      <c r="F5" s="14">
        <v>0.92251185485249731</v>
      </c>
      <c r="G5" s="14">
        <v>4.2223261626841608E-12</v>
      </c>
      <c r="H5" s="14">
        <v>215.64130719977604</v>
      </c>
      <c r="I5" s="14">
        <v>0.15847210873035178</v>
      </c>
      <c r="J5" s="14">
        <v>0</v>
      </c>
      <c r="K5" s="14">
        <v>1.0839969098932527</v>
      </c>
      <c r="L5" s="14">
        <v>0.92251185485249743</v>
      </c>
      <c r="M5" s="14">
        <v>0.75692097690647409</v>
      </c>
      <c r="N5" s="14">
        <v>1.1820256233360666</v>
      </c>
      <c r="O5" s="14">
        <v>261.27494378220416</v>
      </c>
      <c r="P5" s="8">
        <v>1.1820256233360666</v>
      </c>
      <c r="Q5" s="54">
        <v>2.1308497943680525E-4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0.99624512479192673</v>
      </c>
      <c r="F6" s="14">
        <v>0.82530338190198105</v>
      </c>
      <c r="G6" s="14">
        <v>5.2358601131672744E-13</v>
      </c>
      <c r="H6" s="14">
        <v>486.62411259630341</v>
      </c>
      <c r="I6" s="14">
        <v>1.3066153806053664</v>
      </c>
      <c r="J6" s="14">
        <v>0</v>
      </c>
      <c r="K6" s="14">
        <v>1.2116756358073024</v>
      </c>
      <c r="L6" s="14">
        <v>0.82530338190198116</v>
      </c>
      <c r="M6" s="14">
        <v>0.67716142485057551</v>
      </c>
      <c r="N6" s="14">
        <v>1.4040975208115578</v>
      </c>
      <c r="O6" s="14">
        <v>323.30749514206929</v>
      </c>
      <c r="P6" s="8">
        <v>1.404097520811558</v>
      </c>
      <c r="Q6" s="54">
        <v>1.2076685764747098E-3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0.97854779724342267</v>
      </c>
      <c r="F7" s="14">
        <v>0.5370563356464878</v>
      </c>
      <c r="G7" s="14">
        <v>8.9496686871460411E-9</v>
      </c>
      <c r="H7" s="14">
        <v>1252.8522126236007</v>
      </c>
      <c r="I7" s="14">
        <v>23.613293403565539</v>
      </c>
      <c r="J7" s="14">
        <v>0</v>
      </c>
      <c r="K7" s="14">
        <v>1.8620020538371234</v>
      </c>
      <c r="L7" s="14">
        <v>0.53705633564648791</v>
      </c>
      <c r="M7" s="14">
        <v>0.44065472339794332</v>
      </c>
      <c r="N7" s="14">
        <v>2.0934955218620215</v>
      </c>
      <c r="O7" s="14">
        <v>431.84625624969777</v>
      </c>
      <c r="P7" s="8">
        <v>2.0934955218620215</v>
      </c>
      <c r="Q7" s="54">
        <v>1.2501339900157265E-2</v>
      </c>
    </row>
    <row r="8" spans="1:20">
      <c r="A8" s="2" t="s">
        <v>289</v>
      </c>
      <c r="B8" s="16" t="s">
        <v>290</v>
      </c>
      <c r="D8" s="14">
        <v>1</v>
      </c>
      <c r="E8" s="14">
        <v>0.99668115109863431</v>
      </c>
      <c r="F8" s="14">
        <v>0.74753460738936717</v>
      </c>
      <c r="G8" s="14">
        <v>4.1438777020885618E-19</v>
      </c>
      <c r="H8" s="14">
        <v>708.84503749608143</v>
      </c>
      <c r="I8" s="14">
        <v>0.99801599974725341</v>
      </c>
      <c r="J8" s="14">
        <v>0</v>
      </c>
      <c r="K8" s="14">
        <v>1.3377307085384631</v>
      </c>
      <c r="L8" s="14">
        <v>0.74753460738936717</v>
      </c>
      <c r="M8" s="14">
        <v>0.61335214536297578</v>
      </c>
      <c r="N8" s="14">
        <v>1.565402781603664</v>
      </c>
      <c r="O8" s="14">
        <v>545.41763716634864</v>
      </c>
      <c r="P8" s="8">
        <v>1.565402781603664</v>
      </c>
      <c r="Q8" s="54">
        <v>7.6091737980631352E-4</v>
      </c>
    </row>
    <row r="9" spans="1:20">
      <c r="A9" s="2" t="s">
        <v>291</v>
      </c>
      <c r="B9" s="16" t="s">
        <v>292</v>
      </c>
      <c r="D9" s="14">
        <v>1</v>
      </c>
      <c r="E9" s="14">
        <v>0.99709710641151694</v>
      </c>
      <c r="F9" s="14">
        <v>0.93879771709827331</v>
      </c>
      <c r="G9" s="14">
        <v>8.1649609505232939E-15</v>
      </c>
      <c r="H9" s="14">
        <v>166.67559910369263</v>
      </c>
      <c r="I9" s="14">
        <v>0.58493227984162954</v>
      </c>
      <c r="J9" s="14">
        <v>0</v>
      </c>
      <c r="K9" s="14">
        <v>1.0651921940020228</v>
      </c>
      <c r="L9" s="14">
        <v>0.93879771709827331</v>
      </c>
      <c r="M9" s="14">
        <v>0.77028352687913326</v>
      </c>
      <c r="N9" s="14">
        <v>1.1430866820946062</v>
      </c>
      <c r="O9" s="14">
        <v>352.44791669022993</v>
      </c>
      <c r="P9" s="8">
        <v>1.1430866820946064</v>
      </c>
      <c r="Q9" s="54">
        <v>8.792362571506669E-4</v>
      </c>
    </row>
    <row r="10" spans="1:20">
      <c r="A10" s="2" t="s">
        <v>367</v>
      </c>
      <c r="B10" s="16" t="s">
        <v>368</v>
      </c>
      <c r="D10" s="14">
        <v>1</v>
      </c>
      <c r="E10" s="14">
        <v>0.46096896540145105</v>
      </c>
      <c r="F10" s="14">
        <v>4.8795760773817046E-2</v>
      </c>
      <c r="G10" s="14">
        <v>7.5817695738311391E-7</v>
      </c>
      <c r="H10" s="14">
        <v>997.33737277634691</v>
      </c>
      <c r="I10" s="14">
        <v>1612.8696297206363</v>
      </c>
      <c r="J10" s="14">
        <v>0</v>
      </c>
      <c r="K10" s="14">
        <v>20.49358354376929</v>
      </c>
      <c r="L10" s="14">
        <v>4.8795760773817046E-2</v>
      </c>
      <c r="M10" s="14">
        <v>4.0036921714916886E-2</v>
      </c>
      <c r="N10" s="14">
        <v>14.491134804735093</v>
      </c>
      <c r="O10" s="14">
        <v>4033.4624615499656</v>
      </c>
      <c r="P10" s="8">
        <v>14.491134804735095</v>
      </c>
      <c r="Q10" s="54">
        <v>0.35010576671338478</v>
      </c>
    </row>
    <row r="11" spans="1:20">
      <c r="A11" s="2" t="s">
        <v>369</v>
      </c>
      <c r="B11" s="16" t="s">
        <v>370</v>
      </c>
      <c r="D11" s="14">
        <v>1</v>
      </c>
      <c r="E11" s="14">
        <v>0.67272692535073941</v>
      </c>
      <c r="F11" s="14">
        <v>4.2501016006146405E-3</v>
      </c>
      <c r="G11" s="14">
        <v>4.5792612841548624E-13</v>
      </c>
      <c r="H11" s="14">
        <v>1097.8406619217874</v>
      </c>
      <c r="I11" s="14">
        <v>7426.6900557676581</v>
      </c>
      <c r="J11" s="14">
        <v>0</v>
      </c>
      <c r="K11" s="14">
        <v>235.28849283400237</v>
      </c>
      <c r="L11" s="14">
        <v>4.2501016006146414E-3</v>
      </c>
      <c r="M11" s="14">
        <v>3.4872083633043132E-3</v>
      </c>
      <c r="N11" s="14">
        <v>146.11414663861643</v>
      </c>
      <c r="O11" s="14">
        <v>59453.846267253022</v>
      </c>
      <c r="P11" s="8">
        <v>146.11414663861643</v>
      </c>
      <c r="Q11" s="54">
        <v>8.2831456786939484E-2</v>
      </c>
    </row>
    <row r="12" spans="1:20">
      <c r="A12" s="2" t="s">
        <v>371</v>
      </c>
      <c r="B12" s="16" t="s">
        <v>372</v>
      </c>
      <c r="D12" s="14">
        <v>1</v>
      </c>
      <c r="E12" s="14">
        <v>0.91993023656826545</v>
      </c>
      <c r="F12" s="14">
        <v>0.92028514654025051</v>
      </c>
      <c r="G12" s="14">
        <v>8.2915975600708354E-4</v>
      </c>
      <c r="H12" s="14">
        <v>7.3237093615006327E-3</v>
      </c>
      <c r="I12" s="14">
        <v>3.3610937906267936E-2</v>
      </c>
      <c r="J12" s="14">
        <v>0</v>
      </c>
      <c r="K12" s="14">
        <v>1.086619732763733</v>
      </c>
      <c r="L12" s="14">
        <v>0.92028514654025062</v>
      </c>
      <c r="M12" s="14">
        <v>0.7550939627362756</v>
      </c>
      <c r="N12" s="14">
        <v>0.90521739912593813</v>
      </c>
      <c r="O12" s="14">
        <v>126.90242718346526</v>
      </c>
      <c r="P12" s="8">
        <v>0.90521739912593824</v>
      </c>
      <c r="Q12" s="54">
        <v>2.8202046968165122E-3</v>
      </c>
    </row>
    <row r="13" spans="1:20">
      <c r="A13" s="2" t="s">
        <v>293</v>
      </c>
      <c r="B13" s="16" t="s">
        <v>294</v>
      </c>
      <c r="D13" s="14">
        <v>1</v>
      </c>
      <c r="E13" s="14">
        <v>0.64453081114999333</v>
      </c>
      <c r="F13" s="14">
        <v>0.6238497865249486</v>
      </c>
      <c r="G13" s="14">
        <v>2.3065799813485267E-10</v>
      </c>
      <c r="H13" s="14">
        <v>47.330384307025234</v>
      </c>
      <c r="I13" s="14">
        <v>112.40799503262868</v>
      </c>
      <c r="J13" s="14">
        <v>0</v>
      </c>
      <c r="K13" s="14">
        <v>1.6029499754585692</v>
      </c>
      <c r="L13" s="14">
        <v>0.6238497865249486</v>
      </c>
      <c r="M13" s="14">
        <v>0.51186874984372033</v>
      </c>
      <c r="N13" s="14">
        <v>1.5785790440244949</v>
      </c>
      <c r="O13" s="14">
        <v>521.49937298393218</v>
      </c>
      <c r="P13" s="8">
        <v>1.5785790440244951</v>
      </c>
      <c r="Q13" s="54">
        <v>0.23844993126467792</v>
      </c>
    </row>
    <row r="14" spans="1:20">
      <c r="A14" s="2" t="s">
        <v>373</v>
      </c>
      <c r="B14" s="16" t="s">
        <v>374</v>
      </c>
      <c r="D14" s="14">
        <v>1</v>
      </c>
      <c r="E14" s="14">
        <v>0.98485314792999645</v>
      </c>
      <c r="F14" s="14">
        <v>8.0723634072829967E-2</v>
      </c>
      <c r="G14" s="14">
        <v>8.7040959069667721E-9</v>
      </c>
      <c r="H14" s="14">
        <v>2565.7876183465355</v>
      </c>
      <c r="I14" s="14">
        <v>37.217566306011328</v>
      </c>
      <c r="J14" s="14">
        <v>0</v>
      </c>
      <c r="K14" s="14">
        <v>12.387945754495968</v>
      </c>
      <c r="L14" s="14">
        <v>8.0723634072829967E-2</v>
      </c>
      <c r="M14" s="14">
        <v>6.6233741756756989E-2</v>
      </c>
      <c r="N14" s="14">
        <v>5.7192547559476239</v>
      </c>
      <c r="O14" s="14">
        <v>1523.26631169909</v>
      </c>
      <c r="P14" s="8">
        <v>5.7192547559476239</v>
      </c>
      <c r="Q14" s="54">
        <v>4.8189006290555525E-3</v>
      </c>
    </row>
    <row r="15" spans="1:20">
      <c r="A15" s="2" t="s">
        <v>375</v>
      </c>
      <c r="B15" s="16" t="s">
        <v>376</v>
      </c>
      <c r="D15" s="14">
        <v>1</v>
      </c>
      <c r="E15" s="14">
        <v>0.78220837316148406</v>
      </c>
      <c r="F15" s="14">
        <v>0.7799228559496576</v>
      </c>
      <c r="G15" s="14">
        <v>9.6449534380674599E-4</v>
      </c>
      <c r="H15" s="14">
        <v>5.6399031692168498</v>
      </c>
      <c r="I15" s="14">
        <v>15.926810708753758</v>
      </c>
      <c r="J15" s="14">
        <v>0</v>
      </c>
      <c r="K15" s="14">
        <v>1.2821780928350532</v>
      </c>
      <c r="L15" s="14">
        <v>0.7799228559496576</v>
      </c>
      <c r="M15" s="14">
        <v>0.6399267033066941</v>
      </c>
      <c r="N15" s="14">
        <v>0.90116984675552603</v>
      </c>
      <c r="O15" s="14">
        <v>134.63477510527559</v>
      </c>
      <c r="P15" s="8">
        <v>0.90116984675552603</v>
      </c>
      <c r="Q15" s="54">
        <v>8.7564650474554431E-2</v>
      </c>
    </row>
    <row r="16" spans="1:20">
      <c r="A16" s="2" t="s">
        <v>377</v>
      </c>
      <c r="B16" s="16" t="s">
        <v>378</v>
      </c>
      <c r="D16" s="14">
        <v>1</v>
      </c>
      <c r="E16" s="14">
        <v>0.62143370824267807</v>
      </c>
      <c r="F16" s="14">
        <v>0.59727038705468194</v>
      </c>
      <c r="G16" s="14">
        <v>9.0061561063024095E-6</v>
      </c>
      <c r="H16" s="14">
        <v>55.349153437979346</v>
      </c>
      <c r="I16" s="14">
        <v>129.52934026491798</v>
      </c>
      <c r="J16" s="14">
        <v>0</v>
      </c>
      <c r="K16" s="14">
        <v>1.6742835768759567</v>
      </c>
      <c r="L16" s="14">
        <v>0.59727038705468194</v>
      </c>
      <c r="M16" s="14">
        <v>0.49006035257836655</v>
      </c>
      <c r="N16" s="14">
        <v>1.7011224030678176</v>
      </c>
      <c r="O16" s="14">
        <v>378.05744285779178</v>
      </c>
      <c r="P16" s="8">
        <v>1.7011224030678178</v>
      </c>
      <c r="Q16" s="54">
        <v>0.25337756228183522</v>
      </c>
    </row>
    <row r="17" spans="1:21">
      <c r="A17" s="2" t="s">
        <v>379</v>
      </c>
      <c r="B17" s="16" t="s">
        <v>380</v>
      </c>
      <c r="D17" s="14">
        <v>1</v>
      </c>
      <c r="E17" s="14">
        <v>0.63456860338874244</v>
      </c>
      <c r="F17" s="14">
        <v>0.61268182807402605</v>
      </c>
      <c r="G17" s="14">
        <v>2.6625850377854257E-5</v>
      </c>
      <c r="H17" s="14">
        <v>50.104300052940644</v>
      </c>
      <c r="I17" s="14">
        <v>118.34016494595063</v>
      </c>
      <c r="J17" s="14">
        <v>0</v>
      </c>
      <c r="K17" s="14">
        <v>1.6321685321458188</v>
      </c>
      <c r="L17" s="14">
        <v>0.61268182807402605</v>
      </c>
      <c r="M17" s="14">
        <v>0.50270543993473837</v>
      </c>
      <c r="N17" s="14">
        <v>1.6191051681762796</v>
      </c>
      <c r="O17" s="14">
        <v>208.15216042074252</v>
      </c>
      <c r="P17" s="8">
        <v>1.6191051681762796</v>
      </c>
      <c r="Q17" s="54">
        <v>0.24351861791821772</v>
      </c>
    </row>
    <row r="18" spans="1:21">
      <c r="A18" s="2" t="s">
        <v>381</v>
      </c>
      <c r="B18" s="16" t="s">
        <v>382</v>
      </c>
      <c r="D18" s="14">
        <v>1</v>
      </c>
      <c r="E18" s="14">
        <v>0.46463145518680221</v>
      </c>
      <c r="F18" s="14">
        <v>3.3665601396841117E-3</v>
      </c>
      <c r="G18" s="14">
        <v>2.3983627189812775E-9</v>
      </c>
      <c r="H18" s="14">
        <v>353.41613822580371</v>
      </c>
      <c r="I18" s="14">
        <v>8866.3229840409531</v>
      </c>
      <c r="J18" s="14">
        <v>0</v>
      </c>
      <c r="K18" s="14">
        <v>297.03910178590519</v>
      </c>
      <c r="L18" s="14">
        <v>3.3665601396841117E-3</v>
      </c>
      <c r="M18" s="14">
        <v>2.7622625946108138E-3</v>
      </c>
      <c r="N18" s="14">
        <v>82.274338309462863</v>
      </c>
      <c r="O18" s="14">
        <v>32193.125837109725</v>
      </c>
      <c r="P18" s="8">
        <v>82.274338309462863</v>
      </c>
      <c r="Q18" s="54">
        <v>0.28362437234593091</v>
      </c>
    </row>
    <row r="19" spans="1:21">
      <c r="A19" s="2" t="s">
        <v>383</v>
      </c>
      <c r="B19" s="16" t="s">
        <v>384</v>
      </c>
      <c r="D19" s="14">
        <v>1</v>
      </c>
      <c r="E19" s="14">
        <v>0.91005194011353785</v>
      </c>
      <c r="F19" s="14">
        <v>0.90956440549098261</v>
      </c>
      <c r="G19" s="14">
        <v>1.3120849202928587E-4</v>
      </c>
      <c r="H19" s="14">
        <v>1.7919812306482648</v>
      </c>
      <c r="I19" s="14">
        <v>5.5691719526436581</v>
      </c>
      <c r="J19" s="14">
        <v>0</v>
      </c>
      <c r="K19" s="14">
        <v>1.0994273676092241</v>
      </c>
      <c r="L19" s="14">
        <v>0.90956440549098272</v>
      </c>
      <c r="M19" s="14">
        <v>0.74629759470535129</v>
      </c>
      <c r="N19" s="14">
        <v>0.94076813034085838</v>
      </c>
      <c r="O19" s="14">
        <v>87.613735978644144</v>
      </c>
      <c r="P19" s="8">
        <v>0.94076813034085849</v>
      </c>
      <c r="Q19" s="54">
        <v>5.1854998649410677E-2</v>
      </c>
    </row>
    <row r="20" spans="1:21">
      <c r="A20" s="2" t="s">
        <v>385</v>
      </c>
      <c r="B20" s="16" t="s">
        <v>386</v>
      </c>
      <c r="D20" s="14">
        <v>1</v>
      </c>
      <c r="E20" s="14">
        <v>0.87434867972945696</v>
      </c>
      <c r="F20" s="14">
        <v>0.87319556462012327</v>
      </c>
      <c r="G20" s="14">
        <v>2.4645634796542659E-4</v>
      </c>
      <c r="H20" s="14">
        <v>3.2144858699281675</v>
      </c>
      <c r="I20" s="14">
        <v>9.5404463097297665</v>
      </c>
      <c r="J20" s="14">
        <v>0</v>
      </c>
      <c r="K20" s="14">
        <v>1.145218826706984</v>
      </c>
      <c r="L20" s="14">
        <v>0.87319556462012327</v>
      </c>
      <c r="M20" s="14">
        <v>0.71645696077081122</v>
      </c>
      <c r="N20" s="14">
        <v>0.9385745905952767</v>
      </c>
      <c r="O20" s="14">
        <v>104.29440850694715</v>
      </c>
      <c r="P20" s="8">
        <v>0.9385745905952767</v>
      </c>
      <c r="Q20" s="54">
        <v>6.8955465055604334E-2</v>
      </c>
    </row>
    <row r="21" spans="1:21">
      <c r="A21" s="2" t="s">
        <v>387</v>
      </c>
      <c r="B21" s="16" t="s">
        <v>388</v>
      </c>
      <c r="D21" s="14">
        <v>1</v>
      </c>
      <c r="E21" s="14">
        <v>0.72406539010388671</v>
      </c>
      <c r="F21" s="14">
        <v>0.40856102784362014</v>
      </c>
      <c r="G21" s="14">
        <v>7.9396732793875435E-5</v>
      </c>
      <c r="H21" s="14">
        <v>862.37654780280081</v>
      </c>
      <c r="I21" s="14">
        <v>322.23871348483146</v>
      </c>
      <c r="J21" s="14">
        <v>0</v>
      </c>
      <c r="K21" s="14">
        <v>2.4476147548335363</v>
      </c>
      <c r="L21" s="14">
        <v>0.40856102784362019</v>
      </c>
      <c r="M21" s="14">
        <v>0.33522432334569036</v>
      </c>
      <c r="N21" s="14">
        <v>3.9972440398579305</v>
      </c>
      <c r="O21" s="14">
        <v>789.2558356699484</v>
      </c>
      <c r="P21" s="8">
        <v>3.997244039857931</v>
      </c>
      <c r="Q21" s="54">
        <v>0.17765511454498278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0.90390650417404306</v>
      </c>
      <c r="F22" s="14">
        <v>0.90411919499357218</v>
      </c>
      <c r="G22" s="14">
        <v>7.2606278531178443E-4</v>
      </c>
      <c r="H22" s="14">
        <v>0.28704216014539941</v>
      </c>
      <c r="I22" s="14">
        <v>1.0204761532029005</v>
      </c>
      <c r="J22" s="14">
        <v>0</v>
      </c>
      <c r="K22" s="14">
        <v>1.1060488545507645</v>
      </c>
      <c r="L22" s="14">
        <v>0.90411919499357229</v>
      </c>
      <c r="M22" s="14">
        <v>0.74182979949222605</v>
      </c>
      <c r="N22" s="14">
        <v>0.89728145021456507</v>
      </c>
      <c r="O22" s="14">
        <v>52.11410662846194</v>
      </c>
      <c r="P22" s="8">
        <v>0.89728145021456518</v>
      </c>
      <c r="Q22" s="54">
        <v>1.9906864504377252E-2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0.75617189534492912</v>
      </c>
      <c r="F23" s="14">
        <v>0.75196104221360771</v>
      </c>
      <c r="G23" s="14">
        <v>7.9411578508792747E-4</v>
      </c>
      <c r="H23" s="14">
        <v>9.9095821235059578</v>
      </c>
      <c r="I23" s="14">
        <v>26.773953939040354</v>
      </c>
      <c r="J23" s="14">
        <v>0</v>
      </c>
      <c r="K23" s="14">
        <v>1.329856127993307</v>
      </c>
      <c r="L23" s="14">
        <v>0.75196104221360771</v>
      </c>
      <c r="M23" s="14">
        <v>0.61698403513626521</v>
      </c>
      <c r="N23" s="14">
        <v>0.9662224861115275</v>
      </c>
      <c r="O23" s="14">
        <v>103.53073938685019</v>
      </c>
      <c r="P23" s="8">
        <v>0.96622248611152761</v>
      </c>
      <c r="Q23" s="54">
        <v>0.11542835644870589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0.54942588245417256</v>
      </c>
      <c r="F24" s="14">
        <v>0.51098012403572268</v>
      </c>
      <c r="G24" s="14">
        <v>2.9394934383847947E-5</v>
      </c>
      <c r="H24" s="14">
        <v>88.479774556854011</v>
      </c>
      <c r="I24" s="14">
        <v>197.74302710316817</v>
      </c>
      <c r="J24" s="14">
        <v>0</v>
      </c>
      <c r="K24" s="14">
        <v>1.9570232832189176</v>
      </c>
      <c r="L24" s="14">
        <v>0.51098012403572279</v>
      </c>
      <c r="M24" s="14">
        <v>0.41925919177131055</v>
      </c>
      <c r="N24" s="14">
        <v>2.2108258553353144</v>
      </c>
      <c r="O24" s="14">
        <v>358.19800508142765</v>
      </c>
      <c r="P24" s="8">
        <v>2.2108258553353144</v>
      </c>
      <c r="Q24" s="54">
        <v>0.30026255664632284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0.44809231307423947</v>
      </c>
      <c r="F25" s="14">
        <v>4.5462861650560548E-3</v>
      </c>
      <c r="G25" s="14">
        <v>1.0698065596907155E-5</v>
      </c>
      <c r="H25" s="14">
        <v>408.3915700059278</v>
      </c>
      <c r="I25" s="14">
        <v>7891.0344537499041</v>
      </c>
      <c r="J25" s="14">
        <v>0</v>
      </c>
      <c r="K25" s="14">
        <v>219.95975697400257</v>
      </c>
      <c r="L25" s="14">
        <v>4.5462861650560548E-3</v>
      </c>
      <c r="M25" s="14">
        <v>3.730227798428493E-3</v>
      </c>
      <c r="N25" s="14">
        <v>72.977356754817876</v>
      </c>
      <c r="O25" s="14">
        <v>17032.18529300694</v>
      </c>
      <c r="P25" s="8">
        <v>72.977356754817876</v>
      </c>
      <c r="Q25" s="54">
        <v>0.30292417905657332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0.31450625570905194</v>
      </c>
      <c r="F26" s="14">
        <v>0.23469200678423935</v>
      </c>
      <c r="G26" s="14">
        <v>2.535284995705097E-3</v>
      </c>
      <c r="H26" s="14">
        <v>186.80921630520982</v>
      </c>
      <c r="I26" s="14">
        <v>373.12596294506199</v>
      </c>
      <c r="J26" s="14">
        <v>0</v>
      </c>
      <c r="K26" s="14">
        <v>4.2609035292767139</v>
      </c>
      <c r="L26" s="14">
        <v>0.23469200678423935</v>
      </c>
      <c r="M26" s="14">
        <v>0.19256479156646839</v>
      </c>
      <c r="N26" s="14">
        <v>3.4912716379740867</v>
      </c>
      <c r="O26" s="14">
        <v>447.47628583913865</v>
      </c>
      <c r="P26" s="8">
        <v>3.4912716379740871</v>
      </c>
      <c r="Q26" s="54">
        <v>0.30539046220941979</v>
      </c>
    </row>
    <row r="27" spans="1:21">
      <c r="A27" s="2" t="s">
        <v>397</v>
      </c>
      <c r="B27" s="16" t="s">
        <v>398</v>
      </c>
      <c r="D27" s="14">
        <v>1</v>
      </c>
      <c r="E27" s="14">
        <v>6.376066260238937E-2</v>
      </c>
      <c r="F27" s="14">
        <v>2.2209899272133505E-2</v>
      </c>
      <c r="G27" s="14">
        <v>9.2090552087981913E-3</v>
      </c>
      <c r="H27" s="14">
        <v>99.262815386725393</v>
      </c>
      <c r="I27" s="14">
        <v>174.59980715059598</v>
      </c>
      <c r="J27" s="14">
        <v>0</v>
      </c>
      <c r="K27" s="14">
        <v>45.024967819403308</v>
      </c>
      <c r="L27" s="14">
        <v>2.2209899272133505E-2</v>
      </c>
      <c r="M27" s="14">
        <v>1.8223222352785541E-2</v>
      </c>
      <c r="N27" s="14">
        <v>1.5673340706283014</v>
      </c>
      <c r="O27" s="14">
        <v>284.39276711550531</v>
      </c>
      <c r="P27" s="8">
        <v>1.5673340706283014</v>
      </c>
      <c r="Q27" s="54">
        <v>7.1030318112153337E-2</v>
      </c>
    </row>
    <row r="28" spans="1:21">
      <c r="A28" s="2" t="s">
        <v>399</v>
      </c>
      <c r="B28" s="16" t="s">
        <v>400</v>
      </c>
      <c r="D28" s="14">
        <v>1</v>
      </c>
      <c r="E28" s="14">
        <v>4.8970600461772366E-2</v>
      </c>
      <c r="F28" s="14">
        <v>3.3338496495822205E-2</v>
      </c>
      <c r="G28" s="14">
        <v>9.7107885539299225E-3</v>
      </c>
      <c r="H28" s="14">
        <v>36.730429783230235</v>
      </c>
      <c r="I28" s="14">
        <v>71.628058697167418</v>
      </c>
      <c r="J28" s="14">
        <v>0</v>
      </c>
      <c r="K28" s="14">
        <v>29.995353873421209</v>
      </c>
      <c r="L28" s="14">
        <v>3.3338496495822205E-2</v>
      </c>
      <c r="M28" s="14">
        <v>2.7354236374822122E-2</v>
      </c>
      <c r="N28" s="14">
        <v>0.66021172255545912</v>
      </c>
      <c r="O28" s="14">
        <v>97.051123215652495</v>
      </c>
      <c r="P28" s="8">
        <v>0.66021172255545912</v>
      </c>
      <c r="Q28" s="54">
        <v>5.1390539959245876E-2</v>
      </c>
    </row>
    <row r="29" spans="1:21">
      <c r="A29" s="2" t="s">
        <v>297</v>
      </c>
      <c r="B29" s="16" t="s">
        <v>298</v>
      </c>
      <c r="D29" s="14">
        <v>1</v>
      </c>
      <c r="E29" s="14">
        <v>5.9555878169750096E-2</v>
      </c>
      <c r="F29" s="14">
        <v>5.9449061800927828E-2</v>
      </c>
      <c r="G29" s="14">
        <v>1.0360327708829936E-2</v>
      </c>
      <c r="H29" s="14">
        <v>0.28102503149867381</v>
      </c>
      <c r="I29" s="14">
        <v>0.81884589453286039</v>
      </c>
      <c r="J29" s="14">
        <v>0</v>
      </c>
      <c r="K29" s="14">
        <v>16.821123323167278</v>
      </c>
      <c r="L29" s="14">
        <v>5.9449061800927828E-2</v>
      </c>
      <c r="M29" s="14">
        <v>4.8777955207661282E-2</v>
      </c>
      <c r="N29" s="14">
        <v>6.5334611329663908E-2</v>
      </c>
      <c r="O29" s="14">
        <v>5.5488685402283568</v>
      </c>
      <c r="P29" s="8">
        <v>6.5334611329663922E-2</v>
      </c>
      <c r="Q29" s="54">
        <v>5.3481327162936089E-3</v>
      </c>
    </row>
    <row r="30" spans="1:21">
      <c r="A30" s="2" t="s">
        <v>401</v>
      </c>
      <c r="B30" s="16" t="s">
        <v>402</v>
      </c>
      <c r="D30" s="14">
        <v>1</v>
      </c>
      <c r="E30" s="14">
        <v>1.8116522119974932E-2</v>
      </c>
      <c r="F30" s="14">
        <v>1.2621291155440214E-2</v>
      </c>
      <c r="G30" s="14">
        <v>1.059820395867107E-2</v>
      </c>
      <c r="H30" s="14">
        <v>12.900418084839508</v>
      </c>
      <c r="I30" s="14">
        <v>25.296530255495309</v>
      </c>
      <c r="J30" s="14">
        <v>0</v>
      </c>
      <c r="K30" s="14">
        <v>79.231196530076488</v>
      </c>
      <c r="L30" s="14">
        <v>1.2621291155440216E-2</v>
      </c>
      <c r="M30" s="14">
        <v>1.0355769393038696E-2</v>
      </c>
      <c r="N30" s="14">
        <v>0.23387286996290071</v>
      </c>
      <c r="O30" s="14">
        <v>38.783138025947828</v>
      </c>
      <c r="P30" s="8">
        <v>0.23387286996290074</v>
      </c>
      <c r="Q30" s="54">
        <v>1.8709447217634654E-2</v>
      </c>
    </row>
    <row r="31" spans="1:21">
      <c r="A31" s="2" t="s">
        <v>299</v>
      </c>
      <c r="B31" s="16" t="s">
        <v>300</v>
      </c>
      <c r="D31" s="14">
        <v>1</v>
      </c>
      <c r="E31" s="14">
        <v>5.3654120586391616E-4</v>
      </c>
      <c r="F31" s="14">
        <v>4.4987731664427802E-4</v>
      </c>
      <c r="G31" s="14">
        <v>1.109794539808677E-2</v>
      </c>
      <c r="H31" s="14">
        <v>0.20147172091234744</v>
      </c>
      <c r="I31" s="14">
        <v>0.41982787123574811</v>
      </c>
      <c r="J31" s="14">
        <v>0</v>
      </c>
      <c r="K31" s="14">
        <v>2222.8282311702073</v>
      </c>
      <c r="L31" s="14">
        <v>4.4987731664427807E-4</v>
      </c>
      <c r="M31" s="14">
        <v>3.6912433830663013E-4</v>
      </c>
      <c r="N31" s="14">
        <v>4.0952507004300134E-3</v>
      </c>
      <c r="O31" s="14">
        <v>0.33638389253332129</v>
      </c>
      <c r="P31" s="8">
        <v>4.0952507004300134E-3</v>
      </c>
      <c r="Q31" s="54">
        <v>4.3378174035876767E-4</v>
      </c>
    </row>
    <row r="32" spans="1:21">
      <c r="A32" s="2" t="s">
        <v>343</v>
      </c>
      <c r="B32" s="16" t="s">
        <v>344</v>
      </c>
      <c r="D32" s="14">
        <v>1</v>
      </c>
      <c r="E32" s="14">
        <v>0.66798707772390298</v>
      </c>
      <c r="F32" s="14">
        <v>0.6507533633577518</v>
      </c>
      <c r="G32" s="14">
        <v>2.5163144356463059E-5</v>
      </c>
      <c r="H32" s="14">
        <v>39.421797377454808</v>
      </c>
      <c r="I32" s="14">
        <v>95.19049652733851</v>
      </c>
      <c r="J32" s="14">
        <v>0</v>
      </c>
      <c r="K32" s="14">
        <v>1.5366804941893935</v>
      </c>
      <c r="L32" s="14">
        <v>0.6507533633577518</v>
      </c>
      <c r="M32" s="14">
        <v>0.5339431346350354</v>
      </c>
      <c r="N32" s="14">
        <v>1.4558176407389916</v>
      </c>
      <c r="O32" s="14">
        <v>239.04525660934237</v>
      </c>
      <c r="P32" s="8">
        <v>1.4558176407389916</v>
      </c>
      <c r="Q32" s="54">
        <v>0.22120431384621198</v>
      </c>
    </row>
    <row r="33" spans="1:17">
      <c r="A33" s="2" t="s">
        <v>345</v>
      </c>
      <c r="B33" s="16" t="s">
        <v>346</v>
      </c>
      <c r="D33" s="14">
        <v>1</v>
      </c>
      <c r="E33" s="14">
        <v>0.76797095179405284</v>
      </c>
      <c r="F33" s="14">
        <v>0.76044256293243029</v>
      </c>
      <c r="G33" s="14">
        <v>9.9100285252906344E-7</v>
      </c>
      <c r="H33" s="14">
        <v>17.371863846610687</v>
      </c>
      <c r="I33" s="14">
        <v>45.071663541176513</v>
      </c>
      <c r="J33" s="14">
        <v>0</v>
      </c>
      <c r="K33" s="14">
        <v>1.3150237095406452</v>
      </c>
      <c r="L33" s="14">
        <v>0.76044256293243029</v>
      </c>
      <c r="M33" s="14">
        <v>0.62394312288605902</v>
      </c>
      <c r="N33" s="14">
        <v>1.1312186833955775</v>
      </c>
      <c r="O33" s="14">
        <v>170.99501618207549</v>
      </c>
      <c r="P33" s="8">
        <v>1.1312186833955775</v>
      </c>
      <c r="Q33" s="54">
        <v>0.15549040245991427</v>
      </c>
    </row>
    <row r="34" spans="1:17">
      <c r="A34" s="2" t="s">
        <v>347</v>
      </c>
      <c r="B34" s="16" t="s">
        <v>348</v>
      </c>
      <c r="D34" s="14">
        <v>1</v>
      </c>
      <c r="E34" s="14">
        <v>0.4178854593269769</v>
      </c>
      <c r="F34" s="14">
        <v>0.32313483742438553</v>
      </c>
      <c r="G34" s="14">
        <v>1.4878264318538677E-6</v>
      </c>
      <c r="H34" s="14">
        <v>221.37255735316575</v>
      </c>
      <c r="I34" s="14">
        <v>447.0755844335547</v>
      </c>
      <c r="J34" s="14">
        <v>0</v>
      </c>
      <c r="K34" s="14">
        <v>3.0946833463414567</v>
      </c>
      <c r="L34" s="14">
        <v>0.32313483742438553</v>
      </c>
      <c r="M34" s="14">
        <v>0.26513213410670833</v>
      </c>
      <c r="N34" s="14">
        <v>4.2200629305910669</v>
      </c>
      <c r="O34" s="14">
        <v>743.78609151667558</v>
      </c>
      <c r="P34" s="8">
        <v>4.2200629305910669</v>
      </c>
      <c r="Q34" s="54">
        <v>0.38884897002914687</v>
      </c>
    </row>
    <row r="35" spans="1:17">
      <c r="A35" s="2" t="s">
        <v>349</v>
      </c>
      <c r="B35" s="16" t="s">
        <v>350</v>
      </c>
      <c r="D35" s="14">
        <v>1</v>
      </c>
      <c r="E35" s="14">
        <v>0.38598597346074515</v>
      </c>
      <c r="F35" s="14">
        <v>7.8330153711111961E-2</v>
      </c>
      <c r="G35" s="14">
        <v>5.5385676724788223E-4</v>
      </c>
      <c r="H35" s="14">
        <v>741.25729214516741</v>
      </c>
      <c r="I35" s="14">
        <v>1233.7471133789538</v>
      </c>
      <c r="J35" s="14">
        <v>0</v>
      </c>
      <c r="K35" s="14">
        <v>12.766475649825505</v>
      </c>
      <c r="L35" s="14">
        <v>7.8330153711111974E-2</v>
      </c>
      <c r="M35" s="14">
        <v>6.4269891119967365E-2</v>
      </c>
      <c r="N35" s="14">
        <v>11.059153983524903</v>
      </c>
      <c r="O35" s="14">
        <v>2126.6753110318386</v>
      </c>
      <c r="P35" s="8">
        <v>11.059153983524903</v>
      </c>
      <c r="Q35" s="54">
        <v>0.37036176878925703</v>
      </c>
    </row>
    <row r="36" spans="1:17">
      <c r="A36" s="2" t="s">
        <v>351</v>
      </c>
      <c r="B36" s="16" t="s">
        <v>352</v>
      </c>
      <c r="D36" s="14">
        <v>1</v>
      </c>
      <c r="E36" s="14">
        <v>0.41817177235245079</v>
      </c>
      <c r="F36" s="14">
        <v>2.1147680259217365E-2</v>
      </c>
      <c r="G36" s="14">
        <v>1.822515469044791E-5</v>
      </c>
      <c r="H36" s="14">
        <v>772.04521476158038</v>
      </c>
      <c r="I36" s="14">
        <v>3299.8933669260859</v>
      </c>
      <c r="J36" s="14">
        <v>0</v>
      </c>
      <c r="K36" s="14">
        <v>47.286510281152125</v>
      </c>
      <c r="L36" s="14">
        <v>2.1147680259217368E-2</v>
      </c>
      <c r="M36" s="14">
        <v>1.7351671652687851E-2</v>
      </c>
      <c r="N36" s="14">
        <v>29.944981035000588</v>
      </c>
      <c r="O36" s="14">
        <v>6658.8654327530803</v>
      </c>
      <c r="P36" s="8">
        <v>29.944981035000588</v>
      </c>
      <c r="Q36" s="54">
        <v>0.36332886843657541</v>
      </c>
    </row>
    <row r="37" spans="1:17">
      <c r="A37" s="2" t="s">
        <v>353</v>
      </c>
      <c r="B37" s="16" t="s">
        <v>354</v>
      </c>
      <c r="D37" s="14">
        <v>1</v>
      </c>
      <c r="E37" s="14">
        <v>0.45418791113968654</v>
      </c>
      <c r="F37" s="14">
        <v>3.6189147950063797E-3</v>
      </c>
      <c r="G37" s="14">
        <v>1.3835881881420233E-4</v>
      </c>
      <c r="H37" s="14">
        <v>363.81312109380991</v>
      </c>
      <c r="I37" s="14">
        <v>8488.5894372836246</v>
      </c>
      <c r="J37" s="14">
        <v>0</v>
      </c>
      <c r="K37" s="14">
        <v>276.32593101663144</v>
      </c>
      <c r="L37" s="14">
        <v>3.6189147950063802E-3</v>
      </c>
      <c r="M37" s="14">
        <v>2.9693195893027349E-3</v>
      </c>
      <c r="N37" s="14">
        <v>78.695244873328434</v>
      </c>
      <c r="O37" s="14">
        <v>18602.768935606106</v>
      </c>
      <c r="P37" s="8">
        <v>78.695244873328434</v>
      </c>
      <c r="Q37" s="54">
        <v>0.28565085533245338</v>
      </c>
    </row>
    <row r="38" spans="1:17">
      <c r="A38" s="2" t="s">
        <v>355</v>
      </c>
      <c r="B38" s="16" t="s">
        <v>356</v>
      </c>
      <c r="D38" s="14">
        <v>1</v>
      </c>
      <c r="E38" s="14">
        <v>0.41614025577918373</v>
      </c>
      <c r="F38" s="14">
        <v>1.1834193275559596E-2</v>
      </c>
      <c r="G38" s="14">
        <v>6.9353302374340203E-6</v>
      </c>
      <c r="H38" s="14">
        <v>621.49645800314818</v>
      </c>
      <c r="I38" s="14">
        <v>4885.3516358342922</v>
      </c>
      <c r="J38" s="14">
        <v>0</v>
      </c>
      <c r="K38" s="14">
        <v>84.500901473802699</v>
      </c>
      <c r="L38" s="14">
        <v>1.1834193275559598E-2</v>
      </c>
      <c r="M38" s="14">
        <v>9.709955582596649E-3</v>
      </c>
      <c r="N38" s="14">
        <v>44.664425267892064</v>
      </c>
      <c r="O38" s="14">
        <v>11541.287489223309</v>
      </c>
      <c r="P38" s="8">
        <v>44.664425267892071</v>
      </c>
      <c r="Q38" s="54">
        <v>0.35147612415896878</v>
      </c>
    </row>
    <row r="39" spans="1:17">
      <c r="A39" s="2" t="s">
        <v>357</v>
      </c>
      <c r="B39" s="16" t="s">
        <v>358</v>
      </c>
      <c r="D39" s="14">
        <v>1</v>
      </c>
      <c r="E39" s="14">
        <v>0.36898703329280536</v>
      </c>
      <c r="F39" s="14">
        <v>1.5987148918284084E-2</v>
      </c>
      <c r="G39" s="14">
        <v>1.258634141191352E-3</v>
      </c>
      <c r="H39" s="14">
        <v>647.54658950485657</v>
      </c>
      <c r="I39" s="14">
        <v>3294.0348619280744</v>
      </c>
      <c r="J39" s="14">
        <v>0</v>
      </c>
      <c r="K39" s="14">
        <v>62.550239890261231</v>
      </c>
      <c r="L39" s="14">
        <v>1.5987148918284087E-2</v>
      </c>
      <c r="M39" s="14">
        <v>1.3117455687452092E-2</v>
      </c>
      <c r="N39" s="14">
        <v>29.954225168266273</v>
      </c>
      <c r="O39" s="14">
        <v>7080.8792875264644</v>
      </c>
      <c r="P39" s="8">
        <v>29.954225168266273</v>
      </c>
      <c r="Q39" s="54">
        <v>0.32116498566597018</v>
      </c>
    </row>
    <row r="40" spans="1:17">
      <c r="A40" s="2" t="s">
        <v>359</v>
      </c>
      <c r="B40" s="16" t="s">
        <v>360</v>
      </c>
      <c r="D40" s="14">
        <v>1</v>
      </c>
      <c r="E40" s="14">
        <v>0.41614025577918373</v>
      </c>
      <c r="F40" s="14">
        <v>1.1834193275559596E-2</v>
      </c>
      <c r="G40" s="14">
        <v>6.9353302374340203E-6</v>
      </c>
      <c r="H40" s="14">
        <v>621.49645800314818</v>
      </c>
      <c r="I40" s="14">
        <v>4885.3516358342922</v>
      </c>
      <c r="J40" s="14">
        <v>0</v>
      </c>
      <c r="K40" s="14">
        <v>84.500901473802699</v>
      </c>
      <c r="L40" s="14">
        <v>1.1834193275559598E-2</v>
      </c>
      <c r="M40" s="14">
        <v>9.709955582596649E-3</v>
      </c>
      <c r="N40" s="14">
        <v>44.664425267892064</v>
      </c>
      <c r="O40" s="14">
        <v>11541.287489223309</v>
      </c>
      <c r="P40" s="8">
        <v>44.664425267892071</v>
      </c>
      <c r="Q40" s="54">
        <v>0.35147612415896878</v>
      </c>
    </row>
    <row r="41" spans="1:17">
      <c r="A41" s="2" t="s">
        <v>313</v>
      </c>
      <c r="B41" s="16" t="s">
        <v>314</v>
      </c>
      <c r="D41" s="14">
        <v>1</v>
      </c>
      <c r="E41" s="14">
        <v>0.99841557564663119</v>
      </c>
      <c r="F41" s="14">
        <v>0.99407607830273892</v>
      </c>
      <c r="G41" s="14">
        <v>6.4706886340404045E-10</v>
      </c>
      <c r="H41" s="14">
        <v>13.431967210492859</v>
      </c>
      <c r="I41" s="14">
        <v>2.95952346845429E-2</v>
      </c>
      <c r="J41" s="14">
        <v>0</v>
      </c>
      <c r="K41" s="14">
        <v>1.0059592236716686</v>
      </c>
      <c r="L41" s="14">
        <v>0.99407607830273892</v>
      </c>
      <c r="M41" s="14">
        <v>0.81563942224739727</v>
      </c>
      <c r="N41" s="14">
        <v>0.99803361588078754</v>
      </c>
      <c r="O41" s="14">
        <v>183.74796901981179</v>
      </c>
      <c r="P41" s="8">
        <v>0.99803361588078754</v>
      </c>
      <c r="Q41" s="54">
        <v>1.2630536208319728E-4</v>
      </c>
    </row>
    <row r="42" spans="1:17">
      <c r="A42" s="2" t="s">
        <v>315</v>
      </c>
      <c r="B42" s="16" t="s">
        <v>316</v>
      </c>
      <c r="D42" s="14">
        <v>1</v>
      </c>
      <c r="E42" s="14">
        <v>0.45624932301408633</v>
      </c>
      <c r="F42" s="14">
        <v>3.3058260853207799E-3</v>
      </c>
      <c r="G42" s="14">
        <v>2.0045112127199379E-4</v>
      </c>
      <c r="H42" s="14">
        <v>347.04037362891796</v>
      </c>
      <c r="I42" s="14">
        <v>8706.3710688002138</v>
      </c>
      <c r="J42" s="14">
        <v>0</v>
      </c>
      <c r="K42" s="14">
        <v>302.49625182655831</v>
      </c>
      <c r="L42" s="14">
        <v>3.3058260853207799E-3</v>
      </c>
      <c r="M42" s="14">
        <v>2.7124303030057E-3</v>
      </c>
      <c r="N42" s="14">
        <v>80.790077245270822</v>
      </c>
      <c r="O42" s="14">
        <v>29481.107087571778</v>
      </c>
      <c r="P42" s="8">
        <v>80.790077245270822</v>
      </c>
      <c r="Q42" s="54">
        <v>0.27850767835143719</v>
      </c>
    </row>
    <row r="43" spans="1:17">
      <c r="A43" s="2" t="s">
        <v>317</v>
      </c>
      <c r="B43" s="16" t="s">
        <v>318</v>
      </c>
      <c r="D43" s="14">
        <v>1</v>
      </c>
      <c r="E43" s="14">
        <v>0.53418914156351016</v>
      </c>
      <c r="F43" s="14">
        <v>0.49130146169890304</v>
      </c>
      <c r="G43" s="14">
        <v>6.78541702177191E-14</v>
      </c>
      <c r="H43" s="14">
        <v>98.843486588566691</v>
      </c>
      <c r="I43" s="14">
        <v>218.47675013459221</v>
      </c>
      <c r="J43" s="14">
        <v>0</v>
      </c>
      <c r="K43" s="14">
        <v>2.0354101869390644</v>
      </c>
      <c r="L43" s="14">
        <v>0.4913014616989031</v>
      </c>
      <c r="M43" s="14">
        <v>0.40311284932394997</v>
      </c>
      <c r="N43" s="14">
        <v>2.3727207386768892</v>
      </c>
      <c r="O43" s="14">
        <v>752.91174479695053</v>
      </c>
      <c r="P43" s="8">
        <v>2.3727207386768892</v>
      </c>
      <c r="Q43" s="54">
        <v>0.31218010834245874</v>
      </c>
    </row>
    <row r="44" spans="1:17">
      <c r="A44" s="2" t="s">
        <v>307</v>
      </c>
      <c r="B44" s="16" t="s">
        <v>308</v>
      </c>
      <c r="D44" s="14">
        <v>1</v>
      </c>
      <c r="E44" s="14">
        <v>0.43339463181589777</v>
      </c>
      <c r="F44" s="14">
        <v>3.1957253830987603E-2</v>
      </c>
      <c r="G44" s="14">
        <v>6.1384389355358422E-6</v>
      </c>
      <c r="H44" s="14">
        <v>884.36073549080959</v>
      </c>
      <c r="I44" s="14">
        <v>2376.2198690962418</v>
      </c>
      <c r="J44" s="14">
        <v>0</v>
      </c>
      <c r="K44" s="14">
        <v>31.29180014305053</v>
      </c>
      <c r="L44" s="14">
        <v>3.1957253830987603E-2</v>
      </c>
      <c r="M44" s="14">
        <v>2.6220926768325326E-2</v>
      </c>
      <c r="N44" s="14">
        <v>21.45044161983818</v>
      </c>
      <c r="O44" s="14">
        <v>7520.3103274990672</v>
      </c>
      <c r="P44" s="8">
        <v>21.450441619838184</v>
      </c>
      <c r="Q44" s="54">
        <v>0.36181504602818815</v>
      </c>
    </row>
    <row r="45" spans="1:17">
      <c r="A45" s="2" t="s">
        <v>319</v>
      </c>
      <c r="B45" s="16" t="s">
        <v>320</v>
      </c>
      <c r="D45" s="14">
        <v>1</v>
      </c>
      <c r="E45" s="14">
        <v>0.50833227550309112</v>
      </c>
      <c r="F45" s="14">
        <v>1.6273023525805971E-3</v>
      </c>
      <c r="G45" s="14">
        <v>7.1888056070052982E-7</v>
      </c>
      <c r="H45" s="14">
        <v>243.62859031287283</v>
      </c>
      <c r="I45" s="14">
        <v>11078.61379795733</v>
      </c>
      <c r="J45" s="14">
        <v>0</v>
      </c>
      <c r="K45" s="14">
        <v>614.51395213322655</v>
      </c>
      <c r="L45" s="14">
        <v>1.6273023525805971E-3</v>
      </c>
      <c r="M45" s="14">
        <v>1.33520158029238E-3</v>
      </c>
      <c r="N45" s="14">
        <v>103.60032820451924</v>
      </c>
      <c r="O45" s="14">
        <v>36725.280345220024</v>
      </c>
      <c r="P45" s="8">
        <v>103.60032820451924</v>
      </c>
      <c r="Q45" s="54">
        <v>0.23392973188808019</v>
      </c>
    </row>
    <row r="46" spans="1:17">
      <c r="A46" s="2" t="s">
        <v>321</v>
      </c>
      <c r="B46" s="16" t="s">
        <v>322</v>
      </c>
      <c r="D46" s="14">
        <v>1</v>
      </c>
      <c r="E46" s="14">
        <v>0.47046895134810202</v>
      </c>
      <c r="F46" s="14">
        <v>3.0371378446987199E-3</v>
      </c>
      <c r="G46" s="14">
        <v>9.8981263000765517E-7</v>
      </c>
      <c r="H46" s="14">
        <v>335.8338772061818</v>
      </c>
      <c r="I46" s="14">
        <v>9191.4001617104659</v>
      </c>
      <c r="J46" s="14">
        <v>0</v>
      </c>
      <c r="K46" s="14">
        <v>329.25736372008447</v>
      </c>
      <c r="L46" s="14">
        <v>3.0371378446987203E-3</v>
      </c>
      <c r="M46" s="14">
        <v>2.4919716015752999E-3</v>
      </c>
      <c r="N46" s="14">
        <v>85.38712965591877</v>
      </c>
      <c r="O46" s="14">
        <v>30268.883591726648</v>
      </c>
      <c r="P46" s="8">
        <v>85.387129655918784</v>
      </c>
      <c r="Q46" s="54">
        <v>0.27668248919791494</v>
      </c>
    </row>
    <row r="47" spans="1:17">
      <c r="A47" s="2" t="s">
        <v>323</v>
      </c>
      <c r="B47" s="16" t="s">
        <v>324</v>
      </c>
      <c r="D47" s="14">
        <v>1</v>
      </c>
      <c r="E47" s="14">
        <v>0.43350283057201605</v>
      </c>
      <c r="F47" s="14">
        <v>6.2752424408805373E-3</v>
      </c>
      <c r="G47" s="14">
        <v>8.6711958797031289E-6</v>
      </c>
      <c r="H47" s="14">
        <v>474.07877204261609</v>
      </c>
      <c r="I47" s="14">
        <v>6853.4252451624907</v>
      </c>
      <c r="J47" s="14">
        <v>0</v>
      </c>
      <c r="K47" s="14">
        <v>159.35639290769467</v>
      </c>
      <c r="L47" s="14">
        <v>6.2752424408805381E-3</v>
      </c>
      <c r="M47" s="14">
        <v>5.1488364227424812E-3</v>
      </c>
      <c r="N47" s="14">
        <v>63.145038352654296</v>
      </c>
      <c r="O47" s="14">
        <v>20208.938074383481</v>
      </c>
      <c r="P47" s="8">
        <v>63.145038352654296</v>
      </c>
      <c r="Q47" s="54">
        <v>0.32218675297093885</v>
      </c>
    </row>
    <row r="48" spans="1:17">
      <c r="A48" s="2" t="s">
        <v>325</v>
      </c>
      <c r="B48" s="16" t="s">
        <v>326</v>
      </c>
      <c r="D48" s="14">
        <v>1</v>
      </c>
      <c r="E48" s="14">
        <v>0.36569193186775351</v>
      </c>
      <c r="F48" s="14">
        <v>0.166296332236921</v>
      </c>
      <c r="G48" s="14">
        <v>3.1439176249518817E-6</v>
      </c>
      <c r="H48" s="14">
        <v>473.85194839452845</v>
      </c>
      <c r="I48" s="14">
        <v>861.58839657528506</v>
      </c>
      <c r="J48" s="14">
        <v>0</v>
      </c>
      <c r="K48" s="14">
        <v>6.0133617293212955</v>
      </c>
      <c r="L48" s="14">
        <v>0.166296332236921</v>
      </c>
      <c r="M48" s="14">
        <v>0.1364461406003937</v>
      </c>
      <c r="N48" s="14">
        <v>7.7643839981068536</v>
      </c>
      <c r="O48" s="14">
        <v>2363.090269823821</v>
      </c>
      <c r="P48" s="8">
        <v>7.7643839981068536</v>
      </c>
      <c r="Q48" s="54">
        <v>0.42062961011533961</v>
      </c>
    </row>
    <row r="49" spans="1:17">
      <c r="A49" s="2" t="s">
        <v>275</v>
      </c>
      <c r="B49" s="16" t="s">
        <v>276</v>
      </c>
      <c r="D49" s="14">
        <v>1</v>
      </c>
      <c r="E49" s="14">
        <v>0.43006844546528122</v>
      </c>
      <c r="F49" s="14">
        <v>2.9655501761297807E-2</v>
      </c>
      <c r="G49" s="14">
        <v>7.869620038610454E-8</v>
      </c>
      <c r="H49" s="14">
        <v>864.42093547854415</v>
      </c>
      <c r="I49" s="14">
        <v>2533.8590175268168</v>
      </c>
      <c r="J49" s="14">
        <v>0</v>
      </c>
      <c r="K49" s="14">
        <v>33.720555735295612</v>
      </c>
      <c r="L49" s="14">
        <v>2.965550176129781E-2</v>
      </c>
      <c r="M49" s="14">
        <v>2.4332339195144853E-2</v>
      </c>
      <c r="N49" s="14">
        <v>22.894854822222658</v>
      </c>
      <c r="O49" s="14">
        <v>8482.3147630852727</v>
      </c>
      <c r="P49" s="8">
        <v>22.894854822222658</v>
      </c>
      <c r="Q49" s="54">
        <v>0.3630633807097613</v>
      </c>
    </row>
    <row r="50" spans="1:17">
      <c r="A50" s="2" t="s">
        <v>327</v>
      </c>
      <c r="B50" s="16" t="s">
        <v>328</v>
      </c>
      <c r="D50" s="14">
        <v>1</v>
      </c>
      <c r="E50" s="14">
        <v>0.42477283341779254</v>
      </c>
      <c r="F50" s="14">
        <v>2.6098162952917274E-2</v>
      </c>
      <c r="G50" s="14">
        <v>4.0837432172271716E-6</v>
      </c>
      <c r="H50" s="14">
        <v>829.52587721423754</v>
      </c>
      <c r="I50" s="14">
        <v>2811.1699982543023</v>
      </c>
      <c r="J50" s="14">
        <v>0</v>
      </c>
      <c r="K50" s="14">
        <v>38.316873176248563</v>
      </c>
      <c r="L50" s="14">
        <v>2.6098162952917277E-2</v>
      </c>
      <c r="M50" s="14">
        <v>2.1413542702868625E-2</v>
      </c>
      <c r="N50" s="14">
        <v>25.441496098359629</v>
      </c>
      <c r="O50" s="14">
        <v>9690.9202788261682</v>
      </c>
      <c r="P50" s="8">
        <v>25.441496098359632</v>
      </c>
      <c r="Q50" s="54">
        <v>0.36398803622959369</v>
      </c>
    </row>
    <row r="51" spans="1:17">
      <c r="A51" s="2" t="s">
        <v>329</v>
      </c>
      <c r="B51" s="16" t="s">
        <v>330</v>
      </c>
      <c r="D51" s="14">
        <v>1</v>
      </c>
      <c r="E51" s="14">
        <v>0.37455989712652021</v>
      </c>
      <c r="F51" s="14">
        <v>0.1242394850074755</v>
      </c>
      <c r="G51" s="14">
        <v>1.9147325938183275E-6</v>
      </c>
      <c r="H51" s="14">
        <v>598.52134402135391</v>
      </c>
      <c r="I51" s="14">
        <v>1046.9762094580758</v>
      </c>
      <c r="J51" s="14">
        <v>0</v>
      </c>
      <c r="K51" s="14">
        <v>8.0489709043773789</v>
      </c>
      <c r="L51" s="14">
        <v>0.12423948500747552</v>
      </c>
      <c r="M51" s="14">
        <v>0.10193849744863366</v>
      </c>
      <c r="N51" s="14">
        <v>9.3948222057433135</v>
      </c>
      <c r="O51" s="14">
        <v>2577.9392132559651</v>
      </c>
      <c r="P51" s="8">
        <v>9.3948222057433153</v>
      </c>
      <c r="Q51" s="54">
        <v>0.41317764245009692</v>
      </c>
    </row>
    <row r="52" spans="1:17">
      <c r="A52" s="2" t="s">
        <v>277</v>
      </c>
      <c r="B52" s="16" t="s">
        <v>278</v>
      </c>
      <c r="D52" s="14">
        <v>1</v>
      </c>
      <c r="E52" s="14">
        <v>0.36582799611185024</v>
      </c>
      <c r="F52" s="14">
        <v>0.16188597812108174</v>
      </c>
      <c r="G52" s="14">
        <v>4.9649824912478851E-6</v>
      </c>
      <c r="H52" s="14">
        <v>484.94136841932215</v>
      </c>
      <c r="I52" s="14">
        <v>878.50938304802366</v>
      </c>
      <c r="J52" s="14">
        <v>0</v>
      </c>
      <c r="K52" s="14">
        <v>6.1771872499794602</v>
      </c>
      <c r="L52" s="14">
        <v>0.16188597812108174</v>
      </c>
      <c r="M52" s="14">
        <v>0.13282744504834756</v>
      </c>
      <c r="N52" s="14">
        <v>7.9122189549781563</v>
      </c>
      <c r="O52" s="14">
        <v>3219.7192593492614</v>
      </c>
      <c r="P52" s="8">
        <v>7.9122189549781563</v>
      </c>
      <c r="Q52" s="54">
        <v>0.42028743302570337</v>
      </c>
    </row>
    <row r="53" spans="1:17">
      <c r="A53" s="2" t="s">
        <v>331</v>
      </c>
      <c r="B53" s="16" t="s">
        <v>332</v>
      </c>
      <c r="D53" s="14">
        <v>1</v>
      </c>
      <c r="E53" s="14">
        <v>0.41558940119254723</v>
      </c>
      <c r="F53" s="14">
        <v>1.7302767368030131E-2</v>
      </c>
      <c r="G53" s="14">
        <v>2.719092966678307E-6</v>
      </c>
      <c r="H53" s="14">
        <v>719.27599890196018</v>
      </c>
      <c r="I53" s="14">
        <v>3821.6660968863739</v>
      </c>
      <c r="J53" s="14">
        <v>0</v>
      </c>
      <c r="K53" s="14">
        <v>57.79422324359939</v>
      </c>
      <c r="L53" s="14">
        <v>1.7302767368030131E-2</v>
      </c>
      <c r="M53" s="14">
        <v>1.4196920625468722E-2</v>
      </c>
      <c r="N53" s="14">
        <v>34.770598217552937</v>
      </c>
      <c r="O53" s="14">
        <v>13244.468567048089</v>
      </c>
      <c r="P53" s="8">
        <v>34.770598217552937</v>
      </c>
      <c r="Q53" s="54">
        <v>0.36145375398171725</v>
      </c>
    </row>
    <row r="54" spans="1:17">
      <c r="A54" s="2" t="s">
        <v>333</v>
      </c>
      <c r="B54" s="16" t="s">
        <v>334</v>
      </c>
      <c r="D54" s="14">
        <v>1</v>
      </c>
      <c r="E54" s="14">
        <v>0.4273738588697869</v>
      </c>
      <c r="F54" s="14">
        <v>2.7833708056608831E-2</v>
      </c>
      <c r="G54" s="14">
        <v>4.4536855982702036E-9</v>
      </c>
      <c r="H54" s="14">
        <v>847.20998903131601</v>
      </c>
      <c r="I54" s="14">
        <v>2670.2273411881233</v>
      </c>
      <c r="J54" s="14">
        <v>0</v>
      </c>
      <c r="K54" s="14">
        <v>35.927660014475151</v>
      </c>
      <c r="L54" s="14">
        <v>2.7833708056608834E-2</v>
      </c>
      <c r="M54" s="14">
        <v>2.283755746044755E-2</v>
      </c>
      <c r="N54" s="14">
        <v>24.146285560434759</v>
      </c>
      <c r="O54" s="14">
        <v>9283.7638722759566</v>
      </c>
      <c r="P54" s="8">
        <v>24.146285560434759</v>
      </c>
      <c r="Q54" s="54">
        <v>0.36370413484688285</v>
      </c>
    </row>
    <row r="55" spans="1:17">
      <c r="A55" s="2" t="s">
        <v>335</v>
      </c>
      <c r="B55" s="16" t="s">
        <v>336</v>
      </c>
      <c r="D55" s="14">
        <v>1</v>
      </c>
      <c r="E55" s="14">
        <v>0.4317092847225093</v>
      </c>
      <c r="F55" s="14">
        <v>6.46790925365441E-3</v>
      </c>
      <c r="G55" s="14">
        <v>2.2443594098263344E-5</v>
      </c>
      <c r="H55" s="14">
        <v>480.24617885060189</v>
      </c>
      <c r="I55" s="14">
        <v>6744.0547724158569</v>
      </c>
      <c r="J55" s="14">
        <v>0</v>
      </c>
      <c r="K55" s="14">
        <v>154.60946664256207</v>
      </c>
      <c r="L55" s="14">
        <v>6.46790925365441E-3</v>
      </c>
      <c r="M55" s="14">
        <v>5.3069195426234438E-3</v>
      </c>
      <c r="N55" s="14">
        <v>62.114200099743847</v>
      </c>
      <c r="O55" s="14">
        <v>23188.473181236372</v>
      </c>
      <c r="P55" s="8">
        <v>62.114200099743847</v>
      </c>
      <c r="Q55" s="54">
        <v>0.32353486537657877</v>
      </c>
    </row>
    <row r="56" spans="1:17">
      <c r="A56" s="2" t="s">
        <v>337</v>
      </c>
      <c r="B56" s="16" t="s">
        <v>338</v>
      </c>
      <c r="D56" s="14">
        <v>1</v>
      </c>
      <c r="E56" s="14">
        <v>0.43234634118391468</v>
      </c>
      <c r="F56" s="14">
        <v>3.1180906407996544E-2</v>
      </c>
      <c r="G56" s="14">
        <v>1.5757859480453826E-6</v>
      </c>
      <c r="H56" s="14">
        <v>877.94788245488633</v>
      </c>
      <c r="I56" s="14">
        <v>2428.4317730932908</v>
      </c>
      <c r="J56" s="14">
        <v>0</v>
      </c>
      <c r="K56" s="14">
        <v>32.070908616804786</v>
      </c>
      <c r="L56" s="14">
        <v>3.1180906407996544E-2</v>
      </c>
      <c r="M56" s="14">
        <v>2.5583933707761165E-2</v>
      </c>
      <c r="N56" s="14">
        <v>21.928528123292981</v>
      </c>
      <c r="O56" s="14">
        <v>8537.214568960424</v>
      </c>
      <c r="P56" s="8">
        <v>21.928528123292985</v>
      </c>
      <c r="Q56" s="54">
        <v>0.36234803162800194</v>
      </c>
    </row>
    <row r="57" spans="1:17">
      <c r="A57" s="2" t="s">
        <v>279</v>
      </c>
      <c r="B57" s="16" t="s">
        <v>280</v>
      </c>
      <c r="D57" s="14">
        <v>1</v>
      </c>
      <c r="E57" s="14">
        <v>0.3637349356506519</v>
      </c>
      <c r="F57" s="14">
        <v>0.18558395236809822</v>
      </c>
      <c r="G57" s="14">
        <v>8.8021528796669961E-5</v>
      </c>
      <c r="H57" s="14">
        <v>422.24101769491813</v>
      </c>
      <c r="I57" s="14">
        <v>780.58030696749654</v>
      </c>
      <c r="J57" s="14">
        <v>0</v>
      </c>
      <c r="K57" s="14">
        <v>5.388396934324045</v>
      </c>
      <c r="L57" s="14">
        <v>0.18558395236809822</v>
      </c>
      <c r="M57" s="14">
        <v>0.15227163291802459</v>
      </c>
      <c r="N57" s="14">
        <v>7.057136963147264</v>
      </c>
      <c r="O57" s="14">
        <v>2052.4271429921187</v>
      </c>
      <c r="P57" s="8">
        <v>7.0571369631472649</v>
      </c>
      <c r="Q57" s="54">
        <v>0.41746261613123808</v>
      </c>
    </row>
    <row r="58" spans="1:17">
      <c r="A58" s="2" t="s">
        <v>339</v>
      </c>
      <c r="B58" s="16" t="s">
        <v>340</v>
      </c>
      <c r="D58" s="14">
        <v>1</v>
      </c>
      <c r="E58" s="14">
        <v>0.4268640655275926</v>
      </c>
      <c r="F58" s="14">
        <v>2.7480940949655686E-2</v>
      </c>
      <c r="G58" s="14">
        <v>1.5604148927470021E-8</v>
      </c>
      <c r="H58" s="14">
        <v>843.74575125181957</v>
      </c>
      <c r="I58" s="14">
        <v>2698.1666480925401</v>
      </c>
      <c r="J58" s="14">
        <v>0</v>
      </c>
      <c r="K58" s="14">
        <v>36.388855892233522</v>
      </c>
      <c r="L58" s="14">
        <v>2.748094094965569E-2</v>
      </c>
      <c r="M58" s="14">
        <v>2.2548112049192492E-2</v>
      </c>
      <c r="N58" s="14">
        <v>24.402877145439568</v>
      </c>
      <c r="O58" s="14">
        <v>8434.8544853211861</v>
      </c>
      <c r="P58" s="8">
        <v>24.402877145439568</v>
      </c>
      <c r="Q58" s="54">
        <v>0.36380508891438729</v>
      </c>
    </row>
    <row r="59" spans="1:17">
      <c r="A59" s="2" t="s">
        <v>281</v>
      </c>
      <c r="B59" s="16" t="s">
        <v>282</v>
      </c>
      <c r="D59" s="14">
        <v>1</v>
      </c>
      <c r="E59" s="14">
        <v>0.36596677626817603</v>
      </c>
      <c r="F59" s="14">
        <v>0.16194739102985137</v>
      </c>
      <c r="G59" s="14">
        <v>7.517655907142518E-7</v>
      </c>
      <c r="H59" s="14">
        <v>485.12533530986462</v>
      </c>
      <c r="I59" s="14">
        <v>878.84265352160378</v>
      </c>
      <c r="J59" s="14">
        <v>0</v>
      </c>
      <c r="K59" s="14">
        <v>6.174844766814874</v>
      </c>
      <c r="L59" s="14">
        <v>0.1619473910298514</v>
      </c>
      <c r="M59" s="14">
        <v>0.13287783433999306</v>
      </c>
      <c r="N59" s="14">
        <v>7.9152205267417344</v>
      </c>
      <c r="O59" s="14">
        <v>2305.3871306187975</v>
      </c>
      <c r="P59" s="8">
        <v>7.9152205267417344</v>
      </c>
      <c r="Q59" s="54">
        <v>0.42044687286157428</v>
      </c>
    </row>
    <row r="60" spans="1:17">
      <c r="A60" s="2" t="s">
        <v>341</v>
      </c>
      <c r="B60" s="16" t="s">
        <v>342</v>
      </c>
      <c r="D60" s="14">
        <v>1</v>
      </c>
      <c r="E60" s="14">
        <v>0.41644009340720617</v>
      </c>
      <c r="F60" s="14">
        <v>1.9511895106530099E-2</v>
      </c>
      <c r="G60" s="14">
        <v>2.2702199734384787E-5</v>
      </c>
      <c r="H60" s="14">
        <v>750.30778499815949</v>
      </c>
      <c r="I60" s="14">
        <v>3498.6187827397894</v>
      </c>
      <c r="J60" s="14">
        <v>0</v>
      </c>
      <c r="K60" s="14">
        <v>51.250788021370987</v>
      </c>
      <c r="L60" s="14">
        <v>1.9511895106530099E-2</v>
      </c>
      <c r="M60" s="14">
        <v>1.6009509934907948E-2</v>
      </c>
      <c r="N60" s="14">
        <v>31.781252085626928</v>
      </c>
      <c r="O60" s="14">
        <v>10655.618199268996</v>
      </c>
      <c r="P60" s="8">
        <v>31.781252085626932</v>
      </c>
      <c r="Q60" s="54">
        <v>0.36249049509535441</v>
      </c>
    </row>
    <row r="61" spans="1:17">
      <c r="A61" s="2" t="s">
        <v>483</v>
      </c>
      <c r="B61" s="16" t="s">
        <v>484</v>
      </c>
      <c r="D61" s="14">
        <v>1</v>
      </c>
      <c r="E61" s="14">
        <v>0.59332511512786057</v>
      </c>
      <c r="F61" s="14">
        <v>0.49993448236789223</v>
      </c>
      <c r="G61" s="14">
        <v>1.5241970519444502E-15</v>
      </c>
      <c r="H61" s="14">
        <v>228.00030255893611</v>
      </c>
      <c r="I61" s="14">
        <v>351.73423069048624</v>
      </c>
      <c r="J61" s="14">
        <v>0</v>
      </c>
      <c r="K61" s="14">
        <v>2.0002621048734124</v>
      </c>
      <c r="L61" s="14">
        <v>0.49993448236789229</v>
      </c>
      <c r="M61" s="14">
        <v>0.4101962427828556</v>
      </c>
      <c r="N61" s="14">
        <v>39.187650968249571</v>
      </c>
      <c r="O61" s="14">
        <v>18259.485968655888</v>
      </c>
      <c r="P61" s="8">
        <v>39.187650968249571</v>
      </c>
      <c r="Q61" s="54">
        <v>0.23747321712360572</v>
      </c>
    </row>
    <row r="62" spans="1:17">
      <c r="A62" s="2" t="s">
        <v>485</v>
      </c>
      <c r="B62" s="16" t="s">
        <v>486</v>
      </c>
      <c r="D62" s="14">
        <v>1</v>
      </c>
      <c r="E62" s="14">
        <v>0.42547661518599239</v>
      </c>
      <c r="F62" s="14">
        <v>0.33617837558892777</v>
      </c>
      <c r="G62" s="14">
        <v>4.1067499642779982E-9</v>
      </c>
      <c r="H62" s="14">
        <v>208.38659304463332</v>
      </c>
      <c r="I62" s="14">
        <v>423.96201258369405</v>
      </c>
      <c r="J62" s="14">
        <v>0</v>
      </c>
      <c r="K62" s="14">
        <v>2.9746113153416505</v>
      </c>
      <c r="L62" s="14">
        <v>0.33617837558892782</v>
      </c>
      <c r="M62" s="14">
        <v>0.27583435717071525</v>
      </c>
      <c r="N62" s="14">
        <v>4.0283798147406538</v>
      </c>
      <c r="O62" s="14">
        <v>1306.7661281037208</v>
      </c>
      <c r="P62" s="8">
        <v>4.0283798147406547</v>
      </c>
      <c r="Q62" s="54">
        <v>0.3839962163394649</v>
      </c>
    </row>
    <row r="63" spans="1:17">
      <c r="A63" s="2" t="s">
        <v>487</v>
      </c>
      <c r="B63" s="16" t="s">
        <v>488</v>
      </c>
      <c r="D63" s="14">
        <v>1</v>
      </c>
      <c r="E63" s="14">
        <v>0.95241399447261688</v>
      </c>
      <c r="F63" s="14">
        <v>0.94908237864242295</v>
      </c>
      <c r="G63" s="14">
        <v>8.1466247552764419E-15</v>
      </c>
      <c r="H63" s="14">
        <v>9.2943542319709405</v>
      </c>
      <c r="I63" s="14">
        <v>11.354750308081474</v>
      </c>
      <c r="J63" s="14">
        <v>0</v>
      </c>
      <c r="K63" s="14">
        <v>1.0536493169648877</v>
      </c>
      <c r="L63" s="14">
        <v>0.94908237864242306</v>
      </c>
      <c r="M63" s="14">
        <v>0.77872209167610806</v>
      </c>
      <c r="N63" s="14">
        <v>4.7063153462572851</v>
      </c>
      <c r="O63" s="14">
        <v>2078.1206042933668</v>
      </c>
      <c r="P63" s="8">
        <v>4.7063153462572851</v>
      </c>
      <c r="Q63" s="54">
        <v>2.7673085728275523E-2</v>
      </c>
    </row>
    <row r="64" spans="1:17">
      <c r="A64" s="2" t="s">
        <v>489</v>
      </c>
      <c r="B64" s="16" t="s">
        <v>490</v>
      </c>
      <c r="D64" s="14">
        <v>1</v>
      </c>
      <c r="E64" s="14">
        <v>0.99425064099081062</v>
      </c>
      <c r="F64" s="14">
        <v>0.99339880348787923</v>
      </c>
      <c r="G64" s="14">
        <v>1.4746122282418548E-16</v>
      </c>
      <c r="H64" s="14">
        <v>3.4785931111672381</v>
      </c>
      <c r="I64" s="14">
        <v>0.39989190131600377</v>
      </c>
      <c r="J64" s="14">
        <v>0</v>
      </c>
      <c r="K64" s="14">
        <v>1.0066450618713689</v>
      </c>
      <c r="L64" s="14">
        <v>0.99339880348787923</v>
      </c>
      <c r="M64" s="14">
        <v>0.81508371826180492</v>
      </c>
      <c r="N64" s="14">
        <v>0.98556260854449973</v>
      </c>
      <c r="O64" s="14">
        <v>395.63439794801855</v>
      </c>
      <c r="P64" s="8">
        <v>0.98556260854449973</v>
      </c>
      <c r="Q64" s="54">
        <v>2.9494606661192293E-3</v>
      </c>
    </row>
    <row r="65" spans="1:17">
      <c r="A65" s="2" t="s">
        <v>491</v>
      </c>
      <c r="B65" s="16" t="s">
        <v>492</v>
      </c>
      <c r="D65" s="14">
        <v>1</v>
      </c>
      <c r="E65" s="14">
        <v>0.99622641870770379</v>
      </c>
      <c r="F65" s="14">
        <v>0.99644895946649337</v>
      </c>
      <c r="G65" s="14">
        <v>2.434654936400277E-14</v>
      </c>
      <c r="H65" s="14">
        <v>0.45148254430278523</v>
      </c>
      <c r="I65" s="14">
        <v>0.18592855740640057</v>
      </c>
      <c r="J65" s="14">
        <v>0</v>
      </c>
      <c r="K65" s="14">
        <v>1.0035636953601796</v>
      </c>
      <c r="L65" s="14">
        <v>0.99644895946649348</v>
      </c>
      <c r="M65" s="14">
        <v>0.81758637124225786</v>
      </c>
      <c r="N65" s="14">
        <v>1.3166373784992238</v>
      </c>
      <c r="O65" s="14">
        <v>365.18254330054469</v>
      </c>
      <c r="P65" s="8">
        <v>1.3166373784992238</v>
      </c>
      <c r="Q65" s="54">
        <v>1.3029450481389009E-3</v>
      </c>
    </row>
    <row r="66" spans="1:17">
      <c r="A66" s="2" t="s">
        <v>493</v>
      </c>
      <c r="B66" s="16" t="s">
        <v>494</v>
      </c>
      <c r="D66" s="14">
        <v>1</v>
      </c>
      <c r="E66" s="14">
        <v>0.92729375003272385</v>
      </c>
      <c r="F66" s="14">
        <v>0.90361541977140225</v>
      </c>
      <c r="G66" s="14">
        <v>3.7294158033551531E-13</v>
      </c>
      <c r="H66" s="14">
        <v>66.629915293012516</v>
      </c>
      <c r="I66" s="14">
        <v>15.461218417678735</v>
      </c>
      <c r="J66" s="14">
        <v>0</v>
      </c>
      <c r="K66" s="14">
        <v>1.1066654885692202</v>
      </c>
      <c r="L66" s="14">
        <v>0.90361541977140236</v>
      </c>
      <c r="M66" s="14">
        <v>0.74141645192243555</v>
      </c>
      <c r="N66" s="14">
        <v>37.514143069492512</v>
      </c>
      <c r="O66" s="14">
        <v>12170.338294604762</v>
      </c>
      <c r="P66" s="8">
        <v>37.514143069492512</v>
      </c>
      <c r="Q66" s="54">
        <v>1.3625853504584813E-2</v>
      </c>
    </row>
    <row r="67" spans="1:17">
      <c r="A67" s="2" t="s">
        <v>495</v>
      </c>
      <c r="B67" s="16" t="s">
        <v>496</v>
      </c>
      <c r="D67" s="14">
        <v>1</v>
      </c>
      <c r="E67" s="14">
        <v>0.99606707392188865</v>
      </c>
      <c r="F67" s="14">
        <v>0.99631422782108736</v>
      </c>
      <c r="G67" s="14">
        <v>1.9017123231523214E-14</v>
      </c>
      <c r="H67" s="14">
        <v>0.38065021787398462</v>
      </c>
      <c r="I67" s="14">
        <v>0.19266491363772564</v>
      </c>
      <c r="J67" s="14">
        <v>0</v>
      </c>
      <c r="K67" s="14">
        <v>1.0036994073516075</v>
      </c>
      <c r="L67" s="14">
        <v>0.99631422782108747</v>
      </c>
      <c r="M67" s="14">
        <v>0.81747582392720231</v>
      </c>
      <c r="N67" s="14">
        <v>1.2590932663894585</v>
      </c>
      <c r="O67" s="14">
        <v>394.6250115517841</v>
      </c>
      <c r="P67" s="8">
        <v>1.2590932663894585</v>
      </c>
      <c r="Q67" s="54">
        <v>1.4648819648317374E-3</v>
      </c>
    </row>
    <row r="68" spans="1:17">
      <c r="A68" s="2" t="s">
        <v>497</v>
      </c>
      <c r="B68" s="16" t="s">
        <v>498</v>
      </c>
      <c r="D68" s="14">
        <v>1</v>
      </c>
      <c r="E68" s="14">
        <v>0.99769767937439657</v>
      </c>
      <c r="F68" s="14">
        <v>0.99806960866102168</v>
      </c>
      <c r="G68" s="14">
        <v>1.719939195303903E-13</v>
      </c>
      <c r="H68" s="14">
        <v>4.5273847085816214E-2</v>
      </c>
      <c r="I68" s="14">
        <v>3.2342612014742735E-2</v>
      </c>
      <c r="J68" s="14">
        <v>0</v>
      </c>
      <c r="K68" s="14">
        <v>1.0019341249570439</v>
      </c>
      <c r="L68" s="14">
        <v>0.99806960866102168</v>
      </c>
      <c r="M68" s="14">
        <v>0.81891611390636831</v>
      </c>
      <c r="N68" s="14">
        <v>1.0181557786804847</v>
      </c>
      <c r="O68" s="14">
        <v>277.3049078814168</v>
      </c>
      <c r="P68" s="8">
        <v>1.0181557786804847</v>
      </c>
      <c r="Q68" s="54">
        <v>5.9190920098060537E-4</v>
      </c>
    </row>
    <row r="69" spans="1:17">
      <c r="A69" s="2" t="s">
        <v>499</v>
      </c>
      <c r="B69" s="16" t="s">
        <v>500</v>
      </c>
      <c r="D69" s="14">
        <v>1</v>
      </c>
      <c r="E69" s="14">
        <v>0.43913156368158146</v>
      </c>
      <c r="F69" s="14">
        <v>3.5435626620703854E-2</v>
      </c>
      <c r="G69" s="14">
        <v>3.9394047536566862E-13</v>
      </c>
      <c r="H69" s="14">
        <v>912.62448620726082</v>
      </c>
      <c r="I69" s="14">
        <v>2173.9987383788634</v>
      </c>
      <c r="J69" s="14">
        <v>0</v>
      </c>
      <c r="K69" s="14">
        <v>28.220186726308189</v>
      </c>
      <c r="L69" s="14">
        <v>3.5435626620703854E-2</v>
      </c>
      <c r="M69" s="14">
        <v>2.9074931642287513E-2</v>
      </c>
      <c r="N69" s="14">
        <v>19.600569107764496</v>
      </c>
      <c r="O69" s="14">
        <v>8420.2084830045496</v>
      </c>
      <c r="P69" s="8">
        <v>19.6005691077645</v>
      </c>
      <c r="Q69" s="54">
        <v>0.36006365668416318</v>
      </c>
    </row>
    <row r="70" spans="1:17">
      <c r="A70" s="2" t="s">
        <v>501</v>
      </c>
      <c r="B70" s="16" t="s">
        <v>411</v>
      </c>
      <c r="D70" s="14">
        <v>1</v>
      </c>
      <c r="E70" s="14">
        <v>0.99855180544400424</v>
      </c>
      <c r="F70" s="14">
        <v>0.99584490065528042</v>
      </c>
      <c r="G70" s="14">
        <v>3.1689850583726051E-15</v>
      </c>
      <c r="H70" s="14">
        <v>8.7961313079494943</v>
      </c>
      <c r="I70" s="14">
        <v>7.7401422699147591E-3</v>
      </c>
      <c r="J70" s="14">
        <v>0</v>
      </c>
      <c r="K70" s="14">
        <v>1.0041724362317719</v>
      </c>
      <c r="L70" s="14">
        <v>0.99584490065528053</v>
      </c>
      <c r="M70" s="14">
        <v>0.81709074098765766</v>
      </c>
      <c r="N70" s="14">
        <v>0.99289896612579465</v>
      </c>
      <c r="O70" s="14">
        <v>297.96897973435102</v>
      </c>
      <c r="P70" s="8">
        <v>0.99289896612579476</v>
      </c>
      <c r="Q70" s="54">
        <v>3.9241802115710575E-5</v>
      </c>
    </row>
    <row r="71" spans="1:17">
      <c r="A71" s="2" t="s">
        <v>502</v>
      </c>
      <c r="B71" s="16" t="s">
        <v>412</v>
      </c>
      <c r="D71" s="14">
        <v>1</v>
      </c>
      <c r="E71" s="14">
        <v>0.99851611191765022</v>
      </c>
      <c r="F71" s="14">
        <v>0.99299046604381724</v>
      </c>
      <c r="G71" s="14">
        <v>1.4833141242473864E-10</v>
      </c>
      <c r="H71" s="14">
        <v>16.803706165891565</v>
      </c>
      <c r="I71" s="14">
        <v>1.413946600394763E-2</v>
      </c>
      <c r="J71" s="14">
        <v>0</v>
      </c>
      <c r="K71" s="14">
        <v>1.0070590143570155</v>
      </c>
      <c r="L71" s="14">
        <v>0.99299046604381724</v>
      </c>
      <c r="M71" s="14">
        <v>0.81474867738895207</v>
      </c>
      <c r="N71" s="14">
        <v>1.0016195643414554</v>
      </c>
      <c r="O71" s="14">
        <v>328.68146003864854</v>
      </c>
      <c r="P71" s="8">
        <v>1.0016195643414554</v>
      </c>
      <c r="Q71" s="54">
        <v>5.5084956150135233E-5</v>
      </c>
    </row>
    <row r="72" spans="1:17">
      <c r="A72" s="2" t="s">
        <v>503</v>
      </c>
      <c r="B72" s="16" t="s">
        <v>413</v>
      </c>
      <c r="D72" s="14">
        <v>1</v>
      </c>
      <c r="E72" s="14">
        <v>0.96781215941433818</v>
      </c>
      <c r="F72" s="14">
        <v>3.6568354786340053E-2</v>
      </c>
      <c r="G72" s="14">
        <v>1.79165294493171E-11</v>
      </c>
      <c r="H72" s="14">
        <v>2645.6075532737636</v>
      </c>
      <c r="I72" s="14">
        <v>11.249970831239763</v>
      </c>
      <c r="J72" s="14">
        <v>0</v>
      </c>
      <c r="K72" s="14">
        <v>27.346048402854198</v>
      </c>
      <c r="L72" s="14">
        <v>3.6568354786340053E-2</v>
      </c>
      <c r="M72" s="14">
        <v>3.0004335102192015E-2</v>
      </c>
      <c r="N72" s="14">
        <v>22.402578914569819</v>
      </c>
      <c r="O72" s="14">
        <v>10396.588822673561</v>
      </c>
      <c r="P72" s="8">
        <v>22.402578914569819</v>
      </c>
      <c r="Q72" s="54">
        <v>5.5635423262407734E-4</v>
      </c>
    </row>
    <row r="73" spans="1:17">
      <c r="A73" s="2" t="s">
        <v>504</v>
      </c>
      <c r="B73" s="16" t="s">
        <v>414</v>
      </c>
      <c r="D73" s="14">
        <v>1</v>
      </c>
      <c r="E73" s="14">
        <v>0.99615266347252385</v>
      </c>
      <c r="F73" s="14">
        <v>0.27229813388412555</v>
      </c>
      <c r="G73" s="14">
        <v>1.8792005503545595E-11</v>
      </c>
      <c r="H73" s="14">
        <v>2057.52284068156</v>
      </c>
      <c r="I73" s="14">
        <v>1.101211250306062</v>
      </c>
      <c r="J73" s="14">
        <v>0</v>
      </c>
      <c r="K73" s="14">
        <v>3.6724452927229483</v>
      </c>
      <c r="L73" s="14">
        <v>0.27229813388412555</v>
      </c>
      <c r="M73" s="14">
        <v>0.22342061885192502</v>
      </c>
      <c r="N73" s="14">
        <v>2.3648845490262107</v>
      </c>
      <c r="O73" s="14">
        <v>742.69199262168149</v>
      </c>
      <c r="P73" s="8">
        <v>2.3648845490262107</v>
      </c>
      <c r="Q73" s="54">
        <v>3.6213511560212892E-4</v>
      </c>
    </row>
    <row r="74" spans="1:17">
      <c r="A74" s="2" t="s">
        <v>505</v>
      </c>
      <c r="B74" s="16" t="s">
        <v>415</v>
      </c>
      <c r="D74" s="14">
        <v>1</v>
      </c>
      <c r="E74" s="14">
        <v>0.99852283301000444</v>
      </c>
      <c r="F74" s="14">
        <v>0.99355715561619451</v>
      </c>
      <c r="G74" s="14">
        <v>1.8249094554821187E-11</v>
      </c>
      <c r="H74" s="14">
        <v>15.212929599451272</v>
      </c>
      <c r="I74" s="14">
        <v>1.2856975907440168E-2</v>
      </c>
      <c r="J74" s="14">
        <v>0</v>
      </c>
      <c r="K74" s="14">
        <v>1.0064846238058742</v>
      </c>
      <c r="L74" s="14">
        <v>0.99355715561619451</v>
      </c>
      <c r="M74" s="14">
        <v>0.81521364618308756</v>
      </c>
      <c r="N74" s="14">
        <v>0.99992217968540242</v>
      </c>
      <c r="O74" s="14">
        <v>214.02334333986352</v>
      </c>
      <c r="P74" s="8">
        <v>0.99992217968540242</v>
      </c>
      <c r="Q74" s="54">
        <v>5.2160149811786175E-5</v>
      </c>
    </row>
    <row r="75" spans="1:17">
      <c r="A75" s="2" t="s">
        <v>506</v>
      </c>
      <c r="B75" s="16" t="s">
        <v>416</v>
      </c>
      <c r="D75" s="14">
        <v>1</v>
      </c>
      <c r="E75" s="14">
        <v>0.99619922398511762</v>
      </c>
      <c r="F75" s="14">
        <v>0.30828849099514649</v>
      </c>
      <c r="G75" s="14">
        <v>7.7173070134755998E-11</v>
      </c>
      <c r="H75" s="14">
        <v>1955.4076593031791</v>
      </c>
      <c r="I75" s="14">
        <v>1.0601401597412803</v>
      </c>
      <c r="J75" s="14">
        <v>0</v>
      </c>
      <c r="K75" s="14">
        <v>3.2437149916690968</v>
      </c>
      <c r="L75" s="14">
        <v>0.30828849099514649</v>
      </c>
      <c r="M75" s="14">
        <v>0.25295070686151772</v>
      </c>
      <c r="N75" s="14">
        <v>2.3188019560971376</v>
      </c>
      <c r="O75" s="14">
        <v>960.14632596114166</v>
      </c>
      <c r="P75" s="8">
        <v>2.3188019560971376</v>
      </c>
      <c r="Q75" s="54">
        <v>3.7425127326966924E-4</v>
      </c>
    </row>
    <row r="76" spans="1:17">
      <c r="A76" s="2" t="s">
        <v>507</v>
      </c>
      <c r="B76" s="16" t="s">
        <v>417</v>
      </c>
      <c r="D76" s="14">
        <v>1</v>
      </c>
      <c r="E76" s="14">
        <v>0.99788297948297966</v>
      </c>
      <c r="F76" s="14">
        <v>0.88912129088491465</v>
      </c>
      <c r="G76" s="14">
        <v>4.9035325595737656E-10</v>
      </c>
      <c r="H76" s="14">
        <v>310.08517972912819</v>
      </c>
      <c r="I76" s="14">
        <v>0.20878963702932007</v>
      </c>
      <c r="J76" s="14">
        <v>0</v>
      </c>
      <c r="K76" s="14">
        <v>1.1247059431056152</v>
      </c>
      <c r="L76" s="14">
        <v>0.88912129088491465</v>
      </c>
      <c r="M76" s="14">
        <v>0.72952401917107246</v>
      </c>
      <c r="N76" s="14">
        <v>1.2595005216193824</v>
      </c>
      <c r="O76" s="14">
        <v>539.28033834177097</v>
      </c>
      <c r="P76" s="8">
        <v>1.2595005216193824</v>
      </c>
      <c r="Q76" s="54">
        <v>2.3873106709802641E-4</v>
      </c>
    </row>
    <row r="77" spans="1:17">
      <c r="A77" s="2" t="s">
        <v>508</v>
      </c>
      <c r="B77" s="16" t="s">
        <v>418</v>
      </c>
      <c r="D77" s="14">
        <v>1</v>
      </c>
      <c r="E77" s="14">
        <v>0.99616294967783436</v>
      </c>
      <c r="F77" s="14">
        <v>0.28230951690635753</v>
      </c>
      <c r="G77" s="14">
        <v>5.7482225257973064E-10</v>
      </c>
      <c r="H77" s="14">
        <v>2029.1096619996117</v>
      </c>
      <c r="I77" s="14">
        <v>1.0932851474807816</v>
      </c>
      <c r="J77" s="14">
        <v>0</v>
      </c>
      <c r="K77" s="14">
        <v>3.5422114385598324</v>
      </c>
      <c r="L77" s="14">
        <v>0.28230951690635753</v>
      </c>
      <c r="M77" s="14">
        <v>0.23163495862166636</v>
      </c>
      <c r="N77" s="14">
        <v>2.3524720602777092</v>
      </c>
      <c r="O77" s="14">
        <v>1242.5286927974803</v>
      </c>
      <c r="P77" s="8">
        <v>2.3524720602777096</v>
      </c>
      <c r="Q77" s="54">
        <v>3.6688795004751552E-4</v>
      </c>
    </row>
    <row r="78" spans="1:17">
      <c r="A78" s="2" t="s">
        <v>509</v>
      </c>
      <c r="B78" s="16" t="s">
        <v>419</v>
      </c>
      <c r="D78" s="14">
        <v>1</v>
      </c>
      <c r="E78" s="14">
        <v>0.97289220768570994</v>
      </c>
      <c r="F78" s="14">
        <v>4.0619769232969283E-2</v>
      </c>
      <c r="G78" s="14">
        <v>7.2138302344927567E-11</v>
      </c>
      <c r="H78" s="14">
        <v>2648.728544296112</v>
      </c>
      <c r="I78" s="14">
        <v>9.463753643009678</v>
      </c>
      <c r="J78" s="14">
        <v>0</v>
      </c>
      <c r="K78" s="14">
        <v>24.618554435024805</v>
      </c>
      <c r="L78" s="14">
        <v>4.0619769232969283E-2</v>
      </c>
      <c r="M78" s="14">
        <v>3.3328520655651298E-2</v>
      </c>
      <c r="N78" s="14">
        <v>18.803421159522294</v>
      </c>
      <c r="O78" s="14">
        <v>10606.821841874933</v>
      </c>
      <c r="P78" s="8">
        <v>18.803421159522298</v>
      </c>
      <c r="Q78" s="54">
        <v>5.2852243399530109E-4</v>
      </c>
    </row>
    <row r="79" spans="1:17">
      <c r="A79" s="2" t="s">
        <v>510</v>
      </c>
      <c r="B79" s="16" t="s">
        <v>420</v>
      </c>
      <c r="D79" s="14">
        <v>1</v>
      </c>
      <c r="E79" s="14">
        <v>0.97289235047341371</v>
      </c>
      <c r="F79" s="14">
        <v>4.0619777570757888E-2</v>
      </c>
      <c r="G79" s="14">
        <v>1.8120326911950693E-15</v>
      </c>
      <c r="H79" s="14">
        <v>2648.7290879855291</v>
      </c>
      <c r="I79" s="14">
        <v>9.4622578925098466</v>
      </c>
      <c r="J79" s="14">
        <v>0</v>
      </c>
      <c r="K79" s="14">
        <v>24.618549381715432</v>
      </c>
      <c r="L79" s="14">
        <v>4.0619777570757888E-2</v>
      </c>
      <c r="M79" s="14">
        <v>3.3328527496806849E-2</v>
      </c>
      <c r="N79" s="14">
        <v>18.803412200579636</v>
      </c>
      <c r="O79" s="14">
        <v>9404.1505438758941</v>
      </c>
      <c r="P79" s="8">
        <v>18.80341220057964</v>
      </c>
      <c r="Q79" s="54">
        <v>5.2843890078800918E-4</v>
      </c>
    </row>
    <row r="80" spans="1:17">
      <c r="A80" s="2" t="s">
        <v>511</v>
      </c>
      <c r="B80" s="16" t="s">
        <v>421</v>
      </c>
      <c r="D80" s="14">
        <v>1</v>
      </c>
      <c r="E80" s="14">
        <v>0.99703814132979218</v>
      </c>
      <c r="F80" s="14">
        <v>0.66584236187016732</v>
      </c>
      <c r="G80" s="14">
        <v>8.6752078338116391E-11</v>
      </c>
      <c r="H80" s="14">
        <v>942.00112651144923</v>
      </c>
      <c r="I80" s="14">
        <v>0.57039721547526046</v>
      </c>
      <c r="J80" s="14">
        <v>0</v>
      </c>
      <c r="K80" s="14">
        <v>1.5018569818707181</v>
      </c>
      <c r="L80" s="14">
        <v>0.66584236187016732</v>
      </c>
      <c r="M80" s="14">
        <v>0.54632365791447235</v>
      </c>
      <c r="N80" s="14">
        <v>1.7242755555246962</v>
      </c>
      <c r="O80" s="14">
        <v>627.73975874432085</v>
      </c>
      <c r="P80" s="8">
        <v>1.7242755555246962</v>
      </c>
      <c r="Q80" s="54">
        <v>3.6980893223056022E-4</v>
      </c>
    </row>
    <row r="81" spans="1:17">
      <c r="A81" s="2" t="s">
        <v>512</v>
      </c>
      <c r="B81" s="16" t="s">
        <v>422</v>
      </c>
      <c r="D81" s="14">
        <v>1</v>
      </c>
      <c r="E81" s="14">
        <v>0.99836264514652329</v>
      </c>
      <c r="F81" s="14">
        <v>0.97518750188531256</v>
      </c>
      <c r="G81" s="14">
        <v>3.441411396712782E-11</v>
      </c>
      <c r="H81" s="14">
        <v>66.943455589831672</v>
      </c>
      <c r="I81" s="14">
        <v>5.0656374191460248E-2</v>
      </c>
      <c r="J81" s="14">
        <v>0</v>
      </c>
      <c r="K81" s="14">
        <v>1.0254438229229947</v>
      </c>
      <c r="L81" s="14">
        <v>0.97518750188531256</v>
      </c>
      <c r="M81" s="14">
        <v>0.80014134529689895</v>
      </c>
      <c r="N81" s="14">
        <v>1.0511231756616808</v>
      </c>
      <c r="O81" s="14">
        <v>277.54907453346686</v>
      </c>
      <c r="P81" s="8">
        <v>1.0511231756616808</v>
      </c>
      <c r="Q81" s="54">
        <v>1.1190103443914226E-4</v>
      </c>
    </row>
    <row r="82" spans="1:17">
      <c r="A82" s="2" t="s">
        <v>513</v>
      </c>
      <c r="B82" s="16" t="s">
        <v>423</v>
      </c>
      <c r="D82" s="14">
        <v>1</v>
      </c>
      <c r="E82" s="14">
        <v>0.99813332170782554</v>
      </c>
      <c r="F82" s="14">
        <v>0.93839246333018445</v>
      </c>
      <c r="G82" s="14">
        <v>1.1024857855147973E-14</v>
      </c>
      <c r="H82" s="14">
        <v>170.82227878542656</v>
      </c>
      <c r="I82" s="14">
        <v>0.12028230740316298</v>
      </c>
      <c r="J82" s="14">
        <v>0</v>
      </c>
      <c r="K82" s="14">
        <v>1.0656522074475978</v>
      </c>
      <c r="L82" s="14">
        <v>0.93839246333018445</v>
      </c>
      <c r="M82" s="14">
        <v>0.76995101616241635</v>
      </c>
      <c r="N82" s="14">
        <v>1.1439460117766596</v>
      </c>
      <c r="O82" s="14">
        <v>457.7042387719593</v>
      </c>
      <c r="P82" s="8">
        <v>1.1439460117766598</v>
      </c>
      <c r="Q82" s="54">
        <v>1.7897886541901184E-4</v>
      </c>
    </row>
    <row r="83" spans="1:17">
      <c r="A83" s="2" t="s">
        <v>514</v>
      </c>
      <c r="B83" s="16" t="s">
        <v>424</v>
      </c>
      <c r="D83" s="14">
        <v>1</v>
      </c>
      <c r="E83" s="14">
        <v>0.94864555901483372</v>
      </c>
      <c r="F83" s="14">
        <v>2.7184112002059745E-2</v>
      </c>
      <c r="G83" s="14">
        <v>2.5494330807595615E-11</v>
      </c>
      <c r="H83" s="14">
        <v>2617.0688659291136</v>
      </c>
      <c r="I83" s="14">
        <v>17.961438907826327</v>
      </c>
      <c r="J83" s="14">
        <v>0</v>
      </c>
      <c r="K83" s="14">
        <v>36.786193344267772</v>
      </c>
      <c r="L83" s="14">
        <v>2.7184112002059748E-2</v>
      </c>
      <c r="M83" s="14">
        <v>2.2304563897690022E-2</v>
      </c>
      <c r="N83" s="14">
        <v>36.008905772133652</v>
      </c>
      <c r="O83" s="14">
        <v>18511.458279338469</v>
      </c>
      <c r="P83" s="8">
        <v>36.008905772133652</v>
      </c>
      <c r="Q83" s="54">
        <v>6.3583016154030694E-4</v>
      </c>
    </row>
    <row r="84" spans="1:17">
      <c r="A84" s="2" t="s">
        <v>403</v>
      </c>
      <c r="B84" s="16" t="s">
        <v>404</v>
      </c>
      <c r="D84" s="14">
        <v>1</v>
      </c>
      <c r="E84" s="14">
        <v>0.48893832142973098</v>
      </c>
      <c r="F84" s="14">
        <v>0.43156310716308166</v>
      </c>
      <c r="G84" s="14">
        <v>7.5212980489924924E-46</v>
      </c>
      <c r="H84" s="14">
        <v>132.82025547851489</v>
      </c>
      <c r="I84" s="14">
        <v>284.52568791539682</v>
      </c>
      <c r="J84" s="14">
        <v>0</v>
      </c>
      <c r="K84" s="14">
        <v>2.3171582171923562</v>
      </c>
      <c r="L84" s="14">
        <v>0.43156310716308166</v>
      </c>
      <c r="M84" s="14">
        <v>0.35409752942730854</v>
      </c>
      <c r="N84" s="14">
        <v>2.89306881316109</v>
      </c>
      <c r="O84" s="14">
        <v>3479.2334853956581</v>
      </c>
      <c r="P84" s="8">
        <v>2.8930688131610904</v>
      </c>
      <c r="Q84" s="54">
        <v>0.34223268300649434</v>
      </c>
    </row>
    <row r="85" spans="1:17">
      <c r="A85" s="2" t="s">
        <v>405</v>
      </c>
      <c r="B85" s="16" t="s">
        <v>406</v>
      </c>
      <c r="D85" s="14">
        <v>1</v>
      </c>
      <c r="E85" s="14">
        <v>0.21488761574343751</v>
      </c>
      <c r="F85" s="14">
        <v>8.118030532613825E-2</v>
      </c>
      <c r="G85" s="14">
        <v>2.4621686331601723E-10</v>
      </c>
      <c r="H85" s="14">
        <v>361.22848674807483</v>
      </c>
      <c r="I85" s="14">
        <v>174.85070973907784</v>
      </c>
      <c r="J85" s="14">
        <v>0</v>
      </c>
      <c r="K85" s="14">
        <v>12.318258671023033</v>
      </c>
      <c r="L85" s="14">
        <v>8.1180305326138263E-2</v>
      </c>
      <c r="M85" s="14">
        <v>6.6608440520096443E-2</v>
      </c>
      <c r="N85" s="14">
        <v>542.93643035634852</v>
      </c>
      <c r="O85" s="14">
        <v>173120.71018342528</v>
      </c>
      <c r="P85" s="8">
        <v>542.93643035634852</v>
      </c>
      <c r="Q85" s="54">
        <v>1.6875917728756001E-2</v>
      </c>
    </row>
    <row r="86" spans="1:17">
      <c r="A86" s="2" t="s">
        <v>407</v>
      </c>
      <c r="B86" s="16" t="s">
        <v>408</v>
      </c>
      <c r="D86" s="14">
        <v>1</v>
      </c>
      <c r="E86" s="14">
        <v>0.49700561261072884</v>
      </c>
      <c r="F86" s="14">
        <v>1.9527393264984142E-3</v>
      </c>
      <c r="G86" s="14">
        <v>1.5675909962248296E-6</v>
      </c>
      <c r="H86" s="14">
        <v>268.10460445832541</v>
      </c>
      <c r="I86" s="14">
        <v>10545.360802829271</v>
      </c>
      <c r="J86" s="14">
        <v>0</v>
      </c>
      <c r="K86" s="14">
        <v>512.10112196243108</v>
      </c>
      <c r="L86" s="14">
        <v>1.9527393264984145E-3</v>
      </c>
      <c r="M86" s="14">
        <v>1.6022226173919491E-3</v>
      </c>
      <c r="N86" s="14">
        <v>98.42773873023225</v>
      </c>
      <c r="O86" s="14">
        <v>47815.211197759527</v>
      </c>
      <c r="P86" s="8">
        <v>98.42773873023225</v>
      </c>
      <c r="Q86" s="54">
        <v>0.24641176723466787</v>
      </c>
    </row>
    <row r="87" spans="1:17">
      <c r="A87" s="2" t="s">
        <v>409</v>
      </c>
      <c r="B87" s="16" t="s">
        <v>410</v>
      </c>
      <c r="D87" s="14">
        <v>1</v>
      </c>
      <c r="E87" s="14">
        <v>0.55567353899793803</v>
      </c>
      <c r="F87" s="14">
        <v>7.4600408766810811E-4</v>
      </c>
      <c r="G87" s="14">
        <v>2.1398813556948877E-7</v>
      </c>
      <c r="H87" s="14">
        <v>159.27998538139795</v>
      </c>
      <c r="I87" s="14">
        <v>13128.598833576643</v>
      </c>
      <c r="J87" s="14">
        <v>0</v>
      </c>
      <c r="K87" s="14">
        <v>1340.4752286624102</v>
      </c>
      <c r="L87" s="14">
        <v>7.4600408766810811E-4</v>
      </c>
      <c r="M87" s="14">
        <v>6.120963539316827E-4</v>
      </c>
      <c r="N87" s="14">
        <v>123.7260790998486</v>
      </c>
      <c r="O87" s="14">
        <v>69866.879606893519</v>
      </c>
      <c r="P87" s="8">
        <v>123.72607909984862</v>
      </c>
      <c r="Q87" s="54">
        <v>0.18298621664779902</v>
      </c>
    </row>
    <row r="88" spans="1:17">
      <c r="A88" s="2" t="s">
        <v>301</v>
      </c>
      <c r="B88" s="16" t="s">
        <v>302</v>
      </c>
      <c r="D88" s="14">
        <v>1</v>
      </c>
      <c r="E88" s="14">
        <v>0.61629833907981801</v>
      </c>
      <c r="F88" s="14">
        <v>2.2927131560692684E-4</v>
      </c>
      <c r="G88" s="14">
        <v>2.8938646235468782E-8</v>
      </c>
      <c r="H88" s="14">
        <v>80.881597983693425</v>
      </c>
      <c r="I88" s="14">
        <v>15463.467781809422</v>
      </c>
      <c r="J88" s="14">
        <v>0</v>
      </c>
      <c r="K88" s="14">
        <v>4361.6446189650933</v>
      </c>
      <c r="L88" s="14">
        <v>2.2927131560692684E-4</v>
      </c>
      <c r="M88" s="14">
        <v>1.8811711445548349E-4</v>
      </c>
      <c r="N88" s="14">
        <v>147.34202382301513</v>
      </c>
      <c r="O88" s="14">
        <v>94826.379692016082</v>
      </c>
      <c r="P88" s="8">
        <v>147.34202382301515</v>
      </c>
      <c r="Q88" s="54">
        <v>0.11975865058561472</v>
      </c>
    </row>
    <row r="89" spans="1:17">
      <c r="A89" s="2" t="s">
        <v>303</v>
      </c>
      <c r="B89" s="16" t="s">
        <v>304</v>
      </c>
      <c r="D89" s="14">
        <v>1</v>
      </c>
      <c r="E89" s="14">
        <v>2.7468688733327393E-2</v>
      </c>
      <c r="F89" s="14">
        <v>6.5412790202266263E-4</v>
      </c>
      <c r="G89" s="14">
        <v>9.4196970746159909E-16</v>
      </c>
      <c r="H89" s="14">
        <v>21.165632086129719</v>
      </c>
      <c r="I89" s="14">
        <v>509.6815748247941</v>
      </c>
      <c r="J89" s="14">
        <v>0</v>
      </c>
      <c r="K89" s="14">
        <v>1528.7530113114706</v>
      </c>
      <c r="L89" s="14">
        <v>6.5412790202266263E-4</v>
      </c>
      <c r="M89" s="14">
        <v>5.367119436095947E-4</v>
      </c>
      <c r="N89" s="14">
        <v>688.82986943594938</v>
      </c>
      <c r="O89" s="14">
        <v>444508.80304571247</v>
      </c>
      <c r="P89" s="8">
        <v>688.82986943594949</v>
      </c>
      <c r="Q89" s="54">
        <v>5.514408487974666E-3</v>
      </c>
    </row>
    <row r="90" spans="1:17">
      <c r="A90" s="2" t="s">
        <v>425</v>
      </c>
      <c r="B90" s="16" t="s">
        <v>426</v>
      </c>
      <c r="D90" s="14">
        <v>1</v>
      </c>
      <c r="E90" s="14">
        <v>0.97361867013800907</v>
      </c>
      <c r="F90" s="14">
        <v>0.97387634948863255</v>
      </c>
      <c r="G90" s="14">
        <v>1.7739454983612259E-15</v>
      </c>
      <c r="H90" s="14">
        <v>0.25953971246209373</v>
      </c>
      <c r="I90" s="14">
        <v>0.80684613232631175</v>
      </c>
      <c r="J90" s="14">
        <v>0</v>
      </c>
      <c r="K90" s="14">
        <v>1.026824401809413</v>
      </c>
      <c r="L90" s="14">
        <v>0.97387634948863255</v>
      </c>
      <c r="M90" s="14">
        <v>0.79906554475542302</v>
      </c>
      <c r="N90" s="14">
        <v>0.96416116416897901</v>
      </c>
      <c r="O90" s="14">
        <v>267.32332437749113</v>
      </c>
      <c r="P90" s="8">
        <v>0.96416116416897901</v>
      </c>
      <c r="Q90" s="54">
        <v>1.6896265356596468E-2</v>
      </c>
    </row>
    <row r="91" spans="1:17">
      <c r="A91" s="2" t="s">
        <v>427</v>
      </c>
      <c r="B91" s="16" t="s">
        <v>428</v>
      </c>
      <c r="D91" s="14">
        <v>1</v>
      </c>
      <c r="E91" s="14">
        <v>0.77248428522868096</v>
      </c>
      <c r="F91" s="14">
        <v>0.76528603804717144</v>
      </c>
      <c r="G91" s="14">
        <v>9.7434391622505093E-7</v>
      </c>
      <c r="H91" s="14">
        <v>16.629676086289383</v>
      </c>
      <c r="I91" s="14">
        <v>43.305290957414392</v>
      </c>
      <c r="J91" s="14">
        <v>0</v>
      </c>
      <c r="K91" s="14">
        <v>1.3067009592279548</v>
      </c>
      <c r="L91" s="14">
        <v>0.76528603804717144</v>
      </c>
      <c r="M91" s="14">
        <v>0.6279171942177042</v>
      </c>
      <c r="N91" s="14">
        <v>1.1208103931689364</v>
      </c>
      <c r="O91" s="14">
        <v>185.14666884757659</v>
      </c>
      <c r="P91" s="8">
        <v>1.1208103931689364</v>
      </c>
      <c r="Q91" s="54">
        <v>0.15245475025618499</v>
      </c>
    </row>
    <row r="92" spans="1:17">
      <c r="A92" s="2" t="s">
        <v>429</v>
      </c>
      <c r="B92" s="16" t="s">
        <v>430</v>
      </c>
      <c r="D92" s="14">
        <v>1</v>
      </c>
      <c r="E92" s="14">
        <v>0.3894178284759125</v>
      </c>
      <c r="F92" s="14">
        <v>0.26719158523183778</v>
      </c>
      <c r="G92" s="14">
        <v>1.1777992252331492E-5</v>
      </c>
      <c r="H92" s="14">
        <v>287.10633586363406</v>
      </c>
      <c r="I92" s="14">
        <v>560.91873687896043</v>
      </c>
      <c r="J92" s="14">
        <v>0</v>
      </c>
      <c r="K92" s="14">
        <v>3.7426328345345019</v>
      </c>
      <c r="L92" s="14">
        <v>0.26719158523183778</v>
      </c>
      <c r="M92" s="14">
        <v>0.21923069568272291</v>
      </c>
      <c r="N92" s="14">
        <v>5.1752116669996777</v>
      </c>
      <c r="O92" s="14">
        <v>932.78015086002188</v>
      </c>
      <c r="P92" s="8">
        <v>5.1752116669996777</v>
      </c>
      <c r="Q92" s="54">
        <v>0.40653687772411518</v>
      </c>
    </row>
    <row r="93" spans="1:17">
      <c r="A93" s="2" t="s">
        <v>431</v>
      </c>
      <c r="B93" s="16" t="s">
        <v>432</v>
      </c>
      <c r="D93" s="14">
        <v>1</v>
      </c>
      <c r="E93" s="14">
        <v>0.99846974767237617</v>
      </c>
      <c r="F93" s="14">
        <v>0.99842286134868241</v>
      </c>
      <c r="G93" s="14">
        <v>1.3380345765102686E-19</v>
      </c>
      <c r="H93" s="14">
        <v>1.2385242565849754</v>
      </c>
      <c r="I93" s="14">
        <v>9.187303290909948E-3</v>
      </c>
      <c r="J93" s="14">
        <v>0</v>
      </c>
      <c r="K93" s="14">
        <v>1.0015796299467612</v>
      </c>
      <c r="L93" s="14">
        <v>0.99842286134868252</v>
      </c>
      <c r="M93" s="14">
        <v>0.81920595773659399</v>
      </c>
      <c r="N93" s="14">
        <v>0.9838540696950383</v>
      </c>
      <c r="O93" s="14">
        <v>382.61100916370344</v>
      </c>
      <c r="P93" s="8">
        <v>0.98385406969503841</v>
      </c>
      <c r="Q93" s="54">
        <v>1.0317822528428344E-4</v>
      </c>
    </row>
    <row r="94" spans="1:17">
      <c r="A94" s="2" t="s">
        <v>433</v>
      </c>
      <c r="B94" s="16" t="s">
        <v>434</v>
      </c>
      <c r="D94" s="14">
        <v>1</v>
      </c>
      <c r="E94" s="14">
        <v>0.99861358985987481</v>
      </c>
      <c r="F94" s="14">
        <v>0.99900134890990577</v>
      </c>
      <c r="G94" s="14">
        <v>2.8169851806630784E-20</v>
      </c>
      <c r="H94" s="14">
        <v>4.8012693988558845E-3</v>
      </c>
      <c r="I94" s="14">
        <v>6.2031649824952978E-5</v>
      </c>
      <c r="J94" s="14">
        <v>0</v>
      </c>
      <c r="K94" s="14">
        <v>1.0009996493910482</v>
      </c>
      <c r="L94" s="14">
        <v>0.99900134890990577</v>
      </c>
      <c r="M94" s="14">
        <v>0.81968060678057775</v>
      </c>
      <c r="N94" s="14">
        <v>0.98754138116399381</v>
      </c>
      <c r="O94" s="14">
        <v>177.00691715983425</v>
      </c>
      <c r="P94" s="8">
        <v>0.98754138116399381</v>
      </c>
      <c r="Q94" s="54">
        <v>2.6002393844539654E-6</v>
      </c>
    </row>
    <row r="95" spans="1:17">
      <c r="A95" s="2" t="s">
        <v>435</v>
      </c>
      <c r="B95" s="16" t="s">
        <v>436</v>
      </c>
      <c r="D95" s="14">
        <v>1</v>
      </c>
      <c r="E95" s="14">
        <v>0.94073551092835461</v>
      </c>
      <c r="F95" s="14">
        <v>0.9405988452462245</v>
      </c>
      <c r="G95" s="14">
        <v>1.5137861484503671E-10</v>
      </c>
      <c r="H95" s="14">
        <v>1.0622022853703117</v>
      </c>
      <c r="I95" s="14">
        <v>3.4111443125282608</v>
      </c>
      <c r="J95" s="14">
        <v>0</v>
      </c>
      <c r="K95" s="14">
        <v>1.0631524853065557</v>
      </c>
      <c r="L95" s="14">
        <v>0.94059884524622461</v>
      </c>
      <c r="M95" s="14">
        <v>0.77176135252452727</v>
      </c>
      <c r="N95" s="14">
        <v>0.96341003522591406</v>
      </c>
      <c r="O95" s="14">
        <v>251.53672609713388</v>
      </c>
      <c r="P95" s="8">
        <v>0.96341003522591417</v>
      </c>
      <c r="Q95" s="54">
        <v>3.9093098443821452E-2</v>
      </c>
    </row>
    <row r="96" spans="1:17">
      <c r="A96" s="2" t="s">
        <v>437</v>
      </c>
      <c r="B96" s="164" t="s">
        <v>438</v>
      </c>
      <c r="D96" s="14">
        <v>1</v>
      </c>
      <c r="E96" s="14">
        <v>0.47660752325437422</v>
      </c>
      <c r="F96" s="14">
        <v>2.7371254923549389E-3</v>
      </c>
      <c r="G96" s="14">
        <v>2.8232100879595125E-9</v>
      </c>
      <c r="H96" s="14">
        <v>318.79735501286729</v>
      </c>
      <c r="I96" s="14">
        <v>9518.5737740866844</v>
      </c>
      <c r="J96" s="14">
        <v>0</v>
      </c>
      <c r="K96" s="14">
        <v>365.34678544812743</v>
      </c>
      <c r="L96" s="14">
        <v>2.7371254923549389E-3</v>
      </c>
      <c r="M96" s="14">
        <v>2.2458114664772274E-3</v>
      </c>
      <c r="N96" s="14">
        <v>88.526426109837374</v>
      </c>
      <c r="O96" s="14">
        <v>36853.5511895253</v>
      </c>
      <c r="P96" s="8">
        <v>88.526426109837374</v>
      </c>
      <c r="Q96" s="54">
        <v>0.26963227761948827</v>
      </c>
    </row>
    <row r="97" spans="1:17">
      <c r="A97" s="2" t="s">
        <v>439</v>
      </c>
      <c r="B97" s="16" t="s">
        <v>440</v>
      </c>
      <c r="D97" s="14">
        <v>1</v>
      </c>
      <c r="E97" s="14">
        <v>0.69377724453510525</v>
      </c>
      <c r="F97" s="14">
        <v>0.67941352471175198</v>
      </c>
      <c r="G97" s="14">
        <v>4.9996853758327047E-7</v>
      </c>
      <c r="H97" s="14">
        <v>32.863528260476969</v>
      </c>
      <c r="I97" s="14">
        <v>80.681016017386995</v>
      </c>
      <c r="J97" s="14">
        <v>0</v>
      </c>
      <c r="K97" s="14">
        <v>1.4718576590365346</v>
      </c>
      <c r="L97" s="14">
        <v>0.67941352471175198</v>
      </c>
      <c r="M97" s="14">
        <v>0.55745879702599255</v>
      </c>
      <c r="N97" s="14">
        <v>1.3584551236690243</v>
      </c>
      <c r="O97" s="14">
        <v>259.83171150417428</v>
      </c>
      <c r="P97" s="8">
        <v>1.3584551236690243</v>
      </c>
      <c r="Q97" s="54">
        <v>0.2053862467582786</v>
      </c>
    </row>
    <row r="98" spans="1:17">
      <c r="A98" s="2" t="s">
        <v>441</v>
      </c>
      <c r="B98" s="16" t="s">
        <v>442</v>
      </c>
      <c r="D98" s="14">
        <v>1</v>
      </c>
      <c r="E98" s="14">
        <v>0.75883960237403647</v>
      </c>
      <c r="F98" s="14">
        <v>0.75060976278397762</v>
      </c>
      <c r="G98" s="14">
        <v>3.2408781024771492E-19</v>
      </c>
      <c r="H98" s="14">
        <v>18.951090638825082</v>
      </c>
      <c r="I98" s="14">
        <v>48.808041305745576</v>
      </c>
      <c r="J98" s="14">
        <v>0</v>
      </c>
      <c r="K98" s="14">
        <v>1.3322501912192632</v>
      </c>
      <c r="L98" s="14">
        <v>0.75060976278397762</v>
      </c>
      <c r="M98" s="14">
        <v>0.61587531036425369</v>
      </c>
      <c r="N98" s="14">
        <v>1.1536598785836714</v>
      </c>
      <c r="O98" s="14">
        <v>452.76535594894762</v>
      </c>
      <c r="P98" s="8">
        <v>1.1536598785836714</v>
      </c>
      <c r="Q98" s="54">
        <v>0.16169305981226376</v>
      </c>
    </row>
    <row r="99" spans="1:17">
      <c r="A99" s="2" t="s">
        <v>443</v>
      </c>
      <c r="B99" s="16" t="s">
        <v>444</v>
      </c>
      <c r="D99" s="14">
        <v>1</v>
      </c>
      <c r="E99" s="14">
        <v>0.88003778183016912</v>
      </c>
      <c r="F99" s="14">
        <v>0.87841170858860806</v>
      </c>
      <c r="G99" s="14">
        <v>4.7313666426262121E-31</v>
      </c>
      <c r="H99" s="14">
        <v>4.2575339129233853</v>
      </c>
      <c r="I99" s="14">
        <v>12.382698160898563</v>
      </c>
      <c r="J99" s="14">
        <v>0</v>
      </c>
      <c r="K99" s="14">
        <v>1.1384183409926927</v>
      </c>
      <c r="L99" s="14">
        <v>0.87841170858860818</v>
      </c>
      <c r="M99" s="14">
        <v>0.72073680689695296</v>
      </c>
      <c r="N99" s="14">
        <v>0.96778030496697032</v>
      </c>
      <c r="O99" s="14">
        <v>755.77835136090584</v>
      </c>
      <c r="P99" s="8">
        <v>0.96778030496697032</v>
      </c>
      <c r="Q99" s="54">
        <v>8.0059944876441982E-2</v>
      </c>
    </row>
    <row r="100" spans="1:17">
      <c r="A100" s="2" t="s">
        <v>445</v>
      </c>
      <c r="B100" s="16" t="s">
        <v>446</v>
      </c>
      <c r="D100" s="14">
        <v>1</v>
      </c>
      <c r="E100" s="14">
        <v>0.41503277013516271</v>
      </c>
      <c r="F100" s="14">
        <v>1.5499962606369544E-2</v>
      </c>
      <c r="G100" s="14">
        <v>2.5534016702090675E-9</v>
      </c>
      <c r="H100" s="14">
        <v>690.54287793897163</v>
      </c>
      <c r="I100" s="14">
        <v>4120.4801015833646</v>
      </c>
      <c r="J100" s="14">
        <v>0</v>
      </c>
      <c r="K100" s="14">
        <v>64.516284677297264</v>
      </c>
      <c r="L100" s="14">
        <v>1.5499962606369544E-2</v>
      </c>
      <c r="M100" s="14">
        <v>1.2717719318526211E-2</v>
      </c>
      <c r="N100" s="14">
        <v>37.542601928528164</v>
      </c>
      <c r="O100" s="14">
        <v>11503.053230901029</v>
      </c>
      <c r="P100" s="8">
        <v>37.542601928528171</v>
      </c>
      <c r="Q100" s="54">
        <v>0.35937496621715453</v>
      </c>
    </row>
    <row r="101" spans="1:17">
      <c r="A101" s="2" t="s">
        <v>447</v>
      </c>
      <c r="B101" s="16" t="s">
        <v>448</v>
      </c>
      <c r="D101" s="14">
        <v>1</v>
      </c>
      <c r="E101" s="14">
        <v>0.41978401697188239</v>
      </c>
      <c r="F101" s="14">
        <v>0.32640922543076722</v>
      </c>
      <c r="G101" s="14">
        <v>9.0546342567455666E-11</v>
      </c>
      <c r="H101" s="14">
        <v>218.09335070895963</v>
      </c>
      <c r="I101" s="14">
        <v>441.2651157925464</v>
      </c>
      <c r="J101" s="14">
        <v>0</v>
      </c>
      <c r="K101" s="14">
        <v>3.0636388989321142</v>
      </c>
      <c r="L101" s="14">
        <v>0.32640922543076722</v>
      </c>
      <c r="M101" s="14">
        <v>0.26781876946594452</v>
      </c>
      <c r="N101" s="14">
        <v>4.1718470850537859</v>
      </c>
      <c r="O101" s="14">
        <v>1405.1615351878161</v>
      </c>
      <c r="P101" s="8">
        <v>4.1718470850537859</v>
      </c>
      <c r="Q101" s="54">
        <v>0.38770338754791323</v>
      </c>
    </row>
    <row r="102" spans="1:17">
      <c r="A102" s="2" t="s">
        <v>449</v>
      </c>
      <c r="B102" s="16" t="s">
        <v>450</v>
      </c>
      <c r="D102" s="14">
        <v>1</v>
      </c>
      <c r="E102" s="14">
        <v>0.37363575160195039</v>
      </c>
      <c r="F102" s="14">
        <v>0.12598866609385828</v>
      </c>
      <c r="G102" s="14">
        <v>7.0488775384293187E-6</v>
      </c>
      <c r="H102" s="14">
        <v>591.95879555452325</v>
      </c>
      <c r="I102" s="14">
        <v>1037.4057447836492</v>
      </c>
      <c r="J102" s="14">
        <v>0</v>
      </c>
      <c r="K102" s="14">
        <v>7.9372219026037314</v>
      </c>
      <c r="L102" s="14">
        <v>0.12598866609385828</v>
      </c>
      <c r="M102" s="14">
        <v>0.10337370053001071</v>
      </c>
      <c r="N102" s="14">
        <v>9.3100629844634</v>
      </c>
      <c r="O102" s="14">
        <v>4330.0171934440823</v>
      </c>
      <c r="P102" s="8">
        <v>9.3100629844634</v>
      </c>
      <c r="Q102" s="54">
        <v>0.41356963883790604</v>
      </c>
    </row>
    <row r="103" spans="1:17">
      <c r="A103" s="2" t="s">
        <v>451</v>
      </c>
      <c r="B103" s="16" t="s">
        <v>452</v>
      </c>
      <c r="D103" s="14">
        <v>1</v>
      </c>
      <c r="E103" s="14">
        <v>0.99844517735838778</v>
      </c>
      <c r="F103" s="14">
        <v>0.98728201137797267</v>
      </c>
      <c r="G103" s="14">
        <v>5.3744301462084422E-21</v>
      </c>
      <c r="H103" s="14">
        <v>32.818688673503388</v>
      </c>
      <c r="I103" s="14">
        <v>2.9488864347295682E-2</v>
      </c>
      <c r="J103" s="14">
        <v>0</v>
      </c>
      <c r="K103" s="14">
        <v>1.0128818194552907</v>
      </c>
      <c r="L103" s="14">
        <v>0.98728201137797278</v>
      </c>
      <c r="M103" s="14">
        <v>0.81006489033562668</v>
      </c>
      <c r="N103" s="14">
        <v>1.0181121967599567</v>
      </c>
      <c r="O103" s="14">
        <v>336.7304279563881</v>
      </c>
      <c r="P103" s="8">
        <v>1.0181121967599567</v>
      </c>
      <c r="Q103" s="54">
        <v>8.7389257150125778E-5</v>
      </c>
    </row>
    <row r="104" spans="1:17">
      <c r="A104" s="2" t="s">
        <v>453</v>
      </c>
      <c r="B104" s="16" t="s">
        <v>454</v>
      </c>
      <c r="D104" s="14">
        <v>1</v>
      </c>
      <c r="E104" s="14">
        <v>0.9884135859526213</v>
      </c>
      <c r="F104" s="14">
        <v>0.10023399521550468</v>
      </c>
      <c r="G104" s="14">
        <v>1.1275037730261774E-21</v>
      </c>
      <c r="H104" s="14">
        <v>2521.8255541238982</v>
      </c>
      <c r="I104" s="14">
        <v>24.725341969976007</v>
      </c>
      <c r="J104" s="14">
        <v>0</v>
      </c>
      <c r="K104" s="14">
        <v>9.9766551043883265</v>
      </c>
      <c r="L104" s="14">
        <v>0.10023399521550469</v>
      </c>
      <c r="M104" s="14">
        <v>8.224199307432159E-2</v>
      </c>
      <c r="N104" s="14">
        <v>3.8224173135064397</v>
      </c>
      <c r="O104" s="14">
        <v>1888.2741528721813</v>
      </c>
      <c r="P104" s="8">
        <v>3.8224173135064401</v>
      </c>
      <c r="Q104" s="54">
        <v>4.2086451207169499E-3</v>
      </c>
    </row>
    <row r="105" spans="1:17">
      <c r="A105" s="2" t="s">
        <v>455</v>
      </c>
      <c r="B105" s="164">
        <v>354656</v>
      </c>
      <c r="D105" s="14">
        <v>1</v>
      </c>
      <c r="E105" s="14">
        <v>0.9686556189749933</v>
      </c>
      <c r="F105" s="14">
        <v>0.96889752784016303</v>
      </c>
      <c r="G105" s="14">
        <v>4.0811855047051412E-12</v>
      </c>
      <c r="H105" s="14">
        <v>0.27832860814083193</v>
      </c>
      <c r="I105" s="14">
        <v>0.99681604198040585</v>
      </c>
      <c r="J105" s="14">
        <v>0</v>
      </c>
      <c r="K105" s="14">
        <v>1.0321008891716026</v>
      </c>
      <c r="L105" s="14">
        <v>0.96889752784016314</v>
      </c>
      <c r="M105" s="14">
        <v>0.79498042159285387</v>
      </c>
      <c r="N105" s="14">
        <v>0.96076574696283001</v>
      </c>
      <c r="O105" s="14">
        <v>189.45339764360045</v>
      </c>
      <c r="P105" s="8">
        <v>0.96076574696283001</v>
      </c>
      <c r="Q105" s="54">
        <v>2.0249533313067471E-2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0.93801101223334793</v>
      </c>
      <c r="F106" s="14">
        <v>0.93783148030351882</v>
      </c>
      <c r="G106" s="14">
        <v>6.070843048641545E-12</v>
      </c>
      <c r="H106" s="14">
        <v>1.1517177030095338</v>
      </c>
      <c r="I106" s="14">
        <v>3.6819946706254467</v>
      </c>
      <c r="J106" s="14">
        <v>0</v>
      </c>
      <c r="K106" s="14">
        <v>1.0662896490490605</v>
      </c>
      <c r="L106" s="14">
        <v>0.93783148030351882</v>
      </c>
      <c r="M106" s="14">
        <v>0.76949072958903719</v>
      </c>
      <c r="N106" s="14">
        <v>0.96154859632391798</v>
      </c>
      <c r="O106" s="14">
        <v>154.0208541591652</v>
      </c>
      <c r="P106" s="8">
        <v>0.96154859632391809</v>
      </c>
      <c r="Q106" s="54">
        <v>4.0933902950160375E-2</v>
      </c>
    </row>
    <row r="107" spans="1:17">
      <c r="A107" s="2" t="s">
        <v>459</v>
      </c>
      <c r="B107" s="16" t="s">
        <v>460</v>
      </c>
      <c r="D107" s="14">
        <v>1</v>
      </c>
      <c r="E107" s="14">
        <v>0.41769327896752001</v>
      </c>
      <c r="F107" s="14">
        <v>8.3781260093010818E-2</v>
      </c>
      <c r="G107" s="14">
        <v>2.037433025532256E-21</v>
      </c>
      <c r="H107" s="14">
        <v>807.76304825366697</v>
      </c>
      <c r="I107" s="14">
        <v>1308.9823490361496</v>
      </c>
      <c r="J107" s="14">
        <v>0</v>
      </c>
      <c r="K107" s="14">
        <v>11.935843396122683</v>
      </c>
      <c r="L107" s="14">
        <v>8.3781260093010818E-2</v>
      </c>
      <c r="M107" s="14">
        <v>6.874252390631537E-2</v>
      </c>
      <c r="N107" s="14">
        <v>24.640459434803017</v>
      </c>
      <c r="O107" s="14">
        <v>13094.679357437364</v>
      </c>
      <c r="P107" s="8">
        <v>24.640459434803017</v>
      </c>
      <c r="Q107" s="54">
        <v>0.36977180253103503</v>
      </c>
    </row>
    <row r="108" spans="1:17">
      <c r="A108" s="2" t="s">
        <v>461</v>
      </c>
      <c r="B108" s="16" t="s">
        <v>462</v>
      </c>
      <c r="D108" s="14">
        <v>1</v>
      </c>
      <c r="E108" s="14">
        <v>0.99856584887478728</v>
      </c>
      <c r="F108" s="14">
        <v>0.99895438088200539</v>
      </c>
      <c r="G108" s="14">
        <v>1.2170895656899979E-11</v>
      </c>
      <c r="H108" s="14">
        <v>2.4869464105794228E-3</v>
      </c>
      <c r="I108" s="14">
        <v>6.6740525851980087E-4</v>
      </c>
      <c r="J108" s="14">
        <v>0</v>
      </c>
      <c r="K108" s="14">
        <v>1.0010467135817267</v>
      </c>
      <c r="L108" s="14">
        <v>0.9989543808820055</v>
      </c>
      <c r="M108" s="14">
        <v>0.81964206951368546</v>
      </c>
      <c r="N108" s="14">
        <v>0.98487825792069783</v>
      </c>
      <c r="O108" s="14">
        <v>127.20687579303733</v>
      </c>
      <c r="P108" s="8">
        <v>0.98487825792069783</v>
      </c>
      <c r="Q108" s="54">
        <v>3.7341316401522028E-5</v>
      </c>
    </row>
    <row r="109" spans="1:17">
      <c r="A109" s="2" t="s">
        <v>463</v>
      </c>
      <c r="B109" s="16" t="s">
        <v>464</v>
      </c>
      <c r="D109" s="14">
        <v>1</v>
      </c>
      <c r="E109" s="14">
        <v>0.96649594407853134</v>
      </c>
      <c r="F109" s="14">
        <v>0.96057660947976486</v>
      </c>
      <c r="G109" s="14">
        <v>3.2449369990090351E-14</v>
      </c>
      <c r="H109" s="14">
        <v>17.04121576885451</v>
      </c>
      <c r="I109" s="14">
        <v>7.8427481076901868</v>
      </c>
      <c r="J109" s="14">
        <v>0</v>
      </c>
      <c r="K109" s="14">
        <v>1.0410413809072305</v>
      </c>
      <c r="L109" s="14">
        <v>0.96057660947976498</v>
      </c>
      <c r="M109" s="14">
        <v>0.78815310807814709</v>
      </c>
      <c r="N109" s="14">
        <v>10.403379315969273</v>
      </c>
      <c r="O109" s="14">
        <v>3118.9331189275881</v>
      </c>
      <c r="P109" s="8">
        <v>10.403379315969273</v>
      </c>
      <c r="Q109" s="54">
        <v>1.2784044291429099E-2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0.99240415673631943</v>
      </c>
      <c r="F110" s="14">
        <v>0.99276451355370099</v>
      </c>
      <c r="G110" s="14">
        <v>2.3112814914775814E-13</v>
      </c>
      <c r="H110" s="14">
        <v>6.3610124395044668E-2</v>
      </c>
      <c r="I110" s="14">
        <v>0.11268195829003977</v>
      </c>
      <c r="J110" s="14">
        <v>0</v>
      </c>
      <c r="K110" s="14">
        <v>1.0072882202652458</v>
      </c>
      <c r="L110" s="14">
        <v>0.99276451355370099</v>
      </c>
      <c r="M110" s="14">
        <v>0.81456328337081163</v>
      </c>
      <c r="N110" s="14">
        <v>0.97701030686685253</v>
      </c>
      <c r="O110" s="14">
        <v>232.68477468340959</v>
      </c>
      <c r="P110" s="8">
        <v>0.97701030686685253</v>
      </c>
      <c r="Q110" s="54">
        <v>4.2039194489542596E-3</v>
      </c>
    </row>
    <row r="111" spans="1:17">
      <c r="A111" s="2" t="s">
        <v>467</v>
      </c>
      <c r="B111" s="16" t="s">
        <v>468</v>
      </c>
      <c r="D111" s="14">
        <v>1</v>
      </c>
      <c r="E111" s="14">
        <v>0.99861937669343481</v>
      </c>
      <c r="F111" s="14">
        <v>0.9990072382270051</v>
      </c>
      <c r="G111" s="14">
        <v>4.1074352138284041E-32</v>
      </c>
      <c r="H111" s="14">
        <v>4.5194817277697261E-3</v>
      </c>
      <c r="I111" s="14">
        <v>3.4571816474588112E-5</v>
      </c>
      <c r="J111" s="14">
        <v>0</v>
      </c>
      <c r="K111" s="14">
        <v>1.0009937483283471</v>
      </c>
      <c r="L111" s="14">
        <v>0.99900723822700521</v>
      </c>
      <c r="M111" s="14">
        <v>0.81968543896525781</v>
      </c>
      <c r="N111" s="14">
        <v>0.98216474746935511</v>
      </c>
      <c r="O111" s="14">
        <v>452.21811467731521</v>
      </c>
      <c r="P111" s="8">
        <v>0.98216474746935523</v>
      </c>
      <c r="Q111" s="54">
        <v>3.7750455729625526E-6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0.99056764267546626</v>
      </c>
      <c r="F112" s="14">
        <v>0.9909426274661125</v>
      </c>
      <c r="G112" s="14">
        <v>2.5966116339012942E-15</v>
      </c>
      <c r="H112" s="14">
        <v>2.1937064435456319E-2</v>
      </c>
      <c r="I112" s="14">
        <v>9.489332879568893E-2</v>
      </c>
      <c r="J112" s="14">
        <v>0</v>
      </c>
      <c r="K112" s="14">
        <v>1.0091401583531103</v>
      </c>
      <c r="L112" s="14">
        <v>0.99094262746611261</v>
      </c>
      <c r="M112" s="14">
        <v>0.81306842583594541</v>
      </c>
      <c r="N112" s="14">
        <v>0.97499183418231561</v>
      </c>
      <c r="O112" s="14">
        <v>200.11707396592027</v>
      </c>
      <c r="P112" s="8">
        <v>0.97499183418231561</v>
      </c>
      <c r="Q112" s="54">
        <v>5.4454739105999914E-3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0.95328300983110681</v>
      </c>
      <c r="F113" s="14">
        <v>0.95335469927706684</v>
      </c>
      <c r="G113" s="14">
        <v>3.2043725248320193E-11</v>
      </c>
      <c r="H113" s="14">
        <v>0.62504964324508749</v>
      </c>
      <c r="I113" s="14">
        <v>2.1065495664948917</v>
      </c>
      <c r="J113" s="14">
        <v>0</v>
      </c>
      <c r="K113" s="14">
        <v>1.0489275405662808</v>
      </c>
      <c r="L113" s="14">
        <v>0.95335469927706695</v>
      </c>
      <c r="M113" s="14">
        <v>0.78222753075683338</v>
      </c>
      <c r="N113" s="14">
        <v>0.95473580686690729</v>
      </c>
      <c r="O113" s="14">
        <v>144.3178645660017</v>
      </c>
      <c r="P113" s="8">
        <v>0.9547358068669074</v>
      </c>
      <c r="Q113" s="54">
        <v>3.0631741079857392E-2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0.99444789370118514</v>
      </c>
      <c r="F114" s="14">
        <v>0.99483233966978546</v>
      </c>
      <c r="G114" s="14">
        <v>2.548644455198875E-18</v>
      </c>
      <c r="H114" s="14">
        <v>6.3871908735736475E-3</v>
      </c>
      <c r="I114" s="14">
        <v>2.9794775252238167E-2</v>
      </c>
      <c r="J114" s="14">
        <v>0</v>
      </c>
      <c r="K114" s="14">
        <v>1.0051945037612366</v>
      </c>
      <c r="L114" s="14">
        <v>0.99483233966978546</v>
      </c>
      <c r="M114" s="14">
        <v>0.816259934699059</v>
      </c>
      <c r="N114" s="14">
        <v>0.97828752141846309</v>
      </c>
      <c r="O114" s="14">
        <v>331.99165326856962</v>
      </c>
      <c r="P114" s="8">
        <v>0.97828752141846309</v>
      </c>
      <c r="Q114" s="54">
        <v>2.8231900439593693E-3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0.99854219985179504</v>
      </c>
      <c r="F115" s="14">
        <v>0.99612914534191521</v>
      </c>
      <c r="G115" s="14">
        <v>1.3513555790367315E-14</v>
      </c>
      <c r="H115" s="14">
        <v>7.961147073909709</v>
      </c>
      <c r="I115" s="14">
        <v>8.8291951437440546E-3</v>
      </c>
      <c r="J115" s="14">
        <v>0</v>
      </c>
      <c r="K115" s="14">
        <v>1.0038858963982586</v>
      </c>
      <c r="L115" s="14">
        <v>0.99612914534191532</v>
      </c>
      <c r="M115" s="14">
        <v>0.8173239637530415</v>
      </c>
      <c r="N115" s="14">
        <v>0.99195829633604959</v>
      </c>
      <c r="O115" s="14">
        <v>190.58494747504523</v>
      </c>
      <c r="P115" s="8">
        <v>0.99195829633604971</v>
      </c>
      <c r="Q115" s="54">
        <v>4.6614509179796699E-5</v>
      </c>
    </row>
    <row r="116" spans="1:17">
      <c r="A116" s="2" t="s">
        <v>477</v>
      </c>
      <c r="B116" s="16" t="s">
        <v>478</v>
      </c>
      <c r="D116" s="14">
        <v>1</v>
      </c>
      <c r="E116" s="14">
        <v>0.57326151227082445</v>
      </c>
      <c r="F116" s="14">
        <v>0.35276669584691844</v>
      </c>
      <c r="G116" s="14">
        <v>9.8009220857697205E-19</v>
      </c>
      <c r="H116" s="14">
        <v>612.25238160021649</v>
      </c>
      <c r="I116" s="14">
        <v>137.30160658933744</v>
      </c>
      <c r="J116" s="14">
        <v>0</v>
      </c>
      <c r="K116" s="14">
        <v>2.8347347177975828</v>
      </c>
      <c r="L116" s="14">
        <v>0.35276669584691844</v>
      </c>
      <c r="M116" s="14">
        <v>0.2894450739423966</v>
      </c>
      <c r="N116" s="14">
        <v>268.83464276343767</v>
      </c>
      <c r="O116" s="14">
        <v>122212.22860025876</v>
      </c>
      <c r="P116" s="8">
        <v>268.83464276343767</v>
      </c>
      <c r="Q116" s="54">
        <v>3.3999741805744922E-2</v>
      </c>
    </row>
    <row r="117" spans="1:17">
      <c r="A117" s="2" t="s">
        <v>291</v>
      </c>
      <c r="B117" s="16" t="s">
        <v>479</v>
      </c>
      <c r="D117" s="14">
        <v>1</v>
      </c>
      <c r="E117" s="14">
        <v>0.61055479488354725</v>
      </c>
      <c r="F117" s="14">
        <v>0.58443840142519998</v>
      </c>
      <c r="G117" s="14">
        <v>4.0303914780597744E-12</v>
      </c>
      <c r="H117" s="14">
        <v>59.857523428853114</v>
      </c>
      <c r="I117" s="14">
        <v>139.0515758302929</v>
      </c>
      <c r="J117" s="14">
        <v>0</v>
      </c>
      <c r="K117" s="14">
        <v>1.7110443077686539</v>
      </c>
      <c r="L117" s="14">
        <v>0.58443840142519998</v>
      </c>
      <c r="M117" s="14">
        <v>0.47953170836937664</v>
      </c>
      <c r="N117" s="14">
        <v>1.7712845018531771</v>
      </c>
      <c r="O117" s="14">
        <v>546.14015045639007</v>
      </c>
      <c r="P117" s="8">
        <v>1.7712845018531773</v>
      </c>
      <c r="Q117" s="54">
        <v>0.26120164935450807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2.6112800941264101E-8</v>
      </c>
      <c r="E2" s="20">
        <v>0.97537234766404346</v>
      </c>
      <c r="F2" s="20">
        <v>5.9803647505635762E-5</v>
      </c>
      <c r="G2" s="20">
        <v>2.4000662416773273E-5</v>
      </c>
      <c r="H2" s="20">
        <v>0</v>
      </c>
      <c r="I2" s="20">
        <v>0.97528854335412107</v>
      </c>
      <c r="J2" s="20">
        <v>1.3501517569365863E-3</v>
      </c>
      <c r="K2" s="20">
        <v>2.327747446621899E-2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2.5074779771559949E-8</v>
      </c>
      <c r="E3" s="20">
        <v>0.61720533008226286</v>
      </c>
      <c r="F3" s="20">
        <v>2.3288443899170751E-2</v>
      </c>
      <c r="G3" s="20">
        <v>5.6575534199982949E-3</v>
      </c>
      <c r="H3" s="20">
        <v>0</v>
      </c>
      <c r="I3" s="20">
        <v>0.58825933276309383</v>
      </c>
      <c r="J3" s="20">
        <v>4.5774285094853304E-3</v>
      </c>
      <c r="K3" s="20">
        <v>0.37821721633347211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1.3540955074490851E-17</v>
      </c>
      <c r="E4" s="20">
        <v>0.99845212493420421</v>
      </c>
      <c r="F4" s="20">
        <v>4.198783794812351E-5</v>
      </c>
      <c r="G4" s="20">
        <v>4.6240141470435744E-8</v>
      </c>
      <c r="H4" s="20">
        <v>0</v>
      </c>
      <c r="I4" s="20">
        <v>0.99841009085611465</v>
      </c>
      <c r="J4" s="20">
        <v>1.5273193888022565E-3</v>
      </c>
      <c r="K4" s="20">
        <v>2.0555676993552732E-5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3.800093546415744E-10</v>
      </c>
      <c r="E5" s="20">
        <v>0.99802948229630262</v>
      </c>
      <c r="F5" s="20">
        <v>7.5871237525169208E-2</v>
      </c>
      <c r="G5" s="20">
        <v>6.0219401317533679E-6</v>
      </c>
      <c r="H5" s="20">
        <v>0</v>
      </c>
      <c r="I5" s="20">
        <v>0.92215222283100162</v>
      </c>
      <c r="J5" s="20">
        <v>1.6548358726704928E-3</v>
      </c>
      <c r="K5" s="20">
        <v>3.1568145101748925E-4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4.7122741018505459E-11</v>
      </c>
      <c r="E6" s="20">
        <v>0.99624512479192684</v>
      </c>
      <c r="F6" s="20">
        <v>0.1712138277758834</v>
      </c>
      <c r="G6" s="20">
        <v>4.9651384463003923E-5</v>
      </c>
      <c r="H6" s="20">
        <v>0</v>
      </c>
      <c r="I6" s="20">
        <v>0.82498164563158038</v>
      </c>
      <c r="J6" s="20">
        <v>1.9657365291361807E-3</v>
      </c>
      <c r="K6" s="20">
        <v>1.7891386318143849E-3</v>
      </c>
      <c r="L6" s="20">
        <v>0</v>
      </c>
    </row>
    <row r="7" spans="1:14">
      <c r="A7" s="2" t="s">
        <v>366</v>
      </c>
      <c r="B7" s="3" t="s">
        <v>305</v>
      </c>
      <c r="D7" s="20">
        <v>8.0547018184314358E-7</v>
      </c>
      <c r="E7" s="20">
        <v>0.97854779724342267</v>
      </c>
      <c r="F7" s="20">
        <v>0.44080352248948773</v>
      </c>
      <c r="G7" s="20">
        <v>8.9730514933549041E-4</v>
      </c>
      <c r="H7" s="20">
        <v>0</v>
      </c>
      <c r="I7" s="20">
        <v>0.53684696960459943</v>
      </c>
      <c r="J7" s="20">
        <v>2.9308937306068298E-3</v>
      </c>
      <c r="K7" s="20">
        <v>1.8520503555788541E-2</v>
      </c>
      <c r="L7" s="20">
        <v>0</v>
      </c>
    </row>
    <row r="8" spans="1:14">
      <c r="A8" s="2" t="s">
        <v>289</v>
      </c>
      <c r="B8" s="3" t="s">
        <v>290</v>
      </c>
      <c r="D8" s="20">
        <v>3.7294899318797047E-17</v>
      </c>
      <c r="E8" s="20">
        <v>0.99668115109863431</v>
      </c>
      <c r="F8" s="20">
        <v>0.24940003799262131</v>
      </c>
      <c r="G8" s="20">
        <v>3.792460799039563E-5</v>
      </c>
      <c r="H8" s="20">
        <v>0</v>
      </c>
      <c r="I8" s="20">
        <v>0.74724318849802263</v>
      </c>
      <c r="J8" s="20">
        <v>2.1915638942451294E-3</v>
      </c>
      <c r="K8" s="20">
        <v>1.1272850071204644E-3</v>
      </c>
      <c r="L8" s="20">
        <v>0</v>
      </c>
    </row>
    <row r="9" spans="1:14">
      <c r="A9" s="2" t="s">
        <v>291</v>
      </c>
      <c r="B9" s="3" t="s">
        <v>292</v>
      </c>
      <c r="D9" s="20">
        <v>7.3484648554709648E-13</v>
      </c>
      <c r="E9" s="20">
        <v>0.99709710641151694</v>
      </c>
      <c r="F9" s="20">
        <v>5.8643142788643222E-2</v>
      </c>
      <c r="G9" s="20">
        <v>2.2227426633981922E-5</v>
      </c>
      <c r="H9" s="20">
        <v>0</v>
      </c>
      <c r="I9" s="20">
        <v>0.93843173619623976</v>
      </c>
      <c r="J9" s="20">
        <v>1.6003213549324485E-3</v>
      </c>
      <c r="K9" s="20">
        <v>1.3025722328158028E-3</v>
      </c>
      <c r="L9" s="20">
        <v>0</v>
      </c>
    </row>
    <row r="10" spans="1:14">
      <c r="A10" s="2" t="s">
        <v>367</v>
      </c>
      <c r="B10" s="3" t="s">
        <v>368</v>
      </c>
      <c r="D10" s="20">
        <v>6.8235926164480245E-5</v>
      </c>
      <c r="E10" s="20">
        <v>0.4609689654014511</v>
      </c>
      <c r="F10" s="20">
        <v>0.35090318123762992</v>
      </c>
      <c r="G10" s="20">
        <v>6.1289045929384181E-2</v>
      </c>
      <c r="H10" s="20">
        <v>0</v>
      </c>
      <c r="I10" s="20">
        <v>4.8776738234436984E-2</v>
      </c>
      <c r="J10" s="20">
        <v>2.0287588726629127E-2</v>
      </c>
      <c r="K10" s="20">
        <v>0.51867520994575522</v>
      </c>
      <c r="L10" s="20">
        <v>0</v>
      </c>
    </row>
    <row r="11" spans="1:14">
      <c r="A11" s="2" t="s">
        <v>369</v>
      </c>
      <c r="B11" s="3" t="s">
        <v>370</v>
      </c>
      <c r="D11" s="20">
        <v>4.1213351557393751E-11</v>
      </c>
      <c r="E11" s="20">
        <v>0.67272692535073941</v>
      </c>
      <c r="F11" s="20">
        <v>0.38626425849056173</v>
      </c>
      <c r="G11" s="20">
        <v>0.28221422211917102</v>
      </c>
      <c r="H11" s="20">
        <v>0</v>
      </c>
      <c r="I11" s="20">
        <v>4.2484447410066576E-3</v>
      </c>
      <c r="J11" s="20">
        <v>0.20455980529406298</v>
      </c>
      <c r="K11" s="20">
        <v>0.12271326931398444</v>
      </c>
      <c r="L11" s="20">
        <v>0</v>
      </c>
    </row>
    <row r="12" spans="1:14">
      <c r="A12" s="2" t="s">
        <v>371</v>
      </c>
      <c r="B12" s="3" t="s">
        <v>372</v>
      </c>
      <c r="D12" s="20">
        <v>7.4624378040637512E-2</v>
      </c>
      <c r="E12" s="20">
        <v>0.91993023656826545</v>
      </c>
      <c r="F12" s="20">
        <v>2.5767739017503828E-6</v>
      </c>
      <c r="G12" s="20">
        <v>1.2772156404381816E-6</v>
      </c>
      <c r="H12" s="20">
        <v>0</v>
      </c>
      <c r="I12" s="20">
        <v>0.91992638257872328</v>
      </c>
      <c r="J12" s="20">
        <v>1.2673043587763133E-3</v>
      </c>
      <c r="K12" s="20">
        <v>4.1780810323207591E-3</v>
      </c>
      <c r="L12" s="20">
        <v>0</v>
      </c>
    </row>
    <row r="13" spans="1:14">
      <c r="A13" s="2" t="s">
        <v>293</v>
      </c>
      <c r="B13" s="3" t="s">
        <v>294</v>
      </c>
      <c r="D13" s="20">
        <v>2.0759219832136739E-8</v>
      </c>
      <c r="E13" s="20">
        <v>0.64453081114999344</v>
      </c>
      <c r="F13" s="20">
        <v>1.6652722414583758E-2</v>
      </c>
      <c r="G13" s="20">
        <v>4.2715038112398898E-3</v>
      </c>
      <c r="H13" s="20">
        <v>0</v>
      </c>
      <c r="I13" s="20">
        <v>0.62360658492416976</v>
      </c>
      <c r="J13" s="20">
        <v>2.2100106616342926E-3</v>
      </c>
      <c r="K13" s="20">
        <v>0.35325915742915248</v>
      </c>
      <c r="L13" s="20">
        <v>0</v>
      </c>
    </row>
    <row r="14" spans="1:14">
      <c r="A14" s="2" t="s">
        <v>373</v>
      </c>
      <c r="B14" s="3" t="s">
        <v>374</v>
      </c>
      <c r="D14" s="20">
        <v>7.8336863162700938E-7</v>
      </c>
      <c r="E14" s="20">
        <v>0.98485314792999656</v>
      </c>
      <c r="F14" s="20">
        <v>0.90274671563904507</v>
      </c>
      <c r="G14" s="20">
        <v>1.4142675196284304E-3</v>
      </c>
      <c r="H14" s="20">
        <v>0</v>
      </c>
      <c r="I14" s="20">
        <v>8.069216477132303E-2</v>
      </c>
      <c r="J14" s="20">
        <v>8.0069566583266735E-3</v>
      </c>
      <c r="K14" s="20">
        <v>7.1391120430452639E-3</v>
      </c>
      <c r="L14" s="20">
        <v>0</v>
      </c>
    </row>
    <row r="15" spans="1:14">
      <c r="A15" s="2" t="s">
        <v>375</v>
      </c>
      <c r="B15" s="3" t="s">
        <v>376</v>
      </c>
      <c r="D15" s="20">
        <v>8.6804580942607124E-2</v>
      </c>
      <c r="E15" s="20">
        <v>0.78220837316148417</v>
      </c>
      <c r="F15" s="20">
        <v>1.9843435310572563E-3</v>
      </c>
      <c r="G15" s="20">
        <v>6.052188069326427E-4</v>
      </c>
      <c r="H15" s="20">
        <v>0</v>
      </c>
      <c r="I15" s="20">
        <v>0.77961881082349427</v>
      </c>
      <c r="J15" s="20">
        <v>1.2616377854577363E-3</v>
      </c>
      <c r="K15" s="20">
        <v>0.12972540811045102</v>
      </c>
      <c r="L15" s="20">
        <v>0</v>
      </c>
    </row>
    <row r="16" spans="1:14">
      <c r="A16" s="2" t="s">
        <v>377</v>
      </c>
      <c r="B16" s="3" t="s">
        <v>378</v>
      </c>
      <c r="D16" s="20">
        <v>8.1055404956721676E-4</v>
      </c>
      <c r="E16" s="20">
        <v>0.62143370824267807</v>
      </c>
      <c r="F16" s="20">
        <v>1.9474046145618654E-2</v>
      </c>
      <c r="G16" s="20">
        <v>4.9221149300668829E-3</v>
      </c>
      <c r="H16" s="20">
        <v>0</v>
      </c>
      <c r="I16" s="20">
        <v>0.59703754716699253</v>
      </c>
      <c r="J16" s="20">
        <v>2.3815713642949443E-3</v>
      </c>
      <c r="K16" s="20">
        <v>0.3753741663434596</v>
      </c>
      <c r="L16" s="20">
        <v>0</v>
      </c>
    </row>
    <row r="17" spans="1:12">
      <c r="A17" s="2" t="s">
        <v>379</v>
      </c>
      <c r="B17" s="3" t="s">
        <v>380</v>
      </c>
      <c r="D17" s="20">
        <v>2.3963265340068828E-3</v>
      </c>
      <c r="E17" s="20">
        <v>0.63456860338874244</v>
      </c>
      <c r="F17" s="20">
        <v>1.7628696930626638E-2</v>
      </c>
      <c r="G17" s="20">
        <v>4.4969262679461245E-3</v>
      </c>
      <c r="H17" s="20">
        <v>0</v>
      </c>
      <c r="I17" s="20">
        <v>0.61244298019016963</v>
      </c>
      <c r="J17" s="20">
        <v>2.2667472354467913E-3</v>
      </c>
      <c r="K17" s="20">
        <v>0.36076832284180405</v>
      </c>
      <c r="L17" s="20">
        <v>0</v>
      </c>
    </row>
    <row r="18" spans="1:12">
      <c r="A18" s="2" t="s">
        <v>381</v>
      </c>
      <c r="B18" s="3" t="s">
        <v>382</v>
      </c>
      <c r="D18" s="20">
        <v>2.1585264470831492E-7</v>
      </c>
      <c r="E18" s="20">
        <v>0.46463145518680221</v>
      </c>
      <c r="F18" s="20">
        <v>0.12434593407336679</v>
      </c>
      <c r="G18" s="20">
        <v>0.33692027339355618</v>
      </c>
      <c r="H18" s="20">
        <v>0</v>
      </c>
      <c r="I18" s="20">
        <v>3.3652477198792574E-3</v>
      </c>
      <c r="J18" s="20">
        <v>0.11518407363324799</v>
      </c>
      <c r="K18" s="20">
        <v>0.42018425532730513</v>
      </c>
      <c r="L18" s="20">
        <v>0</v>
      </c>
    </row>
    <row r="19" spans="1:12">
      <c r="A19" s="2" t="s">
        <v>383</v>
      </c>
      <c r="B19" s="3" t="s">
        <v>384</v>
      </c>
      <c r="D19" s="20">
        <v>1.1808764282635727E-2</v>
      </c>
      <c r="E19" s="20">
        <v>0.91005194011353796</v>
      </c>
      <c r="F19" s="20">
        <v>6.3049067619128552E-4</v>
      </c>
      <c r="G19" s="20">
        <v>2.1162853420045899E-4</v>
      </c>
      <c r="H19" s="20">
        <v>0</v>
      </c>
      <c r="I19" s="20">
        <v>0.90920982090314617</v>
      </c>
      <c r="J19" s="20">
        <v>1.3170753824772016E-3</v>
      </c>
      <c r="K19" s="20">
        <v>7.6822220221349158E-2</v>
      </c>
      <c r="L19" s="20">
        <v>0</v>
      </c>
    </row>
    <row r="20" spans="1:12">
      <c r="A20" s="2" t="s">
        <v>385</v>
      </c>
      <c r="B20" s="3" t="s">
        <v>386</v>
      </c>
      <c r="D20" s="20">
        <v>2.2181071316888391E-2</v>
      </c>
      <c r="E20" s="20">
        <v>0.87434867972945696</v>
      </c>
      <c r="F20" s="20">
        <v>1.1309847084755265E-3</v>
      </c>
      <c r="G20" s="20">
        <v>3.6253695976973108E-4</v>
      </c>
      <c r="H20" s="20">
        <v>0</v>
      </c>
      <c r="I20" s="20">
        <v>0.87285515806121172</v>
      </c>
      <c r="J20" s="20">
        <v>1.3140044268333871E-3</v>
      </c>
      <c r="K20" s="20">
        <v>0.10215624452682123</v>
      </c>
      <c r="L20" s="20">
        <v>0</v>
      </c>
    </row>
    <row r="21" spans="1:12">
      <c r="A21" s="2" t="s">
        <v>387</v>
      </c>
      <c r="B21" s="3" t="s">
        <v>388</v>
      </c>
      <c r="D21" s="20">
        <v>7.1457059514487883E-3</v>
      </c>
      <c r="E21" s="20">
        <v>0.72406539010388671</v>
      </c>
      <c r="F21" s="20">
        <v>0.30341856457893746</v>
      </c>
      <c r="G21" s="20">
        <v>1.2245071112423596E-2</v>
      </c>
      <c r="H21" s="20">
        <v>0</v>
      </c>
      <c r="I21" s="20">
        <v>0.40840175441252569</v>
      </c>
      <c r="J21" s="20">
        <v>5.5961416558011024E-3</v>
      </c>
      <c r="K21" s="20">
        <v>0.26319276228886335</v>
      </c>
      <c r="L21" s="20">
        <v>0</v>
      </c>
    </row>
    <row r="22" spans="1:12">
      <c r="A22" s="2" t="s">
        <v>295</v>
      </c>
      <c r="B22" s="3" t="s">
        <v>296</v>
      </c>
      <c r="D22" s="20">
        <v>6.5345650678060585E-2</v>
      </c>
      <c r="E22" s="20">
        <v>0.90390650417404306</v>
      </c>
      <c r="F22" s="20">
        <v>1.0099291362555734E-4</v>
      </c>
      <c r="G22" s="20">
        <v>3.8778093821710221E-5</v>
      </c>
      <c r="H22" s="20">
        <v>0</v>
      </c>
      <c r="I22" s="20">
        <v>0.90376673316659584</v>
      </c>
      <c r="J22" s="20">
        <v>1.2561940303003911E-3</v>
      </c>
      <c r="K22" s="20">
        <v>2.949165111759593E-2</v>
      </c>
      <c r="L22" s="20">
        <v>0</v>
      </c>
    </row>
    <row r="23" spans="1:12">
      <c r="A23" s="2" t="s">
        <v>389</v>
      </c>
      <c r="B23" s="3" t="s">
        <v>390</v>
      </c>
      <c r="D23" s="20">
        <v>7.1470420657913467E-2</v>
      </c>
      <c r="E23" s="20">
        <v>0.75617189534492912</v>
      </c>
      <c r="F23" s="20">
        <v>3.4865873743343367E-3</v>
      </c>
      <c r="G23" s="20">
        <v>1.0174102496835335E-3</v>
      </c>
      <c r="H23" s="20">
        <v>0</v>
      </c>
      <c r="I23" s="20">
        <v>0.75166789772091125</v>
      </c>
      <c r="J23" s="20">
        <v>1.3527114805561384E-3</v>
      </c>
      <c r="K23" s="20">
        <v>0.17100497251660132</v>
      </c>
      <c r="L23" s="20">
        <v>0</v>
      </c>
    </row>
    <row r="24" spans="1:12">
      <c r="A24" s="2" t="s">
        <v>391</v>
      </c>
      <c r="B24" s="3" t="s">
        <v>392</v>
      </c>
      <c r="D24" s="20">
        <v>2.6455440945463149E-3</v>
      </c>
      <c r="E24" s="20">
        <v>0.54942588245417245</v>
      </c>
      <c r="F24" s="20">
        <v>3.1130723880083516E-2</v>
      </c>
      <c r="G24" s="20">
        <v>7.5142350299203901E-3</v>
      </c>
      <c r="H24" s="20">
        <v>0</v>
      </c>
      <c r="I24" s="20">
        <v>0.5107809235441686</v>
      </c>
      <c r="J24" s="20">
        <v>3.0951561974694401E-3</v>
      </c>
      <c r="K24" s="20">
        <v>0.44483341725381165</v>
      </c>
      <c r="L24" s="20">
        <v>0</v>
      </c>
    </row>
    <row r="25" spans="1:12">
      <c r="A25" s="2" t="s">
        <v>393</v>
      </c>
      <c r="B25" s="3" t="s">
        <v>394</v>
      </c>
      <c r="D25" s="20">
        <v>9.6282590372164369E-4</v>
      </c>
      <c r="E25" s="20">
        <v>0.44809231307423947</v>
      </c>
      <c r="F25" s="20">
        <v>0.14368848999088565</v>
      </c>
      <c r="G25" s="20">
        <v>0.29985930924249632</v>
      </c>
      <c r="H25" s="20">
        <v>0</v>
      </c>
      <c r="I25" s="20">
        <v>4.5445138408574696E-3</v>
      </c>
      <c r="J25" s="20">
        <v>0.10216829945674501</v>
      </c>
      <c r="K25" s="20">
        <v>0.44877656156529377</v>
      </c>
      <c r="L25" s="20">
        <v>0</v>
      </c>
    </row>
    <row r="26" spans="1:12">
      <c r="A26" s="2" t="s">
        <v>395</v>
      </c>
      <c r="B26" s="3" t="s">
        <v>396</v>
      </c>
      <c r="D26" s="20">
        <v>0.22817564961345871</v>
      </c>
      <c r="E26" s="20">
        <v>0.31450625570905194</v>
      </c>
      <c r="F26" s="20">
        <v>6.5726954664825032E-2</v>
      </c>
      <c r="G26" s="20">
        <v>1.4178786591912355E-2</v>
      </c>
      <c r="H26" s="20">
        <v>0</v>
      </c>
      <c r="I26" s="20">
        <v>0.23460051445231456</v>
      </c>
      <c r="J26" s="20">
        <v>4.8877802931637212E-3</v>
      </c>
      <c r="K26" s="20">
        <v>0.45243031438432563</v>
      </c>
      <c r="L26" s="20">
        <v>0</v>
      </c>
    </row>
    <row r="27" spans="1:12">
      <c r="A27" s="2" t="s">
        <v>397</v>
      </c>
      <c r="B27" s="3" t="s">
        <v>398</v>
      </c>
      <c r="D27" s="20">
        <v>0.82881496879183714</v>
      </c>
      <c r="E27" s="20">
        <v>6.376066260238937E-2</v>
      </c>
      <c r="F27" s="20">
        <v>3.492462896566547E-2</v>
      </c>
      <c r="G27" s="20">
        <v>6.6347926717226467E-3</v>
      </c>
      <c r="H27" s="20">
        <v>0</v>
      </c>
      <c r="I27" s="20">
        <v>2.2201240965001257E-2</v>
      </c>
      <c r="J27" s="20">
        <v>2.1942676988796215E-3</v>
      </c>
      <c r="K27" s="20">
        <v>0.10523010090689383</v>
      </c>
      <c r="L27" s="20">
        <v>0</v>
      </c>
    </row>
    <row r="28" spans="1:12">
      <c r="A28" s="2" t="s">
        <v>399</v>
      </c>
      <c r="B28" s="3" t="s">
        <v>400</v>
      </c>
      <c r="D28" s="20">
        <v>0.87397096985369294</v>
      </c>
      <c r="E28" s="20">
        <v>4.8970600461772366E-2</v>
      </c>
      <c r="F28" s="20">
        <v>1.2923234414931727E-2</v>
      </c>
      <c r="G28" s="20">
        <v>2.721866230492362E-3</v>
      </c>
      <c r="H28" s="20">
        <v>0</v>
      </c>
      <c r="I28" s="20">
        <v>3.3325499816348275E-2</v>
      </c>
      <c r="J28" s="20">
        <v>9.2429641157764264E-4</v>
      </c>
      <c r="K28" s="20">
        <v>7.6134133272956858E-2</v>
      </c>
      <c r="L28" s="20">
        <v>0</v>
      </c>
    </row>
    <row r="29" spans="1:12">
      <c r="A29" s="2" t="s">
        <v>297</v>
      </c>
      <c r="B29" s="3" t="s">
        <v>298</v>
      </c>
      <c r="D29" s="20">
        <v>0.93242949379469409</v>
      </c>
      <c r="E29" s="20">
        <v>5.9555878169750096E-2</v>
      </c>
      <c r="F29" s="20">
        <v>9.8875847082493401E-5</v>
      </c>
      <c r="G29" s="20">
        <v>3.1116143992248692E-5</v>
      </c>
      <c r="H29" s="20">
        <v>0</v>
      </c>
      <c r="I29" s="20">
        <v>5.9425886178675356E-2</v>
      </c>
      <c r="J29" s="20">
        <v>9.1468455861529473E-5</v>
      </c>
      <c r="K29" s="20">
        <v>7.9231595796942361E-3</v>
      </c>
      <c r="L29" s="20">
        <v>0</v>
      </c>
    </row>
    <row r="30" spans="1:12">
      <c r="A30" s="2" t="s">
        <v>401</v>
      </c>
      <c r="B30" s="3" t="s">
        <v>402</v>
      </c>
      <c r="D30" s="20">
        <v>0.95383835628039604</v>
      </c>
      <c r="E30" s="20">
        <v>1.8116522119974932E-2</v>
      </c>
      <c r="F30" s="20">
        <v>4.5388830989699326E-3</v>
      </c>
      <c r="G30" s="20">
        <v>9.6126814970882166E-4</v>
      </c>
      <c r="H30" s="20">
        <v>0</v>
      </c>
      <c r="I30" s="20">
        <v>1.2616370871296179E-2</v>
      </c>
      <c r="J30" s="20">
        <v>3.2742201794806096E-4</v>
      </c>
      <c r="K30" s="20">
        <v>2.7717699581680966E-2</v>
      </c>
      <c r="L30" s="20">
        <v>0</v>
      </c>
    </row>
    <row r="31" spans="1:12">
      <c r="A31" s="2" t="s">
        <v>299</v>
      </c>
      <c r="B31" s="3" t="s">
        <v>300</v>
      </c>
      <c r="D31" s="20">
        <v>0.99881508582780909</v>
      </c>
      <c r="E31" s="20">
        <v>5.3654120586391616E-4</v>
      </c>
      <c r="F31" s="20">
        <v>7.0885810285800326E-5</v>
      </c>
      <c r="G31" s="20">
        <v>1.5953459106958428E-5</v>
      </c>
      <c r="H31" s="20">
        <v>0</v>
      </c>
      <c r="I31" s="20">
        <v>4.4970193647115745E-4</v>
      </c>
      <c r="J31" s="20">
        <v>5.7333509806020182E-6</v>
      </c>
      <c r="K31" s="20">
        <v>6.4263961534632248E-4</v>
      </c>
      <c r="L31" s="20">
        <v>0</v>
      </c>
    </row>
    <row r="32" spans="1:12">
      <c r="A32" s="2" t="s">
        <v>343</v>
      </c>
      <c r="B32" s="3" t="s">
        <v>344</v>
      </c>
      <c r="D32" s="20">
        <v>2.2646829920816751E-3</v>
      </c>
      <c r="E32" s="20">
        <v>0.66798707772390298</v>
      </c>
      <c r="F32" s="20">
        <v>1.3870165189283702E-2</v>
      </c>
      <c r="G32" s="20">
        <v>3.6172388680388631E-3</v>
      </c>
      <c r="H32" s="20">
        <v>0</v>
      </c>
      <c r="I32" s="20">
        <v>0.65049967366658046</v>
      </c>
      <c r="J32" s="20">
        <v>2.038144697034588E-3</v>
      </c>
      <c r="K32" s="20">
        <v>0.32771009458698075</v>
      </c>
      <c r="L32" s="20">
        <v>0</v>
      </c>
    </row>
    <row r="33" spans="1:12">
      <c r="A33" s="2" t="s">
        <v>345</v>
      </c>
      <c r="B33" s="3" t="s">
        <v>346</v>
      </c>
      <c r="D33" s="20">
        <v>8.9190256727615693E-5</v>
      </c>
      <c r="E33" s="20">
        <v>0.76797095179405284</v>
      </c>
      <c r="F33" s="20">
        <v>6.1121165757915038E-3</v>
      </c>
      <c r="G33" s="20">
        <v>1.7127232145647076E-3</v>
      </c>
      <c r="H33" s="20">
        <v>0</v>
      </c>
      <c r="I33" s="20">
        <v>0.76014611200369664</v>
      </c>
      <c r="J33" s="20">
        <v>1.5837061567538083E-3</v>
      </c>
      <c r="K33" s="20">
        <v>0.23035615179246557</v>
      </c>
      <c r="L33" s="20">
        <v>0</v>
      </c>
    </row>
    <row r="34" spans="1:12">
      <c r="A34" s="2" t="s">
        <v>347</v>
      </c>
      <c r="B34" s="3" t="s">
        <v>348</v>
      </c>
      <c r="D34" s="20">
        <v>1.3390437886684806E-4</v>
      </c>
      <c r="E34" s="20">
        <v>0.4178854593269769</v>
      </c>
      <c r="F34" s="20">
        <v>7.7887720579137842E-2</v>
      </c>
      <c r="G34" s="20">
        <v>1.6988872208475076E-2</v>
      </c>
      <c r="H34" s="20">
        <v>0</v>
      </c>
      <c r="I34" s="20">
        <v>0.323008866539364</v>
      </c>
      <c r="J34" s="20">
        <v>5.9080881028274928E-3</v>
      </c>
      <c r="K34" s="20">
        <v>0.57607254819132869</v>
      </c>
      <c r="L34" s="20">
        <v>0</v>
      </c>
    </row>
    <row r="35" spans="1:12">
      <c r="A35" s="2" t="s">
        <v>349</v>
      </c>
      <c r="B35" s="3" t="s">
        <v>350</v>
      </c>
      <c r="D35" s="20">
        <v>4.9847109052309387E-2</v>
      </c>
      <c r="E35" s="20">
        <v>0.38598597346074515</v>
      </c>
      <c r="F35" s="20">
        <v>0.26080396566835568</v>
      </c>
      <c r="G35" s="20">
        <v>4.6882390308400246E-2</v>
      </c>
      <c r="H35" s="20">
        <v>0</v>
      </c>
      <c r="I35" s="20">
        <v>7.8299617483989226E-2</v>
      </c>
      <c r="J35" s="20">
        <v>1.548281557693486E-2</v>
      </c>
      <c r="K35" s="20">
        <v>0.54868410191001049</v>
      </c>
      <c r="L35" s="20">
        <v>0</v>
      </c>
    </row>
    <row r="36" spans="1:12">
      <c r="A36" s="2" t="s">
        <v>351</v>
      </c>
      <c r="B36" s="3" t="s">
        <v>352</v>
      </c>
      <c r="D36" s="20">
        <v>1.6402639221403117E-3</v>
      </c>
      <c r="E36" s="20">
        <v>0.41817177235245079</v>
      </c>
      <c r="F36" s="20">
        <v>0.27163638836171444</v>
      </c>
      <c r="G36" s="20">
        <v>0.12539594794319125</v>
      </c>
      <c r="H36" s="20">
        <v>0</v>
      </c>
      <c r="I36" s="20">
        <v>2.1139436047545115E-2</v>
      </c>
      <c r="J36" s="20">
        <v>4.1922973449000818E-2</v>
      </c>
      <c r="K36" s="20">
        <v>0.53826499027640806</v>
      </c>
      <c r="L36" s="20">
        <v>0</v>
      </c>
    </row>
    <row r="37" spans="1:12">
      <c r="A37" s="2" t="s">
        <v>353</v>
      </c>
      <c r="B37" s="3" t="s">
        <v>354</v>
      </c>
      <c r="D37" s="20">
        <v>1.2452293693278207E-2</v>
      </c>
      <c r="E37" s="20">
        <v>0.45418791113968654</v>
      </c>
      <c r="F37" s="20">
        <v>0.12800400852564608</v>
      </c>
      <c r="G37" s="20">
        <v>0.32256639861677777</v>
      </c>
      <c r="H37" s="20">
        <v>0</v>
      </c>
      <c r="I37" s="20">
        <v>3.6175039972626945E-3</v>
      </c>
      <c r="J37" s="20">
        <v>0.11017334282265979</v>
      </c>
      <c r="K37" s="20">
        <v>0.42318645234437535</v>
      </c>
      <c r="L37" s="20">
        <v>0</v>
      </c>
    </row>
    <row r="38" spans="1:12">
      <c r="A38" s="2" t="s">
        <v>355</v>
      </c>
      <c r="B38" s="3" t="s">
        <v>356</v>
      </c>
      <c r="D38" s="20">
        <v>6.241797213690618E-4</v>
      </c>
      <c r="E38" s="20">
        <v>0.41614025577918379</v>
      </c>
      <c r="F38" s="20">
        <v>0.21866731378382764</v>
      </c>
      <c r="G38" s="20">
        <v>0.18564336216170307</v>
      </c>
      <c r="H38" s="20">
        <v>0</v>
      </c>
      <c r="I38" s="20">
        <v>1.1829579833653053E-2</v>
      </c>
      <c r="J38" s="20">
        <v>6.2530195375048878E-2</v>
      </c>
      <c r="K38" s="20">
        <v>0.52070536912439824</v>
      </c>
      <c r="L38" s="20">
        <v>0</v>
      </c>
    </row>
    <row r="39" spans="1:12">
      <c r="A39" s="2" t="s">
        <v>357</v>
      </c>
      <c r="B39" s="3" t="s">
        <v>358</v>
      </c>
      <c r="D39" s="20">
        <v>0.11327707270722168</v>
      </c>
      <c r="E39" s="20">
        <v>0.36898703329280536</v>
      </c>
      <c r="F39" s="20">
        <v>0.22783279205138876</v>
      </c>
      <c r="G39" s="20">
        <v>0.12517332475326684</v>
      </c>
      <c r="H39" s="20">
        <v>0</v>
      </c>
      <c r="I39" s="20">
        <v>1.5980916488149782E-2</v>
      </c>
      <c r="J39" s="20">
        <v>4.1935915235572774E-2</v>
      </c>
      <c r="K39" s="20">
        <v>0.47579997876440022</v>
      </c>
      <c r="L39" s="20">
        <v>0</v>
      </c>
    </row>
    <row r="40" spans="1:12">
      <c r="A40" s="2" t="s">
        <v>359</v>
      </c>
      <c r="B40" s="3" t="s">
        <v>360</v>
      </c>
      <c r="D40" s="20">
        <v>6.241797213690618E-4</v>
      </c>
      <c r="E40" s="20">
        <v>0.41614025577918379</v>
      </c>
      <c r="F40" s="20">
        <v>0.21866731378382764</v>
      </c>
      <c r="G40" s="20">
        <v>0.18564336216170307</v>
      </c>
      <c r="H40" s="20">
        <v>0</v>
      </c>
      <c r="I40" s="20">
        <v>1.1829579833653053E-2</v>
      </c>
      <c r="J40" s="20">
        <v>6.2530195375048878E-2</v>
      </c>
      <c r="K40" s="20">
        <v>0.52070536912439824</v>
      </c>
      <c r="L40" s="20">
        <v>0</v>
      </c>
    </row>
    <row r="41" spans="1:12">
      <c r="A41" s="2" t="s">
        <v>313</v>
      </c>
      <c r="B41" s="3" t="s">
        <v>314</v>
      </c>
      <c r="D41" s="20">
        <v>5.8236197706363631E-8</v>
      </c>
      <c r="E41" s="20">
        <v>0.99841557564663119</v>
      </c>
      <c r="F41" s="20">
        <v>4.725903343339808E-3</v>
      </c>
      <c r="G41" s="20">
        <v>1.1246189180126303E-6</v>
      </c>
      <c r="H41" s="20">
        <v>0</v>
      </c>
      <c r="I41" s="20">
        <v>0.99368854768437342</v>
      </c>
      <c r="J41" s="20">
        <v>1.3972470622331025E-3</v>
      </c>
      <c r="K41" s="20">
        <v>1.8711905493807004E-4</v>
      </c>
      <c r="L41" s="20">
        <v>0</v>
      </c>
    </row>
    <row r="42" spans="1:12">
      <c r="A42" s="2" t="s">
        <v>315</v>
      </c>
      <c r="B42" s="3" t="s">
        <v>316</v>
      </c>
      <c r="D42" s="20">
        <v>1.804060091447944E-2</v>
      </c>
      <c r="E42" s="20">
        <v>0.45624932301408633</v>
      </c>
      <c r="F42" s="20">
        <v>0.12210268505759851</v>
      </c>
      <c r="G42" s="20">
        <v>0.33084210061440816</v>
      </c>
      <c r="H42" s="20">
        <v>0</v>
      </c>
      <c r="I42" s="20">
        <v>3.304537342079679E-3</v>
      </c>
      <c r="J42" s="20">
        <v>0.11310610814337914</v>
      </c>
      <c r="K42" s="20">
        <v>0.41260396792805515</v>
      </c>
      <c r="L42" s="20">
        <v>0</v>
      </c>
    </row>
    <row r="43" spans="1:12">
      <c r="A43" s="2" t="s">
        <v>317</v>
      </c>
      <c r="B43" s="3" t="s">
        <v>318</v>
      </c>
      <c r="D43" s="20">
        <v>6.1068753195947177E-12</v>
      </c>
      <c r="E43" s="20">
        <v>0.53418914156351016</v>
      </c>
      <c r="F43" s="20">
        <v>3.4777092321321305E-2</v>
      </c>
      <c r="G43" s="20">
        <v>8.3021165051145041E-3</v>
      </c>
      <c r="H43" s="20">
        <v>0</v>
      </c>
      <c r="I43" s="20">
        <v>0.49110993273707437</v>
      </c>
      <c r="J43" s="20">
        <v>3.3218090341476446E-3</v>
      </c>
      <c r="K43" s="20">
        <v>0.46248904939623514</v>
      </c>
      <c r="L43" s="20">
        <v>0</v>
      </c>
    </row>
    <row r="44" spans="1:12">
      <c r="A44" s="2" t="s">
        <v>307</v>
      </c>
      <c r="B44" s="3" t="s">
        <v>308</v>
      </c>
      <c r="D44" s="20">
        <v>5.5245950419822575E-4</v>
      </c>
      <c r="E44" s="20">
        <v>0.43339463181589777</v>
      </c>
      <c r="F44" s="20">
        <v>0.31115348117508645</v>
      </c>
      <c r="G44" s="20">
        <v>9.029635502565718E-2</v>
      </c>
      <c r="H44" s="20">
        <v>0</v>
      </c>
      <c r="I44" s="20">
        <v>3.1944795615154127E-2</v>
      </c>
      <c r="J44" s="20">
        <v>3.0030618267773448E-2</v>
      </c>
      <c r="K44" s="20">
        <v>0.53602229041213068</v>
      </c>
      <c r="L44" s="20">
        <v>0</v>
      </c>
    </row>
    <row r="45" spans="1:12">
      <c r="A45" s="2" t="s">
        <v>319</v>
      </c>
      <c r="B45" s="3" t="s">
        <v>320</v>
      </c>
      <c r="D45" s="20">
        <v>6.469925046304768E-5</v>
      </c>
      <c r="E45" s="20">
        <v>0.50833227550309112</v>
      </c>
      <c r="F45" s="20">
        <v>8.5718283215681187E-2</v>
      </c>
      <c r="G45" s="20">
        <v>0.42098732432237851</v>
      </c>
      <c r="H45" s="20">
        <v>0</v>
      </c>
      <c r="I45" s="20">
        <v>1.6266679650314671E-3</v>
      </c>
      <c r="J45" s="20">
        <v>0.14504045948632693</v>
      </c>
      <c r="K45" s="20">
        <v>0.34656256576011879</v>
      </c>
      <c r="L45" s="20">
        <v>0</v>
      </c>
    </row>
    <row r="46" spans="1:12">
      <c r="A46" s="2" t="s">
        <v>321</v>
      </c>
      <c r="B46" s="3" t="s">
        <v>322</v>
      </c>
      <c r="D46" s="20">
        <v>8.908313670068895E-5</v>
      </c>
      <c r="E46" s="20">
        <v>0.47046895134810202</v>
      </c>
      <c r="F46" s="20">
        <v>0.118159791356223</v>
      </c>
      <c r="G46" s="20">
        <v>0.34927320614499768</v>
      </c>
      <c r="H46" s="20">
        <v>0</v>
      </c>
      <c r="I46" s="20">
        <v>3.0359538468813429E-3</v>
      </c>
      <c r="J46" s="20">
        <v>0.11954198151828627</v>
      </c>
      <c r="K46" s="20">
        <v>0.40989998399691108</v>
      </c>
      <c r="L46" s="20">
        <v>0</v>
      </c>
    </row>
    <row r="47" spans="1:12">
      <c r="A47" s="2" t="s">
        <v>323</v>
      </c>
      <c r="B47" s="3" t="s">
        <v>324</v>
      </c>
      <c r="D47" s="20">
        <v>7.8040762917328161E-4</v>
      </c>
      <c r="E47" s="20">
        <v>0.43350283057201611</v>
      </c>
      <c r="F47" s="20">
        <v>0.16679987515547406</v>
      </c>
      <c r="G47" s="20">
        <v>0.26043015931617464</v>
      </c>
      <c r="H47" s="20">
        <v>0</v>
      </c>
      <c r="I47" s="20">
        <v>6.2727961003673852E-3</v>
      </c>
      <c r="J47" s="20">
        <v>8.8403053693716011E-2</v>
      </c>
      <c r="K47" s="20">
        <v>0.4773137081050946</v>
      </c>
      <c r="L47" s="20">
        <v>0</v>
      </c>
    </row>
    <row r="48" spans="1:12">
      <c r="A48" s="2" t="s">
        <v>325</v>
      </c>
      <c r="B48" s="3" t="s">
        <v>326</v>
      </c>
      <c r="D48" s="20">
        <v>2.829525862456693E-4</v>
      </c>
      <c r="E48" s="20">
        <v>0.36569193186775351</v>
      </c>
      <c r="F48" s="20">
        <v>0.1667200695231309</v>
      </c>
      <c r="G48" s="20">
        <v>3.2740359069860829E-2</v>
      </c>
      <c r="H48" s="20">
        <v>0</v>
      </c>
      <c r="I48" s="20">
        <v>0.16623150327476177</v>
      </c>
      <c r="J48" s="20">
        <v>1.0870137597349594E-2</v>
      </c>
      <c r="K48" s="20">
        <v>0.62315497794865138</v>
      </c>
      <c r="L48" s="20">
        <v>0</v>
      </c>
    </row>
    <row r="49" spans="1:12">
      <c r="A49" s="2" t="s">
        <v>275</v>
      </c>
      <c r="B49" s="3" t="s">
        <v>276</v>
      </c>
      <c r="D49" s="20">
        <v>7.0826580347494065E-6</v>
      </c>
      <c r="E49" s="20">
        <v>0.43006844546528122</v>
      </c>
      <c r="F49" s="20">
        <v>0.30413786193877101</v>
      </c>
      <c r="G49" s="20">
        <v>9.6286642666019023E-2</v>
      </c>
      <c r="H49" s="20">
        <v>0</v>
      </c>
      <c r="I49" s="20">
        <v>2.9643940860491186E-2</v>
      </c>
      <c r="J49" s="20">
        <v>3.2052796751111723E-2</v>
      </c>
      <c r="K49" s="20">
        <v>0.53787167512557232</v>
      </c>
      <c r="L49" s="20">
        <v>0</v>
      </c>
    </row>
    <row r="50" spans="1:12">
      <c r="A50" s="2" t="s">
        <v>327</v>
      </c>
      <c r="B50" s="3" t="s">
        <v>328</v>
      </c>
      <c r="D50" s="20">
        <v>3.6753688955044542E-4</v>
      </c>
      <c r="E50" s="20">
        <v>0.42477283341779254</v>
      </c>
      <c r="F50" s="20">
        <v>0.29186038463905734</v>
      </c>
      <c r="G50" s="20">
        <v>0.10682445993366349</v>
      </c>
      <c r="H50" s="20">
        <v>0</v>
      </c>
      <c r="I50" s="20">
        <v>2.608798884507171E-2</v>
      </c>
      <c r="J50" s="20">
        <v>3.5618094537703482E-2</v>
      </c>
      <c r="K50" s="20">
        <v>0.53924153515495366</v>
      </c>
      <c r="L50" s="20">
        <v>0</v>
      </c>
    </row>
    <row r="51" spans="1:12">
      <c r="A51" s="2" t="s">
        <v>329</v>
      </c>
      <c r="B51" s="3" t="s">
        <v>330</v>
      </c>
      <c r="D51" s="20">
        <v>1.7232593344364947E-4</v>
      </c>
      <c r="E51" s="20">
        <v>0.37455989712652027</v>
      </c>
      <c r="F51" s="20">
        <v>0.21058374968047316</v>
      </c>
      <c r="G51" s="20">
        <v>3.9785095959406887E-2</v>
      </c>
      <c r="H51" s="20">
        <v>0</v>
      </c>
      <c r="I51" s="20">
        <v>0.12419105148664021</v>
      </c>
      <c r="J51" s="20">
        <v>1.3152751088040638E-2</v>
      </c>
      <c r="K51" s="20">
        <v>0.61211502585199551</v>
      </c>
      <c r="L51" s="20">
        <v>0</v>
      </c>
    </row>
    <row r="52" spans="1:12">
      <c r="A52" s="2" t="s">
        <v>277</v>
      </c>
      <c r="B52" s="3" t="s">
        <v>278</v>
      </c>
      <c r="D52" s="20">
        <v>4.4684842421230961E-4</v>
      </c>
      <c r="E52" s="20">
        <v>0.36582799611185024</v>
      </c>
      <c r="F52" s="20">
        <v>0.17062177106465432</v>
      </c>
      <c r="G52" s="20">
        <v>3.3383356555824903E-2</v>
      </c>
      <c r="H52" s="20">
        <v>0</v>
      </c>
      <c r="I52" s="20">
        <v>0.16182286849137104</v>
      </c>
      <c r="J52" s="20">
        <v>1.1077106536969417E-2</v>
      </c>
      <c r="K52" s="20">
        <v>0.62264804892696801</v>
      </c>
      <c r="L52" s="20">
        <v>0</v>
      </c>
    </row>
    <row r="53" spans="1:12">
      <c r="A53" s="2" t="s">
        <v>331</v>
      </c>
      <c r="B53" s="3" t="s">
        <v>332</v>
      </c>
      <c r="D53" s="20">
        <v>2.447183670010476E-4</v>
      </c>
      <c r="E53" s="20">
        <v>0.41558940119254728</v>
      </c>
      <c r="F53" s="20">
        <v>0.25307006745366567</v>
      </c>
      <c r="G53" s="20">
        <v>0.1452233116816822</v>
      </c>
      <c r="H53" s="20">
        <v>0</v>
      </c>
      <c r="I53" s="20">
        <v>1.7296022057199378E-2</v>
      </c>
      <c r="J53" s="20">
        <v>4.86788375045741E-2</v>
      </c>
      <c r="K53" s="20">
        <v>0.53548704293587734</v>
      </c>
      <c r="L53" s="20">
        <v>0</v>
      </c>
    </row>
    <row r="54" spans="1:12">
      <c r="A54" s="2" t="s">
        <v>333</v>
      </c>
      <c r="B54" s="3" t="s">
        <v>334</v>
      </c>
      <c r="D54" s="20">
        <v>4.0083170384431827E-7</v>
      </c>
      <c r="E54" s="20">
        <v>0.42737385886978696</v>
      </c>
      <c r="F54" s="20">
        <v>0.29808236254077825</v>
      </c>
      <c r="G54" s="20">
        <v>0.10146863896514867</v>
      </c>
      <c r="H54" s="20">
        <v>0</v>
      </c>
      <c r="I54" s="20">
        <v>2.7822857363860042E-2</v>
      </c>
      <c r="J54" s="20">
        <v>3.3804799784608652E-2</v>
      </c>
      <c r="K54" s="20">
        <v>0.5388209405139005</v>
      </c>
      <c r="L54" s="20">
        <v>0</v>
      </c>
    </row>
    <row r="55" spans="1:12">
      <c r="A55" s="2" t="s">
        <v>335</v>
      </c>
      <c r="B55" s="3" t="s">
        <v>336</v>
      </c>
      <c r="D55" s="20">
        <v>2.0199234688437003E-3</v>
      </c>
      <c r="E55" s="20">
        <v>0.4317092847225093</v>
      </c>
      <c r="F55" s="20">
        <v>0.16896981556679577</v>
      </c>
      <c r="G55" s="20">
        <v>0.25627408135180257</v>
      </c>
      <c r="H55" s="20">
        <v>0</v>
      </c>
      <c r="I55" s="20">
        <v>6.4653878039109651E-3</v>
      </c>
      <c r="J55" s="20">
        <v>8.6959880139641371E-2</v>
      </c>
      <c r="K55" s="20">
        <v>0.47931091166900563</v>
      </c>
      <c r="L55" s="20">
        <v>0</v>
      </c>
    </row>
    <row r="56" spans="1:12">
      <c r="A56" s="2" t="s">
        <v>337</v>
      </c>
      <c r="B56" s="3" t="s">
        <v>338</v>
      </c>
      <c r="D56" s="20">
        <v>1.4182073532408444E-4</v>
      </c>
      <c r="E56" s="20">
        <v>0.43234634118391474</v>
      </c>
      <c r="F56" s="20">
        <v>0.30889718296292723</v>
      </c>
      <c r="G56" s="20">
        <v>9.2280407377545046E-2</v>
      </c>
      <c r="H56" s="20">
        <v>0</v>
      </c>
      <c r="I56" s="20">
        <v>3.116875084344245E-2</v>
      </c>
      <c r="J56" s="20">
        <v>3.0699939372610171E-2</v>
      </c>
      <c r="K56" s="20">
        <v>0.53681189870815105</v>
      </c>
      <c r="L56" s="20">
        <v>0</v>
      </c>
    </row>
    <row r="57" spans="1:12">
      <c r="A57" s="2" t="s">
        <v>279</v>
      </c>
      <c r="B57" s="3" t="s">
        <v>280</v>
      </c>
      <c r="D57" s="20">
        <v>7.9219375917002951E-3</v>
      </c>
      <c r="E57" s="20">
        <v>0.3637349356506519</v>
      </c>
      <c r="F57" s="20">
        <v>0.14856127966578</v>
      </c>
      <c r="G57" s="20">
        <v>2.966205166476487E-2</v>
      </c>
      <c r="H57" s="20">
        <v>0</v>
      </c>
      <c r="I57" s="20">
        <v>0.18551160432010705</v>
      </c>
      <c r="J57" s="20">
        <v>9.8799917484061698E-3</v>
      </c>
      <c r="K57" s="20">
        <v>0.61846313500924166</v>
      </c>
      <c r="L57" s="20">
        <v>0</v>
      </c>
    </row>
    <row r="58" spans="1:12">
      <c r="A58" s="2" t="s">
        <v>339</v>
      </c>
      <c r="B58" s="3" t="s">
        <v>340</v>
      </c>
      <c r="D58" s="20">
        <v>1.4043734034723018E-6</v>
      </c>
      <c r="E58" s="20">
        <v>0.42686406552759265</v>
      </c>
      <c r="F58" s="20">
        <v>0.29686350512044024</v>
      </c>
      <c r="G58" s="20">
        <v>0.10253033262751653</v>
      </c>
      <c r="H58" s="20">
        <v>0</v>
      </c>
      <c r="I58" s="20">
        <v>2.7470227779635873E-2</v>
      </c>
      <c r="J58" s="20">
        <v>3.4164028003615392E-2</v>
      </c>
      <c r="K58" s="20">
        <v>0.53897050209538866</v>
      </c>
      <c r="L58" s="20">
        <v>0</v>
      </c>
    </row>
    <row r="59" spans="1:12">
      <c r="A59" s="2" t="s">
        <v>281</v>
      </c>
      <c r="B59" s="3" t="s">
        <v>282</v>
      </c>
      <c r="D59" s="20">
        <v>6.7658903164282655E-5</v>
      </c>
      <c r="E59" s="20">
        <v>0.36596677626817603</v>
      </c>
      <c r="F59" s="20">
        <v>0.17068649797542279</v>
      </c>
      <c r="G59" s="20">
        <v>3.3396020833820941E-2</v>
      </c>
      <c r="H59" s="20">
        <v>0</v>
      </c>
      <c r="I59" s="20">
        <v>0.16188425745893231</v>
      </c>
      <c r="J59" s="20">
        <v>1.1081308737438426E-2</v>
      </c>
      <c r="K59" s="20">
        <v>0.62288425609122122</v>
      </c>
      <c r="L59" s="20">
        <v>0</v>
      </c>
    </row>
    <row r="60" spans="1:12">
      <c r="A60" s="2" t="s">
        <v>341</v>
      </c>
      <c r="B60" s="3" t="s">
        <v>342</v>
      </c>
      <c r="D60" s="20">
        <v>2.0431979760946305E-3</v>
      </c>
      <c r="E60" s="20">
        <v>0.41644009340720617</v>
      </c>
      <c r="F60" s="20">
        <v>0.26398829107375243</v>
      </c>
      <c r="G60" s="20">
        <v>0.13294751374411198</v>
      </c>
      <c r="H60" s="20">
        <v>0</v>
      </c>
      <c r="I60" s="20">
        <v>1.9504288589341768E-2</v>
      </c>
      <c r="J60" s="20">
        <v>4.4493752919877692E-2</v>
      </c>
      <c r="K60" s="20">
        <v>0.53702295569682146</v>
      </c>
      <c r="L60" s="20">
        <v>0</v>
      </c>
    </row>
    <row r="61" spans="1:12">
      <c r="A61" s="2" t="s">
        <v>483</v>
      </c>
      <c r="B61" s="3" t="s">
        <v>484</v>
      </c>
      <c r="D61" s="20">
        <v>1.371777346750005E-13</v>
      </c>
      <c r="E61" s="20">
        <v>0.59332511512786057</v>
      </c>
      <c r="F61" s="20">
        <v>8.0219626452336087E-2</v>
      </c>
      <c r="G61" s="20">
        <v>1.3365900766238477E-2</v>
      </c>
      <c r="H61" s="20">
        <v>0</v>
      </c>
      <c r="I61" s="20">
        <v>0.49973958790928596</v>
      </c>
      <c r="J61" s="20">
        <v>5.486271135554939E-2</v>
      </c>
      <c r="K61" s="20">
        <v>0.35181217351645294</v>
      </c>
      <c r="L61" s="20">
        <v>0</v>
      </c>
    </row>
    <row r="62" spans="1:12">
      <c r="A62" s="2" t="s">
        <v>485</v>
      </c>
      <c r="B62" s="3" t="s">
        <v>486</v>
      </c>
      <c r="D62" s="20">
        <v>3.6960749678501982E-7</v>
      </c>
      <c r="E62" s="20">
        <v>0.42547661518599239</v>
      </c>
      <c r="F62" s="20">
        <v>7.331873889682379E-2</v>
      </c>
      <c r="G62" s="20">
        <v>1.6110556478180375E-2</v>
      </c>
      <c r="H62" s="20">
        <v>0</v>
      </c>
      <c r="I62" s="20">
        <v>0.33604731981098823</v>
      </c>
      <c r="J62" s="20">
        <v>5.6397317406369149E-3</v>
      </c>
      <c r="K62" s="20">
        <v>0.56888328346587391</v>
      </c>
      <c r="L62" s="20">
        <v>0</v>
      </c>
    </row>
    <row r="63" spans="1:12">
      <c r="A63" s="2" t="s">
        <v>487</v>
      </c>
      <c r="B63" s="3" t="s">
        <v>488</v>
      </c>
      <c r="D63" s="20">
        <v>7.3319622797487973E-13</v>
      </c>
      <c r="E63" s="20">
        <v>0.95241399447261688</v>
      </c>
      <c r="F63" s="20">
        <v>3.2701255929766557E-3</v>
      </c>
      <c r="G63" s="20">
        <v>4.3148051170709595E-4</v>
      </c>
      <c r="H63" s="20">
        <v>0</v>
      </c>
      <c r="I63" s="20">
        <v>0.94871238836793315</v>
      </c>
      <c r="J63" s="20">
        <v>6.5888414847601988E-3</v>
      </c>
      <c r="K63" s="20">
        <v>4.0997164041889661E-2</v>
      </c>
      <c r="L63" s="20">
        <v>0</v>
      </c>
    </row>
    <row r="64" spans="1:12">
      <c r="A64" s="2" t="s">
        <v>489</v>
      </c>
      <c r="B64" s="3" t="s">
        <v>490</v>
      </c>
      <c r="D64" s="20">
        <v>1.3271510054176691E-14</v>
      </c>
      <c r="E64" s="20">
        <v>0.99425064099081062</v>
      </c>
      <c r="F64" s="20">
        <v>1.2239082002330813E-3</v>
      </c>
      <c r="G64" s="20">
        <v>1.5195892250008143E-5</v>
      </c>
      <c r="H64" s="20">
        <v>0</v>
      </c>
      <c r="I64" s="20">
        <v>0.99301153689832755</v>
      </c>
      <c r="J64" s="20">
        <v>1.3797876519622994E-3</v>
      </c>
      <c r="K64" s="20">
        <v>4.3695713572136736E-3</v>
      </c>
      <c r="L64" s="20">
        <v>0</v>
      </c>
    </row>
    <row r="65" spans="1:12">
      <c r="A65" s="2" t="s">
        <v>491</v>
      </c>
      <c r="B65" s="3" t="s">
        <v>492</v>
      </c>
      <c r="D65" s="20">
        <v>2.1911894427602489E-12</v>
      </c>
      <c r="E65" s="20">
        <v>0.9962264187077039</v>
      </c>
      <c r="F65" s="20">
        <v>1.5884961838749198E-4</v>
      </c>
      <c r="G65" s="20">
        <v>7.0652851814432221E-6</v>
      </c>
      <c r="H65" s="20">
        <v>0</v>
      </c>
      <c r="I65" s="20">
        <v>0.99606050380413491</v>
      </c>
      <c r="J65" s="20">
        <v>1.8432923298989129E-3</v>
      </c>
      <c r="K65" s="20">
        <v>1.9302889602057793E-3</v>
      </c>
      <c r="L65" s="20">
        <v>0</v>
      </c>
    </row>
    <row r="66" spans="1:12">
      <c r="A66" s="2" t="s">
        <v>493</v>
      </c>
      <c r="B66" s="3" t="s">
        <v>494</v>
      </c>
      <c r="D66" s="20">
        <v>3.3564742230196373E-11</v>
      </c>
      <c r="E66" s="20">
        <v>0.92729375003272385</v>
      </c>
      <c r="F66" s="20">
        <v>2.3443069396693526E-2</v>
      </c>
      <c r="G66" s="20">
        <v>5.8752629987179189E-4</v>
      </c>
      <c r="H66" s="20">
        <v>0</v>
      </c>
      <c r="I66" s="20">
        <v>0.90326315433615856</v>
      </c>
      <c r="J66" s="20">
        <v>5.2519800297289511E-2</v>
      </c>
      <c r="K66" s="20">
        <v>2.0186449636421945E-2</v>
      </c>
      <c r="L66" s="20">
        <v>0</v>
      </c>
    </row>
    <row r="67" spans="1:12">
      <c r="A67" s="2" t="s">
        <v>495</v>
      </c>
      <c r="B67" s="3" t="s">
        <v>496</v>
      </c>
      <c r="D67" s="20">
        <v>1.7115410908370891E-12</v>
      </c>
      <c r="E67" s="20">
        <v>0.99606707392188865</v>
      </c>
      <c r="F67" s="20">
        <v>1.3392797265678275E-4</v>
      </c>
      <c r="G67" s="20">
        <v>7.3212667182335739E-6</v>
      </c>
      <c r="H67" s="20">
        <v>0</v>
      </c>
      <c r="I67" s="20">
        <v>0.99592582468251367</v>
      </c>
      <c r="J67" s="20">
        <v>1.7627305729452415E-3</v>
      </c>
      <c r="K67" s="20">
        <v>2.1701955034544259E-3</v>
      </c>
      <c r="L67" s="20">
        <v>0</v>
      </c>
    </row>
    <row r="68" spans="1:12">
      <c r="A68" s="2" t="s">
        <v>497</v>
      </c>
      <c r="B68" s="3" t="s">
        <v>498</v>
      </c>
      <c r="D68" s="20">
        <v>1.5479452757735124E-11</v>
      </c>
      <c r="E68" s="20">
        <v>0.99769767937439657</v>
      </c>
      <c r="F68" s="20">
        <v>1.5929150358673577E-5</v>
      </c>
      <c r="G68" s="20">
        <v>1.229019256560224E-6</v>
      </c>
      <c r="H68" s="20">
        <v>0</v>
      </c>
      <c r="I68" s="20">
        <v>0.99768052120478135</v>
      </c>
      <c r="J68" s="20">
        <v>1.4254180901526782E-3</v>
      </c>
      <c r="K68" s="20">
        <v>8.7690251997126726E-4</v>
      </c>
      <c r="L68" s="20">
        <v>0</v>
      </c>
    </row>
    <row r="69" spans="1:12">
      <c r="A69" s="2" t="s">
        <v>499</v>
      </c>
      <c r="B69" s="3" t="s">
        <v>500</v>
      </c>
      <c r="D69" s="20">
        <v>3.5454642782910173E-11</v>
      </c>
      <c r="E69" s="20">
        <v>0.43913156368158152</v>
      </c>
      <c r="F69" s="20">
        <v>0.32109779922716264</v>
      </c>
      <c r="G69" s="20">
        <v>8.2611952058396818E-2</v>
      </c>
      <c r="H69" s="20">
        <v>0</v>
      </c>
      <c r="I69" s="20">
        <v>3.5421812396022039E-2</v>
      </c>
      <c r="J69" s="20">
        <v>2.7440796750870289E-2</v>
      </c>
      <c r="K69" s="20">
        <v>0.5334276395320936</v>
      </c>
      <c r="L69" s="20">
        <v>0</v>
      </c>
    </row>
    <row r="70" spans="1:12">
      <c r="A70" s="2" t="s">
        <v>501</v>
      </c>
      <c r="B70" s="3" t="s">
        <v>411</v>
      </c>
      <c r="D70" s="20">
        <v>2.8520865525353442E-13</v>
      </c>
      <c r="E70" s="20">
        <v>0.99855180544400424</v>
      </c>
      <c r="F70" s="20">
        <v>3.0948308393889505E-3</v>
      </c>
      <c r="G70" s="20">
        <v>2.9412540625676084E-7</v>
      </c>
      <c r="H70" s="20">
        <v>0</v>
      </c>
      <c r="I70" s="20">
        <v>0.99545668047920899</v>
      </c>
      <c r="J70" s="20">
        <v>1.3900585525761125E-3</v>
      </c>
      <c r="K70" s="20">
        <v>5.8136003134386041E-5</v>
      </c>
      <c r="L70" s="20">
        <v>0</v>
      </c>
    </row>
    <row r="71" spans="1:12">
      <c r="A71" s="2" t="s">
        <v>502</v>
      </c>
      <c r="B71" s="3" t="s">
        <v>412</v>
      </c>
      <c r="D71" s="20">
        <v>1.3349827118226476E-8</v>
      </c>
      <c r="E71" s="20">
        <v>0.99851611191765033</v>
      </c>
      <c r="F71" s="20">
        <v>5.912215977407289E-3</v>
      </c>
      <c r="G71" s="20">
        <v>5.3729970815000988E-7</v>
      </c>
      <c r="H71" s="20">
        <v>0</v>
      </c>
      <c r="I71" s="20">
        <v>0.99260335864053484</v>
      </c>
      <c r="J71" s="20">
        <v>1.4022673900780374E-3</v>
      </c>
      <c r="K71" s="20">
        <v>8.1607342444644791E-5</v>
      </c>
      <c r="L71" s="20">
        <v>0</v>
      </c>
    </row>
    <row r="72" spans="1:12">
      <c r="A72" s="2" t="s">
        <v>503</v>
      </c>
      <c r="B72" s="3" t="s">
        <v>413</v>
      </c>
      <c r="D72" s="20">
        <v>1.6124876504385389E-9</v>
      </c>
      <c r="E72" s="20">
        <v>0.96781215941433829</v>
      </c>
      <c r="F72" s="20">
        <v>0.93083056154384103</v>
      </c>
      <c r="G72" s="20">
        <v>4.2749889158711095E-4</v>
      </c>
      <c r="H72" s="20">
        <v>0</v>
      </c>
      <c r="I72" s="20">
        <v>3.6554098978910148E-2</v>
      </c>
      <c r="J72" s="20">
        <v>3.1363610480397743E-2</v>
      </c>
      <c r="K72" s="20">
        <v>8.2422849277641091E-4</v>
      </c>
      <c r="L72" s="20">
        <v>0</v>
      </c>
    </row>
    <row r="73" spans="1:12">
      <c r="A73" s="2" t="s">
        <v>504</v>
      </c>
      <c r="B73" s="3" t="s">
        <v>414</v>
      </c>
      <c r="D73" s="20">
        <v>1.6912804953191035E-9</v>
      </c>
      <c r="E73" s="20">
        <v>0.99615266347252396</v>
      </c>
      <c r="F73" s="20">
        <v>0.7239188362654001</v>
      </c>
      <c r="G73" s="20">
        <v>4.1846027511630356E-5</v>
      </c>
      <c r="H73" s="20">
        <v>0</v>
      </c>
      <c r="I73" s="20">
        <v>0.27219198117961219</v>
      </c>
      <c r="J73" s="20">
        <v>3.3108383686366949E-3</v>
      </c>
      <c r="K73" s="20">
        <v>5.3649646755870954E-4</v>
      </c>
      <c r="L73" s="20">
        <v>0</v>
      </c>
    </row>
    <row r="74" spans="1:12">
      <c r="A74" s="2" t="s">
        <v>505</v>
      </c>
      <c r="B74" s="3" t="s">
        <v>415</v>
      </c>
      <c r="D74" s="20">
        <v>1.6424185099339066E-9</v>
      </c>
      <c r="E74" s="20">
        <v>0.99852283301000455</v>
      </c>
      <c r="F74" s="20">
        <v>5.3525171502709365E-3</v>
      </c>
      <c r="G74" s="20">
        <v>4.8856508448272635E-7</v>
      </c>
      <c r="H74" s="20">
        <v>0</v>
      </c>
      <c r="I74" s="20">
        <v>0.99316982729464909</v>
      </c>
      <c r="J74" s="20">
        <v>1.3998910515595632E-3</v>
      </c>
      <c r="K74" s="20">
        <v>7.7274296017460997E-5</v>
      </c>
      <c r="L74" s="20">
        <v>0</v>
      </c>
    </row>
    <row r="75" spans="1:12">
      <c r="A75" s="2" t="s">
        <v>506</v>
      </c>
      <c r="B75" s="3" t="s">
        <v>416</v>
      </c>
      <c r="D75" s="20">
        <v>6.9455763121280382E-9</v>
      </c>
      <c r="E75" s="20">
        <v>0.99619922398511762</v>
      </c>
      <c r="F75" s="20">
        <v>0.68799063084923051</v>
      </c>
      <c r="G75" s="20">
        <v>4.0285326070168653E-5</v>
      </c>
      <c r="H75" s="20">
        <v>0</v>
      </c>
      <c r="I75" s="20">
        <v>0.30816830780981697</v>
      </c>
      <c r="J75" s="20">
        <v>3.2463227385359917E-3</v>
      </c>
      <c r="K75" s="20">
        <v>5.5444633076988034E-4</v>
      </c>
      <c r="L75" s="20">
        <v>0</v>
      </c>
    </row>
    <row r="76" spans="1:12">
      <c r="A76" s="2" t="s">
        <v>507</v>
      </c>
      <c r="B76" s="3" t="s">
        <v>417</v>
      </c>
      <c r="D76" s="20">
        <v>4.4131793036163884E-8</v>
      </c>
      <c r="E76" s="20">
        <v>0.99788297948297966</v>
      </c>
      <c r="F76" s="20">
        <v>0.10910036963589648</v>
      </c>
      <c r="G76" s="20">
        <v>7.9340062071141622E-6</v>
      </c>
      <c r="H76" s="20">
        <v>0</v>
      </c>
      <c r="I76" s="20">
        <v>0.8887746758408761</v>
      </c>
      <c r="J76" s="20">
        <v>1.7633007302671352E-3</v>
      </c>
      <c r="K76" s="20">
        <v>3.5367565496003918E-4</v>
      </c>
      <c r="L76" s="20">
        <v>0</v>
      </c>
    </row>
    <row r="77" spans="1:12">
      <c r="A77" s="2" t="s">
        <v>508</v>
      </c>
      <c r="B77" s="3" t="s">
        <v>418</v>
      </c>
      <c r="D77" s="20">
        <v>5.1734002732175749E-8</v>
      </c>
      <c r="E77" s="20">
        <v>0.99616294967783448</v>
      </c>
      <c r="F77" s="20">
        <v>0.71392194347794347</v>
      </c>
      <c r="G77" s="20">
        <v>4.1544835604269698E-5</v>
      </c>
      <c r="H77" s="20">
        <v>0</v>
      </c>
      <c r="I77" s="20">
        <v>0.28219946136428675</v>
      </c>
      <c r="J77" s="20">
        <v>3.2934608843887929E-3</v>
      </c>
      <c r="K77" s="20">
        <v>5.4353770377409713E-4</v>
      </c>
      <c r="L77" s="20">
        <v>0</v>
      </c>
    </row>
    <row r="78" spans="1:12">
      <c r="A78" s="2" t="s">
        <v>509</v>
      </c>
      <c r="B78" s="3" t="s">
        <v>419</v>
      </c>
      <c r="D78" s="20">
        <v>6.4924472110434805E-9</v>
      </c>
      <c r="E78" s="20">
        <v>0.97289220768570994</v>
      </c>
      <c r="F78" s="20">
        <v>0.93192865102514411</v>
      </c>
      <c r="G78" s="20">
        <v>3.596226384343678E-4</v>
      </c>
      <c r="H78" s="20">
        <v>0</v>
      </c>
      <c r="I78" s="20">
        <v>4.0603934022131506E-2</v>
      </c>
      <c r="J78" s="20">
        <v>2.6324789623331211E-2</v>
      </c>
      <c r="K78" s="20">
        <v>7.8299619851155712E-4</v>
      </c>
      <c r="L78" s="20">
        <v>0</v>
      </c>
    </row>
    <row r="79" spans="1:12">
      <c r="A79" s="2" t="s">
        <v>510</v>
      </c>
      <c r="B79" s="3" t="s">
        <v>420</v>
      </c>
      <c r="D79" s="20">
        <v>1.6308294220755623E-13</v>
      </c>
      <c r="E79" s="20">
        <v>0.97289235047341383</v>
      </c>
      <c r="F79" s="20">
        <v>0.93192884231682871</v>
      </c>
      <c r="G79" s="20">
        <v>3.5956579991537412E-4</v>
      </c>
      <c r="H79" s="20">
        <v>0</v>
      </c>
      <c r="I79" s="20">
        <v>4.0603942356669705E-2</v>
      </c>
      <c r="J79" s="20">
        <v>2.632477708081149E-2</v>
      </c>
      <c r="K79" s="20">
        <v>7.8287244561186554E-4</v>
      </c>
      <c r="L79" s="20">
        <v>0</v>
      </c>
    </row>
    <row r="80" spans="1:12">
      <c r="A80" s="2" t="s">
        <v>511</v>
      </c>
      <c r="B80" s="3" t="s">
        <v>421</v>
      </c>
      <c r="D80" s="20">
        <v>7.8076870504304746E-9</v>
      </c>
      <c r="E80" s="20">
        <v>0.99703814132979229</v>
      </c>
      <c r="F80" s="20">
        <v>0.33143367635178833</v>
      </c>
      <c r="G80" s="20">
        <v>2.1675094188059897E-5</v>
      </c>
      <c r="H80" s="20">
        <v>0</v>
      </c>
      <c r="I80" s="20">
        <v>0.66558278988381592</v>
      </c>
      <c r="J80" s="20">
        <v>2.4139857777345742E-3</v>
      </c>
      <c r="K80" s="20">
        <v>5.4786508478601515E-4</v>
      </c>
      <c r="L80" s="20">
        <v>0</v>
      </c>
    </row>
    <row r="81" spans="1:12">
      <c r="A81" s="2" t="s">
        <v>512</v>
      </c>
      <c r="B81" s="3" t="s">
        <v>422</v>
      </c>
      <c r="D81" s="20">
        <v>3.0972702570415033E-9</v>
      </c>
      <c r="E81" s="20">
        <v>0.9983626451465234</v>
      </c>
      <c r="F81" s="20">
        <v>2.3553385414726374E-2</v>
      </c>
      <c r="G81" s="20">
        <v>1.9249422192754893E-6</v>
      </c>
      <c r="H81" s="20">
        <v>0</v>
      </c>
      <c r="I81" s="20">
        <v>0.97480733478957771</v>
      </c>
      <c r="J81" s="20">
        <v>1.4715724459263529E-3</v>
      </c>
      <c r="K81" s="20">
        <v>1.6577931028021077E-4</v>
      </c>
      <c r="L81" s="20">
        <v>0</v>
      </c>
    </row>
    <row r="82" spans="1:12">
      <c r="A82" s="2" t="s">
        <v>513</v>
      </c>
      <c r="B82" s="3" t="s">
        <v>423</v>
      </c>
      <c r="D82" s="20">
        <v>9.9223720696331729E-13</v>
      </c>
      <c r="E82" s="20">
        <v>0.99813332170782554</v>
      </c>
      <c r="F82" s="20">
        <v>6.0102110567864485E-2</v>
      </c>
      <c r="G82" s="20">
        <v>4.5707276813201929E-6</v>
      </c>
      <c r="H82" s="20">
        <v>0</v>
      </c>
      <c r="I82" s="20">
        <v>0.93802664041227979</v>
      </c>
      <c r="J82" s="20">
        <v>1.6015244164873234E-3</v>
      </c>
      <c r="K82" s="20">
        <v>2.6515387469483237E-4</v>
      </c>
      <c r="L82" s="20">
        <v>0</v>
      </c>
    </row>
    <row r="83" spans="1:12">
      <c r="A83" s="2" t="s">
        <v>514</v>
      </c>
      <c r="B83" s="3" t="s">
        <v>424</v>
      </c>
      <c r="D83" s="20">
        <v>2.2944897726836051E-9</v>
      </c>
      <c r="E83" s="20">
        <v>0.94864555901483372</v>
      </c>
      <c r="F83" s="20">
        <v>0.92078950978849949</v>
      </c>
      <c r="G83" s="20">
        <v>6.8253467849740035E-4</v>
      </c>
      <c r="H83" s="20">
        <v>0</v>
      </c>
      <c r="I83" s="20">
        <v>2.7173514547836865E-2</v>
      </c>
      <c r="J83" s="20">
        <v>5.0412468080987108E-2</v>
      </c>
      <c r="K83" s="20">
        <v>9.419706096893437E-4</v>
      </c>
      <c r="L83" s="20">
        <v>0</v>
      </c>
    </row>
    <row r="84" spans="1:12">
      <c r="A84" s="2" t="s">
        <v>403</v>
      </c>
      <c r="B84" s="3" t="s">
        <v>404</v>
      </c>
      <c r="D84" s="20">
        <v>6.769168244093243E-44</v>
      </c>
      <c r="E84" s="20">
        <v>0.48893832142973104</v>
      </c>
      <c r="F84" s="20">
        <v>4.6731478687560689E-2</v>
      </c>
      <c r="G84" s="20">
        <v>1.0811976140785079E-2</v>
      </c>
      <c r="H84" s="20">
        <v>0</v>
      </c>
      <c r="I84" s="20">
        <v>0.43139486660138526</v>
      </c>
      <c r="J84" s="20">
        <v>4.0502963384255256E-3</v>
      </c>
      <c r="K84" s="20">
        <v>0.5070113822318435</v>
      </c>
      <c r="L84" s="20">
        <v>0</v>
      </c>
    </row>
    <row r="85" spans="1:12">
      <c r="A85" s="2" t="s">
        <v>405</v>
      </c>
      <c r="B85" s="3" t="s">
        <v>406</v>
      </c>
      <c r="D85" s="20">
        <v>2.2159517698441543E-8</v>
      </c>
      <c r="E85" s="20">
        <v>0.21488761574343754</v>
      </c>
      <c r="F85" s="20">
        <v>0.12709463077744265</v>
      </c>
      <c r="G85" s="20">
        <v>6.6443269700849576E-3</v>
      </c>
      <c r="H85" s="20">
        <v>0</v>
      </c>
      <c r="I85" s="20">
        <v>8.1148657995909923E-2</v>
      </c>
      <c r="J85" s="20">
        <v>0.76011100249888774</v>
      </c>
      <c r="K85" s="20">
        <v>2.5001359598157042E-2</v>
      </c>
      <c r="L85" s="20">
        <v>0</v>
      </c>
    </row>
    <row r="86" spans="1:12">
      <c r="A86" s="2" t="s">
        <v>407</v>
      </c>
      <c r="B86" s="3" t="s">
        <v>408</v>
      </c>
      <c r="D86" s="20">
        <v>1.4108318966023464E-4</v>
      </c>
      <c r="E86" s="20">
        <v>0.49700561261072884</v>
      </c>
      <c r="F86" s="20">
        <v>9.4329924032617238E-2</v>
      </c>
      <c r="G86" s="20">
        <v>0.40072371050751221</v>
      </c>
      <c r="H86" s="20">
        <v>0</v>
      </c>
      <c r="I86" s="20">
        <v>1.9519780705993723E-3</v>
      </c>
      <c r="J86" s="20">
        <v>0.13779883422232511</v>
      </c>
      <c r="K86" s="20">
        <v>0.3650544699772858</v>
      </c>
      <c r="L86" s="20">
        <v>0</v>
      </c>
    </row>
    <row r="87" spans="1:12">
      <c r="A87" s="2" t="s">
        <v>409</v>
      </c>
      <c r="B87" s="3" t="s">
        <v>410</v>
      </c>
      <c r="D87" s="20">
        <v>1.9258932201253985E-5</v>
      </c>
      <c r="E87" s="20">
        <v>0.55567353899793803</v>
      </c>
      <c r="F87" s="20">
        <v>5.6041070056591057E-2</v>
      </c>
      <c r="G87" s="20">
        <v>0.49888675567591245</v>
      </c>
      <c r="H87" s="20">
        <v>0</v>
      </c>
      <c r="I87" s="20">
        <v>7.4571326543457163E-4</v>
      </c>
      <c r="J87" s="20">
        <v>0.17321651073978803</v>
      </c>
      <c r="K87" s="20">
        <v>0.27109069133007263</v>
      </c>
      <c r="L87" s="20">
        <v>0</v>
      </c>
    </row>
    <row r="88" spans="1:12">
      <c r="A88" s="2" t="s">
        <v>301</v>
      </c>
      <c r="B88" s="3" t="s">
        <v>302</v>
      </c>
      <c r="D88" s="20">
        <v>2.6044781611921902E-6</v>
      </c>
      <c r="E88" s="20">
        <v>0.61629833907981801</v>
      </c>
      <c r="F88" s="20">
        <v>2.8457381434582697E-2</v>
      </c>
      <c r="G88" s="20">
        <v>0.58761177570875811</v>
      </c>
      <c r="H88" s="20">
        <v>0</v>
      </c>
      <c r="I88" s="20">
        <v>2.2918193647725063E-4</v>
      </c>
      <c r="J88" s="20">
        <v>0.20627883335222116</v>
      </c>
      <c r="K88" s="20">
        <v>0.17742022308979957</v>
      </c>
      <c r="L88" s="20">
        <v>0</v>
      </c>
    </row>
    <row r="89" spans="1:12">
      <c r="A89" s="2" t="s">
        <v>303</v>
      </c>
      <c r="B89" s="3" t="s">
        <v>304</v>
      </c>
      <c r="D89" s="20">
        <v>8.4777273671543908E-14</v>
      </c>
      <c r="E89" s="20">
        <v>2.7468688733327393E-2</v>
      </c>
      <c r="F89" s="20">
        <v>7.4469159931838808E-3</v>
      </c>
      <c r="G89" s="20">
        <v>1.9367899843342175E-2</v>
      </c>
      <c r="H89" s="20">
        <v>0</v>
      </c>
      <c r="I89" s="20">
        <v>6.5387289680133816E-4</v>
      </c>
      <c r="J89" s="20">
        <v>0.9643618172103291</v>
      </c>
      <c r="K89" s="20">
        <v>8.1694940562587644E-3</v>
      </c>
      <c r="L89" s="20">
        <v>0</v>
      </c>
    </row>
    <row r="90" spans="1:12">
      <c r="A90" s="2" t="s">
        <v>425</v>
      </c>
      <c r="B90" s="3" t="s">
        <v>426</v>
      </c>
      <c r="D90" s="20">
        <v>1.596550948525103E-13</v>
      </c>
      <c r="E90" s="20">
        <v>0.97361867013800907</v>
      </c>
      <c r="F90" s="20">
        <v>9.1316452432663062E-5</v>
      </c>
      <c r="G90" s="20">
        <v>3.0660153028399842E-5</v>
      </c>
      <c r="H90" s="20">
        <v>0</v>
      </c>
      <c r="I90" s="20">
        <v>0.97349669353254797</v>
      </c>
      <c r="J90" s="20">
        <v>1.3498256298365703E-3</v>
      </c>
      <c r="K90" s="20">
        <v>2.5031504231994767E-2</v>
      </c>
      <c r="L90" s="20">
        <v>0</v>
      </c>
    </row>
    <row r="91" spans="1:12">
      <c r="A91" s="2" t="s">
        <v>427</v>
      </c>
      <c r="B91" s="3" t="s">
        <v>428</v>
      </c>
      <c r="D91" s="20">
        <v>8.7690952460254569E-5</v>
      </c>
      <c r="E91" s="20">
        <v>0.77248428522868096</v>
      </c>
      <c r="F91" s="20">
        <v>5.8509852342000564E-3</v>
      </c>
      <c r="G91" s="20">
        <v>1.6456010563817469E-3</v>
      </c>
      <c r="H91" s="20">
        <v>0</v>
      </c>
      <c r="I91" s="20">
        <v>0.76498769893809915</v>
      </c>
      <c r="J91" s="20">
        <v>1.5691345504365108E-3</v>
      </c>
      <c r="K91" s="20">
        <v>0.22585888926842224</v>
      </c>
      <c r="L91" s="20">
        <v>0</v>
      </c>
    </row>
    <row r="92" spans="1:12">
      <c r="A92" s="2" t="s">
        <v>429</v>
      </c>
      <c r="B92" s="3" t="s">
        <v>430</v>
      </c>
      <c r="D92" s="20">
        <v>1.0600193027098341E-3</v>
      </c>
      <c r="E92" s="20">
        <v>0.3894178284759125</v>
      </c>
      <c r="F92" s="20">
        <v>0.10101549321026101</v>
      </c>
      <c r="G92" s="20">
        <v>2.1314912001400493E-2</v>
      </c>
      <c r="H92" s="20">
        <v>0</v>
      </c>
      <c r="I92" s="20">
        <v>0.267087423264251</v>
      </c>
      <c r="J92" s="20">
        <v>7.2452963337995471E-3</v>
      </c>
      <c r="K92" s="20">
        <v>0.60227685588757796</v>
      </c>
      <c r="L92" s="20">
        <v>0</v>
      </c>
    </row>
    <row r="93" spans="1:12">
      <c r="A93" s="2" t="s">
        <v>431</v>
      </c>
      <c r="B93" s="3" t="s">
        <v>432</v>
      </c>
      <c r="D93" s="20">
        <v>1.2042311188592416E-17</v>
      </c>
      <c r="E93" s="20">
        <v>0.99846974767237628</v>
      </c>
      <c r="F93" s="20">
        <v>4.3576237443685779E-4</v>
      </c>
      <c r="G93" s="20">
        <v>3.49117525054578E-7</v>
      </c>
      <c r="H93" s="20">
        <v>0</v>
      </c>
      <c r="I93" s="20">
        <v>0.99803363618041441</v>
      </c>
      <c r="J93" s="20">
        <v>1.3773956975730536E-3</v>
      </c>
      <c r="K93" s="20">
        <v>1.5285663005079028E-4</v>
      </c>
      <c r="L93" s="20">
        <v>0</v>
      </c>
    </row>
    <row r="94" spans="1:12">
      <c r="A94" s="2" t="s">
        <v>433</v>
      </c>
      <c r="B94" s="3" t="s">
        <v>434</v>
      </c>
      <c r="D94" s="20">
        <v>2.5352866625967703E-18</v>
      </c>
      <c r="E94" s="20">
        <v>0.99861358985987481</v>
      </c>
      <c r="F94" s="20">
        <v>1.6892786252934545E-6</v>
      </c>
      <c r="G94" s="20">
        <v>2.3572026933482132E-9</v>
      </c>
      <c r="H94" s="20">
        <v>0</v>
      </c>
      <c r="I94" s="20">
        <v>0.99861189822404683</v>
      </c>
      <c r="J94" s="20">
        <v>1.3825579336295911E-3</v>
      </c>
      <c r="K94" s="20">
        <v>3.8522064954873562E-6</v>
      </c>
      <c r="L94" s="20">
        <v>0</v>
      </c>
    </row>
    <row r="95" spans="1:12">
      <c r="A95" s="2" t="s">
        <v>435</v>
      </c>
      <c r="B95" s="3" t="s">
        <v>436</v>
      </c>
      <c r="D95" s="20">
        <v>1.3624075336053303E-8</v>
      </c>
      <c r="E95" s="20">
        <v>0.94073551092835461</v>
      </c>
      <c r="F95" s="20">
        <v>3.7372525208469051E-4</v>
      </c>
      <c r="G95" s="20">
        <v>1.2962348387607391E-4</v>
      </c>
      <c r="H95" s="20">
        <v>0</v>
      </c>
      <c r="I95" s="20">
        <v>0.94023216219239381</v>
      </c>
      <c r="J95" s="20">
        <v>1.3487740493162794E-3</v>
      </c>
      <c r="K95" s="20">
        <v>5.7915701398254006E-2</v>
      </c>
      <c r="L95" s="20">
        <v>0</v>
      </c>
    </row>
    <row r="96" spans="1:12">
      <c r="A96" s="2" t="s">
        <v>437</v>
      </c>
      <c r="B96" s="163" t="s">
        <v>438</v>
      </c>
      <c r="D96" s="20">
        <v>2.5408890791635611E-7</v>
      </c>
      <c r="E96" s="20">
        <v>0.47660752325437422</v>
      </c>
      <c r="F96" s="20">
        <v>0.11216566138772723</v>
      </c>
      <c r="G96" s="20">
        <v>0.36170580341529401</v>
      </c>
      <c r="H96" s="20">
        <v>0</v>
      </c>
      <c r="I96" s="20">
        <v>2.7360584513529997E-3</v>
      </c>
      <c r="J96" s="20">
        <v>0.12393699655377229</v>
      </c>
      <c r="K96" s="20">
        <v>0.39945522610294554</v>
      </c>
      <c r="L96" s="20">
        <v>0</v>
      </c>
    </row>
    <row r="97" spans="1:12">
      <c r="A97" s="2" t="s">
        <v>439</v>
      </c>
      <c r="B97" s="3" t="s">
        <v>440</v>
      </c>
      <c r="D97" s="20">
        <v>4.4997168382494339E-5</v>
      </c>
      <c r="E97" s="20">
        <v>0.69377724453510536</v>
      </c>
      <c r="F97" s="20">
        <v>1.1562703783166216E-2</v>
      </c>
      <c r="G97" s="20">
        <v>3.0658786086607058E-3</v>
      </c>
      <c r="H97" s="20">
        <v>0</v>
      </c>
      <c r="I97" s="20">
        <v>0.6791486621432784</v>
      </c>
      <c r="J97" s="20">
        <v>1.9018371731366339E-3</v>
      </c>
      <c r="K97" s="20">
        <v>0.3042759211233757</v>
      </c>
      <c r="L97" s="20">
        <v>0</v>
      </c>
    </row>
    <row r="98" spans="1:12">
      <c r="A98" s="2" t="s">
        <v>441</v>
      </c>
      <c r="B98" s="3" t="s">
        <v>442</v>
      </c>
      <c r="D98" s="20">
        <v>2.9167902922294342E-17</v>
      </c>
      <c r="E98" s="20">
        <v>0.75883960237403647</v>
      </c>
      <c r="F98" s="20">
        <v>6.6677517303642174E-3</v>
      </c>
      <c r="G98" s="20">
        <v>1.854705569618332E-3</v>
      </c>
      <c r="H98" s="20">
        <v>0</v>
      </c>
      <c r="I98" s="20">
        <v>0.75031714507405389</v>
      </c>
      <c r="J98" s="20">
        <v>1.6151238300171396E-3</v>
      </c>
      <c r="K98" s="20">
        <v>0.23954527379594628</v>
      </c>
      <c r="L98" s="20">
        <v>0</v>
      </c>
    </row>
    <row r="99" spans="1:12">
      <c r="A99" s="2" t="s">
        <v>443</v>
      </c>
      <c r="B99" s="3" t="s">
        <v>444</v>
      </c>
      <c r="D99" s="20">
        <v>4.2582299783635899E-29</v>
      </c>
      <c r="E99" s="20">
        <v>0.88003778183016912</v>
      </c>
      <c r="F99" s="20">
        <v>1.497970731922964E-3</v>
      </c>
      <c r="G99" s="20">
        <v>4.7054253011414541E-4</v>
      </c>
      <c r="H99" s="20">
        <v>0</v>
      </c>
      <c r="I99" s="20">
        <v>0.87806926856813206</v>
      </c>
      <c r="J99" s="20">
        <v>1.3548924269537583E-3</v>
      </c>
      <c r="K99" s="20">
        <v>0.11860732574287701</v>
      </c>
      <c r="L99" s="20">
        <v>0</v>
      </c>
    </row>
    <row r="100" spans="1:12">
      <c r="A100" s="2" t="s">
        <v>445</v>
      </c>
      <c r="B100" s="3" t="s">
        <v>446</v>
      </c>
      <c r="D100" s="20">
        <v>2.2980615031881603E-7</v>
      </c>
      <c r="E100" s="20">
        <v>0.41503277013516271</v>
      </c>
      <c r="F100" s="20">
        <v>0.24296060617404783</v>
      </c>
      <c r="G100" s="20">
        <v>0.15657824386016783</v>
      </c>
      <c r="H100" s="20">
        <v>0</v>
      </c>
      <c r="I100" s="20">
        <v>1.5493920100947077E-2</v>
      </c>
      <c r="J100" s="20">
        <v>5.2559642699939429E-2</v>
      </c>
      <c r="K100" s="20">
        <v>0.53240735735874756</v>
      </c>
      <c r="L100" s="20">
        <v>0</v>
      </c>
    </row>
    <row r="101" spans="1:12">
      <c r="A101" s="2" t="s">
        <v>447</v>
      </c>
      <c r="B101" s="3" t="s">
        <v>448</v>
      </c>
      <c r="D101" s="20">
        <v>8.1491708310710087E-9</v>
      </c>
      <c r="E101" s="20">
        <v>0.41978401697188245</v>
      </c>
      <c r="F101" s="20">
        <v>7.6733964513440361E-2</v>
      </c>
      <c r="G101" s="20">
        <v>1.676807440011676E-2</v>
      </c>
      <c r="H101" s="20">
        <v>0</v>
      </c>
      <c r="I101" s="20">
        <v>0.32628197805832532</v>
      </c>
      <c r="J101" s="20">
        <v>5.8405859190752991E-3</v>
      </c>
      <c r="K101" s="20">
        <v>0.57437538895987139</v>
      </c>
      <c r="L101" s="20">
        <v>0</v>
      </c>
    </row>
    <row r="102" spans="1:12">
      <c r="A102" s="2" t="s">
        <v>449</v>
      </c>
      <c r="B102" s="3" t="s">
        <v>450</v>
      </c>
      <c r="D102" s="20">
        <v>6.3439897845863854E-4</v>
      </c>
      <c r="E102" s="20">
        <v>0.37363575160195039</v>
      </c>
      <c r="F102" s="20">
        <v>0.20827478262790347</v>
      </c>
      <c r="G102" s="20">
        <v>3.9421418301778671E-2</v>
      </c>
      <c r="H102" s="20">
        <v>0</v>
      </c>
      <c r="I102" s="20">
        <v>0.12593955067226825</v>
      </c>
      <c r="J102" s="20">
        <v>1.3034088178248757E-2</v>
      </c>
      <c r="K102" s="20">
        <v>0.61269576124134228</v>
      </c>
      <c r="L102" s="20">
        <v>0</v>
      </c>
    </row>
    <row r="103" spans="1:12">
      <c r="A103" s="2" t="s">
        <v>451</v>
      </c>
      <c r="B103" s="3" t="s">
        <v>452</v>
      </c>
      <c r="D103" s="20">
        <v>4.8369871315875976E-19</v>
      </c>
      <c r="E103" s="20">
        <v>0.99844517735838778</v>
      </c>
      <c r="F103" s="20">
        <v>1.1546927422885432E-2</v>
      </c>
      <c r="G103" s="20">
        <v>1.1205768451972357E-6</v>
      </c>
      <c r="H103" s="20">
        <v>0</v>
      </c>
      <c r="I103" s="20">
        <v>0.98689712935865714</v>
      </c>
      <c r="J103" s="20">
        <v>1.4253570754639393E-3</v>
      </c>
      <c r="K103" s="20">
        <v>1.2946556614833448E-4</v>
      </c>
      <c r="L103" s="20">
        <v>0</v>
      </c>
    </row>
    <row r="104" spans="1:12">
      <c r="A104" s="2" t="s">
        <v>453</v>
      </c>
      <c r="B104" s="3" t="s">
        <v>454</v>
      </c>
      <c r="D104" s="20">
        <v>1.0147533957235596E-19</v>
      </c>
      <c r="E104" s="20">
        <v>0.98841358595262141</v>
      </c>
      <c r="F104" s="20">
        <v>0.88727910296295243</v>
      </c>
      <c r="G104" s="20">
        <v>9.3956299485908825E-4</v>
      </c>
      <c r="H104" s="20">
        <v>0</v>
      </c>
      <c r="I104" s="20">
        <v>0.10019491999480987</v>
      </c>
      <c r="J104" s="20">
        <v>5.3513842389090148E-3</v>
      </c>
      <c r="K104" s="20">
        <v>6.2350298084695565E-3</v>
      </c>
      <c r="L104" s="20">
        <v>0</v>
      </c>
    </row>
    <row r="105" spans="1:12">
      <c r="A105" s="2" t="s">
        <v>455</v>
      </c>
      <c r="B105" s="163">
        <v>354656</v>
      </c>
      <c r="D105" s="20">
        <v>3.6730669542346271E-10</v>
      </c>
      <c r="E105" s="20">
        <v>0.96865561897499342</v>
      </c>
      <c r="F105" s="20">
        <v>9.792713748827032E-5</v>
      </c>
      <c r="G105" s="20">
        <v>3.7879009595255425E-5</v>
      </c>
      <c r="H105" s="20">
        <v>0</v>
      </c>
      <c r="I105" s="20">
        <v>0.96851981282790989</v>
      </c>
      <c r="J105" s="20">
        <v>1.3450720457479617E-3</v>
      </c>
      <c r="K105" s="20">
        <v>2.9999308611951811E-2</v>
      </c>
      <c r="L105" s="20">
        <v>0</v>
      </c>
    </row>
    <row r="106" spans="1:12">
      <c r="A106" s="2" t="s">
        <v>457</v>
      </c>
      <c r="B106" s="3" t="s">
        <v>458</v>
      </c>
      <c r="D106" s="20">
        <v>5.4637587437773897E-10</v>
      </c>
      <c r="E106" s="20">
        <v>0.93801101223334804</v>
      </c>
      <c r="F106" s="20">
        <v>4.0522035662687443E-4</v>
      </c>
      <c r="G106" s="20">
        <v>1.3991579748376696E-4</v>
      </c>
      <c r="H106" s="20">
        <v>0</v>
      </c>
      <c r="I106" s="20">
        <v>0.93746587607923737</v>
      </c>
      <c r="J106" s="20">
        <v>1.3461680348534851E-3</v>
      </c>
      <c r="K106" s="20">
        <v>6.0642819185422782E-2</v>
      </c>
      <c r="L106" s="20">
        <v>0</v>
      </c>
    </row>
    <row r="107" spans="1:12">
      <c r="A107" s="2" t="s">
        <v>459</v>
      </c>
      <c r="B107" s="3" t="s">
        <v>460</v>
      </c>
      <c r="D107" s="20">
        <v>1.8336897229790298E-19</v>
      </c>
      <c r="E107" s="20">
        <v>0.41769327896752007</v>
      </c>
      <c r="F107" s="20">
        <v>0.28420335089757021</v>
      </c>
      <c r="G107" s="20">
        <v>4.9741329263373685E-2</v>
      </c>
      <c r="H107" s="20">
        <v>0</v>
      </c>
      <c r="I107" s="20">
        <v>8.3748598806576161E-2</v>
      </c>
      <c r="J107" s="20">
        <v>3.4496643208724219E-2</v>
      </c>
      <c r="K107" s="20">
        <v>0.54781007782375557</v>
      </c>
      <c r="L107" s="20">
        <v>0</v>
      </c>
    </row>
    <row r="108" spans="1:12">
      <c r="A108" s="2" t="s">
        <v>461</v>
      </c>
      <c r="B108" s="3" t="s">
        <v>462</v>
      </c>
      <c r="D108" s="20">
        <v>1.095380609120998E-9</v>
      </c>
      <c r="E108" s="20">
        <v>0.99856584887478728</v>
      </c>
      <c r="F108" s="20">
        <v>8.7500722509826402E-7</v>
      </c>
      <c r="G108" s="20">
        <v>2.5361399823752431E-8</v>
      </c>
      <c r="H108" s="20">
        <v>0</v>
      </c>
      <c r="I108" s="20">
        <v>0.9985649485061624</v>
      </c>
      <c r="J108" s="20">
        <v>1.3788295610889767E-3</v>
      </c>
      <c r="K108" s="20">
        <v>5.5320468742995596E-5</v>
      </c>
      <c r="L108" s="20">
        <v>0</v>
      </c>
    </row>
    <row r="109" spans="1:12">
      <c r="A109" s="2" t="s">
        <v>463</v>
      </c>
      <c r="B109" s="3" t="s">
        <v>464</v>
      </c>
      <c r="D109" s="20">
        <v>2.9204432991081312E-12</v>
      </c>
      <c r="E109" s="20">
        <v>0.96649594407853134</v>
      </c>
      <c r="F109" s="20">
        <v>5.9957813561137708E-3</v>
      </c>
      <c r="G109" s="20">
        <v>2.9802442809222706E-4</v>
      </c>
      <c r="H109" s="20">
        <v>0</v>
      </c>
      <c r="I109" s="20">
        <v>0.96020213829432532</v>
      </c>
      <c r="J109" s="20">
        <v>1.456473104235698E-2</v>
      </c>
      <c r="K109" s="20">
        <v>1.8939324876191259E-2</v>
      </c>
      <c r="L109" s="20">
        <v>0</v>
      </c>
    </row>
    <row r="110" spans="1:12">
      <c r="A110" s="2" t="s">
        <v>465</v>
      </c>
      <c r="B110" s="3" t="s">
        <v>466</v>
      </c>
      <c r="D110" s="20">
        <v>2.0801533423298232E-11</v>
      </c>
      <c r="E110" s="20">
        <v>0.99240415673631943</v>
      </c>
      <c r="F110" s="20">
        <v>2.2380586167152518E-5</v>
      </c>
      <c r="G110" s="20">
        <v>4.2819144150215112E-6</v>
      </c>
      <c r="H110" s="20">
        <v>0</v>
      </c>
      <c r="I110" s="20">
        <v>0.99237749423573729</v>
      </c>
      <c r="J110" s="20">
        <v>1.3678144296135934E-3</v>
      </c>
      <c r="K110" s="20">
        <v>6.2280288132655704E-3</v>
      </c>
      <c r="L110" s="20">
        <v>0</v>
      </c>
    </row>
    <row r="111" spans="1:12">
      <c r="A111" s="2" t="s">
        <v>467</v>
      </c>
      <c r="B111" s="3" t="s">
        <v>468</v>
      </c>
      <c r="D111" s="20">
        <v>3.6966916924455632E-30</v>
      </c>
      <c r="E111" s="20">
        <v>0.99861937669343481</v>
      </c>
      <c r="F111" s="20">
        <v>1.5901344510985004E-6</v>
      </c>
      <c r="G111" s="20">
        <v>1.3137290260343483E-9</v>
      </c>
      <c r="H111" s="20">
        <v>0</v>
      </c>
      <c r="I111" s="20">
        <v>0.99861778524525469</v>
      </c>
      <c r="J111" s="20">
        <v>1.375030646457097E-3</v>
      </c>
      <c r="K111" s="20">
        <v>5.59266010809267E-6</v>
      </c>
      <c r="L111" s="20">
        <v>0</v>
      </c>
    </row>
    <row r="112" spans="1:12">
      <c r="A112" s="2" t="s">
        <v>469</v>
      </c>
      <c r="B112" s="3" t="s">
        <v>470</v>
      </c>
      <c r="D112" s="20">
        <v>2.3369504705111644E-13</v>
      </c>
      <c r="E112" s="20">
        <v>0.99056764267546638</v>
      </c>
      <c r="F112" s="20">
        <v>7.7183367509709513E-6</v>
      </c>
      <c r="G112" s="20">
        <v>3.6059464942361794E-6</v>
      </c>
      <c r="H112" s="20">
        <v>0</v>
      </c>
      <c r="I112" s="20">
        <v>0.99055631839222114</v>
      </c>
      <c r="J112" s="20">
        <v>1.3649885678552415E-3</v>
      </c>
      <c r="K112" s="20">
        <v>8.0673687564444332E-3</v>
      </c>
      <c r="L112" s="20">
        <v>0</v>
      </c>
    </row>
    <row r="113" spans="1:12">
      <c r="A113" s="2" t="s">
        <v>471</v>
      </c>
      <c r="B113" s="3" t="s">
        <v>472</v>
      </c>
      <c r="D113" s="20">
        <v>2.8839352723488171E-9</v>
      </c>
      <c r="E113" s="20">
        <v>0.95328300983110692</v>
      </c>
      <c r="F113" s="20">
        <v>2.1991746647935159E-4</v>
      </c>
      <c r="G113" s="20">
        <v>8.0048883526805879E-5</v>
      </c>
      <c r="H113" s="20">
        <v>0</v>
      </c>
      <c r="I113" s="20">
        <v>0.95298304348110074</v>
      </c>
      <c r="J113" s="20">
        <v>1.3366301296136702E-3</v>
      </c>
      <c r="K113" s="20">
        <v>4.5380357155344289E-2</v>
      </c>
      <c r="L113" s="20">
        <v>0</v>
      </c>
    </row>
    <row r="114" spans="1:12">
      <c r="A114" s="2" t="s">
        <v>473</v>
      </c>
      <c r="B114" s="3" t="s">
        <v>474</v>
      </c>
      <c r="D114" s="20">
        <v>2.2937800096789871E-16</v>
      </c>
      <c r="E114" s="20">
        <v>0.99444789370118525</v>
      </c>
      <c r="F114" s="20">
        <v>2.2472692369581521E-6</v>
      </c>
      <c r="G114" s="20">
        <v>1.1322014595850504E-6</v>
      </c>
      <c r="H114" s="20">
        <v>0</v>
      </c>
      <c r="I114" s="20">
        <v>0.99444451423048874</v>
      </c>
      <c r="J114" s="20">
        <v>1.3696025299858481E-3</v>
      </c>
      <c r="K114" s="20">
        <v>4.1825037688286958E-3</v>
      </c>
      <c r="L114" s="20">
        <v>0</v>
      </c>
    </row>
    <row r="115" spans="1:12">
      <c r="A115" s="2" t="s">
        <v>475</v>
      </c>
      <c r="B115" s="3" t="s">
        <v>476</v>
      </c>
      <c r="D115" s="20">
        <v>1.2162200211330583E-12</v>
      </c>
      <c r="E115" s="20">
        <v>0.99854219985179504</v>
      </c>
      <c r="F115" s="20">
        <v>2.8010499864843923E-3</v>
      </c>
      <c r="G115" s="20">
        <v>3.3550941546227401E-7</v>
      </c>
      <c r="H115" s="20">
        <v>0</v>
      </c>
      <c r="I115" s="20">
        <v>0.99574081435589523</v>
      </c>
      <c r="J115" s="20">
        <v>1.3887416148704694E-3</v>
      </c>
      <c r="K115" s="20">
        <v>6.9058532118217343E-5</v>
      </c>
      <c r="L115" s="20">
        <v>0</v>
      </c>
    </row>
    <row r="116" spans="1:12">
      <c r="A116" s="2" t="s">
        <v>477</v>
      </c>
      <c r="B116" s="3" t="s">
        <v>478</v>
      </c>
      <c r="D116" s="20">
        <v>8.8208298771927467E-17</v>
      </c>
      <c r="E116" s="20">
        <v>0.57326151227082445</v>
      </c>
      <c r="F116" s="20">
        <v>0.21541487794222017</v>
      </c>
      <c r="G116" s="20">
        <v>5.2174610503948216E-3</v>
      </c>
      <c r="H116" s="20">
        <v>0</v>
      </c>
      <c r="I116" s="20">
        <v>0.35262917327820947</v>
      </c>
      <c r="J116" s="20">
        <v>0.37636849986881266</v>
      </c>
      <c r="K116" s="20">
        <v>5.0369987860362841E-2</v>
      </c>
      <c r="L116" s="20">
        <v>0</v>
      </c>
    </row>
    <row r="117" spans="1:12">
      <c r="A117" s="2" t="s">
        <v>291</v>
      </c>
      <c r="B117" s="3" t="s">
        <v>479</v>
      </c>
      <c r="D117" s="20">
        <v>3.6273523302537967E-10</v>
      </c>
      <c r="E117" s="20">
        <v>0.61055479488354725</v>
      </c>
      <c r="F117" s="20">
        <v>2.1060271043207682E-2</v>
      </c>
      <c r="G117" s="20">
        <v>5.2839598815511302E-3</v>
      </c>
      <c r="H117" s="20">
        <v>0</v>
      </c>
      <c r="I117" s="20">
        <v>0.58421056395878845</v>
      </c>
      <c r="J117" s="20">
        <v>2.4797983025944478E-3</v>
      </c>
      <c r="K117" s="20">
        <v>0.3869654064511231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1.0445120376505642E-12</v>
      </c>
      <c r="E2" s="14">
        <v>3.9011541734164848E-5</v>
      </c>
      <c r="F2" s="14">
        <v>2.3921459002254309E-9</v>
      </c>
      <c r="G2" s="14">
        <v>9.6002649667093094E-10</v>
      </c>
      <c r="H2" s="14">
        <v>0</v>
      </c>
      <c r="I2" s="14">
        <v>5.4006070277463453E-8</v>
      </c>
      <c r="J2" s="14">
        <v>9.3109897864875965E-7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1.0029911908623979E-12</v>
      </c>
      <c r="E3" s="14">
        <v>2.3530373310523756E-5</v>
      </c>
      <c r="F3" s="14">
        <v>9.3153775596683014E-7</v>
      </c>
      <c r="G3" s="14">
        <v>2.2630213679993183E-7</v>
      </c>
      <c r="H3" s="14">
        <v>0</v>
      </c>
      <c r="I3" s="14">
        <v>1.8309714037941323E-7</v>
      </c>
      <c r="J3" s="14">
        <v>1.5128688653338886E-5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5.4163820297963411E-22</v>
      </c>
      <c r="E4" s="14">
        <v>3.9936403634244591E-5</v>
      </c>
      <c r="F4" s="14">
        <v>1.6795135179249406E-9</v>
      </c>
      <c r="G4" s="14">
        <v>1.84960565881743E-12</v>
      </c>
      <c r="H4" s="14">
        <v>0</v>
      </c>
      <c r="I4" s="14">
        <v>6.1092775552090272E-8</v>
      </c>
      <c r="J4" s="14">
        <v>8.2222707974210937E-10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1.5200374185662977E-14</v>
      </c>
      <c r="E5" s="14">
        <v>3.6886088913240071E-5</v>
      </c>
      <c r="F5" s="14">
        <v>3.0348495010067687E-6</v>
      </c>
      <c r="G5" s="14">
        <v>2.4087760527013473E-10</v>
      </c>
      <c r="H5" s="14">
        <v>0</v>
      </c>
      <c r="I5" s="14">
        <v>6.6193434906819724E-8</v>
      </c>
      <c r="J5" s="14">
        <v>1.2627258040699572E-8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1.8849096407402187E-15</v>
      </c>
      <c r="E6" s="14">
        <v>3.2999265825263216E-5</v>
      </c>
      <c r="F6" s="14">
        <v>6.8485531110353363E-6</v>
      </c>
      <c r="G6" s="14">
        <v>1.9860553785201571E-9</v>
      </c>
      <c r="H6" s="14">
        <v>0</v>
      </c>
      <c r="I6" s="14">
        <v>7.862946116544724E-8</v>
      </c>
      <c r="J6" s="14">
        <v>7.1565545272575399E-8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3.2218807273725745E-11</v>
      </c>
      <c r="E7" s="14">
        <v>2.1473878784183981E-5</v>
      </c>
      <c r="F7" s="14">
        <v>1.763214089957951E-5</v>
      </c>
      <c r="G7" s="14">
        <v>3.5892205973419624E-8</v>
      </c>
      <c r="H7" s="14">
        <v>0</v>
      </c>
      <c r="I7" s="14">
        <v>1.172357492242732E-7</v>
      </c>
      <c r="J7" s="14">
        <v>7.4082014223154172E-7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1.4917959727518821E-21</v>
      </c>
      <c r="E8" s="14">
        <v>2.9889727539920908E-5</v>
      </c>
      <c r="F8" s="14">
        <v>9.9760015197048542E-6</v>
      </c>
      <c r="G8" s="14">
        <v>1.5169843196158254E-9</v>
      </c>
      <c r="H8" s="14">
        <v>0</v>
      </c>
      <c r="I8" s="14">
        <v>8.7662555769805178E-8</v>
      </c>
      <c r="J8" s="14">
        <v>4.5091400284818586E-8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2.9393859421883862E-17</v>
      </c>
      <c r="E9" s="14">
        <v>3.7537269447849595E-5</v>
      </c>
      <c r="F9" s="14">
        <v>2.345725711545729E-6</v>
      </c>
      <c r="G9" s="14">
        <v>8.8909706535927692E-10</v>
      </c>
      <c r="H9" s="14">
        <v>0</v>
      </c>
      <c r="I9" s="14">
        <v>6.4012854197297947E-8</v>
      </c>
      <c r="J9" s="14">
        <v>5.210288931263212E-8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2.7294370465792102E-9</v>
      </c>
      <c r="E10" s="14">
        <v>1.9510695293774795E-6</v>
      </c>
      <c r="F10" s="14">
        <v>1.4036127249505198E-5</v>
      </c>
      <c r="G10" s="14">
        <v>2.4515618371753675E-6</v>
      </c>
      <c r="H10" s="14">
        <v>0</v>
      </c>
      <c r="I10" s="14">
        <v>8.1150354906516515E-7</v>
      </c>
      <c r="J10" s="14">
        <v>2.0747008397830211E-5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1.6485340622957502E-15</v>
      </c>
      <c r="E11" s="14">
        <v>1.699377896402663E-7</v>
      </c>
      <c r="F11" s="14">
        <v>1.545057033962247E-5</v>
      </c>
      <c r="G11" s="14">
        <v>1.1288568884766842E-5</v>
      </c>
      <c r="H11" s="14">
        <v>0</v>
      </c>
      <c r="I11" s="14">
        <v>8.1823922117625207E-6</v>
      </c>
      <c r="J11" s="14">
        <v>4.9085307725593779E-6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2.9849751216255004E-6</v>
      </c>
      <c r="E12" s="14">
        <v>3.6797055303148935E-5</v>
      </c>
      <c r="F12" s="14">
        <v>1.0307095607001533E-10</v>
      </c>
      <c r="G12" s="14">
        <v>5.1088625617527269E-11</v>
      </c>
      <c r="H12" s="14">
        <v>0</v>
      </c>
      <c r="I12" s="14">
        <v>5.0692174351052531E-8</v>
      </c>
      <c r="J12" s="14">
        <v>1.6712324129283039E-7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8.3036879328546956E-13</v>
      </c>
      <c r="E13" s="14">
        <v>2.4944263396966792E-5</v>
      </c>
      <c r="F13" s="14">
        <v>6.6610889658335047E-7</v>
      </c>
      <c r="G13" s="14">
        <v>1.7086015244959559E-7</v>
      </c>
      <c r="H13" s="14">
        <v>0</v>
      </c>
      <c r="I13" s="14">
        <v>8.8400426465371714E-8</v>
      </c>
      <c r="J13" s="14">
        <v>1.41303662971661E-5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3.1334745265080382E-11</v>
      </c>
      <c r="E14" s="14">
        <v>3.2276865908529214E-6</v>
      </c>
      <c r="F14" s="14">
        <v>3.6109868625561808E-5</v>
      </c>
      <c r="G14" s="14">
        <v>5.657070078513722E-8</v>
      </c>
      <c r="H14" s="14">
        <v>0</v>
      </c>
      <c r="I14" s="14">
        <v>3.2027826633306692E-7</v>
      </c>
      <c r="J14" s="14">
        <v>2.8556448172181059E-7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3.4721832377042855E-6</v>
      </c>
      <c r="E15" s="14">
        <v>3.1184752432939771E-5</v>
      </c>
      <c r="F15" s="14">
        <v>7.9373741242290261E-8</v>
      </c>
      <c r="G15" s="14">
        <v>2.4208752277305712E-8</v>
      </c>
      <c r="H15" s="14">
        <v>0</v>
      </c>
      <c r="I15" s="14">
        <v>5.0465511418309454E-8</v>
      </c>
      <c r="J15" s="14">
        <v>5.1890163244180414E-6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3.2422161982688674E-8</v>
      </c>
      <c r="E16" s="14">
        <v>2.3881501886679704E-5</v>
      </c>
      <c r="F16" s="14">
        <v>7.7896184582474619E-7</v>
      </c>
      <c r="G16" s="14">
        <v>1.9688459720267532E-7</v>
      </c>
      <c r="H16" s="14">
        <v>0</v>
      </c>
      <c r="I16" s="14">
        <v>9.5262854571797781E-8</v>
      </c>
      <c r="J16" s="14">
        <v>1.5014966653738385E-5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9.5853061360275327E-8</v>
      </c>
      <c r="E17" s="14">
        <v>2.4497719207606789E-5</v>
      </c>
      <c r="F17" s="14">
        <v>7.0514787722506551E-7</v>
      </c>
      <c r="G17" s="14">
        <v>1.79877050717845E-7</v>
      </c>
      <c r="H17" s="14">
        <v>0</v>
      </c>
      <c r="I17" s="14">
        <v>9.0669889417871659E-8</v>
      </c>
      <c r="J17" s="14">
        <v>1.4430732913672163E-5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8.6341057883325983E-12</v>
      </c>
      <c r="E18" s="14">
        <v>1.3460990879517031E-7</v>
      </c>
      <c r="F18" s="14">
        <v>4.9738373629346716E-6</v>
      </c>
      <c r="G18" s="14">
        <v>1.3476810935742249E-5</v>
      </c>
      <c r="H18" s="14">
        <v>0</v>
      </c>
      <c r="I18" s="14">
        <v>4.60736294532992E-6</v>
      </c>
      <c r="J18" s="14">
        <v>1.6807370213092208E-5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4.7235057130542915E-7</v>
      </c>
      <c r="E19" s="14">
        <v>3.6368392836125847E-5</v>
      </c>
      <c r="F19" s="14">
        <v>2.5219627047651424E-8</v>
      </c>
      <c r="G19" s="14">
        <v>8.4651413680183607E-9</v>
      </c>
      <c r="H19" s="14">
        <v>0</v>
      </c>
      <c r="I19" s="14">
        <v>5.2683015299088072E-8</v>
      </c>
      <c r="J19" s="14">
        <v>3.0728888088539662E-6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8.8724285267553563E-7</v>
      </c>
      <c r="E20" s="14">
        <v>3.4914206322448477E-5</v>
      </c>
      <c r="F20" s="14">
        <v>4.5239388339021063E-8</v>
      </c>
      <c r="G20" s="14">
        <v>1.4501478390789245E-8</v>
      </c>
      <c r="H20" s="14">
        <v>0</v>
      </c>
      <c r="I20" s="14">
        <v>5.2560177073335493E-8</v>
      </c>
      <c r="J20" s="14">
        <v>4.0862497810728499E-6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2.8582823805795153E-7</v>
      </c>
      <c r="E21" s="14">
        <v>1.6336070176501028E-5</v>
      </c>
      <c r="F21" s="14">
        <v>1.2136742583157498E-5</v>
      </c>
      <c r="G21" s="14">
        <v>4.8980284449694396E-7</v>
      </c>
      <c r="H21" s="14">
        <v>0</v>
      </c>
      <c r="I21" s="14">
        <v>2.238456662320441E-7</v>
      </c>
      <c r="J21" s="14">
        <v>1.0527710491554536E-5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2.6138260271224237E-6</v>
      </c>
      <c r="E22" s="14">
        <v>3.6150669326663841E-5</v>
      </c>
      <c r="F22" s="14">
        <v>4.0397165450222942E-9</v>
      </c>
      <c r="G22" s="14">
        <v>1.5511237528684091E-9</v>
      </c>
      <c r="H22" s="14">
        <v>0</v>
      </c>
      <c r="I22" s="14">
        <v>5.0247761212015643E-8</v>
      </c>
      <c r="J22" s="14">
        <v>1.1796660447038373E-6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2.8588168263165391E-6</v>
      </c>
      <c r="E23" s="14">
        <v>3.0066715908836455E-5</v>
      </c>
      <c r="F23" s="14">
        <v>1.394634949733735E-7</v>
      </c>
      <c r="G23" s="14">
        <v>4.0696409987341338E-8</v>
      </c>
      <c r="H23" s="14">
        <v>0</v>
      </c>
      <c r="I23" s="14">
        <v>5.4108459222245538E-8</v>
      </c>
      <c r="J23" s="14">
        <v>6.8401989006640535E-6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1.058217637818526E-7</v>
      </c>
      <c r="E24" s="14">
        <v>2.0431236941766749E-5</v>
      </c>
      <c r="F24" s="14">
        <v>1.2452289552033409E-6</v>
      </c>
      <c r="G24" s="14">
        <v>3.0056940119681567E-7</v>
      </c>
      <c r="H24" s="14">
        <v>0</v>
      </c>
      <c r="I24" s="14">
        <v>1.2380624789877762E-7</v>
      </c>
      <c r="J24" s="14">
        <v>1.7793336690152467E-5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3.851303614886575E-8</v>
      </c>
      <c r="E25" s="14">
        <v>1.8178055363429879E-7</v>
      </c>
      <c r="F25" s="14">
        <v>5.747539599635427E-6</v>
      </c>
      <c r="G25" s="14">
        <v>1.1994372369699854E-5</v>
      </c>
      <c r="H25" s="14">
        <v>0</v>
      </c>
      <c r="I25" s="14">
        <v>4.0867319782698011E-6</v>
      </c>
      <c r="J25" s="14">
        <v>1.7951062462611751E-5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9.127025984538349E-6</v>
      </c>
      <c r="E26" s="14">
        <v>9.3840205780925834E-6</v>
      </c>
      <c r="F26" s="14">
        <v>2.6290781865930012E-6</v>
      </c>
      <c r="G26" s="14">
        <v>5.6715146367649425E-7</v>
      </c>
      <c r="H26" s="14">
        <v>0</v>
      </c>
      <c r="I26" s="14">
        <v>1.9551121172654884E-7</v>
      </c>
      <c r="J26" s="14">
        <v>1.8097212575373028E-5</v>
      </c>
      <c r="K26" s="14">
        <v>0</v>
      </c>
    </row>
    <row r="27" spans="1:13">
      <c r="A27" s="2" t="s">
        <v>397</v>
      </c>
      <c r="B27" s="3" t="s">
        <v>398</v>
      </c>
      <c r="D27" s="14">
        <v>3.315259875167349E-5</v>
      </c>
      <c r="E27" s="14">
        <v>8.8804963860005039E-7</v>
      </c>
      <c r="F27" s="14">
        <v>1.396985158626619E-6</v>
      </c>
      <c r="G27" s="14">
        <v>2.653917068689059E-7</v>
      </c>
      <c r="H27" s="14">
        <v>0</v>
      </c>
      <c r="I27" s="14">
        <v>8.7770707955184875E-8</v>
      </c>
      <c r="J27" s="14">
        <v>4.2092040362757542E-6</v>
      </c>
      <c r="K27" s="14">
        <v>0</v>
      </c>
    </row>
    <row r="28" spans="1:13">
      <c r="A28" s="2" t="s">
        <v>399</v>
      </c>
      <c r="B28" s="3" t="s">
        <v>400</v>
      </c>
      <c r="D28" s="14">
        <v>3.4958838794147719E-5</v>
      </c>
      <c r="E28" s="14">
        <v>1.3330199926539313E-6</v>
      </c>
      <c r="F28" s="14">
        <v>5.1692937659726911E-7</v>
      </c>
      <c r="G28" s="14">
        <v>1.0887464921969448E-7</v>
      </c>
      <c r="H28" s="14">
        <v>0</v>
      </c>
      <c r="I28" s="14">
        <v>3.6971856463105711E-8</v>
      </c>
      <c r="J28" s="14">
        <v>3.0453653309182747E-6</v>
      </c>
      <c r="K28" s="14">
        <v>0</v>
      </c>
    </row>
    <row r="29" spans="1:13">
      <c r="A29" s="2" t="s">
        <v>297</v>
      </c>
      <c r="B29" s="3" t="s">
        <v>298</v>
      </c>
      <c r="D29" s="14">
        <v>3.7297179751787767E-5</v>
      </c>
      <c r="E29" s="14">
        <v>2.3770354471470142E-6</v>
      </c>
      <c r="F29" s="14">
        <v>3.9550338832997368E-9</v>
      </c>
      <c r="G29" s="14">
        <v>1.2446457596899479E-9</v>
      </c>
      <c r="H29" s="14">
        <v>0</v>
      </c>
      <c r="I29" s="14">
        <v>3.6587382344611789E-9</v>
      </c>
      <c r="J29" s="14">
        <v>3.1692638318776944E-7</v>
      </c>
      <c r="K29" s="14">
        <v>0</v>
      </c>
    </row>
    <row r="30" spans="1:13">
      <c r="A30" s="2" t="s">
        <v>401</v>
      </c>
      <c r="B30" s="3" t="s">
        <v>402</v>
      </c>
      <c r="D30" s="14">
        <v>3.815353425121585E-5</v>
      </c>
      <c r="E30" s="14">
        <v>5.0465483485184724E-7</v>
      </c>
      <c r="F30" s="14">
        <v>1.8155532395879732E-7</v>
      </c>
      <c r="G30" s="14">
        <v>3.845072598835287E-8</v>
      </c>
      <c r="H30" s="14">
        <v>0</v>
      </c>
      <c r="I30" s="14">
        <v>1.3096880717922441E-8</v>
      </c>
      <c r="J30" s="14">
        <v>1.1087079832672388E-6</v>
      </c>
      <c r="K30" s="14">
        <v>0</v>
      </c>
    </row>
    <row r="31" spans="1:13">
      <c r="A31" s="2" t="s">
        <v>299</v>
      </c>
      <c r="B31" s="3" t="s">
        <v>300</v>
      </c>
      <c r="D31" s="14">
        <v>3.995260343311237E-5</v>
      </c>
      <c r="E31" s="14">
        <v>1.7988077458846301E-8</v>
      </c>
      <c r="F31" s="14">
        <v>2.8354324114320132E-9</v>
      </c>
      <c r="G31" s="14">
        <v>6.3813836427833722E-10</v>
      </c>
      <c r="H31" s="14">
        <v>0</v>
      </c>
      <c r="I31" s="14">
        <v>2.2933403922408073E-10</v>
      </c>
      <c r="J31" s="14">
        <v>2.5705584613852905E-8</v>
      </c>
      <c r="K31" s="14">
        <v>0</v>
      </c>
    </row>
    <row r="32" spans="1:13">
      <c r="A32" s="2" t="s">
        <v>343</v>
      </c>
      <c r="B32" s="3" t="s">
        <v>344</v>
      </c>
      <c r="D32" s="14">
        <v>9.058731968326701E-8</v>
      </c>
      <c r="E32" s="14">
        <v>2.6019986946663219E-5</v>
      </c>
      <c r="F32" s="14">
        <v>5.5480660757134808E-7</v>
      </c>
      <c r="G32" s="14">
        <v>1.4468955472155455E-7</v>
      </c>
      <c r="H32" s="14">
        <v>0</v>
      </c>
      <c r="I32" s="14">
        <v>8.1525787881383528E-8</v>
      </c>
      <c r="J32" s="14">
        <v>1.310840378347923E-5</v>
      </c>
      <c r="K32" s="14">
        <v>0</v>
      </c>
    </row>
    <row r="33" spans="1:11">
      <c r="A33" s="2" t="s">
        <v>345</v>
      </c>
      <c r="B33" s="3" t="s">
        <v>346</v>
      </c>
      <c r="D33" s="14">
        <v>3.5676102691046283E-9</v>
      </c>
      <c r="E33" s="14">
        <v>3.040584448014787E-5</v>
      </c>
      <c r="F33" s="14">
        <v>2.4448466303166019E-7</v>
      </c>
      <c r="G33" s="14">
        <v>6.8508928582588307E-8</v>
      </c>
      <c r="H33" s="14">
        <v>0</v>
      </c>
      <c r="I33" s="14">
        <v>6.3348246270152342E-8</v>
      </c>
      <c r="J33" s="14">
        <v>9.2142460716986249E-6</v>
      </c>
      <c r="K33" s="14">
        <v>0</v>
      </c>
    </row>
    <row r="34" spans="1:11">
      <c r="A34" s="2" t="s">
        <v>347</v>
      </c>
      <c r="B34" s="3" t="s">
        <v>348</v>
      </c>
      <c r="D34" s="14">
        <v>5.3561751546739234E-9</v>
      </c>
      <c r="E34" s="14">
        <v>1.292035466157456E-5</v>
      </c>
      <c r="F34" s="14">
        <v>3.1155088231655136E-6</v>
      </c>
      <c r="G34" s="14">
        <v>6.7955488833900309E-7</v>
      </c>
      <c r="H34" s="14">
        <v>0</v>
      </c>
      <c r="I34" s="14">
        <v>2.3632352411309972E-7</v>
      </c>
      <c r="J34" s="14">
        <v>2.3042901927653152E-5</v>
      </c>
      <c r="K34" s="14">
        <v>0</v>
      </c>
    </row>
    <row r="35" spans="1:11">
      <c r="A35" s="2" t="s">
        <v>349</v>
      </c>
      <c r="B35" s="3" t="s">
        <v>350</v>
      </c>
      <c r="D35" s="14">
        <v>1.9938843620923756E-6</v>
      </c>
      <c r="E35" s="14">
        <v>3.1319846993595696E-6</v>
      </c>
      <c r="F35" s="14">
        <v>1.043215862673423E-5</v>
      </c>
      <c r="G35" s="14">
        <v>1.87529561233601E-6</v>
      </c>
      <c r="H35" s="14">
        <v>0</v>
      </c>
      <c r="I35" s="14">
        <v>6.1931262307739445E-7</v>
      </c>
      <c r="J35" s="14">
        <v>2.1947364076400421E-5</v>
      </c>
      <c r="K35" s="14">
        <v>0</v>
      </c>
    </row>
    <row r="36" spans="1:11">
      <c r="A36" s="2" t="s">
        <v>351</v>
      </c>
      <c r="B36" s="3" t="s">
        <v>352</v>
      </c>
      <c r="D36" s="14">
        <v>6.5610556885612474E-8</v>
      </c>
      <c r="E36" s="14">
        <v>8.4557744190180465E-7</v>
      </c>
      <c r="F36" s="14">
        <v>1.0865455534468577E-5</v>
      </c>
      <c r="G36" s="14">
        <v>5.015837917727651E-6</v>
      </c>
      <c r="H36" s="14">
        <v>0</v>
      </c>
      <c r="I36" s="14">
        <v>1.6769189379600328E-6</v>
      </c>
      <c r="J36" s="14">
        <v>2.1530599611056325E-5</v>
      </c>
      <c r="K36" s="14">
        <v>0</v>
      </c>
    </row>
    <row r="37" spans="1:11">
      <c r="A37" s="2" t="s">
        <v>353</v>
      </c>
      <c r="B37" s="3" t="s">
        <v>354</v>
      </c>
      <c r="D37" s="14">
        <v>4.9809174773112831E-7</v>
      </c>
      <c r="E37" s="14">
        <v>1.447001598905078E-7</v>
      </c>
      <c r="F37" s="14">
        <v>5.1201603410258435E-6</v>
      </c>
      <c r="G37" s="14">
        <v>1.2902655944671112E-5</v>
      </c>
      <c r="H37" s="14">
        <v>0</v>
      </c>
      <c r="I37" s="14">
        <v>4.4069337129063926E-6</v>
      </c>
      <c r="J37" s="14">
        <v>1.6927458093775016E-5</v>
      </c>
      <c r="K37" s="14">
        <v>0</v>
      </c>
    </row>
    <row r="38" spans="1:11">
      <c r="A38" s="2" t="s">
        <v>355</v>
      </c>
      <c r="B38" s="3" t="s">
        <v>356</v>
      </c>
      <c r="D38" s="14">
        <v>2.4967188854762472E-8</v>
      </c>
      <c r="E38" s="14">
        <v>4.7318319334612212E-7</v>
      </c>
      <c r="F38" s="14">
        <v>8.7466925513531071E-6</v>
      </c>
      <c r="G38" s="14">
        <v>7.4257344864681236E-6</v>
      </c>
      <c r="H38" s="14">
        <v>0</v>
      </c>
      <c r="I38" s="14">
        <v>2.5012078150019557E-6</v>
      </c>
      <c r="J38" s="14">
        <v>2.0828214764975932E-5</v>
      </c>
      <c r="K38" s="14">
        <v>0</v>
      </c>
    </row>
    <row r="39" spans="1:11">
      <c r="A39" s="2" t="s">
        <v>357</v>
      </c>
      <c r="B39" s="3" t="s">
        <v>358</v>
      </c>
      <c r="D39" s="14">
        <v>4.5310829082888678E-6</v>
      </c>
      <c r="E39" s="14">
        <v>6.3923665952599132E-7</v>
      </c>
      <c r="F39" s="14">
        <v>9.1133116820555504E-6</v>
      </c>
      <c r="G39" s="14">
        <v>5.0069329901306742E-6</v>
      </c>
      <c r="H39" s="14">
        <v>0</v>
      </c>
      <c r="I39" s="14">
        <v>1.6774366094229112E-6</v>
      </c>
      <c r="J39" s="14">
        <v>1.9031999150576011E-5</v>
      </c>
      <c r="K39" s="14">
        <v>0</v>
      </c>
    </row>
    <row r="40" spans="1:11">
      <c r="A40" s="2" t="s">
        <v>359</v>
      </c>
      <c r="B40" s="3" t="s">
        <v>360</v>
      </c>
      <c r="D40" s="14">
        <v>2.4967188854762472E-8</v>
      </c>
      <c r="E40" s="14">
        <v>4.7318319334612212E-7</v>
      </c>
      <c r="F40" s="14">
        <v>8.7466925513531071E-6</v>
      </c>
      <c r="G40" s="14">
        <v>7.4257344864681236E-6</v>
      </c>
      <c r="H40" s="14">
        <v>0</v>
      </c>
      <c r="I40" s="14">
        <v>2.5012078150019557E-6</v>
      </c>
      <c r="J40" s="14">
        <v>2.0828214764975932E-5</v>
      </c>
      <c r="K40" s="14">
        <v>0</v>
      </c>
    </row>
    <row r="41" spans="1:11">
      <c r="A41" s="2" t="s">
        <v>313</v>
      </c>
      <c r="B41" s="3" t="s">
        <v>314</v>
      </c>
      <c r="D41" s="14">
        <v>2.3294479082545455E-12</v>
      </c>
      <c r="E41" s="14">
        <v>3.9747541907374942E-5</v>
      </c>
      <c r="F41" s="14">
        <v>1.8903613373359232E-7</v>
      </c>
      <c r="G41" s="14">
        <v>4.4984756720505218E-11</v>
      </c>
      <c r="H41" s="14">
        <v>0</v>
      </c>
      <c r="I41" s="14">
        <v>5.5889882489324099E-8</v>
      </c>
      <c r="J41" s="14">
        <v>7.4847621975228033E-9</v>
      </c>
      <c r="K41" s="14">
        <v>0</v>
      </c>
    </row>
    <row r="42" spans="1:11">
      <c r="A42" s="2" t="s">
        <v>315</v>
      </c>
      <c r="B42" s="3" t="s">
        <v>316</v>
      </c>
      <c r="D42" s="14">
        <v>7.2162403657917768E-7</v>
      </c>
      <c r="E42" s="14">
        <v>1.3218149368318718E-7</v>
      </c>
      <c r="F42" s="14">
        <v>4.8841074023039408E-6</v>
      </c>
      <c r="G42" s="14">
        <v>1.3233684024576327E-5</v>
      </c>
      <c r="H42" s="14">
        <v>0</v>
      </c>
      <c r="I42" s="14">
        <v>4.5242443257351657E-6</v>
      </c>
      <c r="J42" s="14">
        <v>1.6504158717122205E-5</v>
      </c>
      <c r="K42" s="14">
        <v>0</v>
      </c>
    </row>
    <row r="43" spans="1:11">
      <c r="A43" s="2" t="s">
        <v>317</v>
      </c>
      <c r="B43" s="3" t="s">
        <v>318</v>
      </c>
      <c r="D43" s="14">
        <v>2.4427501278378873E-16</v>
      </c>
      <c r="E43" s="14">
        <v>1.9644397309482979E-5</v>
      </c>
      <c r="F43" s="14">
        <v>1.3910836928528525E-6</v>
      </c>
      <c r="G43" s="14">
        <v>3.3208466020458022E-7</v>
      </c>
      <c r="H43" s="14">
        <v>0</v>
      </c>
      <c r="I43" s="14">
        <v>1.3287236136590578E-7</v>
      </c>
      <c r="J43" s="14">
        <v>1.8499561975849408E-5</v>
      </c>
      <c r="K43" s="14">
        <v>0</v>
      </c>
    </row>
    <row r="44" spans="1:11">
      <c r="A44" s="2" t="s">
        <v>307</v>
      </c>
      <c r="B44" s="3" t="s">
        <v>308</v>
      </c>
      <c r="D44" s="14">
        <v>2.2098380167929029E-8</v>
      </c>
      <c r="E44" s="14">
        <v>1.2777918246061652E-6</v>
      </c>
      <c r="F44" s="14">
        <v>1.244613924700346E-5</v>
      </c>
      <c r="G44" s="14">
        <v>3.611854201026288E-6</v>
      </c>
      <c r="H44" s="14">
        <v>0</v>
      </c>
      <c r="I44" s="14">
        <v>1.201224730710938E-6</v>
      </c>
      <c r="J44" s="14">
        <v>2.1440891616485228E-5</v>
      </c>
      <c r="K44" s="14">
        <v>0</v>
      </c>
    </row>
    <row r="45" spans="1:11">
      <c r="A45" s="2" t="s">
        <v>319</v>
      </c>
      <c r="B45" s="3" t="s">
        <v>320</v>
      </c>
      <c r="D45" s="14">
        <v>2.5879700185219074E-9</v>
      </c>
      <c r="E45" s="14">
        <v>6.5066718601258693E-8</v>
      </c>
      <c r="F45" s="14">
        <v>3.4287313286272474E-6</v>
      </c>
      <c r="G45" s="14">
        <v>1.683949297289514E-5</v>
      </c>
      <c r="H45" s="14">
        <v>0</v>
      </c>
      <c r="I45" s="14">
        <v>5.8016183794530774E-6</v>
      </c>
      <c r="J45" s="14">
        <v>1.3862502630404754E-5</v>
      </c>
      <c r="K45" s="14">
        <v>0</v>
      </c>
    </row>
    <row r="46" spans="1:11">
      <c r="A46" s="2" t="s">
        <v>321</v>
      </c>
      <c r="B46" s="3" t="s">
        <v>322</v>
      </c>
      <c r="D46" s="14">
        <v>3.5633254680275587E-9</v>
      </c>
      <c r="E46" s="14">
        <v>1.2143815387525373E-7</v>
      </c>
      <c r="F46" s="14">
        <v>4.7263916542489207E-6</v>
      </c>
      <c r="G46" s="14">
        <v>1.3970928245799908E-5</v>
      </c>
      <c r="H46" s="14">
        <v>0</v>
      </c>
      <c r="I46" s="14">
        <v>4.7816792607314511E-6</v>
      </c>
      <c r="J46" s="14">
        <v>1.6395999359876446E-5</v>
      </c>
      <c r="K46" s="14">
        <v>0</v>
      </c>
    </row>
    <row r="47" spans="1:11">
      <c r="A47" s="2" t="s">
        <v>323</v>
      </c>
      <c r="B47" s="3" t="s">
        <v>324</v>
      </c>
      <c r="D47" s="14">
        <v>3.1216305166931269E-8</v>
      </c>
      <c r="E47" s="14">
        <v>2.5091184401469542E-7</v>
      </c>
      <c r="F47" s="14">
        <v>6.6719950062189628E-6</v>
      </c>
      <c r="G47" s="14">
        <v>1.0417206372646986E-5</v>
      </c>
      <c r="H47" s="14">
        <v>0</v>
      </c>
      <c r="I47" s="14">
        <v>3.5361221477486406E-6</v>
      </c>
      <c r="J47" s="14">
        <v>1.9092548324203787E-5</v>
      </c>
      <c r="K47" s="14">
        <v>0</v>
      </c>
    </row>
    <row r="48" spans="1:11">
      <c r="A48" s="2" t="s">
        <v>325</v>
      </c>
      <c r="B48" s="3" t="s">
        <v>326</v>
      </c>
      <c r="D48" s="14">
        <v>1.1318103449826773E-8</v>
      </c>
      <c r="E48" s="14">
        <v>6.6492601309904712E-6</v>
      </c>
      <c r="F48" s="14">
        <v>6.6688027809252369E-6</v>
      </c>
      <c r="G48" s="14">
        <v>1.3096143627944332E-6</v>
      </c>
      <c r="H48" s="14">
        <v>0</v>
      </c>
      <c r="I48" s="14">
        <v>4.3480550389398378E-7</v>
      </c>
      <c r="J48" s="14">
        <v>2.4926199117946057E-5</v>
      </c>
      <c r="K48" s="14">
        <v>0</v>
      </c>
    </row>
    <row r="49" spans="1:11">
      <c r="A49" s="2" t="s">
        <v>275</v>
      </c>
      <c r="B49" s="3" t="s">
        <v>276</v>
      </c>
      <c r="D49" s="14">
        <v>2.8330632138997628E-10</v>
      </c>
      <c r="E49" s="14">
        <v>1.1857576344196474E-6</v>
      </c>
      <c r="F49" s="14">
        <v>1.2165514477550842E-5</v>
      </c>
      <c r="G49" s="14">
        <v>3.8514657066407612E-6</v>
      </c>
      <c r="H49" s="14">
        <v>0</v>
      </c>
      <c r="I49" s="14">
        <v>1.2821118700444689E-6</v>
      </c>
      <c r="J49" s="14">
        <v>2.1514867005022895E-5</v>
      </c>
      <c r="K49" s="14">
        <v>0</v>
      </c>
    </row>
    <row r="50" spans="1:11">
      <c r="A50" s="2" t="s">
        <v>327</v>
      </c>
      <c r="B50" s="3" t="s">
        <v>328</v>
      </c>
      <c r="D50" s="14">
        <v>1.4701475582017816E-8</v>
      </c>
      <c r="E50" s="14">
        <v>1.0435195538028686E-6</v>
      </c>
      <c r="F50" s="14">
        <v>1.1674415385562295E-5</v>
      </c>
      <c r="G50" s="14">
        <v>4.2729783973465397E-6</v>
      </c>
      <c r="H50" s="14">
        <v>0</v>
      </c>
      <c r="I50" s="14">
        <v>1.4247237815081394E-6</v>
      </c>
      <c r="J50" s="14">
        <v>2.1569661406198148E-5</v>
      </c>
      <c r="K50" s="14">
        <v>0</v>
      </c>
    </row>
    <row r="51" spans="1:11">
      <c r="A51" s="2" t="s">
        <v>329</v>
      </c>
      <c r="B51" s="3" t="s">
        <v>330</v>
      </c>
      <c r="D51" s="14">
        <v>6.8930373377459789E-9</v>
      </c>
      <c r="E51" s="14">
        <v>4.9676420594656088E-6</v>
      </c>
      <c r="F51" s="14">
        <v>8.4233499872189263E-6</v>
      </c>
      <c r="G51" s="14">
        <v>1.5914038383762756E-6</v>
      </c>
      <c r="H51" s="14">
        <v>0</v>
      </c>
      <c r="I51" s="14">
        <v>5.2611004352162559E-7</v>
      </c>
      <c r="J51" s="14">
        <v>2.448460103407982E-5</v>
      </c>
      <c r="K51" s="14">
        <v>0</v>
      </c>
    </row>
    <row r="52" spans="1:11">
      <c r="A52" s="2" t="s">
        <v>277</v>
      </c>
      <c r="B52" s="3" t="s">
        <v>278</v>
      </c>
      <c r="D52" s="14">
        <v>1.7873936968492384E-8</v>
      </c>
      <c r="E52" s="14">
        <v>6.4729147396548417E-6</v>
      </c>
      <c r="F52" s="14">
        <v>6.8248708425861735E-6</v>
      </c>
      <c r="G52" s="14">
        <v>1.335334262232996E-6</v>
      </c>
      <c r="H52" s="14">
        <v>0</v>
      </c>
      <c r="I52" s="14">
        <v>4.4308426147877671E-7</v>
      </c>
      <c r="J52" s="14">
        <v>2.4905921957078721E-5</v>
      </c>
      <c r="K52" s="14">
        <v>0</v>
      </c>
    </row>
    <row r="53" spans="1:11">
      <c r="A53" s="2" t="s">
        <v>331</v>
      </c>
      <c r="B53" s="3" t="s">
        <v>332</v>
      </c>
      <c r="D53" s="14">
        <v>9.7887346800419043E-9</v>
      </c>
      <c r="E53" s="14">
        <v>6.9184088228797516E-7</v>
      </c>
      <c r="F53" s="14">
        <v>1.0122802698146628E-5</v>
      </c>
      <c r="G53" s="14">
        <v>5.8089324672672894E-6</v>
      </c>
      <c r="H53" s="14">
        <v>0</v>
      </c>
      <c r="I53" s="14">
        <v>1.9471535001829643E-6</v>
      </c>
      <c r="J53" s="14">
        <v>2.1419481717435096E-5</v>
      </c>
      <c r="K53" s="14">
        <v>0</v>
      </c>
    </row>
    <row r="54" spans="1:11">
      <c r="A54" s="2" t="s">
        <v>333</v>
      </c>
      <c r="B54" s="3" t="s">
        <v>334</v>
      </c>
      <c r="D54" s="14">
        <v>1.6033268153772732E-11</v>
      </c>
      <c r="E54" s="14">
        <v>1.1129142945544018E-6</v>
      </c>
      <c r="F54" s="14">
        <v>1.1923294501631129E-5</v>
      </c>
      <c r="G54" s="14">
        <v>4.0587455586059471E-6</v>
      </c>
      <c r="H54" s="14">
        <v>0</v>
      </c>
      <c r="I54" s="14">
        <v>1.3521919913843463E-6</v>
      </c>
      <c r="J54" s="14">
        <v>2.1552837620556021E-5</v>
      </c>
      <c r="K54" s="14">
        <v>0</v>
      </c>
    </row>
    <row r="55" spans="1:11">
      <c r="A55" s="2" t="s">
        <v>335</v>
      </c>
      <c r="B55" s="3" t="s">
        <v>336</v>
      </c>
      <c r="D55" s="14">
        <v>8.0796938753748023E-8</v>
      </c>
      <c r="E55" s="14">
        <v>2.5861551215643862E-7</v>
      </c>
      <c r="F55" s="14">
        <v>6.7587926226718319E-6</v>
      </c>
      <c r="G55" s="14">
        <v>1.0250963254072104E-5</v>
      </c>
      <c r="H55" s="14">
        <v>0</v>
      </c>
      <c r="I55" s="14">
        <v>3.4783952055856554E-6</v>
      </c>
      <c r="J55" s="14">
        <v>1.9172436466760228E-5</v>
      </c>
      <c r="K55" s="14">
        <v>0</v>
      </c>
    </row>
    <row r="56" spans="1:11">
      <c r="A56" s="2" t="s">
        <v>337</v>
      </c>
      <c r="B56" s="3" t="s">
        <v>338</v>
      </c>
      <c r="D56" s="14">
        <v>5.6728294129633776E-9</v>
      </c>
      <c r="E56" s="14">
        <v>1.2467500337376981E-6</v>
      </c>
      <c r="F56" s="14">
        <v>1.235588731851709E-5</v>
      </c>
      <c r="G56" s="14">
        <v>3.6912162951018022E-6</v>
      </c>
      <c r="H56" s="14">
        <v>0</v>
      </c>
      <c r="I56" s="14">
        <v>1.227997574904407E-6</v>
      </c>
      <c r="J56" s="14">
        <v>2.1472475948326043E-5</v>
      </c>
      <c r="K56" s="14">
        <v>0</v>
      </c>
    </row>
    <row r="57" spans="1:11">
      <c r="A57" s="2" t="s">
        <v>279</v>
      </c>
      <c r="B57" s="3" t="s">
        <v>280</v>
      </c>
      <c r="D57" s="14">
        <v>3.1687750366801186E-7</v>
      </c>
      <c r="E57" s="14">
        <v>7.4204641728042819E-6</v>
      </c>
      <c r="F57" s="14">
        <v>5.9424511866312005E-6</v>
      </c>
      <c r="G57" s="14">
        <v>1.1864820665905949E-6</v>
      </c>
      <c r="H57" s="14">
        <v>0</v>
      </c>
      <c r="I57" s="14">
        <v>3.9519966993624681E-7</v>
      </c>
      <c r="J57" s="14">
        <v>2.4738525400369667E-5</v>
      </c>
      <c r="K57" s="14">
        <v>0</v>
      </c>
    </row>
    <row r="58" spans="1:11">
      <c r="A58" s="2" t="s">
        <v>339</v>
      </c>
      <c r="B58" s="3" t="s">
        <v>340</v>
      </c>
      <c r="D58" s="14">
        <v>5.6174936138892082E-11</v>
      </c>
      <c r="E58" s="14">
        <v>1.0988091111854351E-6</v>
      </c>
      <c r="F58" s="14">
        <v>1.1874540204817611E-5</v>
      </c>
      <c r="G58" s="14">
        <v>4.1012133051006615E-6</v>
      </c>
      <c r="H58" s="14">
        <v>0</v>
      </c>
      <c r="I58" s="14">
        <v>1.3665611201446158E-6</v>
      </c>
      <c r="J58" s="14">
        <v>2.1558820083815549E-5</v>
      </c>
      <c r="K58" s="14">
        <v>0</v>
      </c>
    </row>
    <row r="59" spans="1:11">
      <c r="A59" s="2" t="s">
        <v>281</v>
      </c>
      <c r="B59" s="3" t="s">
        <v>282</v>
      </c>
      <c r="D59" s="14">
        <v>2.7063561265713062E-9</v>
      </c>
      <c r="E59" s="14">
        <v>6.4753702983572932E-6</v>
      </c>
      <c r="F59" s="14">
        <v>6.8274599190169121E-6</v>
      </c>
      <c r="G59" s="14">
        <v>1.3358408333528379E-6</v>
      </c>
      <c r="H59" s="14">
        <v>0</v>
      </c>
      <c r="I59" s="14">
        <v>4.4325234949753709E-7</v>
      </c>
      <c r="J59" s="14">
        <v>2.4915370243648851E-5</v>
      </c>
      <c r="K59" s="14">
        <v>0</v>
      </c>
    </row>
    <row r="60" spans="1:11">
      <c r="A60" s="2" t="s">
        <v>341</v>
      </c>
      <c r="B60" s="3" t="s">
        <v>342</v>
      </c>
      <c r="D60" s="14">
        <v>8.1727919043785224E-8</v>
      </c>
      <c r="E60" s="14">
        <v>7.8017154357367081E-7</v>
      </c>
      <c r="F60" s="14">
        <v>1.0559531642950097E-5</v>
      </c>
      <c r="G60" s="14">
        <v>5.31790054976448E-6</v>
      </c>
      <c r="H60" s="14">
        <v>0</v>
      </c>
      <c r="I60" s="14">
        <v>1.7797501167951079E-6</v>
      </c>
      <c r="J60" s="14">
        <v>2.1480918227872858E-5</v>
      </c>
      <c r="K60" s="14">
        <v>0</v>
      </c>
    </row>
    <row r="61" spans="1:11">
      <c r="A61" s="2" t="s">
        <v>483</v>
      </c>
      <c r="B61" s="3" t="s">
        <v>484</v>
      </c>
      <c r="D61" s="14">
        <v>5.4871093870000208E-18</v>
      </c>
      <c r="E61" s="14">
        <v>1.998958351637144E-5</v>
      </c>
      <c r="F61" s="14">
        <v>3.2087850580934437E-6</v>
      </c>
      <c r="G61" s="14">
        <v>5.3463603064953914E-7</v>
      </c>
      <c r="H61" s="14">
        <v>0</v>
      </c>
      <c r="I61" s="14">
        <v>2.1945084542219759E-6</v>
      </c>
      <c r="J61" s="14">
        <v>1.4072486940658121E-5</v>
      </c>
      <c r="K61" s="14">
        <v>0</v>
      </c>
    </row>
    <row r="62" spans="1:11">
      <c r="A62" s="2" t="s">
        <v>485</v>
      </c>
      <c r="B62" s="3" t="s">
        <v>486</v>
      </c>
      <c r="D62" s="14">
        <v>1.4784299871400793E-11</v>
      </c>
      <c r="E62" s="14">
        <v>1.344189279243953E-5</v>
      </c>
      <c r="F62" s="14">
        <v>2.9327495558729519E-6</v>
      </c>
      <c r="G62" s="14">
        <v>6.4442225912721502E-7</v>
      </c>
      <c r="H62" s="14">
        <v>0</v>
      </c>
      <c r="I62" s="14">
        <v>2.2558926962547662E-7</v>
      </c>
      <c r="J62" s="14">
        <v>2.275533133863496E-5</v>
      </c>
      <c r="K62" s="14">
        <v>0</v>
      </c>
    </row>
    <row r="63" spans="1:11">
      <c r="A63" s="2" t="s">
        <v>487</v>
      </c>
      <c r="B63" s="3" t="s">
        <v>488</v>
      </c>
      <c r="D63" s="14">
        <v>2.9327849118995191E-17</v>
      </c>
      <c r="E63" s="14">
        <v>3.7948495534717328E-5</v>
      </c>
      <c r="F63" s="14">
        <v>1.3080502371906624E-7</v>
      </c>
      <c r="G63" s="14">
        <v>1.7259220468283839E-8</v>
      </c>
      <c r="H63" s="14">
        <v>0</v>
      </c>
      <c r="I63" s="14">
        <v>2.6355365939040795E-7</v>
      </c>
      <c r="J63" s="14">
        <v>1.6398865616755867E-6</v>
      </c>
      <c r="K63" s="14">
        <v>0</v>
      </c>
    </row>
    <row r="64" spans="1:11">
      <c r="A64" s="2" t="s">
        <v>489</v>
      </c>
      <c r="B64" s="3" t="s">
        <v>490</v>
      </c>
      <c r="D64" s="14">
        <v>5.3086040216706773E-19</v>
      </c>
      <c r="E64" s="14">
        <v>3.9720461475933109E-5</v>
      </c>
      <c r="F64" s="14">
        <v>4.8956328009323256E-8</v>
      </c>
      <c r="G64" s="14">
        <v>6.0783569000032578E-10</v>
      </c>
      <c r="H64" s="14">
        <v>0</v>
      </c>
      <c r="I64" s="14">
        <v>5.5191506078491986E-8</v>
      </c>
      <c r="J64" s="14">
        <v>1.7478285428854697E-7</v>
      </c>
      <c r="K64" s="14">
        <v>0</v>
      </c>
    </row>
    <row r="65" spans="1:11">
      <c r="A65" s="2" t="s">
        <v>491</v>
      </c>
      <c r="B65" s="3" t="s">
        <v>492</v>
      </c>
      <c r="D65" s="14">
        <v>8.7647577710409969E-17</v>
      </c>
      <c r="E65" s="14">
        <v>3.9842420152165401E-5</v>
      </c>
      <c r="F65" s="14">
        <v>6.3539847354996797E-9</v>
      </c>
      <c r="G65" s="14">
        <v>2.8261140725772891E-10</v>
      </c>
      <c r="H65" s="14">
        <v>0</v>
      </c>
      <c r="I65" s="14">
        <v>7.3731693195956532E-8</v>
      </c>
      <c r="J65" s="14">
        <v>7.7211558408231183E-8</v>
      </c>
      <c r="K65" s="14">
        <v>0</v>
      </c>
    </row>
    <row r="66" spans="1:11">
      <c r="A66" s="2" t="s">
        <v>493</v>
      </c>
      <c r="B66" s="3" t="s">
        <v>494</v>
      </c>
      <c r="D66" s="14">
        <v>1.3425896892078551E-15</v>
      </c>
      <c r="E66" s="14">
        <v>3.6130526173446347E-5</v>
      </c>
      <c r="F66" s="14">
        <v>9.3772277586774107E-7</v>
      </c>
      <c r="G66" s="14">
        <v>2.3501051994871679E-8</v>
      </c>
      <c r="H66" s="14">
        <v>0</v>
      </c>
      <c r="I66" s="14">
        <v>2.1007920118915807E-6</v>
      </c>
      <c r="J66" s="14">
        <v>8.0745798545687787E-7</v>
      </c>
      <c r="K66" s="14">
        <v>0</v>
      </c>
    </row>
    <row r="67" spans="1:11">
      <c r="A67" s="2" t="s">
        <v>495</v>
      </c>
      <c r="B67" s="3" t="s">
        <v>496</v>
      </c>
      <c r="D67" s="14">
        <v>6.8461643633483575E-17</v>
      </c>
      <c r="E67" s="14">
        <v>3.9837032987300552E-5</v>
      </c>
      <c r="F67" s="14">
        <v>5.3571189062713106E-9</v>
      </c>
      <c r="G67" s="14">
        <v>2.9285066872934296E-10</v>
      </c>
      <c r="H67" s="14">
        <v>0</v>
      </c>
      <c r="I67" s="14">
        <v>7.0509222917809668E-8</v>
      </c>
      <c r="J67" s="14">
        <v>8.6807820138177042E-8</v>
      </c>
      <c r="K67" s="14">
        <v>0</v>
      </c>
    </row>
    <row r="68" spans="1:11">
      <c r="A68" s="2" t="s">
        <v>497</v>
      </c>
      <c r="B68" s="3" t="s">
        <v>498</v>
      </c>
      <c r="D68" s="14">
        <v>6.1917811030940503E-16</v>
      </c>
      <c r="E68" s="14">
        <v>3.9907220848191259E-5</v>
      </c>
      <c r="F68" s="14">
        <v>6.371660143469432E-10</v>
      </c>
      <c r="G68" s="14">
        <v>4.9160770262408961E-11</v>
      </c>
      <c r="H68" s="14">
        <v>0</v>
      </c>
      <c r="I68" s="14">
        <v>5.7016723606107139E-8</v>
      </c>
      <c r="J68" s="14">
        <v>3.5076100798850697E-8</v>
      </c>
      <c r="K68" s="14">
        <v>0</v>
      </c>
    </row>
    <row r="69" spans="1:11">
      <c r="A69" s="2" t="s">
        <v>499</v>
      </c>
      <c r="B69" s="3" t="s">
        <v>500</v>
      </c>
      <c r="D69" s="14">
        <v>1.418185711316407E-15</v>
      </c>
      <c r="E69" s="14">
        <v>1.4168724958408816E-6</v>
      </c>
      <c r="F69" s="14">
        <v>1.2843911969086506E-5</v>
      </c>
      <c r="G69" s="14">
        <v>3.3044780823358729E-6</v>
      </c>
      <c r="H69" s="14">
        <v>0</v>
      </c>
      <c r="I69" s="14">
        <v>1.0976318700348116E-6</v>
      </c>
      <c r="J69" s="14">
        <v>2.1337105581283746E-5</v>
      </c>
      <c r="K69" s="14">
        <v>0</v>
      </c>
    </row>
    <row r="70" spans="1:11">
      <c r="A70" s="2" t="s">
        <v>501</v>
      </c>
      <c r="B70" s="3" t="s">
        <v>411</v>
      </c>
      <c r="D70" s="14">
        <v>1.1408346210141378E-17</v>
      </c>
      <c r="E70" s="14">
        <v>3.9818267219168367E-5</v>
      </c>
      <c r="F70" s="14">
        <v>1.2379323357555804E-7</v>
      </c>
      <c r="G70" s="14">
        <v>1.1765016250270435E-11</v>
      </c>
      <c r="H70" s="14">
        <v>0</v>
      </c>
      <c r="I70" s="14">
        <v>5.5602342103044503E-8</v>
      </c>
      <c r="J70" s="14">
        <v>2.3254401253754418E-9</v>
      </c>
      <c r="K70" s="14">
        <v>0</v>
      </c>
    </row>
    <row r="71" spans="1:11">
      <c r="A71" s="2" t="s">
        <v>502</v>
      </c>
      <c r="B71" s="3" t="s">
        <v>412</v>
      </c>
      <c r="D71" s="14">
        <v>5.3399308472905904E-13</v>
      </c>
      <c r="E71" s="14">
        <v>3.9704134345621397E-5</v>
      </c>
      <c r="F71" s="14">
        <v>2.3648863909629159E-7</v>
      </c>
      <c r="G71" s="14">
        <v>2.1491988326000399E-11</v>
      </c>
      <c r="H71" s="14">
        <v>0</v>
      </c>
      <c r="I71" s="14">
        <v>5.60906956031215E-8</v>
      </c>
      <c r="J71" s="14">
        <v>3.2642936977857922E-9</v>
      </c>
      <c r="K71" s="14">
        <v>0</v>
      </c>
    </row>
    <row r="72" spans="1:11">
      <c r="A72" s="2" t="s">
        <v>503</v>
      </c>
      <c r="B72" s="3" t="s">
        <v>413</v>
      </c>
      <c r="D72" s="14">
        <v>6.4499506017541556E-14</v>
      </c>
      <c r="E72" s="14">
        <v>1.4621639591564061E-6</v>
      </c>
      <c r="F72" s="14">
        <v>3.7233222461753643E-5</v>
      </c>
      <c r="G72" s="14">
        <v>1.7099955663484438E-8</v>
      </c>
      <c r="H72" s="14">
        <v>0</v>
      </c>
      <c r="I72" s="14">
        <v>1.2545444192159099E-6</v>
      </c>
      <c r="J72" s="14">
        <v>3.2969139711056436E-8</v>
      </c>
      <c r="K72" s="14">
        <v>0</v>
      </c>
    </row>
    <row r="73" spans="1:11">
      <c r="A73" s="2" t="s">
        <v>504</v>
      </c>
      <c r="B73" s="3" t="s">
        <v>414</v>
      </c>
      <c r="D73" s="14">
        <v>6.7651219812764144E-14</v>
      </c>
      <c r="E73" s="14">
        <v>1.0887679247184487E-5</v>
      </c>
      <c r="F73" s="14">
        <v>2.8956753450616007E-5</v>
      </c>
      <c r="G73" s="14">
        <v>1.6738411004652145E-9</v>
      </c>
      <c r="H73" s="14">
        <v>0</v>
      </c>
      <c r="I73" s="14">
        <v>1.324335347454678E-7</v>
      </c>
      <c r="J73" s="14">
        <v>2.1459858702348384E-8</v>
      </c>
      <c r="K73" s="14">
        <v>0</v>
      </c>
    </row>
    <row r="74" spans="1:11">
      <c r="A74" s="2" t="s">
        <v>505</v>
      </c>
      <c r="B74" s="3" t="s">
        <v>415</v>
      </c>
      <c r="D74" s="14">
        <v>6.5696740397356275E-14</v>
      </c>
      <c r="E74" s="14">
        <v>3.9726793091785969E-5</v>
      </c>
      <c r="F74" s="14">
        <v>2.1410068601083746E-7</v>
      </c>
      <c r="G74" s="14">
        <v>1.9542603379309058E-11</v>
      </c>
      <c r="H74" s="14">
        <v>0</v>
      </c>
      <c r="I74" s="14">
        <v>5.5995642062382533E-8</v>
      </c>
      <c r="J74" s="14">
        <v>3.0909718406984403E-9</v>
      </c>
      <c r="K74" s="14">
        <v>0</v>
      </c>
    </row>
    <row r="75" spans="1:11">
      <c r="A75" s="2" t="s">
        <v>506</v>
      </c>
      <c r="B75" s="3" t="s">
        <v>416</v>
      </c>
      <c r="D75" s="14">
        <v>2.7782305248512159E-13</v>
      </c>
      <c r="E75" s="14">
        <v>1.2326732312392679E-5</v>
      </c>
      <c r="F75" s="14">
        <v>2.7519625233969225E-5</v>
      </c>
      <c r="G75" s="14">
        <v>1.6114130428067463E-9</v>
      </c>
      <c r="H75" s="14">
        <v>0</v>
      </c>
      <c r="I75" s="14">
        <v>1.2985290954143969E-7</v>
      </c>
      <c r="J75" s="14">
        <v>2.2177853230795214E-8</v>
      </c>
      <c r="K75" s="14">
        <v>0</v>
      </c>
    </row>
    <row r="76" spans="1:11">
      <c r="A76" s="2" t="s">
        <v>507</v>
      </c>
      <c r="B76" s="3" t="s">
        <v>417</v>
      </c>
      <c r="D76" s="14">
        <v>1.7652717214465557E-12</v>
      </c>
      <c r="E76" s="14">
        <v>3.5550987033635045E-5</v>
      </c>
      <c r="F76" s="14">
        <v>4.3640147854358592E-6</v>
      </c>
      <c r="G76" s="14">
        <v>3.1736024828456654E-10</v>
      </c>
      <c r="H76" s="14">
        <v>0</v>
      </c>
      <c r="I76" s="14">
        <v>7.0532029210685415E-8</v>
      </c>
      <c r="J76" s="14">
        <v>1.4147026198401569E-8</v>
      </c>
      <c r="K76" s="14">
        <v>0</v>
      </c>
    </row>
    <row r="77" spans="1:11">
      <c r="A77" s="2" t="s">
        <v>508</v>
      </c>
      <c r="B77" s="3" t="s">
        <v>418</v>
      </c>
      <c r="D77" s="14">
        <v>2.0693601092870302E-12</v>
      </c>
      <c r="E77" s="14">
        <v>1.1287978454571472E-5</v>
      </c>
      <c r="F77" s="14">
        <v>2.8556877739117739E-5</v>
      </c>
      <c r="G77" s="14">
        <v>1.6617934241707882E-9</v>
      </c>
      <c r="H77" s="14">
        <v>0</v>
      </c>
      <c r="I77" s="14">
        <v>1.3173843537555173E-7</v>
      </c>
      <c r="J77" s="14">
        <v>2.1741508150963885E-8</v>
      </c>
      <c r="K77" s="14">
        <v>0</v>
      </c>
    </row>
    <row r="78" spans="1:11">
      <c r="A78" s="2" t="s">
        <v>509</v>
      </c>
      <c r="B78" s="3" t="s">
        <v>419</v>
      </c>
      <c r="D78" s="14">
        <v>2.5969788844173926E-13</v>
      </c>
      <c r="E78" s="14">
        <v>1.6241573608852604E-6</v>
      </c>
      <c r="F78" s="14">
        <v>3.7277146041005768E-5</v>
      </c>
      <c r="G78" s="14">
        <v>1.4384905537374712E-8</v>
      </c>
      <c r="H78" s="14">
        <v>0</v>
      </c>
      <c r="I78" s="14">
        <v>1.0529915849332485E-6</v>
      </c>
      <c r="J78" s="14">
        <v>3.1319847940462289E-8</v>
      </c>
      <c r="K78" s="14">
        <v>0</v>
      </c>
    </row>
    <row r="79" spans="1:11">
      <c r="A79" s="2" t="s">
        <v>510</v>
      </c>
      <c r="B79" s="3" t="s">
        <v>420</v>
      </c>
      <c r="D79" s="14">
        <v>6.5233176883022495E-18</v>
      </c>
      <c r="E79" s="14">
        <v>1.6241576942667882E-6</v>
      </c>
      <c r="F79" s="14">
        <v>3.7277153692673154E-5</v>
      </c>
      <c r="G79" s="14">
        <v>1.4382631996614967E-8</v>
      </c>
      <c r="H79" s="14">
        <v>0</v>
      </c>
      <c r="I79" s="14">
        <v>1.0529910832324596E-6</v>
      </c>
      <c r="J79" s="14">
        <v>3.131489782447463E-8</v>
      </c>
      <c r="K79" s="14">
        <v>0</v>
      </c>
    </row>
    <row r="80" spans="1:11">
      <c r="A80" s="2" t="s">
        <v>511</v>
      </c>
      <c r="B80" s="3" t="s">
        <v>421</v>
      </c>
      <c r="D80" s="14">
        <v>3.1230748201721902E-13</v>
      </c>
      <c r="E80" s="14">
        <v>2.6623311595352638E-5</v>
      </c>
      <c r="F80" s="14">
        <v>1.3257347054071535E-5</v>
      </c>
      <c r="G80" s="14">
        <v>8.67003767522396E-10</v>
      </c>
      <c r="H80" s="14">
        <v>0</v>
      </c>
      <c r="I80" s="14">
        <v>9.6559431109382976E-8</v>
      </c>
      <c r="J80" s="14">
        <v>2.191460339144061E-8</v>
      </c>
      <c r="K80" s="14">
        <v>0</v>
      </c>
    </row>
    <row r="81" spans="1:11">
      <c r="A81" s="2" t="s">
        <v>512</v>
      </c>
      <c r="B81" s="3" t="s">
        <v>422</v>
      </c>
      <c r="D81" s="14">
        <v>1.2389081028166013E-13</v>
      </c>
      <c r="E81" s="14">
        <v>3.8992293391583112E-5</v>
      </c>
      <c r="F81" s="14">
        <v>9.4213541658905507E-7</v>
      </c>
      <c r="G81" s="14">
        <v>7.6997688771019588E-11</v>
      </c>
      <c r="H81" s="14">
        <v>0</v>
      </c>
      <c r="I81" s="14">
        <v>5.8862897837054124E-8</v>
      </c>
      <c r="J81" s="14">
        <v>6.6311724112084308E-9</v>
      </c>
      <c r="K81" s="14">
        <v>0</v>
      </c>
    </row>
    <row r="82" spans="1:11">
      <c r="A82" s="2" t="s">
        <v>513</v>
      </c>
      <c r="B82" s="3" t="s">
        <v>423</v>
      </c>
      <c r="D82" s="14">
        <v>3.9689488278532698E-17</v>
      </c>
      <c r="E82" s="14">
        <v>3.7521065616491192E-5</v>
      </c>
      <c r="F82" s="14">
        <v>2.4040844227145795E-6</v>
      </c>
      <c r="G82" s="14">
        <v>1.8282910725280773E-10</v>
      </c>
      <c r="H82" s="14">
        <v>0</v>
      </c>
      <c r="I82" s="14">
        <v>6.4060976659492943E-8</v>
      </c>
      <c r="J82" s="14">
        <v>1.0606154987793295E-8</v>
      </c>
      <c r="K82" s="14">
        <v>0</v>
      </c>
    </row>
    <row r="83" spans="1:11">
      <c r="A83" s="2" t="s">
        <v>514</v>
      </c>
      <c r="B83" s="3" t="s">
        <v>424</v>
      </c>
      <c r="D83" s="14">
        <v>9.1779590907344215E-14</v>
      </c>
      <c r="E83" s="14">
        <v>1.0869405819134747E-6</v>
      </c>
      <c r="F83" s="14">
        <v>3.6831580391539984E-5</v>
      </c>
      <c r="G83" s="14">
        <v>2.7301387139896016E-8</v>
      </c>
      <c r="H83" s="14">
        <v>0</v>
      </c>
      <c r="I83" s="14">
        <v>2.0164987232394844E-6</v>
      </c>
      <c r="J83" s="14">
        <v>3.7678824387573748E-8</v>
      </c>
      <c r="K83" s="14">
        <v>0</v>
      </c>
    </row>
    <row r="84" spans="1:11">
      <c r="A84" s="2" t="s">
        <v>403</v>
      </c>
      <c r="B84" s="3" t="s">
        <v>404</v>
      </c>
      <c r="D84" s="14">
        <v>2.7076672976372975E-48</v>
      </c>
      <c r="E84" s="14">
        <v>1.7255794664055411E-5</v>
      </c>
      <c r="F84" s="14">
        <v>1.8692591475024279E-6</v>
      </c>
      <c r="G84" s="14">
        <v>4.3247904563140324E-7</v>
      </c>
      <c r="H84" s="14">
        <v>0</v>
      </c>
      <c r="I84" s="14">
        <v>1.6201185353702104E-7</v>
      </c>
      <c r="J84" s="14">
        <v>2.0280455289273742E-5</v>
      </c>
      <c r="K84" s="14">
        <v>0</v>
      </c>
    </row>
    <row r="85" spans="1:11">
      <c r="A85" s="2" t="s">
        <v>405</v>
      </c>
      <c r="B85" s="3" t="s">
        <v>406</v>
      </c>
      <c r="D85" s="14">
        <v>8.8638070793766182E-13</v>
      </c>
      <c r="E85" s="14">
        <v>3.2459463198363973E-6</v>
      </c>
      <c r="F85" s="14">
        <v>5.0837852310977068E-6</v>
      </c>
      <c r="G85" s="14">
        <v>2.6577307880339833E-7</v>
      </c>
      <c r="H85" s="14">
        <v>0</v>
      </c>
      <c r="I85" s="14">
        <v>3.0404440099955515E-5</v>
      </c>
      <c r="J85" s="14">
        <v>1.0000543839262817E-6</v>
      </c>
      <c r="K85" s="14">
        <v>0</v>
      </c>
    </row>
    <row r="86" spans="1:11">
      <c r="A86" s="2" t="s">
        <v>407</v>
      </c>
      <c r="B86" s="3" t="s">
        <v>408</v>
      </c>
      <c r="D86" s="14">
        <v>5.6433275864093868E-9</v>
      </c>
      <c r="E86" s="14">
        <v>7.8079122823974897E-8</v>
      </c>
      <c r="F86" s="14">
        <v>3.7731969613046896E-6</v>
      </c>
      <c r="G86" s="14">
        <v>1.6028948420300492E-5</v>
      </c>
      <c r="H86" s="14">
        <v>0</v>
      </c>
      <c r="I86" s="14">
        <v>5.511953368893005E-6</v>
      </c>
      <c r="J86" s="14">
        <v>1.4602178799091433E-5</v>
      </c>
      <c r="K86" s="14">
        <v>0</v>
      </c>
    </row>
    <row r="87" spans="1:11">
      <c r="A87" s="2" t="s">
        <v>409</v>
      </c>
      <c r="B87" s="3" t="s">
        <v>410</v>
      </c>
      <c r="D87" s="14">
        <v>7.7035728805015956E-10</v>
      </c>
      <c r="E87" s="14">
        <v>2.9828530617382871E-8</v>
      </c>
      <c r="F87" s="14">
        <v>2.2416428022636423E-6</v>
      </c>
      <c r="G87" s="14">
        <v>1.9955470227036499E-5</v>
      </c>
      <c r="H87" s="14">
        <v>0</v>
      </c>
      <c r="I87" s="14">
        <v>6.9286604295915218E-6</v>
      </c>
      <c r="J87" s="14">
        <v>1.0843627653202906E-5</v>
      </c>
      <c r="K87" s="14">
        <v>0</v>
      </c>
    </row>
    <row r="88" spans="1:11">
      <c r="A88" s="2" t="s">
        <v>301</v>
      </c>
      <c r="B88" s="3" t="s">
        <v>302</v>
      </c>
      <c r="D88" s="14">
        <v>1.0417912644768762E-10</v>
      </c>
      <c r="E88" s="14">
        <v>9.1672774590900269E-9</v>
      </c>
      <c r="F88" s="14">
        <v>1.1382952573833078E-6</v>
      </c>
      <c r="G88" s="14">
        <v>2.3504471028350324E-5</v>
      </c>
      <c r="H88" s="14">
        <v>0</v>
      </c>
      <c r="I88" s="14">
        <v>8.2511533340888472E-6</v>
      </c>
      <c r="J88" s="14">
        <v>7.0968089235919844E-6</v>
      </c>
      <c r="K88" s="14">
        <v>0</v>
      </c>
    </row>
    <row r="89" spans="1:11">
      <c r="A89" s="2" t="s">
        <v>303</v>
      </c>
      <c r="B89" s="3" t="s">
        <v>304</v>
      </c>
      <c r="D89" s="14">
        <v>3.3910909468617568E-18</v>
      </c>
      <c r="E89" s="14">
        <v>2.6154915872053531E-8</v>
      </c>
      <c r="F89" s="14">
        <v>2.9787663972735529E-7</v>
      </c>
      <c r="G89" s="14">
        <v>7.7471599373368709E-7</v>
      </c>
      <c r="H89" s="14">
        <v>0</v>
      </c>
      <c r="I89" s="14">
        <v>3.8574472688413165E-5</v>
      </c>
      <c r="J89" s="14">
        <v>3.267797622503506E-7</v>
      </c>
      <c r="K89" s="14">
        <v>0</v>
      </c>
    </row>
    <row r="90" spans="1:11">
      <c r="A90" s="2" t="s">
        <v>425</v>
      </c>
      <c r="B90" s="3" t="s">
        <v>426</v>
      </c>
      <c r="D90" s="14">
        <v>6.3862037941004131E-18</v>
      </c>
      <c r="E90" s="14">
        <v>3.8939867741301923E-5</v>
      </c>
      <c r="F90" s="14">
        <v>3.6526580973065228E-9</v>
      </c>
      <c r="G90" s="14">
        <v>1.2264061211359938E-9</v>
      </c>
      <c r="H90" s="14">
        <v>0</v>
      </c>
      <c r="I90" s="14">
        <v>5.3993025193462819E-8</v>
      </c>
      <c r="J90" s="14">
        <v>1.0012601692797907E-6</v>
      </c>
      <c r="K90" s="14">
        <v>0</v>
      </c>
    </row>
    <row r="91" spans="1:11">
      <c r="A91" s="2" t="s">
        <v>427</v>
      </c>
      <c r="B91" s="3" t="s">
        <v>428</v>
      </c>
      <c r="D91" s="14">
        <v>3.5076380984101828E-9</v>
      </c>
      <c r="E91" s="14">
        <v>3.0599507957523967E-5</v>
      </c>
      <c r="F91" s="14">
        <v>2.3403940936800228E-7</v>
      </c>
      <c r="G91" s="14">
        <v>6.5824042255269884E-8</v>
      </c>
      <c r="H91" s="14">
        <v>0</v>
      </c>
      <c r="I91" s="14">
        <v>6.2765382017460435E-8</v>
      </c>
      <c r="J91" s="14">
        <v>9.0343555707368897E-6</v>
      </c>
      <c r="K91" s="14">
        <v>0</v>
      </c>
    </row>
    <row r="92" spans="1:11">
      <c r="A92" s="2" t="s">
        <v>429</v>
      </c>
      <c r="B92" s="3" t="s">
        <v>430</v>
      </c>
      <c r="D92" s="14">
        <v>4.2400772108393367E-8</v>
      </c>
      <c r="E92" s="14">
        <v>1.0683496930570041E-5</v>
      </c>
      <c r="F92" s="14">
        <v>4.0406197284104411E-6</v>
      </c>
      <c r="G92" s="14">
        <v>8.5259648005601984E-7</v>
      </c>
      <c r="H92" s="14">
        <v>0</v>
      </c>
      <c r="I92" s="14">
        <v>2.8981185335198192E-7</v>
      </c>
      <c r="J92" s="14">
        <v>2.4091074235503121E-5</v>
      </c>
      <c r="K92" s="14">
        <v>0</v>
      </c>
    </row>
    <row r="93" spans="1:11">
      <c r="A93" s="2" t="s">
        <v>431</v>
      </c>
      <c r="B93" s="3" t="s">
        <v>432</v>
      </c>
      <c r="D93" s="14">
        <v>4.8169244754369665E-22</v>
      </c>
      <c r="E93" s="14">
        <v>3.9921345447216581E-5</v>
      </c>
      <c r="F93" s="14">
        <v>1.7430494977474314E-8</v>
      </c>
      <c r="G93" s="14">
        <v>1.3964701002183123E-11</v>
      </c>
      <c r="H93" s="14">
        <v>0</v>
      </c>
      <c r="I93" s="14">
        <v>5.5095827902922147E-8</v>
      </c>
      <c r="J93" s="14">
        <v>6.1142652020316122E-9</v>
      </c>
      <c r="K93" s="14">
        <v>0</v>
      </c>
    </row>
    <row r="94" spans="1:11">
      <c r="A94" s="2" t="s">
        <v>433</v>
      </c>
      <c r="B94" s="3" t="s">
        <v>434</v>
      </c>
      <c r="D94" s="14">
        <v>1.0141146650387082E-22</v>
      </c>
      <c r="E94" s="14">
        <v>3.9944475928961879E-5</v>
      </c>
      <c r="F94" s="14">
        <v>6.7571145011738185E-11</v>
      </c>
      <c r="G94" s="14">
        <v>9.4288107733928546E-14</v>
      </c>
      <c r="H94" s="14">
        <v>0</v>
      </c>
      <c r="I94" s="14">
        <v>5.5302317345183647E-8</v>
      </c>
      <c r="J94" s="14">
        <v>1.5408825981949429E-10</v>
      </c>
      <c r="K94" s="14">
        <v>0</v>
      </c>
    </row>
    <row r="95" spans="1:11">
      <c r="A95" s="2" t="s">
        <v>435</v>
      </c>
      <c r="B95" s="3" t="s">
        <v>436</v>
      </c>
      <c r="D95" s="14">
        <v>5.4496301344213222E-13</v>
      </c>
      <c r="E95" s="14">
        <v>3.7609286487695761E-5</v>
      </c>
      <c r="F95" s="14">
        <v>1.4949010083387621E-8</v>
      </c>
      <c r="G95" s="14">
        <v>5.1849393550429565E-9</v>
      </c>
      <c r="H95" s="14">
        <v>0</v>
      </c>
      <c r="I95" s="14">
        <v>5.3950961972651184E-8</v>
      </c>
      <c r="J95" s="14">
        <v>2.3166280559301605E-6</v>
      </c>
      <c r="K95" s="14">
        <v>0</v>
      </c>
    </row>
    <row r="96" spans="1:11">
      <c r="A96" s="2" t="s">
        <v>437</v>
      </c>
      <c r="B96" s="163" t="s">
        <v>438</v>
      </c>
      <c r="D96" s="14">
        <v>1.0163556316654244E-11</v>
      </c>
      <c r="E96" s="14">
        <v>1.0944233805412E-7</v>
      </c>
      <c r="F96" s="14">
        <v>4.48662645550909E-6</v>
      </c>
      <c r="G96" s="14">
        <v>1.4468232136611761E-5</v>
      </c>
      <c r="H96" s="14">
        <v>0</v>
      </c>
      <c r="I96" s="14">
        <v>4.9574798621508925E-6</v>
      </c>
      <c r="J96" s="14">
        <v>1.5978209044117823E-5</v>
      </c>
      <c r="K96" s="14">
        <v>0</v>
      </c>
    </row>
    <row r="97" spans="1:11">
      <c r="A97" s="2" t="s">
        <v>439</v>
      </c>
      <c r="B97" s="3" t="s">
        <v>440</v>
      </c>
      <c r="D97" s="14">
        <v>1.7998867352997739E-9</v>
      </c>
      <c r="E97" s="14">
        <v>2.7165946485731138E-5</v>
      </c>
      <c r="F97" s="14">
        <v>4.6250815132664872E-7</v>
      </c>
      <c r="G97" s="14">
        <v>1.2263514434642825E-7</v>
      </c>
      <c r="H97" s="14">
        <v>0</v>
      </c>
      <c r="I97" s="14">
        <v>7.6073486925465364E-8</v>
      </c>
      <c r="J97" s="14">
        <v>1.2171036844935029E-5</v>
      </c>
      <c r="K97" s="14">
        <v>0</v>
      </c>
    </row>
    <row r="98" spans="1:11">
      <c r="A98" s="2" t="s">
        <v>441</v>
      </c>
      <c r="B98" s="3" t="s">
        <v>442</v>
      </c>
      <c r="D98" s="14">
        <v>1.1667161168917737E-21</v>
      </c>
      <c r="E98" s="14">
        <v>3.0012685802962162E-5</v>
      </c>
      <c r="F98" s="14">
        <v>2.6671006921456871E-7</v>
      </c>
      <c r="G98" s="14">
        <v>7.418822278473329E-8</v>
      </c>
      <c r="H98" s="14">
        <v>0</v>
      </c>
      <c r="I98" s="14">
        <v>6.4604953200685587E-8</v>
      </c>
      <c r="J98" s="14">
        <v>9.5818109518378527E-6</v>
      </c>
      <c r="K98" s="14">
        <v>0</v>
      </c>
    </row>
    <row r="99" spans="1:11">
      <c r="A99" s="2" t="s">
        <v>443</v>
      </c>
      <c r="B99" s="3" t="s">
        <v>444</v>
      </c>
      <c r="D99" s="14">
        <v>1.7032919913454361E-33</v>
      </c>
      <c r="E99" s="14">
        <v>3.5122770742725285E-5</v>
      </c>
      <c r="F99" s="14">
        <v>5.991882927691856E-8</v>
      </c>
      <c r="G99" s="14">
        <v>1.8821701204565817E-8</v>
      </c>
      <c r="H99" s="14">
        <v>0</v>
      </c>
      <c r="I99" s="14">
        <v>5.4195697078150334E-8</v>
      </c>
      <c r="J99" s="14">
        <v>4.7442930297150809E-6</v>
      </c>
      <c r="K99" s="14">
        <v>0</v>
      </c>
    </row>
    <row r="100" spans="1:11">
      <c r="A100" s="2" t="s">
        <v>445</v>
      </c>
      <c r="B100" s="3" t="s">
        <v>446</v>
      </c>
      <c r="D100" s="14">
        <v>9.1922460127526421E-12</v>
      </c>
      <c r="E100" s="14">
        <v>6.1975680403788311E-7</v>
      </c>
      <c r="F100" s="14">
        <v>9.7184242469619144E-6</v>
      </c>
      <c r="G100" s="14">
        <v>6.2631297544067143E-6</v>
      </c>
      <c r="H100" s="14">
        <v>0</v>
      </c>
      <c r="I100" s="14">
        <v>2.1023857079975773E-6</v>
      </c>
      <c r="J100" s="14">
        <v>2.1296294294349904E-5</v>
      </c>
      <c r="K100" s="14">
        <v>0</v>
      </c>
    </row>
    <row r="101" spans="1:11">
      <c r="A101" s="2" t="s">
        <v>447</v>
      </c>
      <c r="B101" s="3" t="s">
        <v>448</v>
      </c>
      <c r="D101" s="14">
        <v>3.2596683324284037E-13</v>
      </c>
      <c r="E101" s="14">
        <v>1.3051279122333014E-5</v>
      </c>
      <c r="F101" s="14">
        <v>3.0693585805376151E-6</v>
      </c>
      <c r="G101" s="14">
        <v>6.7072297600467055E-7</v>
      </c>
      <c r="H101" s="14">
        <v>0</v>
      </c>
      <c r="I101" s="14">
        <v>2.3362343676301198E-7</v>
      </c>
      <c r="J101" s="14">
        <v>2.297501555839486E-5</v>
      </c>
      <c r="K101" s="14">
        <v>0</v>
      </c>
    </row>
    <row r="102" spans="1:11">
      <c r="A102" s="2" t="s">
        <v>449</v>
      </c>
      <c r="B102" s="3" t="s">
        <v>450</v>
      </c>
      <c r="D102" s="14">
        <v>2.5375959138345546E-8</v>
      </c>
      <c r="E102" s="14">
        <v>5.037582026890731E-6</v>
      </c>
      <c r="F102" s="14">
        <v>8.3309913051161406E-6</v>
      </c>
      <c r="G102" s="14">
        <v>1.576856732071147E-6</v>
      </c>
      <c r="H102" s="14">
        <v>0</v>
      </c>
      <c r="I102" s="14">
        <v>5.2136352712995035E-7</v>
      </c>
      <c r="J102" s="14">
        <v>2.4507830449653693E-5</v>
      </c>
      <c r="K102" s="14">
        <v>0</v>
      </c>
    </row>
    <row r="103" spans="1:11">
      <c r="A103" s="2" t="s">
        <v>451</v>
      </c>
      <c r="B103" s="3" t="s">
        <v>452</v>
      </c>
      <c r="D103" s="14">
        <v>1.934794852635039E-23</v>
      </c>
      <c r="E103" s="14">
        <v>3.9475885174346294E-5</v>
      </c>
      <c r="F103" s="14">
        <v>4.6187709691541731E-7</v>
      </c>
      <c r="G103" s="14">
        <v>4.4823073807889439E-11</v>
      </c>
      <c r="H103" s="14">
        <v>0</v>
      </c>
      <c r="I103" s="14">
        <v>5.7014283018557576E-8</v>
      </c>
      <c r="J103" s="14">
        <v>5.1786226459333792E-9</v>
      </c>
      <c r="K103" s="14">
        <v>0</v>
      </c>
    </row>
    <row r="104" spans="1:11">
      <c r="A104" s="2" t="s">
        <v>453</v>
      </c>
      <c r="B104" s="3" t="s">
        <v>454</v>
      </c>
      <c r="D104" s="14">
        <v>4.059013582894239E-24</v>
      </c>
      <c r="E104" s="14">
        <v>4.007796799792395E-6</v>
      </c>
      <c r="F104" s="14">
        <v>3.5491164118518102E-5</v>
      </c>
      <c r="G104" s="14">
        <v>3.7582519794363534E-8</v>
      </c>
      <c r="H104" s="14">
        <v>0</v>
      </c>
      <c r="I104" s="14">
        <v>2.1405536955636063E-7</v>
      </c>
      <c r="J104" s="14">
        <v>2.4940119233878229E-7</v>
      </c>
      <c r="K104" s="14">
        <v>0</v>
      </c>
    </row>
    <row r="105" spans="1:11">
      <c r="A105" s="2" t="s">
        <v>455</v>
      </c>
      <c r="B105" s="163">
        <v>354656</v>
      </c>
      <c r="D105" s="14">
        <v>1.469226781693851E-14</v>
      </c>
      <c r="E105" s="14">
        <v>3.8740792513116396E-5</v>
      </c>
      <c r="F105" s="14">
        <v>3.9170854995308128E-9</v>
      </c>
      <c r="G105" s="14">
        <v>1.5151603838102172E-9</v>
      </c>
      <c r="H105" s="14">
        <v>0</v>
      </c>
      <c r="I105" s="14">
        <v>5.3802881829918475E-8</v>
      </c>
      <c r="J105" s="14">
        <v>1.1999723444780726E-6</v>
      </c>
      <c r="K105" s="14">
        <v>0</v>
      </c>
    </row>
    <row r="106" spans="1:11">
      <c r="A106" s="2" t="s">
        <v>457</v>
      </c>
      <c r="B106" s="3" t="s">
        <v>458</v>
      </c>
      <c r="D106" s="14">
        <v>2.185503497510956E-14</v>
      </c>
      <c r="E106" s="14">
        <v>3.7498635043169498E-5</v>
      </c>
      <c r="F106" s="14">
        <v>1.620881426507498E-8</v>
      </c>
      <c r="G106" s="14">
        <v>5.5966318993506795E-9</v>
      </c>
      <c r="H106" s="14">
        <v>0</v>
      </c>
      <c r="I106" s="14">
        <v>5.3846721394139412E-8</v>
      </c>
      <c r="J106" s="14">
        <v>2.4257127674169115E-6</v>
      </c>
      <c r="K106" s="14">
        <v>0</v>
      </c>
    </row>
    <row r="107" spans="1:11">
      <c r="A107" s="2" t="s">
        <v>459</v>
      </c>
      <c r="B107" s="3" t="s">
        <v>460</v>
      </c>
      <c r="D107" s="14">
        <v>7.334758891916121E-24</v>
      </c>
      <c r="E107" s="14">
        <v>3.3499439522630466E-6</v>
      </c>
      <c r="F107" s="14">
        <v>1.136813403590281E-5</v>
      </c>
      <c r="G107" s="14">
        <v>1.9896531705349478E-6</v>
      </c>
      <c r="H107" s="14">
        <v>0</v>
      </c>
      <c r="I107" s="14">
        <v>1.3798657283489688E-6</v>
      </c>
      <c r="J107" s="14">
        <v>2.1912403112950226E-5</v>
      </c>
      <c r="K107" s="14">
        <v>0</v>
      </c>
    </row>
    <row r="108" spans="1:11">
      <c r="A108" s="2" t="s">
        <v>461</v>
      </c>
      <c r="B108" s="3" t="s">
        <v>462</v>
      </c>
      <c r="D108" s="14">
        <v>4.3815224364839925E-14</v>
      </c>
      <c r="E108" s="14">
        <v>3.9942597940246502E-5</v>
      </c>
      <c r="F108" s="14">
        <v>3.5000289003930563E-11</v>
      </c>
      <c r="G108" s="14">
        <v>1.0144559929500974E-12</v>
      </c>
      <c r="H108" s="14">
        <v>0</v>
      </c>
      <c r="I108" s="14">
        <v>5.5153182443559076E-8</v>
      </c>
      <c r="J108" s="14">
        <v>2.2128187497198238E-9</v>
      </c>
      <c r="K108" s="14">
        <v>0</v>
      </c>
    </row>
    <row r="109" spans="1:11">
      <c r="A109" s="2" t="s">
        <v>463</v>
      </c>
      <c r="B109" s="3" t="s">
        <v>464</v>
      </c>
      <c r="D109" s="14">
        <v>1.1681773196432527E-16</v>
      </c>
      <c r="E109" s="14">
        <v>3.8408085531773018E-5</v>
      </c>
      <c r="F109" s="14">
        <v>2.3983125424455085E-7</v>
      </c>
      <c r="G109" s="14">
        <v>1.1920977123689085E-8</v>
      </c>
      <c r="H109" s="14">
        <v>0</v>
      </c>
      <c r="I109" s="14">
        <v>5.8258924169427932E-7</v>
      </c>
      <c r="J109" s="14">
        <v>7.5757299504765051E-7</v>
      </c>
      <c r="K109" s="14">
        <v>0</v>
      </c>
    </row>
    <row r="110" spans="1:11">
      <c r="A110" s="2" t="s">
        <v>465</v>
      </c>
      <c r="B110" s="3" t="s">
        <v>466</v>
      </c>
      <c r="D110" s="14">
        <v>8.3206133693192934E-16</v>
      </c>
      <c r="E110" s="14">
        <v>3.9695099769429499E-5</v>
      </c>
      <c r="F110" s="14">
        <v>8.9522344668610085E-10</v>
      </c>
      <c r="G110" s="14">
        <v>1.7127657660086047E-10</v>
      </c>
      <c r="H110" s="14">
        <v>0</v>
      </c>
      <c r="I110" s="14">
        <v>5.4712577184543739E-8</v>
      </c>
      <c r="J110" s="14">
        <v>2.4912115253062283E-7</v>
      </c>
      <c r="K110" s="14">
        <v>0</v>
      </c>
    </row>
    <row r="111" spans="1:11">
      <c r="A111" s="2" t="s">
        <v>467</v>
      </c>
      <c r="B111" s="3" t="s">
        <v>468</v>
      </c>
      <c r="D111" s="14">
        <v>1.4786766769782256E-34</v>
      </c>
      <c r="E111" s="14">
        <v>3.9944711409810194E-5</v>
      </c>
      <c r="F111" s="14">
        <v>6.3605378043940023E-11</v>
      </c>
      <c r="G111" s="14">
        <v>5.2549161041373937E-14</v>
      </c>
      <c r="H111" s="14">
        <v>0</v>
      </c>
      <c r="I111" s="14">
        <v>5.5001225858283887E-8</v>
      </c>
      <c r="J111" s="14">
        <v>2.2370640432370683E-10</v>
      </c>
      <c r="K111" s="14">
        <v>0</v>
      </c>
    </row>
    <row r="112" spans="1:11">
      <c r="A112" s="2" t="s">
        <v>469</v>
      </c>
      <c r="B112" s="3" t="s">
        <v>470</v>
      </c>
      <c r="D112" s="14">
        <v>9.3478018820446574E-18</v>
      </c>
      <c r="E112" s="14">
        <v>3.9622252735688851E-5</v>
      </c>
      <c r="F112" s="14">
        <v>3.0873347003883807E-10</v>
      </c>
      <c r="G112" s="14">
        <v>1.4423785976944718E-10</v>
      </c>
      <c r="H112" s="14">
        <v>0</v>
      </c>
      <c r="I112" s="14">
        <v>5.459954271420967E-8</v>
      </c>
      <c r="J112" s="14">
        <v>3.2269475025777734E-7</v>
      </c>
      <c r="K112" s="14">
        <v>0</v>
      </c>
    </row>
    <row r="113" spans="1:11">
      <c r="A113" s="2" t="s">
        <v>471</v>
      </c>
      <c r="B113" s="3" t="s">
        <v>472</v>
      </c>
      <c r="D113" s="14">
        <v>1.153574108939527E-13</v>
      </c>
      <c r="E113" s="14">
        <v>3.8119321739244031E-5</v>
      </c>
      <c r="F113" s="14">
        <v>8.796698659174065E-9</v>
      </c>
      <c r="G113" s="14">
        <v>3.2019553410722357E-9</v>
      </c>
      <c r="H113" s="14">
        <v>0</v>
      </c>
      <c r="I113" s="14">
        <v>5.3465205184546812E-8</v>
      </c>
      <c r="J113" s="14">
        <v>1.8152142862137716E-6</v>
      </c>
      <c r="K113" s="14">
        <v>0</v>
      </c>
    </row>
    <row r="114" spans="1:11">
      <c r="A114" s="2" t="s">
        <v>473</v>
      </c>
      <c r="B114" s="3" t="s">
        <v>474</v>
      </c>
      <c r="D114" s="14">
        <v>9.17512003871595E-21</v>
      </c>
      <c r="E114" s="14">
        <v>3.9777780569219553E-5</v>
      </c>
      <c r="F114" s="14">
        <v>8.9890769478326105E-11</v>
      </c>
      <c r="G114" s="14">
        <v>4.5288058383402017E-11</v>
      </c>
      <c r="H114" s="14">
        <v>0</v>
      </c>
      <c r="I114" s="14">
        <v>5.4784101199433926E-8</v>
      </c>
      <c r="J114" s="14">
        <v>1.6730015075314783E-7</v>
      </c>
      <c r="K114" s="14">
        <v>0</v>
      </c>
    </row>
    <row r="115" spans="1:11">
      <c r="A115" s="2" t="s">
        <v>475</v>
      </c>
      <c r="B115" s="3" t="s">
        <v>476</v>
      </c>
      <c r="D115" s="14">
        <v>4.8648800845322336E-17</v>
      </c>
      <c r="E115" s="14">
        <v>3.9829632574235812E-5</v>
      </c>
      <c r="F115" s="14">
        <v>1.1204199945937569E-7</v>
      </c>
      <c r="G115" s="14">
        <v>1.3420376618490963E-11</v>
      </c>
      <c r="H115" s="14">
        <v>0</v>
      </c>
      <c r="I115" s="14">
        <v>5.5549664594818779E-8</v>
      </c>
      <c r="J115" s="14">
        <v>2.7623412847286939E-9</v>
      </c>
      <c r="K115" s="14">
        <v>0</v>
      </c>
    </row>
    <row r="116" spans="1:11">
      <c r="A116" s="2" t="s">
        <v>477</v>
      </c>
      <c r="B116" s="3" t="s">
        <v>478</v>
      </c>
      <c r="D116" s="14">
        <v>3.5283319508770993E-21</v>
      </c>
      <c r="E116" s="14">
        <v>1.4105166931128381E-5</v>
      </c>
      <c r="F116" s="14">
        <v>8.616595117688807E-6</v>
      </c>
      <c r="G116" s="14">
        <v>2.086984420157929E-7</v>
      </c>
      <c r="H116" s="14">
        <v>0</v>
      </c>
      <c r="I116" s="14">
        <v>1.5054739994752507E-5</v>
      </c>
      <c r="J116" s="14">
        <v>2.0147995144145141E-6</v>
      </c>
      <c r="K116" s="14">
        <v>0</v>
      </c>
    </row>
    <row r="117" spans="1:11">
      <c r="A117" s="2" t="s">
        <v>291</v>
      </c>
      <c r="B117" s="3" t="s">
        <v>479</v>
      </c>
      <c r="D117" s="14">
        <v>1.450940932101519E-14</v>
      </c>
      <c r="E117" s="14">
        <v>2.336842255835154E-5</v>
      </c>
      <c r="F117" s="14">
        <v>8.4241084172830743E-7</v>
      </c>
      <c r="G117" s="14">
        <v>2.1135839526204524E-7</v>
      </c>
      <c r="H117" s="14">
        <v>0</v>
      </c>
      <c r="I117" s="14">
        <v>9.9191932103777918E-8</v>
      </c>
      <c r="J117" s="14">
        <v>1.5478616258044926E-5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17"/>
  <sheetViews>
    <sheetView tabSelected="1" topLeftCell="A85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5.4006070277463453E-8</v>
      </c>
      <c r="B2">
        <f>'Mass Balance'!E2</f>
        <v>3.9011541734164848E-5</v>
      </c>
      <c r="C2">
        <f>SUM('Mass Balance'!E2:H2)</f>
        <v>3.9014893906561744E-5</v>
      </c>
      <c r="D2">
        <f>Concentrations!F2/Concentrations!E2</f>
        <v>1.0003040382004165</v>
      </c>
    </row>
    <row r="3" spans="1:4">
      <c r="A3">
        <f>'Mass Balance'!I3</f>
        <v>1.8309714037941323E-7</v>
      </c>
      <c r="B3">
        <f>'Mass Balance'!E3</f>
        <v>2.3530373310523756E-5</v>
      </c>
      <c r="C3">
        <f>SUM('Mass Balance'!E3:H3)</f>
        <v>2.4688213203290517E-5</v>
      </c>
      <c r="D3">
        <f>Concentrations!F3/Concentrations!E3</f>
        <v>0.95347321310179411</v>
      </c>
    </row>
    <row r="4" spans="1:4">
      <c r="A4">
        <f>'Mass Balance'!I4</f>
        <v>6.1092775552090272E-8</v>
      </c>
      <c r="B4">
        <f>'Mass Balance'!E4</f>
        <v>3.9936403634244591E-5</v>
      </c>
      <c r="C4">
        <f>SUM('Mass Balance'!E4:H4)</f>
        <v>3.9938084997368176E-5</v>
      </c>
      <c r="D4">
        <f>Concentrations!F4/Concentrations!E4</f>
        <v>1.0003478763736682</v>
      </c>
    </row>
    <row r="5" spans="1:4">
      <c r="A5">
        <f>'Mass Balance'!I5</f>
        <v>6.6193434906819724E-8</v>
      </c>
      <c r="B5">
        <f>'Mass Balance'!E5</f>
        <v>3.6886088913240071E-5</v>
      </c>
      <c r="C5">
        <f>SUM('Mass Balance'!E5:H5)</f>
        <v>3.9921179291852109E-5</v>
      </c>
      <c r="D5">
        <f>Concentrations!F5/Concentrations!E5</f>
        <v>0.92433326992500109</v>
      </c>
    </row>
    <row r="6" spans="1:4">
      <c r="A6">
        <f>'Mass Balance'!I6</f>
        <v>7.862946116544724E-8</v>
      </c>
      <c r="B6">
        <f>'Mass Balance'!E6</f>
        <v>3.2999265825263216E-5</v>
      </c>
      <c r="C6">
        <f>SUM('Mass Balance'!E6:H6)</f>
        <v>3.9849804991677074E-5</v>
      </c>
      <c r="D6">
        <f>Concentrations!F6/Concentrations!E6</f>
        <v>0.82841397299118713</v>
      </c>
    </row>
    <row r="7" spans="1:4">
      <c r="A7">
        <f>'Mass Balance'!I7</f>
        <v>1.172357492242732E-7</v>
      </c>
      <c r="B7">
        <f>'Mass Balance'!E7</f>
        <v>2.1473878784183981E-5</v>
      </c>
      <c r="C7">
        <f>SUM('Mass Balance'!E7:H7)</f>
        <v>3.9141911889736908E-5</v>
      </c>
      <c r="D7">
        <f>Concentrations!F7/Concentrations!E7</f>
        <v>0.54882994694728249</v>
      </c>
    </row>
    <row r="8" spans="1:4">
      <c r="A8">
        <f>'Mass Balance'!I8</f>
        <v>8.7662555769805178E-8</v>
      </c>
      <c r="B8">
        <f>'Mass Balance'!E8</f>
        <v>2.9889727539920908E-5</v>
      </c>
      <c r="C8">
        <f>SUM('Mass Balance'!E8:H8)</f>
        <v>3.986724604394538E-5</v>
      </c>
      <c r="D8">
        <f>Concentrations!F8/Concentrations!E8</f>
        <v>0.75002382313076277</v>
      </c>
    </row>
    <row r="9" spans="1:4">
      <c r="A9">
        <f>'Mass Balance'!I9</f>
        <v>6.4012854197297947E-8</v>
      </c>
      <c r="B9">
        <f>'Mass Balance'!E9</f>
        <v>3.7537269447849595E-5</v>
      </c>
      <c r="C9">
        <f>SUM('Mass Balance'!E9:H9)</f>
        <v>3.9883884256460681E-5</v>
      </c>
      <c r="D9">
        <f>Concentrations!F9/Concentrations!E9</f>
        <v>0.94153088105625027</v>
      </c>
    </row>
    <row r="10" spans="1:4">
      <c r="A10">
        <f>'Mass Balance'!I10</f>
        <v>8.1150354906516515E-7</v>
      </c>
      <c r="B10">
        <f>'Mass Balance'!E10</f>
        <v>1.9510695293774795E-6</v>
      </c>
      <c r="C10">
        <f>SUM('Mass Balance'!E10:H10)</f>
        <v>1.8438758616058042E-5</v>
      </c>
      <c r="D10">
        <f>Concentrations!F10/Concentrations!E10</f>
        <v>0.10585476341410867</v>
      </c>
    </row>
    <row r="11" spans="1:4">
      <c r="A11">
        <f>'Mass Balance'!I11</f>
        <v>8.1823922117625207E-6</v>
      </c>
      <c r="B11">
        <f>'Mass Balance'!E11</f>
        <v>1.699377896402663E-7</v>
      </c>
      <c r="C11">
        <f>SUM('Mass Balance'!E11:H11)</f>
        <v>2.6909077014029576E-5</v>
      </c>
      <c r="D11">
        <f>Concentrations!F11/Concentrations!E11</f>
        <v>6.3177218577935863E-3</v>
      </c>
    </row>
    <row r="12" spans="1:4">
      <c r="A12">
        <f>'Mass Balance'!I12</f>
        <v>5.0692174351052531E-8</v>
      </c>
      <c r="B12">
        <f>'Mass Balance'!E12</f>
        <v>3.6797055303148935E-5</v>
      </c>
      <c r="C12">
        <f>SUM('Mass Balance'!E12:H12)</f>
        <v>3.6797209462730621E-5</v>
      </c>
      <c r="D12">
        <f>Concentrations!F12/Concentrations!E12</f>
        <v>1.000385800963896</v>
      </c>
    </row>
    <row r="13" spans="1:4">
      <c r="A13">
        <f>'Mass Balance'!I13</f>
        <v>8.8400426465371714E-8</v>
      </c>
      <c r="B13">
        <f>'Mass Balance'!E13</f>
        <v>2.4944263396966792E-5</v>
      </c>
      <c r="C13">
        <f>SUM('Mass Balance'!E13:H13)</f>
        <v>2.5781232445999737E-5</v>
      </c>
      <c r="D13">
        <f>Concentrations!F13/Concentrations!E13</f>
        <v>0.96791305509794801</v>
      </c>
    </row>
    <row r="14" spans="1:4">
      <c r="A14">
        <f>'Mass Balance'!I14</f>
        <v>3.2027826633306692E-7</v>
      </c>
      <c r="B14">
        <f>'Mass Balance'!E14</f>
        <v>3.2276865908529214E-6</v>
      </c>
      <c r="C14">
        <f>SUM('Mass Balance'!E14:H14)</f>
        <v>3.9394125917199867E-5</v>
      </c>
      <c r="D14">
        <f>Concentrations!F14/Concentrations!E14</f>
        <v>8.1965148045166039E-2</v>
      </c>
    </row>
    <row r="15" spans="1:4">
      <c r="A15">
        <f>'Mass Balance'!I15</f>
        <v>5.0465511418309454E-8</v>
      </c>
      <c r="B15">
        <f>'Mass Balance'!E15</f>
        <v>3.1184752432939771E-5</v>
      </c>
      <c r="C15">
        <f>SUM('Mass Balance'!E15:H15)</f>
        <v>3.1288334926459365E-5</v>
      </c>
      <c r="D15">
        <f>Concentrations!F15/Concentrations!E15</f>
        <v>0.99707812228781312</v>
      </c>
    </row>
    <row r="16" spans="1:4">
      <c r="A16">
        <f>'Mass Balance'!I16</f>
        <v>9.5262854571797781E-8</v>
      </c>
      <c r="B16">
        <f>'Mass Balance'!E16</f>
        <v>2.3881501886679704E-5</v>
      </c>
      <c r="C16">
        <f>SUM('Mass Balance'!E16:H16)</f>
        <v>2.4857348329707125E-5</v>
      </c>
      <c r="D16">
        <f>Concentrations!F16/Concentrations!E16</f>
        <v>0.96111681605375676</v>
      </c>
    </row>
    <row r="17" spans="1:4">
      <c r="A17">
        <f>'Mass Balance'!I17</f>
        <v>9.0669889417871659E-8</v>
      </c>
      <c r="B17">
        <f>'Mass Balance'!E17</f>
        <v>2.4497719207606789E-5</v>
      </c>
      <c r="C17">
        <f>SUM('Mass Balance'!E17:H17)</f>
        <v>2.53827441355497E-5</v>
      </c>
      <c r="D17">
        <f>Concentrations!F17/Concentrations!E17</f>
        <v>0.96550920546992713</v>
      </c>
    </row>
    <row r="18" spans="1:4">
      <c r="A18">
        <f>'Mass Balance'!I18</f>
        <v>4.60736294532992E-6</v>
      </c>
      <c r="B18">
        <f>'Mass Balance'!E18</f>
        <v>1.3460990879517031E-7</v>
      </c>
      <c r="C18">
        <f>SUM('Mass Balance'!E18:H18)</f>
        <v>1.8585258207472092E-5</v>
      </c>
      <c r="D18">
        <f>Concentrations!F18/Concentrations!E18</f>
        <v>7.245656965541877E-3</v>
      </c>
    </row>
    <row r="19" spans="1:4">
      <c r="A19">
        <f>'Mass Balance'!I19</f>
        <v>5.2683015299088072E-8</v>
      </c>
      <c r="B19">
        <f>'Mass Balance'!E19</f>
        <v>3.6368392836125847E-5</v>
      </c>
      <c r="C19">
        <f>SUM('Mass Balance'!E19:H19)</f>
        <v>3.6402077604541515E-5</v>
      </c>
      <c r="D19">
        <f>Concentrations!F19/Concentrations!E19</f>
        <v>0.999464278244938</v>
      </c>
    </row>
    <row r="20" spans="1:4">
      <c r="A20">
        <f>'Mass Balance'!I20</f>
        <v>5.2560177073335493E-8</v>
      </c>
      <c r="B20">
        <f>'Mass Balance'!E20</f>
        <v>3.4914206322448477E-5</v>
      </c>
      <c r="C20">
        <f>SUM('Mass Balance'!E20:H20)</f>
        <v>3.4973947189178293E-5</v>
      </c>
      <c r="D20">
        <f>Concentrations!F20/Concentrations!E20</f>
        <v>0.99868117247035759</v>
      </c>
    </row>
    <row r="21" spans="1:4">
      <c r="A21">
        <f>'Mass Balance'!I21</f>
        <v>2.238456662320441E-7</v>
      </c>
      <c r="B21">
        <f>'Mass Balance'!E21</f>
        <v>1.6336070176501028E-5</v>
      </c>
      <c r="C21">
        <f>SUM('Mass Balance'!E21:H21)</f>
        <v>2.8962615604155469E-5</v>
      </c>
      <c r="D21">
        <f>Concentrations!F21/Concentrations!E21</f>
        <v>0.56425984921748717</v>
      </c>
    </row>
    <row r="22" spans="1:4">
      <c r="A22">
        <f>'Mass Balance'!I22</f>
        <v>5.0247761212015643E-8</v>
      </c>
      <c r="B22">
        <f>'Mass Balance'!E22</f>
        <v>3.6150669326663841E-5</v>
      </c>
      <c r="C22">
        <f>SUM('Mass Balance'!E22:H22)</f>
        <v>3.6156260166961736E-5</v>
      </c>
      <c r="D22">
        <f>Concentrations!F22/Concentrations!E22</f>
        <v>1.0002353017912218</v>
      </c>
    </row>
    <row r="23" spans="1:4">
      <c r="A23">
        <f>'Mass Balance'!I23</f>
        <v>5.4108459222245538E-8</v>
      </c>
      <c r="B23">
        <f>'Mass Balance'!E23</f>
        <v>3.0066715908836455E-5</v>
      </c>
      <c r="C23">
        <f>SUM('Mass Balance'!E23:H23)</f>
        <v>3.0246875813797168E-5</v>
      </c>
      <c r="D23">
        <f>Concentrations!F23/Concentrations!E23</f>
        <v>0.99443135462023402</v>
      </c>
    </row>
    <row r="24" spans="1:4">
      <c r="A24">
        <f>'Mass Balance'!I24</f>
        <v>1.2380624789877762E-7</v>
      </c>
      <c r="B24">
        <f>'Mass Balance'!E24</f>
        <v>2.0431236941766749E-5</v>
      </c>
      <c r="C24">
        <f>SUM('Mass Balance'!E24:H24)</f>
        <v>2.1977035298166906E-5</v>
      </c>
      <c r="D24">
        <f>Concentrations!F24/Concentrations!E24</f>
        <v>0.93002557825139109</v>
      </c>
    </row>
    <row r="25" spans="1:4">
      <c r="A25">
        <f>'Mass Balance'!I25</f>
        <v>4.0867319782698011E-6</v>
      </c>
      <c r="B25">
        <f>'Mass Balance'!E25</f>
        <v>1.8178055363429879E-7</v>
      </c>
      <c r="C25">
        <f>SUM('Mass Balance'!E25:H25)</f>
        <v>1.7923692522969581E-5</v>
      </c>
      <c r="D25">
        <f>Concentrations!F25/Concentrations!E25</f>
        <v>1.0145869572868194E-2</v>
      </c>
    </row>
    <row r="26" spans="1:4">
      <c r="A26">
        <f>'Mass Balance'!I26</f>
        <v>1.9551121172654884E-7</v>
      </c>
      <c r="B26">
        <f>'Mass Balance'!E26</f>
        <v>9.3840205780925834E-6</v>
      </c>
      <c r="C26">
        <f>SUM('Mass Balance'!E26:H26)</f>
        <v>1.2580250228362079E-5</v>
      </c>
      <c r="D26">
        <f>Concentrations!F26/Concentrations!E26</f>
        <v>0.7462236522295177</v>
      </c>
    </row>
    <row r="27" spans="1:4">
      <c r="A27">
        <f>'Mass Balance'!I27</f>
        <v>8.7770707955184875E-8</v>
      </c>
      <c r="B27">
        <f>'Mass Balance'!E27</f>
        <v>8.8804963860005039E-7</v>
      </c>
      <c r="C27">
        <f>SUM('Mass Balance'!E27:H27)</f>
        <v>2.5504265040955756E-6</v>
      </c>
      <c r="D27">
        <f>Concentrations!F27/Concentrations!E27</f>
        <v>0.34833231597096376</v>
      </c>
    </row>
    <row r="28" spans="1:4">
      <c r="A28">
        <f>'Mass Balance'!I28</f>
        <v>3.6971856463105711E-8</v>
      </c>
      <c r="B28">
        <f>'Mass Balance'!E28</f>
        <v>1.3330199926539313E-6</v>
      </c>
      <c r="C28">
        <f>SUM('Mass Balance'!E28:H28)</f>
        <v>1.9588240184708947E-6</v>
      </c>
      <c r="D28">
        <f>Concentrations!F28/Concentrations!E28</f>
        <v>0.68078594465769393</v>
      </c>
    </row>
    <row r="29" spans="1:4">
      <c r="A29">
        <f>'Mass Balance'!I29</f>
        <v>3.6587382344611789E-9</v>
      </c>
      <c r="B29">
        <f>'Mass Balance'!E29</f>
        <v>2.3770354471470142E-6</v>
      </c>
      <c r="C29">
        <f>SUM('Mass Balance'!E29:H29)</f>
        <v>2.3822351267900039E-6</v>
      </c>
      <c r="D29">
        <f>Concentrations!F29/Concentrations!E29</f>
        <v>0.99820645128398888</v>
      </c>
    </row>
    <row r="30" spans="1:4">
      <c r="A30">
        <f>'Mass Balance'!I30</f>
        <v>1.3096880717922441E-8</v>
      </c>
      <c r="B30">
        <f>'Mass Balance'!E30</f>
        <v>5.0465483485184724E-7</v>
      </c>
      <c r="C30">
        <f>SUM('Mass Balance'!E30:H30)</f>
        <v>7.246608847989974E-7</v>
      </c>
      <c r="D30">
        <f>Concentrations!F30/Concentrations!E30</f>
        <v>0.69667296359957631</v>
      </c>
    </row>
    <row r="31" spans="1:4">
      <c r="A31">
        <f>'Mass Balance'!I31</f>
        <v>2.2933403922408073E-10</v>
      </c>
      <c r="B31">
        <f>'Mass Balance'!E31</f>
        <v>1.7988077458846301E-8</v>
      </c>
      <c r="C31">
        <f>SUM('Mass Balance'!E31:H31)</f>
        <v>2.1461648234556652E-8</v>
      </c>
      <c r="D31">
        <f>Concentrations!F31/Concentrations!E31</f>
        <v>0.83847673156790337</v>
      </c>
    </row>
    <row r="32" spans="1:4">
      <c r="A32">
        <f>'Mass Balance'!I32</f>
        <v>8.1525787881383528E-8</v>
      </c>
      <c r="B32">
        <f>'Mass Balance'!E32</f>
        <v>2.6019986946663219E-5</v>
      </c>
      <c r="C32">
        <f>SUM('Mass Balance'!E32:H32)</f>
        <v>2.6719483108956122E-5</v>
      </c>
      <c r="D32">
        <f>Concentrations!F32/Concentrations!E32</f>
        <v>0.97420052731428086</v>
      </c>
    </row>
    <row r="33" spans="1:4">
      <c r="A33">
        <f>'Mass Balance'!I33</f>
        <v>6.3348246270152342E-8</v>
      </c>
      <c r="B33">
        <f>'Mass Balance'!E33</f>
        <v>3.040584448014787E-5</v>
      </c>
      <c r="C33">
        <f>SUM('Mass Balance'!E33:H33)</f>
        <v>3.0718838071762114E-5</v>
      </c>
      <c r="D33">
        <f>Concentrations!F33/Concentrations!E33</f>
        <v>0.99019703955724425</v>
      </c>
    </row>
    <row r="34" spans="1:4">
      <c r="A34">
        <f>'Mass Balance'!I34</f>
        <v>2.3632352411309972E-7</v>
      </c>
      <c r="B34">
        <f>'Mass Balance'!E34</f>
        <v>1.292035466157456E-5</v>
      </c>
      <c r="C34">
        <f>SUM('Mass Balance'!E34:H34)</f>
        <v>1.6715418373079079E-5</v>
      </c>
      <c r="D34">
        <f>Concentrations!F34/Concentrations!E34</f>
        <v>0.77326174005864801</v>
      </c>
    </row>
    <row r="35" spans="1:4">
      <c r="A35">
        <f>'Mass Balance'!I35</f>
        <v>6.1931262307739445E-7</v>
      </c>
      <c r="B35">
        <f>'Mass Balance'!E35</f>
        <v>3.1319846993595696E-6</v>
      </c>
      <c r="C35">
        <f>SUM('Mass Balance'!E35:H35)</f>
        <v>1.5439438938429809E-5</v>
      </c>
      <c r="D35">
        <f>Concentrations!F35/Concentrations!E35</f>
        <v>0.20293523365319427</v>
      </c>
    </row>
    <row r="36" spans="1:4">
      <c r="A36">
        <f>'Mass Balance'!I36</f>
        <v>1.6769189379600328E-6</v>
      </c>
      <c r="B36">
        <f>'Mass Balance'!E36</f>
        <v>8.4557744190180465E-7</v>
      </c>
      <c r="C36">
        <f>SUM('Mass Balance'!E36:H36)</f>
        <v>1.6726870894098033E-5</v>
      </c>
      <c r="D36">
        <f>Concentrations!F36/Concentrations!E36</f>
        <v>5.0571754617127311E-2</v>
      </c>
    </row>
    <row r="37" spans="1:4">
      <c r="A37">
        <f>'Mass Balance'!I37</f>
        <v>4.4069337129063926E-6</v>
      </c>
      <c r="B37">
        <f>'Mass Balance'!E37</f>
        <v>1.447001598905078E-7</v>
      </c>
      <c r="C37">
        <f>SUM('Mass Balance'!E37:H37)</f>
        <v>1.8167516445587464E-5</v>
      </c>
      <c r="D37">
        <f>Concentrations!F37/Concentrations!E37</f>
        <v>7.9678800475457261E-3</v>
      </c>
    </row>
    <row r="38" spans="1:4">
      <c r="A38">
        <f>'Mass Balance'!I38</f>
        <v>2.5012078150019557E-6</v>
      </c>
      <c r="B38">
        <f>'Mass Balance'!E38</f>
        <v>4.7318319334612212E-7</v>
      </c>
      <c r="C38">
        <f>SUM('Mass Balance'!E38:H38)</f>
        <v>1.6645610231167352E-5</v>
      </c>
      <c r="D38">
        <f>Concentrations!F38/Concentrations!E38</f>
        <v>2.8437992026032605E-2</v>
      </c>
    </row>
    <row r="39" spans="1:4">
      <c r="A39">
        <f>'Mass Balance'!I39</f>
        <v>1.6774366094229112E-6</v>
      </c>
      <c r="B39">
        <f>'Mass Balance'!E39</f>
        <v>6.3923665952599132E-7</v>
      </c>
      <c r="C39">
        <f>SUM('Mass Balance'!E39:H39)</f>
        <v>1.4759481331712215E-5</v>
      </c>
      <c r="D39">
        <f>Concentrations!F39/Concentrations!E39</f>
        <v>4.3327129345484799E-2</v>
      </c>
    </row>
    <row r="40" spans="1:4">
      <c r="A40">
        <f>'Mass Balance'!I40</f>
        <v>2.5012078150019557E-6</v>
      </c>
      <c r="B40">
        <f>'Mass Balance'!E40</f>
        <v>4.7318319334612212E-7</v>
      </c>
      <c r="C40">
        <f>SUM('Mass Balance'!E40:H40)</f>
        <v>1.6645610231167352E-5</v>
      </c>
      <c r="D40">
        <f>Concentrations!F40/Concentrations!E40</f>
        <v>2.8437992026032605E-2</v>
      </c>
    </row>
    <row r="41" spans="1:4">
      <c r="A41">
        <f>'Mass Balance'!I41</f>
        <v>5.5889882489324099E-8</v>
      </c>
      <c r="B41">
        <f>'Mass Balance'!E41</f>
        <v>3.9747541907374942E-5</v>
      </c>
      <c r="C41">
        <f>SUM('Mass Balance'!E41:H41)</f>
        <v>3.9936623025865258E-5</v>
      </c>
      <c r="D41">
        <f>Concentrations!F41/Concentrations!E41</f>
        <v>0.99565361613967029</v>
      </c>
    </row>
    <row r="42" spans="1:4">
      <c r="A42">
        <f>'Mass Balance'!I42</f>
        <v>4.5242443257351657E-6</v>
      </c>
      <c r="B42">
        <f>'Mass Balance'!E42</f>
        <v>1.3218149368318718E-7</v>
      </c>
      <c r="C42">
        <f>SUM('Mass Balance'!E42:H42)</f>
        <v>1.8249972920563454E-5</v>
      </c>
      <c r="D42">
        <f>Concentrations!F42/Concentrations!E42</f>
        <v>7.2456569655418761E-3</v>
      </c>
    </row>
    <row r="43" spans="1:4">
      <c r="A43">
        <f>'Mass Balance'!I43</f>
        <v>1.3287236136590578E-7</v>
      </c>
      <c r="B43">
        <f>'Mass Balance'!E43</f>
        <v>1.9644397309482979E-5</v>
      </c>
      <c r="C43">
        <f>SUM('Mass Balance'!E43:H43)</f>
        <v>2.1367565662540412E-5</v>
      </c>
      <c r="D43">
        <f>Concentrations!F43/Concentrations!E43</f>
        <v>0.91971442972599593</v>
      </c>
    </row>
    <row r="44" spans="1:4">
      <c r="A44">
        <f>'Mass Balance'!I44</f>
        <v>1.201224730710938E-6</v>
      </c>
      <c r="B44">
        <f>'Mass Balance'!E44</f>
        <v>1.2777918246061652E-6</v>
      </c>
      <c r="C44">
        <f>SUM('Mass Balance'!E44:H44)</f>
        <v>1.7335785272635914E-5</v>
      </c>
      <c r="D44">
        <f>Concentrations!F44/Concentrations!E44</f>
        <v>7.3737078138436107E-2</v>
      </c>
    </row>
    <row r="45" spans="1:4">
      <c r="A45">
        <f>'Mass Balance'!I45</f>
        <v>5.8016183794530774E-6</v>
      </c>
      <c r="B45">
        <f>'Mass Balance'!E45</f>
        <v>6.5066718601258693E-8</v>
      </c>
      <c r="C45">
        <f>SUM('Mass Balance'!E45:H45)</f>
        <v>2.0333291020123645E-5</v>
      </c>
      <c r="D45">
        <f>Concentrations!F45/Concentrations!E45</f>
        <v>3.2012571914110176E-3</v>
      </c>
    </row>
    <row r="46" spans="1:4">
      <c r="A46">
        <f>'Mass Balance'!I46</f>
        <v>4.7816792607314511E-6</v>
      </c>
      <c r="B46">
        <f>'Mass Balance'!E46</f>
        <v>1.2143815387525373E-7</v>
      </c>
      <c r="C46">
        <f>SUM('Mass Balance'!E46:H46)</f>
        <v>1.8818758053924084E-5</v>
      </c>
      <c r="D46">
        <f>Concentrations!F46/Concentrations!E46</f>
        <v>6.4555542634555886E-3</v>
      </c>
    </row>
    <row r="47" spans="1:4">
      <c r="A47">
        <f>'Mass Balance'!I47</f>
        <v>3.5361221477486406E-6</v>
      </c>
      <c r="B47">
        <f>'Mass Balance'!E47</f>
        <v>2.5091184401469542E-7</v>
      </c>
      <c r="C47">
        <f>SUM('Mass Balance'!E47:H47)</f>
        <v>1.7340113222880642E-5</v>
      </c>
      <c r="D47">
        <f>Concentrations!F47/Concentrations!E47</f>
        <v>1.4475666589305134E-2</v>
      </c>
    </row>
    <row r="48" spans="1:4">
      <c r="A48">
        <f>'Mass Balance'!I48</f>
        <v>4.3480550389398378E-7</v>
      </c>
      <c r="B48">
        <f>'Mass Balance'!E48</f>
        <v>6.6492601309904712E-6</v>
      </c>
      <c r="C48">
        <f>SUM('Mass Balance'!E48:H48)</f>
        <v>1.4627677274710141E-5</v>
      </c>
      <c r="D48">
        <f>Concentrations!F48/Concentrations!E48</f>
        <v>0.4547443291613536</v>
      </c>
    </row>
    <row r="49" spans="1:4">
      <c r="A49">
        <f>'Mass Balance'!I49</f>
        <v>1.2821118700444689E-6</v>
      </c>
      <c r="B49">
        <f>'Mass Balance'!E49</f>
        <v>1.1857576344196474E-6</v>
      </c>
      <c r="C49">
        <f>SUM('Mass Balance'!E49:H49)</f>
        <v>1.720273781861125E-5</v>
      </c>
      <c r="D49">
        <f>Concentrations!F49/Concentrations!E49</f>
        <v>6.895530717026728E-2</v>
      </c>
    </row>
    <row r="50" spans="1:4">
      <c r="A50">
        <f>'Mass Balance'!I50</f>
        <v>1.4247237815081394E-6</v>
      </c>
      <c r="B50">
        <f>'Mass Balance'!E50</f>
        <v>1.0435195538028686E-6</v>
      </c>
      <c r="C50">
        <f>SUM('Mass Balance'!E50:H50)</f>
        <v>1.6990913336711703E-5</v>
      </c>
      <c r="D50">
        <f>Concentrations!F50/Concentrations!E50</f>
        <v>6.1440282663387712E-2</v>
      </c>
    </row>
    <row r="51" spans="1:4">
      <c r="A51">
        <f>'Mass Balance'!I51</f>
        <v>5.2611004352162559E-7</v>
      </c>
      <c r="B51">
        <f>'Mass Balance'!E51</f>
        <v>4.9676420594656088E-6</v>
      </c>
      <c r="C51">
        <f>SUM('Mass Balance'!E51:H51)</f>
        <v>1.498239588506081E-5</v>
      </c>
      <c r="D51">
        <f>Concentrations!F51/Concentrations!E51</f>
        <v>0.33169457264537167</v>
      </c>
    </row>
    <row r="52" spans="1:4">
      <c r="A52">
        <f>'Mass Balance'!I52</f>
        <v>4.4308426147877671E-7</v>
      </c>
      <c r="B52">
        <f>'Mass Balance'!E52</f>
        <v>6.4729147396548417E-6</v>
      </c>
      <c r="C52">
        <f>SUM('Mass Balance'!E52:H52)</f>
        <v>1.4633119844474011E-5</v>
      </c>
      <c r="D52">
        <f>Concentrations!F52/Concentrations!E52</f>
        <v>0.44251938025974874</v>
      </c>
    </row>
    <row r="53" spans="1:4">
      <c r="A53">
        <f>'Mass Balance'!I53</f>
        <v>1.9471535001829643E-6</v>
      </c>
      <c r="B53">
        <f>'Mass Balance'!E53</f>
        <v>6.9184088228797516E-7</v>
      </c>
      <c r="C53">
        <f>SUM('Mass Balance'!E53:H53)</f>
        <v>1.6623576047701893E-5</v>
      </c>
      <c r="D53">
        <f>Concentrations!F53/Concentrations!E53</f>
        <v>4.1634284508650317E-2</v>
      </c>
    </row>
    <row r="54" spans="1:4">
      <c r="A54">
        <f>'Mass Balance'!I54</f>
        <v>1.3521919913843463E-6</v>
      </c>
      <c r="B54">
        <f>'Mass Balance'!E54</f>
        <v>1.1129142945544018E-6</v>
      </c>
      <c r="C54">
        <f>SUM('Mass Balance'!E54:H54)</f>
        <v>1.7094954354791479E-5</v>
      </c>
      <c r="D54">
        <f>Concentrations!F54/Concentrations!E54</f>
        <v>6.512730593821664E-2</v>
      </c>
    </row>
    <row r="55" spans="1:4">
      <c r="A55">
        <f>'Mass Balance'!I55</f>
        <v>3.4783952055856554E-6</v>
      </c>
      <c r="B55">
        <f>'Mass Balance'!E55</f>
        <v>2.5861551215643862E-7</v>
      </c>
      <c r="C55">
        <f>SUM('Mass Balance'!E55:H55)</f>
        <v>1.7268371388900375E-5</v>
      </c>
      <c r="D55">
        <f>Concentrations!F55/Concentrations!E55</f>
        <v>1.4982094392090273E-2</v>
      </c>
    </row>
    <row r="56" spans="1:4">
      <c r="A56">
        <f>'Mass Balance'!I56</f>
        <v>1.227997574904407E-6</v>
      </c>
      <c r="B56">
        <f>'Mass Balance'!E56</f>
        <v>1.2467500337376981E-6</v>
      </c>
      <c r="C56">
        <f>SUM('Mass Balance'!E56:H56)</f>
        <v>1.7293853647356591E-5</v>
      </c>
      <c r="D56">
        <f>Concentrations!F56/Concentrations!E56</f>
        <v>7.2120204192343509E-2</v>
      </c>
    </row>
    <row r="57" spans="1:4">
      <c r="A57">
        <f>'Mass Balance'!I57</f>
        <v>3.9519966993624681E-7</v>
      </c>
      <c r="B57">
        <f>'Mass Balance'!E57</f>
        <v>7.4204641728042819E-6</v>
      </c>
      <c r="C57">
        <f>SUM('Mass Balance'!E57:H57)</f>
        <v>1.4549397426026077E-5</v>
      </c>
      <c r="D57">
        <f>Concentrations!F57/Concentrations!E57</f>
        <v>0.51021756278682495</v>
      </c>
    </row>
    <row r="58" spans="1:4">
      <c r="A58">
        <f>'Mass Balance'!I58</f>
        <v>1.3665611201446158E-6</v>
      </c>
      <c r="B58">
        <f>'Mass Balance'!E58</f>
        <v>1.0988091111854351E-6</v>
      </c>
      <c r="C58">
        <f>SUM('Mass Balance'!E58:H58)</f>
        <v>1.7074562621103707E-5</v>
      </c>
      <c r="D58">
        <f>Concentrations!F58/Concentrations!E58</f>
        <v>6.4378670328433418E-2</v>
      </c>
    </row>
    <row r="59" spans="1:4">
      <c r="A59">
        <f>'Mass Balance'!I59</f>
        <v>4.4325234949753709E-7</v>
      </c>
      <c r="B59">
        <f>'Mass Balance'!E59</f>
        <v>6.4753702983572932E-6</v>
      </c>
      <c r="C59">
        <f>SUM('Mass Balance'!E59:H59)</f>
        <v>1.4638671050727043E-5</v>
      </c>
      <c r="D59">
        <f>Concentrations!F59/Concentrations!E59</f>
        <v>0.44251938025974868</v>
      </c>
    </row>
    <row r="60" spans="1:4">
      <c r="A60">
        <f>'Mass Balance'!I60</f>
        <v>1.7797501167951079E-6</v>
      </c>
      <c r="B60">
        <f>'Mass Balance'!E60</f>
        <v>7.8017154357367081E-7</v>
      </c>
      <c r="C60">
        <f>SUM('Mass Balance'!E60:H60)</f>
        <v>1.6657603736288247E-5</v>
      </c>
      <c r="D60">
        <f>Concentrations!F60/Concentrations!E60</f>
        <v>4.685402634239362E-2</v>
      </c>
    </row>
    <row r="61" spans="1:4">
      <c r="A61">
        <f>'Mass Balance'!I61</f>
        <v>2.1945084542219759E-6</v>
      </c>
      <c r="B61">
        <f>'Mass Balance'!E61</f>
        <v>1.998958351637144E-5</v>
      </c>
      <c r="C61">
        <f>SUM('Mass Balance'!E61:H61)</f>
        <v>2.3733004605114424E-5</v>
      </c>
      <c r="D61">
        <f>Concentrations!F61/Concentrations!E61</f>
        <v>0.84259787698378008</v>
      </c>
    </row>
    <row r="62" spans="1:4">
      <c r="A62">
        <f>'Mass Balance'!I62</f>
        <v>2.2558926962547662E-7</v>
      </c>
      <c r="B62">
        <f>'Mass Balance'!E62</f>
        <v>1.344189279243953E-5</v>
      </c>
      <c r="C62">
        <f>SUM('Mass Balance'!E62:H62)</f>
        <v>1.7019064607439699E-5</v>
      </c>
      <c r="D62">
        <f>Concentrations!F62/Concentrations!E62</f>
        <v>0.79012186237772697</v>
      </c>
    </row>
    <row r="63" spans="1:4">
      <c r="A63">
        <f>'Mass Balance'!I63</f>
        <v>2.6355365939040795E-7</v>
      </c>
      <c r="B63">
        <f>'Mass Balance'!E63</f>
        <v>3.7948495534717328E-5</v>
      </c>
      <c r="C63">
        <f>SUM('Mass Balance'!E63:H63)</f>
        <v>3.8096559778904676E-5</v>
      </c>
      <c r="D63">
        <f>Concentrations!F63/Concentrations!E63</f>
        <v>0.99650192474120591</v>
      </c>
    </row>
    <row r="64" spans="1:4">
      <c r="A64">
        <f>'Mass Balance'!I64</f>
        <v>5.5191506078491986E-8</v>
      </c>
      <c r="B64">
        <f>'Mass Balance'!E64</f>
        <v>3.9720461475933109E-5</v>
      </c>
      <c r="C64">
        <f>SUM('Mass Balance'!E64:H64)</f>
        <v>3.9770025639632433E-5</v>
      </c>
      <c r="D64">
        <f>Concentrations!F64/Concentrations!E64</f>
        <v>0.99914323665702398</v>
      </c>
    </row>
    <row r="65" spans="1:4">
      <c r="A65">
        <f>'Mass Balance'!I65</f>
        <v>7.3731693195956532E-8</v>
      </c>
      <c r="B65">
        <f>'Mass Balance'!E65</f>
        <v>3.9842420152165401E-5</v>
      </c>
      <c r="C65">
        <f>SUM('Mass Balance'!E65:H65)</f>
        <v>3.9849056748308158E-5</v>
      </c>
      <c r="D65">
        <f>Concentrations!F65/Concentrations!E65</f>
        <v>1.0002233837153991</v>
      </c>
    </row>
    <row r="66" spans="1:4">
      <c r="A66">
        <f>'Mass Balance'!I66</f>
        <v>2.1007920118915807E-6</v>
      </c>
      <c r="B66">
        <f>'Mass Balance'!E66</f>
        <v>3.6130526173446347E-5</v>
      </c>
      <c r="C66">
        <f>SUM('Mass Balance'!E66:H66)</f>
        <v>3.7091750001308963E-5</v>
      </c>
      <c r="D66">
        <f>Concentrations!F66/Concentrations!E66</f>
        <v>0.97446512471319258</v>
      </c>
    </row>
    <row r="67" spans="1:4">
      <c r="A67">
        <f>'Mass Balance'!I67</f>
        <v>7.0509222917809668E-8</v>
      </c>
      <c r="B67">
        <f>'Mass Balance'!E67</f>
        <v>3.9837032987300552E-5</v>
      </c>
      <c r="C67">
        <f>SUM('Mass Balance'!E67:H67)</f>
        <v>3.9842682956875551E-5</v>
      </c>
      <c r="D67">
        <f>Concentrations!F67/Concentrations!E67</f>
        <v>1.0002481297752626</v>
      </c>
    </row>
    <row r="68" spans="1:4">
      <c r="A68">
        <f>'Mass Balance'!I68</f>
        <v>5.7016723606107139E-8</v>
      </c>
      <c r="B68">
        <f>'Mass Balance'!E68</f>
        <v>3.9907220848191259E-5</v>
      </c>
      <c r="C68">
        <f>SUM('Mass Balance'!E68:H68)</f>
        <v>3.9907907174975869E-5</v>
      </c>
      <c r="D68">
        <f>Concentrations!F68/Concentrations!E68</f>
        <v>1.0003727875631205</v>
      </c>
    </row>
    <row r="69" spans="1:4">
      <c r="A69">
        <f>'Mass Balance'!I69</f>
        <v>1.0976318700348116E-6</v>
      </c>
      <c r="B69">
        <f>'Mass Balance'!E69</f>
        <v>1.4168724958408816E-6</v>
      </c>
      <c r="C69">
        <f>SUM('Mass Balance'!E69:H69)</f>
        <v>1.756526254726326E-5</v>
      </c>
      <c r="D69">
        <f>Concentrations!F69/Concentrations!E69</f>
        <v>8.0694783867548567E-2</v>
      </c>
    </row>
    <row r="70" spans="1:4">
      <c r="A70">
        <f>'Mass Balance'!I70</f>
        <v>5.5602342103044503E-8</v>
      </c>
      <c r="B70">
        <f>'Mass Balance'!E70</f>
        <v>3.9818267219168367E-5</v>
      </c>
      <c r="C70">
        <f>SUM('Mass Balance'!E70:H70)</f>
        <v>3.9942072217760172E-5</v>
      </c>
      <c r="D70">
        <f>Concentrations!F70/Concentrations!E70</f>
        <v>0.99728916940116075</v>
      </c>
    </row>
    <row r="71" spans="1:4">
      <c r="A71">
        <f>'Mass Balance'!I71</f>
        <v>5.60906956031215E-8</v>
      </c>
      <c r="B71">
        <f>'Mass Balance'!E71</f>
        <v>3.9704134345621397E-5</v>
      </c>
      <c r="C71">
        <f>SUM('Mass Balance'!E71:H71)</f>
        <v>3.9940644476706011E-5</v>
      </c>
      <c r="D71">
        <f>Concentrations!F71/Concentrations!E71</f>
        <v>0.99446614250097476</v>
      </c>
    </row>
    <row r="72" spans="1:4">
      <c r="A72">
        <f>'Mass Balance'!I72</f>
        <v>1.2545444192159099E-6</v>
      </c>
      <c r="B72">
        <f>'Mass Balance'!E72</f>
        <v>1.4621639591564061E-6</v>
      </c>
      <c r="C72">
        <f>SUM('Mass Balance'!E72:H72)</f>
        <v>3.8712486376573536E-5</v>
      </c>
      <c r="D72">
        <f>Concentrations!F72/Concentrations!E72</f>
        <v>3.7784558119696519E-2</v>
      </c>
    </row>
    <row r="73" spans="1:4">
      <c r="A73">
        <f>'Mass Balance'!I73</f>
        <v>1.324335347454678E-7</v>
      </c>
      <c r="B73">
        <f>'Mass Balance'!E73</f>
        <v>1.0887679247184487E-5</v>
      </c>
      <c r="C73">
        <f>SUM('Mass Balance'!E73:H73)</f>
        <v>3.9846106538900963E-5</v>
      </c>
      <c r="D73">
        <f>Concentrations!F73/Concentrations!E73</f>
        <v>0.27334980256430963</v>
      </c>
    </row>
    <row r="74" spans="1:4">
      <c r="A74">
        <f>'Mass Balance'!I74</f>
        <v>5.5995642062382533E-8</v>
      </c>
      <c r="B74">
        <f>'Mass Balance'!E74</f>
        <v>3.9726793091785969E-5</v>
      </c>
      <c r="C74">
        <f>SUM('Mass Balance'!E74:H74)</f>
        <v>3.9940913320400192E-5</v>
      </c>
      <c r="D74">
        <f>Concentrations!F74/Concentrations!E74</f>
        <v>0.995026976620213</v>
      </c>
    </row>
    <row r="75" spans="1:4">
      <c r="A75">
        <f>'Mass Balance'!I75</f>
        <v>1.2985290954143969E-7</v>
      </c>
      <c r="B75">
        <f>'Mass Balance'!E75</f>
        <v>1.2326732312392679E-5</v>
      </c>
      <c r="C75">
        <f>SUM('Mass Balance'!E75:H75)</f>
        <v>3.984796895940471E-5</v>
      </c>
      <c r="D75">
        <f>Concentrations!F75/Concentrations!E75</f>
        <v>0.30946469699293006</v>
      </c>
    </row>
    <row r="76" spans="1:4">
      <c r="A76">
        <f>'Mass Balance'!I76</f>
        <v>7.0532029210685415E-8</v>
      </c>
      <c r="B76">
        <f>'Mass Balance'!E76</f>
        <v>3.5550987033635045E-5</v>
      </c>
      <c r="C76">
        <f>SUM('Mass Balance'!E76:H76)</f>
        <v>3.9915319179319185E-5</v>
      </c>
      <c r="D76">
        <f>Concentrations!F76/Concentrations!E76</f>
        <v>0.89100757219607418</v>
      </c>
    </row>
    <row r="77" spans="1:4">
      <c r="A77">
        <f>'Mass Balance'!I77</f>
        <v>1.3173843537555173E-7</v>
      </c>
      <c r="B77">
        <f>'Mass Balance'!E77</f>
        <v>1.1287978454571472E-5</v>
      </c>
      <c r="C77">
        <f>SUM('Mass Balance'!E77:H77)</f>
        <v>3.9846517987113378E-5</v>
      </c>
      <c r="D77">
        <f>Concentrations!F77/Concentrations!E77</f>
        <v>0.28339692516937942</v>
      </c>
    </row>
    <row r="78" spans="1:4">
      <c r="A78">
        <f>'Mass Balance'!I78</f>
        <v>1.0529915849332485E-6</v>
      </c>
      <c r="B78">
        <f>'Mass Balance'!E78</f>
        <v>1.6241573608852604E-6</v>
      </c>
      <c r="C78">
        <f>SUM('Mass Balance'!E78:H78)</f>
        <v>3.8915688307428404E-5</v>
      </c>
      <c r="D78">
        <f>Concentrations!F78/Concentrations!E78</f>
        <v>4.1751561901800516E-2</v>
      </c>
    </row>
    <row r="79" spans="1:4">
      <c r="A79">
        <f>'Mass Balance'!I79</f>
        <v>1.0529910832324596E-6</v>
      </c>
      <c r="B79">
        <f>'Mass Balance'!E79</f>
        <v>1.6241576942667882E-6</v>
      </c>
      <c r="C79">
        <f>SUM('Mass Balance'!E79:H79)</f>
        <v>3.8915694018936554E-5</v>
      </c>
      <c r="D79">
        <f>Concentrations!F79/Concentrations!E79</f>
        <v>4.1751564344186823E-2</v>
      </c>
    </row>
    <row r="80" spans="1:4">
      <c r="A80">
        <f>'Mass Balance'!I80</f>
        <v>9.6559431109382976E-8</v>
      </c>
      <c r="B80">
        <f>'Mass Balance'!E80</f>
        <v>2.6623311595352638E-5</v>
      </c>
      <c r="C80">
        <f>SUM('Mass Balance'!E80:H80)</f>
        <v>3.9881525653191696E-5</v>
      </c>
      <c r="D80">
        <f>Concentrations!F80/Concentrations!E80</f>
        <v>0.66782035136800788</v>
      </c>
    </row>
    <row r="81" spans="1:4">
      <c r="A81">
        <f>'Mass Balance'!I81</f>
        <v>5.8862897837054124E-8</v>
      </c>
      <c r="B81">
        <f>'Mass Balance'!E81</f>
        <v>3.8992293391583112E-5</v>
      </c>
      <c r="C81">
        <f>SUM('Mass Balance'!E81:H81)</f>
        <v>3.9934505805860934E-5</v>
      </c>
      <c r="D81">
        <f>Concentrations!F81/Concentrations!E81</f>
        <v>0.9767868485726352</v>
      </c>
    </row>
    <row r="82" spans="1:4">
      <c r="A82">
        <f>'Mass Balance'!I82</f>
        <v>6.4060976659492943E-8</v>
      </c>
      <c r="B82">
        <f>'Mass Balance'!E82</f>
        <v>3.7521065616491192E-5</v>
      </c>
      <c r="C82">
        <f>SUM('Mass Balance'!E82:H82)</f>
        <v>3.9925332868313027E-5</v>
      </c>
      <c r="D82">
        <f>Concentrations!F82/Concentrations!E82</f>
        <v>0.94014741610326835</v>
      </c>
    </row>
    <row r="83" spans="1:4">
      <c r="A83">
        <f>'Mass Balance'!I83</f>
        <v>2.0164987232394844E-6</v>
      </c>
      <c r="B83">
        <f>'Mass Balance'!E83</f>
        <v>1.0869405819134747E-6</v>
      </c>
      <c r="C83">
        <f>SUM('Mass Balance'!E83:H83)</f>
        <v>3.7945822360593349E-5</v>
      </c>
      <c r="D83">
        <f>Concentrations!F83/Concentrations!E83</f>
        <v>2.8655709968526479E-2</v>
      </c>
    </row>
    <row r="84" spans="1:4">
      <c r="A84">
        <f>'Mass Balance'!I84</f>
        <v>1.6201185353702104E-7</v>
      </c>
      <c r="B84">
        <f>'Mass Balance'!E84</f>
        <v>1.7255794664055411E-5</v>
      </c>
      <c r="C84">
        <f>SUM('Mass Balance'!E84:H84)</f>
        <v>1.9557532857189243E-5</v>
      </c>
      <c r="D84">
        <f>Concentrations!F84/Concentrations!E84</f>
        <v>0.88265347232576219</v>
      </c>
    </row>
    <row r="85" spans="1:4">
      <c r="A85">
        <f>'Mass Balance'!I85</f>
        <v>3.0404440099955515E-5</v>
      </c>
      <c r="B85">
        <f>'Mass Balance'!E85</f>
        <v>3.2459463198363973E-6</v>
      </c>
      <c r="C85">
        <f>SUM('Mass Balance'!E85:H85)</f>
        <v>8.5955046297375021E-6</v>
      </c>
      <c r="D85">
        <f>Concentrations!F85/Concentrations!E85</f>
        <v>0.37778028782758005</v>
      </c>
    </row>
    <row r="86" spans="1:4">
      <c r="A86">
        <f>'Mass Balance'!I86</f>
        <v>5.511953368893005E-6</v>
      </c>
      <c r="B86">
        <f>'Mass Balance'!E86</f>
        <v>7.8079122823974897E-8</v>
      </c>
      <c r="C86">
        <f>SUM('Mass Balance'!E86:H86)</f>
        <v>1.9880224504429156E-5</v>
      </c>
      <c r="D86">
        <f>Concentrations!F86/Concentrations!E86</f>
        <v>3.9290086006088304E-3</v>
      </c>
    </row>
    <row r="87" spans="1:4">
      <c r="A87">
        <f>'Mass Balance'!I87</f>
        <v>6.9286604295915218E-6</v>
      </c>
      <c r="B87">
        <f>'Mass Balance'!E87</f>
        <v>2.9828530617382871E-8</v>
      </c>
      <c r="C87">
        <f>SUM('Mass Balance'!E87:H87)</f>
        <v>2.2226941559917524E-5</v>
      </c>
      <c r="D87">
        <f>Concentrations!F87/Concentrations!E87</f>
        <v>1.3425222460896708E-3</v>
      </c>
    </row>
    <row r="88" spans="1:4">
      <c r="A88">
        <f>'Mass Balance'!I88</f>
        <v>8.2511533340888472E-6</v>
      </c>
      <c r="B88">
        <f>'Mass Balance'!E88</f>
        <v>9.1672774590900269E-9</v>
      </c>
      <c r="C88">
        <f>SUM('Mass Balance'!E88:H88)</f>
        <v>2.4651933563192722E-5</v>
      </c>
      <c r="D88">
        <f>Concentrations!F88/Concentrations!E88</f>
        <v>3.7201352181030859E-4</v>
      </c>
    </row>
    <row r="89" spans="1:4">
      <c r="A89">
        <f>'Mass Balance'!I89</f>
        <v>3.8574472688413165E-5</v>
      </c>
      <c r="B89">
        <f>'Mass Balance'!E89</f>
        <v>2.6154915872053531E-8</v>
      </c>
      <c r="C89">
        <f>SUM('Mass Balance'!E89:H89)</f>
        <v>1.0987475493330959E-6</v>
      </c>
      <c r="D89">
        <f>Concentrations!F89/Concentrations!E89</f>
        <v>2.3813583108137883E-2</v>
      </c>
    </row>
    <row r="90" spans="1:4">
      <c r="A90">
        <f>'Mass Balance'!I90</f>
        <v>5.3993025193462819E-8</v>
      </c>
      <c r="B90">
        <f>'Mass Balance'!E90</f>
        <v>3.8939867741301923E-5</v>
      </c>
      <c r="C90">
        <f>SUM('Mass Balance'!E90:H90)</f>
        <v>3.8944746805520363E-5</v>
      </c>
      <c r="D90">
        <f>Concentrations!F90/Concentrations!E90</f>
        <v>1.0002646614722239</v>
      </c>
    </row>
    <row r="91" spans="1:4">
      <c r="A91">
        <f>'Mass Balance'!I91</f>
        <v>6.2765382017460435E-8</v>
      </c>
      <c r="B91">
        <f>'Mass Balance'!E91</f>
        <v>3.0599507957523967E-5</v>
      </c>
      <c r="C91">
        <f>SUM('Mass Balance'!E91:H91)</f>
        <v>3.0899371409147236E-5</v>
      </c>
      <c r="D91">
        <f>Concentrations!F91/Concentrations!E91</f>
        <v>0.99068169111119375</v>
      </c>
    </row>
    <row r="92" spans="1:4">
      <c r="A92">
        <f>'Mass Balance'!I92</f>
        <v>2.8981185335198192E-7</v>
      </c>
      <c r="B92">
        <f>'Mass Balance'!E92</f>
        <v>1.0683496930570041E-5</v>
      </c>
      <c r="C92">
        <f>SUM('Mass Balance'!E92:H92)</f>
        <v>1.5576713139036503E-5</v>
      </c>
      <c r="D92">
        <f>Concentrations!F92/Concentrations!E92</f>
        <v>0.68613084890735798</v>
      </c>
    </row>
    <row r="93" spans="1:4">
      <c r="A93">
        <f>'Mass Balance'!I93</f>
        <v>5.5095827902922147E-8</v>
      </c>
      <c r="B93">
        <f>'Mass Balance'!E93</f>
        <v>3.9921345447216581E-5</v>
      </c>
      <c r="C93">
        <f>SUM('Mass Balance'!E93:H93)</f>
        <v>3.9938789906895057E-5</v>
      </c>
      <c r="D93">
        <f>Concentrations!F93/Concentrations!E93</f>
        <v>0.99995304181843958</v>
      </c>
    </row>
    <row r="94" spans="1:4">
      <c r="A94">
        <f>'Mass Balance'!I94</f>
        <v>5.5302317345183647E-8</v>
      </c>
      <c r="B94">
        <f>'Mass Balance'!E94</f>
        <v>3.9944475928961879E-5</v>
      </c>
      <c r="C94">
        <f>SUM('Mass Balance'!E94:H94)</f>
        <v>3.9944543594394997E-5</v>
      </c>
      <c r="D94">
        <f>Concentrations!F94/Concentrations!E94</f>
        <v>1.0003882973894691</v>
      </c>
    </row>
    <row r="95" spans="1:4">
      <c r="A95">
        <f>'Mass Balance'!I95</f>
        <v>5.3950961972651184E-8</v>
      </c>
      <c r="B95">
        <f>'Mass Balance'!E95</f>
        <v>3.7609286487695761E-5</v>
      </c>
      <c r="C95">
        <f>SUM('Mass Balance'!E95:H95)</f>
        <v>3.7629420437134186E-5</v>
      </c>
      <c r="D95">
        <f>Concentrations!F95/Concentrations!E95</f>
        <v>0.99985472464838154</v>
      </c>
    </row>
    <row r="96" spans="1:4">
      <c r="A96">
        <f>'Mass Balance'!I96</f>
        <v>4.9574798621508925E-6</v>
      </c>
      <c r="B96">
        <f>'Mass Balance'!E96</f>
        <v>1.0944233805412E-7</v>
      </c>
      <c r="C96">
        <f>SUM('Mass Balance'!E96:H96)</f>
        <v>1.906430093017497E-5</v>
      </c>
      <c r="D96">
        <f>Concentrations!F96/Concentrations!E96</f>
        <v>5.7429338791492061E-3</v>
      </c>
    </row>
    <row r="97" spans="1:4">
      <c r="A97">
        <f>'Mass Balance'!I97</f>
        <v>7.6073486925465364E-8</v>
      </c>
      <c r="B97">
        <f>'Mass Balance'!E97</f>
        <v>2.7165946485731138E-5</v>
      </c>
      <c r="C97">
        <f>SUM('Mass Balance'!E97:H97)</f>
        <v>2.7751089781404214E-5</v>
      </c>
      <c r="D97">
        <f>Concentrations!F97/Concentrations!E97</f>
        <v>0.97929635205464505</v>
      </c>
    </row>
    <row r="98" spans="1:4">
      <c r="A98">
        <f>'Mass Balance'!I98</f>
        <v>6.4604953200685587E-8</v>
      </c>
      <c r="B98">
        <f>'Mass Balance'!E98</f>
        <v>3.0012685802962162E-5</v>
      </c>
      <c r="C98">
        <f>SUM('Mass Balance'!E98:H98)</f>
        <v>3.0353584094961463E-5</v>
      </c>
      <c r="D98">
        <f>Concentrations!F98/Concentrations!E98</f>
        <v>0.98915470467762656</v>
      </c>
    </row>
    <row r="99" spans="1:4">
      <c r="A99">
        <f>'Mass Balance'!I99</f>
        <v>5.4195697078150334E-8</v>
      </c>
      <c r="B99">
        <f>'Mass Balance'!E99</f>
        <v>3.5122770742725285E-5</v>
      </c>
      <c r="C99">
        <f>SUM('Mass Balance'!E99:H99)</f>
        <v>3.5201511273206772E-5</v>
      </c>
      <c r="D99">
        <f>Concentrations!F99/Concentrations!E99</f>
        <v>0.99815226882852759</v>
      </c>
    </row>
    <row r="100" spans="1:4">
      <c r="A100">
        <f>'Mass Balance'!I100</f>
        <v>2.1023857079975773E-6</v>
      </c>
      <c r="B100">
        <f>'Mass Balance'!E100</f>
        <v>6.1975680403788311E-7</v>
      </c>
      <c r="C100">
        <f>SUM('Mass Balance'!E100:H100)</f>
        <v>1.6601310805406513E-5</v>
      </c>
      <c r="D100">
        <f>Concentrations!F100/Concentrations!E100</f>
        <v>3.7346358460614348E-2</v>
      </c>
    </row>
    <row r="101" spans="1:4">
      <c r="A101">
        <f>'Mass Balance'!I101</f>
        <v>2.3362343676301198E-7</v>
      </c>
      <c r="B101">
        <f>'Mass Balance'!E101</f>
        <v>1.3051279122333014E-5</v>
      </c>
      <c r="C101">
        <f>SUM('Mass Balance'!E101:H101)</f>
        <v>1.6791360678875298E-5</v>
      </c>
      <c r="D101">
        <f>Concentrations!F101/Concentrations!E101</f>
        <v>0.7775646814410051</v>
      </c>
    </row>
    <row r="102" spans="1:4">
      <c r="A102">
        <f>'Mass Balance'!I102</f>
        <v>5.2136352712995035E-7</v>
      </c>
      <c r="B102">
        <f>'Mass Balance'!E102</f>
        <v>5.037582026890731E-6</v>
      </c>
      <c r="C102">
        <f>SUM('Mass Balance'!E102:H102)</f>
        <v>1.4945430064078018E-5</v>
      </c>
      <c r="D102">
        <f>Concentrations!F102/Concentrations!E102</f>
        <v>0.33719649566104481</v>
      </c>
    </row>
    <row r="103" spans="1:4">
      <c r="A103">
        <f>'Mass Balance'!I103</f>
        <v>5.7014283018557576E-8</v>
      </c>
      <c r="B103">
        <f>'Mass Balance'!E103</f>
        <v>3.9475885174346294E-5</v>
      </c>
      <c r="C103">
        <f>SUM('Mass Balance'!E103:H103)</f>
        <v>3.9937807094335518E-5</v>
      </c>
      <c r="D103">
        <f>Concentrations!F103/Concentrations!E103</f>
        <v>0.98881945024768436</v>
      </c>
    </row>
    <row r="104" spans="1:4">
      <c r="A104">
        <f>'Mass Balance'!I104</f>
        <v>2.1405536955636063E-7</v>
      </c>
      <c r="B104">
        <f>'Mass Balance'!E104</f>
        <v>4.007796799792395E-6</v>
      </c>
      <c r="C104">
        <f>SUM('Mass Balance'!E104:H104)</f>
        <v>3.9536543438104862E-5</v>
      </c>
      <c r="D104">
        <f>Concentrations!F104/Concentrations!E104</f>
        <v>0.10140896143075608</v>
      </c>
    </row>
    <row r="105" spans="1:4">
      <c r="A105">
        <f>'Mass Balance'!I105</f>
        <v>5.3802881829918475E-8</v>
      </c>
      <c r="B105">
        <f>'Mass Balance'!E105</f>
        <v>3.8740792513116396E-5</v>
      </c>
      <c r="C105">
        <f>SUM('Mass Balance'!E105:H105)</f>
        <v>3.8746224758999733E-5</v>
      </c>
      <c r="D105">
        <f>Concentrations!F105/Concentrations!E105</f>
        <v>1.0002497367076915</v>
      </c>
    </row>
    <row r="106" spans="1:4">
      <c r="A106">
        <f>'Mass Balance'!I106</f>
        <v>5.3846721394139412E-8</v>
      </c>
      <c r="B106">
        <f>'Mass Balance'!E106</f>
        <v>3.7498635043169498E-5</v>
      </c>
      <c r="C106">
        <f>SUM('Mass Balance'!E106:H106)</f>
        <v>3.7520440489333926E-5</v>
      </c>
      <c r="D106">
        <f>Concentrations!F106/Concentrations!E106</f>
        <v>0.99980860360114354</v>
      </c>
    </row>
    <row r="107" spans="1:4">
      <c r="A107">
        <f>'Mass Balance'!I107</f>
        <v>1.3798657283489688E-6</v>
      </c>
      <c r="B107">
        <f>'Mass Balance'!E107</f>
        <v>3.3499439522630466E-6</v>
      </c>
      <c r="C107">
        <f>SUM('Mass Balance'!E107:H107)</f>
        <v>1.6707731158700805E-5</v>
      </c>
      <c r="D107">
        <f>Concentrations!F107/Concentrations!E107</f>
        <v>0.20058081925595381</v>
      </c>
    </row>
    <row r="108" spans="1:4">
      <c r="A108">
        <f>'Mass Balance'!I108</f>
        <v>5.5153182443559076E-8</v>
      </c>
      <c r="B108">
        <f>'Mass Balance'!E108</f>
        <v>3.9942597940246502E-5</v>
      </c>
      <c r="C108">
        <f>SUM('Mass Balance'!E108:H108)</f>
        <v>3.9942633954991501E-5</v>
      </c>
      <c r="D108">
        <f>Concentrations!F108/Concentrations!E108</f>
        <v>1.0003890900211097</v>
      </c>
    </row>
    <row r="109" spans="1:4">
      <c r="A109">
        <f>'Mass Balance'!I109</f>
        <v>5.8258924169427932E-7</v>
      </c>
      <c r="B109">
        <f>'Mass Balance'!E109</f>
        <v>3.8408085531773018E-5</v>
      </c>
      <c r="C109">
        <f>SUM('Mass Balance'!E109:H109)</f>
        <v>3.8659837763141259E-5</v>
      </c>
      <c r="D109">
        <f>Concentrations!F109/Concentrations!E109</f>
        <v>0.99387546876421706</v>
      </c>
    </row>
    <row r="110" spans="1:4">
      <c r="A110">
        <f>'Mass Balance'!I110</f>
        <v>5.4712577184543739E-8</v>
      </c>
      <c r="B110">
        <f>'Mass Balance'!E110</f>
        <v>3.9695099769429499E-5</v>
      </c>
      <c r="C110">
        <f>SUM('Mass Balance'!E110:H110)</f>
        <v>3.9696166269452783E-5</v>
      </c>
      <c r="D110">
        <f>Concentrations!F110/Concentrations!E110</f>
        <v>1.0003631149818706</v>
      </c>
    </row>
    <row r="111" spans="1:4">
      <c r="A111">
        <f>'Mass Balance'!I111</f>
        <v>5.5001225858283887E-8</v>
      </c>
      <c r="B111">
        <f>'Mass Balance'!E111</f>
        <v>3.9944711409810194E-5</v>
      </c>
      <c r="C111">
        <f>SUM('Mass Balance'!E111:H111)</f>
        <v>3.9944775067737397E-5</v>
      </c>
      <c r="D111">
        <f>Concentrations!F111/Concentrations!E111</f>
        <v>1.0003883977645762</v>
      </c>
    </row>
    <row r="112" spans="1:4">
      <c r="A112">
        <f>'Mass Balance'!I112</f>
        <v>5.459954271420967E-8</v>
      </c>
      <c r="B112">
        <f>'Mass Balance'!E112</f>
        <v>3.9622252735688851E-5</v>
      </c>
      <c r="C112">
        <f>SUM('Mass Balance'!E112:H112)</f>
        <v>3.9622705707018655E-5</v>
      </c>
      <c r="D112">
        <f>Concentrations!F112/Concentrations!E112</f>
        <v>1.0003785554610218</v>
      </c>
    </row>
    <row r="113" spans="1:4">
      <c r="A113">
        <f>'Mass Balance'!I113</f>
        <v>5.3465205184546812E-8</v>
      </c>
      <c r="B113">
        <f>'Mass Balance'!E113</f>
        <v>3.8119321739244031E-5</v>
      </c>
      <c r="C113">
        <f>SUM('Mass Balance'!E113:H113)</f>
        <v>3.8131320393244282E-5</v>
      </c>
      <c r="D113">
        <f>Concentrations!F113/Concentrations!E113</f>
        <v>1.0000752026892545</v>
      </c>
    </row>
    <row r="114" spans="1:4">
      <c r="A114">
        <f>'Mass Balance'!I114</f>
        <v>5.4784101199433926E-8</v>
      </c>
      <c r="B114">
        <f>'Mass Balance'!E114</f>
        <v>3.9777780569219553E-5</v>
      </c>
      <c r="C114">
        <f>SUM('Mass Balance'!E114:H114)</f>
        <v>3.9777915748047415E-5</v>
      </c>
      <c r="D114">
        <f>Concentrations!F114/Concentrations!E114</f>
        <v>1.000386592370536</v>
      </c>
    </row>
    <row r="115" spans="1:4">
      <c r="A115">
        <f>'Mass Balance'!I115</f>
        <v>5.5549664594818779E-8</v>
      </c>
      <c r="B115">
        <f>'Mass Balance'!E115</f>
        <v>3.9829632574235812E-5</v>
      </c>
      <c r="C115">
        <f>SUM('Mass Balance'!E115:H115)</f>
        <v>3.9941687994071804E-5</v>
      </c>
      <c r="D115">
        <f>Concentrations!F115/Concentrations!E115</f>
        <v>0.99758342260323296</v>
      </c>
    </row>
    <row r="116" spans="1:4">
      <c r="A116">
        <f>'Mass Balance'!I116</f>
        <v>1.5054739994752507E-5</v>
      </c>
      <c r="B116">
        <f>'Mass Balance'!E116</f>
        <v>1.4105166931128381E-5</v>
      </c>
      <c r="C116">
        <f>SUM('Mass Balance'!E116:H116)</f>
        <v>2.2930460490832981E-5</v>
      </c>
      <c r="D116">
        <f>Concentrations!F116/Concentrations!E116</f>
        <v>0.61536783526514127</v>
      </c>
    </row>
    <row r="117" spans="1:4">
      <c r="A117">
        <f>'Mass Balance'!I117</f>
        <v>9.9191932103777918E-8</v>
      </c>
      <c r="B117">
        <f>'Mass Balance'!E117</f>
        <v>2.336842255835154E-5</v>
      </c>
      <c r="C117">
        <f>SUM('Mass Balance'!E117:H117)</f>
        <v>2.4422191795341891E-5</v>
      </c>
      <c r="D117">
        <f>Concentrations!F117/Concentrations!E117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0.96921914496960515</v>
      </c>
      <c r="M2" s="115">
        <v>0.96439411209756176</v>
      </c>
      <c r="N2" s="115">
        <v>1.1357492559942064</v>
      </c>
      <c r="O2" s="115">
        <v>0.81041332958753698</v>
      </c>
      <c r="P2" s="115">
        <v>0.93795927680041291</v>
      </c>
      <c r="Q2" s="111">
        <v>0.81041332958753709</v>
      </c>
      <c r="R2" s="68">
        <v>0.93795927680041291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1.0145113793187392</v>
      </c>
      <c r="M3" s="115">
        <v>3.2695917924895217</v>
      </c>
      <c r="N3" s="115">
        <v>303.99021843126587</v>
      </c>
      <c r="O3" s="115">
        <v>3.0116393867837026</v>
      </c>
      <c r="P3" s="115">
        <v>2.790353267748146</v>
      </c>
      <c r="Q3" s="111">
        <v>3.0116393867837026</v>
      </c>
      <c r="R3" s="68">
        <v>2.790353267748146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1.0903572158041976</v>
      </c>
      <c r="M4" s="115">
        <v>1.0909424205730407</v>
      </c>
      <c r="N4" s="115">
        <v>3.0462420722020616</v>
      </c>
      <c r="O4" s="115">
        <v>0.82434442196600388</v>
      </c>
      <c r="P4" s="115">
        <v>0.95815346185880512</v>
      </c>
      <c r="Q4" s="111">
        <v>0.82434442196600399</v>
      </c>
      <c r="R4" s="68">
        <v>0.95815346185880523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0.92581738807966019</v>
      </c>
      <c r="M5" s="115">
        <v>1.1820256233360666</v>
      </c>
      <c r="N5" s="115">
        <v>75.537578205193199</v>
      </c>
      <c r="O5" s="115">
        <v>4.4086777407468301</v>
      </c>
      <c r="P5" s="115">
        <v>7.207453906698821</v>
      </c>
      <c r="Q5" s="111">
        <v>4.4086777407468301</v>
      </c>
      <c r="R5" s="68">
        <v>7.207453906698821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0.83532542031349399</v>
      </c>
      <c r="M6" s="115">
        <v>1.4040975208115578</v>
      </c>
      <c r="N6" s="115">
        <v>162.32048554125907</v>
      </c>
      <c r="O6" s="115">
        <v>8.8990977610700064</v>
      </c>
      <c r="P6" s="115">
        <v>15.056664782994481</v>
      </c>
      <c r="Q6" s="111">
        <v>8.8990977610700082</v>
      </c>
      <c r="R6" s="68">
        <v>15.056664782994481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0.55128802787638864</v>
      </c>
      <c r="M7" s="115">
        <v>2.0934955218620215</v>
      </c>
      <c r="N7" s="115">
        <v>419.47790018775362</v>
      </c>
      <c r="O7" s="115">
        <v>21.706455400201634</v>
      </c>
      <c r="P7" s="115">
        <v>37.253521367835162</v>
      </c>
      <c r="Q7" s="111">
        <v>21.706455400201637</v>
      </c>
      <c r="R7" s="68">
        <v>37.253521367835162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0.76036655032905376</v>
      </c>
      <c r="M8" s="115">
        <v>1.565402781603664</v>
      </c>
      <c r="N8" s="115">
        <v>227.81539337552786</v>
      </c>
      <c r="O8" s="115">
        <v>12.562177668098307</v>
      </c>
      <c r="P8" s="115">
        <v>21.489596374614358</v>
      </c>
      <c r="Q8" s="111">
        <v>12.562177668098307</v>
      </c>
      <c r="R8" s="68">
        <v>21.489596374614361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0.94043735799602235</v>
      </c>
      <c r="M9" s="115">
        <v>1.1430866820946062</v>
      </c>
      <c r="N9" s="115">
        <v>60.237939606812553</v>
      </c>
      <c r="O9" s="115">
        <v>3.6002406479530866</v>
      </c>
      <c r="P9" s="115">
        <v>5.7884062428595611</v>
      </c>
      <c r="Q9" s="111">
        <v>3.6002406479530866</v>
      </c>
      <c r="R9" s="68">
        <v>5.788406242859562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5.027847460084979E-2</v>
      </c>
      <c r="M10" s="115">
        <v>14.491134804735093</v>
      </c>
      <c r="N10" s="115">
        <v>3230.2943177949633</v>
      </c>
      <c r="O10" s="115">
        <v>35.000893853102149</v>
      </c>
      <c r="P10" s="115">
        <v>35.705783346689351</v>
      </c>
      <c r="Q10" s="111">
        <v>35.000893853102149</v>
      </c>
      <c r="R10" s="68">
        <v>35.705783346689351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4.400409915581765E-3</v>
      </c>
      <c r="M11" s="115">
        <v>146.11414663861643</v>
      </c>
      <c r="N11" s="115">
        <v>36755.115839335114</v>
      </c>
      <c r="O11" s="115">
        <v>149.20188155888371</v>
      </c>
      <c r="P11" s="115">
        <v>68.48681281344065</v>
      </c>
      <c r="Q11" s="111">
        <v>149.20188155888371</v>
      </c>
      <c r="R11" s="68">
        <v>68.48681281344065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0.91421822892778992</v>
      </c>
      <c r="M12" s="115">
        <v>0.90521739912593813</v>
      </c>
      <c r="N12" s="115">
        <v>6.1333552582870633E-2</v>
      </c>
      <c r="O12" s="115">
        <v>0.7556411766437805</v>
      </c>
      <c r="P12" s="115">
        <v>0.87808176523673187</v>
      </c>
      <c r="Q12" s="111">
        <v>0.75564117664378061</v>
      </c>
      <c r="R12" s="68">
        <v>0.87808176523673187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0.63349622148813434</v>
      </c>
      <c r="M13" s="115">
        <v>1.5785790440244949</v>
      </c>
      <c r="N13" s="115">
        <v>213.76668911757673</v>
      </c>
      <c r="O13" s="115">
        <v>2.5685828545875937</v>
      </c>
      <c r="P13" s="115">
        <v>2.4279470822180893</v>
      </c>
      <c r="Q13" s="111">
        <v>2.5685828545875937</v>
      </c>
      <c r="R13" s="68">
        <v>2.4279470822180897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8.3812163525859656E-2</v>
      </c>
      <c r="M14" s="115">
        <v>5.7192547559476239</v>
      </c>
      <c r="N14" s="115">
        <v>1533.1628104131651</v>
      </c>
      <c r="O14" s="115">
        <v>45.342266189010282</v>
      </c>
      <c r="P14" s="115">
        <v>75.964478227910192</v>
      </c>
      <c r="Q14" s="111">
        <v>45.342266189010282</v>
      </c>
      <c r="R14" s="68">
        <v>75.964478227910192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0.7787661820207451</v>
      </c>
      <c r="M15" s="115">
        <v>0.90116984675552603</v>
      </c>
      <c r="N15" s="115">
        <v>29.639552865229398</v>
      </c>
      <c r="O15" s="115">
        <v>0.91285114121159483</v>
      </c>
      <c r="P15" s="115">
        <v>0.97208379630026254</v>
      </c>
      <c r="Q15" s="111">
        <v>0.91285114121159483</v>
      </c>
      <c r="R15" s="68">
        <v>0.97208379630026265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0.60747638614379951</v>
      </c>
      <c r="M16" s="115">
        <v>1.7011224030678176</v>
      </c>
      <c r="N16" s="115">
        <v>246.78058122489668</v>
      </c>
      <c r="O16" s="115">
        <v>2.8739953947302883</v>
      </c>
      <c r="P16" s="115">
        <v>2.7056315129536106</v>
      </c>
      <c r="Q16" s="111">
        <v>2.8739953947302883</v>
      </c>
      <c r="R16" s="68">
        <v>2.705631512953611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0.62253418080949718</v>
      </c>
      <c r="M17" s="115">
        <v>1.6191051681762796</v>
      </c>
      <c r="N17" s="115">
        <v>225.20342931301801</v>
      </c>
      <c r="O17" s="115">
        <v>2.6727197588507035</v>
      </c>
      <c r="P17" s="115">
        <v>2.5221611331891522</v>
      </c>
      <c r="Q17" s="111">
        <v>2.6727197588507035</v>
      </c>
      <c r="R17" s="68">
        <v>2.5221611331891527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3.4703257530020186E-3</v>
      </c>
      <c r="M18" s="115">
        <v>82.274338309462863</v>
      </c>
      <c r="N18" s="115">
        <v>18547.542591356691</v>
      </c>
      <c r="O18" s="115">
        <v>111.86157965165044</v>
      </c>
      <c r="P18" s="115">
        <v>47.916082451078353</v>
      </c>
      <c r="Q18" s="111">
        <v>111.86157965165044</v>
      </c>
      <c r="R18" s="68">
        <v>47.916082451078353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0.90497424839743523</v>
      </c>
      <c r="M19" s="115">
        <v>0.94076813034085838</v>
      </c>
      <c r="N19" s="115">
        <v>10.240789906324448</v>
      </c>
      <c r="O19" s="115">
        <v>0.8385782288782937</v>
      </c>
      <c r="P19" s="115">
        <v>0.94194913073711484</v>
      </c>
      <c r="Q19" s="111">
        <v>0.8385782288782937</v>
      </c>
      <c r="R19" s="68">
        <v>0.94194913073711495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0.86990545658808482</v>
      </c>
      <c r="M20" s="115">
        <v>0.9385745905952767</v>
      </c>
      <c r="N20" s="115">
        <v>17.64458795881524</v>
      </c>
      <c r="O20" s="115">
        <v>0.87707884647888534</v>
      </c>
      <c r="P20" s="115">
        <v>0.96466362674580031</v>
      </c>
      <c r="Q20" s="111">
        <v>0.87707884647888534</v>
      </c>
      <c r="R20" s="68">
        <v>0.96466362674580031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0.42008391278424789</v>
      </c>
      <c r="M21" s="115">
        <v>3.9972440398579305</v>
      </c>
      <c r="N21" s="115">
        <v>840.52936050706239</v>
      </c>
      <c r="O21" s="115">
        <v>17.879483816303054</v>
      </c>
      <c r="P21" s="115">
        <v>26.274321845753121</v>
      </c>
      <c r="Q21" s="111">
        <v>17.879483816303054</v>
      </c>
      <c r="R21" s="68">
        <v>26.274321845753121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0.89827024918693699</v>
      </c>
      <c r="M22" s="115">
        <v>0.89728145021456507</v>
      </c>
      <c r="N22" s="115">
        <v>1.8452095330605482</v>
      </c>
      <c r="O22" s="115">
        <v>0.75800914750518478</v>
      </c>
      <c r="P22" s="115">
        <v>0.87468601577026972</v>
      </c>
      <c r="Q22" s="111">
        <v>0.75800914750518478</v>
      </c>
      <c r="R22" s="68">
        <v>0.87468601577026972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0.75317055451814385</v>
      </c>
      <c r="M23" s="115">
        <v>0.9662224861115275</v>
      </c>
      <c r="N23" s="115">
        <v>50.102032130149695</v>
      </c>
      <c r="O23" s="115">
        <v>1.0832512364206297</v>
      </c>
      <c r="P23" s="115">
        <v>1.1135325497128841</v>
      </c>
      <c r="Q23" s="111">
        <v>1.0832512364206297</v>
      </c>
      <c r="R23" s="68">
        <v>1.1135325497128841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0.52198959144886836</v>
      </c>
      <c r="M24" s="115">
        <v>2.2108258553353144</v>
      </c>
      <c r="N24" s="115">
        <v>378.91692774872052</v>
      </c>
      <c r="O24" s="115">
        <v>4.127140345247172</v>
      </c>
      <c r="P24" s="115">
        <v>3.865445262186626</v>
      </c>
      <c r="Q24" s="111">
        <v>4.127140345247172</v>
      </c>
      <c r="R24" s="68">
        <v>3.865445262186626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4.6862776194743156E-3</v>
      </c>
      <c r="M25" s="115">
        <v>72.977356754817876</v>
      </c>
      <c r="N25" s="115">
        <v>16439.051984990627</v>
      </c>
      <c r="O25" s="115">
        <v>100.90957460706208</v>
      </c>
      <c r="P25" s="115">
        <v>45.313885943179464</v>
      </c>
      <c r="Q25" s="111">
        <v>100.9095746070621</v>
      </c>
      <c r="R25" s="68">
        <v>45.313885943179464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0.24120655059766374</v>
      </c>
      <c r="M26" s="115">
        <v>3.4912716379740867</v>
      </c>
      <c r="N26" s="115">
        <v>725.10065679293371</v>
      </c>
      <c r="O26" s="115">
        <v>7.5289767510835359</v>
      </c>
      <c r="P26" s="115">
        <v>7.1819619970827677</v>
      </c>
      <c r="Q26" s="111">
        <v>7.5289767510835368</v>
      </c>
      <c r="R26" s="68">
        <v>7.1819619970827677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2.2873382233715184E-2</v>
      </c>
      <c r="M27" s="115">
        <v>1.5673340706283014</v>
      </c>
      <c r="N27" s="115">
        <v>344.73596090218962</v>
      </c>
      <c r="O27" s="115">
        <v>3.6527264210483605</v>
      </c>
      <c r="P27" s="115">
        <v>3.6250878005649314</v>
      </c>
      <c r="Q27" s="111">
        <v>3.6527264210483605</v>
      </c>
      <c r="R27" s="68">
        <v>3.6250878005649319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3.4285598992802556E-2</v>
      </c>
      <c r="M28" s="115">
        <v>0.66021172255545912</v>
      </c>
      <c r="N28" s="115">
        <v>139.61304846503742</v>
      </c>
      <c r="O28" s="115">
        <v>1.4505310409298031</v>
      </c>
      <c r="P28" s="115">
        <v>1.3930695874437207</v>
      </c>
      <c r="Q28" s="111">
        <v>1.4505310409298031</v>
      </c>
      <c r="R28" s="68">
        <v>1.3930695874437207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5.9267734417870845E-2</v>
      </c>
      <c r="M29" s="115">
        <v>6.5334611329663908E-2</v>
      </c>
      <c r="N29" s="115">
        <v>1.5179064456517681</v>
      </c>
      <c r="O29" s="115">
        <v>6.2653701943338358E-2</v>
      </c>
      <c r="P29" s="115">
        <v>6.8168686606327245E-2</v>
      </c>
      <c r="Q29" s="111">
        <v>6.2653701943338358E-2</v>
      </c>
      <c r="R29" s="68">
        <v>6.8168686606327258E-2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1.2978133578368495E-2</v>
      </c>
      <c r="M30" s="115">
        <v>0.23387286996290071</v>
      </c>
      <c r="N30" s="115">
        <v>49.272407789457745</v>
      </c>
      <c r="O30" s="115">
        <v>0.51175343428082365</v>
      </c>
      <c r="P30" s="115">
        <v>0.49069124171572726</v>
      </c>
      <c r="Q30" s="111">
        <v>0.51175343428082365</v>
      </c>
      <c r="R30" s="68">
        <v>0.49069124171572731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4.6162857351446037E-4</v>
      </c>
      <c r="M31" s="115">
        <v>4.0952507004300134E-3</v>
      </c>
      <c r="N31" s="115">
        <v>0.81154778373351155</v>
      </c>
      <c r="O31" s="115">
        <v>8.4748015810457902E-3</v>
      </c>
      <c r="P31" s="115">
        <v>8.0017855761977102E-3</v>
      </c>
      <c r="Q31" s="111">
        <v>8.4748015810457919E-3</v>
      </c>
      <c r="R31" s="68">
        <v>8.0017855761977102E-3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0.65957889593502705</v>
      </c>
      <c r="M32" s="115">
        <v>1.4558176407389916</v>
      </c>
      <c r="N32" s="115">
        <v>180.64935754507115</v>
      </c>
      <c r="O32" s="115">
        <v>2.2642624068325889</v>
      </c>
      <c r="P32" s="115">
        <v>2.1534368113772615</v>
      </c>
      <c r="Q32" s="111">
        <v>2.2642624068325889</v>
      </c>
      <c r="R32" s="68">
        <v>2.1534368113772615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0.76454722436377398</v>
      </c>
      <c r="M33" s="115">
        <v>1.1312186833955775</v>
      </c>
      <c r="N33" s="115">
        <v>84.770826385993445</v>
      </c>
      <c r="O33" s="115">
        <v>1.4208453192971566</v>
      </c>
      <c r="P33" s="115">
        <v>1.4128688401946878</v>
      </c>
      <c r="Q33" s="111">
        <v>1.4208453192971566</v>
      </c>
      <c r="R33" s="68">
        <v>1.4128688401946878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0.3319876653355936</v>
      </c>
      <c r="M34" s="115">
        <v>4.2200629305910669</v>
      </c>
      <c r="N34" s="115">
        <v>867.60846805650249</v>
      </c>
      <c r="O34" s="115">
        <v>9.0135402140623508</v>
      </c>
      <c r="P34" s="115">
        <v>8.5730315367579291</v>
      </c>
      <c r="Q34" s="111">
        <v>9.0135402140623526</v>
      </c>
      <c r="R34" s="68">
        <v>8.5730315367579291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8.0695088026691342E-2</v>
      </c>
      <c r="M35" s="115">
        <v>11.059153983524903</v>
      </c>
      <c r="N35" s="115">
        <v>2452.8386383002576</v>
      </c>
      <c r="O35" s="115">
        <v>26.420968346070481</v>
      </c>
      <c r="P35" s="115">
        <v>26.709637248174211</v>
      </c>
      <c r="Q35" s="111">
        <v>26.420968346070481</v>
      </c>
      <c r="R35" s="68">
        <v>26.709637248174214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2.1794758448641205E-2</v>
      </c>
      <c r="M36" s="115">
        <v>29.944981035000588</v>
      </c>
      <c r="N36" s="115">
        <v>6711.8576255370799</v>
      </c>
      <c r="O36" s="115">
        <v>51.476758623396805</v>
      </c>
      <c r="P36" s="115">
        <v>36.27432590949703</v>
      </c>
      <c r="Q36" s="111">
        <v>51.476758623396812</v>
      </c>
      <c r="R36" s="68">
        <v>36.27432590949703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3.7304286279284649E-3</v>
      </c>
      <c r="M37" s="115">
        <v>78.695244873328434</v>
      </c>
      <c r="N37" s="115">
        <v>17736.926160666546</v>
      </c>
      <c r="O37" s="115">
        <v>107.4585528807237</v>
      </c>
      <c r="P37" s="115">
        <v>46.596892124689226</v>
      </c>
      <c r="Q37" s="111">
        <v>107.4585528807237</v>
      </c>
      <c r="R37" s="68">
        <v>46.596892124689234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1.2197311201984364E-2</v>
      </c>
      <c r="M38" s="115">
        <v>44.664425267892064</v>
      </c>
      <c r="N38" s="115">
        <v>10033.181250147354</v>
      </c>
      <c r="O38" s="115">
        <v>68.061869198767738</v>
      </c>
      <c r="P38" s="115">
        <v>38.638247396693565</v>
      </c>
      <c r="Q38" s="111">
        <v>68.061869198767738</v>
      </c>
      <c r="R38" s="68">
        <v>38.638247396693572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1.6476745290225508E-2</v>
      </c>
      <c r="M39" s="115">
        <v>29.954225168266273</v>
      </c>
      <c r="N39" s="115">
        <v>6718.479871773322</v>
      </c>
      <c r="O39" s="115">
        <v>49.451901976672048</v>
      </c>
      <c r="P39" s="115">
        <v>32.649159636658595</v>
      </c>
      <c r="Q39" s="111">
        <v>49.451901976672048</v>
      </c>
      <c r="R39" s="68">
        <v>32.649159636658595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1.2197311201984364E-2</v>
      </c>
      <c r="M40" s="115">
        <v>44.664425267892064</v>
      </c>
      <c r="N40" s="115">
        <v>10033.181250147354</v>
      </c>
      <c r="O40" s="115">
        <v>68.061869198767738</v>
      </c>
      <c r="P40" s="115">
        <v>38.638247396693565</v>
      </c>
      <c r="Q40" s="111">
        <v>68.061869198767738</v>
      </c>
      <c r="R40" s="68">
        <v>38.638247396693572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0.98822756084969254</v>
      </c>
      <c r="M41" s="115">
        <v>0.99803361588078754</v>
      </c>
      <c r="N41" s="115">
        <v>5.6840867191679818</v>
      </c>
      <c r="O41" s="115">
        <v>1.0470751131686744</v>
      </c>
      <c r="P41" s="115">
        <v>1.3446279345983241</v>
      </c>
      <c r="Q41" s="111">
        <v>1.0470751131686746</v>
      </c>
      <c r="R41" s="68">
        <v>1.3446279345983241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3.4077197266141842E-3</v>
      </c>
      <c r="M42" s="115">
        <v>80.790077245270822</v>
      </c>
      <c r="N42" s="115">
        <v>18212.937708832491</v>
      </c>
      <c r="O42" s="115">
        <v>109.84355324551325</v>
      </c>
      <c r="P42" s="115">
        <v>47.051657686417911</v>
      </c>
      <c r="Q42" s="111">
        <v>109.84355324551326</v>
      </c>
      <c r="R42" s="68">
        <v>47.051657686417911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0.50232977632032871</v>
      </c>
      <c r="M43" s="115">
        <v>2.3727207386768892</v>
      </c>
      <c r="N43" s="115">
        <v>419.2258521995189</v>
      </c>
      <c r="O43" s="115">
        <v>4.5184286349194522</v>
      </c>
      <c r="P43" s="115">
        <v>4.2328501267314671</v>
      </c>
      <c r="Q43" s="111">
        <v>4.5184286349194531</v>
      </c>
      <c r="R43" s="68">
        <v>4.2328501267314671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3.2932444395132016E-2</v>
      </c>
      <c r="M44" s="115">
        <v>21.45044161983818</v>
      </c>
      <c r="N44" s="115">
        <v>4797.6598344172462</v>
      </c>
      <c r="O44" s="115">
        <v>42.258262087975801</v>
      </c>
      <c r="P44" s="115">
        <v>35.632489750287903</v>
      </c>
      <c r="Q44" s="111">
        <v>42.258262087975801</v>
      </c>
      <c r="R44" s="68">
        <v>35.632489750287903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1.67756891261217E-3</v>
      </c>
      <c r="M45" s="115">
        <v>103.60032820451924</v>
      </c>
      <c r="N45" s="115">
        <v>23395.280269483093</v>
      </c>
      <c r="O45" s="115">
        <v>137.08682278764067</v>
      </c>
      <c r="P45" s="115">
        <v>54.304173244107041</v>
      </c>
      <c r="Q45" s="111">
        <v>137.08682278764067</v>
      </c>
      <c r="R45" s="68">
        <v>54.304173244107048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3.130779929408497E-3</v>
      </c>
      <c r="M46" s="115">
        <v>85.38712965591877</v>
      </c>
      <c r="N46" s="115">
        <v>19254.156762985072</v>
      </c>
      <c r="O46" s="115">
        <v>115.53237108267207</v>
      </c>
      <c r="P46" s="115">
        <v>48.808064019888384</v>
      </c>
      <c r="Q46" s="111">
        <v>115.53237108267209</v>
      </c>
      <c r="R46" s="68">
        <v>48.808064019888391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6.4682601217177253E-3</v>
      </c>
      <c r="M47" s="115">
        <v>63.145038352654296</v>
      </c>
      <c r="N47" s="115">
        <v>14211.846537156391</v>
      </c>
      <c r="O47" s="115">
        <v>89.408547540309641</v>
      </c>
      <c r="P47" s="115">
        <v>42.767442182792188</v>
      </c>
      <c r="Q47" s="111">
        <v>89.408547540309641</v>
      </c>
      <c r="R47" s="68">
        <v>42.767442182792188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0.17121356189184245</v>
      </c>
      <c r="M48" s="115">
        <v>7.7643839981068536</v>
      </c>
      <c r="N48" s="115">
        <v>1694.1141531679427</v>
      </c>
      <c r="O48" s="115">
        <v>17.800356753062577</v>
      </c>
      <c r="P48" s="115">
        <v>17.473697715876661</v>
      </c>
      <c r="Q48" s="111">
        <v>17.80035675306258</v>
      </c>
      <c r="R48" s="68">
        <v>17.473697715876664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3.0560966747443751E-2</v>
      </c>
      <c r="M49" s="115">
        <v>22.894854822222658</v>
      </c>
      <c r="N49" s="115">
        <v>5123.0108604189109</v>
      </c>
      <c r="O49" s="115">
        <v>43.815883179372769</v>
      </c>
      <c r="P49" s="115">
        <v>35.718152885885544</v>
      </c>
      <c r="Q49" s="111">
        <v>43.815883179372769</v>
      </c>
      <c r="R49" s="68">
        <v>35.718152885885544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2.6895710867578537E-2</v>
      </c>
      <c r="M50" s="115">
        <v>25.441496098359629</v>
      </c>
      <c r="N50" s="115">
        <v>5696.7864328182395</v>
      </c>
      <c r="O50" s="115">
        <v>46.562444519229544</v>
      </c>
      <c r="P50" s="115">
        <v>35.875743035645321</v>
      </c>
      <c r="Q50" s="111">
        <v>46.562444519229551</v>
      </c>
      <c r="R50" s="68">
        <v>35.875743035645321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0.12795600131121482</v>
      </c>
      <c r="M51" s="115">
        <v>9.3948222057433135</v>
      </c>
      <c r="N51" s="115">
        <v>2068.6148712814497</v>
      </c>
      <c r="O51" s="115">
        <v>21.951914295402268</v>
      </c>
      <c r="P51" s="115">
        <v>21.825869969493343</v>
      </c>
      <c r="Q51" s="111">
        <v>21.951914295402272</v>
      </c>
      <c r="R51" s="68">
        <v>21.825869969493343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0.16667919929756733</v>
      </c>
      <c r="M52" s="115">
        <v>7.9122189549781563</v>
      </c>
      <c r="N52" s="115">
        <v>1728.1810299789345</v>
      </c>
      <c r="O52" s="115">
        <v>18.173928093943701</v>
      </c>
      <c r="P52" s="115">
        <v>17.861900218305021</v>
      </c>
      <c r="Q52" s="111">
        <v>18.173928093943701</v>
      </c>
      <c r="R52" s="68">
        <v>17.861900218305021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1.7832762777394127E-2</v>
      </c>
      <c r="M53" s="115">
        <v>34.770598217552937</v>
      </c>
      <c r="N53" s="115">
        <v>7800.0173519581449</v>
      </c>
      <c r="O53" s="115">
        <v>56.871935697647054</v>
      </c>
      <c r="P53" s="115">
        <v>36.954149366425987</v>
      </c>
      <c r="Q53" s="111">
        <v>56.871935697647054</v>
      </c>
      <c r="R53" s="68">
        <v>36.954149366425987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2.8683929393474885E-2</v>
      </c>
      <c r="M54" s="115">
        <v>24.146285560434759</v>
      </c>
      <c r="N54" s="115">
        <v>5404.9423701827664</v>
      </c>
      <c r="O54" s="115">
        <v>45.165139434752646</v>
      </c>
      <c r="P54" s="115">
        <v>35.793914548477382</v>
      </c>
      <c r="Q54" s="111">
        <v>45.165139434752646</v>
      </c>
      <c r="R54" s="68">
        <v>35.793914548477382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6.6668308888981386E-3</v>
      </c>
      <c r="M55" s="115">
        <v>62.114200099743847</v>
      </c>
      <c r="N55" s="115">
        <v>13978.607736665219</v>
      </c>
      <c r="O55" s="115">
        <v>88.187522832775571</v>
      </c>
      <c r="P55" s="115">
        <v>42.478322544378194</v>
      </c>
      <c r="Q55" s="111">
        <v>88.187522832775571</v>
      </c>
      <c r="R55" s="68">
        <v>42.478322544378194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3.2132589956689293E-2</v>
      </c>
      <c r="M56" s="115">
        <v>21.928528123292981</v>
      </c>
      <c r="N56" s="115">
        <v>4905.3357193424199</v>
      </c>
      <c r="O56" s="115">
        <v>42.777030625650994</v>
      </c>
      <c r="P56" s="115">
        <v>35.66633345581473</v>
      </c>
      <c r="Q56" s="111">
        <v>42.777030625650994</v>
      </c>
      <c r="R56" s="68">
        <v>35.66633345581473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0.19103448957852748</v>
      </c>
      <c r="M57" s="115">
        <v>7.057136963147264</v>
      </c>
      <c r="N57" s="115">
        <v>1531.6531189794277</v>
      </c>
      <c r="O57" s="115">
        <v>16.035463091629339</v>
      </c>
      <c r="P57" s="115">
        <v>15.656856463505907</v>
      </c>
      <c r="Q57" s="111">
        <v>16.035463091629342</v>
      </c>
      <c r="R57" s="68">
        <v>15.656856463505907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2.8320459646533853E-2</v>
      </c>
      <c r="M58" s="115">
        <v>24.402877145439568</v>
      </c>
      <c r="N58" s="115">
        <v>5462.7534366742175</v>
      </c>
      <c r="O58" s="115">
        <v>45.442691797224441</v>
      </c>
      <c r="P58" s="115">
        <v>35.811291993672057</v>
      </c>
      <c r="Q58" s="111">
        <v>45.442691797224441</v>
      </c>
      <c r="R58" s="68">
        <v>35.811291993672057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0.16674243055810678</v>
      </c>
      <c r="M59" s="115">
        <v>7.9152205267417344</v>
      </c>
      <c r="N59" s="115">
        <v>1728.8366310702909</v>
      </c>
      <c r="O59" s="115">
        <v>18.180822537804577</v>
      </c>
      <c r="P59" s="115">
        <v>17.868676291571468</v>
      </c>
      <c r="Q59" s="111">
        <v>18.18082253780458</v>
      </c>
      <c r="R59" s="68">
        <v>17.868676291571468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2.0109182573860192E-2</v>
      </c>
      <c r="M60" s="115">
        <v>31.781252085626928</v>
      </c>
      <c r="N60" s="115">
        <v>7125.8955556265992</v>
      </c>
      <c r="O60" s="115">
        <v>53.504334823948973</v>
      </c>
      <c r="P60" s="115">
        <v>36.485216351274971</v>
      </c>
      <c r="Q60" s="111">
        <v>53.50433482394898</v>
      </c>
      <c r="R60" s="68">
        <v>36.485216351274971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3.2142976028873558</v>
      </c>
      <c r="M61" s="115">
        <v>39.187650968249571</v>
      </c>
      <c r="N61" s="115">
        <v>1431.2262916168663</v>
      </c>
      <c r="O61" s="115">
        <v>7.9168615458819529</v>
      </c>
      <c r="P61" s="115">
        <v>7.9609041712076429</v>
      </c>
      <c r="Q61" s="111">
        <v>7.9168615458819538</v>
      </c>
      <c r="R61" s="68">
        <v>7.9609041712076429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0.34529949476974198</v>
      </c>
      <c r="M62" s="115">
        <v>4.0283798147406538</v>
      </c>
      <c r="N62" s="115">
        <v>821.99613281044958</v>
      </c>
      <c r="O62" s="115">
        <v>8.5456300792986433</v>
      </c>
      <c r="P62" s="115">
        <v>8.1128839442123084</v>
      </c>
      <c r="Q62" s="111">
        <v>8.5456300792986433</v>
      </c>
      <c r="R62" s="68">
        <v>8.1128839442123102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3.288077045666979</v>
      </c>
      <c r="M63" s="115">
        <v>4.7063153462572851</v>
      </c>
      <c r="N63" s="115">
        <v>114.26121477980976</v>
      </c>
      <c r="O63" s="115">
        <v>1.0866408158985166</v>
      </c>
      <c r="P63" s="115">
        <v>1.216364888090645</v>
      </c>
      <c r="Q63" s="111">
        <v>1.0866408158985166</v>
      </c>
      <c r="R63" s="68">
        <v>1.216364888090645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0.9870116417214535</v>
      </c>
      <c r="M64" s="115">
        <v>0.98556260854449973</v>
      </c>
      <c r="N64" s="115">
        <v>2.2693929383531306</v>
      </c>
      <c r="O64" s="115">
        <v>0.87995947196599522</v>
      </c>
      <c r="P64" s="115">
        <v>1.0520684248624015</v>
      </c>
      <c r="Q64" s="111">
        <v>0.87995947196599522</v>
      </c>
      <c r="R64" s="68">
        <v>1.0520684248624015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1.286159930540564</v>
      </c>
      <c r="M65" s="115">
        <v>1.3166373784992238</v>
      </c>
      <c r="N65" s="115">
        <v>9.5439920560824287</v>
      </c>
      <c r="O65" s="115">
        <v>0.83262494896950856</v>
      </c>
      <c r="P65" s="115">
        <v>0.96703256369733293</v>
      </c>
      <c r="Q65" s="111">
        <v>0.83262494896950856</v>
      </c>
      <c r="R65" s="68">
        <v>0.96703256369733304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7.4646796499494563</v>
      </c>
      <c r="M66" s="115">
        <v>37.514143069492512</v>
      </c>
      <c r="N66" s="115">
        <v>1034.4974590214415</v>
      </c>
      <c r="O66" s="115">
        <v>2.4710556624540971</v>
      </c>
      <c r="P66" s="115">
        <v>3.0129764981508735</v>
      </c>
      <c r="Q66" s="111">
        <v>2.4710556624540971</v>
      </c>
      <c r="R66" s="68">
        <v>3.0129764981508735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1.2367149830964301</v>
      </c>
      <c r="M67" s="115">
        <v>1.2590932663894585</v>
      </c>
      <c r="N67" s="115">
        <v>7.9449184445718126</v>
      </c>
      <c r="O67" s="115">
        <v>0.83062027536706817</v>
      </c>
      <c r="P67" s="115">
        <v>0.96455748791755169</v>
      </c>
      <c r="Q67" s="111">
        <v>0.83062027536706817</v>
      </c>
      <c r="R67" s="68">
        <v>0.96455748791755169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1.0247041159651165</v>
      </c>
      <c r="M68" s="115">
        <v>1.0181557786804847</v>
      </c>
      <c r="N68" s="115">
        <v>1.0537037482504048</v>
      </c>
      <c r="O68" s="115">
        <v>0.82177621579593274</v>
      </c>
      <c r="P68" s="115">
        <v>0.95494337286811604</v>
      </c>
      <c r="Q68" s="111">
        <v>0.82177621579593274</v>
      </c>
      <c r="R68" s="68">
        <v>0.95494337286811604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3.6516046249050721E-2</v>
      </c>
      <c r="M69" s="115">
        <v>19.600569107764496</v>
      </c>
      <c r="N69" s="115">
        <v>4380.9885381526028</v>
      </c>
      <c r="O69" s="115">
        <v>40.305040449236614</v>
      </c>
      <c r="P69" s="115">
        <v>35.601513709236777</v>
      </c>
      <c r="Q69" s="111">
        <v>40.305040449236614</v>
      </c>
      <c r="R69" s="68">
        <v>35.601513709236784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0.98968714574136252</v>
      </c>
      <c r="M70" s="115">
        <v>0.99289896612579465</v>
      </c>
      <c r="N70" s="115">
        <v>3.8047624867805658</v>
      </c>
      <c r="O70" s="115">
        <v>0.96928652575738639</v>
      </c>
      <c r="P70" s="115">
        <v>1.2100661912487927</v>
      </c>
      <c r="Q70" s="111">
        <v>0.96928652575738639</v>
      </c>
      <c r="R70" s="68">
        <v>1.2100661912487929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0.98735051664645679</v>
      </c>
      <c r="M71" s="115">
        <v>1.0016195643414554</v>
      </c>
      <c r="N71" s="115">
        <v>6.9702073912751086</v>
      </c>
      <c r="O71" s="115">
        <v>1.1034550486896282</v>
      </c>
      <c r="P71" s="115">
        <v>1.4426053860823285</v>
      </c>
      <c r="Q71" s="111">
        <v>1.1034550486896282</v>
      </c>
      <c r="R71" s="68">
        <v>1.4426053860823287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3.800689170262183E-2</v>
      </c>
      <c r="M72" s="115">
        <v>22.402578914569819</v>
      </c>
      <c r="N72" s="115">
        <v>6142.7311522584396</v>
      </c>
      <c r="O72" s="115">
        <v>58.631483067865261</v>
      </c>
      <c r="P72" s="115">
        <v>82.657536846849354</v>
      </c>
      <c r="Q72" s="111">
        <v>58.631483067865268</v>
      </c>
      <c r="R72" s="68">
        <v>82.657536846849354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0.28154754799087672</v>
      </c>
      <c r="M73" s="115">
        <v>2.3648845490262107</v>
      </c>
      <c r="N73" s="115">
        <v>575.94465375317327</v>
      </c>
      <c r="O73" s="115">
        <v>34.670076920534498</v>
      </c>
      <c r="P73" s="115">
        <v>60.48151197469533</v>
      </c>
      <c r="Q73" s="111">
        <v>34.670076920534498</v>
      </c>
      <c r="R73" s="68">
        <v>60.481511974695337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0.98781674844050482</v>
      </c>
      <c r="M74" s="115">
        <v>0.99992217968540242</v>
      </c>
      <c r="N74" s="115">
        <v>6.3510998658764644</v>
      </c>
      <c r="O74" s="115">
        <v>1.076826844340141</v>
      </c>
      <c r="P74" s="115">
        <v>1.3964186406251908</v>
      </c>
      <c r="Q74" s="111">
        <v>1.076826844340141</v>
      </c>
      <c r="R74" s="68">
        <v>1.3964186406251908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0.31850228238098327</v>
      </c>
      <c r="M75" s="115">
        <v>2.3188019560971376</v>
      </c>
      <c r="N75" s="115">
        <v>553.57108616650078</v>
      </c>
      <c r="O75" s="115">
        <v>33.006548561015165</v>
      </c>
      <c r="P75" s="115">
        <v>57.533065282735571</v>
      </c>
      <c r="Q75" s="111">
        <v>33.006548561015165</v>
      </c>
      <c r="R75" s="68">
        <v>57.533065282735571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0.89525424378049812</v>
      </c>
      <c r="M76" s="115">
        <v>1.2595005216193824</v>
      </c>
      <c r="N76" s="115">
        <v>105.83312780498005</v>
      </c>
      <c r="O76" s="115">
        <v>5.9725680210557535</v>
      </c>
      <c r="P76" s="115">
        <v>9.9435289739725228</v>
      </c>
      <c r="Q76" s="111">
        <v>5.9725680210557535</v>
      </c>
      <c r="R76" s="68">
        <v>9.9435289739725228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0.29183437695620695</v>
      </c>
      <c r="M77" s="115">
        <v>2.3524720602777092</v>
      </c>
      <c r="N77" s="115">
        <v>569.83108961791982</v>
      </c>
      <c r="O77" s="115">
        <v>34.207515661403782</v>
      </c>
      <c r="P77" s="115">
        <v>59.661222790214161</v>
      </c>
      <c r="Q77" s="111">
        <v>34.207515661403782</v>
      </c>
      <c r="R77" s="68">
        <v>59.661222790214168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4.2216657889872361E-2</v>
      </c>
      <c r="M78" s="115">
        <v>18.803421159522294</v>
      </c>
      <c r="N78" s="115">
        <v>5153.1589435581982</v>
      </c>
      <c r="O78" s="115">
        <v>56.06358136450811</v>
      </c>
      <c r="P78" s="115">
        <v>81.801463948035362</v>
      </c>
      <c r="Q78" s="111">
        <v>56.063581364508117</v>
      </c>
      <c r="R78" s="68">
        <v>81.801463948035376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4.2216666812729772E-2</v>
      </c>
      <c r="M79" s="115">
        <v>18.803412200579636</v>
      </c>
      <c r="N79" s="115">
        <v>5153.1571647399378</v>
      </c>
      <c r="O79" s="115">
        <v>56.063578357153695</v>
      </c>
      <c r="P79" s="115">
        <v>81.801477723595198</v>
      </c>
      <c r="Q79" s="111">
        <v>56.063578357153695</v>
      </c>
      <c r="R79" s="68">
        <v>81.801477723595212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0.68007222387780542</v>
      </c>
      <c r="M80" s="115">
        <v>1.7242755555246962</v>
      </c>
      <c r="N80" s="115">
        <v>293.75651574819801</v>
      </c>
      <c r="O80" s="115">
        <v>16.397610820471726</v>
      </c>
      <c r="P80" s="115">
        <v>28.236302076029279</v>
      </c>
      <c r="Q80" s="111">
        <v>16.397610820471726</v>
      </c>
      <c r="R80" s="68">
        <v>28.236302076029279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0.97235599471818068</v>
      </c>
      <c r="M81" s="115">
        <v>1.0511231756616808</v>
      </c>
      <c r="N81" s="115">
        <v>25.371387179404138</v>
      </c>
      <c r="O81" s="115">
        <v>1.9398288984052996</v>
      </c>
      <c r="P81" s="115">
        <v>2.8973385681831583</v>
      </c>
      <c r="Q81" s="111">
        <v>1.9398288984052996</v>
      </c>
      <c r="R81" s="68">
        <v>2.8973385681831583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0.94010030807254563</v>
      </c>
      <c r="M82" s="115">
        <v>1.1439460117766596</v>
      </c>
      <c r="N82" s="115">
        <v>60.796749211146398</v>
      </c>
      <c r="O82" s="115">
        <v>3.665521573568943</v>
      </c>
      <c r="P82" s="115">
        <v>5.9087098092863997</v>
      </c>
      <c r="Q82" s="111">
        <v>3.665521573568943</v>
      </c>
      <c r="R82" s="68">
        <v>5.9087098092864005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2.8254631123520921E-2</v>
      </c>
      <c r="M83" s="115">
        <v>36.008905772133652</v>
      </c>
      <c r="N83" s="115">
        <v>9882.145344264798</v>
      </c>
      <c r="O83" s="115">
        <v>68.071853825014884</v>
      </c>
      <c r="P83" s="115">
        <v>85.412516215181142</v>
      </c>
      <c r="Q83" s="111">
        <v>68.071853825014884</v>
      </c>
      <c r="R83" s="68">
        <v>85.412516215181157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0.44219152057869821</v>
      </c>
      <c r="M84" s="115">
        <v>2.89306881316109</v>
      </c>
      <c r="N84" s="115">
        <v>548.10569084227586</v>
      </c>
      <c r="O84" s="115">
        <v>5.7837659016727088</v>
      </c>
      <c r="P84" s="115">
        <v>5.4343465050192279</v>
      </c>
      <c r="Q84" s="111">
        <v>5.7837659016727097</v>
      </c>
      <c r="R84" s="68">
        <v>5.4343465050192279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0.81734568577391298</v>
      </c>
      <c r="M85" s="115">
        <v>542.93643035634852</v>
      </c>
      <c r="N85" s="115">
        <v>15300.392844033955</v>
      </c>
      <c r="O85" s="115">
        <v>15.193312993153578</v>
      </c>
      <c r="P85" s="115">
        <v>13.68787936884557</v>
      </c>
      <c r="Q85" s="111">
        <v>15.193312993153578</v>
      </c>
      <c r="R85" s="68">
        <v>13.687879368845572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2.0130267559116928E-3</v>
      </c>
      <c r="M86" s="115">
        <v>98.42773873023225</v>
      </c>
      <c r="N86" s="115">
        <v>22217.96471248574</v>
      </c>
      <c r="O86" s="115">
        <v>130.95524346366091</v>
      </c>
      <c r="P86" s="115">
        <v>52.699610555643083</v>
      </c>
      <c r="Q86" s="111">
        <v>130.95524346366091</v>
      </c>
      <c r="R86" s="68">
        <v>52.699610555643083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7.6909707219313726E-4</v>
      </c>
      <c r="M87" s="115">
        <v>123.7260790998486</v>
      </c>
      <c r="N87" s="115">
        <v>27987.313151111306</v>
      </c>
      <c r="O87" s="115">
        <v>160.9600463061289</v>
      </c>
      <c r="P87" s="115">
        <v>60.808402152366327</v>
      </c>
      <c r="Q87" s="111">
        <v>160.9600463061289</v>
      </c>
      <c r="R87" s="68">
        <v>60.808402152366334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2.3638973571724308E-4</v>
      </c>
      <c r="M88" s="115">
        <v>147.34202382301513</v>
      </c>
      <c r="N88" s="115">
        <v>33407.942004137018</v>
      </c>
      <c r="O88" s="115">
        <v>188.85303766164512</v>
      </c>
      <c r="P88" s="115">
        <v>68.881826866598871</v>
      </c>
      <c r="Q88" s="111">
        <v>188.85303766164515</v>
      </c>
      <c r="R88" s="68">
        <v>68.881826866598871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6.4672537227245591E-3</v>
      </c>
      <c r="M89" s="115">
        <v>688.82986943594938</v>
      </c>
      <c r="N89" s="115">
        <v>19661.306250582198</v>
      </c>
      <c r="O89" s="115">
        <v>15.020124343309734</v>
      </c>
      <c r="P89" s="115">
        <v>5.182859870452357</v>
      </c>
      <c r="Q89" s="111">
        <v>15.020124343309734</v>
      </c>
      <c r="R89" s="68">
        <v>5.182859870452357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0.96749373703596697</v>
      </c>
      <c r="M90" s="115">
        <v>0.96416116416897901</v>
      </c>
      <c r="N90" s="115">
        <v>1.4757506634588256</v>
      </c>
      <c r="O90" s="115">
        <v>0.81117247383422209</v>
      </c>
      <c r="P90" s="115">
        <v>0.93812847674039934</v>
      </c>
      <c r="Q90" s="111">
        <v>0.8111724738342222</v>
      </c>
      <c r="R90" s="68">
        <v>0.93812847674039934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0.76912672093223255</v>
      </c>
      <c r="M91" s="115">
        <v>1.1208103931689364</v>
      </c>
      <c r="N91" s="115">
        <v>81.411131354736938</v>
      </c>
      <c r="O91" s="115">
        <v>1.3925239810060144</v>
      </c>
      <c r="P91" s="115">
        <v>1.3887294504387251</v>
      </c>
      <c r="Q91" s="111">
        <v>1.3925239810060146</v>
      </c>
      <c r="R91" s="68">
        <v>1.3887294504387251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0.27477030634183475</v>
      </c>
      <c r="M92" s="115">
        <v>5.1752116669996777</v>
      </c>
      <c r="N92" s="115">
        <v>1093.0569163853802</v>
      </c>
      <c r="O92" s="115">
        <v>11.355093032646725</v>
      </c>
      <c r="P92" s="115">
        <v>10.899398556284412</v>
      </c>
      <c r="Q92" s="111">
        <v>11.355093032646725</v>
      </c>
      <c r="R92" s="68">
        <v>10.899398556284414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0.99173497739774008</v>
      </c>
      <c r="M93" s="115">
        <v>0.9838540696950383</v>
      </c>
      <c r="N93" s="115">
        <v>0.62129157508534194</v>
      </c>
      <c r="O93" s="115">
        <v>0.84206758137652404</v>
      </c>
      <c r="P93" s="115">
        <v>0.99028185037314176</v>
      </c>
      <c r="Q93" s="111">
        <v>0.84206758137652404</v>
      </c>
      <c r="R93" s="68">
        <v>0.99028185037314187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0.99712545272195152</v>
      </c>
      <c r="M94" s="115">
        <v>0.98754138116399381</v>
      </c>
      <c r="N94" s="115">
        <v>0.15076210286926903</v>
      </c>
      <c r="O94" s="115">
        <v>0.82117444613222235</v>
      </c>
      <c r="P94" s="115">
        <v>0.95446087718942096</v>
      </c>
      <c r="Q94" s="111">
        <v>0.82117444613222235</v>
      </c>
      <c r="R94" s="68">
        <v>0.95446087718942108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0.94481064928538627</v>
      </c>
      <c r="M95" s="115">
        <v>0.96341003522591406</v>
      </c>
      <c r="N95" s="115">
        <v>6.3782182925855642</v>
      </c>
      <c r="O95" s="115">
        <v>0.82172540590897147</v>
      </c>
      <c r="P95" s="115">
        <v>0.93473611097903453</v>
      </c>
      <c r="Q95" s="111">
        <v>0.82172540590897158</v>
      </c>
      <c r="R95" s="68">
        <v>0.93473611097903464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2.8215444975029295E-3</v>
      </c>
      <c r="M96" s="115">
        <v>88.526426109837374</v>
      </c>
      <c r="N96" s="115">
        <v>19967.086966239076</v>
      </c>
      <c r="O96" s="115">
        <v>119.24127740829604</v>
      </c>
      <c r="P96" s="115">
        <v>49.72635002250999</v>
      </c>
      <c r="Q96" s="111">
        <v>119.24127740829604</v>
      </c>
      <c r="R96" s="68">
        <v>49.726350022509997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0.68730942052135091</v>
      </c>
      <c r="M97" s="115">
        <v>1.3584551236690243</v>
      </c>
      <c r="N97" s="115">
        <v>152.79677498845683</v>
      </c>
      <c r="O97" s="115">
        <v>2.014545588896671</v>
      </c>
      <c r="P97" s="115">
        <v>1.9309444265071789</v>
      </c>
      <c r="Q97" s="111">
        <v>2.014545588896671</v>
      </c>
      <c r="R97" s="68">
        <v>1.9309444265071789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0.75524395437746805</v>
      </c>
      <c r="M98" s="115">
        <v>1.1536598785836714</v>
      </c>
      <c r="N98" s="115">
        <v>91.882797357493089</v>
      </c>
      <c r="O98" s="115">
        <v>1.4812516543942509</v>
      </c>
      <c r="P98" s="115">
        <v>1.4645975130685207</v>
      </c>
      <c r="Q98" s="111">
        <v>1.4812516543942509</v>
      </c>
      <c r="R98" s="68">
        <v>1.4645975130685207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0.87580229670125165</v>
      </c>
      <c r="M99" s="115">
        <v>0.96778030496697032</v>
      </c>
      <c r="N99" s="115">
        <v>22.95927214691913</v>
      </c>
      <c r="O99" s="115">
        <v>0.93070471853657544</v>
      </c>
      <c r="P99" s="115">
        <v>1.0114555956791955</v>
      </c>
      <c r="Q99" s="111">
        <v>0.93070471853657555</v>
      </c>
      <c r="R99" s="68">
        <v>1.0114555956791957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1.5974990460726254E-2</v>
      </c>
      <c r="M100" s="115">
        <v>37.542601928528164</v>
      </c>
      <c r="N100" s="115">
        <v>8425.4023679974234</v>
      </c>
      <c r="O100" s="115">
        <v>59.990678511033884</v>
      </c>
      <c r="P100" s="115">
        <v>37.388754683332429</v>
      </c>
      <c r="Q100" s="111">
        <v>59.990678511033884</v>
      </c>
      <c r="R100" s="68">
        <v>37.388754683332436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0.3353307561792509</v>
      </c>
      <c r="M101" s="115">
        <v>4.1718470850537859</v>
      </c>
      <c r="N101" s="115">
        <v>856.13534085721858</v>
      </c>
      <c r="O101" s="115">
        <v>8.8956596195639985</v>
      </c>
      <c r="P101" s="115">
        <v>8.4569201539806613</v>
      </c>
      <c r="Q101" s="111">
        <v>8.8956596195640003</v>
      </c>
      <c r="R101" s="68">
        <v>8.4569201539806613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0.12975582677942243</v>
      </c>
      <c r="M102" s="115">
        <v>9.3100629844634</v>
      </c>
      <c r="N102" s="115">
        <v>2049.2336459772055</v>
      </c>
      <c r="O102" s="115">
        <v>21.735116588301359</v>
      </c>
      <c r="P102" s="115">
        <v>21.597080741221166</v>
      </c>
      <c r="Q102" s="111">
        <v>21.735116588301359</v>
      </c>
      <c r="R102" s="68">
        <v>21.59708074122117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0.98260587345008676</v>
      </c>
      <c r="M103" s="115">
        <v>1.0181121967599567</v>
      </c>
      <c r="N103" s="115">
        <v>13.039084611470814</v>
      </c>
      <c r="O103" s="115">
        <v>1.3711052255504592</v>
      </c>
      <c r="P103" s="115">
        <v>1.9074227284231038</v>
      </c>
      <c r="Q103" s="111">
        <v>1.3711052255504592</v>
      </c>
      <c r="R103" s="68">
        <v>1.907422728423104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0.10401171692062125</v>
      </c>
      <c r="M104" s="115">
        <v>3.8224173135064397</v>
      </c>
      <c r="N104" s="115">
        <v>1012.2379425190003</v>
      </c>
      <c r="O104" s="115">
        <v>43.220806055749868</v>
      </c>
      <c r="P104" s="115">
        <v>74.205600466291642</v>
      </c>
      <c r="Q104" s="111">
        <v>43.220806055749875</v>
      </c>
      <c r="R104" s="68">
        <v>74.205600466291642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0.96260112216855209</v>
      </c>
      <c r="M105" s="115">
        <v>0.96076574696283001</v>
      </c>
      <c r="N105" s="115">
        <v>1.8007683451233465</v>
      </c>
      <c r="O105" s="115">
        <v>0.81074806099791286</v>
      </c>
      <c r="P105" s="115">
        <v>0.93611595443589846</v>
      </c>
      <c r="Q105" s="111">
        <v>0.81074806099791286</v>
      </c>
      <c r="R105" s="68">
        <v>0.93611595443589846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0.9407995487280062</v>
      </c>
      <c r="M106" s="115">
        <v>0.96154859632391798</v>
      </c>
      <c r="N106" s="115">
        <v>6.8593760324602213</v>
      </c>
      <c r="O106" s="115">
        <v>0.82348274545218403</v>
      </c>
      <c r="P106" s="115">
        <v>0.93521780790137821</v>
      </c>
      <c r="Q106" s="111">
        <v>0.82348274545218403</v>
      </c>
      <c r="R106" s="68">
        <v>0.93521780790137832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0.17163834817921048</v>
      </c>
      <c r="M107" s="115">
        <v>24.640459434803017</v>
      </c>
      <c r="N107" s="115">
        <v>2784.5071220333139</v>
      </c>
      <c r="O107" s="115">
        <v>26.147806924923579</v>
      </c>
      <c r="P107" s="115">
        <v>26.310860087596765</v>
      </c>
      <c r="Q107" s="111">
        <v>26.147806924923579</v>
      </c>
      <c r="R107" s="68">
        <v>26.310860087596765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0.99469136711620054</v>
      </c>
      <c r="M108" s="115">
        <v>0.98487825792069783</v>
      </c>
      <c r="N108" s="115">
        <v>7.803153413442121E-2</v>
      </c>
      <c r="O108" s="115">
        <v>0.82105347516777161</v>
      </c>
      <c r="P108" s="115">
        <v>0.95432071970539611</v>
      </c>
      <c r="Q108" s="111">
        <v>0.82105347516777161</v>
      </c>
      <c r="R108" s="68">
        <v>0.95432071970539623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5.2352634485283804</v>
      </c>
      <c r="M109" s="115">
        <v>10.403379315969273</v>
      </c>
      <c r="N109" s="115">
        <v>269.94898607500397</v>
      </c>
      <c r="O109" s="115">
        <v>1.2684266054914899</v>
      </c>
      <c r="P109" s="115">
        <v>1.474981537730828</v>
      </c>
      <c r="Q109" s="111">
        <v>1.2684266054914901</v>
      </c>
      <c r="R109" s="68">
        <v>1.474981537730828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0.98604994858691308</v>
      </c>
      <c r="M110" s="115">
        <v>0.97701030686685253</v>
      </c>
      <c r="N110" s="115">
        <v>0.22175430145224603</v>
      </c>
      <c r="O110" s="115">
        <v>0.8174525339534241</v>
      </c>
      <c r="P110" s="115">
        <v>0.94974186583863429</v>
      </c>
      <c r="Q110" s="111">
        <v>0.81745253395342421</v>
      </c>
      <c r="R110" s="68">
        <v>0.9497418658386344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0.99221451726875576</v>
      </c>
      <c r="M111" s="115">
        <v>0.98216474746935511</v>
      </c>
      <c r="N111" s="115">
        <v>3.2298824655571132E-3</v>
      </c>
      <c r="O111" s="115">
        <v>0.82108739343236792</v>
      </c>
      <c r="P111" s="115">
        <v>0.95441154800444361</v>
      </c>
      <c r="Q111" s="111">
        <v>0.82108739343236792</v>
      </c>
      <c r="R111" s="68">
        <v>0.95441154800444372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0.98423158074326123</v>
      </c>
      <c r="M112" s="115">
        <v>0.97499183418231561</v>
      </c>
      <c r="N112" s="115">
        <v>0.16742816248219192</v>
      </c>
      <c r="O112" s="115">
        <v>0.81448771079021876</v>
      </c>
      <c r="P112" s="115">
        <v>0.94607639789288189</v>
      </c>
      <c r="Q112" s="111">
        <v>0.81448771079021876</v>
      </c>
      <c r="R112" s="68">
        <v>0.946076397892882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0.94748798018258296</v>
      </c>
      <c r="M113" s="115">
        <v>0.95473580686690729</v>
      </c>
      <c r="N113" s="115">
        <v>3.8345509410190259</v>
      </c>
      <c r="O113" s="115">
        <v>0.81620261905970226</v>
      </c>
      <c r="P113" s="115">
        <v>0.93583163143948767</v>
      </c>
      <c r="Q113" s="111">
        <v>0.81620261905970226</v>
      </c>
      <c r="R113" s="68">
        <v>0.93583163143948778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0.98807598955829268</v>
      </c>
      <c r="M114" s="115">
        <v>0.97828752141846309</v>
      </c>
      <c r="N114" s="115">
        <v>5.2042034509909046E-2</v>
      </c>
      <c r="O114" s="115">
        <v>0.81666410830507274</v>
      </c>
      <c r="P114" s="115">
        <v>0.94903789295744756</v>
      </c>
      <c r="Q114" s="111">
        <v>0.81666410830507274</v>
      </c>
      <c r="R114" s="68">
        <v>0.94903789295744756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0.98991591682722102</v>
      </c>
      <c r="M115" s="115">
        <v>0.99195829633604959</v>
      </c>
      <c r="N115" s="115">
        <v>3.4688902618656532</v>
      </c>
      <c r="O115" s="115">
        <v>0.95527791602228873</v>
      </c>
      <c r="P115" s="115">
        <v>1.1857999528224774</v>
      </c>
      <c r="Q115" s="111">
        <v>0.95527791602228873</v>
      </c>
      <c r="R115" s="68">
        <v>1.1857999528224774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3.4873056692086561</v>
      </c>
      <c r="M116" s="115">
        <v>268.83464276343767</v>
      </c>
      <c r="N116" s="115">
        <v>7604.2185194015829</v>
      </c>
      <c r="O116" s="115">
        <v>15.177628109323351</v>
      </c>
      <c r="P116" s="115">
        <v>19.736383574190871</v>
      </c>
      <c r="Q116" s="111">
        <v>15.177628109323351</v>
      </c>
      <c r="R116" s="68">
        <v>19.736383574190874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0.59488213712401727</v>
      </c>
      <c r="M117" s="115">
        <v>1.7712845018531771</v>
      </c>
      <c r="N117" s="115">
        <v>265.16655366542892</v>
      </c>
      <c r="O117" s="115">
        <v>3.046287502355121</v>
      </c>
      <c r="P117" s="115">
        <v>2.8633595297467127</v>
      </c>
      <c r="Q117" s="111">
        <v>3.046287502355121</v>
      </c>
      <c r="R117" s="68">
        <v>2.8633595297467127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2025-02-02T13:50:41Z</dcterms:modified>
</cp:coreProperties>
</file>