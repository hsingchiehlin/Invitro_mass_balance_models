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Sensitivity analysis\IVMBM\384well_1um\"/>
    </mc:Choice>
  </mc:AlternateContent>
  <xr:revisionPtr revIDLastSave="0" documentId="13_ncr:1_{2161E587-D0CA-45CC-945A-AFFB8EE3F079}" xr6:coauthVersionLast="47" xr6:coauthVersionMax="47" xr10:uidLastSave="{00000000-0000-0000-0000-000000000000}"/>
  <bookViews>
    <workbookView xWindow="43080" yWindow="-120" windowWidth="29040" windowHeight="15720" tabRatio="841" firstSheet="1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<sst xmlns="http://schemas.openxmlformats.org/spreadsheetml/2006/main" count="2915" uniqueCount="495">
  <si>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</si>
  <si>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</si>
  <si>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</si>
  <si>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</si>
  <si>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</si>
  <si>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</si>
  <si>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</si>
  <si>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</si>
  <si>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</si>
  <si>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</si>
  <si>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</si>
  <si>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</si>
  <si>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</si>
  <si>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</si>
  <si>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</si>
  <si>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</si>
  <si>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</si>
  <si>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</si>
  <si>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</si>
  <si>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</si>
  <si>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</si>
  <si>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</si>
  <si>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</si>
  <si>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</si>
  <si>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</si>
  <si>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</si>
  <si>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</si>
  <si>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</si>
  <si>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</si>
  <si>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</si>
  <si>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</si>
  <si>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</si>
  <si>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</si>
  <si>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</si>
  <si>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</si>
  <si>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</si>
  <si>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</si>
  <si>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</si>
  <si>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</si>
  <si>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</si>
  <si>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</si>
  <si>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</si>
  <si>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</si>
  <si>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</si>
  <si>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</si>
  <si>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</si>
  <si>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</si>
  <si>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</si>
  <si>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</si>
  <si>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</si>
  <si>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</si>
  <si>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</si>
  <si>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</si>
  <si>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</si>
  <si>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</si>
  <si>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</si>
  <si>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</si>
  <si>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</si>
  <si>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</si>
  <si>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</si>
  <si>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</si>
  <si>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</si>
  <si>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</si>
  <si>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</si>
  <si>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</si>
  <si>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</si>
  <si>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</si>
  <si>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</si>
  <si>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</si>
  <si>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</si>
  <si>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</si>
  <si>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</si>
  <si>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</si>
  <si>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</si>
  <si>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</si>
  <si>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</si>
  <si>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</si>
  <si>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</si>
  <si>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</si>
  <si>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</si>
  <si>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</si>
  <si>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</si>
  <si>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</si>
  <si>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</si>
  <si>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</si>
  <si>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</si>
  <si>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</si>
  <si>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</si>
  <si>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</si>
  <si>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</si>
  <si>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</si>
  <si>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</si>
  <si>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</si>
  <si>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</si>
  <si>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</si>
  <si>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</si>
  <si>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</si>
  <si>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</si>
  <si>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</si>
  <si>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</si>
  <si>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</si>
  <si>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</si>
  <si>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</si>
  <si>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</si>
  <si>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</si>
  <si>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</si>
  <si>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</si>
  <si>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</si>
  <si>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</si>
  <si>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</si>
  <si>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</si>
  <si>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</si>
  <si>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</si>
  <si>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</si>
  <si>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</si>
  <si>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</si>
  <si>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</si>
  <si>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</si>
  <si>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</si>
  <si>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</si>
  <si>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</si>
  <si>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</si>
  <si>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</si>
  <si>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</si>
  <si>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</si>
  <si>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</si>
  <si>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</si>
  <si>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</si>
  <si>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</si>
  <si>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</si>
  <si>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</si>
  <si>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</si>
  <si>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</si>
  <si>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</si>
  <si>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</si>
  <si>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</si>
  <si>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</si>
  <si>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</si>
  <si>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</si>
  <si>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</si>
  <si>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</si>
  <si>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</si>
  <si>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</si>
  <si>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</si>
  <si>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</si>
  <si>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</si>
  <si>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</si>
  <si>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</si>
  <si>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</si>
  <si>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</si>
  <si>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</si>
  <si>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</si>
  <si>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</si>
  <si>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</si>
  <si>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</si>
  <si>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</si>
  <si>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</si>
  <si>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</si>
  <si>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</si>
  <si>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</si>
  <si>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</si>
  <si>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</si>
  <si>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</si>
  <si>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</si>
  <si>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</si>
  <si>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</si>
  <si>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</si>
  <si>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</si>
  <si>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</si>
  <si>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</si>
  <si>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</si>
  <si>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</si>
  <si>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</si>
  <si>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</si>
  <si>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</si>
  <si>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</si>
  <si>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</si>
  <si>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</si>
  <si>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</si>
  <si>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</si>
  <si>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</si>
  <si>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</si>
  <si>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</si>
  <si>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</si>
  <si>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</si>
  <si>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</si>
  <si>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</si>
  <si>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</si>
  <si>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</si>
  <si>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</si>
  <si>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</si>
  <si>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</si>
  <si>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</si>
  <si>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</si>
  <si>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</si>
  <si>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</si>
  <si>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</si>
  <si>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</si>
  <si>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</si>
  <si>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</si>
  <si>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</si>
  <si>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</si>
  <si>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</si>
  <si>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</si>
  <si>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</si>
  <si>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</si>
  <si>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</si>
  <si>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</si>
  <si>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</si>
  <si>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</si>
  <si>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</si>
  <si>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</si>
  <si>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</si>
  <si>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</si>
  <si>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</si>
  <si>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</si>
  <si>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</si>
  <si>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</si>
  <si>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</si>
  <si>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</si>
  <si>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</si>
  <si>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</si>
  <si>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</si>
  <si>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</si>
  <si>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</si>
  <si>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</si>
  <si>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</si>
  <si>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</si>
  <si>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</si>
  <si>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</si>
  <si>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</si>
  <si>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</si>
  <si>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</si>
  <si>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</si>
  <si>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</si>
  <si>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</si>
  <si>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</si>
  <si>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</si>
  <si>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</si>
  <si>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</si>
  <si>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</si>
  <si>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</si>
  <si>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</si>
  <si>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</si>
  <si>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</si>
  <si>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</si>
  <si>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</si>
  <si>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</si>
  <si>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</si>
  <si>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</si>
  <si>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</si>
  <si>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</si>
  <si>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</si>
  <si>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</si>
  <si>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</si>
  <si>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</si>
  <si>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</si>
  <si>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</si>
  <si>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</si>
  <si>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</si>
  <si>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</si>
  <si>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</si>
  <si>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</si>
  <si>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</si>
  <si>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</si>
  <si>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</si>
  <si>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</si>
  <si>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</si>
  <si>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</si>
  <si>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</si>
  <si>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</si>
  <si>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</si>
  <si>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</si>
  <si>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</si>
  <si>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</si>
  <si>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</si>
  <si>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</si>
  <si>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</si>
  <si>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</si>
  <si>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</si>
  <si>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</si>
  <si>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</si>
  <si>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</si>
  <si>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</si>
  <si>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</si>
  <si>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</si>
  <si>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</si>
  <si>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</si>
  <si>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</si>
  <si>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</si>
  <si>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</si>
  <si>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</si>
  <si>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</si>
  <si>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</si>
  <si>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</si>
  <si>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</si>
  <si>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</si>
  <si>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</si>
  <si>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</si>
  <si>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</si>
  <si>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</si>
  <si>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</si>
  <si>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</si>
  <si>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</si>
  <si>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</si>
  <si>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</si>
  <si>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</si>
  <si>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</si>
  <si>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</si>
  <si>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</si>
  <si>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</si>
  <si>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</si>
  <si>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</si>
  <si>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</si>
  <si>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</si>
  <si>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</si>
  <si>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</si>
  <si>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</si>
  <si>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</si>
  <si>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</si>
  <si>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</si>
  <si>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</si>
  <si>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</si>
  <si>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</si>
  <si>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</si>
  <si>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</si>
  <si>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</si>
  <si>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</si>
  <si>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</si>
  <si>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</si>
  <si>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</si>
  <si>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</si>
  <si>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</si>
  <si>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</si>
  <si>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</si>
  <si>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</si>
  <si>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</si>
  <si>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</si>
  <si>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</si>
  <si>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</si>
  <si>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</si>
  <si>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</si>
  <si>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</si>
  <si>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</si>
  <si>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</si>
  <si>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</si>
  <si>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</si>
  <si>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</si>
  <si>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</si>
  <si>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</si>
  <si>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</si>
  <si>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</si>
  <si>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</si>
  <si>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</si>
  <si>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</si>
  <si>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</si>
  <si>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</si>
  <si>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</si>
  <si>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</si>
  <si>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</si>
  <si>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</si>
  <si>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</si>
  <si>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</si>
  <si>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</si>
  <si>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</si>
  <si>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</si>
  <si>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</si>
  <si>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</si>
  <si>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</si>
  <si>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</si>
  <si>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</si>
  <si>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</si>
  <si>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</si>
  <si>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</si>
  <si>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</si>
  <si>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</si>
  <si>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</si>
  <si>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</si>
  <si>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</si>
  <si>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</si>
  <si>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</si>
  <si>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</si>
  <si>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</si>
  <si>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</si>
  <si>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</si>
  <si>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</si>
  <si>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</si>
  <si>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</si>
  <si>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</si>
  <si>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</si>
  <si>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</si>
  <si>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</si>
  <si>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</si>
  <si>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</si>
  <si>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</si>
  <si>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</si>
  <si>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</si>
  <si>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</si>
  <si>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</si>
  <si>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</si>
  <si>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</si>
  <si>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</si>
  <si>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</si>
  <si>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</si>
  <si>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</si>
  <si>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</si>
  <si>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</si>
  <si>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</si>
  <si>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</si>
  <si>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</si>
  <si>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</si>
  <si>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PFBS</t>
  </si>
  <si>
    <t>375-73-5</t>
  </si>
  <si>
    <t>4:2 FTS</t>
  </si>
  <si>
    <t>757124-72-4</t>
  </si>
  <si>
    <t>PFNA</t>
  </si>
  <si>
    <t>375-95-1</t>
  </si>
  <si>
    <t>PFHxA</t>
  </si>
  <si>
    <t>307-24-4</t>
  </si>
  <si>
    <t>PFBA</t>
  </si>
  <si>
    <t>375-22-4</t>
  </si>
  <si>
    <t>PFOA</t>
  </si>
  <si>
    <t>335-67-1</t>
  </si>
  <si>
    <t>6:2 FTS</t>
  </si>
  <si>
    <t>27619-97-2</t>
  </si>
  <si>
    <t>8:2 FTS</t>
  </si>
  <si>
    <t>39108-34-4</t>
  </si>
  <si>
    <t>PFUnDA</t>
  </si>
  <si>
    <t>2058-94-8</t>
  </si>
  <si>
    <t>PFOS</t>
  </si>
  <si>
    <t>1763-23-1</t>
  </si>
  <si>
    <t>PFHpA</t>
  </si>
  <si>
    <t>375-85-9</t>
  </si>
  <si>
    <t>PFPeA</t>
  </si>
  <si>
    <t>2706-90-3</t>
  </si>
  <si>
    <t>PFHxS</t>
  </si>
  <si>
    <t>355-46-4</t>
  </si>
  <si>
    <t>PFDA</t>
  </si>
  <si>
    <t>335-76-2</t>
  </si>
  <si>
    <t>84057-84-1</t>
    <phoneticPr fontId="24" type="noConversion"/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</si>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</sst>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57150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95250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38100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53" activePane="bottomLeft" state="frozen"/>
      <selection pane="bottomLeft" activeCell="Z108" sqref="Z108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313</v>
      </c>
      <c r="B2" s="103" t="s">
        <v>314</v>
      </c>
      <c r="C2" s="127"/>
      <c r="D2" s="104">
        <v>184.11</v>
      </c>
      <c r="E2" s="104">
        <v>116</v>
      </c>
      <c r="F2" s="103"/>
      <c r="G2" s="104" t="s">
        <v>176</v>
      </c>
      <c r="H2" s="107"/>
      <c r="I2" s="107">
        <v>1.67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-6.32</v>
      </c>
      <c r="U2" s="103"/>
      <c r="V2" s="115">
        <v>1441.5813000000001</v>
      </c>
      <c r="W2" s="115"/>
      <c r="X2" s="107"/>
      <c r="Y2" s="103"/>
      <c r="Z2" s="115">
        <v>1</v>
      </c>
    </row>
    <row r="3" spans="1:27" s="102" customFormat="1">
      <c r="A3" s="102" t="s">
        <v>315</v>
      </c>
      <c r="B3" s="103" t="s">
        <v>316</v>
      </c>
      <c r="C3" s="127"/>
      <c r="D3" s="104">
        <v>364.91</v>
      </c>
      <c r="E3" s="104">
        <v>129</v>
      </c>
      <c r="F3" s="103"/>
      <c r="G3" s="104" t="s">
        <v>176</v>
      </c>
      <c r="H3" s="107"/>
      <c r="I3" s="107">
        <v>6.5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-1.68</v>
      </c>
      <c r="U3" s="103"/>
      <c r="V3" s="115">
        <v>2.6310011000000001E-2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317</v>
      </c>
      <c r="B4" s="103" t="s">
        <v>318</v>
      </c>
      <c r="C4" s="127"/>
      <c r="D4" s="104">
        <v>317.32</v>
      </c>
      <c r="E4" s="104">
        <v>73</v>
      </c>
      <c r="F4" s="104"/>
      <c r="G4" s="104" t="s">
        <v>176</v>
      </c>
      <c r="H4" s="107"/>
      <c r="I4" s="107">
        <v>2.75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-13.3</v>
      </c>
      <c r="U4" s="103"/>
      <c r="V4" s="115">
        <v>23.132628</v>
      </c>
      <c r="W4" s="115"/>
      <c r="X4" s="103"/>
      <c r="Y4" s="103"/>
      <c r="Z4" s="115">
        <v>1</v>
      </c>
    </row>
    <row r="5" spans="1:27" s="102" customFormat="1">
      <c r="A5" s="102" t="s">
        <v>307</v>
      </c>
      <c r="B5" s="103" t="s">
        <v>308</v>
      </c>
      <c r="C5" s="127"/>
      <c r="D5" s="104">
        <v>350.59</v>
      </c>
      <c r="E5" s="104">
        <v>42</v>
      </c>
      <c r="F5" s="103"/>
      <c r="G5" s="104" t="s">
        <v>176</v>
      </c>
      <c r="H5" s="107"/>
      <c r="I5" s="107">
        <v>4.96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-4.17</v>
      </c>
      <c r="U5" s="103"/>
      <c r="V5" s="115">
        <v>1.1499352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319</v>
      </c>
      <c r="B6" s="103" t="s">
        <v>320</v>
      </c>
      <c r="C6" s="128"/>
      <c r="D6" s="104">
        <v>354.49</v>
      </c>
      <c r="E6" s="104">
        <v>108</v>
      </c>
      <c r="F6" s="104"/>
      <c r="G6" s="104" t="s">
        <v>176</v>
      </c>
      <c r="H6" s="107"/>
      <c r="I6" s="107">
        <v>6.91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-3.82</v>
      </c>
      <c r="U6" s="103"/>
      <c r="V6" s="115">
        <v>6.6998609999999997E-3</v>
      </c>
      <c r="W6" s="115"/>
      <c r="X6" s="107"/>
      <c r="Y6" s="129"/>
      <c r="Z6" s="115">
        <v>1</v>
      </c>
    </row>
    <row r="7" spans="1:27" s="102" customFormat="1" ht="13.15">
      <c r="A7" s="102" t="s">
        <v>321</v>
      </c>
      <c r="B7" s="103" t="s">
        <v>322</v>
      </c>
      <c r="C7" s="127"/>
      <c r="D7" s="104">
        <v>354.49</v>
      </c>
      <c r="E7" s="104">
        <v>116</v>
      </c>
      <c r="F7" s="103"/>
      <c r="G7" s="104" t="s">
        <v>176</v>
      </c>
      <c r="H7" s="107"/>
      <c r="I7" s="107">
        <v>6.56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-3.95</v>
      </c>
      <c r="U7" s="103"/>
      <c r="V7" s="115">
        <v>7.656984E-2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323</v>
      </c>
      <c r="B8" s="103" t="s">
        <v>324</v>
      </c>
      <c r="C8" s="127"/>
      <c r="D8" s="104">
        <v>320.04000000000002</v>
      </c>
      <c r="E8" s="104">
        <v>110</v>
      </c>
      <c r="F8" s="104"/>
      <c r="G8" s="104" t="s">
        <v>176</v>
      </c>
      <c r="H8" s="107"/>
      <c r="I8" s="107">
        <v>6.12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-3.32</v>
      </c>
      <c r="U8" s="103"/>
      <c r="V8" s="115">
        <v>9.0251280000000003E-2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325</v>
      </c>
      <c r="B9" s="103" t="s">
        <v>326</v>
      </c>
      <c r="C9" s="127"/>
      <c r="D9" s="104">
        <v>304.35000000000002</v>
      </c>
      <c r="E9" s="104">
        <v>52.6</v>
      </c>
      <c r="F9" s="104"/>
      <c r="G9" s="104" t="s">
        <v>176</v>
      </c>
      <c r="H9" s="107"/>
      <c r="I9" s="107">
        <v>3.81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-5.17</v>
      </c>
      <c r="U9" s="103"/>
      <c r="V9" s="115">
        <v>47.4786</v>
      </c>
      <c r="W9" s="115"/>
      <c r="X9" s="107"/>
      <c r="Y9" s="103"/>
      <c r="Z9" s="115">
        <v>1</v>
      </c>
    </row>
    <row r="10" spans="1:27" s="102" customFormat="1">
      <c r="A10" s="102" t="s">
        <v>275</v>
      </c>
      <c r="B10" s="103" t="s">
        <v>276</v>
      </c>
      <c r="C10" s="127"/>
      <c r="D10" s="104">
        <v>370.49</v>
      </c>
      <c r="E10" s="104">
        <v>77.5</v>
      </c>
      <c r="F10" s="103"/>
      <c r="G10" s="104" t="s">
        <v>176</v>
      </c>
      <c r="H10" s="107"/>
      <c r="I10" s="107">
        <v>5.0199999999999996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-6.03</v>
      </c>
      <c r="U10" s="103"/>
      <c r="V10" s="115">
        <v>0.8632417</v>
      </c>
      <c r="W10" s="115"/>
      <c r="X10" s="107"/>
      <c r="Y10" s="103"/>
      <c r="Z10" s="115">
        <v>1</v>
      </c>
    </row>
    <row r="11" spans="1:27" s="102" customFormat="1">
      <c r="A11" s="102" t="s">
        <v>327</v>
      </c>
      <c r="B11" s="103" t="s">
        <v>328</v>
      </c>
      <c r="C11" s="128"/>
      <c r="D11" s="104">
        <v>380.91</v>
      </c>
      <c r="E11" s="104">
        <v>202</v>
      </c>
      <c r="F11" s="103"/>
      <c r="G11" s="104" t="s">
        <v>176</v>
      </c>
      <c r="H11" s="107"/>
      <c r="I11" s="107">
        <v>5.12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-4.26</v>
      </c>
      <c r="U11" s="103"/>
      <c r="V11" s="115">
        <v>0.20835777</v>
      </c>
      <c r="W11" s="115"/>
      <c r="X11" s="107"/>
      <c r="Y11" s="103"/>
      <c r="Z11" s="115">
        <v>1</v>
      </c>
    </row>
    <row r="12" spans="1:27" s="102" customFormat="1" ht="13.15">
      <c r="A12" s="102" t="s">
        <v>329</v>
      </c>
      <c r="B12" s="103" t="s">
        <v>330</v>
      </c>
      <c r="C12" s="128"/>
      <c r="D12" s="104">
        <v>274.39999999999998</v>
      </c>
      <c r="E12" s="104">
        <v>-25</v>
      </c>
      <c r="F12" s="104"/>
      <c r="G12" s="104" t="s">
        <v>176</v>
      </c>
      <c r="H12" s="107"/>
      <c r="I12" s="107">
        <v>4.0199999999999996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-5.26</v>
      </c>
      <c r="U12" s="103"/>
      <c r="V12" s="115">
        <v>18.055520000000001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277</v>
      </c>
      <c r="B13" s="103" t="s">
        <v>278</v>
      </c>
      <c r="C13" s="127"/>
      <c r="D13" s="104">
        <v>406.93</v>
      </c>
      <c r="E13" s="104">
        <v>106</v>
      </c>
      <c r="F13" s="103"/>
      <c r="G13" s="104" t="s">
        <v>176</v>
      </c>
      <c r="H13" s="107"/>
      <c r="I13" s="107">
        <v>3.83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-4.96</v>
      </c>
      <c r="U13" s="103"/>
      <c r="V13" s="115">
        <v>0.40570920999999999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331</v>
      </c>
      <c r="B14" s="103" t="s">
        <v>332</v>
      </c>
      <c r="C14" s="127"/>
      <c r="D14" s="104">
        <v>380.91</v>
      </c>
      <c r="E14" s="104">
        <v>144</v>
      </c>
      <c r="F14" s="104"/>
      <c r="G14" s="104" t="s">
        <v>176</v>
      </c>
      <c r="H14" s="107"/>
      <c r="I14" s="107">
        <v>5.43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-4.26</v>
      </c>
      <c r="U14" s="103"/>
      <c r="V14" s="115">
        <v>5.1803759999999997E-2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333</v>
      </c>
      <c r="B15" s="103" t="s">
        <v>334</v>
      </c>
      <c r="C15" s="127"/>
      <c r="D15" s="104">
        <v>384.48</v>
      </c>
      <c r="E15" s="104">
        <v>-13</v>
      </c>
      <c r="F15" s="103"/>
      <c r="G15" s="104" t="s">
        <v>176</v>
      </c>
      <c r="H15" s="107"/>
      <c r="I15" s="107">
        <v>5.07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-7.25</v>
      </c>
      <c r="U15" s="103"/>
      <c r="V15" s="115">
        <v>1.7340047999999999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335</v>
      </c>
      <c r="B16" s="103" t="s">
        <v>336</v>
      </c>
      <c r="C16" s="127"/>
      <c r="D16" s="104">
        <v>373.32</v>
      </c>
      <c r="E16" s="104">
        <v>95.5</v>
      </c>
      <c r="F16" s="104"/>
      <c r="G16" s="104" t="s">
        <v>176</v>
      </c>
      <c r="H16" s="107"/>
      <c r="I16" s="107">
        <v>6.1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-2.92</v>
      </c>
      <c r="U16" s="103"/>
      <c r="V16" s="115">
        <v>0.14223491999999999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337</v>
      </c>
      <c r="B17" s="103" t="s">
        <v>338</v>
      </c>
      <c r="C17" s="128"/>
      <c r="D17" s="104">
        <v>389.32</v>
      </c>
      <c r="E17" s="104">
        <v>160</v>
      </c>
      <c r="F17" s="103"/>
      <c r="G17" s="104" t="s">
        <v>176</v>
      </c>
      <c r="H17" s="107"/>
      <c r="I17" s="107">
        <v>4.9800000000000004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-4.75</v>
      </c>
      <c r="U17" s="103"/>
      <c r="V17" s="115">
        <v>0.22308036000000001</v>
      </c>
      <c r="W17" s="115"/>
      <c r="X17" s="107"/>
      <c r="Y17" s="103"/>
      <c r="Z17" s="115">
        <v>1</v>
      </c>
    </row>
    <row r="18" spans="1:30" s="102" customFormat="1">
      <c r="A18" s="102" t="s">
        <v>279</v>
      </c>
      <c r="B18" s="103" t="s">
        <v>280</v>
      </c>
      <c r="C18" s="127"/>
      <c r="D18" s="104">
        <v>290.83</v>
      </c>
      <c r="E18" s="104">
        <v>75.2</v>
      </c>
      <c r="F18" s="104"/>
      <c r="G18" s="104" t="s">
        <v>176</v>
      </c>
      <c r="H18" s="107"/>
      <c r="I18" s="107">
        <v>3.72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-3.77</v>
      </c>
      <c r="U18" s="103"/>
      <c r="V18" s="115">
        <v>4.4496989999999998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339</v>
      </c>
      <c r="B19" s="103" t="s">
        <v>340</v>
      </c>
      <c r="C19" s="127"/>
      <c r="D19" s="104">
        <v>345.65</v>
      </c>
      <c r="E19" s="104">
        <v>87</v>
      </c>
      <c r="F19" s="103"/>
      <c r="G19" s="104" t="s">
        <v>176</v>
      </c>
      <c r="H19" s="107"/>
      <c r="I19" s="107">
        <v>5.08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-6.7</v>
      </c>
      <c r="U19" s="103"/>
      <c r="V19" s="115">
        <v>8.4684250000000003E-2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281</v>
      </c>
      <c r="B20" s="103" t="s">
        <v>282</v>
      </c>
      <c r="C20" s="127"/>
      <c r="D20" s="104">
        <v>291.26</v>
      </c>
      <c r="E20" s="104">
        <v>6.1</v>
      </c>
      <c r="F20" s="104"/>
      <c r="G20" s="104" t="s">
        <v>176</v>
      </c>
      <c r="H20" s="107"/>
      <c r="I20" s="107">
        <v>3.83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-5.78</v>
      </c>
      <c r="U20" s="103"/>
      <c r="V20" s="115">
        <v>12.728062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341</v>
      </c>
      <c r="B21" s="103" t="s">
        <v>342</v>
      </c>
      <c r="C21" s="128"/>
      <c r="D21" s="104">
        <v>335.28</v>
      </c>
      <c r="E21" s="104">
        <v>49</v>
      </c>
      <c r="F21" s="103"/>
      <c r="G21" s="104" t="s">
        <v>176</v>
      </c>
      <c r="H21" s="107"/>
      <c r="I21" s="107">
        <v>5.34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-3.39</v>
      </c>
      <c r="U21" s="103"/>
      <c r="V21" s="115">
        <v>0.28632911999999999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343</v>
      </c>
      <c r="B22" s="103" t="s">
        <v>344</v>
      </c>
      <c r="C22" s="127"/>
      <c r="D22" s="104">
        <v>164.2</v>
      </c>
      <c r="E22" s="104">
        <v>-9.1</v>
      </c>
      <c r="F22" s="103"/>
      <c r="G22" s="104" t="s">
        <v>176</v>
      </c>
      <c r="H22" s="107"/>
      <c r="I22" s="107">
        <v>2.27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-4.8499999999999996</v>
      </c>
      <c r="U22" s="103"/>
      <c r="V22" s="115">
        <v>840.70399999999995</v>
      </c>
      <c r="W22" s="115"/>
      <c r="X22" s="107"/>
      <c r="Y22" s="103"/>
      <c r="Z22" s="115">
        <v>1</v>
      </c>
    </row>
    <row r="23" spans="1:30" s="102" customFormat="1">
      <c r="A23" s="102" t="s">
        <v>345</v>
      </c>
      <c r="B23" s="103" t="s">
        <v>346</v>
      </c>
      <c r="C23" s="128"/>
      <c r="D23" s="104">
        <v>151.16</v>
      </c>
      <c r="E23" s="104">
        <v>24.5</v>
      </c>
      <c r="F23" s="103"/>
      <c r="G23" s="104" t="s">
        <v>176</v>
      </c>
      <c r="H23" s="107"/>
      <c r="I23" s="107">
        <v>1.88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-6.32</v>
      </c>
      <c r="U23" s="103"/>
      <c r="V23" s="115">
        <v>2872.04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347</v>
      </c>
      <c r="B24" s="103" t="s">
        <v>348</v>
      </c>
      <c r="C24" s="127"/>
      <c r="D24" s="104">
        <v>176.25</v>
      </c>
      <c r="E24" s="104">
        <v>50.8</v>
      </c>
      <c r="F24" s="103"/>
      <c r="G24" s="104" t="s">
        <v>176</v>
      </c>
      <c r="H24" s="107"/>
      <c r="I24" s="107">
        <v>3.24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-5.78</v>
      </c>
      <c r="U24" s="103"/>
      <c r="V24" s="115">
        <v>222.07499999999999</v>
      </c>
      <c r="W24" s="115"/>
      <c r="X24" s="107"/>
      <c r="Y24" s="103"/>
      <c r="Z24" s="115">
        <v>1</v>
      </c>
    </row>
    <row r="25" spans="1:30" s="102" customFormat="1">
      <c r="A25" s="102" t="s">
        <v>349</v>
      </c>
      <c r="B25" s="103" t="s">
        <v>350</v>
      </c>
      <c r="C25" s="128"/>
      <c r="D25" s="104">
        <v>192.3</v>
      </c>
      <c r="E25" s="104">
        <v>17.5</v>
      </c>
      <c r="F25" s="103"/>
      <c r="G25" s="104" t="s">
        <v>176</v>
      </c>
      <c r="H25" s="107"/>
      <c r="I25" s="107">
        <v>4.29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-2.6</v>
      </c>
      <c r="U25" s="103"/>
      <c r="V25" s="115">
        <v>7.9804500000000003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351</v>
      </c>
      <c r="B26" s="103" t="s">
        <v>352</v>
      </c>
      <c r="C26" s="127"/>
      <c r="D26" s="104">
        <v>222.37</v>
      </c>
      <c r="E26" s="104">
        <v>40.4</v>
      </c>
      <c r="F26" s="104"/>
      <c r="G26" s="104" t="s">
        <v>176</v>
      </c>
      <c r="H26" s="107"/>
      <c r="I26" s="107">
        <v>5.28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-3.52</v>
      </c>
      <c r="U26" s="103"/>
      <c r="V26" s="115">
        <v>0.93840140000000005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353</v>
      </c>
      <c r="B27" s="103" t="s">
        <v>354</v>
      </c>
      <c r="C27" s="128"/>
      <c r="D27" s="104">
        <v>236.39</v>
      </c>
      <c r="E27" s="104">
        <v>60.7</v>
      </c>
      <c r="F27" s="103"/>
      <c r="G27" s="104" t="s">
        <v>176</v>
      </c>
      <c r="H27" s="107"/>
      <c r="I27" s="107">
        <v>6.45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-1.88</v>
      </c>
      <c r="U27" s="103"/>
      <c r="V27" s="115">
        <v>0.15223516000000001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355</v>
      </c>
      <c r="B28" s="103" t="s">
        <v>356</v>
      </c>
      <c r="C28" s="128"/>
      <c r="D28" s="104">
        <v>258.39999999999998</v>
      </c>
      <c r="E28" s="104">
        <v>54.5</v>
      </c>
      <c r="F28" s="103"/>
      <c r="G28" s="104" t="s">
        <v>176</v>
      </c>
      <c r="H28" s="107"/>
      <c r="I28" s="107">
        <v>5.7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-3.69</v>
      </c>
      <c r="U28" s="103"/>
      <c r="V28" s="115">
        <v>1.250656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357</v>
      </c>
      <c r="B29" s="103" t="s">
        <v>358</v>
      </c>
      <c r="C29" s="127"/>
      <c r="D29" s="104">
        <v>236.39</v>
      </c>
      <c r="E29" s="104">
        <v>60.7</v>
      </c>
      <c r="F29" s="103"/>
      <c r="G29" s="104" t="s">
        <v>176</v>
      </c>
      <c r="H29" s="107"/>
      <c r="I29" s="107">
        <v>5.4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-1.56</v>
      </c>
      <c r="U29" s="103"/>
      <c r="V29" s="115">
        <v>2.4348169999999998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359</v>
      </c>
      <c r="B30" s="103" t="s">
        <v>360</v>
      </c>
      <c r="C30" s="127"/>
      <c r="D30" s="104">
        <v>258.39999999999998</v>
      </c>
      <c r="E30" s="104">
        <v>54.5</v>
      </c>
      <c r="F30" s="103"/>
      <c r="G30" s="104" t="s">
        <v>176</v>
      </c>
      <c r="H30" s="107"/>
      <c r="I30" s="107">
        <v>5.7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-3.69</v>
      </c>
      <c r="U30" s="103"/>
      <c r="V30" s="115">
        <v>1.250656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283</v>
      </c>
      <c r="B31" s="103" t="s">
        <v>284</v>
      </c>
      <c r="C31" s="127"/>
      <c r="D31" s="104">
        <v>194.19</v>
      </c>
      <c r="E31" s="104">
        <v>238</v>
      </c>
      <c r="F31" s="103"/>
      <c r="G31" s="104" t="s">
        <v>176</v>
      </c>
      <c r="H31" s="107"/>
      <c r="I31" s="107">
        <v>-7.0000000000000007E-2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-9.9499999999999993</v>
      </c>
      <c r="U31" s="103"/>
      <c r="V31" s="115">
        <v>21749.279999999999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361</v>
      </c>
      <c r="B32" s="103" t="s">
        <v>439</v>
      </c>
      <c r="C32" s="127"/>
      <c r="D32" s="104">
        <v>256.08999999999997</v>
      </c>
      <c r="E32" s="104">
        <v>207</v>
      </c>
      <c r="F32" s="103"/>
      <c r="G32" s="104" t="s">
        <v>363</v>
      </c>
      <c r="H32" s="107">
        <v>5.34</v>
      </c>
      <c r="I32" s="107">
        <v>2.57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-9.6999999999999993</v>
      </c>
      <c r="U32" s="103"/>
      <c r="V32" s="115">
        <v>249.94383999999999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364</v>
      </c>
      <c r="B33" s="103" t="s">
        <v>365</v>
      </c>
      <c r="C33" s="127"/>
      <c r="D33" s="104">
        <v>296.14999999999998</v>
      </c>
      <c r="E33" s="104">
        <v>284</v>
      </c>
      <c r="F33" s="103"/>
      <c r="G33" s="104" t="s">
        <v>306</v>
      </c>
      <c r="H33" s="107">
        <v>4.1500000000000004</v>
      </c>
      <c r="I33" s="107">
        <v>0.7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-9.0500000000000007</v>
      </c>
      <c r="U33" s="103"/>
      <c r="V33" s="115">
        <v>7.0187549999999996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285</v>
      </c>
      <c r="B34" s="103" t="s">
        <v>286</v>
      </c>
      <c r="C34" s="127"/>
      <c r="D34" s="104">
        <v>221.04</v>
      </c>
      <c r="E34" s="104">
        <v>140</v>
      </c>
      <c r="F34" s="103"/>
      <c r="G34" s="104" t="s">
        <v>306</v>
      </c>
      <c r="H34" s="107">
        <v>2.9</v>
      </c>
      <c r="I34" s="107">
        <v>2.81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-7.08</v>
      </c>
      <c r="U34" s="103"/>
      <c r="V34" s="115">
        <v>1644.5376000000001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287</v>
      </c>
      <c r="B35" s="103" t="s">
        <v>288</v>
      </c>
      <c r="C35" s="127"/>
      <c r="D35" s="104">
        <v>230.26</v>
      </c>
      <c r="E35" s="104">
        <v>153</v>
      </c>
      <c r="F35" s="103"/>
      <c r="G35" s="104" t="s">
        <v>306</v>
      </c>
      <c r="H35" s="107">
        <v>4.1500000000000004</v>
      </c>
      <c r="I35" s="107">
        <v>3.18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-9.64</v>
      </c>
      <c r="U35" s="103"/>
      <c r="V35" s="115">
        <v>13.355079999999999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366</v>
      </c>
      <c r="B36" s="103" t="s">
        <v>305</v>
      </c>
      <c r="C36" s="127"/>
      <c r="D36" s="104">
        <v>206.28</v>
      </c>
      <c r="E36" s="104">
        <v>89.1</v>
      </c>
      <c r="F36" s="103"/>
      <c r="G36" s="104" t="s">
        <v>306</v>
      </c>
      <c r="H36" s="107">
        <v>4.45</v>
      </c>
      <c r="I36" s="107">
        <v>3.73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-6.22</v>
      </c>
      <c r="U36" s="103"/>
      <c r="V36" s="115">
        <v>35.686439999999997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289</v>
      </c>
      <c r="B37" s="103" t="s">
        <v>290</v>
      </c>
      <c r="C37" s="127"/>
      <c r="D37" s="104">
        <v>348.42</v>
      </c>
      <c r="E37" s="104">
        <v>224</v>
      </c>
      <c r="F37" s="103"/>
      <c r="G37" s="104" t="s">
        <v>306</v>
      </c>
      <c r="H37" s="107">
        <v>6.68</v>
      </c>
      <c r="I37" s="107">
        <v>3.37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-15.3</v>
      </c>
      <c r="U37" s="103"/>
      <c r="V37" s="115">
        <v>79.788179999999997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291</v>
      </c>
      <c r="B38" s="103" t="s">
        <v>292</v>
      </c>
      <c r="C38" s="127"/>
      <c r="D38" s="104">
        <v>308.33</v>
      </c>
      <c r="E38" s="104">
        <v>161</v>
      </c>
      <c r="F38" s="104"/>
      <c r="G38" s="104" t="s">
        <v>306</v>
      </c>
      <c r="H38" s="107">
        <v>4.9000000000000004</v>
      </c>
      <c r="I38" s="107">
        <v>2.7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-11.6</v>
      </c>
      <c r="U38" s="103"/>
      <c r="V38" s="115">
        <v>29.692178999999999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367</v>
      </c>
      <c r="B39" s="103" t="s">
        <v>368</v>
      </c>
      <c r="C39" s="127"/>
      <c r="D39" s="104">
        <v>278.33999999999997</v>
      </c>
      <c r="E39" s="104">
        <v>-35</v>
      </c>
      <c r="F39" s="103"/>
      <c r="G39" s="104" t="s">
        <v>176</v>
      </c>
      <c r="H39" s="107"/>
      <c r="I39" s="107">
        <v>4.6100000000000003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-5.26</v>
      </c>
      <c r="U39" s="103"/>
      <c r="V39" s="115">
        <v>11.189268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369</v>
      </c>
      <c r="B40" s="103" t="s">
        <v>370</v>
      </c>
      <c r="C40" s="127"/>
      <c r="D40" s="104">
        <v>406.9</v>
      </c>
      <c r="E40" s="104">
        <v>166</v>
      </c>
      <c r="F40" s="103"/>
      <c r="G40" s="104" t="s">
        <v>306</v>
      </c>
      <c r="H40" s="107">
        <v>5.15</v>
      </c>
      <c r="I40" s="107">
        <v>7.54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-9.2100000000000009</v>
      </c>
      <c r="U40" s="103"/>
      <c r="V40" s="115">
        <v>140.78739999999999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371</v>
      </c>
      <c r="B41" s="103" t="s">
        <v>372</v>
      </c>
      <c r="C41" s="127"/>
      <c r="D41" s="104">
        <v>140.19</v>
      </c>
      <c r="E41" s="104">
        <v>96.3</v>
      </c>
      <c r="F41" s="103"/>
      <c r="G41" s="104" t="s">
        <v>176</v>
      </c>
      <c r="H41" s="107"/>
      <c r="I41" s="107">
        <v>-1.27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-3.42</v>
      </c>
      <c r="U41" s="103"/>
      <c r="V41" s="115">
        <v>999554.7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293</v>
      </c>
      <c r="B42" s="103" t="s">
        <v>294</v>
      </c>
      <c r="C42" s="127"/>
      <c r="D42" s="104">
        <v>330.36</v>
      </c>
      <c r="E42" s="104">
        <v>2.8</v>
      </c>
      <c r="F42" s="103"/>
      <c r="G42" s="104" t="s">
        <v>176</v>
      </c>
      <c r="H42" s="107"/>
      <c r="I42" s="107">
        <v>2.36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-9.8699999999999992</v>
      </c>
      <c r="U42" s="103"/>
      <c r="V42" s="115">
        <v>144.69767999999999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373</v>
      </c>
      <c r="B43" s="103" t="s">
        <v>374</v>
      </c>
      <c r="C43" s="127"/>
      <c r="D43" s="104">
        <v>266.33999999999997</v>
      </c>
      <c r="E43" s="104">
        <v>174</v>
      </c>
      <c r="F43" s="103"/>
      <c r="G43" s="104" t="s">
        <v>306</v>
      </c>
      <c r="H43" s="107">
        <v>4.7</v>
      </c>
      <c r="I43" s="107">
        <v>5.12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-5.0199999999999996</v>
      </c>
      <c r="U43" s="103"/>
      <c r="V43" s="115">
        <v>40.48368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375</v>
      </c>
      <c r="B44" s="103" t="s">
        <v>376</v>
      </c>
      <c r="C44" s="128"/>
      <c r="D44" s="104">
        <v>149.4</v>
      </c>
      <c r="E44" s="104">
        <v>19</v>
      </c>
      <c r="F44" s="103"/>
      <c r="G44" s="104" t="s">
        <v>176</v>
      </c>
      <c r="H44" s="107"/>
      <c r="I44" s="107">
        <v>1.42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-3.34</v>
      </c>
      <c r="U44" s="103"/>
      <c r="V44" s="115">
        <v>83215.8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377</v>
      </c>
      <c r="B45" s="103" t="s">
        <v>378</v>
      </c>
      <c r="C45" s="103"/>
      <c r="D45" s="104">
        <v>222.24</v>
      </c>
      <c r="E45" s="104">
        <v>-40.5</v>
      </c>
      <c r="F45" s="104"/>
      <c r="G45" s="104" t="s">
        <v>176</v>
      </c>
      <c r="H45" s="103"/>
      <c r="I45" s="107">
        <v>2.44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-5.26</v>
      </c>
      <c r="U45" s="103"/>
      <c r="V45" s="115">
        <v>1037.8607999999999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379</v>
      </c>
      <c r="B46" s="103" t="s">
        <v>380</v>
      </c>
      <c r="C46" s="103"/>
      <c r="D46" s="104">
        <v>128.56</v>
      </c>
      <c r="E46" s="104">
        <v>42.7</v>
      </c>
      <c r="F46" s="104"/>
      <c r="G46" s="104" t="s">
        <v>176</v>
      </c>
      <c r="H46" s="103"/>
      <c r="I46" s="107">
        <v>2.39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-4.8</v>
      </c>
      <c r="U46" s="103"/>
      <c r="V46" s="115">
        <v>24554.959999999999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381</v>
      </c>
      <c r="B47" s="103" t="s">
        <v>382</v>
      </c>
      <c r="C47" s="103"/>
      <c r="D47" s="104">
        <v>391.29</v>
      </c>
      <c r="E47" s="104">
        <v>34</v>
      </c>
      <c r="F47" s="104"/>
      <c r="G47" s="104" t="s">
        <v>176</v>
      </c>
      <c r="H47" s="103"/>
      <c r="I47" s="107">
        <v>6.5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-6.61</v>
      </c>
      <c r="U47" s="103"/>
      <c r="V47" s="115">
        <v>8.3736060000000001E-2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383</v>
      </c>
      <c r="B48" s="103" t="s">
        <v>384</v>
      </c>
      <c r="C48" s="103"/>
      <c r="D48" s="104">
        <v>93.13</v>
      </c>
      <c r="E48" s="104">
        <v>-6</v>
      </c>
      <c r="F48" s="104"/>
      <c r="G48" s="104" t="s">
        <v>176</v>
      </c>
      <c r="H48" s="103"/>
      <c r="I48" s="107">
        <v>0.9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-4.2699999999999996</v>
      </c>
      <c r="U48" s="103"/>
      <c r="V48" s="115">
        <v>36041.31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385</v>
      </c>
      <c r="B49" s="103" t="s">
        <v>386</v>
      </c>
      <c r="C49" s="103"/>
      <c r="D49" s="104">
        <v>111.12</v>
      </c>
      <c r="E49" s="102">
        <v>-0.8</v>
      </c>
      <c r="F49" s="102"/>
      <c r="G49" s="102" t="s">
        <v>176</v>
      </c>
      <c r="H49" s="103"/>
      <c r="I49" s="107">
        <v>1.1499999999999999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-3.98</v>
      </c>
      <c r="U49" s="103"/>
      <c r="V49" s="115">
        <v>14778.96</v>
      </c>
      <c r="W49" s="115"/>
      <c r="X49" s="107"/>
      <c r="Y49" s="103"/>
      <c r="Z49" s="115">
        <v>1</v>
      </c>
      <c r="AA49" s="11"/>
    </row>
    <row r="50" spans="1:27">
      <c r="A50" s="102" t="s">
        <v>387</v>
      </c>
      <c r="B50" s="103" t="s">
        <v>388</v>
      </c>
      <c r="C50" s="103"/>
      <c r="D50" s="104">
        <v>197.45</v>
      </c>
      <c r="E50" s="102">
        <v>69</v>
      </c>
      <c r="F50" s="102"/>
      <c r="G50" s="102" t="s">
        <v>176</v>
      </c>
      <c r="H50" s="103"/>
      <c r="I50" s="107">
        <v>3.69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-3.46</v>
      </c>
      <c r="U50" s="103"/>
      <c r="V50" s="115">
        <v>833.23900000000003</v>
      </c>
      <c r="W50" s="115"/>
      <c r="X50" s="107"/>
      <c r="Y50" s="103"/>
      <c r="Z50" s="115">
        <v>1</v>
      </c>
      <c r="AA50" s="11"/>
    </row>
    <row r="51" spans="1:27">
      <c r="A51" s="102" t="s">
        <v>295</v>
      </c>
      <c r="B51" s="103" t="s">
        <v>296</v>
      </c>
      <c r="C51" s="103"/>
      <c r="D51" s="104">
        <v>58.08</v>
      </c>
      <c r="E51" s="102">
        <v>-129</v>
      </c>
      <c r="F51" s="102"/>
      <c r="G51" s="102" t="s">
        <v>176</v>
      </c>
      <c r="H51" s="103"/>
      <c r="I51" s="107">
        <v>0.17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-3.52</v>
      </c>
      <c r="U51" s="103"/>
      <c r="V51" s="115">
        <v>998976</v>
      </c>
      <c r="W51" s="115"/>
      <c r="X51" s="107"/>
      <c r="Y51" s="103"/>
      <c r="Z51" s="115">
        <v>1</v>
      </c>
      <c r="AA51" s="11"/>
    </row>
    <row r="52" spans="1:27">
      <c r="A52" s="102" t="s">
        <v>389</v>
      </c>
      <c r="B52" s="103" t="s">
        <v>390</v>
      </c>
      <c r="C52" s="103"/>
      <c r="D52" s="104">
        <v>107.15</v>
      </c>
      <c r="E52" s="103">
        <v>-57</v>
      </c>
      <c r="F52" s="103"/>
      <c r="G52" s="104" t="s">
        <v>176</v>
      </c>
      <c r="H52" s="103"/>
      <c r="I52" s="107">
        <v>1.66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-3.41</v>
      </c>
      <c r="U52" s="103"/>
      <c r="V52" s="115">
        <v>5625.375</v>
      </c>
      <c r="W52" s="115"/>
      <c r="X52" s="107"/>
      <c r="Y52" s="103"/>
      <c r="Z52" s="115">
        <v>1</v>
      </c>
      <c r="AA52" s="11"/>
    </row>
    <row r="53" spans="1:27">
      <c r="A53" s="102" t="s">
        <v>391</v>
      </c>
      <c r="B53" s="103" t="s">
        <v>392</v>
      </c>
      <c r="C53" s="103"/>
      <c r="D53" s="104">
        <v>162.02000000000001</v>
      </c>
      <c r="E53" s="103">
        <v>72</v>
      </c>
      <c r="F53" s="103"/>
      <c r="G53" s="104" t="s">
        <v>176</v>
      </c>
      <c r="H53" s="103"/>
      <c r="I53" s="107">
        <v>2.69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-4.68</v>
      </c>
      <c r="U53" s="103"/>
      <c r="V53" s="115">
        <v>145.65598</v>
      </c>
      <c r="W53" s="115"/>
      <c r="X53" s="107"/>
      <c r="Y53" s="103"/>
      <c r="Z53" s="115">
        <v>1</v>
      </c>
      <c r="AA53" s="11"/>
    </row>
    <row r="54" spans="1:27">
      <c r="A54" s="102" t="s">
        <v>393</v>
      </c>
      <c r="B54" s="103" t="s">
        <v>394</v>
      </c>
      <c r="C54" s="103"/>
      <c r="D54" s="104">
        <v>233.39</v>
      </c>
      <c r="E54" s="103">
        <v>25</v>
      </c>
      <c r="F54" s="103"/>
      <c r="G54" s="104" t="s">
        <v>176</v>
      </c>
      <c r="H54" s="103"/>
      <c r="I54" s="107">
        <v>6.32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-3.09</v>
      </c>
      <c r="U54" s="103"/>
      <c r="V54" s="115">
        <v>0.20374946999999999</v>
      </c>
      <c r="W54" s="115"/>
      <c r="X54" s="107"/>
      <c r="Y54" s="103"/>
      <c r="Z54" s="115">
        <v>1</v>
      </c>
      <c r="AA54" s="11"/>
    </row>
    <row r="55" spans="1:27">
      <c r="A55" s="102" t="s">
        <v>395</v>
      </c>
      <c r="B55" s="103" t="s">
        <v>396</v>
      </c>
      <c r="C55" s="103"/>
      <c r="D55" s="104">
        <v>128.16999999999999</v>
      </c>
      <c r="E55" s="103">
        <v>80.2</v>
      </c>
      <c r="F55" s="103"/>
      <c r="G55" s="104" t="s">
        <v>176</v>
      </c>
      <c r="H55" s="103"/>
      <c r="I55" s="107">
        <v>3.3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-2.41</v>
      </c>
      <c r="U55" s="103"/>
      <c r="V55" s="115">
        <v>31.657990000000002</v>
      </c>
      <c r="W55" s="115"/>
      <c r="X55" s="107"/>
      <c r="Y55" s="103"/>
      <c r="Z55" s="115">
        <v>1</v>
      </c>
      <c r="AA55" s="11"/>
    </row>
    <row r="56" spans="1:27">
      <c r="A56" s="102" t="s">
        <v>397</v>
      </c>
      <c r="B56" s="103" t="s">
        <v>398</v>
      </c>
      <c r="C56" s="103"/>
      <c r="D56" s="104">
        <v>181.45</v>
      </c>
      <c r="E56" s="103">
        <v>17</v>
      </c>
      <c r="F56" s="103"/>
      <c r="G56" s="104" t="s">
        <v>176</v>
      </c>
      <c r="H56" s="103"/>
      <c r="I56" s="107">
        <v>3.99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-0.83</v>
      </c>
      <c r="U56" s="103"/>
      <c r="V56" s="115">
        <v>46.4512</v>
      </c>
      <c r="W56" s="115"/>
      <c r="X56" s="107"/>
      <c r="Y56" s="103"/>
      <c r="Z56" s="115">
        <v>1</v>
      </c>
      <c r="AA56" s="11"/>
    </row>
    <row r="57" spans="1:27">
      <c r="A57" s="102" t="s">
        <v>399</v>
      </c>
      <c r="B57" s="103" t="s">
        <v>400</v>
      </c>
      <c r="C57" s="103"/>
      <c r="D57" s="104">
        <v>147</v>
      </c>
      <c r="E57" s="103">
        <v>-16.7</v>
      </c>
      <c r="F57" s="103"/>
      <c r="G57" s="104" t="s">
        <v>176</v>
      </c>
      <c r="H57" s="103"/>
      <c r="I57" s="107">
        <v>3.43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-0.98</v>
      </c>
      <c r="U57" s="103"/>
      <c r="V57" s="115">
        <v>143.32499999999999</v>
      </c>
      <c r="W57" s="115"/>
      <c r="X57" s="107"/>
      <c r="Y57" s="103"/>
      <c r="Z57" s="115">
        <v>1</v>
      </c>
      <c r="AA57" s="11"/>
    </row>
    <row r="58" spans="1:27">
      <c r="A58" s="102" t="s">
        <v>297</v>
      </c>
      <c r="B58" s="103" t="s">
        <v>298</v>
      </c>
      <c r="C58" s="103"/>
      <c r="D58" s="104">
        <v>84.93</v>
      </c>
      <c r="E58" s="103">
        <v>-95.1</v>
      </c>
      <c r="F58" s="103"/>
      <c r="G58" s="104" t="s">
        <v>176</v>
      </c>
      <c r="H58" s="103"/>
      <c r="I58" s="107">
        <v>1.25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-1.19</v>
      </c>
      <c r="U58" s="103"/>
      <c r="V58" s="115">
        <v>15117.54</v>
      </c>
      <c r="W58" s="115"/>
      <c r="X58" s="107"/>
      <c r="Y58" s="103"/>
      <c r="Z58" s="115">
        <v>1</v>
      </c>
      <c r="AA58" s="11"/>
    </row>
    <row r="59" spans="1:27">
      <c r="A59" s="102" t="s">
        <v>401</v>
      </c>
      <c r="B59" s="103" t="s">
        <v>402</v>
      </c>
      <c r="C59" s="103"/>
      <c r="D59" s="104">
        <v>165.83</v>
      </c>
      <c r="E59" s="103">
        <v>-22.3</v>
      </c>
      <c r="F59" s="103"/>
      <c r="G59" s="104" t="s">
        <v>176</v>
      </c>
      <c r="H59" s="103"/>
      <c r="I59" s="107">
        <v>3.4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-0.52</v>
      </c>
      <c r="U59" s="103"/>
      <c r="V59" s="115">
        <v>276.93610000000001</v>
      </c>
      <c r="W59" s="115"/>
      <c r="X59" s="107"/>
      <c r="Y59" s="103"/>
      <c r="Z59" s="115">
        <v>1</v>
      </c>
      <c r="AA59" s="11"/>
    </row>
    <row r="60" spans="1:27">
      <c r="A60" s="102" t="s">
        <v>299</v>
      </c>
      <c r="B60" s="103" t="s">
        <v>300</v>
      </c>
      <c r="C60" s="103"/>
      <c r="D60" s="104">
        <v>82.14</v>
      </c>
      <c r="E60" s="103">
        <v>-76</v>
      </c>
      <c r="F60" s="103"/>
      <c r="G60" s="104" t="s">
        <v>176</v>
      </c>
      <c r="H60" s="103"/>
      <c r="I60" s="107">
        <v>3.07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0.95</v>
      </c>
      <c r="U60" s="103"/>
      <c r="V60" s="115">
        <v>326.91719999999998</v>
      </c>
      <c r="W60" s="115"/>
      <c r="X60" s="107"/>
      <c r="Y60" s="103"/>
      <c r="Z60" s="115">
        <v>1</v>
      </c>
      <c r="AA60" s="11"/>
    </row>
    <row r="61" spans="1:27">
      <c r="A61" s="102" t="s">
        <v>403</v>
      </c>
      <c r="B61" s="103" t="s">
        <v>404</v>
      </c>
      <c r="C61" s="103"/>
      <c r="D61" s="104">
        <v>1202.6099999999999</v>
      </c>
      <c r="E61" s="103">
        <v>150</v>
      </c>
      <c r="F61" s="103"/>
      <c r="G61" s="104" t="s">
        <v>176</v>
      </c>
      <c r="H61" s="103"/>
      <c r="I61" s="107">
        <v>2.92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-45.2</v>
      </c>
      <c r="U61" s="103"/>
      <c r="V61" s="115">
        <v>0.67706942999999997</v>
      </c>
      <c r="W61" s="115"/>
      <c r="X61" s="107"/>
      <c r="Y61" s="103"/>
      <c r="Z61" s="115">
        <v>1</v>
      </c>
      <c r="AA61" s="11"/>
    </row>
    <row r="62" spans="1:27">
      <c r="A62" s="102" t="s">
        <v>405</v>
      </c>
      <c r="B62" s="103" t="s">
        <v>406</v>
      </c>
      <c r="C62" s="103"/>
      <c r="D62" s="104">
        <v>318.86</v>
      </c>
      <c r="E62" s="103">
        <v>151</v>
      </c>
      <c r="F62" s="103"/>
      <c r="G62" s="104" t="s">
        <v>176</v>
      </c>
      <c r="H62" s="103"/>
      <c r="I62" s="107">
        <v>5.41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-6.97</v>
      </c>
      <c r="U62" s="103"/>
      <c r="V62" s="115">
        <v>2.2128884000000002</v>
      </c>
      <c r="W62" s="115"/>
      <c r="X62" s="107"/>
      <c r="Y62" s="103"/>
      <c r="Z62" s="115">
        <v>1</v>
      </c>
      <c r="AA62" s="11"/>
    </row>
    <row r="63" spans="1:27">
      <c r="A63" s="102" t="s">
        <v>407</v>
      </c>
      <c r="B63" s="103" t="s">
        <v>408</v>
      </c>
      <c r="C63" s="103"/>
      <c r="D63" s="104">
        <v>485.79</v>
      </c>
      <c r="E63" s="103">
        <v>152</v>
      </c>
      <c r="F63" s="103"/>
      <c r="G63" s="104" t="s">
        <v>176</v>
      </c>
      <c r="H63" s="103"/>
      <c r="I63" s="107">
        <v>6.81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-3.56</v>
      </c>
      <c r="U63" s="103"/>
      <c r="V63" s="115">
        <v>4.4206889999999999E-2</v>
      </c>
      <c r="W63" s="115"/>
      <c r="X63" s="107"/>
      <c r="Y63" s="103"/>
      <c r="Z63" s="115">
        <v>1</v>
      </c>
      <c r="AA63" s="11"/>
    </row>
    <row r="64" spans="1:27">
      <c r="A64" s="102" t="s">
        <v>409</v>
      </c>
      <c r="B64" s="103" t="s">
        <v>410</v>
      </c>
      <c r="C64" s="103"/>
      <c r="D64" s="104">
        <v>564.69000000000005</v>
      </c>
      <c r="E64" s="103">
        <v>177</v>
      </c>
      <c r="F64" s="103"/>
      <c r="G64" s="104" t="s">
        <v>176</v>
      </c>
      <c r="H64" s="103"/>
      <c r="I64" s="107">
        <v>7.32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-4.01</v>
      </c>
      <c r="U64" s="103"/>
      <c r="V64" s="115">
        <v>1.4343125999999999E-2</v>
      </c>
      <c r="W64" s="115"/>
      <c r="X64" s="107"/>
      <c r="Y64" s="103"/>
      <c r="Z64" s="115">
        <v>1</v>
      </c>
      <c r="AA64" s="11"/>
    </row>
    <row r="65" spans="1:27">
      <c r="A65" s="102" t="s">
        <v>301</v>
      </c>
      <c r="B65" s="103" t="s">
        <v>302</v>
      </c>
      <c r="C65" s="103"/>
      <c r="D65" s="104">
        <v>643.58000000000004</v>
      </c>
      <c r="E65" s="103">
        <v>197</v>
      </c>
      <c r="F65" s="103"/>
      <c r="G65" s="104" t="s">
        <v>176</v>
      </c>
      <c r="H65" s="103"/>
      <c r="I65" s="107">
        <v>7.9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-4.37</v>
      </c>
      <c r="U65" s="103"/>
      <c r="V65" s="115">
        <v>1.9500474E-3</v>
      </c>
      <c r="W65" s="115"/>
      <c r="X65" s="107"/>
      <c r="Y65" s="103"/>
      <c r="Z65" s="115">
        <v>1</v>
      </c>
      <c r="AA65" s="11"/>
    </row>
    <row r="66" spans="1:27">
      <c r="A66" s="102" t="s">
        <v>303</v>
      </c>
      <c r="B66" s="103" t="s">
        <v>304</v>
      </c>
      <c r="C66" s="103"/>
      <c r="D66" s="104">
        <v>645.30999999999995</v>
      </c>
      <c r="E66" s="103">
        <v>238</v>
      </c>
      <c r="F66" s="103"/>
      <c r="G66" s="104" t="s">
        <v>176</v>
      </c>
      <c r="H66" s="103"/>
      <c r="I66" s="107">
        <v>7.57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-10.7</v>
      </c>
      <c r="U66" s="103"/>
      <c r="V66" s="115">
        <v>0.4168</v>
      </c>
      <c r="W66" s="115"/>
      <c r="X66" s="107"/>
      <c r="Y66" s="103"/>
      <c r="Z66" s="115">
        <v>1</v>
      </c>
      <c r="AA66" s="11"/>
    </row>
    <row r="67" spans="1:27">
      <c r="A67" s="102" t="s">
        <v>411</v>
      </c>
      <c r="B67" s="103" t="s">
        <v>412</v>
      </c>
      <c r="C67" s="103"/>
      <c r="D67" s="104">
        <v>300.10000000000002</v>
      </c>
      <c r="E67" s="103">
        <v>23.4</v>
      </c>
      <c r="F67" s="103"/>
      <c r="G67" s="104" t="s">
        <v>176</v>
      </c>
      <c r="H67" s="104"/>
      <c r="I67" s="107">
        <v>1.5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-4.63</v>
      </c>
      <c r="U67" s="103"/>
      <c r="V67" s="115">
        <v>510.17</v>
      </c>
      <c r="W67" s="115"/>
      <c r="X67" s="107"/>
      <c r="Y67" s="103"/>
      <c r="Z67" s="115">
        <v>1</v>
      </c>
      <c r="AA67" s="11"/>
    </row>
    <row r="68" spans="1:27">
      <c r="A68" s="102" t="s">
        <v>413</v>
      </c>
      <c r="B68" s="103" t="s">
        <v>414</v>
      </c>
      <c r="C68" s="103"/>
      <c r="D68" s="104">
        <v>328.15</v>
      </c>
      <c r="E68" s="104">
        <v>33.299999999999997</v>
      </c>
      <c r="F68" s="104"/>
      <c r="G68" s="104" t="s">
        <v>176</v>
      </c>
      <c r="H68" s="103"/>
      <c r="I68" s="107">
        <v>1.76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-4.26</v>
      </c>
      <c r="U68" s="103"/>
      <c r="V68" s="115">
        <v>1283.0664999999999</v>
      </c>
      <c r="W68" s="115"/>
      <c r="X68" s="107"/>
      <c r="Y68" s="103"/>
      <c r="Z68" s="115">
        <v>1</v>
      </c>
      <c r="AA68" s="11"/>
    </row>
    <row r="69" spans="1:27">
      <c r="A69" s="102" t="s">
        <v>415</v>
      </c>
      <c r="B69" s="103" t="s">
        <v>416</v>
      </c>
      <c r="C69" s="103"/>
      <c r="D69" s="104">
        <v>464.08</v>
      </c>
      <c r="E69" s="103">
        <v>68.599999999999994</v>
      </c>
      <c r="F69" s="103"/>
      <c r="G69" s="104" t="s">
        <v>176</v>
      </c>
      <c r="H69" s="103"/>
      <c r="I69" s="107">
        <v>6.07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-2.4700000000000002</v>
      </c>
      <c r="U69" s="103"/>
      <c r="V69" s="115">
        <v>1299.424</v>
      </c>
      <c r="W69" s="115"/>
      <c r="X69" s="107"/>
      <c r="Y69" s="103"/>
      <c r="Z69" s="115">
        <v>1</v>
      </c>
      <c r="AA69" s="11"/>
    </row>
    <row r="70" spans="1:27">
      <c r="A70" s="102" t="s">
        <v>417</v>
      </c>
      <c r="B70" s="103" t="s">
        <v>418</v>
      </c>
      <c r="C70" s="103"/>
      <c r="D70" s="104">
        <v>314.05</v>
      </c>
      <c r="E70" s="103">
        <v>11.7</v>
      </c>
      <c r="F70" s="103"/>
      <c r="G70" s="104" t="s">
        <v>176</v>
      </c>
      <c r="H70" s="104"/>
      <c r="I70" s="107">
        <v>4.2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-3.31</v>
      </c>
      <c r="U70" s="103"/>
      <c r="V70" s="115">
        <v>29.332270000000001</v>
      </c>
      <c r="W70" s="115"/>
      <c r="X70" s="107"/>
      <c r="Y70" s="103"/>
      <c r="Z70" s="115">
        <v>1</v>
      </c>
      <c r="AA70" s="11"/>
    </row>
    <row r="71" spans="1:27">
      <c r="A71" s="102" t="s">
        <v>419</v>
      </c>
      <c r="B71" s="103" t="s">
        <v>420</v>
      </c>
      <c r="C71" s="103"/>
      <c r="D71" s="104">
        <v>214.04</v>
      </c>
      <c r="E71" s="104">
        <v>-17.899999999999999</v>
      </c>
      <c r="F71" s="104"/>
      <c r="G71" s="104" t="s">
        <v>176</v>
      </c>
      <c r="H71" s="104"/>
      <c r="I71" s="107">
        <v>1.72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-3.87</v>
      </c>
      <c r="U71" s="103"/>
      <c r="V71" s="115">
        <v>447.34359999999998</v>
      </c>
      <c r="W71" s="115"/>
      <c r="X71" s="107"/>
      <c r="Y71" s="103"/>
      <c r="Z71" s="115">
        <v>1</v>
      </c>
      <c r="AA71" s="11"/>
    </row>
    <row r="72" spans="1:27">
      <c r="A72" s="102" t="s">
        <v>421</v>
      </c>
      <c r="B72" s="103" t="s">
        <v>422</v>
      </c>
      <c r="C72" s="103"/>
      <c r="D72" s="104">
        <v>414.07</v>
      </c>
      <c r="E72" s="104">
        <v>54.3</v>
      </c>
      <c r="F72" s="104"/>
      <c r="G72" s="104" t="s">
        <v>176</v>
      </c>
      <c r="H72" s="104"/>
      <c r="I72" s="107">
        <v>4.13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-2.75</v>
      </c>
      <c r="U72" s="103"/>
      <c r="V72" s="115">
        <v>5051.6540000000005</v>
      </c>
      <c r="W72" s="115"/>
      <c r="X72" s="107"/>
      <c r="Y72" s="103"/>
      <c r="Z72" s="115">
        <v>1</v>
      </c>
      <c r="AA72" s="11"/>
    </row>
    <row r="73" spans="1:27">
      <c r="A73" s="102" t="s">
        <v>423</v>
      </c>
      <c r="B73" s="103" t="s">
        <v>424</v>
      </c>
      <c r="C73" s="103"/>
      <c r="D73" s="104">
        <v>428.17</v>
      </c>
      <c r="E73" s="104">
        <v>32.1</v>
      </c>
      <c r="F73" s="104"/>
      <c r="G73" s="104" t="s">
        <v>176</v>
      </c>
      <c r="H73" s="104"/>
      <c r="I73" s="107">
        <v>2.97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-3.7</v>
      </c>
      <c r="U73" s="103"/>
      <c r="V73" s="115">
        <v>18.240041999999999</v>
      </c>
      <c r="W73" s="115"/>
      <c r="X73" s="107"/>
      <c r="Y73" s="103"/>
      <c r="Z73" s="115">
        <v>1</v>
      </c>
      <c r="AA73" s="11"/>
    </row>
    <row r="74" spans="1:27">
      <c r="A74" s="102" t="s">
        <v>425</v>
      </c>
      <c r="B74" s="103" t="s">
        <v>426</v>
      </c>
      <c r="C74" s="103"/>
      <c r="D74" s="104">
        <v>528.17999999999995</v>
      </c>
      <c r="E74" s="104">
        <v>32.4</v>
      </c>
      <c r="F74" s="104"/>
      <c r="G74" s="104" t="s">
        <v>176</v>
      </c>
      <c r="H74" s="104"/>
      <c r="I74" s="107">
        <v>4.18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-3.14</v>
      </c>
      <c r="U74" s="103"/>
      <c r="V74" s="115">
        <v>0.24560370000000001</v>
      </c>
      <c r="W74" s="115"/>
      <c r="X74" s="107"/>
      <c r="Y74" s="103"/>
      <c r="Z74" s="115">
        <v>1</v>
      </c>
      <c r="AA74" s="11"/>
    </row>
    <row r="75" spans="1:27">
      <c r="A75" s="102" t="s">
        <v>427</v>
      </c>
      <c r="B75" s="103" t="s">
        <v>428</v>
      </c>
      <c r="C75" s="103"/>
      <c r="D75" s="104">
        <v>564.09</v>
      </c>
      <c r="E75" s="104">
        <v>98.5</v>
      </c>
      <c r="F75" s="104"/>
      <c r="G75" s="104" t="s">
        <v>306</v>
      </c>
      <c r="H75" s="104"/>
      <c r="I75" s="107">
        <v>5.95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-1.91</v>
      </c>
      <c r="U75" s="103"/>
      <c r="V75" s="115">
        <v>91.946669999999997</v>
      </c>
      <c r="W75" s="115"/>
      <c r="X75" s="107"/>
      <c r="Y75" s="103"/>
      <c r="Z75" s="115">
        <v>1</v>
      </c>
      <c r="AA75" s="11"/>
    </row>
    <row r="76" spans="1:27">
      <c r="A76" s="102" t="s">
        <v>429</v>
      </c>
      <c r="B76" s="103" t="s">
        <v>430</v>
      </c>
      <c r="C76" s="103"/>
      <c r="D76" s="104">
        <v>500.13</v>
      </c>
      <c r="E76" s="104">
        <v>22.8</v>
      </c>
      <c r="F76" s="104"/>
      <c r="G76" s="104" t="s">
        <v>306</v>
      </c>
      <c r="H76" s="104"/>
      <c r="I76" s="107">
        <v>5.95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-3.51</v>
      </c>
      <c r="U76" s="103"/>
      <c r="V76" s="115">
        <v>570.14819999999997</v>
      </c>
      <c r="W76" s="115"/>
      <c r="X76" s="107"/>
      <c r="Y76" s="103"/>
      <c r="Z76" s="115">
        <v>1</v>
      </c>
      <c r="AA76" s="11"/>
    </row>
    <row r="77" spans="1:27">
      <c r="A77" s="102" t="s">
        <v>431</v>
      </c>
      <c r="B77" s="103" t="s">
        <v>432</v>
      </c>
      <c r="C77" s="103"/>
      <c r="D77" s="104">
        <v>364.06</v>
      </c>
      <c r="E77" s="104">
        <v>35.4</v>
      </c>
      <c r="F77" s="104"/>
      <c r="G77" s="104" t="s">
        <v>176</v>
      </c>
      <c r="H77" s="104"/>
      <c r="I77" s="107">
        <v>3.53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-3.03</v>
      </c>
      <c r="U77" s="103"/>
      <c r="V77" s="115">
        <v>117955.44</v>
      </c>
      <c r="W77" s="115"/>
      <c r="X77" s="107"/>
      <c r="Y77" s="103"/>
      <c r="Z77" s="115">
        <v>1</v>
      </c>
      <c r="AA77" s="11"/>
    </row>
    <row r="78" spans="1:27">
      <c r="A78" s="102" t="s">
        <v>433</v>
      </c>
      <c r="B78" s="103" t="s">
        <v>434</v>
      </c>
      <c r="C78" s="103"/>
      <c r="D78" s="104">
        <v>264.05</v>
      </c>
      <c r="E78" s="104">
        <v>1.5</v>
      </c>
      <c r="F78" s="104"/>
      <c r="G78" s="104" t="s">
        <v>176</v>
      </c>
      <c r="H78" s="104"/>
      <c r="I78" s="107">
        <v>2.3199999999999998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-3.59</v>
      </c>
      <c r="U78" s="103"/>
      <c r="V78" s="115">
        <v>119.87869999999999</v>
      </c>
      <c r="W78" s="115"/>
      <c r="X78" s="107"/>
      <c r="Y78" s="103"/>
      <c r="Z78" s="115">
        <v>1</v>
      </c>
      <c r="AA78" s="11"/>
    </row>
    <row r="79" spans="1:27">
      <c r="A79" s="102" t="s">
        <v>435</v>
      </c>
      <c r="B79" s="103" t="s">
        <v>436</v>
      </c>
      <c r="C79" s="103"/>
      <c r="D79" s="104">
        <v>400.11</v>
      </c>
      <c r="E79" s="104">
        <v>190</v>
      </c>
      <c r="F79" s="104"/>
      <c r="G79" s="104" t="s">
        <v>176</v>
      </c>
      <c r="H79" s="104"/>
      <c r="I79" s="107">
        <v>2.71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-4.07</v>
      </c>
      <c r="U79" s="103"/>
      <c r="V79" s="115">
        <v>243.26687999999999</v>
      </c>
      <c r="W79" s="115"/>
      <c r="X79" s="107"/>
      <c r="Y79" s="103"/>
      <c r="Z79" s="115">
        <v>1</v>
      </c>
      <c r="AA79" s="11"/>
    </row>
    <row r="80" spans="1:27">
      <c r="A80" s="102" t="s">
        <v>437</v>
      </c>
      <c r="B80" s="103" t="s">
        <v>438</v>
      </c>
      <c r="C80" s="103"/>
      <c r="D80" s="104">
        <v>514.08000000000004</v>
      </c>
      <c r="E80" s="104">
        <v>90</v>
      </c>
      <c r="F80" s="104"/>
      <c r="G80" s="104" t="s">
        <v>306</v>
      </c>
      <c r="H80" s="104"/>
      <c r="I80" s="107">
        <v>6.4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-2.19</v>
      </c>
      <c r="U80" s="103"/>
      <c r="V80" s="115">
        <v>1156.68</v>
      </c>
      <c r="W80" s="115"/>
      <c r="X80" s="107"/>
      <c r="Y80" s="103"/>
      <c r="Z80" s="115">
        <v>1</v>
      </c>
      <c r="AA80" s="11"/>
    </row>
    <row r="81" spans="1:27">
      <c r="A81" s="102" t="s">
        <v>440</v>
      </c>
      <c r="B81" s="103" t="s">
        <v>441</v>
      </c>
      <c r="C81" s="103"/>
      <c r="D81" s="104">
        <v>277.26</v>
      </c>
      <c r="E81" s="104">
        <v>244</v>
      </c>
      <c r="F81" s="104"/>
      <c r="G81" s="104" t="s">
        <v>176</v>
      </c>
      <c r="H81" s="104"/>
      <c r="I81" s="107">
        <v>0.1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-15.1</v>
      </c>
      <c r="U81" s="103"/>
      <c r="V81" s="115">
        <v>100.09086000000001</v>
      </c>
      <c r="W81" s="115"/>
      <c r="X81" s="107"/>
      <c r="Y81" s="103"/>
      <c r="Z81" s="115">
        <v>1</v>
      </c>
      <c r="AA81" s="11"/>
    </row>
    <row r="82" spans="1:27">
      <c r="A82" s="102" t="s">
        <v>442</v>
      </c>
      <c r="B82" s="103" t="s">
        <v>443</v>
      </c>
      <c r="C82" s="103"/>
      <c r="D82" s="104">
        <v>165.19</v>
      </c>
      <c r="E82" s="104">
        <v>92</v>
      </c>
      <c r="F82" s="104"/>
      <c r="G82" s="104" t="s">
        <v>176</v>
      </c>
      <c r="H82" s="104"/>
      <c r="I82" s="107">
        <v>1.86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-6.33</v>
      </c>
      <c r="U82" s="103"/>
      <c r="V82" s="115">
        <v>834.20950000000005</v>
      </c>
      <c r="W82" s="115"/>
      <c r="X82" s="107"/>
      <c r="Y82" s="103"/>
      <c r="Z82" s="115">
        <v>1</v>
      </c>
      <c r="AA82" s="11"/>
    </row>
    <row r="83" spans="1:27">
      <c r="A83" s="102" t="s">
        <v>444</v>
      </c>
      <c r="B83" s="103" t="s">
        <v>445</v>
      </c>
      <c r="C83" s="103"/>
      <c r="D83" s="104">
        <v>180.24</v>
      </c>
      <c r="E83" s="104">
        <v>64.900000000000006</v>
      </c>
      <c r="F83" s="104"/>
      <c r="G83" s="104" t="s">
        <v>176</v>
      </c>
      <c r="H83" s="104"/>
      <c r="I83" s="107">
        <v>3.42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-4.8</v>
      </c>
      <c r="U83" s="103"/>
      <c r="V83" s="115">
        <v>358.67759999999998</v>
      </c>
      <c r="W83" s="115"/>
      <c r="X83" s="107"/>
      <c r="Y83" s="103"/>
      <c r="Z83" s="115">
        <v>1</v>
      </c>
      <c r="AA83" s="11"/>
    </row>
    <row r="84" spans="1:27">
      <c r="A84" s="102" t="s">
        <v>446</v>
      </c>
      <c r="B84" s="103" t="s">
        <v>447</v>
      </c>
      <c r="C84" s="103"/>
      <c r="D84" s="104">
        <v>388.89</v>
      </c>
      <c r="E84" s="104">
        <v>249</v>
      </c>
      <c r="F84" s="104"/>
      <c r="G84" s="104" t="s">
        <v>176</v>
      </c>
      <c r="H84" s="104"/>
      <c r="I84" s="107">
        <v>0.71499999999999997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-16.600000000000001</v>
      </c>
      <c r="U84" s="103"/>
      <c r="V84" s="115">
        <v>443.33460000000002</v>
      </c>
      <c r="W84" s="115"/>
      <c r="X84" s="107"/>
      <c r="Y84" s="103"/>
      <c r="Z84" s="115">
        <v>1</v>
      </c>
      <c r="AA84" s="11"/>
    </row>
    <row r="85" spans="1:27">
      <c r="A85" s="102" t="s">
        <v>448</v>
      </c>
      <c r="B85" s="103" t="s">
        <v>449</v>
      </c>
      <c r="C85" s="103"/>
      <c r="D85" s="104">
        <v>179.24</v>
      </c>
      <c r="E85" s="104">
        <v>107</v>
      </c>
      <c r="F85" s="104"/>
      <c r="G85" s="104" t="s">
        <v>176</v>
      </c>
      <c r="H85" s="104"/>
      <c r="I85" s="107">
        <v>-0.58499999999999996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-9.77</v>
      </c>
      <c r="U85" s="103"/>
      <c r="V85" s="115">
        <v>874691.2</v>
      </c>
      <c r="W85" s="115"/>
      <c r="X85" s="107"/>
      <c r="Y85" s="103"/>
      <c r="Z85" s="115">
        <v>1</v>
      </c>
      <c r="AA85" s="11"/>
    </row>
    <row r="86" spans="1:27">
      <c r="A86" s="102" t="s">
        <v>450</v>
      </c>
      <c r="B86" s="103" t="s">
        <v>451</v>
      </c>
      <c r="C86" s="103"/>
      <c r="D86" s="104">
        <v>261.08999999999997</v>
      </c>
      <c r="E86" s="104">
        <v>61.5</v>
      </c>
      <c r="F86" s="104"/>
      <c r="G86" s="104" t="s">
        <v>176</v>
      </c>
      <c r="H86" s="104"/>
      <c r="I86" s="107">
        <v>0.69499999999999995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-10.199999999999999</v>
      </c>
      <c r="U86" s="103"/>
      <c r="V86" s="115">
        <v>46212.93</v>
      </c>
      <c r="W86" s="115"/>
      <c r="X86" s="107"/>
      <c r="Y86" s="103"/>
      <c r="Z86" s="115">
        <v>1</v>
      </c>
      <c r="AA86" s="11"/>
    </row>
    <row r="87" spans="1:27">
      <c r="A87" s="102" t="s">
        <v>452</v>
      </c>
      <c r="B87" s="103" t="s">
        <v>453</v>
      </c>
      <c r="C87" s="103"/>
      <c r="D87" s="104">
        <v>416.3</v>
      </c>
      <c r="E87" s="104">
        <v>102</v>
      </c>
      <c r="F87" s="104"/>
      <c r="G87" s="104" t="s">
        <v>176</v>
      </c>
      <c r="H87" s="104"/>
      <c r="I87" s="107">
        <v>6.62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-6.45</v>
      </c>
      <c r="U87" s="103"/>
      <c r="V87" s="115">
        <v>1.4778650000000001E-2</v>
      </c>
      <c r="W87" s="115"/>
      <c r="X87" s="107"/>
      <c r="Y87" s="103"/>
      <c r="Z87" s="115">
        <v>1</v>
      </c>
      <c r="AA87" s="11"/>
    </row>
    <row r="88" spans="1:27">
      <c r="A88" s="102" t="s">
        <v>454</v>
      </c>
      <c r="B88" s="103" t="s">
        <v>455</v>
      </c>
      <c r="C88" s="103"/>
      <c r="D88" s="104">
        <v>191.27</v>
      </c>
      <c r="E88" s="104">
        <v>-45</v>
      </c>
      <c r="F88" s="104"/>
      <c r="G88" s="104" t="s">
        <v>176</v>
      </c>
      <c r="H88" s="104"/>
      <c r="I88" s="107">
        <v>2.1800000000000002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-6.57</v>
      </c>
      <c r="U88" s="103"/>
      <c r="V88" s="115">
        <v>916.18330000000003</v>
      </c>
      <c r="W88" s="115"/>
      <c r="X88" s="107"/>
      <c r="Y88" s="103"/>
      <c r="Z88" s="115">
        <v>1</v>
      </c>
      <c r="AA88" s="11"/>
    </row>
    <row r="89" spans="1:27">
      <c r="A89" s="102" t="s">
        <v>456</v>
      </c>
      <c r="B89" s="103" t="s">
        <v>457</v>
      </c>
      <c r="C89" s="103"/>
      <c r="D89" s="104">
        <v>392.46</v>
      </c>
      <c r="E89" s="104">
        <v>248</v>
      </c>
      <c r="F89" s="104"/>
      <c r="G89" s="104" t="s">
        <v>176</v>
      </c>
      <c r="H89" s="104"/>
      <c r="I89" s="107">
        <v>1.92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-18.8</v>
      </c>
      <c r="U89" s="103"/>
      <c r="V89" s="115">
        <v>78.492000000000004</v>
      </c>
      <c r="W89" s="115"/>
      <c r="X89" s="107"/>
      <c r="Y89" s="103"/>
      <c r="Z89" s="115">
        <v>1</v>
      </c>
      <c r="AA89" s="11"/>
    </row>
    <row r="90" spans="1:27">
      <c r="A90" s="102" t="s">
        <v>458</v>
      </c>
      <c r="B90" s="103" t="s">
        <v>459</v>
      </c>
      <c r="C90" s="103"/>
      <c r="D90" s="104">
        <v>780.94</v>
      </c>
      <c r="E90" s="104">
        <v>426</v>
      </c>
      <c r="F90" s="104"/>
      <c r="G90" s="104" t="s">
        <v>176</v>
      </c>
      <c r="H90" s="104"/>
      <c r="I90" s="107">
        <v>1.26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-30.7</v>
      </c>
      <c r="U90" s="103"/>
      <c r="V90" s="115">
        <v>59.195252000000004</v>
      </c>
      <c r="W90" s="115"/>
      <c r="X90" s="107"/>
      <c r="Y90" s="103"/>
      <c r="Z90" s="115">
        <v>1</v>
      </c>
      <c r="AA90" s="11"/>
    </row>
    <row r="91" spans="1:27">
      <c r="A91" s="102" t="s">
        <v>460</v>
      </c>
      <c r="B91" s="103" t="s">
        <v>461</v>
      </c>
      <c r="C91" s="103"/>
      <c r="D91" s="104">
        <v>306.39999999999998</v>
      </c>
      <c r="E91" s="104">
        <v>78.5</v>
      </c>
      <c r="F91" s="104"/>
      <c r="G91" s="104" t="s">
        <v>176</v>
      </c>
      <c r="H91" s="104"/>
      <c r="I91" s="107">
        <v>5.51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-7.24</v>
      </c>
      <c r="U91" s="103"/>
      <c r="V91" s="115">
        <v>0.1495232</v>
      </c>
      <c r="W91" s="115"/>
      <c r="X91" s="107"/>
      <c r="Y91" s="103"/>
      <c r="Z91" s="115">
        <v>1</v>
      </c>
      <c r="AA91" s="11"/>
    </row>
    <row r="92" spans="1:27">
      <c r="A92" s="102" t="s">
        <v>462</v>
      </c>
      <c r="B92" s="103" t="s">
        <v>463</v>
      </c>
      <c r="C92" s="103"/>
      <c r="D92" s="104">
        <v>336.82</v>
      </c>
      <c r="E92" s="104">
        <v>125</v>
      </c>
      <c r="F92" s="104"/>
      <c r="G92" s="104" t="s">
        <v>176</v>
      </c>
      <c r="H92" s="104"/>
      <c r="I92" s="107">
        <v>3.23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-10</v>
      </c>
      <c r="U92" s="103"/>
      <c r="V92" s="115">
        <v>0.37387019999999999</v>
      </c>
      <c r="W92" s="115"/>
      <c r="X92" s="107"/>
      <c r="Y92" s="103"/>
      <c r="Z92" s="115">
        <v>1</v>
      </c>
      <c r="AA92" s="11"/>
    </row>
    <row r="93" spans="1:27">
      <c r="A93" s="102" t="s">
        <v>464</v>
      </c>
      <c r="B93" s="103" t="s">
        <v>465</v>
      </c>
      <c r="C93" s="103"/>
      <c r="D93" s="104">
        <v>465.09</v>
      </c>
      <c r="E93" s="104">
        <v>113</v>
      </c>
      <c r="F93" s="104"/>
      <c r="G93" s="104" t="s">
        <v>176</v>
      </c>
      <c r="H93" s="104"/>
      <c r="I93" s="107">
        <v>4.01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-4.7</v>
      </c>
      <c r="U93" s="103"/>
      <c r="V93" s="115">
        <v>0.48834450000000001</v>
      </c>
      <c r="W93" s="115"/>
      <c r="X93" s="107"/>
      <c r="Y93" s="103"/>
      <c r="Z93" s="115">
        <v>1</v>
      </c>
      <c r="AA93" s="11"/>
    </row>
    <row r="94" spans="1:27">
      <c r="A94" s="102" t="s">
        <v>466</v>
      </c>
      <c r="B94" s="103" t="s">
        <v>467</v>
      </c>
      <c r="C94" s="103"/>
      <c r="D94" s="104">
        <v>330.74</v>
      </c>
      <c r="E94" s="104">
        <v>261</v>
      </c>
      <c r="F94" s="104"/>
      <c r="G94" s="104" t="s">
        <v>306</v>
      </c>
      <c r="H94" s="104">
        <v>3.62</v>
      </c>
      <c r="I94" s="107">
        <v>2.0299999999999998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-16.3</v>
      </c>
      <c r="U94" s="103"/>
      <c r="V94" s="115">
        <v>43.988419999999998</v>
      </c>
      <c r="W94" s="115"/>
      <c r="X94" s="107"/>
      <c r="Y94" s="103"/>
      <c r="Z94" s="115">
        <v>1</v>
      </c>
      <c r="AA94" s="11"/>
    </row>
    <row r="95" spans="1:27">
      <c r="A95" s="102" t="s">
        <v>468</v>
      </c>
      <c r="B95" s="103" t="s">
        <v>469</v>
      </c>
      <c r="C95" s="103"/>
      <c r="D95" s="104">
        <v>494</v>
      </c>
      <c r="E95" s="104">
        <v>169</v>
      </c>
      <c r="F95" s="104"/>
      <c r="G95" s="104" t="s">
        <v>176</v>
      </c>
      <c r="H95" s="104"/>
      <c r="I95" s="107">
        <v>4.8499999999999996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-18</v>
      </c>
      <c r="U95" s="103"/>
      <c r="V95" s="115">
        <v>4.0063399999999998</v>
      </c>
      <c r="W95" s="115"/>
      <c r="X95" s="107"/>
      <c r="Y95" s="103"/>
      <c r="Z95" s="115">
        <v>1</v>
      </c>
      <c r="AA95" s="11"/>
    </row>
    <row r="96" spans="1:27">
      <c r="A96" s="102" t="s">
        <v>470</v>
      </c>
      <c r="B96" s="103" t="s">
        <v>471</v>
      </c>
      <c r="C96" s="103"/>
      <c r="D96" s="104">
        <v>197.19</v>
      </c>
      <c r="E96" s="104">
        <v>152</v>
      </c>
      <c r="F96" s="104"/>
      <c r="G96" s="104" t="s">
        <v>176</v>
      </c>
      <c r="H96" s="104"/>
      <c r="I96" s="107">
        <v>0.13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-11.8</v>
      </c>
      <c r="U96" s="103"/>
      <c r="V96" s="115">
        <v>121074.66</v>
      </c>
      <c r="W96" s="115"/>
      <c r="X96" s="107"/>
      <c r="Y96" s="103"/>
      <c r="Z96" s="115">
        <v>1</v>
      </c>
      <c r="AA96" s="11"/>
    </row>
    <row r="97" spans="1:27">
      <c r="A97" s="102" t="s">
        <v>472</v>
      </c>
      <c r="B97" s="103" t="s">
        <v>473</v>
      </c>
      <c r="C97" s="103"/>
      <c r="D97" s="104">
        <v>160.18</v>
      </c>
      <c r="E97" s="104">
        <v>163</v>
      </c>
      <c r="F97" s="104"/>
      <c r="G97" s="104" t="s">
        <v>176</v>
      </c>
      <c r="H97" s="104"/>
      <c r="I97" s="107">
        <v>0.72499999999999998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-11.6</v>
      </c>
      <c r="U97" s="103"/>
      <c r="V97" s="115">
        <v>211437.6</v>
      </c>
      <c r="W97" s="115"/>
      <c r="X97" s="107"/>
      <c r="Y97" s="103"/>
      <c r="Z97" s="115">
        <v>1</v>
      </c>
      <c r="AA97" s="11"/>
    </row>
    <row r="98" spans="1:27">
      <c r="A98" s="102" t="s">
        <v>474</v>
      </c>
      <c r="B98" s="103" t="s">
        <v>475</v>
      </c>
      <c r="C98" s="103"/>
      <c r="D98" s="104">
        <v>531.42999999999995</v>
      </c>
      <c r="E98" s="104">
        <v>146</v>
      </c>
      <c r="F98" s="104"/>
      <c r="G98" s="104" t="s">
        <v>176</v>
      </c>
      <c r="H98" s="104"/>
      <c r="I98" s="107">
        <v>4.3499999999999996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-20</v>
      </c>
      <c r="U98" s="103"/>
      <c r="V98" s="115">
        <v>83.965940000000003</v>
      </c>
      <c r="W98" s="115"/>
      <c r="X98" s="107"/>
      <c r="Y98" s="103"/>
      <c r="Z98" s="115">
        <v>1</v>
      </c>
      <c r="AA98" s="11"/>
    </row>
    <row r="99" spans="1:27">
      <c r="A99" s="102" t="s">
        <v>476</v>
      </c>
      <c r="B99" s="103" t="s">
        <v>477</v>
      </c>
      <c r="C99" s="103"/>
      <c r="D99" s="104">
        <v>129.16</v>
      </c>
      <c r="E99" s="104">
        <v>74.3</v>
      </c>
      <c r="F99" s="104"/>
      <c r="G99" s="104" t="s">
        <v>176</v>
      </c>
      <c r="H99" s="104"/>
      <c r="I99" s="107">
        <v>-0.87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-9.1300000000000008</v>
      </c>
      <c r="U99" s="103"/>
      <c r="V99" s="115">
        <v>1016489.2</v>
      </c>
      <c r="W99" s="115"/>
      <c r="X99" s="107"/>
      <c r="Y99" s="103"/>
      <c r="Z99" s="115">
        <v>1</v>
      </c>
      <c r="AA99" s="11"/>
    </row>
    <row r="100" spans="1:27">
      <c r="A100" s="102" t="s">
        <v>478</v>
      </c>
      <c r="B100" s="103" t="s">
        <v>479</v>
      </c>
      <c r="C100" s="103"/>
      <c r="D100" s="104">
        <v>299.8</v>
      </c>
      <c r="E100" s="104">
        <v>147</v>
      </c>
      <c r="F100" s="104"/>
      <c r="G100" s="104" t="s">
        <v>176</v>
      </c>
      <c r="H100" s="104"/>
      <c r="I100" s="107">
        <v>2.62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-12.3</v>
      </c>
      <c r="U100" s="103"/>
      <c r="V100" s="115">
        <v>174.7834</v>
      </c>
      <c r="W100" s="115"/>
      <c r="X100" s="107"/>
      <c r="Y100" s="103"/>
      <c r="Z100" s="115">
        <v>1</v>
      </c>
      <c r="AA100" s="11"/>
    </row>
    <row r="101" spans="1:27">
      <c r="A101" s="102" t="s">
        <v>480</v>
      </c>
      <c r="B101" s="103" t="s">
        <v>481</v>
      </c>
      <c r="C101" s="103"/>
      <c r="D101" s="104">
        <v>238.16</v>
      </c>
      <c r="E101" s="104">
        <v>263</v>
      </c>
      <c r="F101" s="104"/>
      <c r="G101" s="104" t="s">
        <v>176</v>
      </c>
      <c r="H101" s="104"/>
      <c r="I101" s="107">
        <v>-0.47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-12.7</v>
      </c>
      <c r="U101" s="103"/>
      <c r="V101" s="115">
        <v>96.216639999999998</v>
      </c>
      <c r="W101" s="115"/>
      <c r="X101" s="107"/>
      <c r="Y101" s="103"/>
      <c r="Z101" s="115">
        <v>1</v>
      </c>
      <c r="AA101" s="11"/>
    </row>
    <row r="102" spans="1:27">
      <c r="A102" s="102" t="s">
        <v>482</v>
      </c>
      <c r="B102" s="103" t="s">
        <v>483</v>
      </c>
      <c r="C102" s="103"/>
      <c r="D102" s="104">
        <v>460.43</v>
      </c>
      <c r="E102" s="104">
        <v>460</v>
      </c>
      <c r="F102" s="104"/>
      <c r="G102" s="104" t="s">
        <v>176</v>
      </c>
      <c r="H102" s="104"/>
      <c r="I102" s="107">
        <v>-1.53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-28.9</v>
      </c>
      <c r="U102" s="103"/>
      <c r="V102" s="115">
        <v>501868.7</v>
      </c>
      <c r="W102" s="115"/>
      <c r="X102" s="107"/>
      <c r="Y102" s="103"/>
      <c r="Z102" s="115">
        <v>1</v>
      </c>
      <c r="AA102" s="11"/>
    </row>
    <row r="103" spans="1:27">
      <c r="A103" s="102" t="s">
        <v>484</v>
      </c>
      <c r="B103" s="103" t="s">
        <v>485</v>
      </c>
      <c r="C103" s="103"/>
      <c r="D103" s="104">
        <v>205.25</v>
      </c>
      <c r="E103" s="104">
        <v>164</v>
      </c>
      <c r="F103" s="104"/>
      <c r="G103" s="104" t="s">
        <v>176</v>
      </c>
      <c r="H103" s="104"/>
      <c r="I103" s="107">
        <v>-0.89500000000000002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-15</v>
      </c>
      <c r="U103" s="103"/>
      <c r="V103" s="115">
        <v>1034460</v>
      </c>
      <c r="W103" s="115"/>
      <c r="X103" s="107"/>
      <c r="Y103" s="103"/>
      <c r="Z103" s="115">
        <v>1</v>
      </c>
      <c r="AA103" s="11"/>
    </row>
    <row r="104" spans="1:27">
      <c r="A104" s="102" t="s">
        <v>486</v>
      </c>
      <c r="B104" s="103" t="s">
        <v>487</v>
      </c>
      <c r="C104" s="103"/>
      <c r="D104" s="104">
        <v>151.16</v>
      </c>
      <c r="E104" s="104">
        <v>170</v>
      </c>
      <c r="F104" s="104"/>
      <c r="G104" s="104" t="s">
        <v>176</v>
      </c>
      <c r="H104" s="104"/>
      <c r="I104" s="107">
        <v>0.46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-10.9</v>
      </c>
      <c r="U104" s="103"/>
      <c r="V104" s="115">
        <v>14224.156000000001</v>
      </c>
      <c r="W104" s="115"/>
      <c r="X104" s="107"/>
      <c r="Y104" s="103"/>
      <c r="Z104" s="115">
        <v>1</v>
      </c>
      <c r="AA104" s="11"/>
    </row>
    <row r="105" spans="1:27">
      <c r="A105" s="102" t="s">
        <v>488</v>
      </c>
      <c r="B105" s="103" t="s">
        <v>489</v>
      </c>
      <c r="C105" s="103"/>
      <c r="D105" s="104">
        <v>339.36</v>
      </c>
      <c r="E105" s="104">
        <v>165</v>
      </c>
      <c r="F105" s="104"/>
      <c r="G105" s="104" t="s">
        <v>176</v>
      </c>
      <c r="H105" s="104"/>
      <c r="I105" s="107">
        <v>-1.39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-18</v>
      </c>
      <c r="U105" s="103"/>
      <c r="V105" s="115">
        <v>264022.08</v>
      </c>
      <c r="W105" s="115"/>
      <c r="X105" s="107"/>
      <c r="Y105" s="103"/>
      <c r="Z105" s="115">
        <v>1</v>
      </c>
      <c r="AA105" s="11"/>
    </row>
    <row r="106" spans="1:27">
      <c r="A106" s="102" t="s">
        <v>490</v>
      </c>
      <c r="B106" s="103" t="s">
        <v>491</v>
      </c>
      <c r="C106" s="103"/>
      <c r="D106" s="104">
        <v>192.13</v>
      </c>
      <c r="E106" s="104">
        <v>162</v>
      </c>
      <c r="F106" s="104"/>
      <c r="G106" s="104" t="s">
        <v>176</v>
      </c>
      <c r="H106" s="104"/>
      <c r="I106" s="107">
        <v>1.46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-10.199999999999999</v>
      </c>
      <c r="U106" s="103"/>
      <c r="V106" s="115">
        <v>15754.66</v>
      </c>
      <c r="W106" s="115"/>
      <c r="X106" s="107"/>
      <c r="Y106" s="103"/>
      <c r="Z106" s="115">
        <v>1</v>
      </c>
      <c r="AA106" s="11"/>
    </row>
    <row r="107" spans="1:27">
      <c r="A107" s="102" t="s">
        <v>492</v>
      </c>
      <c r="B107" s="103" t="s">
        <v>493</v>
      </c>
      <c r="C107" s="103"/>
      <c r="D107" s="104">
        <v>454.6</v>
      </c>
      <c r="E107" s="104">
        <v>200</v>
      </c>
      <c r="F107" s="104"/>
      <c r="G107" s="104" t="s">
        <v>176</v>
      </c>
      <c r="H107" s="104"/>
      <c r="I107" s="107">
        <v>4.4800000000000004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-16.2</v>
      </c>
      <c r="U107" s="103"/>
      <c r="V107" s="115">
        <v>2.2957299999999998</v>
      </c>
      <c r="W107" s="115"/>
      <c r="X107" s="107"/>
      <c r="Y107" s="103"/>
      <c r="Z107" s="115">
        <v>1</v>
      </c>
      <c r="AA107" s="11"/>
    </row>
    <row r="108" spans="1:27">
      <c r="A108" s="102" t="s">
        <v>291</v>
      </c>
      <c r="B108" s="103" t="s">
        <v>494</v>
      </c>
      <c r="C108" s="103"/>
      <c r="D108" s="104">
        <v>308.33</v>
      </c>
      <c r="E108" s="104">
        <v>175</v>
      </c>
      <c r="F108" s="104"/>
      <c r="G108" s="104" t="s">
        <v>176</v>
      </c>
      <c r="H108" s="104"/>
      <c r="I108" s="107">
        <v>2.48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-11.6</v>
      </c>
      <c r="U108" s="103"/>
      <c r="V108" s="115">
        <v>82.940770000000001</v>
      </c>
      <c r="W108" s="115"/>
      <c r="X108" s="107"/>
      <c r="Y108" s="103"/>
      <c r="Z108" s="115">
        <v>1</v>
      </c>
      <c r="AA108" s="11"/>
    </row>
    <row r="109" spans="1:27">
      <c r="A109" s="102"/>
      <c r="B109" s="103"/>
      <c r="C109" s="103"/>
      <c r="D109" s="104"/>
      <c r="E109" s="104"/>
      <c r="F109" s="104"/>
      <c r="G109" s="104"/>
      <c r="I109" s="107"/>
      <c r="T109" s="107"/>
      <c r="U109" s="103"/>
      <c r="V109" s="115"/>
      <c r="AA109" s="11"/>
    </row>
    <row r="110" spans="1:27">
      <c r="A110" s="102"/>
      <c r="B110" s="103"/>
      <c r="C110" s="103"/>
      <c r="D110" s="104"/>
      <c r="E110" s="104"/>
      <c r="F110" s="104"/>
      <c r="G110" s="104"/>
      <c r="I110" s="107"/>
      <c r="T110" s="107"/>
      <c r="U110" s="103"/>
      <c r="V110" s="115"/>
      <c r="AA110" s="11"/>
    </row>
    <row r="111" spans="1:27">
      <c r="A111" s="102"/>
      <c r="B111" s="103"/>
      <c r="C111" s="103"/>
      <c r="D111" s="104"/>
      <c r="E111" s="104"/>
      <c r="F111" s="104"/>
      <c r="G111" s="104"/>
      <c r="I111" s="107"/>
      <c r="T111" s="107"/>
      <c r="U111" s="103"/>
      <c r="V111" s="115"/>
      <c r="AA111" s="11"/>
    </row>
    <row r="112" spans="1:27">
      <c r="A112" s="102"/>
      <c r="B112" s="103"/>
      <c r="C112" s="103"/>
      <c r="D112" s="104"/>
      <c r="E112" s="104"/>
      <c r="F112" s="104"/>
      <c r="G112" s="104"/>
      <c r="I112" s="107"/>
      <c r="T112" s="107"/>
      <c r="U112" s="103"/>
      <c r="V112" s="115"/>
      <c r="AA112" s="11"/>
    </row>
    <row r="113" spans="1:27">
      <c r="A113" s="102"/>
      <c r="B113" s="103"/>
      <c r="C113" s="103"/>
      <c r="D113" s="104"/>
      <c r="E113" s="104"/>
      <c r="F113" s="104"/>
      <c r="G113" s="104"/>
      <c r="I113" s="107"/>
      <c r="T113" s="107"/>
      <c r="U113" s="103"/>
      <c r="V113" s="115"/>
      <c r="AA113" s="11"/>
    </row>
    <row r="114" spans="1:27">
      <c r="A114" s="102"/>
      <c r="B114" s="103"/>
      <c r="C114" s="103"/>
      <c r="D114" s="104"/>
      <c r="E114" s="104"/>
      <c r="F114" s="104"/>
      <c r="G114" s="104"/>
      <c r="I114" s="107"/>
      <c r="T114" s="107"/>
      <c r="U114" s="103"/>
      <c r="V114" s="115"/>
      <c r="AA114" s="11"/>
    </row>
    <row r="115" spans="1:27">
      <c r="A115" s="102"/>
      <c r="B115" s="103"/>
      <c r="C115" s="103"/>
      <c r="D115" s="104"/>
      <c r="E115" s="104"/>
      <c r="F115" s="104"/>
      <c r="G115" s="104"/>
      <c r="I115" s="107"/>
      <c r="T115" s="107"/>
      <c r="U115" s="103"/>
      <c r="V115" s="115"/>
      <c r="AA115" s="11"/>
    </row>
    <row r="116" spans="1:27">
      <c r="A116" s="102"/>
      <c r="B116" s="103"/>
      <c r="C116" s="103"/>
      <c r="D116" s="104"/>
      <c r="E116" s="104"/>
      <c r="F116" s="104"/>
      <c r="G116" s="104"/>
      <c r="I116" s="107"/>
      <c r="T116" s="107"/>
      <c r="U116" s="103"/>
      <c r="V116" s="115"/>
      <c r="AA116" s="11"/>
    </row>
    <row r="117" spans="1:27">
      <c r="A117" s="102"/>
      <c r="B117" s="103"/>
      <c r="C117" s="103"/>
      <c r="D117" s="104"/>
      <c r="E117" s="104"/>
      <c r="F117" s="104"/>
      <c r="G117" s="104"/>
      <c r="I117" s="107"/>
      <c r="T117" s="107"/>
      <c r="U117" s="103"/>
      <c r="V117" s="115"/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5" r:id="rId4" name="CheckBox3">
          <controlPr defaultSize="0" autoLine="0" linkedCell="A29" r:id="rId5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4" name="CheckBox3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57150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3" r:id="rId8" name="CheckBox1">
          <controlPr autoLine="0" linkedCell="A8" r:id="rId9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8" name="Check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11" sqref="C11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87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7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112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40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3600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1.4073600000000002E-2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0.02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1.5200000000000001E-3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5.6000000000000001E-2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5.6000000000000001E-2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1.4E-3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7.0000000000000007E-6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3.8000000000000002E-5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3.5184000000000007E-4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5" r:id="rId4" name="CheckBox1">
          <controlPr autoLine="0" linkedCell="G24" r:id="rId5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38100</xdr:rowOff>
              </to>
            </anchor>
          </controlPr>
        </control>
      </mc:Choice>
      <mc:Fallback>
        <control shapeId="3085" r:id="rId4" name="CheckBox1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95250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6" r:id="rId8" name="CheckBox2">
          <controlPr autoLine="0" linkedCell="G26" r:id="rId9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8" name="Check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08" sqref="N108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313</v>
      </c>
      <c r="B2" s="66" t="s">
        <v>314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1.4234887020907971E-5</v>
      </c>
      <c r="J2" s="67" t="s">
        <v>231</v>
      </c>
      <c r="K2" s="68">
        <v>1.04361363878561E-3</v>
      </c>
      <c r="L2" s="67" t="s">
        <v>231</v>
      </c>
      <c r="M2" s="68">
        <v>5.5090258608606328E-2</v>
      </c>
      <c r="N2" s="67" t="s">
        <v>231</v>
      </c>
      <c r="P2" s="109" t="s">
        <v>188</v>
      </c>
    </row>
    <row r="3" spans="1:17">
      <c r="A3" s="65" t="s">
        <v>315</v>
      </c>
      <c r="B3" s="66" t="s">
        <v>316</v>
      </c>
      <c r="D3" s="66" t="s">
        <v>176</v>
      </c>
      <c r="F3" s="67" t="s">
        <v>231</v>
      </c>
      <c r="G3" s="67" t="s">
        <v>231</v>
      </c>
      <c r="H3" s="67" t="s">
        <v>231</v>
      </c>
      <c r="I3" s="68">
        <v>5.0872792759790002E-3</v>
      </c>
      <c r="J3" s="67" t="s">
        <v>231</v>
      </c>
      <c r="K3" s="68">
        <v>8.0790077245270819E-2</v>
      </c>
      <c r="L3" s="67" t="s">
        <v>231</v>
      </c>
      <c r="M3" s="68">
        <v>18.212937708832492</v>
      </c>
      <c r="N3" s="67" t="s">
        <v>231</v>
      </c>
      <c r="P3" s="109" t="s">
        <v>189</v>
      </c>
    </row>
    <row r="4" spans="1:17">
      <c r="A4" s="65" t="s">
        <v>317</v>
      </c>
      <c r="B4" s="66" t="s">
        <v>318</v>
      </c>
      <c r="D4" s="66" t="s">
        <v>176</v>
      </c>
      <c r="F4" s="67" t="s">
        <v>231</v>
      </c>
      <c r="G4" s="67" t="s">
        <v>231</v>
      </c>
      <c r="H4" s="67" t="s">
        <v>231</v>
      </c>
      <c r="I4" s="68">
        <v>2.4217175169413876E-3</v>
      </c>
      <c r="J4" s="67" t="s">
        <v>231</v>
      </c>
      <c r="K4" s="68">
        <v>2.3727207386768892E-3</v>
      </c>
      <c r="L4" s="67" t="s">
        <v>231</v>
      </c>
      <c r="M4" s="68">
        <v>0.41922585219951886</v>
      </c>
      <c r="N4" s="67" t="s">
        <v>231</v>
      </c>
    </row>
    <row r="5" spans="1:17">
      <c r="A5" s="65" t="s">
        <v>307</v>
      </c>
      <c r="B5" s="66" t="s">
        <v>308</v>
      </c>
      <c r="D5" s="66" t="s">
        <v>176</v>
      </c>
      <c r="F5" s="67" t="s">
        <v>231</v>
      </c>
      <c r="G5" s="67" t="s">
        <v>231</v>
      </c>
      <c r="H5" s="67" t="s">
        <v>231</v>
      </c>
      <c r="I5" s="68">
        <v>7.1192755885064705E-3</v>
      </c>
      <c r="J5" s="67" t="s">
        <v>231</v>
      </c>
      <c r="K5" s="68">
        <v>2.1450441619838181E-2</v>
      </c>
      <c r="L5" s="67" t="s">
        <v>231</v>
      </c>
      <c r="M5" s="68">
        <v>4.7976598344172467</v>
      </c>
      <c r="N5" s="67" t="s">
        <v>231</v>
      </c>
      <c r="P5" s="109" t="s">
        <v>190</v>
      </c>
    </row>
    <row r="6" spans="1:17">
      <c r="A6" s="65" t="s">
        <v>319</v>
      </c>
      <c r="B6" s="66" t="s">
        <v>320</v>
      </c>
      <c r="D6" s="66" t="s">
        <v>176</v>
      </c>
      <c r="F6" s="67" t="s">
        <v>231</v>
      </c>
      <c r="G6" s="67" t="s">
        <v>231</v>
      </c>
      <c r="H6" s="67" t="s">
        <v>231</v>
      </c>
      <c r="I6" s="68">
        <v>1.5220558292327328E-2</v>
      </c>
      <c r="J6" s="67" t="s">
        <v>232</v>
      </c>
      <c r="K6" s="68">
        <v>0.10360032820451924</v>
      </c>
      <c r="L6" s="67" t="s">
        <v>231</v>
      </c>
      <c r="M6" s="68">
        <v>23.395280269483095</v>
      </c>
      <c r="N6" s="67" t="s">
        <v>232</v>
      </c>
      <c r="P6" s="109" t="s">
        <v>191</v>
      </c>
    </row>
    <row r="7" spans="1:17">
      <c r="A7" s="65" t="s">
        <v>321</v>
      </c>
      <c r="B7" s="66" t="s">
        <v>322</v>
      </c>
      <c r="D7" s="66" t="s">
        <v>176</v>
      </c>
      <c r="F7" s="67" t="s">
        <v>231</v>
      </c>
      <c r="G7" s="67" t="s">
        <v>231</v>
      </c>
      <c r="H7" s="67" t="s">
        <v>231</v>
      </c>
      <c r="I7" s="68">
        <v>2.0759253288133999E-3</v>
      </c>
      <c r="J7" s="67" t="s">
        <v>231</v>
      </c>
      <c r="K7" s="68">
        <v>8.538712965591877E-2</v>
      </c>
      <c r="L7" s="67" t="s">
        <v>231</v>
      </c>
      <c r="M7" s="68">
        <v>19.254156762985073</v>
      </c>
      <c r="N7" s="67" t="s">
        <v>231</v>
      </c>
      <c r="P7" s="109" t="s">
        <v>192</v>
      </c>
    </row>
    <row r="8" spans="1:17" ht="17.25">
      <c r="A8" s="65" t="s">
        <v>323</v>
      </c>
      <c r="B8" s="66" t="s">
        <v>324</v>
      </c>
      <c r="D8" s="66" t="s">
        <v>176</v>
      </c>
      <c r="F8" s="67" t="s">
        <v>231</v>
      </c>
      <c r="G8" s="67" t="s">
        <v>231</v>
      </c>
      <c r="H8" s="67" t="s">
        <v>231</v>
      </c>
      <c r="I8" s="68">
        <v>3.7242150065995273E-3</v>
      </c>
      <c r="J8" s="67" t="s">
        <v>231</v>
      </c>
      <c r="K8" s="68">
        <v>6.3145038352654295E-2</v>
      </c>
      <c r="L8" s="67" t="s">
        <v>231</v>
      </c>
      <c r="M8" s="68">
        <v>14.21184653715639</v>
      </c>
      <c r="N8" s="67" t="s">
        <v>231</v>
      </c>
      <c r="P8" s="109" t="s">
        <v>193</v>
      </c>
    </row>
    <row r="9" spans="1:17" ht="17.25">
      <c r="A9" s="65" t="s">
        <v>325</v>
      </c>
      <c r="B9" s="66" t="s">
        <v>326</v>
      </c>
      <c r="D9" s="66" t="s">
        <v>176</v>
      </c>
      <c r="F9" s="67" t="s">
        <v>231</v>
      </c>
      <c r="G9" s="67" t="s">
        <v>231</v>
      </c>
      <c r="H9" s="67" t="s">
        <v>231</v>
      </c>
      <c r="I9" s="68">
        <v>6.0776415581848247E-4</v>
      </c>
      <c r="J9" s="67" t="s">
        <v>231</v>
      </c>
      <c r="K9" s="68">
        <v>7.7643839981068538E-3</v>
      </c>
      <c r="L9" s="67" t="s">
        <v>231</v>
      </c>
      <c r="M9" s="68">
        <v>1.6941141531679427</v>
      </c>
      <c r="N9" s="67" t="s">
        <v>231</v>
      </c>
      <c r="P9" s="109" t="s">
        <v>194</v>
      </c>
    </row>
    <row r="10" spans="1:17">
      <c r="A10" s="65" t="s">
        <v>275</v>
      </c>
      <c r="B10" s="66" t="s">
        <v>276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4.2761510113751714E-3</v>
      </c>
      <c r="J10" s="67" t="s">
        <v>231</v>
      </c>
      <c r="K10" s="68">
        <v>2.2894854822222657E-2</v>
      </c>
      <c r="L10" s="67" t="s">
        <v>231</v>
      </c>
      <c r="M10" s="68">
        <v>5.1230108604189111</v>
      </c>
      <c r="N10" s="67" t="s">
        <v>231</v>
      </c>
    </row>
    <row r="11" spans="1:17" ht="13.15">
      <c r="A11" s="65" t="s">
        <v>327</v>
      </c>
      <c r="B11" s="66" t="s">
        <v>328</v>
      </c>
      <c r="D11" s="66" t="s">
        <v>176</v>
      </c>
      <c r="F11" s="67" t="s">
        <v>231</v>
      </c>
      <c r="G11" s="67" t="s">
        <v>231</v>
      </c>
      <c r="H11" s="67" t="s">
        <v>231</v>
      </c>
      <c r="I11" s="68">
        <v>1.0492032529322108E-3</v>
      </c>
      <c r="J11" s="67" t="s">
        <v>231</v>
      </c>
      <c r="K11" s="68">
        <v>2.544149609835963E-2</v>
      </c>
      <c r="L11" s="67" t="s">
        <v>231</v>
      </c>
      <c r="M11" s="68">
        <v>5.6967864328182403</v>
      </c>
      <c r="N11" s="67" t="s">
        <v>231</v>
      </c>
      <c r="P11" s="15" t="s">
        <v>195</v>
      </c>
    </row>
    <row r="12" spans="1:17">
      <c r="A12" s="65" t="s">
        <v>329</v>
      </c>
      <c r="B12" s="66" t="s">
        <v>330</v>
      </c>
      <c r="D12" s="66" t="s">
        <v>176</v>
      </c>
      <c r="F12" s="67" t="s">
        <v>231</v>
      </c>
      <c r="G12" s="67" t="s">
        <v>231</v>
      </c>
      <c r="H12" s="67" t="s">
        <v>231</v>
      </c>
      <c r="I12" s="68">
        <v>1.5195357412967885E-3</v>
      </c>
      <c r="J12" s="67" t="s">
        <v>231</v>
      </c>
      <c r="K12" s="68">
        <v>9.3948222057433136E-3</v>
      </c>
      <c r="L12" s="67" t="s">
        <v>231</v>
      </c>
      <c r="M12" s="68">
        <v>2.0686148712814498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277</v>
      </c>
      <c r="B13" s="66" t="s">
        <v>278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2.8740147961433562E-2</v>
      </c>
      <c r="J13" s="67" t="s">
        <v>232</v>
      </c>
      <c r="K13" s="68">
        <v>7.912218954978156E-3</v>
      </c>
      <c r="L13" s="67" t="s">
        <v>231</v>
      </c>
      <c r="M13" s="68">
        <v>1.7281810299789344</v>
      </c>
      <c r="N13" s="67" t="s">
        <v>231</v>
      </c>
      <c r="P13" s="109" t="s">
        <v>192</v>
      </c>
      <c r="Q13" s="103">
        <f>COUNTIF(J2:J50000,"Yes")</f>
        <v>12</v>
      </c>
    </row>
    <row r="14" spans="1:17" ht="15">
      <c r="A14" s="65" t="s">
        <v>331</v>
      </c>
      <c r="B14" s="66" t="s">
        <v>332</v>
      </c>
      <c r="D14" s="66" t="s">
        <v>176</v>
      </c>
      <c r="F14" s="67" t="s">
        <v>231</v>
      </c>
      <c r="G14" s="67" t="s">
        <v>231</v>
      </c>
      <c r="H14" s="67" t="s">
        <v>231</v>
      </c>
      <c r="I14" s="68">
        <v>1.001305448904293E-2</v>
      </c>
      <c r="J14" s="67" t="s">
        <v>232</v>
      </c>
      <c r="K14" s="68">
        <v>3.4770598217552934E-2</v>
      </c>
      <c r="L14" s="67" t="s">
        <v>231</v>
      </c>
      <c r="M14" s="68">
        <v>7.8000173519581448</v>
      </c>
      <c r="N14" s="67" t="s">
        <v>231</v>
      </c>
      <c r="P14" s="109" t="s">
        <v>229</v>
      </c>
      <c r="Q14" s="103">
        <f>COUNTIF(N2:N50000,"Yes")</f>
        <v>6</v>
      </c>
    </row>
    <row r="15" spans="1:17" ht="15">
      <c r="A15" s="65" t="s">
        <v>333</v>
      </c>
      <c r="B15" s="66" t="s">
        <v>334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5.039317207834155E-3</v>
      </c>
      <c r="J15" s="67" t="s">
        <v>231</v>
      </c>
      <c r="K15" s="68">
        <v>2.4146285560434758E-2</v>
      </c>
      <c r="L15" s="67" t="s">
        <v>231</v>
      </c>
      <c r="M15" s="68">
        <v>5.4049423701827664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335</v>
      </c>
      <c r="B16" s="66" t="s">
        <v>336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3.9025233735503432E-3</v>
      </c>
      <c r="J16" s="67" t="s">
        <v>231</v>
      </c>
      <c r="K16" s="68">
        <v>6.2114200099743846E-2</v>
      </c>
      <c r="L16" s="67" t="s">
        <v>231</v>
      </c>
      <c r="M16" s="68">
        <v>13.978607736665218</v>
      </c>
      <c r="N16" s="67" t="s">
        <v>231</v>
      </c>
      <c r="P16" s="109" t="s">
        <v>197</v>
      </c>
      <c r="Q16" s="103">
        <f>COUNTIF(G2:G50000,"Yes")</f>
        <v>5</v>
      </c>
    </row>
    <row r="17" spans="1:18">
      <c r="A17" s="65" t="s">
        <v>337</v>
      </c>
      <c r="B17" s="66" t="s">
        <v>338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2.9976278484132755E-3</v>
      </c>
      <c r="J17" s="67" t="s">
        <v>231</v>
      </c>
      <c r="K17" s="68">
        <v>2.1928528123292983E-2</v>
      </c>
      <c r="L17" s="67" t="s">
        <v>231</v>
      </c>
      <c r="M17" s="68">
        <v>4.9053357193424203</v>
      </c>
      <c r="N17" s="67" t="s">
        <v>231</v>
      </c>
      <c r="Q17" s="103">
        <f>COUNT(I2:I50000)</f>
        <v>107</v>
      </c>
      <c r="R17" s="111"/>
    </row>
    <row r="18" spans="1:18">
      <c r="A18" s="65" t="s">
        <v>279</v>
      </c>
      <c r="B18" s="66" t="s">
        <v>280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4.2095732919035043E-3</v>
      </c>
      <c r="J18" s="67" t="s">
        <v>231</v>
      </c>
      <c r="K18" s="68">
        <v>7.0571369631472645E-3</v>
      </c>
      <c r="L18" s="67" t="s">
        <v>231</v>
      </c>
      <c r="M18" s="68">
        <v>1.5316531189794278</v>
      </c>
      <c r="N18" s="67" t="s">
        <v>231</v>
      </c>
      <c r="R18" s="111"/>
    </row>
    <row r="19" spans="1:18">
      <c r="A19" s="65" t="s">
        <v>339</v>
      </c>
      <c r="B19" s="66" t="s">
        <v>340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3.0629008723450223E-2</v>
      </c>
      <c r="J19" s="67" t="s">
        <v>232</v>
      </c>
      <c r="K19" s="68">
        <v>2.440287714543957E-2</v>
      </c>
      <c r="L19" s="67" t="s">
        <v>231</v>
      </c>
      <c r="M19" s="68">
        <v>5.462753436674217</v>
      </c>
      <c r="N19" s="67" t="s">
        <v>231</v>
      </c>
      <c r="P19" s="109" t="s">
        <v>198</v>
      </c>
      <c r="Q19" s="111"/>
      <c r="R19" s="111"/>
    </row>
    <row r="20" spans="1:18">
      <c r="A20" s="65" t="s">
        <v>281</v>
      </c>
      <c r="B20" s="66" t="s">
        <v>282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2.9746076446311395E-3</v>
      </c>
      <c r="J20" s="67" t="s">
        <v>231</v>
      </c>
      <c r="K20" s="68">
        <v>7.9152205267417342E-3</v>
      </c>
      <c r="L20" s="67" t="s">
        <v>231</v>
      </c>
      <c r="M20" s="68">
        <v>1.728836631070291</v>
      </c>
      <c r="N20" s="67" t="s">
        <v>231</v>
      </c>
      <c r="Q20" s="111"/>
      <c r="R20" s="111"/>
    </row>
    <row r="21" spans="1:18">
      <c r="A21" s="65" t="s">
        <v>341</v>
      </c>
      <c r="B21" s="66" t="s">
        <v>342</v>
      </c>
      <c r="D21" s="66" t="s">
        <v>176</v>
      </c>
      <c r="F21" s="67" t="s">
        <v>231</v>
      </c>
      <c r="G21" s="67" t="s">
        <v>231</v>
      </c>
      <c r="H21" s="67" t="s">
        <v>231</v>
      </c>
      <c r="I21" s="68">
        <v>1.4396403622241719E-2</v>
      </c>
      <c r="J21" s="67" t="s">
        <v>232</v>
      </c>
      <c r="K21" s="68">
        <v>3.1781252085626932E-2</v>
      </c>
      <c r="L21" s="67" t="s">
        <v>231</v>
      </c>
      <c r="M21" s="68">
        <v>7.1258955556265997</v>
      </c>
      <c r="N21" s="67" t="s">
        <v>231</v>
      </c>
      <c r="Q21" s="111"/>
      <c r="R21" s="111"/>
    </row>
    <row r="22" spans="1:18">
      <c r="A22" s="65" t="s">
        <v>343</v>
      </c>
      <c r="B22" s="66" t="s">
        <v>344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9.9844381537993909E-5</v>
      </c>
      <c r="J22" s="67" t="s">
        <v>231</v>
      </c>
      <c r="K22" s="68">
        <v>1.4558176407389915E-3</v>
      </c>
      <c r="L22" s="67" t="s">
        <v>231</v>
      </c>
      <c r="M22" s="68">
        <v>0.18064935754507117</v>
      </c>
      <c r="N22" s="67" t="s">
        <v>231</v>
      </c>
      <c r="Q22" s="111"/>
      <c r="R22" s="111"/>
    </row>
    <row r="23" spans="1:18">
      <c r="A23" s="65" t="s">
        <v>345</v>
      </c>
      <c r="B23" s="66" t="s">
        <v>346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3.1271591674264758E-5</v>
      </c>
      <c r="J23" s="67" t="s">
        <v>231</v>
      </c>
      <c r="K23" s="68">
        <v>1.1312186833955776E-3</v>
      </c>
      <c r="L23" s="67" t="s">
        <v>231</v>
      </c>
      <c r="M23" s="68">
        <v>8.4770826385993439E-2</v>
      </c>
      <c r="N23" s="67" t="s">
        <v>231</v>
      </c>
      <c r="Q23" s="111"/>
      <c r="R23" s="111"/>
    </row>
    <row r="24" spans="1:18">
      <c r="A24" s="65" t="s">
        <v>347</v>
      </c>
      <c r="B24" s="66" t="s">
        <v>348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1.5090302945432494E-4</v>
      </c>
      <c r="J24" s="67" t="s">
        <v>231</v>
      </c>
      <c r="K24" s="68">
        <v>4.220062930591067E-3</v>
      </c>
      <c r="L24" s="67" t="s">
        <v>231</v>
      </c>
      <c r="M24" s="68">
        <v>0.86760846805650249</v>
      </c>
      <c r="N24" s="67" t="s">
        <v>231</v>
      </c>
      <c r="Q24" s="111"/>
      <c r="R24" s="111"/>
    </row>
    <row r="25" spans="1:18">
      <c r="A25" s="65" t="s">
        <v>349</v>
      </c>
      <c r="B25" s="66" t="s">
        <v>350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1.5246777158141702E-3</v>
      </c>
      <c r="J25" s="67" t="s">
        <v>231</v>
      </c>
      <c r="K25" s="68">
        <v>1.1059153983524903E-2</v>
      </c>
      <c r="L25" s="67" t="s">
        <v>231</v>
      </c>
      <c r="M25" s="68">
        <v>2.4528386383002574</v>
      </c>
      <c r="N25" s="67" t="s">
        <v>231</v>
      </c>
      <c r="Q25" s="111"/>
      <c r="R25" s="111"/>
    </row>
    <row r="26" spans="1:18">
      <c r="A26" s="65" t="s">
        <v>351</v>
      </c>
      <c r="B26" s="66" t="s">
        <v>352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3.8092117274965689E-3</v>
      </c>
      <c r="J26" s="67" t="s">
        <v>231</v>
      </c>
      <c r="K26" s="68">
        <v>2.9944981035000588E-2</v>
      </c>
      <c r="L26" s="67" t="s">
        <v>231</v>
      </c>
      <c r="M26" s="68">
        <v>6.7118576255370801</v>
      </c>
      <c r="N26" s="67" t="s">
        <v>231</v>
      </c>
      <c r="Q26" s="111"/>
      <c r="R26" s="111"/>
    </row>
    <row r="27" spans="1:18">
      <c r="A27" s="65" t="s">
        <v>353</v>
      </c>
      <c r="B27" s="66" t="s">
        <v>354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2.7824976287643827E-3</v>
      </c>
      <c r="J27" s="67" t="s">
        <v>231</v>
      </c>
      <c r="K27" s="68">
        <v>7.8695244873328435E-2</v>
      </c>
      <c r="L27" s="67" t="s">
        <v>231</v>
      </c>
      <c r="M27" s="68">
        <v>17.736926160666545</v>
      </c>
      <c r="N27" s="67" t="s">
        <v>231</v>
      </c>
      <c r="Q27" s="111"/>
      <c r="R27" s="111"/>
    </row>
    <row r="28" spans="1:18">
      <c r="A28" s="65" t="s">
        <v>355</v>
      </c>
      <c r="B28" s="66" t="s">
        <v>356</v>
      </c>
      <c r="D28" s="66" t="s">
        <v>176</v>
      </c>
      <c r="F28" s="67" t="s">
        <v>231</v>
      </c>
      <c r="G28" s="67" t="s">
        <v>231</v>
      </c>
      <c r="H28" s="67" t="s">
        <v>231</v>
      </c>
      <c r="I28" s="68">
        <v>1.3725591100864519E-3</v>
      </c>
      <c r="J28" s="67" t="s">
        <v>231</v>
      </c>
      <c r="K28" s="68">
        <v>4.4664425267892063E-2</v>
      </c>
      <c r="L28" s="67" t="s">
        <v>231</v>
      </c>
      <c r="M28" s="68">
        <v>10.033181250147354</v>
      </c>
      <c r="N28" s="67" t="s">
        <v>231</v>
      </c>
      <c r="Q28" s="111"/>
      <c r="R28" s="111"/>
    </row>
    <row r="29" spans="1:18">
      <c r="A29" s="65" t="s">
        <v>357</v>
      </c>
      <c r="B29" s="66" t="s">
        <v>358</v>
      </c>
      <c r="D29" s="66" t="s">
        <v>176</v>
      </c>
      <c r="F29" s="67" t="s">
        <v>231</v>
      </c>
      <c r="G29" s="67" t="s">
        <v>231</v>
      </c>
      <c r="H29" s="67" t="s">
        <v>231</v>
      </c>
      <c r="I29" s="68">
        <v>7.5748861164990115E-4</v>
      </c>
      <c r="J29" s="67" t="s">
        <v>231</v>
      </c>
      <c r="K29" s="68">
        <v>2.9954225168266273E-2</v>
      </c>
      <c r="L29" s="67" t="s">
        <v>231</v>
      </c>
      <c r="M29" s="68">
        <v>6.7184798717733223</v>
      </c>
      <c r="N29" s="67" t="s">
        <v>231</v>
      </c>
      <c r="Q29" s="111"/>
      <c r="R29" s="111"/>
    </row>
    <row r="30" spans="1:18">
      <c r="A30" s="65" t="s">
        <v>359</v>
      </c>
      <c r="B30" s="66" t="s">
        <v>360</v>
      </c>
      <c r="D30" s="66" t="s">
        <v>176</v>
      </c>
      <c r="F30" s="67" t="s">
        <v>231</v>
      </c>
      <c r="G30" s="67" t="s">
        <v>231</v>
      </c>
      <c r="H30" s="67" t="s">
        <v>231</v>
      </c>
      <c r="I30" s="68">
        <v>1.3725591100864519E-3</v>
      </c>
      <c r="J30" s="67" t="s">
        <v>231</v>
      </c>
      <c r="K30" s="68">
        <v>4.4664425267892063E-2</v>
      </c>
      <c r="L30" s="67" t="s">
        <v>231</v>
      </c>
      <c r="M30" s="68">
        <v>10.033181250147354</v>
      </c>
      <c r="N30" s="67" t="s">
        <v>231</v>
      </c>
    </row>
    <row r="31" spans="1:18">
      <c r="A31" s="65" t="s">
        <v>283</v>
      </c>
      <c r="B31" s="66" t="s">
        <v>284</v>
      </c>
      <c r="D31" s="66" t="s">
        <v>176</v>
      </c>
      <c r="F31" s="67" t="s">
        <v>231</v>
      </c>
      <c r="G31" s="67" t="s">
        <v>231</v>
      </c>
      <c r="H31" s="67" t="s">
        <v>231</v>
      </c>
      <c r="I31" s="68">
        <v>8.102652974230721E-8</v>
      </c>
      <c r="J31" s="67" t="s">
        <v>231</v>
      </c>
      <c r="K31" s="68">
        <v>9.6439411209756174E-4</v>
      </c>
      <c r="L31" s="67" t="s">
        <v>231</v>
      </c>
      <c r="M31" s="68">
        <v>1.1357492559942064E-3</v>
      </c>
      <c r="N31" s="67" t="s">
        <v>231</v>
      </c>
    </row>
    <row r="32" spans="1:18">
      <c r="A32" s="65" t="s">
        <v>361</v>
      </c>
      <c r="B32" s="66" t="s">
        <v>362</v>
      </c>
      <c r="D32" s="66" t="s">
        <v>363</v>
      </c>
      <c r="E32" s="132">
        <v>5.34</v>
      </c>
      <c r="F32" s="67" t="s">
        <v>231</v>
      </c>
      <c r="G32" s="67" t="s">
        <v>231</v>
      </c>
      <c r="H32" s="67" t="s">
        <v>231</v>
      </c>
      <c r="I32" s="68">
        <v>1.074490374475052E-5</v>
      </c>
      <c r="J32" s="67" t="s">
        <v>231</v>
      </c>
      <c r="K32" s="68">
        <v>2.02935532260022E-3</v>
      </c>
      <c r="L32" s="67" t="s">
        <v>231</v>
      </c>
      <c r="M32" s="68">
        <v>0.30984549284452473</v>
      </c>
      <c r="N32" s="67" t="s">
        <v>231</v>
      </c>
    </row>
    <row r="33" spans="1:18">
      <c r="A33" s="65" t="s">
        <v>364</v>
      </c>
      <c r="B33" s="66" t="s">
        <v>365</v>
      </c>
      <c r="D33" s="66" t="s">
        <v>306</v>
      </c>
      <c r="E33" s="132">
        <v>4.1500000000000004</v>
      </c>
      <c r="F33" s="67" t="s">
        <v>231</v>
      </c>
      <c r="G33" s="67" t="s">
        <v>231</v>
      </c>
      <c r="H33" s="67" t="s">
        <v>231</v>
      </c>
      <c r="I33" s="68">
        <v>8.1250379690768128E-8</v>
      </c>
      <c r="J33" s="67" t="s">
        <v>231</v>
      </c>
      <c r="K33" s="68">
        <v>9.8384329644752981E-4</v>
      </c>
      <c r="L33" s="67" t="s">
        <v>231</v>
      </c>
      <c r="M33" s="68">
        <v>5.9070999285319259E-4</v>
      </c>
      <c r="N33" s="67" t="s">
        <v>231</v>
      </c>
      <c r="O33" s="65"/>
      <c r="P33" s="102"/>
    </row>
    <row r="34" spans="1:18">
      <c r="A34" s="65" t="s">
        <v>285</v>
      </c>
      <c r="B34" s="66" t="s">
        <v>286</v>
      </c>
      <c r="D34" s="66" t="s">
        <v>306</v>
      </c>
      <c r="E34" s="132">
        <v>2.9</v>
      </c>
      <c r="F34" s="67" t="s">
        <v>231</v>
      </c>
      <c r="G34" s="67" t="s">
        <v>231</v>
      </c>
      <c r="H34" s="67" t="s">
        <v>231</v>
      </c>
      <c r="I34" s="68">
        <v>3.2487172170009873E-10</v>
      </c>
      <c r="J34" s="67" t="s">
        <v>231</v>
      </c>
      <c r="K34" s="68">
        <v>1.1820567782715962E-3</v>
      </c>
      <c r="L34" s="67" t="s">
        <v>231</v>
      </c>
      <c r="M34" s="68">
        <v>7.5546419085819522E-2</v>
      </c>
      <c r="N34" s="67" t="s">
        <v>231</v>
      </c>
      <c r="O34" s="65"/>
      <c r="P34" s="102"/>
    </row>
    <row r="35" spans="1:18">
      <c r="A35" s="65" t="s">
        <v>287</v>
      </c>
      <c r="B35" s="66" t="s">
        <v>288</v>
      </c>
      <c r="D35" s="66" t="s">
        <v>306</v>
      </c>
      <c r="E35" s="132">
        <v>4.1500000000000004</v>
      </c>
      <c r="F35" s="67" t="s">
        <v>231</v>
      </c>
      <c r="G35" s="67" t="s">
        <v>231</v>
      </c>
      <c r="H35" s="67" t="s">
        <v>231</v>
      </c>
      <c r="I35" s="68">
        <v>5.0125691113465012E-7</v>
      </c>
      <c r="J35" s="67" t="s">
        <v>231</v>
      </c>
      <c r="K35" s="68">
        <v>1.4014301080605535E-3</v>
      </c>
      <c r="L35" s="67" t="s">
        <v>231</v>
      </c>
      <c r="M35" s="68">
        <v>0.1616486980099196</v>
      </c>
      <c r="N35" s="67" t="s">
        <v>231</v>
      </c>
      <c r="O35" s="65"/>
      <c r="P35" s="102"/>
    </row>
    <row r="36" spans="1:18">
      <c r="A36" s="65" t="s">
        <v>366</v>
      </c>
      <c r="B36" s="66" t="s">
        <v>305</v>
      </c>
      <c r="D36" s="66" t="s">
        <v>306</v>
      </c>
      <c r="E36" s="132">
        <v>4.45</v>
      </c>
      <c r="F36" s="67" t="s">
        <v>231</v>
      </c>
      <c r="G36" s="67" t="s">
        <v>231</v>
      </c>
      <c r="H36" s="67" t="s">
        <v>231</v>
      </c>
      <c r="I36" s="68">
        <v>9.0590634171375359E-7</v>
      </c>
      <c r="J36" s="67" t="s">
        <v>231</v>
      </c>
      <c r="K36" s="68">
        <v>1.9599494486981415E-3</v>
      </c>
      <c r="L36" s="67" t="s">
        <v>231</v>
      </c>
      <c r="M36" s="68">
        <v>0.38955222574958931</v>
      </c>
      <c r="N36" s="67" t="s">
        <v>231</v>
      </c>
      <c r="O36" s="65"/>
      <c r="P36" s="102"/>
    </row>
    <row r="37" spans="1:18">
      <c r="A37" s="65" t="s">
        <v>289</v>
      </c>
      <c r="B37" s="66" t="s">
        <v>290</v>
      </c>
      <c r="D37" s="66" t="s">
        <v>306</v>
      </c>
      <c r="E37" s="132">
        <v>6.68</v>
      </c>
      <c r="F37" s="67" t="s">
        <v>231</v>
      </c>
      <c r="G37" s="67" t="s">
        <v>231</v>
      </c>
      <c r="H37" s="67" t="s">
        <v>231</v>
      </c>
      <c r="I37" s="68">
        <v>5.4833743645131856E-6</v>
      </c>
      <c r="J37" s="67" t="s">
        <v>231</v>
      </c>
      <c r="K37" s="68">
        <v>2.6809364701581625E-3</v>
      </c>
      <c r="L37" s="67" t="s">
        <v>231</v>
      </c>
      <c r="M37" s="68">
        <v>0.49559908168083266</v>
      </c>
      <c r="N37" s="67" t="s">
        <v>231</v>
      </c>
      <c r="O37" s="65"/>
      <c r="P37" s="102"/>
    </row>
    <row r="38" spans="1:18">
      <c r="A38" s="65" t="s">
        <v>291</v>
      </c>
      <c r="B38" s="66" t="s">
        <v>292</v>
      </c>
      <c r="D38" s="66" t="s">
        <v>306</v>
      </c>
      <c r="E38" s="132">
        <v>4.9000000000000004</v>
      </c>
      <c r="F38" s="67" t="s">
        <v>231</v>
      </c>
      <c r="G38" s="67" t="s">
        <v>231</v>
      </c>
      <c r="H38" s="67" t="s">
        <v>231</v>
      </c>
      <c r="I38" s="68">
        <v>1.602238019423972E-6</v>
      </c>
      <c r="J38" s="67" t="s">
        <v>231</v>
      </c>
      <c r="K38" s="68">
        <v>1.1469264864483481E-3</v>
      </c>
      <c r="L38" s="67" t="s">
        <v>231</v>
      </c>
      <c r="M38" s="68">
        <v>6.1377379539165389E-2</v>
      </c>
      <c r="N38" s="67" t="s">
        <v>231</v>
      </c>
      <c r="O38" s="65"/>
      <c r="P38" s="102"/>
    </row>
    <row r="39" spans="1:18">
      <c r="A39" s="65" t="s">
        <v>367</v>
      </c>
      <c r="B39" s="66" t="s">
        <v>368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9.8485707958031305E-4</v>
      </c>
      <c r="J39" s="67" t="s">
        <v>231</v>
      </c>
      <c r="K39" s="68">
        <v>1.4491134804735094E-2</v>
      </c>
      <c r="L39" s="67" t="s">
        <v>231</v>
      </c>
      <c r="M39" s="68">
        <v>3.230294317794963</v>
      </c>
      <c r="N39" s="67" t="s">
        <v>231</v>
      </c>
      <c r="O39" s="65"/>
      <c r="P39" s="102"/>
    </row>
    <row r="40" spans="1:18">
      <c r="A40" s="65" t="s">
        <v>369</v>
      </c>
      <c r="B40" s="66" t="s">
        <v>370</v>
      </c>
      <c r="D40" s="66" t="s">
        <v>306</v>
      </c>
      <c r="E40" s="132">
        <v>5.15</v>
      </c>
      <c r="F40" s="67" t="s">
        <v>231</v>
      </c>
      <c r="G40" s="67" t="s">
        <v>231</v>
      </c>
      <c r="H40" s="67" t="s">
        <v>231</v>
      </c>
      <c r="I40" s="68">
        <v>6.2201540144748665E-9</v>
      </c>
      <c r="J40" s="67" t="s">
        <v>231</v>
      </c>
      <c r="K40" s="68">
        <v>0.15766797458158255</v>
      </c>
      <c r="L40" s="67" t="s">
        <v>231</v>
      </c>
      <c r="M40" s="68">
        <v>42.725609702089244</v>
      </c>
      <c r="N40" s="67" t="s">
        <v>232</v>
      </c>
      <c r="O40" s="65"/>
      <c r="P40" s="102"/>
    </row>
    <row r="41" spans="1:18">
      <c r="A41" s="65" t="s">
        <v>371</v>
      </c>
      <c r="B41" s="66" t="s">
        <v>372</v>
      </c>
      <c r="D41" s="66" t="s">
        <v>176</v>
      </c>
      <c r="F41" s="67" t="s">
        <v>231</v>
      </c>
      <c r="G41" s="67" t="s">
        <v>231</v>
      </c>
      <c r="H41" s="67" t="s">
        <v>231</v>
      </c>
      <c r="I41" s="68">
        <v>2.6127521280078985E-8</v>
      </c>
      <c r="J41" s="67" t="s">
        <v>231</v>
      </c>
      <c r="K41" s="68">
        <v>8.9797964446566901E-4</v>
      </c>
      <c r="L41" s="67" t="s">
        <v>231</v>
      </c>
      <c r="M41" s="68">
        <v>6.4164303642112326E-5</v>
      </c>
      <c r="N41" s="67" t="s">
        <v>231</v>
      </c>
      <c r="O41" s="65"/>
      <c r="P41" s="102"/>
    </row>
    <row r="42" spans="1:18">
      <c r="A42" s="65" t="s">
        <v>293</v>
      </c>
      <c r="B42" s="66" t="s">
        <v>294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1.1202709931990031E-3</v>
      </c>
      <c r="J42" s="67" t="s">
        <v>231</v>
      </c>
      <c r="K42" s="68">
        <v>1.5785790440244949E-3</v>
      </c>
      <c r="L42" s="67" t="s">
        <v>231</v>
      </c>
      <c r="M42" s="68">
        <v>0.21376668911757674</v>
      </c>
      <c r="N42" s="67" t="s">
        <v>231</v>
      </c>
      <c r="O42" s="65"/>
      <c r="P42" s="102"/>
    </row>
    <row r="43" spans="1:18">
      <c r="A43" s="65" t="s">
        <v>373</v>
      </c>
      <c r="B43" s="66" t="s">
        <v>374</v>
      </c>
      <c r="D43" s="66" t="s">
        <v>306</v>
      </c>
      <c r="E43" s="132">
        <v>4.7</v>
      </c>
      <c r="F43" s="67" t="s">
        <v>231</v>
      </c>
      <c r="G43" s="67" t="s">
        <v>231</v>
      </c>
      <c r="H43" s="67" t="s">
        <v>231</v>
      </c>
      <c r="I43" s="68">
        <v>4.3128463554288864E-8</v>
      </c>
      <c r="J43" s="67" t="s">
        <v>231</v>
      </c>
      <c r="K43" s="68">
        <v>5.5978427498976583E-3</v>
      </c>
      <c r="L43" s="67" t="s">
        <v>231</v>
      </c>
      <c r="M43" s="68">
        <v>1.5075305358300553</v>
      </c>
      <c r="N43" s="67" t="s">
        <v>231</v>
      </c>
      <c r="O43" s="65"/>
      <c r="P43" s="102"/>
    </row>
    <row r="44" spans="1:18">
      <c r="A44" s="65" t="s">
        <v>375</v>
      </c>
      <c r="B44" s="66" t="s">
        <v>376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1.087110331898194E-6</v>
      </c>
      <c r="J44" s="67" t="s">
        <v>231</v>
      </c>
      <c r="K44" s="68">
        <v>9.01169846755526E-4</v>
      </c>
      <c r="L44" s="67" t="s">
        <v>231</v>
      </c>
      <c r="M44" s="68">
        <v>2.9639552865229395E-2</v>
      </c>
      <c r="N44" s="67" t="s">
        <v>231</v>
      </c>
      <c r="O44" s="65"/>
      <c r="P44" s="102"/>
    </row>
    <row r="45" spans="1:18">
      <c r="A45" s="65" t="s">
        <v>377</v>
      </c>
      <c r="B45" s="66" t="s">
        <v>378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1.0070505545833188E-4</v>
      </c>
      <c r="J45" s="67" t="s">
        <v>231</v>
      </c>
      <c r="K45" s="68">
        <v>1.7011224030678176E-3</v>
      </c>
      <c r="L45" s="67" t="s">
        <v>231</v>
      </c>
      <c r="M45" s="68">
        <v>0.24678058122489666</v>
      </c>
      <c r="N45" s="67" t="s">
        <v>231</v>
      </c>
      <c r="O45" s="65"/>
      <c r="P45" s="102"/>
    </row>
    <row r="46" spans="1:18">
      <c r="A46" s="65" t="s">
        <v>379</v>
      </c>
      <c r="B46" s="66" t="s">
        <v>380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2.2277222998747466E-6</v>
      </c>
      <c r="J46" s="67" t="s">
        <v>231</v>
      </c>
      <c r="K46" s="68">
        <v>1.6191051681762796E-3</v>
      </c>
      <c r="L46" s="67" t="s">
        <v>231</v>
      </c>
      <c r="M46" s="68">
        <v>0.22520342931301801</v>
      </c>
      <c r="N46" s="67" t="s">
        <v>231</v>
      </c>
      <c r="O46" s="65"/>
      <c r="P46" s="102"/>
    </row>
    <row r="47" spans="1:18" s="139" customFormat="1">
      <c r="A47" s="139" t="s">
        <v>381</v>
      </c>
      <c r="B47" s="140" t="s">
        <v>382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1.3101764065546792E-2</v>
      </c>
      <c r="J47" s="142" t="s">
        <v>232</v>
      </c>
      <c r="K47" s="143">
        <v>8.2274338309462861E-2</v>
      </c>
      <c r="L47" s="142" t="s">
        <v>231</v>
      </c>
      <c r="M47" s="143">
        <v>18.547542591356692</v>
      </c>
      <c r="N47" s="142" t="s">
        <v>231</v>
      </c>
      <c r="P47" s="130"/>
      <c r="Q47" s="130"/>
      <c r="R47" s="130"/>
    </row>
    <row r="48" spans="1:18" s="139" customFormat="1">
      <c r="A48" s="139" t="s">
        <v>383</v>
      </c>
      <c r="B48" s="140" t="s">
        <v>384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1.8116723756678143E-6</v>
      </c>
      <c r="J48" s="142" t="s">
        <v>231</v>
      </c>
      <c r="K48" s="143">
        <v>9.4076813034085836E-4</v>
      </c>
      <c r="L48" s="142" t="s">
        <v>231</v>
      </c>
      <c r="M48" s="143">
        <v>1.0240789906324448E-2</v>
      </c>
      <c r="N48" s="142" t="s">
        <v>231</v>
      </c>
      <c r="P48" s="130"/>
      <c r="Q48" s="130"/>
      <c r="R48" s="130"/>
    </row>
    <row r="49" spans="1:18" s="139" customFormat="1">
      <c r="A49" s="139" t="s">
        <v>385</v>
      </c>
      <c r="B49" s="140" t="s">
        <v>386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5.0782847715160845E-6</v>
      </c>
      <c r="J49" s="142" t="s">
        <v>231</v>
      </c>
      <c r="K49" s="143">
        <v>9.3857459059527675E-4</v>
      </c>
      <c r="L49" s="142" t="s">
        <v>231</v>
      </c>
      <c r="M49" s="143">
        <v>1.7644587958815242E-2</v>
      </c>
      <c r="N49" s="142" t="s">
        <v>231</v>
      </c>
      <c r="P49" s="130"/>
      <c r="Q49" s="130"/>
      <c r="R49" s="130"/>
    </row>
    <row r="50" spans="1:18" s="139" customFormat="1">
      <c r="A50" s="139" t="s">
        <v>387</v>
      </c>
      <c r="B50" s="140" t="s">
        <v>388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1.7994720620411526E-5</v>
      </c>
      <c r="J50" s="142" t="s">
        <v>231</v>
      </c>
      <c r="K50" s="143">
        <v>6.7878461813104295E-3</v>
      </c>
      <c r="L50" s="142" t="s">
        <v>231</v>
      </c>
      <c r="M50" s="143">
        <v>1.4702562171970952</v>
      </c>
      <c r="N50" s="142" t="s">
        <v>231</v>
      </c>
      <c r="P50" s="130"/>
      <c r="Q50" s="130"/>
      <c r="R50" s="130"/>
    </row>
    <row r="51" spans="1:18" s="139" customFormat="1">
      <c r="A51" s="139" t="s">
        <v>295</v>
      </c>
      <c r="B51" s="140" t="s">
        <v>296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4.0112008951975662E-8</v>
      </c>
      <c r="J51" s="142" t="s">
        <v>231</v>
      </c>
      <c r="K51" s="143">
        <v>8.9728145021456516E-4</v>
      </c>
      <c r="L51" s="142" t="s">
        <v>231</v>
      </c>
      <c r="M51" s="143">
        <v>1.8452095330605484E-3</v>
      </c>
      <c r="N51" s="142" t="s">
        <v>231</v>
      </c>
      <c r="P51" s="130"/>
      <c r="Q51" s="130"/>
      <c r="R51" s="130"/>
    </row>
    <row r="52" spans="1:18" s="139" customFormat="1">
      <c r="A52" s="139" t="s">
        <v>389</v>
      </c>
      <c r="B52" s="140" t="s">
        <v>390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1.1157148371281039E-5</v>
      </c>
      <c r="J52" s="142" t="s">
        <v>231</v>
      </c>
      <c r="K52" s="143">
        <v>9.6622248611152753E-4</v>
      </c>
      <c r="L52" s="142" t="s">
        <v>231</v>
      </c>
      <c r="M52" s="143">
        <v>5.0102032130149694E-2</v>
      </c>
      <c r="N52" s="142" t="s">
        <v>231</v>
      </c>
      <c r="P52" s="130"/>
      <c r="Q52" s="130"/>
      <c r="R52" s="130"/>
    </row>
    <row r="53" spans="1:18" s="139" customFormat="1">
      <c r="A53" s="139" t="s">
        <v>391</v>
      </c>
      <c r="B53" s="140" t="s">
        <v>392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2.0859440997076674E-4</v>
      </c>
      <c r="J53" s="142" t="s">
        <v>231</v>
      </c>
      <c r="K53" s="143">
        <v>2.2108258553353143E-3</v>
      </c>
      <c r="L53" s="142" t="s">
        <v>231</v>
      </c>
      <c r="M53" s="143">
        <v>0.37891692774872049</v>
      </c>
      <c r="N53" s="142" t="s">
        <v>231</v>
      </c>
      <c r="P53" s="130"/>
      <c r="Q53" s="130"/>
      <c r="R53" s="130"/>
    </row>
    <row r="54" spans="1:18">
      <c r="A54" s="65" t="s">
        <v>393</v>
      </c>
      <c r="B54" s="66" t="s">
        <v>394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4.3263305259099976E-3</v>
      </c>
      <c r="J54" s="67" t="s">
        <v>231</v>
      </c>
      <c r="K54" s="68">
        <v>7.2977356754817868E-2</v>
      </c>
      <c r="L54" s="67" t="s">
        <v>231</v>
      </c>
      <c r="M54" s="68">
        <v>16.439051984990627</v>
      </c>
      <c r="N54" s="67" t="s">
        <v>231</v>
      </c>
      <c r="O54" s="65"/>
      <c r="P54" s="102"/>
    </row>
    <row r="55" spans="1:18">
      <c r="A55" s="65" t="s">
        <v>395</v>
      </c>
      <c r="B55" s="66" t="s">
        <v>396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2.9382818833447951E-4</v>
      </c>
      <c r="J55" s="67" t="s">
        <v>231</v>
      </c>
      <c r="K55" s="68">
        <v>3.491271637974087E-3</v>
      </c>
      <c r="L55" s="67" t="s">
        <v>231</v>
      </c>
      <c r="M55" s="68">
        <v>0.72510065679293367</v>
      </c>
      <c r="N55" s="67" t="s">
        <v>231</v>
      </c>
      <c r="O55" s="65"/>
      <c r="P55" s="102"/>
    </row>
    <row r="56" spans="1:18">
      <c r="A56" s="65" t="s">
        <v>397</v>
      </c>
      <c r="B56" s="66" t="s">
        <v>398</v>
      </c>
      <c r="D56" s="66" t="s">
        <v>176</v>
      </c>
      <c r="F56" s="67" t="s">
        <v>231</v>
      </c>
      <c r="G56" s="67" t="s">
        <v>232</v>
      </c>
      <c r="H56" s="67" t="s">
        <v>231</v>
      </c>
      <c r="I56" s="68">
        <v>6.9791702777646824E-5</v>
      </c>
      <c r="J56" s="67" t="s">
        <v>231</v>
      </c>
      <c r="K56" s="68">
        <v>1.5673340706283015E-3</v>
      </c>
      <c r="L56" s="67" t="s">
        <v>231</v>
      </c>
      <c r="M56" s="68">
        <v>0.34473596090218966</v>
      </c>
      <c r="N56" s="67" t="s">
        <v>231</v>
      </c>
      <c r="O56" s="65"/>
      <c r="P56" s="102"/>
    </row>
    <row r="57" spans="1:18">
      <c r="A57" s="65" t="s">
        <v>399</v>
      </c>
      <c r="B57" s="66" t="s">
        <v>400</v>
      </c>
      <c r="D57" s="66" t="s">
        <v>176</v>
      </c>
      <c r="F57" s="67" t="s">
        <v>231</v>
      </c>
      <c r="G57" s="67" t="s">
        <v>232</v>
      </c>
      <c r="H57" s="67" t="s">
        <v>231</v>
      </c>
      <c r="I57" s="68">
        <v>2.7294715074705435E-5</v>
      </c>
      <c r="J57" s="67" t="s">
        <v>231</v>
      </c>
      <c r="K57" s="68">
        <v>6.6021172255545911E-4</v>
      </c>
      <c r="L57" s="67" t="s">
        <v>231</v>
      </c>
      <c r="M57" s="68">
        <v>0.13961304846503741</v>
      </c>
      <c r="N57" s="67" t="s">
        <v>231</v>
      </c>
      <c r="O57" s="65"/>
      <c r="P57" s="102"/>
    </row>
    <row r="58" spans="1:18">
      <c r="A58" s="65" t="s">
        <v>297</v>
      </c>
      <c r="B58" s="66" t="s">
        <v>298</v>
      </c>
      <c r="D58" s="66" t="s">
        <v>176</v>
      </c>
      <c r="F58" s="67" t="s">
        <v>231</v>
      </c>
      <c r="G58" s="67" t="s">
        <v>232</v>
      </c>
      <c r="H58" s="67" t="s">
        <v>231</v>
      </c>
      <c r="I58" s="68">
        <v>2.5869150868443E-7</v>
      </c>
      <c r="J58" s="67" t="s">
        <v>231</v>
      </c>
      <c r="K58" s="68">
        <v>6.5334611329663915E-5</v>
      </c>
      <c r="L58" s="67" t="s">
        <v>231</v>
      </c>
      <c r="M58" s="68">
        <v>1.5179064456517682E-3</v>
      </c>
      <c r="N58" s="67" t="s">
        <v>231</v>
      </c>
      <c r="O58" s="65"/>
      <c r="P58" s="102"/>
    </row>
    <row r="59" spans="1:18">
      <c r="A59" s="65" t="s">
        <v>401</v>
      </c>
      <c r="B59" s="66" t="s">
        <v>402</v>
      </c>
      <c r="D59" s="66" t="s">
        <v>176</v>
      </c>
      <c r="F59" s="67" t="s">
        <v>231</v>
      </c>
      <c r="G59" s="67" t="s">
        <v>232</v>
      </c>
      <c r="H59" s="67" t="s">
        <v>231</v>
      </c>
      <c r="I59" s="68">
        <v>6.0303772963090803E-6</v>
      </c>
      <c r="J59" s="67" t="s">
        <v>231</v>
      </c>
      <c r="K59" s="68">
        <v>2.3387286996290072E-4</v>
      </c>
      <c r="L59" s="67" t="s">
        <v>231</v>
      </c>
      <c r="M59" s="68">
        <v>4.9272407789457746E-2</v>
      </c>
      <c r="N59" s="67" t="s">
        <v>231</v>
      </c>
      <c r="O59" s="65"/>
      <c r="P59" s="102"/>
    </row>
    <row r="60" spans="1:18">
      <c r="A60" s="65" t="s">
        <v>299</v>
      </c>
      <c r="B60" s="66" t="s">
        <v>300</v>
      </c>
      <c r="D60" s="66" t="s">
        <v>176</v>
      </c>
      <c r="F60" s="67" t="s">
        <v>231</v>
      </c>
      <c r="G60" s="67" t="s">
        <v>232</v>
      </c>
      <c r="H60" s="67" t="s">
        <v>231</v>
      </c>
      <c r="I60" s="68">
        <v>8.9781776559365455E-8</v>
      </c>
      <c r="J60" s="67" t="s">
        <v>231</v>
      </c>
      <c r="K60" s="68">
        <v>4.0952507004300131E-6</v>
      </c>
      <c r="L60" s="67" t="s">
        <v>231</v>
      </c>
      <c r="M60" s="68">
        <v>8.115477837335116E-4</v>
      </c>
      <c r="N60" s="67" t="s">
        <v>231</v>
      </c>
      <c r="O60" s="65"/>
      <c r="P60" s="102"/>
    </row>
    <row r="61" spans="1:18">
      <c r="A61" s="65" t="s">
        <v>403</v>
      </c>
      <c r="B61" s="66" t="s">
        <v>404</v>
      </c>
      <c r="D61" s="66" t="s">
        <v>176</v>
      </c>
      <c r="F61" s="67" t="s">
        <v>231</v>
      </c>
      <c r="G61" s="67" t="s">
        <v>231</v>
      </c>
      <c r="H61" s="67" t="s">
        <v>231</v>
      </c>
      <c r="I61" s="68">
        <v>5.1094419130780264E-2</v>
      </c>
      <c r="J61" s="67" t="s">
        <v>232</v>
      </c>
      <c r="K61" s="68">
        <v>2.8930688131610901E-3</v>
      </c>
      <c r="L61" s="67" t="s">
        <v>231</v>
      </c>
      <c r="M61" s="68">
        <v>0.54810569084227589</v>
      </c>
      <c r="N61" s="67" t="s">
        <v>231</v>
      </c>
      <c r="O61" s="65"/>
      <c r="P61" s="102"/>
    </row>
    <row r="62" spans="1:18">
      <c r="A62" s="65" t="s">
        <v>405</v>
      </c>
      <c r="B62" s="66" t="s">
        <v>406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1.7297247940111776E-4</v>
      </c>
      <c r="J62" s="67" t="s">
        <v>231</v>
      </c>
      <c r="K62" s="68">
        <v>3.4111261448195616E-2</v>
      </c>
      <c r="L62" s="67" t="s">
        <v>231</v>
      </c>
      <c r="M62" s="68">
        <v>7.6512840671540943</v>
      </c>
      <c r="N62" s="67" t="s">
        <v>231</v>
      </c>
      <c r="O62" s="65"/>
      <c r="P62" s="102"/>
    </row>
    <row r="63" spans="1:18">
      <c r="A63" s="65" t="s">
        <v>407</v>
      </c>
      <c r="B63" s="66" t="s">
        <v>408</v>
      </c>
      <c r="D63" s="66" t="s">
        <v>176</v>
      </c>
      <c r="F63" s="67" t="s">
        <v>231</v>
      </c>
      <c r="G63" s="67" t="s">
        <v>231</v>
      </c>
      <c r="H63" s="67" t="s">
        <v>231</v>
      </c>
      <c r="I63" s="68">
        <v>1.4446067520267622E-3</v>
      </c>
      <c r="J63" s="67" t="s">
        <v>231</v>
      </c>
      <c r="K63" s="68">
        <v>9.842773873023225E-2</v>
      </c>
      <c r="L63" s="67" t="s">
        <v>231</v>
      </c>
      <c r="M63" s="68">
        <v>22.217964712485742</v>
      </c>
      <c r="N63" s="67" t="s">
        <v>232</v>
      </c>
      <c r="O63" s="65"/>
      <c r="P63" s="102"/>
    </row>
    <row r="64" spans="1:18">
      <c r="A64" s="65" t="s">
        <v>409</v>
      </c>
      <c r="B64" s="66" t="s">
        <v>410</v>
      </c>
      <c r="D64" s="66" t="s">
        <v>176</v>
      </c>
      <c r="F64" s="67" t="s">
        <v>231</v>
      </c>
      <c r="G64" s="67" t="s">
        <v>231</v>
      </c>
      <c r="H64" s="67" t="s">
        <v>231</v>
      </c>
      <c r="I64" s="68">
        <v>1.1514083607912996E-3</v>
      </c>
      <c r="J64" s="67" t="s">
        <v>231</v>
      </c>
      <c r="K64" s="68">
        <v>0.1237260790998486</v>
      </c>
      <c r="L64" s="67" t="s">
        <v>231</v>
      </c>
      <c r="M64" s="68">
        <v>27.987313151111309</v>
      </c>
      <c r="N64" s="67" t="s">
        <v>232</v>
      </c>
      <c r="O64" s="65"/>
      <c r="P64" s="102"/>
    </row>
    <row r="65" spans="1:16">
      <c r="A65" s="65" t="s">
        <v>301</v>
      </c>
      <c r="B65" s="66" t="s">
        <v>302</v>
      </c>
      <c r="D65" s="66" t="s">
        <v>176</v>
      </c>
      <c r="F65" s="67" t="s">
        <v>231</v>
      </c>
      <c r="G65" s="67" t="s">
        <v>231</v>
      </c>
      <c r="H65" s="67" t="s">
        <v>231</v>
      </c>
      <c r="I65" s="68">
        <v>1.9293058679199051E-3</v>
      </c>
      <c r="J65" s="67" t="s">
        <v>231</v>
      </c>
      <c r="K65" s="68">
        <v>0.14734202382301514</v>
      </c>
      <c r="L65" s="67" t="s">
        <v>231</v>
      </c>
      <c r="M65" s="68">
        <v>33.40794200413702</v>
      </c>
      <c r="N65" s="67" t="s">
        <v>232</v>
      </c>
      <c r="O65" s="65"/>
      <c r="P65" s="102"/>
    </row>
    <row r="66" spans="1:16">
      <c r="A66" s="65" t="s">
        <v>303</v>
      </c>
      <c r="B66" s="66" t="s">
        <v>304</v>
      </c>
      <c r="D66" s="66" t="s">
        <v>176</v>
      </c>
      <c r="F66" s="67" t="s">
        <v>231</v>
      </c>
      <c r="G66" s="67" t="s">
        <v>231</v>
      </c>
      <c r="H66" s="67" t="s">
        <v>231</v>
      </c>
      <c r="I66" s="68">
        <v>7.2505404308055383E-6</v>
      </c>
      <c r="J66" s="67" t="s">
        <v>231</v>
      </c>
      <c r="K66" s="68">
        <v>0.13471756862088702</v>
      </c>
      <c r="L66" s="67" t="s">
        <v>231</v>
      </c>
      <c r="M66" s="68">
        <v>30.504709464580078</v>
      </c>
      <c r="N66" s="67" t="s">
        <v>232</v>
      </c>
      <c r="O66" s="65"/>
      <c r="P66" s="102"/>
    </row>
    <row r="67" spans="1:16">
      <c r="A67" s="65" t="s">
        <v>411</v>
      </c>
      <c r="B67" s="66" t="s">
        <v>412</v>
      </c>
      <c r="D67" s="66" t="s">
        <v>176</v>
      </c>
      <c r="F67" s="67" t="s">
        <v>231</v>
      </c>
      <c r="G67" s="67" t="s">
        <v>231</v>
      </c>
      <c r="H67" s="67" t="s">
        <v>231</v>
      </c>
      <c r="I67" s="68">
        <v>3.8239026541726648E-4</v>
      </c>
      <c r="J67" s="67" t="s">
        <v>231</v>
      </c>
      <c r="K67" s="68">
        <v>9.959937428804628E-4</v>
      </c>
      <c r="L67" s="67" t="s">
        <v>231</v>
      </c>
      <c r="M67" s="68">
        <v>3.8326448586685644E-2</v>
      </c>
      <c r="N67" s="67" t="s">
        <v>231</v>
      </c>
      <c r="O67" s="65"/>
      <c r="P67" s="102"/>
    </row>
    <row r="68" spans="1:16">
      <c r="A68" s="65" t="s">
        <v>413</v>
      </c>
      <c r="B68" s="66" t="s">
        <v>414</v>
      </c>
      <c r="D68" s="66" t="s">
        <v>176</v>
      </c>
      <c r="F68" s="67" t="s">
        <v>231</v>
      </c>
      <c r="G68" s="67" t="s">
        <v>231</v>
      </c>
      <c r="H68" s="67" t="s">
        <v>231</v>
      </c>
      <c r="I68" s="68">
        <v>1.5565276628733702E-4</v>
      </c>
      <c r="J68" s="67" t="s">
        <v>231</v>
      </c>
      <c r="K68" s="68">
        <v>1.0644622137018951E-3</v>
      </c>
      <c r="L68" s="67" t="s">
        <v>231</v>
      </c>
      <c r="M68" s="68">
        <v>6.5686546625311704E-2</v>
      </c>
      <c r="N68" s="67" t="s">
        <v>231</v>
      </c>
      <c r="O68" s="65"/>
      <c r="P68" s="102"/>
    </row>
    <row r="69" spans="1:16">
      <c r="A69" s="65" t="s">
        <v>415</v>
      </c>
      <c r="B69" s="66" t="s">
        <v>416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9.9905365185913768E-7</v>
      </c>
      <c r="J69" s="67" t="s">
        <v>231</v>
      </c>
      <c r="K69" s="68">
        <v>6.045896705060444E-2</v>
      </c>
      <c r="L69" s="67" t="s">
        <v>231</v>
      </c>
      <c r="M69" s="68">
        <v>13.604298431016296</v>
      </c>
      <c r="N69" s="67" t="s">
        <v>231</v>
      </c>
      <c r="O69" s="65"/>
      <c r="P69" s="102"/>
    </row>
    <row r="70" spans="1:16">
      <c r="A70" s="65" t="s">
        <v>417</v>
      </c>
      <c r="B70" s="66" t="s">
        <v>418</v>
      </c>
      <c r="D70" s="66" t="s">
        <v>176</v>
      </c>
      <c r="F70" s="67" t="s">
        <v>231</v>
      </c>
      <c r="G70" s="67" t="s">
        <v>231</v>
      </c>
      <c r="H70" s="67" t="s">
        <v>231</v>
      </c>
      <c r="I70" s="68">
        <v>8.1046990209717503E-4</v>
      </c>
      <c r="J70" s="67" t="s">
        <v>231</v>
      </c>
      <c r="K70" s="68">
        <v>1.0753629151509805E-2</v>
      </c>
      <c r="L70" s="67" t="s">
        <v>231</v>
      </c>
      <c r="M70" s="68">
        <v>2.3802720490568192</v>
      </c>
      <c r="N70" s="67" t="s">
        <v>231</v>
      </c>
      <c r="O70" s="65"/>
      <c r="P70" s="102"/>
    </row>
    <row r="71" spans="1:16">
      <c r="A71" s="65" t="s">
        <v>419</v>
      </c>
      <c r="B71" s="66" t="s">
        <v>420</v>
      </c>
      <c r="D71" s="66" t="s">
        <v>176</v>
      </c>
      <c r="F71" s="67" t="s">
        <v>231</v>
      </c>
      <c r="G71" s="67" t="s">
        <v>231</v>
      </c>
      <c r="H71" s="67" t="s">
        <v>231</v>
      </c>
      <c r="I71" s="68">
        <v>2.8976709486889634E-4</v>
      </c>
      <c r="J71" s="67" t="s">
        <v>231</v>
      </c>
      <c r="K71" s="68">
        <v>1.0334164600989586E-3</v>
      </c>
      <c r="L71" s="67" t="s">
        <v>231</v>
      </c>
      <c r="M71" s="68">
        <v>5.955773623270659E-2</v>
      </c>
      <c r="N71" s="67" t="s">
        <v>231</v>
      </c>
      <c r="O71" s="65"/>
      <c r="P71" s="102"/>
    </row>
    <row r="72" spans="1:16">
      <c r="A72" s="65" t="s">
        <v>421</v>
      </c>
      <c r="B72" s="66" t="s">
        <v>422</v>
      </c>
      <c r="D72" s="66" t="s">
        <v>176</v>
      </c>
      <c r="F72" s="67" t="s">
        <v>231</v>
      </c>
      <c r="G72" s="67" t="s">
        <v>231</v>
      </c>
      <c r="H72" s="67" t="s">
        <v>231</v>
      </c>
      <c r="I72" s="68">
        <v>4.5602790874054038E-6</v>
      </c>
      <c r="J72" s="67" t="s">
        <v>231</v>
      </c>
      <c r="K72" s="68">
        <v>9.8294996099585526E-3</v>
      </c>
      <c r="L72" s="67" t="s">
        <v>231</v>
      </c>
      <c r="M72" s="68">
        <v>2.1717529164270863</v>
      </c>
      <c r="N72" s="67" t="s">
        <v>231</v>
      </c>
      <c r="O72" s="65"/>
      <c r="P72" s="102"/>
    </row>
    <row r="73" spans="1:16">
      <c r="A73" s="65" t="s">
        <v>423</v>
      </c>
      <c r="B73" s="66" t="s">
        <v>424</v>
      </c>
      <c r="D73" s="66" t="s">
        <v>176</v>
      </c>
      <c r="F73" s="67" t="s">
        <v>231</v>
      </c>
      <c r="G73" s="67" t="s">
        <v>231</v>
      </c>
      <c r="H73" s="67" t="s">
        <v>231</v>
      </c>
      <c r="I73" s="68">
        <v>7.5554177275458266E-3</v>
      </c>
      <c r="J73" s="67" t="s">
        <v>231</v>
      </c>
      <c r="K73" s="68">
        <v>3.0076938758559282E-3</v>
      </c>
      <c r="L73" s="67" t="s">
        <v>231</v>
      </c>
      <c r="M73" s="68">
        <v>0.57930984504370509</v>
      </c>
      <c r="N73" s="67" t="s">
        <v>231</v>
      </c>
      <c r="O73" s="65"/>
      <c r="P73" s="102"/>
    </row>
    <row r="74" spans="1:16">
      <c r="A74" s="65" t="s">
        <v>425</v>
      </c>
      <c r="B74" s="66" t="s">
        <v>426</v>
      </c>
      <c r="D74" s="66" t="s">
        <v>176</v>
      </c>
      <c r="F74" s="67" t="s">
        <v>231</v>
      </c>
      <c r="G74" s="67" t="s">
        <v>231</v>
      </c>
      <c r="H74" s="67" t="s">
        <v>231</v>
      </c>
      <c r="I74" s="68">
        <v>0.16681398489103397</v>
      </c>
      <c r="J74" s="67" t="s">
        <v>232</v>
      </c>
      <c r="K74" s="68">
        <v>1.0523793722946507E-2</v>
      </c>
      <c r="L74" s="67" t="s">
        <v>231</v>
      </c>
      <c r="M74" s="68">
        <v>2.3282426420662174</v>
      </c>
      <c r="N74" s="67" t="s">
        <v>231</v>
      </c>
      <c r="O74" s="65"/>
      <c r="P74" s="102"/>
    </row>
    <row r="75" spans="1:16">
      <c r="A75" s="65" t="s">
        <v>427</v>
      </c>
      <c r="B75" s="66" t="s">
        <v>428</v>
      </c>
      <c r="D75" s="66" t="s">
        <v>306</v>
      </c>
      <c r="E75" s="132">
        <v>0</v>
      </c>
      <c r="F75" s="67" t="s">
        <v>231</v>
      </c>
      <c r="G75" s="67" t="s">
        <v>231</v>
      </c>
      <c r="H75" s="67" t="s">
        <v>231</v>
      </c>
      <c r="I75" s="68">
        <v>2.1311314311490971E-12</v>
      </c>
      <c r="J75" s="67" t="s">
        <v>231</v>
      </c>
      <c r="K75" s="68">
        <v>1.8803419315052167E-2</v>
      </c>
      <c r="L75" s="67" t="s">
        <v>231</v>
      </c>
      <c r="M75" s="68">
        <v>5.153158577332646</v>
      </c>
      <c r="N75" s="67" t="s">
        <v>231</v>
      </c>
      <c r="O75" s="65"/>
      <c r="P75" s="102"/>
    </row>
    <row r="76" spans="1:16">
      <c r="A76" s="65" t="s">
        <v>429</v>
      </c>
      <c r="B76" s="66" t="s">
        <v>430</v>
      </c>
      <c r="D76" s="66" t="s">
        <v>306</v>
      </c>
      <c r="E76" s="132">
        <v>0</v>
      </c>
      <c r="F76" s="67" t="s">
        <v>231</v>
      </c>
      <c r="G76" s="67" t="s">
        <v>231</v>
      </c>
      <c r="H76" s="67" t="s">
        <v>231</v>
      </c>
      <c r="I76" s="68">
        <v>1.1724376990171958E-12</v>
      </c>
      <c r="J76" s="67" t="s">
        <v>231</v>
      </c>
      <c r="K76" s="68">
        <v>1.8803419409588112E-2</v>
      </c>
      <c r="L76" s="67" t="s">
        <v>231</v>
      </c>
      <c r="M76" s="68">
        <v>5.153158603240632</v>
      </c>
      <c r="N76" s="67" t="s">
        <v>231</v>
      </c>
      <c r="O76" s="65"/>
      <c r="P76" s="102"/>
    </row>
    <row r="77" spans="1:16">
      <c r="A77" s="65" t="s">
        <v>431</v>
      </c>
      <c r="B77" s="66" t="s">
        <v>432</v>
      </c>
      <c r="D77" s="66" t="s">
        <v>176</v>
      </c>
      <c r="F77" s="67" t="s">
        <v>231</v>
      </c>
      <c r="G77" s="67" t="s">
        <v>231</v>
      </c>
      <c r="H77" s="67" t="s">
        <v>231</v>
      </c>
      <c r="I77" s="68">
        <v>5.5187177630310975E-7</v>
      </c>
      <c r="J77" s="67" t="s">
        <v>231</v>
      </c>
      <c r="K77" s="68">
        <v>5.5370660613176283E-3</v>
      </c>
      <c r="L77" s="67" t="s">
        <v>231</v>
      </c>
      <c r="M77" s="68">
        <v>1.1836574161068258</v>
      </c>
      <c r="N77" s="67" t="s">
        <v>231</v>
      </c>
      <c r="O77" s="65"/>
      <c r="P77" s="102"/>
    </row>
    <row r="78" spans="1:16">
      <c r="A78" s="65" t="s">
        <v>433</v>
      </c>
      <c r="B78" s="66" t="s">
        <v>434</v>
      </c>
      <c r="D78" s="66" t="s">
        <v>176</v>
      </c>
      <c r="F78" s="67" t="s">
        <v>231</v>
      </c>
      <c r="G78" s="67" t="s">
        <v>231</v>
      </c>
      <c r="H78" s="67" t="s">
        <v>231</v>
      </c>
      <c r="I78" s="68">
        <v>1.0595252279570508E-3</v>
      </c>
      <c r="J78" s="67" t="s">
        <v>231</v>
      </c>
      <c r="K78" s="68">
        <v>1.4639514450448074E-3</v>
      </c>
      <c r="L78" s="67" t="s">
        <v>231</v>
      </c>
      <c r="M78" s="68">
        <v>0.19094574456037131</v>
      </c>
      <c r="N78" s="67" t="s">
        <v>231</v>
      </c>
      <c r="O78" s="65"/>
      <c r="P78" s="102"/>
    </row>
    <row r="79" spans="1:16">
      <c r="A79" s="65" t="s">
        <v>435</v>
      </c>
      <c r="B79" s="66" t="s">
        <v>436</v>
      </c>
      <c r="D79" s="66" t="s">
        <v>176</v>
      </c>
      <c r="F79" s="67" t="s">
        <v>231</v>
      </c>
      <c r="G79" s="67" t="s">
        <v>231</v>
      </c>
      <c r="H79" s="67" t="s">
        <v>231</v>
      </c>
      <c r="I79" s="68">
        <v>2.2752697641164217E-5</v>
      </c>
      <c r="J79" s="67" t="s">
        <v>231</v>
      </c>
      <c r="K79" s="68">
        <v>2.2432651139110945E-3</v>
      </c>
      <c r="L79" s="67" t="s">
        <v>231</v>
      </c>
      <c r="M79" s="68">
        <v>0.38853909122931396</v>
      </c>
      <c r="N79" s="67" t="s">
        <v>231</v>
      </c>
      <c r="O79" s="65"/>
      <c r="P79" s="102"/>
    </row>
    <row r="80" spans="1:16">
      <c r="A80" s="65" t="s">
        <v>437</v>
      </c>
      <c r="B80" s="66" t="s">
        <v>438</v>
      </c>
      <c r="D80" s="66" t="s">
        <v>306</v>
      </c>
      <c r="E80" s="132">
        <v>0</v>
      </c>
      <c r="F80" s="67" t="s">
        <v>231</v>
      </c>
      <c r="G80" s="67" t="s">
        <v>231</v>
      </c>
      <c r="H80" s="67" t="s">
        <v>231</v>
      </c>
      <c r="I80" s="68">
        <v>1.2524888954101203E-13</v>
      </c>
      <c r="J80" s="67" t="s">
        <v>231</v>
      </c>
      <c r="K80" s="68">
        <v>3.6008902898912516E-2</v>
      </c>
      <c r="L80" s="67" t="s">
        <v>231</v>
      </c>
      <c r="M80" s="68">
        <v>9.8821448219465271</v>
      </c>
      <c r="N80" s="67" t="s">
        <v>231</v>
      </c>
      <c r="O80" s="65"/>
      <c r="P80" s="102"/>
    </row>
    <row r="81" spans="1:16">
      <c r="A81" s="65" t="s">
        <v>440</v>
      </c>
      <c r="B81" s="66" t="s">
        <v>441</v>
      </c>
      <c r="D81" s="66" t="s">
        <v>176</v>
      </c>
      <c r="F81" s="67" t="s">
        <v>231</v>
      </c>
      <c r="G81" s="67" t="s">
        <v>231</v>
      </c>
      <c r="H81" s="67" t="s">
        <v>231</v>
      </c>
      <c r="I81" s="68">
        <v>2.1965720088145725E-5</v>
      </c>
      <c r="J81" s="67" t="s">
        <v>231</v>
      </c>
      <c r="K81" s="68">
        <v>9.6132585225100421E-4</v>
      </c>
      <c r="L81" s="67" t="s">
        <v>231</v>
      </c>
      <c r="M81" s="68">
        <v>1.6806691001910812E-3</v>
      </c>
      <c r="N81" s="67" t="s">
        <v>231</v>
      </c>
      <c r="O81" s="65"/>
      <c r="P81" s="102"/>
    </row>
    <row r="82" spans="1:16">
      <c r="A82" s="65" t="s">
        <v>442</v>
      </c>
      <c r="B82" s="66" t="s">
        <v>443</v>
      </c>
      <c r="D82" s="66" t="s">
        <v>176</v>
      </c>
      <c r="F82" s="67" t="s">
        <v>231</v>
      </c>
      <c r="G82" s="67" t="s">
        <v>231</v>
      </c>
      <c r="H82" s="67" t="s">
        <v>231</v>
      </c>
      <c r="I82" s="68">
        <v>3.5473403962866295E-5</v>
      </c>
      <c r="J82" s="67" t="s">
        <v>231</v>
      </c>
      <c r="K82" s="68">
        <v>1.1208103931689363E-3</v>
      </c>
      <c r="L82" s="67" t="s">
        <v>231</v>
      </c>
      <c r="M82" s="68">
        <v>8.1411131354736932E-2</v>
      </c>
      <c r="N82" s="67" t="s">
        <v>231</v>
      </c>
      <c r="O82" s="65"/>
      <c r="P82" s="102"/>
    </row>
    <row r="83" spans="1:16">
      <c r="A83" s="65" t="s">
        <v>444</v>
      </c>
      <c r="B83" s="66" t="s">
        <v>445</v>
      </c>
      <c r="D83" s="66" t="s">
        <v>176</v>
      </c>
      <c r="F83" s="67" t="s">
        <v>231</v>
      </c>
      <c r="G83" s="67" t="s">
        <v>231</v>
      </c>
      <c r="H83" s="67" t="s">
        <v>231</v>
      </c>
      <c r="I83" s="68">
        <v>5.8152361275440575E-5</v>
      </c>
      <c r="J83" s="67" t="s">
        <v>231</v>
      </c>
      <c r="K83" s="68">
        <v>5.1752116669996776E-3</v>
      </c>
      <c r="L83" s="67" t="s">
        <v>231</v>
      </c>
      <c r="M83" s="68">
        <v>1.0930569163853803</v>
      </c>
      <c r="N83" s="67" t="s">
        <v>231</v>
      </c>
      <c r="O83" s="65"/>
      <c r="P83" s="102"/>
    </row>
    <row r="84" spans="1:16">
      <c r="A84" s="65" t="s">
        <v>446</v>
      </c>
      <c r="B84" s="66" t="s">
        <v>447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6.0689386109120687E-6</v>
      </c>
      <c r="J84" s="67" t="s">
        <v>231</v>
      </c>
      <c r="K84" s="68">
        <v>9.5165567492009435E-4</v>
      </c>
      <c r="L84" s="67" t="s">
        <v>231</v>
      </c>
      <c r="M84" s="68">
        <v>6.838709230801732E-3</v>
      </c>
      <c r="N84" s="67" t="s">
        <v>231</v>
      </c>
      <c r="O84" s="65"/>
      <c r="P84" s="102"/>
    </row>
    <row r="85" spans="1:16">
      <c r="A85" s="65" t="s">
        <v>448</v>
      </c>
      <c r="B85" s="66" t="s">
        <v>449</v>
      </c>
      <c r="D85" s="66" t="s">
        <v>176</v>
      </c>
      <c r="F85" s="67" t="s">
        <v>231</v>
      </c>
      <c r="G85" s="67" t="s">
        <v>231</v>
      </c>
      <c r="H85" s="67" t="s">
        <v>231</v>
      </c>
      <c r="I85" s="68">
        <v>3.2949701075946378E-8</v>
      </c>
      <c r="J85" s="67" t="s">
        <v>231</v>
      </c>
      <c r="K85" s="68">
        <v>9.7189015639706131E-4</v>
      </c>
      <c r="L85" s="67" t="s">
        <v>231</v>
      </c>
      <c r="M85" s="68">
        <v>3.4438305277702502E-4</v>
      </c>
      <c r="N85" s="67" t="s">
        <v>231</v>
      </c>
      <c r="O85" s="65"/>
      <c r="P85" s="102"/>
    </row>
    <row r="86" spans="1:16">
      <c r="A86" s="65" t="s">
        <v>450</v>
      </c>
      <c r="B86" s="66" t="s">
        <v>451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2.3810477006597281E-6</v>
      </c>
      <c r="J86" s="67" t="s">
        <v>231</v>
      </c>
      <c r="K86" s="68">
        <v>9.5178495479020025E-4</v>
      </c>
      <c r="L86" s="67" t="s">
        <v>231</v>
      </c>
      <c r="M86" s="68">
        <v>6.5367423299347548E-3</v>
      </c>
      <c r="N86" s="67" t="s">
        <v>231</v>
      </c>
      <c r="O86" s="65"/>
      <c r="P86" s="102"/>
    </row>
    <row r="87" spans="1:16">
      <c r="A87" s="65" t="s">
        <v>452</v>
      </c>
      <c r="B87" s="66" t="s">
        <v>453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1.5482563157507002E-2</v>
      </c>
      <c r="J87" s="67" t="s">
        <v>232</v>
      </c>
      <c r="K87" s="68">
        <v>8.8526426109837367E-2</v>
      </c>
      <c r="L87" s="67" t="s">
        <v>231</v>
      </c>
      <c r="M87" s="68">
        <v>19.967086966239076</v>
      </c>
      <c r="N87" s="67" t="s">
        <v>231</v>
      </c>
      <c r="O87" s="65"/>
      <c r="P87" s="102"/>
    </row>
    <row r="88" spans="1:16">
      <c r="A88" s="65" t="s">
        <v>454</v>
      </c>
      <c r="B88" s="66" t="s">
        <v>455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1.1128479887533074E-4</v>
      </c>
      <c r="J88" s="67" t="s">
        <v>231</v>
      </c>
      <c r="K88" s="68">
        <v>1.3584551236690242E-3</v>
      </c>
      <c r="L88" s="67" t="s">
        <v>231</v>
      </c>
      <c r="M88" s="68">
        <v>0.15279677498845684</v>
      </c>
      <c r="N88" s="67" t="s">
        <v>231</v>
      </c>
      <c r="O88" s="65"/>
      <c r="P88" s="102"/>
    </row>
    <row r="89" spans="1:16">
      <c r="A89" s="65" t="s">
        <v>456</v>
      </c>
      <c r="B89" s="66" t="s">
        <v>457</v>
      </c>
      <c r="D89" s="66" t="s">
        <v>176</v>
      </c>
      <c r="F89" s="67" t="s">
        <v>231</v>
      </c>
      <c r="G89" s="67" t="s">
        <v>231</v>
      </c>
      <c r="H89" s="67" t="s">
        <v>231</v>
      </c>
      <c r="I89" s="68">
        <v>2.8821266756115234E-5</v>
      </c>
      <c r="J89" s="67" t="s">
        <v>231</v>
      </c>
      <c r="K89" s="68">
        <v>1.1536598785836713E-3</v>
      </c>
      <c r="L89" s="67" t="s">
        <v>231</v>
      </c>
      <c r="M89" s="68">
        <v>9.1882797357493093E-2</v>
      </c>
      <c r="N89" s="67" t="s">
        <v>231</v>
      </c>
      <c r="O89" s="65"/>
      <c r="P89" s="102"/>
    </row>
    <row r="90" spans="1:16">
      <c r="A90" s="65" t="s">
        <v>458</v>
      </c>
      <c r="B90" s="66" t="s">
        <v>459</v>
      </c>
      <c r="D90" s="66" t="s">
        <v>176</v>
      </c>
      <c r="F90" s="67" t="s">
        <v>231</v>
      </c>
      <c r="G90" s="67" t="s">
        <v>231</v>
      </c>
      <c r="H90" s="67" t="s">
        <v>231</v>
      </c>
      <c r="I90" s="68">
        <v>1.7850791378093892E-6</v>
      </c>
      <c r="J90" s="67" t="s">
        <v>231</v>
      </c>
      <c r="K90" s="68">
        <v>9.677803049669703E-4</v>
      </c>
      <c r="L90" s="67" t="s">
        <v>231</v>
      </c>
      <c r="M90" s="68">
        <v>2.2959272146919129E-2</v>
      </c>
      <c r="N90" s="67" t="s">
        <v>231</v>
      </c>
      <c r="O90" s="65"/>
      <c r="P90" s="102"/>
    </row>
    <row r="91" spans="1:16">
      <c r="A91" s="65" t="s">
        <v>460</v>
      </c>
      <c r="B91" s="66" t="s">
        <v>461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1.0510880822192061E-2</v>
      </c>
      <c r="J91" s="67" t="s">
        <v>232</v>
      </c>
      <c r="K91" s="68">
        <v>3.7542601928528166E-2</v>
      </c>
      <c r="L91" s="67" t="s">
        <v>231</v>
      </c>
      <c r="M91" s="68">
        <v>8.4254023679974228</v>
      </c>
      <c r="N91" s="67" t="s">
        <v>231</v>
      </c>
      <c r="O91" s="65"/>
      <c r="P91" s="102"/>
    </row>
    <row r="92" spans="1:16">
      <c r="A92" s="65" t="s">
        <v>462</v>
      </c>
      <c r="B92" s="66" t="s">
        <v>463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3.4042533052824162E-2</v>
      </c>
      <c r="J92" s="67" t="s">
        <v>232</v>
      </c>
      <c r="K92" s="68">
        <v>4.1718470850537854E-3</v>
      </c>
      <c r="L92" s="67" t="s">
        <v>231</v>
      </c>
      <c r="M92" s="68">
        <v>0.85613534085721854</v>
      </c>
      <c r="N92" s="67" t="s">
        <v>231</v>
      </c>
      <c r="O92" s="65"/>
      <c r="P92" s="102"/>
    </row>
    <row r="93" spans="1:16">
      <c r="A93" s="65" t="s">
        <v>464</v>
      </c>
      <c r="B93" s="66" t="s">
        <v>465</v>
      </c>
      <c r="D93" s="66" t="s">
        <v>176</v>
      </c>
      <c r="F93" s="67" t="s">
        <v>231</v>
      </c>
      <c r="G93" s="67" t="s">
        <v>231</v>
      </c>
      <c r="H93" s="67" t="s">
        <v>231</v>
      </c>
      <c r="I93" s="68">
        <v>1.8263724146975999E-2</v>
      </c>
      <c r="J93" s="67" t="s">
        <v>232</v>
      </c>
      <c r="K93" s="68">
        <v>9.3100629844633988E-3</v>
      </c>
      <c r="L93" s="67" t="s">
        <v>231</v>
      </c>
      <c r="M93" s="68">
        <v>2.0492336459772051</v>
      </c>
      <c r="N93" s="67" t="s">
        <v>231</v>
      </c>
      <c r="O93" s="65"/>
      <c r="P93" s="102"/>
    </row>
    <row r="94" spans="1:16">
      <c r="A94" s="65" t="s">
        <v>466</v>
      </c>
      <c r="B94" s="66" t="s">
        <v>467</v>
      </c>
      <c r="D94" s="66" t="s">
        <v>306</v>
      </c>
      <c r="E94" s="132">
        <v>3.62</v>
      </c>
      <c r="F94" s="67" t="s">
        <v>231</v>
      </c>
      <c r="G94" s="67" t="s">
        <v>231</v>
      </c>
      <c r="H94" s="67" t="s">
        <v>231</v>
      </c>
      <c r="I94" s="68">
        <v>7.1250201749075811E-9</v>
      </c>
      <c r="J94" s="67" t="s">
        <v>231</v>
      </c>
      <c r="K94" s="68">
        <v>1.0181481647856211E-3</v>
      </c>
      <c r="L94" s="67" t="s">
        <v>231</v>
      </c>
      <c r="M94" s="68">
        <v>1.3056551183469855E-2</v>
      </c>
      <c r="N94" s="67" t="s">
        <v>231</v>
      </c>
      <c r="O94" s="65"/>
      <c r="P94" s="102"/>
    </row>
    <row r="95" spans="1:16">
      <c r="A95" s="65" t="s">
        <v>468</v>
      </c>
      <c r="B95" s="66" t="s">
        <v>469</v>
      </c>
      <c r="D95" s="66" t="s">
        <v>176</v>
      </c>
      <c r="F95" s="67" t="s">
        <v>231</v>
      </c>
      <c r="G95" s="67" t="s">
        <v>231</v>
      </c>
      <c r="H95" s="67" t="s">
        <v>231</v>
      </c>
      <c r="I95" s="68">
        <v>2.0389827644834191E-4</v>
      </c>
      <c r="J95" s="67" t="s">
        <v>231</v>
      </c>
      <c r="K95" s="68">
        <v>1.902419225585348E-2</v>
      </c>
      <c r="L95" s="67" t="s">
        <v>231</v>
      </c>
      <c r="M95" s="68">
        <v>4.2511787064171003</v>
      </c>
      <c r="N95" s="67" t="s">
        <v>231</v>
      </c>
      <c r="O95" s="65"/>
      <c r="P95" s="102"/>
    </row>
    <row r="96" spans="1:16">
      <c r="A96" s="65" t="s">
        <v>470</v>
      </c>
      <c r="B96" s="165">
        <v>354656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9.6867086317186202E-8</v>
      </c>
      <c r="J96" s="67" t="s">
        <v>231</v>
      </c>
      <c r="K96" s="68">
        <v>9.6076574696282995E-4</v>
      </c>
      <c r="L96" s="67" t="s">
        <v>231</v>
      </c>
      <c r="M96" s="68">
        <v>1.8007683451233465E-3</v>
      </c>
      <c r="N96" s="67" t="s">
        <v>231</v>
      </c>
      <c r="O96" s="65"/>
      <c r="P96" s="102"/>
    </row>
    <row r="97" spans="1:16">
      <c r="A97" s="65" t="s">
        <v>472</v>
      </c>
      <c r="B97" s="66" t="s">
        <v>473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3.4472070430507012E-8</v>
      </c>
      <c r="J97" s="67" t="s">
        <v>231</v>
      </c>
      <c r="K97" s="68">
        <v>9.5160091910976847E-4</v>
      </c>
      <c r="L97" s="67" t="s">
        <v>231</v>
      </c>
      <c r="M97" s="68">
        <v>6.9947771585675174E-3</v>
      </c>
      <c r="N97" s="67" t="s">
        <v>231</v>
      </c>
      <c r="O97" s="65"/>
      <c r="P97" s="102"/>
    </row>
    <row r="98" spans="1:16">
      <c r="A98" s="65" t="s">
        <v>474</v>
      </c>
      <c r="B98" s="66" t="s">
        <v>475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3.51636985799356E-5</v>
      </c>
      <c r="J98" s="67" t="s">
        <v>231</v>
      </c>
      <c r="K98" s="68">
        <v>1.2148355513653819E-2</v>
      </c>
      <c r="L98" s="67" t="s">
        <v>231</v>
      </c>
      <c r="M98" s="68">
        <v>2.6975686532484229</v>
      </c>
      <c r="N98" s="67" t="s">
        <v>231</v>
      </c>
      <c r="O98" s="65"/>
      <c r="P98" s="102"/>
    </row>
    <row r="99" spans="1:16">
      <c r="A99" s="65" t="s">
        <v>476</v>
      </c>
      <c r="B99" s="66" t="s">
        <v>477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4.1818677072171613E-8</v>
      </c>
      <c r="J99" s="67" t="s">
        <v>231</v>
      </c>
      <c r="K99" s="68">
        <v>9.7477659657868294E-4</v>
      </c>
      <c r="L99" s="67" t="s">
        <v>231</v>
      </c>
      <c r="M99" s="68">
        <v>1.7746474129574127E-4</v>
      </c>
      <c r="N99" s="67" t="s">
        <v>231</v>
      </c>
      <c r="O99" s="65"/>
      <c r="P99" s="102"/>
    </row>
    <row r="100" spans="1:16">
      <c r="A100" s="65" t="s">
        <v>478</v>
      </c>
      <c r="B100" s="66" t="s">
        <v>479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6.5259478565664182E-5</v>
      </c>
      <c r="J100" s="67" t="s">
        <v>231</v>
      </c>
      <c r="K100" s="68">
        <v>2.0515052359939908E-3</v>
      </c>
      <c r="L100" s="67" t="s">
        <v>231</v>
      </c>
      <c r="M100" s="68">
        <v>0.33786905701609143</v>
      </c>
      <c r="N100" s="67" t="s">
        <v>231</v>
      </c>
      <c r="O100" s="65"/>
      <c r="P100" s="102"/>
    </row>
    <row r="101" spans="1:16">
      <c r="A101" s="65" t="s">
        <v>480</v>
      </c>
      <c r="B101" s="66" t="s">
        <v>481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1.3041585385526869E-5</v>
      </c>
      <c r="J101" s="67" t="s">
        <v>231</v>
      </c>
      <c r="K101" s="68">
        <v>9.7047894397019182E-4</v>
      </c>
      <c r="L101" s="67" t="s">
        <v>231</v>
      </c>
      <c r="M101" s="68">
        <v>4.4981488773993775E-4</v>
      </c>
      <c r="N101" s="67" t="s">
        <v>231</v>
      </c>
      <c r="O101" s="65"/>
      <c r="P101" s="102"/>
    </row>
    <row r="102" spans="1:16">
      <c r="A102" s="65" t="s">
        <v>482</v>
      </c>
      <c r="B102" s="66" t="s">
        <v>483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6.4264043474103331E-11</v>
      </c>
      <c r="J102" s="67" t="s">
        <v>231</v>
      </c>
      <c r="K102" s="68">
        <v>9.7885321185851577E-4</v>
      </c>
      <c r="L102" s="67" t="s">
        <v>231</v>
      </c>
      <c r="M102" s="68">
        <v>3.8075832477584443E-5</v>
      </c>
      <c r="N102" s="67" t="s">
        <v>231</v>
      </c>
      <c r="O102" s="65"/>
      <c r="P102" s="102"/>
    </row>
    <row r="103" spans="1:16">
      <c r="A103" s="65" t="s">
        <v>484</v>
      </c>
      <c r="B103" s="66" t="s">
        <v>485</v>
      </c>
      <c r="D103" s="66" t="s">
        <v>176</v>
      </c>
      <c r="F103" s="67" t="s">
        <v>231</v>
      </c>
      <c r="G103" s="67" t="s">
        <v>231</v>
      </c>
      <c r="H103" s="67" t="s">
        <v>231</v>
      </c>
      <c r="I103" s="68">
        <v>9.1485021819867937E-9</v>
      </c>
      <c r="J103" s="67" t="s">
        <v>231</v>
      </c>
      <c r="K103" s="68">
        <v>9.7499183418231559E-4</v>
      </c>
      <c r="L103" s="67" t="s">
        <v>231</v>
      </c>
      <c r="M103" s="68">
        <v>1.6742816248219194E-4</v>
      </c>
      <c r="N103" s="67" t="s">
        <v>231</v>
      </c>
      <c r="O103" s="65"/>
      <c r="P103" s="102"/>
    </row>
    <row r="104" spans="1:16">
      <c r="A104" s="65" t="s">
        <v>486</v>
      </c>
      <c r="B104" s="66" t="s">
        <v>487</v>
      </c>
      <c r="D104" s="66" t="s">
        <v>176</v>
      </c>
      <c r="F104" s="67" t="s">
        <v>231</v>
      </c>
      <c r="G104" s="67" t="s">
        <v>231</v>
      </c>
      <c r="H104" s="67" t="s">
        <v>231</v>
      </c>
      <c r="I104" s="68">
        <v>4.2114780401369013E-7</v>
      </c>
      <c r="J104" s="67" t="s">
        <v>231</v>
      </c>
      <c r="K104" s="68">
        <v>9.5473580686690734E-4</v>
      </c>
      <c r="L104" s="67" t="s">
        <v>231</v>
      </c>
      <c r="M104" s="68">
        <v>3.8345509410190257E-3</v>
      </c>
      <c r="N104" s="67" t="s">
        <v>231</v>
      </c>
      <c r="O104" s="65"/>
      <c r="P104" s="102"/>
    </row>
    <row r="105" spans="1:16">
      <c r="A105" s="65" t="s">
        <v>488</v>
      </c>
      <c r="B105" s="66" t="s">
        <v>489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5.780802553470348E-8</v>
      </c>
      <c r="J105" s="67" t="s">
        <v>231</v>
      </c>
      <c r="K105" s="68">
        <v>9.7822620954138425E-4</v>
      </c>
      <c r="L105" s="67" t="s">
        <v>231</v>
      </c>
      <c r="M105" s="68">
        <v>5.279357918762548E-5</v>
      </c>
      <c r="N105" s="67" t="s">
        <v>231</v>
      </c>
      <c r="O105" s="65"/>
      <c r="P105" s="102"/>
    </row>
    <row r="106" spans="1:16">
      <c r="A106" s="65" t="s">
        <v>490</v>
      </c>
      <c r="B106" s="66" t="s">
        <v>491</v>
      </c>
      <c r="D106" s="66" t="s">
        <v>176</v>
      </c>
      <c r="F106" s="67" t="s">
        <v>231</v>
      </c>
      <c r="G106" s="67" t="s">
        <v>231</v>
      </c>
      <c r="H106" s="67" t="s">
        <v>231</v>
      </c>
      <c r="I106" s="68">
        <v>5.1897084728171728E-7</v>
      </c>
      <c r="J106" s="67" t="s">
        <v>231</v>
      </c>
      <c r="K106" s="68">
        <v>9.9337706554230589E-4</v>
      </c>
      <c r="L106" s="67" t="s">
        <v>231</v>
      </c>
      <c r="M106" s="68">
        <v>3.5360956461397343E-2</v>
      </c>
      <c r="N106" s="67" t="s">
        <v>231</v>
      </c>
      <c r="O106" s="65"/>
      <c r="P106" s="102"/>
    </row>
    <row r="107" spans="1:16">
      <c r="A107" s="65" t="s">
        <v>492</v>
      </c>
      <c r="B107" s="66" t="s">
        <v>493</v>
      </c>
      <c r="D107" s="66" t="s">
        <v>176</v>
      </c>
      <c r="F107" s="67" t="s">
        <v>231</v>
      </c>
      <c r="G107" s="67" t="s">
        <v>231</v>
      </c>
      <c r="H107" s="67" t="s">
        <v>231</v>
      </c>
      <c r="I107" s="68">
        <v>2.7225522828779985E-4</v>
      </c>
      <c r="J107" s="67" t="s">
        <v>231</v>
      </c>
      <c r="K107" s="68">
        <v>1.3250499455722235E-2</v>
      </c>
      <c r="L107" s="67" t="s">
        <v>231</v>
      </c>
      <c r="M107" s="68">
        <v>2.9486267465612368</v>
      </c>
      <c r="N107" s="67" t="s">
        <v>231</v>
      </c>
      <c r="O107" s="65"/>
      <c r="P107" s="102"/>
    </row>
    <row r="108" spans="1:16">
      <c r="A108" s="65" t="s">
        <v>291</v>
      </c>
      <c r="B108" s="66" t="s">
        <v>494</v>
      </c>
      <c r="D108" s="66" t="s">
        <v>176</v>
      </c>
      <c r="F108" s="67" t="s">
        <v>231</v>
      </c>
      <c r="G108" s="67" t="s">
        <v>231</v>
      </c>
      <c r="H108" s="67" t="s">
        <v>231</v>
      </c>
      <c r="I108" s="68">
        <v>8.3233688745568479E-5</v>
      </c>
      <c r="J108" s="67" t="s">
        <v>231</v>
      </c>
      <c r="K108" s="68">
        <v>1.7712845018531772E-3</v>
      </c>
      <c r="L108" s="67" t="s">
        <v>231</v>
      </c>
      <c r="M108" s="68">
        <v>0.26516655366542896</v>
      </c>
      <c r="N108" s="67" t="s">
        <v>231</v>
      </c>
      <c r="O108" s="65"/>
      <c r="P108" s="102"/>
    </row>
    <row r="109" spans="1:16">
      <c r="O109" s="65"/>
      <c r="P109" s="102"/>
    </row>
    <row r="110" spans="1:16">
      <c r="O110" s="65"/>
      <c r="P110" s="102"/>
    </row>
    <row r="111" spans="1:16">
      <c r="O111" s="65"/>
      <c r="P111" s="102"/>
    </row>
    <row r="112" spans="1:16">
      <c r="O112" s="65"/>
      <c r="P112" s="102"/>
    </row>
    <row r="113" spans="15:16">
      <c r="O113" s="65"/>
      <c r="P113" s="102"/>
    </row>
    <row r="114" spans="15:16">
      <c r="O114" s="65"/>
      <c r="P114" s="102"/>
    </row>
    <row r="115" spans="15:16">
      <c r="O115" s="65"/>
      <c r="P115" s="102"/>
    </row>
    <row r="116" spans="15:16">
      <c r="O116" s="65"/>
      <c r="P116" s="102"/>
    </row>
    <row r="117" spans="15:16">
      <c r="O117" s="65"/>
      <c r="P117" s="102"/>
    </row>
    <row r="118" spans="15:16">
      <c r="O118" s="65"/>
      <c r="P118" s="102"/>
    </row>
    <row r="119" spans="15:16">
      <c r="O119" s="65"/>
      <c r="P119" s="102"/>
    </row>
    <row r="120" spans="15:16">
      <c r="O120" s="65"/>
      <c r="P120" s="102"/>
    </row>
    <row r="121" spans="15:16">
      <c r="O121" s="65"/>
      <c r="P121" s="102"/>
    </row>
    <row r="122" spans="15:16">
      <c r="O122" s="65"/>
      <c r="P122" s="102"/>
    </row>
    <row r="123" spans="15:16">
      <c r="O123" s="65"/>
      <c r="P123" s="102"/>
    </row>
    <row r="124" spans="15:16">
      <c r="O124" s="65"/>
      <c r="P124" s="102"/>
    </row>
    <row r="125" spans="15:16">
      <c r="O125" s="65"/>
      <c r="P125" s="102"/>
    </row>
    <row r="126" spans="15:16">
      <c r="O126" s="65"/>
      <c r="P126" s="102"/>
    </row>
    <row r="127" spans="15:16">
      <c r="O127" s="65"/>
      <c r="P127" s="102"/>
    </row>
    <row r="128" spans="15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08"/>
  <sheetViews>
    <sheetView workbookViewId="0">
      <pane ySplit="1" topLeftCell="A2" activePane="bottomLeft" state="frozen"/>
      <selection pane="bottomLeft" activeCell="Q108" sqref="Q108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313</v>
      </c>
      <c r="B2" s="16" t="s">
        <v>314</v>
      </c>
      <c r="D2" s="14">
        <v>1</v>
      </c>
      <c r="E2" s="14">
        <v>0.81235226473216227</v>
      </c>
      <c r="F2" s="14">
        <v>0.8077087935312719</v>
      </c>
      <c r="G2" s="14">
        <v>1.0495504006680053E-6</v>
      </c>
      <c r="H2" s="14">
        <v>10.913770351321913</v>
      </c>
      <c r="I2" s="14">
        <v>29.432827277669436</v>
      </c>
      <c r="J2" s="14">
        <v>0</v>
      </c>
      <c r="K2" s="14">
        <v>1.2380699678011902</v>
      </c>
      <c r="L2" s="14">
        <v>0.80770879353127201</v>
      </c>
      <c r="M2" s="14">
        <v>0.66272506509240869</v>
      </c>
      <c r="N2" s="14">
        <v>1.0436136387856099</v>
      </c>
      <c r="O2" s="14">
        <v>192.13970703681866</v>
      </c>
      <c r="P2" s="8">
        <v>1.0436136387856099</v>
      </c>
      <c r="Q2" s="54">
        <v>0.12561224623029754</v>
      </c>
      <c r="S2" s="102"/>
    </row>
    <row r="3" spans="1:20">
      <c r="A3" s="2" t="s">
        <v>315</v>
      </c>
      <c r="B3" s="16" t="s">
        <v>316</v>
      </c>
      <c r="D3" s="14">
        <v>1</v>
      </c>
      <c r="E3" s="14">
        <v>0.45624932301408633</v>
      </c>
      <c r="F3" s="14">
        <v>3.3058260853207799E-3</v>
      </c>
      <c r="G3" s="14">
        <v>2.0045112127199379E-4</v>
      </c>
      <c r="H3" s="14">
        <v>347.04037362891796</v>
      </c>
      <c r="I3" s="14">
        <v>8706.3710688002138</v>
      </c>
      <c r="J3" s="14">
        <v>0</v>
      </c>
      <c r="K3" s="14">
        <v>302.49625182655831</v>
      </c>
      <c r="L3" s="14">
        <v>3.3058260853207799E-3</v>
      </c>
      <c r="M3" s="14">
        <v>2.7124303030057E-3</v>
      </c>
      <c r="N3" s="14">
        <v>80.790077245270822</v>
      </c>
      <c r="O3" s="14">
        <v>29481.107087571778</v>
      </c>
      <c r="P3" s="8">
        <v>80.790077245270822</v>
      </c>
      <c r="Q3" s="54">
        <v>0.27850767835143719</v>
      </c>
      <c r="S3" s="109"/>
      <c r="T3" s="22"/>
    </row>
    <row r="4" spans="1:20">
      <c r="A4" s="2" t="s">
        <v>317</v>
      </c>
      <c r="B4" s="16" t="s">
        <v>318</v>
      </c>
      <c r="D4" s="14">
        <v>1</v>
      </c>
      <c r="E4" s="14">
        <v>0.53418914156351016</v>
      </c>
      <c r="F4" s="14">
        <v>0.49130146169890304</v>
      </c>
      <c r="G4" s="14">
        <v>6.78541702177191E-14</v>
      </c>
      <c r="H4" s="14">
        <v>98.843486588566691</v>
      </c>
      <c r="I4" s="14">
        <v>218.47675013459221</v>
      </c>
      <c r="J4" s="14">
        <v>0</v>
      </c>
      <c r="K4" s="14">
        <v>2.0354101869390644</v>
      </c>
      <c r="L4" s="14">
        <v>0.4913014616989031</v>
      </c>
      <c r="M4" s="14">
        <v>0.40311284932394997</v>
      </c>
      <c r="N4" s="14">
        <v>2.3727207386768892</v>
      </c>
      <c r="O4" s="14">
        <v>752.91174479695053</v>
      </c>
      <c r="P4" s="8">
        <v>2.3727207386768892</v>
      </c>
      <c r="Q4" s="54">
        <v>0.31218010834245874</v>
      </c>
      <c r="S4" s="102"/>
    </row>
    <row r="5" spans="1:20">
      <c r="A5" s="2" t="s">
        <v>307</v>
      </c>
      <c r="B5" s="16" t="s">
        <v>308</v>
      </c>
      <c r="D5" s="14">
        <v>1</v>
      </c>
      <c r="E5" s="14">
        <v>0.43339463181589777</v>
      </c>
      <c r="F5" s="14">
        <v>3.1957253830987603E-2</v>
      </c>
      <c r="G5" s="14">
        <v>6.1384389355358422E-6</v>
      </c>
      <c r="H5" s="14">
        <v>884.36073549080959</v>
      </c>
      <c r="I5" s="14">
        <v>2376.2198690962418</v>
      </c>
      <c r="J5" s="14">
        <v>0</v>
      </c>
      <c r="K5" s="14">
        <v>31.29180014305053</v>
      </c>
      <c r="L5" s="14">
        <v>3.1957253830987603E-2</v>
      </c>
      <c r="M5" s="14">
        <v>2.6220926768325326E-2</v>
      </c>
      <c r="N5" s="14">
        <v>21.45044161983818</v>
      </c>
      <c r="O5" s="14">
        <v>7520.3103274990672</v>
      </c>
      <c r="P5" s="8">
        <v>21.450441619838184</v>
      </c>
      <c r="Q5" s="54">
        <v>0.36181504602818815</v>
      </c>
      <c r="S5" s="102"/>
    </row>
    <row r="6" spans="1:20">
      <c r="A6" s="2" t="s">
        <v>319</v>
      </c>
      <c r="B6" s="16" t="s">
        <v>320</v>
      </c>
      <c r="D6" s="14">
        <v>1</v>
      </c>
      <c r="E6" s="14">
        <v>0.50833227550309112</v>
      </c>
      <c r="F6" s="14">
        <v>1.6273023525805971E-3</v>
      </c>
      <c r="G6" s="14">
        <v>7.1888056070052982E-7</v>
      </c>
      <c r="H6" s="14">
        <v>243.62859031287283</v>
      </c>
      <c r="I6" s="14">
        <v>11078.61379795733</v>
      </c>
      <c r="J6" s="14">
        <v>0</v>
      </c>
      <c r="K6" s="14">
        <v>614.51395213322655</v>
      </c>
      <c r="L6" s="14">
        <v>1.6273023525805971E-3</v>
      </c>
      <c r="M6" s="14">
        <v>1.33520158029238E-3</v>
      </c>
      <c r="N6" s="14">
        <v>103.60032820451924</v>
      </c>
      <c r="O6" s="14">
        <v>36725.280345220024</v>
      </c>
      <c r="P6" s="8">
        <v>103.60032820451924</v>
      </c>
      <c r="Q6" s="54">
        <v>0.23392973188808019</v>
      </c>
      <c r="S6" s="102"/>
    </row>
    <row r="7" spans="1:20">
      <c r="A7" s="2" t="s">
        <v>321</v>
      </c>
      <c r="B7" s="16" t="s">
        <v>322</v>
      </c>
      <c r="D7" s="14">
        <v>1</v>
      </c>
      <c r="E7" s="14">
        <v>0.47046895134810202</v>
      </c>
      <c r="F7" s="14">
        <v>3.0371378446987199E-3</v>
      </c>
      <c r="G7" s="14">
        <v>9.8981263000765517E-7</v>
      </c>
      <c r="H7" s="14">
        <v>335.8338772061818</v>
      </c>
      <c r="I7" s="14">
        <v>9191.4001617104659</v>
      </c>
      <c r="J7" s="14">
        <v>0</v>
      </c>
      <c r="K7" s="14">
        <v>329.25736372008447</v>
      </c>
      <c r="L7" s="14">
        <v>3.0371378446987203E-3</v>
      </c>
      <c r="M7" s="14">
        <v>2.4919716015752999E-3</v>
      </c>
      <c r="N7" s="14">
        <v>85.38712965591877</v>
      </c>
      <c r="O7" s="14">
        <v>30268.883591726648</v>
      </c>
      <c r="P7" s="8">
        <v>85.387129655918784</v>
      </c>
      <c r="Q7" s="54">
        <v>0.27668248919791494</v>
      </c>
    </row>
    <row r="8" spans="1:20">
      <c r="A8" s="2" t="s">
        <v>323</v>
      </c>
      <c r="B8" s="16" t="s">
        <v>324</v>
      </c>
      <c r="D8" s="14">
        <v>1</v>
      </c>
      <c r="E8" s="14">
        <v>0.43350283057201605</v>
      </c>
      <c r="F8" s="14">
        <v>6.2752424408805373E-3</v>
      </c>
      <c r="G8" s="14">
        <v>8.6711958797031289E-6</v>
      </c>
      <c r="H8" s="14">
        <v>474.07877204261609</v>
      </c>
      <c r="I8" s="14">
        <v>6853.4252451624907</v>
      </c>
      <c r="J8" s="14">
        <v>0</v>
      </c>
      <c r="K8" s="14">
        <v>159.35639290769467</v>
      </c>
      <c r="L8" s="14">
        <v>6.2752424408805381E-3</v>
      </c>
      <c r="M8" s="14">
        <v>5.1488364227424812E-3</v>
      </c>
      <c r="N8" s="14">
        <v>63.145038352654296</v>
      </c>
      <c r="O8" s="14">
        <v>20208.938074383481</v>
      </c>
      <c r="P8" s="8">
        <v>63.145038352654296</v>
      </c>
      <c r="Q8" s="54">
        <v>0.32218675297093885</v>
      </c>
    </row>
    <row r="9" spans="1:20">
      <c r="A9" s="2" t="s">
        <v>325</v>
      </c>
      <c r="B9" s="16" t="s">
        <v>326</v>
      </c>
      <c r="D9" s="14">
        <v>1</v>
      </c>
      <c r="E9" s="14">
        <v>0.36569193186775351</v>
      </c>
      <c r="F9" s="14">
        <v>0.166296332236921</v>
      </c>
      <c r="G9" s="14">
        <v>3.1439176249518817E-6</v>
      </c>
      <c r="H9" s="14">
        <v>473.85194839452845</v>
      </c>
      <c r="I9" s="14">
        <v>861.58839657528506</v>
      </c>
      <c r="J9" s="14">
        <v>0</v>
      </c>
      <c r="K9" s="14">
        <v>6.0133617293212955</v>
      </c>
      <c r="L9" s="14">
        <v>0.166296332236921</v>
      </c>
      <c r="M9" s="14">
        <v>0.1364461406003937</v>
      </c>
      <c r="N9" s="14">
        <v>7.7643839981068536</v>
      </c>
      <c r="O9" s="14">
        <v>2363.090269823821</v>
      </c>
      <c r="P9" s="8">
        <v>7.7643839981068536</v>
      </c>
      <c r="Q9" s="54">
        <v>0.42062961011533961</v>
      </c>
    </row>
    <row r="10" spans="1:20">
      <c r="A10" s="2" t="s">
        <v>275</v>
      </c>
      <c r="B10" s="16" t="s">
        <v>276</v>
      </c>
      <c r="D10" s="14">
        <v>1</v>
      </c>
      <c r="E10" s="14">
        <v>0.43006844546528122</v>
      </c>
      <c r="F10" s="14">
        <v>2.9655501761297807E-2</v>
      </c>
      <c r="G10" s="14">
        <v>7.869620038610454E-8</v>
      </c>
      <c r="H10" s="14">
        <v>864.42093547854415</v>
      </c>
      <c r="I10" s="14">
        <v>2533.8590175268168</v>
      </c>
      <c r="J10" s="14">
        <v>0</v>
      </c>
      <c r="K10" s="14">
        <v>33.720555735295612</v>
      </c>
      <c r="L10" s="14">
        <v>2.965550176129781E-2</v>
      </c>
      <c r="M10" s="14">
        <v>2.4332339195144853E-2</v>
      </c>
      <c r="N10" s="14">
        <v>22.894854822222658</v>
      </c>
      <c r="O10" s="14">
        <v>8482.3147630852727</v>
      </c>
      <c r="P10" s="8">
        <v>22.894854822222658</v>
      </c>
      <c r="Q10" s="54">
        <v>0.3630633807097613</v>
      </c>
    </row>
    <row r="11" spans="1:20">
      <c r="A11" s="2" t="s">
        <v>327</v>
      </c>
      <c r="B11" s="16" t="s">
        <v>328</v>
      </c>
      <c r="D11" s="14">
        <v>1</v>
      </c>
      <c r="E11" s="14">
        <v>0.42477283341779254</v>
      </c>
      <c r="F11" s="14">
        <v>2.6098162952917274E-2</v>
      </c>
      <c r="G11" s="14">
        <v>4.0837432172271716E-6</v>
      </c>
      <c r="H11" s="14">
        <v>829.52587721423754</v>
      </c>
      <c r="I11" s="14">
        <v>2811.1699982543023</v>
      </c>
      <c r="J11" s="14">
        <v>0</v>
      </c>
      <c r="K11" s="14">
        <v>38.316873176248563</v>
      </c>
      <c r="L11" s="14">
        <v>2.6098162952917277E-2</v>
      </c>
      <c r="M11" s="14">
        <v>2.1413542702868625E-2</v>
      </c>
      <c r="N11" s="14">
        <v>25.441496098359629</v>
      </c>
      <c r="O11" s="14">
        <v>9690.9202788261682</v>
      </c>
      <c r="P11" s="8">
        <v>25.441496098359632</v>
      </c>
      <c r="Q11" s="54">
        <v>0.36398803622959369</v>
      </c>
    </row>
    <row r="12" spans="1:20">
      <c r="A12" s="2" t="s">
        <v>329</v>
      </c>
      <c r="B12" s="16" t="s">
        <v>330</v>
      </c>
      <c r="D12" s="14">
        <v>1</v>
      </c>
      <c r="E12" s="14">
        <v>0.37455989712652021</v>
      </c>
      <c r="F12" s="14">
        <v>0.1242394850074755</v>
      </c>
      <c r="G12" s="14">
        <v>1.9147325938183275E-6</v>
      </c>
      <c r="H12" s="14">
        <v>598.52134402135391</v>
      </c>
      <c r="I12" s="14">
        <v>1046.9762094580758</v>
      </c>
      <c r="J12" s="14">
        <v>0</v>
      </c>
      <c r="K12" s="14">
        <v>8.0489709043773789</v>
      </c>
      <c r="L12" s="14">
        <v>0.12423948500747552</v>
      </c>
      <c r="M12" s="14">
        <v>0.10193849744863366</v>
      </c>
      <c r="N12" s="14">
        <v>9.3948222057433135</v>
      </c>
      <c r="O12" s="14">
        <v>2577.9392132559651</v>
      </c>
      <c r="P12" s="8">
        <v>9.3948222057433153</v>
      </c>
      <c r="Q12" s="54">
        <v>0.41317764245009692</v>
      </c>
    </row>
    <row r="13" spans="1:20">
      <c r="A13" s="2" t="s">
        <v>277</v>
      </c>
      <c r="B13" s="16" t="s">
        <v>278</v>
      </c>
      <c r="D13" s="14">
        <v>1</v>
      </c>
      <c r="E13" s="14">
        <v>0.36582799611185024</v>
      </c>
      <c r="F13" s="14">
        <v>0.16188597812108174</v>
      </c>
      <c r="G13" s="14">
        <v>4.9649824912478851E-6</v>
      </c>
      <c r="H13" s="14">
        <v>484.94136841932215</v>
      </c>
      <c r="I13" s="14">
        <v>878.50938304802366</v>
      </c>
      <c r="J13" s="14">
        <v>0</v>
      </c>
      <c r="K13" s="14">
        <v>6.1771872499794602</v>
      </c>
      <c r="L13" s="14">
        <v>0.16188597812108174</v>
      </c>
      <c r="M13" s="14">
        <v>0.13282744504834756</v>
      </c>
      <c r="N13" s="14">
        <v>7.9122189549781563</v>
      </c>
      <c r="O13" s="14">
        <v>3219.7192593492614</v>
      </c>
      <c r="P13" s="8">
        <v>7.9122189549781563</v>
      </c>
      <c r="Q13" s="54">
        <v>0.42028743302570337</v>
      </c>
    </row>
    <row r="14" spans="1:20">
      <c r="A14" s="2" t="s">
        <v>331</v>
      </c>
      <c r="B14" s="16" t="s">
        <v>332</v>
      </c>
      <c r="D14" s="14">
        <v>1</v>
      </c>
      <c r="E14" s="14">
        <v>0.41558940119254723</v>
      </c>
      <c r="F14" s="14">
        <v>1.7302767368030131E-2</v>
      </c>
      <c r="G14" s="14">
        <v>2.719092966678307E-6</v>
      </c>
      <c r="H14" s="14">
        <v>719.27599890196018</v>
      </c>
      <c r="I14" s="14">
        <v>3821.6660968863739</v>
      </c>
      <c r="J14" s="14">
        <v>0</v>
      </c>
      <c r="K14" s="14">
        <v>57.79422324359939</v>
      </c>
      <c r="L14" s="14">
        <v>1.7302767368030131E-2</v>
      </c>
      <c r="M14" s="14">
        <v>1.4196920625468722E-2</v>
      </c>
      <c r="N14" s="14">
        <v>34.770598217552937</v>
      </c>
      <c r="O14" s="14">
        <v>13244.468567048089</v>
      </c>
      <c r="P14" s="8">
        <v>34.770598217552937</v>
      </c>
      <c r="Q14" s="54">
        <v>0.36145375398171725</v>
      </c>
    </row>
    <row r="15" spans="1:20">
      <c r="A15" s="2" t="s">
        <v>333</v>
      </c>
      <c r="B15" s="16" t="s">
        <v>334</v>
      </c>
      <c r="D15" s="14">
        <v>1</v>
      </c>
      <c r="E15" s="14">
        <v>0.4273738588697869</v>
      </c>
      <c r="F15" s="14">
        <v>2.7833708056608831E-2</v>
      </c>
      <c r="G15" s="14">
        <v>4.4536855982702036E-9</v>
      </c>
      <c r="H15" s="14">
        <v>847.20998903131601</v>
      </c>
      <c r="I15" s="14">
        <v>2670.2273411881233</v>
      </c>
      <c r="J15" s="14">
        <v>0</v>
      </c>
      <c r="K15" s="14">
        <v>35.927660014475151</v>
      </c>
      <c r="L15" s="14">
        <v>2.7833708056608834E-2</v>
      </c>
      <c r="M15" s="14">
        <v>2.283755746044755E-2</v>
      </c>
      <c r="N15" s="14">
        <v>24.146285560434759</v>
      </c>
      <c r="O15" s="14">
        <v>9283.7638722759566</v>
      </c>
      <c r="P15" s="8">
        <v>24.146285560434759</v>
      </c>
      <c r="Q15" s="54">
        <v>0.36370413484688285</v>
      </c>
    </row>
    <row r="16" spans="1:20">
      <c r="A16" s="2" t="s">
        <v>335</v>
      </c>
      <c r="B16" s="16" t="s">
        <v>336</v>
      </c>
      <c r="D16" s="14">
        <v>1</v>
      </c>
      <c r="E16" s="14">
        <v>0.4317092847225093</v>
      </c>
      <c r="F16" s="14">
        <v>6.46790925365441E-3</v>
      </c>
      <c r="G16" s="14">
        <v>2.2443594098263344E-5</v>
      </c>
      <c r="H16" s="14">
        <v>480.24617885060189</v>
      </c>
      <c r="I16" s="14">
        <v>6744.0547724158569</v>
      </c>
      <c r="J16" s="14">
        <v>0</v>
      </c>
      <c r="K16" s="14">
        <v>154.60946664256207</v>
      </c>
      <c r="L16" s="14">
        <v>6.46790925365441E-3</v>
      </c>
      <c r="M16" s="14">
        <v>5.3069195426234438E-3</v>
      </c>
      <c r="N16" s="14">
        <v>62.114200099743847</v>
      </c>
      <c r="O16" s="14">
        <v>23188.473181236372</v>
      </c>
      <c r="P16" s="8">
        <v>62.114200099743847</v>
      </c>
      <c r="Q16" s="54">
        <v>0.32353486537657877</v>
      </c>
    </row>
    <row r="17" spans="1:21">
      <c r="A17" s="2" t="s">
        <v>337</v>
      </c>
      <c r="B17" s="16" t="s">
        <v>338</v>
      </c>
      <c r="D17" s="14">
        <v>1</v>
      </c>
      <c r="E17" s="14">
        <v>0.43234634118391468</v>
      </c>
      <c r="F17" s="14">
        <v>3.1180906407996544E-2</v>
      </c>
      <c r="G17" s="14">
        <v>1.5757859480453826E-6</v>
      </c>
      <c r="H17" s="14">
        <v>877.94788245488633</v>
      </c>
      <c r="I17" s="14">
        <v>2428.4317730932908</v>
      </c>
      <c r="J17" s="14">
        <v>0</v>
      </c>
      <c r="K17" s="14">
        <v>32.070908616804786</v>
      </c>
      <c r="L17" s="14">
        <v>3.1180906407996544E-2</v>
      </c>
      <c r="M17" s="14">
        <v>2.5583933707761165E-2</v>
      </c>
      <c r="N17" s="14">
        <v>21.928528123292981</v>
      </c>
      <c r="O17" s="14">
        <v>8537.214568960424</v>
      </c>
      <c r="P17" s="8">
        <v>21.928528123292985</v>
      </c>
      <c r="Q17" s="54">
        <v>0.36234803162800194</v>
      </c>
    </row>
    <row r="18" spans="1:21">
      <c r="A18" s="2" t="s">
        <v>279</v>
      </c>
      <c r="B18" s="16" t="s">
        <v>280</v>
      </c>
      <c r="D18" s="14">
        <v>1</v>
      </c>
      <c r="E18" s="14">
        <v>0.3637349356506519</v>
      </c>
      <c r="F18" s="14">
        <v>0.18558395236809822</v>
      </c>
      <c r="G18" s="14">
        <v>8.8021528796669961E-5</v>
      </c>
      <c r="H18" s="14">
        <v>422.24101769491813</v>
      </c>
      <c r="I18" s="14">
        <v>780.58030696749654</v>
      </c>
      <c r="J18" s="14">
        <v>0</v>
      </c>
      <c r="K18" s="14">
        <v>5.388396934324045</v>
      </c>
      <c r="L18" s="14">
        <v>0.18558395236809822</v>
      </c>
      <c r="M18" s="14">
        <v>0.15227163291802459</v>
      </c>
      <c r="N18" s="14">
        <v>7.057136963147264</v>
      </c>
      <c r="O18" s="14">
        <v>2052.4271429921187</v>
      </c>
      <c r="P18" s="8">
        <v>7.0571369631472649</v>
      </c>
      <c r="Q18" s="54">
        <v>0.41746261613123808</v>
      </c>
    </row>
    <row r="19" spans="1:21">
      <c r="A19" s="2" t="s">
        <v>339</v>
      </c>
      <c r="B19" s="16" t="s">
        <v>340</v>
      </c>
      <c r="D19" s="14">
        <v>1</v>
      </c>
      <c r="E19" s="14">
        <v>0.4268640655275926</v>
      </c>
      <c r="F19" s="14">
        <v>2.7480940949655686E-2</v>
      </c>
      <c r="G19" s="14">
        <v>1.5604148927470021E-8</v>
      </c>
      <c r="H19" s="14">
        <v>843.74575125181957</v>
      </c>
      <c r="I19" s="14">
        <v>2698.1666480925401</v>
      </c>
      <c r="J19" s="14">
        <v>0</v>
      </c>
      <c r="K19" s="14">
        <v>36.388855892233522</v>
      </c>
      <c r="L19" s="14">
        <v>2.748094094965569E-2</v>
      </c>
      <c r="M19" s="14">
        <v>2.2548112049192492E-2</v>
      </c>
      <c r="N19" s="14">
        <v>24.402877145439568</v>
      </c>
      <c r="O19" s="14">
        <v>8434.8544853211861</v>
      </c>
      <c r="P19" s="8">
        <v>24.402877145439568</v>
      </c>
      <c r="Q19" s="54">
        <v>0.36380508891438729</v>
      </c>
    </row>
    <row r="20" spans="1:21">
      <c r="A20" s="2" t="s">
        <v>281</v>
      </c>
      <c r="B20" s="16" t="s">
        <v>282</v>
      </c>
      <c r="D20" s="14">
        <v>1</v>
      </c>
      <c r="E20" s="14">
        <v>0.36596677626817603</v>
      </c>
      <c r="F20" s="14">
        <v>0.16194739102985137</v>
      </c>
      <c r="G20" s="14">
        <v>7.517655907142518E-7</v>
      </c>
      <c r="H20" s="14">
        <v>485.12533530986462</v>
      </c>
      <c r="I20" s="14">
        <v>878.84265352160378</v>
      </c>
      <c r="J20" s="14">
        <v>0</v>
      </c>
      <c r="K20" s="14">
        <v>6.174844766814874</v>
      </c>
      <c r="L20" s="14">
        <v>0.1619473910298514</v>
      </c>
      <c r="M20" s="14">
        <v>0.13287783433999306</v>
      </c>
      <c r="N20" s="14">
        <v>7.9152205267417344</v>
      </c>
      <c r="O20" s="14">
        <v>2305.3871306187975</v>
      </c>
      <c r="P20" s="8">
        <v>7.9152205267417344</v>
      </c>
      <c r="Q20" s="54">
        <v>0.42044687286157428</v>
      </c>
    </row>
    <row r="21" spans="1:21">
      <c r="A21" s="2" t="s">
        <v>341</v>
      </c>
      <c r="B21" s="16" t="s">
        <v>342</v>
      </c>
      <c r="D21" s="14">
        <v>1</v>
      </c>
      <c r="E21" s="14">
        <v>0.41644009340720617</v>
      </c>
      <c r="F21" s="14">
        <v>1.9511895106530099E-2</v>
      </c>
      <c r="G21" s="14">
        <v>2.2702199734384787E-5</v>
      </c>
      <c r="H21" s="14">
        <v>750.30778499815949</v>
      </c>
      <c r="I21" s="14">
        <v>3498.6187827397894</v>
      </c>
      <c r="J21" s="14">
        <v>0</v>
      </c>
      <c r="K21" s="14">
        <v>51.250788021370987</v>
      </c>
      <c r="L21" s="14">
        <v>1.9511895106530099E-2</v>
      </c>
      <c r="M21" s="14">
        <v>1.6009509934907948E-2</v>
      </c>
      <c r="N21" s="14">
        <v>31.781252085626928</v>
      </c>
      <c r="O21" s="14">
        <v>10655.618199268996</v>
      </c>
      <c r="P21" s="8">
        <v>31.781252085626932</v>
      </c>
      <c r="Q21" s="54">
        <v>0.36249049509535441</v>
      </c>
      <c r="T21" s="22"/>
    </row>
    <row r="22" spans="1:21">
      <c r="A22" s="2" t="s">
        <v>343</v>
      </c>
      <c r="B22" s="16" t="s">
        <v>344</v>
      </c>
      <c r="D22" s="14">
        <v>1</v>
      </c>
      <c r="E22" s="14">
        <v>0.66798707772390298</v>
      </c>
      <c r="F22" s="14">
        <v>0.6507533633577518</v>
      </c>
      <c r="G22" s="14">
        <v>2.5163144356463059E-5</v>
      </c>
      <c r="H22" s="14">
        <v>39.421797377454808</v>
      </c>
      <c r="I22" s="14">
        <v>95.19049652733851</v>
      </c>
      <c r="J22" s="14">
        <v>0</v>
      </c>
      <c r="K22" s="14">
        <v>1.5366804941893935</v>
      </c>
      <c r="L22" s="14">
        <v>0.6507533633577518</v>
      </c>
      <c r="M22" s="14">
        <v>0.5339431346350354</v>
      </c>
      <c r="N22" s="14">
        <v>1.4558176407389916</v>
      </c>
      <c r="O22" s="14">
        <v>239.04525660934237</v>
      </c>
      <c r="P22" s="8">
        <v>1.4558176407389916</v>
      </c>
      <c r="Q22" s="54">
        <v>0.22120431384621198</v>
      </c>
      <c r="T22" s="22"/>
      <c r="U22" s="22"/>
    </row>
    <row r="23" spans="1:21">
      <c r="A23" s="2" t="s">
        <v>345</v>
      </c>
      <c r="B23" s="16" t="s">
        <v>346</v>
      </c>
      <c r="D23" s="14">
        <v>1</v>
      </c>
      <c r="E23" s="14">
        <v>0.76797095179405284</v>
      </c>
      <c r="F23" s="14">
        <v>0.76044256293243029</v>
      </c>
      <c r="G23" s="14">
        <v>9.9100285252906344E-7</v>
      </c>
      <c r="H23" s="14">
        <v>17.371863846610687</v>
      </c>
      <c r="I23" s="14">
        <v>45.071663541176513</v>
      </c>
      <c r="J23" s="14">
        <v>0</v>
      </c>
      <c r="K23" s="14">
        <v>1.3150237095406452</v>
      </c>
      <c r="L23" s="14">
        <v>0.76044256293243029</v>
      </c>
      <c r="M23" s="14">
        <v>0.62394312288605902</v>
      </c>
      <c r="N23" s="14">
        <v>1.1312186833955775</v>
      </c>
      <c r="O23" s="14">
        <v>170.99501618207549</v>
      </c>
      <c r="P23" s="8">
        <v>1.1312186833955775</v>
      </c>
      <c r="Q23" s="54">
        <v>0.15549040245991427</v>
      </c>
      <c r="T23" s="22"/>
      <c r="U23" s="22"/>
    </row>
    <row r="24" spans="1:21">
      <c r="A24" s="2" t="s">
        <v>347</v>
      </c>
      <c r="B24" s="16" t="s">
        <v>348</v>
      </c>
      <c r="D24" s="14">
        <v>1</v>
      </c>
      <c r="E24" s="14">
        <v>0.4178854593269769</v>
      </c>
      <c r="F24" s="14">
        <v>0.32313483742438553</v>
      </c>
      <c r="G24" s="14">
        <v>1.4878264318538677E-6</v>
      </c>
      <c r="H24" s="14">
        <v>221.37255735316575</v>
      </c>
      <c r="I24" s="14">
        <v>447.0755844335547</v>
      </c>
      <c r="J24" s="14">
        <v>0</v>
      </c>
      <c r="K24" s="14">
        <v>3.0946833463414567</v>
      </c>
      <c r="L24" s="14">
        <v>0.32313483742438553</v>
      </c>
      <c r="M24" s="14">
        <v>0.26513213410670833</v>
      </c>
      <c r="N24" s="14">
        <v>4.2200629305910669</v>
      </c>
      <c r="O24" s="14">
        <v>743.78609151667558</v>
      </c>
      <c r="P24" s="8">
        <v>4.2200629305910669</v>
      </c>
      <c r="Q24" s="54">
        <v>0.38884897002914687</v>
      </c>
      <c r="T24" s="22"/>
      <c r="U24" s="22"/>
    </row>
    <row r="25" spans="1:21">
      <c r="A25" s="2" t="s">
        <v>349</v>
      </c>
      <c r="B25" s="16" t="s">
        <v>350</v>
      </c>
      <c r="D25" s="14">
        <v>1</v>
      </c>
      <c r="E25" s="14">
        <v>0.38598597346074515</v>
      </c>
      <c r="F25" s="14">
        <v>7.8330153711111961E-2</v>
      </c>
      <c r="G25" s="14">
        <v>5.5385676724788223E-4</v>
      </c>
      <c r="H25" s="14">
        <v>741.25729214516741</v>
      </c>
      <c r="I25" s="14">
        <v>1233.7471133789538</v>
      </c>
      <c r="J25" s="14">
        <v>0</v>
      </c>
      <c r="K25" s="14">
        <v>12.766475649825505</v>
      </c>
      <c r="L25" s="14">
        <v>7.8330153711111974E-2</v>
      </c>
      <c r="M25" s="14">
        <v>6.4269891119967365E-2</v>
      </c>
      <c r="N25" s="14">
        <v>11.059153983524903</v>
      </c>
      <c r="O25" s="14">
        <v>2126.6753110318386</v>
      </c>
      <c r="P25" s="8">
        <v>11.059153983524903</v>
      </c>
      <c r="Q25" s="54">
        <v>0.37036176878925703</v>
      </c>
      <c r="T25" s="22"/>
      <c r="U25" s="22"/>
    </row>
    <row r="26" spans="1:21">
      <c r="A26" s="2" t="s">
        <v>351</v>
      </c>
      <c r="B26" s="16" t="s">
        <v>352</v>
      </c>
      <c r="D26" s="14">
        <v>1</v>
      </c>
      <c r="E26" s="14">
        <v>0.41817177235245079</v>
      </c>
      <c r="F26" s="14">
        <v>2.1147680259217365E-2</v>
      </c>
      <c r="G26" s="14">
        <v>1.822515469044791E-5</v>
      </c>
      <c r="H26" s="14">
        <v>772.04521476158038</v>
      </c>
      <c r="I26" s="14">
        <v>3299.8933669260859</v>
      </c>
      <c r="J26" s="14">
        <v>0</v>
      </c>
      <c r="K26" s="14">
        <v>47.286510281152125</v>
      </c>
      <c r="L26" s="14">
        <v>2.1147680259217368E-2</v>
      </c>
      <c r="M26" s="14">
        <v>1.7351671652687851E-2</v>
      </c>
      <c r="N26" s="14">
        <v>29.944981035000588</v>
      </c>
      <c r="O26" s="14">
        <v>6658.8654327530803</v>
      </c>
      <c r="P26" s="8">
        <v>29.944981035000588</v>
      </c>
      <c r="Q26" s="54">
        <v>0.36332886843657541</v>
      </c>
    </row>
    <row r="27" spans="1:21">
      <c r="A27" s="2" t="s">
        <v>353</v>
      </c>
      <c r="B27" s="16" t="s">
        <v>354</v>
      </c>
      <c r="D27" s="14">
        <v>1</v>
      </c>
      <c r="E27" s="14">
        <v>0.45418791113968654</v>
      </c>
      <c r="F27" s="14">
        <v>3.6189147950063797E-3</v>
      </c>
      <c r="G27" s="14">
        <v>1.3835881881420233E-4</v>
      </c>
      <c r="H27" s="14">
        <v>363.81312109380991</v>
      </c>
      <c r="I27" s="14">
        <v>8488.5894372836246</v>
      </c>
      <c r="J27" s="14">
        <v>0</v>
      </c>
      <c r="K27" s="14">
        <v>276.32593101663144</v>
      </c>
      <c r="L27" s="14">
        <v>3.6189147950063802E-3</v>
      </c>
      <c r="M27" s="14">
        <v>2.9693195893027349E-3</v>
      </c>
      <c r="N27" s="14">
        <v>78.695244873328434</v>
      </c>
      <c r="O27" s="14">
        <v>18602.768935606106</v>
      </c>
      <c r="P27" s="8">
        <v>78.695244873328434</v>
      </c>
      <c r="Q27" s="54">
        <v>0.28565085533245338</v>
      </c>
    </row>
    <row r="28" spans="1:21">
      <c r="A28" s="2" t="s">
        <v>355</v>
      </c>
      <c r="B28" s="16" t="s">
        <v>356</v>
      </c>
      <c r="D28" s="14">
        <v>1</v>
      </c>
      <c r="E28" s="14">
        <v>0.41614025577918373</v>
      </c>
      <c r="F28" s="14">
        <v>1.1834193275559596E-2</v>
      </c>
      <c r="G28" s="14">
        <v>6.9353302374340203E-6</v>
      </c>
      <c r="H28" s="14">
        <v>621.49645800314818</v>
      </c>
      <c r="I28" s="14">
        <v>4885.3516358342922</v>
      </c>
      <c r="J28" s="14">
        <v>0</v>
      </c>
      <c r="K28" s="14">
        <v>84.500901473802699</v>
      </c>
      <c r="L28" s="14">
        <v>1.1834193275559598E-2</v>
      </c>
      <c r="M28" s="14">
        <v>9.709955582596649E-3</v>
      </c>
      <c r="N28" s="14">
        <v>44.664425267892064</v>
      </c>
      <c r="O28" s="14">
        <v>11541.287489223309</v>
      </c>
      <c r="P28" s="8">
        <v>44.664425267892071</v>
      </c>
      <c r="Q28" s="54">
        <v>0.35147612415896878</v>
      </c>
    </row>
    <row r="29" spans="1:21">
      <c r="A29" s="2" t="s">
        <v>357</v>
      </c>
      <c r="B29" s="16" t="s">
        <v>358</v>
      </c>
      <c r="D29" s="14">
        <v>1</v>
      </c>
      <c r="E29" s="14">
        <v>0.36898703329280536</v>
      </c>
      <c r="F29" s="14">
        <v>1.5987148918284084E-2</v>
      </c>
      <c r="G29" s="14">
        <v>1.258634141191352E-3</v>
      </c>
      <c r="H29" s="14">
        <v>647.54658950485657</v>
      </c>
      <c r="I29" s="14">
        <v>3294.0348619280744</v>
      </c>
      <c r="J29" s="14">
        <v>0</v>
      </c>
      <c r="K29" s="14">
        <v>62.550239890261231</v>
      </c>
      <c r="L29" s="14">
        <v>1.5987148918284087E-2</v>
      </c>
      <c r="M29" s="14">
        <v>1.3117455687452092E-2</v>
      </c>
      <c r="N29" s="14">
        <v>29.954225168266273</v>
      </c>
      <c r="O29" s="14">
        <v>7080.8792875264644</v>
      </c>
      <c r="P29" s="8">
        <v>29.954225168266273</v>
      </c>
      <c r="Q29" s="54">
        <v>0.32116498566597018</v>
      </c>
    </row>
    <row r="30" spans="1:21">
      <c r="A30" s="2" t="s">
        <v>359</v>
      </c>
      <c r="B30" s="16" t="s">
        <v>360</v>
      </c>
      <c r="D30" s="14">
        <v>1</v>
      </c>
      <c r="E30" s="14">
        <v>0.41614025577918373</v>
      </c>
      <c r="F30" s="14">
        <v>1.1834193275559596E-2</v>
      </c>
      <c r="G30" s="14">
        <v>6.9353302374340203E-6</v>
      </c>
      <c r="H30" s="14">
        <v>621.49645800314818</v>
      </c>
      <c r="I30" s="14">
        <v>4885.3516358342922</v>
      </c>
      <c r="J30" s="14">
        <v>0</v>
      </c>
      <c r="K30" s="14">
        <v>84.500901473802699</v>
      </c>
      <c r="L30" s="14">
        <v>1.1834193275559598E-2</v>
      </c>
      <c r="M30" s="14">
        <v>9.709955582596649E-3</v>
      </c>
      <c r="N30" s="14">
        <v>44.664425267892064</v>
      </c>
      <c r="O30" s="14">
        <v>11541.287489223309</v>
      </c>
      <c r="P30" s="8">
        <v>44.664425267892071</v>
      </c>
      <c r="Q30" s="54">
        <v>0.35147612415896878</v>
      </c>
    </row>
    <row r="31" spans="1:21">
      <c r="A31" s="2" t="s">
        <v>283</v>
      </c>
      <c r="B31" s="16" t="s">
        <v>284</v>
      </c>
      <c r="D31" s="14">
        <v>1</v>
      </c>
      <c r="E31" s="14">
        <v>0.97537234766404335</v>
      </c>
      <c r="F31" s="14">
        <v>0.97566889811736301</v>
      </c>
      <c r="G31" s="14">
        <v>2.9014223268071225E-10</v>
      </c>
      <c r="H31" s="14">
        <v>0.1699739867713613</v>
      </c>
      <c r="I31" s="14">
        <v>0.63159637938877033</v>
      </c>
      <c r="J31" s="14">
        <v>0</v>
      </c>
      <c r="K31" s="14">
        <v>1.0249378676819418</v>
      </c>
      <c r="L31" s="14">
        <v>0.97566889811736313</v>
      </c>
      <c r="M31" s="14">
        <v>0.80053633090529641</v>
      </c>
      <c r="N31" s="14">
        <v>0.96439411209756176</v>
      </c>
      <c r="O31" s="14">
        <v>187.2756926282255</v>
      </c>
      <c r="P31" s="8">
        <v>0.96439411209756176</v>
      </c>
      <c r="Q31" s="54">
        <v>1.5712295264697817E-2</v>
      </c>
    </row>
    <row r="32" spans="1:21">
      <c r="A32" s="2" t="s">
        <v>361</v>
      </c>
      <c r="B32" s="16" t="s">
        <v>362</v>
      </c>
      <c r="D32" s="14">
        <v>1</v>
      </c>
      <c r="E32" s="14">
        <v>0.58679710077930103</v>
      </c>
      <c r="F32" s="14">
        <v>0.55597911084953999</v>
      </c>
      <c r="G32" s="14">
        <v>3.0230184155180495E-10</v>
      </c>
      <c r="H32" s="14">
        <v>70.760418886084921</v>
      </c>
      <c r="I32" s="14">
        <v>161.53650119616819</v>
      </c>
      <c r="J32" s="14">
        <v>0</v>
      </c>
      <c r="K32" s="14">
        <v>1.7986287263059089</v>
      </c>
      <c r="L32" s="14">
        <v>0.5559791108495401</v>
      </c>
      <c r="M32" s="14">
        <v>0.45618086045204764</v>
      </c>
      <c r="N32" s="14">
        <v>2.0293553226002201</v>
      </c>
      <c r="O32" s="14">
        <v>519.69760456469032</v>
      </c>
      <c r="P32" s="8">
        <v>2.0293553226002201</v>
      </c>
      <c r="Q32" s="54">
        <v>0.2769941978292777</v>
      </c>
    </row>
    <row r="33" spans="1:17">
      <c r="A33" s="2" t="s">
        <v>364</v>
      </c>
      <c r="B33" s="16" t="s">
        <v>365</v>
      </c>
      <c r="D33" s="14">
        <v>1</v>
      </c>
      <c r="E33" s="14">
        <v>0.99856555707550509</v>
      </c>
      <c r="F33" s="14">
        <v>0.9985349303966875</v>
      </c>
      <c r="G33" s="14">
        <v>1.3398235170278577E-12</v>
      </c>
      <c r="H33" s="14">
        <v>1.1930626827083453</v>
      </c>
      <c r="I33" s="14">
        <v>3.3779420892591761E-3</v>
      </c>
      <c r="J33" s="14">
        <v>0</v>
      </c>
      <c r="K33" s="14">
        <v>1.0014672191815368</v>
      </c>
      <c r="L33" s="14">
        <v>0.9985349303966875</v>
      </c>
      <c r="M33" s="14">
        <v>0.81929791039048216</v>
      </c>
      <c r="N33" s="14">
        <v>0.98384329644752977</v>
      </c>
      <c r="O33" s="14">
        <v>291.3651922429359</v>
      </c>
      <c r="P33" s="8">
        <v>0.98384329644752988</v>
      </c>
      <c r="Q33" s="54">
        <v>3.8516977496717076E-5</v>
      </c>
    </row>
    <row r="34" spans="1:17">
      <c r="A34" s="2" t="s">
        <v>285</v>
      </c>
      <c r="B34" s="16" t="s">
        <v>286</v>
      </c>
      <c r="D34" s="14">
        <v>1</v>
      </c>
      <c r="E34" s="14">
        <v>0.99801848738170018</v>
      </c>
      <c r="F34" s="14">
        <v>0.92250149872888865</v>
      </c>
      <c r="G34" s="14">
        <v>6.6917827753013538E-12</v>
      </c>
      <c r="H34" s="14">
        <v>215.63888640916969</v>
      </c>
      <c r="I34" s="14">
        <v>0.16396954930698265</v>
      </c>
      <c r="J34" s="14">
        <v>0</v>
      </c>
      <c r="K34" s="14">
        <v>1.0840090789856669</v>
      </c>
      <c r="L34" s="14">
        <v>0.92250149872888876</v>
      </c>
      <c r="M34" s="14">
        <v>0.75691247970705322</v>
      </c>
      <c r="N34" s="14">
        <v>1.1820567782715963</v>
      </c>
      <c r="O34" s="14">
        <v>261.2818302691536</v>
      </c>
      <c r="P34" s="8">
        <v>1.1820567782715963</v>
      </c>
      <c r="Q34" s="54">
        <v>2.2047695535996076E-4</v>
      </c>
    </row>
    <row r="35" spans="1:17">
      <c r="A35" s="2" t="s">
        <v>287</v>
      </c>
      <c r="B35" s="16" t="s">
        <v>288</v>
      </c>
      <c r="D35" s="14">
        <v>1</v>
      </c>
      <c r="E35" s="14">
        <v>0.99684250679669029</v>
      </c>
      <c r="F35" s="14">
        <v>0.82581193467437441</v>
      </c>
      <c r="G35" s="14">
        <v>2.9474435056636942E-13</v>
      </c>
      <c r="H35" s="14">
        <v>486.92397086297365</v>
      </c>
      <c r="I35" s="14">
        <v>0.87307206580599706</v>
      </c>
      <c r="J35" s="14">
        <v>0</v>
      </c>
      <c r="K35" s="14">
        <v>1.2109294598585689</v>
      </c>
      <c r="L35" s="14">
        <v>0.82581193467437441</v>
      </c>
      <c r="M35" s="14">
        <v>0.6775786924003242</v>
      </c>
      <c r="N35" s="14">
        <v>1.4014301080605536</v>
      </c>
      <c r="O35" s="14">
        <v>322.69329668202306</v>
      </c>
      <c r="P35" s="8">
        <v>1.4014301080605536</v>
      </c>
      <c r="Q35" s="54">
        <v>8.0695644221121768E-4</v>
      </c>
    </row>
    <row r="36" spans="1:17">
      <c r="A36" s="2" t="s">
        <v>366</v>
      </c>
      <c r="B36" s="16" t="s">
        <v>305</v>
      </c>
      <c r="D36" s="14">
        <v>1</v>
      </c>
      <c r="E36" s="14">
        <v>0.99460619115072046</v>
      </c>
      <c r="F36" s="14">
        <v>0.5463001484760498</v>
      </c>
      <c r="G36" s="14">
        <v>1.0305113821312035E-9</v>
      </c>
      <c r="H36" s="14">
        <v>1274.4163029953386</v>
      </c>
      <c r="I36" s="14">
        <v>3.3784283861206768</v>
      </c>
      <c r="J36" s="14">
        <v>0</v>
      </c>
      <c r="K36" s="14">
        <v>1.830495566932544</v>
      </c>
      <c r="L36" s="14">
        <v>0.54630014847604991</v>
      </c>
      <c r="M36" s="14">
        <v>0.44823927182459894</v>
      </c>
      <c r="N36" s="14">
        <v>1.9599494486981415</v>
      </c>
      <c r="O36" s="14">
        <v>404.29837227745259</v>
      </c>
      <c r="P36" s="8">
        <v>1.9599494486981415</v>
      </c>
      <c r="Q36" s="54">
        <v>1.7886061406773941E-3</v>
      </c>
    </row>
    <row r="37" spans="1:17">
      <c r="A37" s="2" t="s">
        <v>289</v>
      </c>
      <c r="B37" s="16" t="s">
        <v>290</v>
      </c>
      <c r="D37" s="14">
        <v>1</v>
      </c>
      <c r="E37" s="14">
        <v>0.79585550985399856</v>
      </c>
      <c r="F37" s="14">
        <v>0.59187671818994902</v>
      </c>
      <c r="G37" s="14">
        <v>1.319573357223028E-16</v>
      </c>
      <c r="H37" s="14">
        <v>561.24341314927563</v>
      </c>
      <c r="I37" s="14">
        <v>177.41174740598484</v>
      </c>
      <c r="J37" s="14">
        <v>0</v>
      </c>
      <c r="K37" s="14">
        <v>1.6895410298586422</v>
      </c>
      <c r="L37" s="14">
        <v>0.59187671818994914</v>
      </c>
      <c r="M37" s="14">
        <v>0.48563484727485323</v>
      </c>
      <c r="N37" s="14">
        <v>2.6809364701581626</v>
      </c>
      <c r="O37" s="14">
        <v>934.09188493250701</v>
      </c>
      <c r="P37" s="8">
        <v>2.6809364701581626</v>
      </c>
      <c r="Q37" s="54">
        <v>0.13526404588424351</v>
      </c>
    </row>
    <row r="38" spans="1:17">
      <c r="A38" s="2" t="s">
        <v>291</v>
      </c>
      <c r="B38" s="16" t="s">
        <v>292</v>
      </c>
      <c r="D38" s="14">
        <v>1</v>
      </c>
      <c r="E38" s="14">
        <v>0.99552780786202277</v>
      </c>
      <c r="F38" s="14">
        <v>0.93729501374964763</v>
      </c>
      <c r="G38" s="14">
        <v>2.0437774427306953E-14</v>
      </c>
      <c r="H38" s="14">
        <v>166.40880682635148</v>
      </c>
      <c r="I38" s="14">
        <v>1.2872264934710371</v>
      </c>
      <c r="J38" s="14">
        <v>0</v>
      </c>
      <c r="K38" s="14">
        <v>1.0668999464741642</v>
      </c>
      <c r="L38" s="14">
        <v>0.93729501374964763</v>
      </c>
      <c r="M38" s="14">
        <v>0.7690505587815859</v>
      </c>
      <c r="N38" s="14">
        <v>1.1469264864483479</v>
      </c>
      <c r="O38" s="14">
        <v>353.63184356661912</v>
      </c>
      <c r="P38" s="8">
        <v>1.1469264864483482</v>
      </c>
      <c r="Q38" s="54">
        <v>1.9348841621992224E-3</v>
      </c>
    </row>
    <row r="39" spans="1:17">
      <c r="A39" s="2" t="s">
        <v>367</v>
      </c>
      <c r="B39" s="16" t="s">
        <v>368</v>
      </c>
      <c r="D39" s="14">
        <v>1</v>
      </c>
      <c r="E39" s="14">
        <v>0.46096896540145105</v>
      </c>
      <c r="F39" s="14">
        <v>4.8795760773817046E-2</v>
      </c>
      <c r="G39" s="14">
        <v>7.5817695738311391E-7</v>
      </c>
      <c r="H39" s="14">
        <v>997.33737277634691</v>
      </c>
      <c r="I39" s="14">
        <v>1612.8696297206363</v>
      </c>
      <c r="J39" s="14">
        <v>0</v>
      </c>
      <c r="K39" s="14">
        <v>20.49358354376929</v>
      </c>
      <c r="L39" s="14">
        <v>4.8795760773817046E-2</v>
      </c>
      <c r="M39" s="14">
        <v>4.0036921714916886E-2</v>
      </c>
      <c r="N39" s="14">
        <v>14.491134804735093</v>
      </c>
      <c r="O39" s="14">
        <v>4033.4624615499656</v>
      </c>
      <c r="P39" s="8">
        <v>14.491134804735095</v>
      </c>
      <c r="Q39" s="54">
        <v>0.35010576671338478</v>
      </c>
    </row>
    <row r="40" spans="1:17">
      <c r="A40" s="2" t="s">
        <v>369</v>
      </c>
      <c r="B40" s="16" t="s">
        <v>370</v>
      </c>
      <c r="D40" s="14">
        <v>1</v>
      </c>
      <c r="E40" s="14">
        <v>0.75727512056899504</v>
      </c>
      <c r="F40" s="14">
        <v>7.6913288669472656E-3</v>
      </c>
      <c r="G40" s="14">
        <v>7.8079045023828126E-14</v>
      </c>
      <c r="H40" s="14">
        <v>1986.7415812192362</v>
      </c>
      <c r="I40" s="14">
        <v>1330.8324250925584</v>
      </c>
      <c r="J40" s="14">
        <v>0</v>
      </c>
      <c r="K40" s="14">
        <v>130.01654425380278</v>
      </c>
      <c r="L40" s="14">
        <v>7.6913288669472656E-3</v>
      </c>
      <c r="M40" s="14">
        <v>6.3107353353302319E-3</v>
      </c>
      <c r="N40" s="14">
        <v>157.66797458158254</v>
      </c>
      <c r="O40" s="14">
        <v>64155.098857245932</v>
      </c>
      <c r="P40" s="8">
        <v>157.66797458158254</v>
      </c>
      <c r="Q40" s="54">
        <v>1.4843057631589518E-2</v>
      </c>
    </row>
    <row r="41" spans="1:17">
      <c r="A41" s="2" t="s">
        <v>371</v>
      </c>
      <c r="B41" s="16" t="s">
        <v>372</v>
      </c>
      <c r="D41" s="14">
        <v>1</v>
      </c>
      <c r="E41" s="14">
        <v>0.91273800677994132</v>
      </c>
      <c r="F41" s="14">
        <v>0.91308978734884239</v>
      </c>
      <c r="G41" s="14">
        <v>9.0494455870626623E-4</v>
      </c>
      <c r="H41" s="14">
        <v>7.9139533395054477E-3</v>
      </c>
      <c r="I41" s="14">
        <v>3.668180147657206E-2</v>
      </c>
      <c r="J41" s="14">
        <v>0</v>
      </c>
      <c r="K41" s="14">
        <v>1.095182548151701</v>
      </c>
      <c r="L41" s="14">
        <v>0.91308978734884239</v>
      </c>
      <c r="M41" s="14">
        <v>0.74919017051972525</v>
      </c>
      <c r="N41" s="14">
        <v>0.89797964446566902</v>
      </c>
      <c r="O41" s="14">
        <v>125.88776635764214</v>
      </c>
      <c r="P41" s="8">
        <v>0.89797964446566914</v>
      </c>
      <c r="Q41" s="54">
        <v>3.0778727181138108E-3</v>
      </c>
    </row>
    <row r="42" spans="1:17">
      <c r="A42" s="2" t="s">
        <v>293</v>
      </c>
      <c r="B42" s="16" t="s">
        <v>294</v>
      </c>
      <c r="D42" s="14">
        <v>1</v>
      </c>
      <c r="E42" s="14">
        <v>0.64453081114999333</v>
      </c>
      <c r="F42" s="14">
        <v>0.6238497865249486</v>
      </c>
      <c r="G42" s="14">
        <v>2.3065799813485267E-10</v>
      </c>
      <c r="H42" s="14">
        <v>47.330384307025234</v>
      </c>
      <c r="I42" s="14">
        <v>112.40799503262868</v>
      </c>
      <c r="J42" s="14">
        <v>0</v>
      </c>
      <c r="K42" s="14">
        <v>1.6029499754585692</v>
      </c>
      <c r="L42" s="14">
        <v>0.6238497865249486</v>
      </c>
      <c r="M42" s="14">
        <v>0.51186874984372033</v>
      </c>
      <c r="N42" s="14">
        <v>1.5785790440244949</v>
      </c>
      <c r="O42" s="14">
        <v>521.49937298393218</v>
      </c>
      <c r="P42" s="8">
        <v>1.5785790440244951</v>
      </c>
      <c r="Q42" s="54">
        <v>0.23844993126467792</v>
      </c>
    </row>
    <row r="43" spans="1:17">
      <c r="A43" s="2" t="s">
        <v>373</v>
      </c>
      <c r="B43" s="16" t="s">
        <v>374</v>
      </c>
      <c r="D43" s="14">
        <v>1</v>
      </c>
      <c r="E43" s="14">
        <v>0.98829891145416449</v>
      </c>
      <c r="F43" s="14">
        <v>8.1059733201642156E-2</v>
      </c>
      <c r="G43" s="14">
        <v>4.3892264695868311E-9</v>
      </c>
      <c r="H43" s="14">
        <v>2576.4704746518564</v>
      </c>
      <c r="I43" s="14">
        <v>20.142283615909342</v>
      </c>
      <c r="J43" s="14">
        <v>0</v>
      </c>
      <c r="K43" s="14">
        <v>12.336581438189848</v>
      </c>
      <c r="L43" s="14">
        <v>8.1059733201642156E-2</v>
      </c>
      <c r="M43" s="14">
        <v>6.6509511091947401E-2</v>
      </c>
      <c r="N43" s="14">
        <v>5.5978427498976586</v>
      </c>
      <c r="O43" s="14">
        <v>1490.9294380077422</v>
      </c>
      <c r="P43" s="8">
        <v>5.5978427498976586</v>
      </c>
      <c r="Q43" s="54">
        <v>2.6080067242774895E-3</v>
      </c>
    </row>
    <row r="44" spans="1:17">
      <c r="A44" s="2" t="s">
        <v>375</v>
      </c>
      <c r="B44" s="16" t="s">
        <v>376</v>
      </c>
      <c r="D44" s="14">
        <v>1</v>
      </c>
      <c r="E44" s="14">
        <v>0.78220837316148406</v>
      </c>
      <c r="F44" s="14">
        <v>0.7799228559496576</v>
      </c>
      <c r="G44" s="14">
        <v>9.6449534380674599E-4</v>
      </c>
      <c r="H44" s="14">
        <v>5.6399031692168498</v>
      </c>
      <c r="I44" s="14">
        <v>15.926810708753758</v>
      </c>
      <c r="J44" s="14">
        <v>0</v>
      </c>
      <c r="K44" s="14">
        <v>1.2821780928350532</v>
      </c>
      <c r="L44" s="14">
        <v>0.7799228559496576</v>
      </c>
      <c r="M44" s="14">
        <v>0.6399267033066941</v>
      </c>
      <c r="N44" s="14">
        <v>0.90116984675552603</v>
      </c>
      <c r="O44" s="14">
        <v>134.63477510527559</v>
      </c>
      <c r="P44" s="8">
        <v>0.90116984675552603</v>
      </c>
      <c r="Q44" s="54">
        <v>8.7564650474554431E-2</v>
      </c>
    </row>
    <row r="45" spans="1:17">
      <c r="A45" s="2" t="s">
        <v>377</v>
      </c>
      <c r="B45" s="16" t="s">
        <v>378</v>
      </c>
      <c r="D45" s="14">
        <v>1</v>
      </c>
      <c r="E45" s="14">
        <v>0.62143370824267807</v>
      </c>
      <c r="F45" s="14">
        <v>0.59727038705468194</v>
      </c>
      <c r="G45" s="14">
        <v>9.0061561063024095E-6</v>
      </c>
      <c r="H45" s="14">
        <v>55.349153437979346</v>
      </c>
      <c r="I45" s="14">
        <v>129.52934026491798</v>
      </c>
      <c r="J45" s="14">
        <v>0</v>
      </c>
      <c r="K45" s="14">
        <v>1.6742835768759567</v>
      </c>
      <c r="L45" s="14">
        <v>0.59727038705468194</v>
      </c>
      <c r="M45" s="14">
        <v>0.49006035257836655</v>
      </c>
      <c r="N45" s="14">
        <v>1.7011224030678176</v>
      </c>
      <c r="O45" s="14">
        <v>378.05744285779178</v>
      </c>
      <c r="P45" s="8">
        <v>1.7011224030678178</v>
      </c>
      <c r="Q45" s="54">
        <v>0.25337756228183522</v>
      </c>
    </row>
    <row r="46" spans="1:17">
      <c r="A46" s="2" t="s">
        <v>379</v>
      </c>
      <c r="B46" s="16" t="s">
        <v>380</v>
      </c>
      <c r="D46" s="14">
        <v>1</v>
      </c>
      <c r="E46" s="14">
        <v>0.63456860338874244</v>
      </c>
      <c r="F46" s="14">
        <v>0.61268182807402605</v>
      </c>
      <c r="G46" s="14">
        <v>2.6625850377854257E-5</v>
      </c>
      <c r="H46" s="14">
        <v>50.104300052940644</v>
      </c>
      <c r="I46" s="14">
        <v>118.34016494595063</v>
      </c>
      <c r="J46" s="14">
        <v>0</v>
      </c>
      <c r="K46" s="14">
        <v>1.6321685321458188</v>
      </c>
      <c r="L46" s="14">
        <v>0.61268182807402605</v>
      </c>
      <c r="M46" s="14">
        <v>0.50270543993473837</v>
      </c>
      <c r="N46" s="14">
        <v>1.6191051681762796</v>
      </c>
      <c r="O46" s="14">
        <v>208.15216042074252</v>
      </c>
      <c r="P46" s="8">
        <v>1.6191051681762796</v>
      </c>
      <c r="Q46" s="54">
        <v>0.24351861791821772</v>
      </c>
    </row>
    <row r="47" spans="1:17">
      <c r="A47" s="2" t="s">
        <v>381</v>
      </c>
      <c r="B47" s="16" t="s">
        <v>382</v>
      </c>
      <c r="D47" s="14">
        <v>1</v>
      </c>
      <c r="E47" s="14">
        <v>0.46463145518680221</v>
      </c>
      <c r="F47" s="14">
        <v>3.3665601396841117E-3</v>
      </c>
      <c r="G47" s="14">
        <v>2.3983627189812775E-9</v>
      </c>
      <c r="H47" s="14">
        <v>353.41613822580371</v>
      </c>
      <c r="I47" s="14">
        <v>8866.3229840409531</v>
      </c>
      <c r="J47" s="14">
        <v>0</v>
      </c>
      <c r="K47" s="14">
        <v>297.03910178590519</v>
      </c>
      <c r="L47" s="14">
        <v>3.3665601396841117E-3</v>
      </c>
      <c r="M47" s="14">
        <v>2.7622625946108138E-3</v>
      </c>
      <c r="N47" s="14">
        <v>82.274338309462863</v>
      </c>
      <c r="O47" s="14">
        <v>32193.125837109725</v>
      </c>
      <c r="P47" s="8">
        <v>82.274338309462863</v>
      </c>
      <c r="Q47" s="54">
        <v>0.28362437234593091</v>
      </c>
    </row>
    <row r="48" spans="1:17">
      <c r="A48" s="2" t="s">
        <v>383</v>
      </c>
      <c r="B48" s="16" t="s">
        <v>384</v>
      </c>
      <c r="D48" s="14">
        <v>1</v>
      </c>
      <c r="E48" s="14">
        <v>0.91005194011353785</v>
      </c>
      <c r="F48" s="14">
        <v>0.90956440549098261</v>
      </c>
      <c r="G48" s="14">
        <v>1.3120849202928587E-4</v>
      </c>
      <c r="H48" s="14">
        <v>1.7919812306482648</v>
      </c>
      <c r="I48" s="14">
        <v>5.5691719526436581</v>
      </c>
      <c r="J48" s="14">
        <v>0</v>
      </c>
      <c r="K48" s="14">
        <v>1.0994273676092241</v>
      </c>
      <c r="L48" s="14">
        <v>0.90956440549098272</v>
      </c>
      <c r="M48" s="14">
        <v>0.74629759470535129</v>
      </c>
      <c r="N48" s="14">
        <v>0.94076813034085838</v>
      </c>
      <c r="O48" s="14">
        <v>87.613735978644144</v>
      </c>
      <c r="P48" s="8">
        <v>0.94076813034085849</v>
      </c>
      <c r="Q48" s="54">
        <v>5.1854998649410677E-2</v>
      </c>
    </row>
    <row r="49" spans="1:17">
      <c r="A49" s="2" t="s">
        <v>385</v>
      </c>
      <c r="B49" s="16" t="s">
        <v>386</v>
      </c>
      <c r="D49" s="14">
        <v>1</v>
      </c>
      <c r="E49" s="14">
        <v>0.87434867972945696</v>
      </c>
      <c r="F49" s="14">
        <v>0.87319556462012327</v>
      </c>
      <c r="G49" s="14">
        <v>2.4645634796542659E-4</v>
      </c>
      <c r="H49" s="14">
        <v>3.2144858699281675</v>
      </c>
      <c r="I49" s="14">
        <v>9.5404463097297665</v>
      </c>
      <c r="J49" s="14">
        <v>0</v>
      </c>
      <c r="K49" s="14">
        <v>1.145218826706984</v>
      </c>
      <c r="L49" s="14">
        <v>0.87319556462012327</v>
      </c>
      <c r="M49" s="14">
        <v>0.71645696077081122</v>
      </c>
      <c r="N49" s="14">
        <v>0.9385745905952767</v>
      </c>
      <c r="O49" s="14">
        <v>104.29440850694715</v>
      </c>
      <c r="P49" s="8">
        <v>0.9385745905952767</v>
      </c>
      <c r="Q49" s="54">
        <v>6.8955465055604334E-2</v>
      </c>
    </row>
    <row r="50" spans="1:17">
      <c r="A50" s="2" t="s">
        <v>387</v>
      </c>
      <c r="B50" s="16" t="s">
        <v>388</v>
      </c>
      <c r="D50" s="14">
        <v>1</v>
      </c>
      <c r="E50" s="14">
        <v>0.36143308999630613</v>
      </c>
      <c r="F50" s="14">
        <v>0.1910966283465311</v>
      </c>
      <c r="G50" s="14">
        <v>1.8497861024519791E-4</v>
      </c>
      <c r="H50" s="14">
        <v>403.36018224751905</v>
      </c>
      <c r="I50" s="14">
        <v>749.8082167737515</v>
      </c>
      <c r="J50" s="14">
        <v>0</v>
      </c>
      <c r="K50" s="14">
        <v>5.232954702825098</v>
      </c>
      <c r="L50" s="14">
        <v>0.19109662834653113</v>
      </c>
      <c r="M50" s="14">
        <v>0.15679478355832879</v>
      </c>
      <c r="N50" s="14">
        <v>6.7878461813104289</v>
      </c>
      <c r="O50" s="14">
        <v>1340.2602284997442</v>
      </c>
      <c r="P50" s="8">
        <v>6.7878461813104298</v>
      </c>
      <c r="Q50" s="54">
        <v>0.41338069903875924</v>
      </c>
    </row>
    <row r="51" spans="1:17">
      <c r="A51" s="2" t="s">
        <v>295</v>
      </c>
      <c r="B51" s="16" t="s">
        <v>296</v>
      </c>
      <c r="D51" s="14">
        <v>1</v>
      </c>
      <c r="E51" s="14">
        <v>0.90390650417404306</v>
      </c>
      <c r="F51" s="14">
        <v>0.90411919499357218</v>
      </c>
      <c r="G51" s="14">
        <v>7.2606278531178443E-4</v>
      </c>
      <c r="H51" s="14">
        <v>0.28704216014539941</v>
      </c>
      <c r="I51" s="14">
        <v>1.0204761532029005</v>
      </c>
      <c r="J51" s="14">
        <v>0</v>
      </c>
      <c r="K51" s="14">
        <v>1.1060488545507645</v>
      </c>
      <c r="L51" s="14">
        <v>0.90411919499357229</v>
      </c>
      <c r="M51" s="14">
        <v>0.74182979949222605</v>
      </c>
      <c r="N51" s="14">
        <v>0.89728145021456507</v>
      </c>
      <c r="O51" s="14">
        <v>52.11410662846194</v>
      </c>
      <c r="P51" s="8">
        <v>0.89728145021456518</v>
      </c>
      <c r="Q51" s="54">
        <v>1.9906864504377252E-2</v>
      </c>
    </row>
    <row r="52" spans="1:17">
      <c r="A52" s="2" t="s">
        <v>389</v>
      </c>
      <c r="B52" s="16" t="s">
        <v>390</v>
      </c>
      <c r="D52" s="14">
        <v>1</v>
      </c>
      <c r="E52" s="14">
        <v>0.75617189534492912</v>
      </c>
      <c r="F52" s="14">
        <v>0.75196104221360771</v>
      </c>
      <c r="G52" s="14">
        <v>7.9411578508792747E-4</v>
      </c>
      <c r="H52" s="14">
        <v>9.9095821235059578</v>
      </c>
      <c r="I52" s="14">
        <v>26.773953939040354</v>
      </c>
      <c r="J52" s="14">
        <v>0</v>
      </c>
      <c r="K52" s="14">
        <v>1.329856127993307</v>
      </c>
      <c r="L52" s="14">
        <v>0.75196104221360771</v>
      </c>
      <c r="M52" s="14">
        <v>0.61698403513626521</v>
      </c>
      <c r="N52" s="14">
        <v>0.9662224861115275</v>
      </c>
      <c r="O52" s="14">
        <v>103.53073938685019</v>
      </c>
      <c r="P52" s="8">
        <v>0.96622248611152761</v>
      </c>
      <c r="Q52" s="54">
        <v>0.11542835644870589</v>
      </c>
    </row>
    <row r="53" spans="1:17">
      <c r="A53" s="2" t="s">
        <v>391</v>
      </c>
      <c r="B53" s="16" t="s">
        <v>392</v>
      </c>
      <c r="D53" s="14">
        <v>1</v>
      </c>
      <c r="E53" s="14">
        <v>0.54942588245417256</v>
      </c>
      <c r="F53" s="14">
        <v>0.51098012403572268</v>
      </c>
      <c r="G53" s="14">
        <v>2.9394934383847947E-5</v>
      </c>
      <c r="H53" s="14">
        <v>88.479774556854011</v>
      </c>
      <c r="I53" s="14">
        <v>197.74302710316817</v>
      </c>
      <c r="J53" s="14">
        <v>0</v>
      </c>
      <c r="K53" s="14">
        <v>1.9570232832189176</v>
      </c>
      <c r="L53" s="14">
        <v>0.51098012403572279</v>
      </c>
      <c r="M53" s="14">
        <v>0.41925919177131055</v>
      </c>
      <c r="N53" s="14">
        <v>2.2108258553353144</v>
      </c>
      <c r="O53" s="14">
        <v>358.19800508142765</v>
      </c>
      <c r="P53" s="8">
        <v>2.2108258553353144</v>
      </c>
      <c r="Q53" s="54">
        <v>0.30026255664632284</v>
      </c>
    </row>
    <row r="54" spans="1:17">
      <c r="A54" s="2" t="s">
        <v>393</v>
      </c>
      <c r="B54" s="16" t="s">
        <v>394</v>
      </c>
      <c r="D54" s="14">
        <v>1</v>
      </c>
      <c r="E54" s="14">
        <v>0.44809231307423947</v>
      </c>
      <c r="F54" s="14">
        <v>4.5462861650560548E-3</v>
      </c>
      <c r="G54" s="14">
        <v>1.0698065596907155E-5</v>
      </c>
      <c r="H54" s="14">
        <v>408.3915700059278</v>
      </c>
      <c r="I54" s="14">
        <v>7891.0344537499041</v>
      </c>
      <c r="J54" s="14">
        <v>0</v>
      </c>
      <c r="K54" s="14">
        <v>219.95975697400257</v>
      </c>
      <c r="L54" s="14">
        <v>4.5462861650560548E-3</v>
      </c>
      <c r="M54" s="14">
        <v>3.730227798428493E-3</v>
      </c>
      <c r="N54" s="14">
        <v>72.977356754817876</v>
      </c>
      <c r="O54" s="14">
        <v>17032.18529300694</v>
      </c>
      <c r="P54" s="8">
        <v>72.977356754817876</v>
      </c>
      <c r="Q54" s="54">
        <v>0.30292417905657332</v>
      </c>
    </row>
    <row r="55" spans="1:17">
      <c r="A55" s="2" t="s">
        <v>395</v>
      </c>
      <c r="B55" s="16" t="s">
        <v>396</v>
      </c>
      <c r="D55" s="14">
        <v>1</v>
      </c>
      <c r="E55" s="14">
        <v>0.31450625570905194</v>
      </c>
      <c r="F55" s="14">
        <v>0.23469200678423935</v>
      </c>
      <c r="G55" s="14">
        <v>2.535284995705097E-3</v>
      </c>
      <c r="H55" s="14">
        <v>186.80921630520982</v>
      </c>
      <c r="I55" s="14">
        <v>373.12596294506199</v>
      </c>
      <c r="J55" s="14">
        <v>0</v>
      </c>
      <c r="K55" s="14">
        <v>4.2609035292767139</v>
      </c>
      <c r="L55" s="14">
        <v>0.23469200678423935</v>
      </c>
      <c r="M55" s="14">
        <v>0.19256479156646839</v>
      </c>
      <c r="N55" s="14">
        <v>3.4912716379740867</v>
      </c>
      <c r="O55" s="14">
        <v>447.47628583913865</v>
      </c>
      <c r="P55" s="8">
        <v>3.4912716379740871</v>
      </c>
      <c r="Q55" s="54">
        <v>0.30539046220941979</v>
      </c>
    </row>
    <row r="56" spans="1:17">
      <c r="A56" s="2" t="s">
        <v>397</v>
      </c>
      <c r="B56" s="16" t="s">
        <v>398</v>
      </c>
      <c r="D56" s="14">
        <v>1</v>
      </c>
      <c r="E56" s="14">
        <v>6.376066260238937E-2</v>
      </c>
      <c r="F56" s="14">
        <v>2.2209899272133505E-2</v>
      </c>
      <c r="G56" s="14">
        <v>9.2090552087981913E-3</v>
      </c>
      <c r="H56" s="14">
        <v>99.262815386725393</v>
      </c>
      <c r="I56" s="14">
        <v>174.59980715059598</v>
      </c>
      <c r="J56" s="14">
        <v>0</v>
      </c>
      <c r="K56" s="14">
        <v>45.024967819403308</v>
      </c>
      <c r="L56" s="14">
        <v>2.2209899272133505E-2</v>
      </c>
      <c r="M56" s="14">
        <v>1.8223222352785541E-2</v>
      </c>
      <c r="N56" s="14">
        <v>1.5673340706283014</v>
      </c>
      <c r="O56" s="14">
        <v>284.39276711550531</v>
      </c>
      <c r="P56" s="8">
        <v>1.5673340706283014</v>
      </c>
      <c r="Q56" s="54">
        <v>7.1030318112153337E-2</v>
      </c>
    </row>
    <row r="57" spans="1:17">
      <c r="A57" s="2" t="s">
        <v>399</v>
      </c>
      <c r="B57" s="16" t="s">
        <v>400</v>
      </c>
      <c r="D57" s="14">
        <v>1</v>
      </c>
      <c r="E57" s="14">
        <v>4.8970600461772366E-2</v>
      </c>
      <c r="F57" s="14">
        <v>3.3338496495822205E-2</v>
      </c>
      <c r="G57" s="14">
        <v>9.7107885539299225E-3</v>
      </c>
      <c r="H57" s="14">
        <v>36.730429783230235</v>
      </c>
      <c r="I57" s="14">
        <v>71.628058697167418</v>
      </c>
      <c r="J57" s="14">
        <v>0</v>
      </c>
      <c r="K57" s="14">
        <v>29.995353873421209</v>
      </c>
      <c r="L57" s="14">
        <v>3.3338496495822205E-2</v>
      </c>
      <c r="M57" s="14">
        <v>2.7354236374822122E-2</v>
      </c>
      <c r="N57" s="14">
        <v>0.66021172255545912</v>
      </c>
      <c r="O57" s="14">
        <v>97.051123215652495</v>
      </c>
      <c r="P57" s="8">
        <v>0.66021172255545912</v>
      </c>
      <c r="Q57" s="54">
        <v>5.1390539959245876E-2</v>
      </c>
    </row>
    <row r="58" spans="1:17">
      <c r="A58" s="2" t="s">
        <v>297</v>
      </c>
      <c r="B58" s="16" t="s">
        <v>298</v>
      </c>
      <c r="D58" s="14">
        <v>1</v>
      </c>
      <c r="E58" s="14">
        <v>5.9555878169750096E-2</v>
      </c>
      <c r="F58" s="14">
        <v>5.9449061800927828E-2</v>
      </c>
      <c r="G58" s="14">
        <v>1.0360327708829936E-2</v>
      </c>
      <c r="H58" s="14">
        <v>0.28102503149867381</v>
      </c>
      <c r="I58" s="14">
        <v>0.81884589453286039</v>
      </c>
      <c r="J58" s="14">
        <v>0</v>
      </c>
      <c r="K58" s="14">
        <v>16.821123323167278</v>
      </c>
      <c r="L58" s="14">
        <v>5.9449061800927828E-2</v>
      </c>
      <c r="M58" s="14">
        <v>4.8777955207661282E-2</v>
      </c>
      <c r="N58" s="14">
        <v>6.5334611329663908E-2</v>
      </c>
      <c r="O58" s="14">
        <v>5.5488685402283568</v>
      </c>
      <c r="P58" s="8">
        <v>6.5334611329663922E-2</v>
      </c>
      <c r="Q58" s="54">
        <v>5.3481327162936089E-3</v>
      </c>
    </row>
    <row r="59" spans="1:17">
      <c r="A59" s="2" t="s">
        <v>401</v>
      </c>
      <c r="B59" s="16" t="s">
        <v>402</v>
      </c>
      <c r="D59" s="14">
        <v>1</v>
      </c>
      <c r="E59" s="14">
        <v>1.8116522119974932E-2</v>
      </c>
      <c r="F59" s="14">
        <v>1.2621291155440214E-2</v>
      </c>
      <c r="G59" s="14">
        <v>1.059820395867107E-2</v>
      </c>
      <c r="H59" s="14">
        <v>12.900418084839508</v>
      </c>
      <c r="I59" s="14">
        <v>25.296530255495309</v>
      </c>
      <c r="J59" s="14">
        <v>0</v>
      </c>
      <c r="K59" s="14">
        <v>79.231196530076488</v>
      </c>
      <c r="L59" s="14">
        <v>1.2621291155440216E-2</v>
      </c>
      <c r="M59" s="14">
        <v>1.0355769393038696E-2</v>
      </c>
      <c r="N59" s="14">
        <v>0.23387286996290071</v>
      </c>
      <c r="O59" s="14">
        <v>38.783138025947828</v>
      </c>
      <c r="P59" s="8">
        <v>0.23387286996290074</v>
      </c>
      <c r="Q59" s="54">
        <v>1.8709447217634654E-2</v>
      </c>
    </row>
    <row r="60" spans="1:17">
      <c r="A60" s="2" t="s">
        <v>299</v>
      </c>
      <c r="B60" s="16" t="s">
        <v>300</v>
      </c>
      <c r="D60" s="14">
        <v>1</v>
      </c>
      <c r="E60" s="14">
        <v>5.3654120586391616E-4</v>
      </c>
      <c r="F60" s="14">
        <v>4.4987731664427802E-4</v>
      </c>
      <c r="G60" s="14">
        <v>1.109794539808677E-2</v>
      </c>
      <c r="H60" s="14">
        <v>0.20147172091234744</v>
      </c>
      <c r="I60" s="14">
        <v>0.41982787123574811</v>
      </c>
      <c r="J60" s="14">
        <v>0</v>
      </c>
      <c r="K60" s="14">
        <v>2222.8282311702073</v>
      </c>
      <c r="L60" s="14">
        <v>4.4987731664427807E-4</v>
      </c>
      <c r="M60" s="14">
        <v>3.6912433830663013E-4</v>
      </c>
      <c r="N60" s="14">
        <v>4.0952507004300134E-3</v>
      </c>
      <c r="O60" s="14">
        <v>0.33638389253332129</v>
      </c>
      <c r="P60" s="8">
        <v>4.0952507004300134E-3</v>
      </c>
      <c r="Q60" s="54">
        <v>4.3378174035876767E-4</v>
      </c>
    </row>
    <row r="61" spans="1:17">
      <c r="A61" s="2" t="s">
        <v>403</v>
      </c>
      <c r="B61" s="16" t="s">
        <v>404</v>
      </c>
      <c r="D61" s="14">
        <v>1</v>
      </c>
      <c r="E61" s="14">
        <v>0.48893832142973098</v>
      </c>
      <c r="F61" s="14">
        <v>0.43156310716308166</v>
      </c>
      <c r="G61" s="14">
        <v>7.5212980489924924E-46</v>
      </c>
      <c r="H61" s="14">
        <v>132.82025547851489</v>
      </c>
      <c r="I61" s="14">
        <v>284.52568791539682</v>
      </c>
      <c r="J61" s="14">
        <v>0</v>
      </c>
      <c r="K61" s="14">
        <v>2.3171582171923562</v>
      </c>
      <c r="L61" s="14">
        <v>0.43156310716308166</v>
      </c>
      <c r="M61" s="14">
        <v>0.35409752942730854</v>
      </c>
      <c r="N61" s="14">
        <v>2.89306881316109</v>
      </c>
      <c r="O61" s="14">
        <v>3479.2334853956581</v>
      </c>
      <c r="P61" s="8">
        <v>2.8930688131610904</v>
      </c>
      <c r="Q61" s="54">
        <v>0.34223268300649434</v>
      </c>
    </row>
    <row r="62" spans="1:17">
      <c r="A62" s="2" t="s">
        <v>405</v>
      </c>
      <c r="B62" s="16" t="s">
        <v>406</v>
      </c>
      <c r="D62" s="14">
        <v>1</v>
      </c>
      <c r="E62" s="14">
        <v>0.4159685305093529</v>
      </c>
      <c r="F62" s="14">
        <v>1.7785837750773158E-2</v>
      </c>
      <c r="G62" s="14">
        <v>5.4483225906805081E-9</v>
      </c>
      <c r="H62" s="14">
        <v>726.66513954808192</v>
      </c>
      <c r="I62" s="14">
        <v>3750.5200971308254</v>
      </c>
      <c r="J62" s="14">
        <v>0</v>
      </c>
      <c r="K62" s="14">
        <v>56.224509298502376</v>
      </c>
      <c r="L62" s="14">
        <v>1.7785837750773158E-2</v>
      </c>
      <c r="M62" s="14">
        <v>1.4593279874509377E-2</v>
      </c>
      <c r="N62" s="14">
        <v>34.11126144819562</v>
      </c>
      <c r="O62" s="14">
        <v>10876.716825371655</v>
      </c>
      <c r="P62" s="8">
        <v>34.11126144819562</v>
      </c>
      <c r="Q62" s="54">
        <v>0.36198576885204459</v>
      </c>
    </row>
    <row r="63" spans="1:17">
      <c r="A63" s="2" t="s">
        <v>407</v>
      </c>
      <c r="B63" s="16" t="s">
        <v>408</v>
      </c>
      <c r="D63" s="14">
        <v>1</v>
      </c>
      <c r="E63" s="14">
        <v>0.49700561261072884</v>
      </c>
      <c r="F63" s="14">
        <v>1.9527393264984142E-3</v>
      </c>
      <c r="G63" s="14">
        <v>1.5675909962248296E-6</v>
      </c>
      <c r="H63" s="14">
        <v>268.10460445832541</v>
      </c>
      <c r="I63" s="14">
        <v>10545.360802829271</v>
      </c>
      <c r="J63" s="14">
        <v>0</v>
      </c>
      <c r="K63" s="14">
        <v>512.10112196243108</v>
      </c>
      <c r="L63" s="14">
        <v>1.9527393264984145E-3</v>
      </c>
      <c r="M63" s="14">
        <v>1.6022226173919491E-3</v>
      </c>
      <c r="N63" s="14">
        <v>98.42773873023225</v>
      </c>
      <c r="O63" s="14">
        <v>47815.211197759527</v>
      </c>
      <c r="P63" s="8">
        <v>98.42773873023225</v>
      </c>
      <c r="Q63" s="54">
        <v>0.24641176723466787</v>
      </c>
    </row>
    <row r="64" spans="1:17">
      <c r="A64" s="2" t="s">
        <v>409</v>
      </c>
      <c r="B64" s="16" t="s">
        <v>410</v>
      </c>
      <c r="D64" s="14">
        <v>1</v>
      </c>
      <c r="E64" s="14">
        <v>0.55567353899793803</v>
      </c>
      <c r="F64" s="14">
        <v>7.4600408766810811E-4</v>
      </c>
      <c r="G64" s="14">
        <v>2.1398813556948877E-7</v>
      </c>
      <c r="H64" s="14">
        <v>159.27998538139795</v>
      </c>
      <c r="I64" s="14">
        <v>13128.598833576643</v>
      </c>
      <c r="J64" s="14">
        <v>0</v>
      </c>
      <c r="K64" s="14">
        <v>1340.4752286624102</v>
      </c>
      <c r="L64" s="14">
        <v>7.4600408766810811E-4</v>
      </c>
      <c r="M64" s="14">
        <v>6.120963539316827E-4</v>
      </c>
      <c r="N64" s="14">
        <v>123.7260790998486</v>
      </c>
      <c r="O64" s="14">
        <v>69866.879606893519</v>
      </c>
      <c r="P64" s="8">
        <v>123.72607909984862</v>
      </c>
      <c r="Q64" s="54">
        <v>0.18298621664779902</v>
      </c>
    </row>
    <row r="65" spans="1:17">
      <c r="A65" s="2" t="s">
        <v>301</v>
      </c>
      <c r="B65" s="16" t="s">
        <v>302</v>
      </c>
      <c r="D65" s="14">
        <v>1</v>
      </c>
      <c r="E65" s="14">
        <v>0.61629833907981801</v>
      </c>
      <c r="F65" s="14">
        <v>2.2927131560692684E-4</v>
      </c>
      <c r="G65" s="14">
        <v>2.8938646235468782E-8</v>
      </c>
      <c r="H65" s="14">
        <v>80.881597983693425</v>
      </c>
      <c r="I65" s="14">
        <v>15463.467781809422</v>
      </c>
      <c r="J65" s="14">
        <v>0</v>
      </c>
      <c r="K65" s="14">
        <v>4361.6446189650933</v>
      </c>
      <c r="L65" s="14">
        <v>2.2927131560692684E-4</v>
      </c>
      <c r="M65" s="14">
        <v>1.8811711445548349E-4</v>
      </c>
      <c r="N65" s="14">
        <v>147.34202382301513</v>
      </c>
      <c r="O65" s="14">
        <v>94826.379692016082</v>
      </c>
      <c r="P65" s="8">
        <v>147.34202382301515</v>
      </c>
      <c r="Q65" s="54">
        <v>0.11975865058561472</v>
      </c>
    </row>
    <row r="66" spans="1:17">
      <c r="A66" s="2" t="s">
        <v>303</v>
      </c>
      <c r="B66" s="16" t="s">
        <v>304</v>
      </c>
      <c r="D66" s="14">
        <v>1</v>
      </c>
      <c r="E66" s="14">
        <v>0.58335054234981987</v>
      </c>
      <c r="F66" s="14">
        <v>4.530507910118652E-4</v>
      </c>
      <c r="G66" s="14">
        <v>2.6625353387054663E-14</v>
      </c>
      <c r="H66" s="14">
        <v>120.10660551740237</v>
      </c>
      <c r="I66" s="14">
        <v>14227.351581339095</v>
      </c>
      <c r="J66" s="14">
        <v>0</v>
      </c>
      <c r="K66" s="14">
        <v>2207.2580378163616</v>
      </c>
      <c r="L66" s="14">
        <v>4.530507910118652E-4</v>
      </c>
      <c r="M66" s="14">
        <v>3.717281740252354E-4</v>
      </c>
      <c r="N66" s="14">
        <v>134.71756862088702</v>
      </c>
      <c r="O66" s="14">
        <v>86934.594206744601</v>
      </c>
      <c r="P66" s="8">
        <v>134.71756862088702</v>
      </c>
      <c r="Q66" s="54">
        <v>0.15393028156551586</v>
      </c>
    </row>
    <row r="67" spans="1:17">
      <c r="A67" s="2" t="s">
        <v>411</v>
      </c>
      <c r="B67" s="16" t="s">
        <v>412</v>
      </c>
      <c r="D67" s="14">
        <v>1</v>
      </c>
      <c r="E67" s="14">
        <v>0.83942458664770592</v>
      </c>
      <c r="F67" s="14">
        <v>0.83637025390737862</v>
      </c>
      <c r="G67" s="14">
        <v>5.3103979342069168E-5</v>
      </c>
      <c r="H67" s="14">
        <v>7.3875184484968139</v>
      </c>
      <c r="I67" s="14">
        <v>20.556811294512951</v>
      </c>
      <c r="J67" s="14">
        <v>0</v>
      </c>
      <c r="K67" s="14">
        <v>1.1956427136524419</v>
      </c>
      <c r="L67" s="14">
        <v>0.83637025390737862</v>
      </c>
      <c r="M67" s="14">
        <v>0.6862417933310041</v>
      </c>
      <c r="N67" s="14">
        <v>0.99599374288046283</v>
      </c>
      <c r="O67" s="14">
        <v>298.89772223842692</v>
      </c>
      <c r="P67" s="8">
        <v>0.99599374288046283</v>
      </c>
      <c r="Q67" s="54">
        <v>0.10422112318074567</v>
      </c>
    </row>
    <row r="68" spans="1:17">
      <c r="A68" s="2" t="s">
        <v>413</v>
      </c>
      <c r="B68" s="16" t="s">
        <v>414</v>
      </c>
      <c r="D68" s="14">
        <v>1</v>
      </c>
      <c r="E68" s="14">
        <v>0.78589087188204776</v>
      </c>
      <c r="F68" s="14">
        <v>0.78021883465485464</v>
      </c>
      <c r="G68" s="14">
        <v>1.1654802481315377E-4</v>
      </c>
      <c r="H68" s="14">
        <v>13.203115730676096</v>
      </c>
      <c r="I68" s="14">
        <v>35.021407868787485</v>
      </c>
      <c r="J68" s="14">
        <v>0</v>
      </c>
      <c r="K68" s="14">
        <v>1.2816916941544612</v>
      </c>
      <c r="L68" s="14">
        <v>0.78021883465485464</v>
      </c>
      <c r="M68" s="14">
        <v>0.64016955383430829</v>
      </c>
      <c r="N68" s="14">
        <v>1.0644622137018951</v>
      </c>
      <c r="O68" s="14">
        <v>349.30327542627685</v>
      </c>
      <c r="P68" s="8">
        <v>1.0644622137018951</v>
      </c>
      <c r="Q68" s="54">
        <v>0.1364374521802704</v>
      </c>
    </row>
    <row r="69" spans="1:17">
      <c r="A69" s="2" t="s">
        <v>415</v>
      </c>
      <c r="B69" s="16" t="s">
        <v>416</v>
      </c>
      <c r="D69" s="14">
        <v>1</v>
      </c>
      <c r="E69" s="14">
        <v>0.42821226184732664</v>
      </c>
      <c r="F69" s="14">
        <v>6.7523687342564793E-3</v>
      </c>
      <c r="G69" s="14">
        <v>6.6009225629062835E-5</v>
      </c>
      <c r="H69" s="14">
        <v>488.51302800506636</v>
      </c>
      <c r="I69" s="14">
        <v>6568.0026758735521</v>
      </c>
      <c r="J69" s="14">
        <v>0</v>
      </c>
      <c r="K69" s="14">
        <v>148.09617770527643</v>
      </c>
      <c r="L69" s="14">
        <v>6.7523687342564793E-3</v>
      </c>
      <c r="M69" s="14">
        <v>5.5403185464574416E-3</v>
      </c>
      <c r="N69" s="14">
        <v>60.458967050604443</v>
      </c>
      <c r="O69" s="14">
        <v>28057.797428844508</v>
      </c>
      <c r="P69" s="8">
        <v>60.458967050604443</v>
      </c>
      <c r="Q69" s="54">
        <v>0.32481293893326774</v>
      </c>
    </row>
    <row r="70" spans="1:17">
      <c r="A70" s="2" t="s">
        <v>417</v>
      </c>
      <c r="B70" s="16" t="s">
        <v>418</v>
      </c>
      <c r="D70" s="14">
        <v>1</v>
      </c>
      <c r="E70" s="14">
        <v>0.38882320234196027</v>
      </c>
      <c r="F70" s="14">
        <v>9.3826733465428677E-2</v>
      </c>
      <c r="G70" s="14">
        <v>1.2919778989251829E-4</v>
      </c>
      <c r="H70" s="14">
        <v>708.96794046268292</v>
      </c>
      <c r="I70" s="14">
        <v>1199.7306873135622</v>
      </c>
      <c r="J70" s="14">
        <v>0</v>
      </c>
      <c r="K70" s="14">
        <v>10.657943243526208</v>
      </c>
      <c r="L70" s="14">
        <v>9.3826733465428677E-2</v>
      </c>
      <c r="M70" s="14">
        <v>7.6984834808384237E-2</v>
      </c>
      <c r="N70" s="14">
        <v>10.753629151509806</v>
      </c>
      <c r="O70" s="14">
        <v>3377.1772350316546</v>
      </c>
      <c r="P70" s="8">
        <v>10.753629151509806</v>
      </c>
      <c r="Q70" s="54">
        <v>0.39453339313502966</v>
      </c>
    </row>
    <row r="71" spans="1:17">
      <c r="A71" s="2" t="s">
        <v>419</v>
      </c>
      <c r="B71" s="16" t="s">
        <v>420</v>
      </c>
      <c r="D71" s="14">
        <v>1</v>
      </c>
      <c r="E71" s="14">
        <v>0.78190584065294244</v>
      </c>
      <c r="F71" s="14">
        <v>0.77681603561567947</v>
      </c>
      <c r="G71" s="14">
        <v>2.8468636664997452E-4</v>
      </c>
      <c r="H71" s="14">
        <v>11.894280660901661</v>
      </c>
      <c r="I71" s="14">
        <v>31.783034022518983</v>
      </c>
      <c r="J71" s="14">
        <v>0</v>
      </c>
      <c r="K71" s="14">
        <v>1.2873060726757937</v>
      </c>
      <c r="L71" s="14">
        <v>0.77681603561567958</v>
      </c>
      <c r="M71" s="14">
        <v>0.63737755722266509</v>
      </c>
      <c r="N71" s="14">
        <v>1.0334164600989586</v>
      </c>
      <c r="O71" s="14">
        <v>221.19245911958109</v>
      </c>
      <c r="P71" s="8">
        <v>1.0334164600989586</v>
      </c>
      <c r="Q71" s="54">
        <v>0.12894228223048432</v>
      </c>
    </row>
    <row r="72" spans="1:17">
      <c r="A72" s="2" t="s">
        <v>421</v>
      </c>
      <c r="B72" s="16" t="s">
        <v>422</v>
      </c>
      <c r="D72" s="14">
        <v>1</v>
      </c>
      <c r="E72" s="14">
        <v>0.36750106634745755</v>
      </c>
      <c r="F72" s="14">
        <v>0.10083943725731957</v>
      </c>
      <c r="G72" s="14">
        <v>5.0366166992836569E-4</v>
      </c>
      <c r="H72" s="14">
        <v>639.60288409173654</v>
      </c>
      <c r="I72" s="14">
        <v>1096.39635782952</v>
      </c>
      <c r="J72" s="14">
        <v>0</v>
      </c>
      <c r="K72" s="14">
        <v>9.9167550632816877</v>
      </c>
      <c r="L72" s="14">
        <v>0.10083943725731957</v>
      </c>
      <c r="M72" s="14">
        <v>8.2738758269630716E-2</v>
      </c>
      <c r="N72" s="14">
        <v>9.8294996099585532</v>
      </c>
      <c r="O72" s="14">
        <v>4070.1009034955378</v>
      </c>
      <c r="P72" s="8">
        <v>9.8294996099585532</v>
      </c>
      <c r="Q72" s="54">
        <v>0.38705045663590715</v>
      </c>
    </row>
    <row r="73" spans="1:17">
      <c r="A73" s="2" t="s">
        <v>423</v>
      </c>
      <c r="B73" s="16" t="s">
        <v>424</v>
      </c>
      <c r="D73" s="14">
        <v>1</v>
      </c>
      <c r="E73" s="14">
        <v>0.46682803154520736</v>
      </c>
      <c r="F73" s="14">
        <v>0.40578025352683161</v>
      </c>
      <c r="G73" s="14">
        <v>2.2378934070707684E-4</v>
      </c>
      <c r="H73" s="14">
        <v>141.51774806805903</v>
      </c>
      <c r="I73" s="14">
        <v>300.37797137222952</v>
      </c>
      <c r="J73" s="14">
        <v>0</v>
      </c>
      <c r="K73" s="14">
        <v>2.4643880309810995</v>
      </c>
      <c r="L73" s="14">
        <v>0.40578025352683161</v>
      </c>
      <c r="M73" s="14">
        <v>0.33294269801876536</v>
      </c>
      <c r="N73" s="14">
        <v>3.0076938758559284</v>
      </c>
      <c r="O73" s="14">
        <v>1287.804286825233</v>
      </c>
      <c r="P73" s="8">
        <v>3.0076938758559284</v>
      </c>
      <c r="Q73" s="54">
        <v>0.34345360554634624</v>
      </c>
    </row>
    <row r="74" spans="1:17">
      <c r="A74" s="2" t="s">
        <v>425</v>
      </c>
      <c r="B74" s="16" t="s">
        <v>426</v>
      </c>
      <c r="D74" s="14">
        <v>1</v>
      </c>
      <c r="E74" s="14">
        <v>0.38395372938784161</v>
      </c>
      <c r="F74" s="14">
        <v>9.6171909511369363E-2</v>
      </c>
      <c r="G74" s="14">
        <v>1.9581985597853603E-4</v>
      </c>
      <c r="H74" s="14">
        <v>691.23900937141002</v>
      </c>
      <c r="I74" s="14">
        <v>1174.0468020115588</v>
      </c>
      <c r="J74" s="14">
        <v>0</v>
      </c>
      <c r="K74" s="14">
        <v>10.398046634207475</v>
      </c>
      <c r="L74" s="14">
        <v>9.6171909511369363E-2</v>
      </c>
      <c r="M74" s="14">
        <v>7.8909051754078571E-2</v>
      </c>
      <c r="N74" s="14">
        <v>10.523793722946508</v>
      </c>
      <c r="O74" s="14">
        <v>5558.457368585885</v>
      </c>
      <c r="P74" s="8">
        <v>10.523793722946508</v>
      </c>
      <c r="Q74" s="54">
        <v>0.39399019134432645</v>
      </c>
    </row>
    <row r="75" spans="1:17">
      <c r="A75" s="2" t="s">
        <v>427</v>
      </c>
      <c r="B75" s="16" t="s">
        <v>428</v>
      </c>
      <c r="D75" s="14">
        <v>1</v>
      </c>
      <c r="E75" s="14">
        <v>0.97289223708123207</v>
      </c>
      <c r="F75" s="14">
        <v>4.0619770949480265E-2</v>
      </c>
      <c r="G75" s="14">
        <v>5.7301493369764462E-11</v>
      </c>
      <c r="H75" s="14">
        <v>2648.7286562261334</v>
      </c>
      <c r="I75" s="14">
        <v>9.4634457014724855</v>
      </c>
      <c r="J75" s="14">
        <v>0</v>
      </c>
      <c r="K75" s="14">
        <v>24.6185533946935</v>
      </c>
      <c r="L75" s="14">
        <v>4.0619770949480272E-2</v>
      </c>
      <c r="M75" s="14">
        <v>3.3328522064048564E-2</v>
      </c>
      <c r="N75" s="14">
        <v>18.803419315052164</v>
      </c>
      <c r="O75" s="14">
        <v>10606.820801427777</v>
      </c>
      <c r="P75" s="8">
        <v>18.803419315052167</v>
      </c>
      <c r="Q75" s="54">
        <v>5.2850523637827684E-4</v>
      </c>
    </row>
    <row r="76" spans="1:17">
      <c r="A76" s="2" t="s">
        <v>429</v>
      </c>
      <c r="B76" s="16" t="s">
        <v>430</v>
      </c>
      <c r="D76" s="14">
        <v>1</v>
      </c>
      <c r="E76" s="14">
        <v>0.97289224197253832</v>
      </c>
      <c r="F76" s="14">
        <v>4.0619771153699948E-2</v>
      </c>
      <c r="G76" s="14">
        <v>1.4393484442439339E-12</v>
      </c>
      <c r="H76" s="14">
        <v>2648.7286695428634</v>
      </c>
      <c r="I76" s="14">
        <v>9.463445749050841</v>
      </c>
      <c r="J76" s="14">
        <v>0</v>
      </c>
      <c r="K76" s="14">
        <v>24.618553270921431</v>
      </c>
      <c r="L76" s="14">
        <v>4.0619771153699955E-2</v>
      </c>
      <c r="M76" s="14">
        <v>3.3328522231610813E-2</v>
      </c>
      <c r="N76" s="14">
        <v>18.803419409588109</v>
      </c>
      <c r="O76" s="14">
        <v>9404.1541493173008</v>
      </c>
      <c r="P76" s="8">
        <v>18.803419409588113</v>
      </c>
      <c r="Q76" s="54">
        <v>5.2850523903538618E-4</v>
      </c>
    </row>
    <row r="77" spans="1:17">
      <c r="A77" s="2" t="s">
        <v>431</v>
      </c>
      <c r="B77" s="16" t="s">
        <v>432</v>
      </c>
      <c r="D77" s="14">
        <v>1</v>
      </c>
      <c r="E77" s="14">
        <v>0.35797090638519607</v>
      </c>
      <c r="F77" s="14">
        <v>0.22368971875758775</v>
      </c>
      <c r="G77" s="14">
        <v>5.8150641643883976E-4</v>
      </c>
      <c r="H77" s="14">
        <v>316.46524631871415</v>
      </c>
      <c r="I77" s="14">
        <v>605.87522533664287</v>
      </c>
      <c r="J77" s="14">
        <v>0</v>
      </c>
      <c r="K77" s="14">
        <v>4.470478149618037</v>
      </c>
      <c r="L77" s="14">
        <v>0.22368971875758775</v>
      </c>
      <c r="M77" s="14">
        <v>0.18353741424060074</v>
      </c>
      <c r="N77" s="14">
        <v>5.5370660613176286</v>
      </c>
      <c r="O77" s="14">
        <v>2015.8242702832958</v>
      </c>
      <c r="P77" s="8">
        <v>5.5370660613176286</v>
      </c>
      <c r="Q77" s="54">
        <v>0.39281059596338797</v>
      </c>
    </row>
    <row r="78" spans="1:17">
      <c r="A78" s="2" t="s">
        <v>433</v>
      </c>
      <c r="B78" s="16" t="s">
        <v>434</v>
      </c>
      <c r="D78" s="14">
        <v>1</v>
      </c>
      <c r="E78" s="14">
        <v>0.63027323528607626</v>
      </c>
      <c r="F78" s="14">
        <v>0.61191342870078314</v>
      </c>
      <c r="G78" s="14">
        <v>4.3086227651376524E-4</v>
      </c>
      <c r="H78" s="14">
        <v>42.005870009468239</v>
      </c>
      <c r="I78" s="14">
        <v>100.50025295280618</v>
      </c>
      <c r="J78" s="14">
        <v>0</v>
      </c>
      <c r="K78" s="14">
        <v>1.6342180986666752</v>
      </c>
      <c r="L78" s="14">
        <v>0.61191342870078314</v>
      </c>
      <c r="M78" s="14">
        <v>0.50207496824899256</v>
      </c>
      <c r="N78" s="14">
        <v>1.4639514450448075</v>
      </c>
      <c r="O78" s="14">
        <v>386.5563790640814</v>
      </c>
      <c r="P78" s="8">
        <v>1.4639514450448075</v>
      </c>
      <c r="Q78" s="54">
        <v>0.22200724876811989</v>
      </c>
    </row>
    <row r="79" spans="1:17">
      <c r="A79" s="2" t="s">
        <v>435</v>
      </c>
      <c r="B79" s="16" t="s">
        <v>436</v>
      </c>
      <c r="D79" s="14">
        <v>1</v>
      </c>
      <c r="E79" s="14">
        <v>0.53953633118244837</v>
      </c>
      <c r="F79" s="14">
        <v>0.50000542919697977</v>
      </c>
      <c r="G79" s="14">
        <v>1.1720960645103084E-4</v>
      </c>
      <c r="H79" s="14">
        <v>91.01955754994178</v>
      </c>
      <c r="I79" s="14">
        <v>202.67113088461107</v>
      </c>
      <c r="J79" s="14">
        <v>0</v>
      </c>
      <c r="K79" s="14">
        <v>1.9999782834478874</v>
      </c>
      <c r="L79" s="14">
        <v>0.50000542919697988</v>
      </c>
      <c r="M79" s="14">
        <v>0.41025445465612198</v>
      </c>
      <c r="N79" s="14">
        <v>2.2432651139110948</v>
      </c>
      <c r="O79" s="14">
        <v>897.55280472696813</v>
      </c>
      <c r="P79" s="8">
        <v>2.2432651139110948</v>
      </c>
      <c r="Q79" s="54">
        <v>0.30157260732730123</v>
      </c>
    </row>
    <row r="80" spans="1:17">
      <c r="A80" s="2" t="s">
        <v>437</v>
      </c>
      <c r="B80" s="16" t="s">
        <v>438</v>
      </c>
      <c r="D80" s="14">
        <v>1</v>
      </c>
      <c r="E80" s="14">
        <v>0.94864559414292637</v>
      </c>
      <c r="F80" s="14">
        <v>2.7184113645922187E-2</v>
      </c>
      <c r="G80" s="14">
        <v>2.0250868219219478E-11</v>
      </c>
      <c r="H80" s="14">
        <v>2617.0690241870411</v>
      </c>
      <c r="I80" s="14">
        <v>17.960854786826204</v>
      </c>
      <c r="J80" s="14">
        <v>0</v>
      </c>
      <c r="K80" s="14">
        <v>36.786191119753767</v>
      </c>
      <c r="L80" s="14">
        <v>2.7184113645922187E-2</v>
      </c>
      <c r="M80" s="14">
        <v>2.2304565246479155E-2</v>
      </c>
      <c r="N80" s="14">
        <v>36.008902898912517</v>
      </c>
      <c r="O80" s="14">
        <v>18511.456802272947</v>
      </c>
      <c r="P80" s="8">
        <v>36.008902898912517</v>
      </c>
      <c r="Q80" s="54">
        <v>6.3580948381221553E-4</v>
      </c>
    </row>
    <row r="81" spans="1:17">
      <c r="A81" s="2" t="s">
        <v>440</v>
      </c>
      <c r="B81" s="16" t="s">
        <v>441</v>
      </c>
      <c r="D81" s="14">
        <v>1</v>
      </c>
      <c r="E81" s="14">
        <v>0.96977158851593837</v>
      </c>
      <c r="F81" s="14">
        <v>0.97002341010287618</v>
      </c>
      <c r="G81" s="14">
        <v>2.0469663489310691E-15</v>
      </c>
      <c r="H81" s="14">
        <v>0.25851289752728379</v>
      </c>
      <c r="I81" s="14">
        <v>0.93097793133169393</v>
      </c>
      <c r="J81" s="14">
        <v>0</v>
      </c>
      <c r="K81" s="14">
        <v>1.0309029551090365</v>
      </c>
      <c r="L81" s="14">
        <v>0.97002341010287629</v>
      </c>
      <c r="M81" s="14">
        <v>0.79590420798940997</v>
      </c>
      <c r="N81" s="14">
        <v>0.9613258522510042</v>
      </c>
      <c r="O81" s="14">
        <v>266.53720579511344</v>
      </c>
      <c r="P81" s="8">
        <v>0.96132585225100431</v>
      </c>
      <c r="Q81" s="54">
        <v>1.9495724821239971E-2</v>
      </c>
    </row>
    <row r="82" spans="1:17">
      <c r="A82" s="2" t="s">
        <v>442</v>
      </c>
      <c r="B82" s="16" t="s">
        <v>443</v>
      </c>
      <c r="D82" s="14">
        <v>1</v>
      </c>
      <c r="E82" s="14">
        <v>0.77248428522868096</v>
      </c>
      <c r="F82" s="14">
        <v>0.76528603804717144</v>
      </c>
      <c r="G82" s="14">
        <v>9.7434391622505093E-7</v>
      </c>
      <c r="H82" s="14">
        <v>16.629676086289383</v>
      </c>
      <c r="I82" s="14">
        <v>43.305290957414392</v>
      </c>
      <c r="J82" s="14">
        <v>0</v>
      </c>
      <c r="K82" s="14">
        <v>1.3067009592279548</v>
      </c>
      <c r="L82" s="14">
        <v>0.76528603804717144</v>
      </c>
      <c r="M82" s="14">
        <v>0.6279171942177042</v>
      </c>
      <c r="N82" s="14">
        <v>1.1208103931689364</v>
      </c>
      <c r="O82" s="14">
        <v>185.14666884757659</v>
      </c>
      <c r="P82" s="8">
        <v>1.1208103931689364</v>
      </c>
      <c r="Q82" s="54">
        <v>0.15245475025618499</v>
      </c>
    </row>
    <row r="83" spans="1:17">
      <c r="A83" s="2" t="s">
        <v>444</v>
      </c>
      <c r="B83" s="16" t="s">
        <v>445</v>
      </c>
      <c r="D83" s="14">
        <v>1</v>
      </c>
      <c r="E83" s="14">
        <v>0.3894178284759125</v>
      </c>
      <c r="F83" s="14">
        <v>0.26719158523183778</v>
      </c>
      <c r="G83" s="14">
        <v>1.1777992252331492E-5</v>
      </c>
      <c r="H83" s="14">
        <v>287.10633586363406</v>
      </c>
      <c r="I83" s="14">
        <v>560.91873687896043</v>
      </c>
      <c r="J83" s="14">
        <v>0</v>
      </c>
      <c r="K83" s="14">
        <v>3.7426328345345019</v>
      </c>
      <c r="L83" s="14">
        <v>0.26719158523183778</v>
      </c>
      <c r="M83" s="14">
        <v>0.21923069568272291</v>
      </c>
      <c r="N83" s="14">
        <v>5.1752116669996777</v>
      </c>
      <c r="O83" s="14">
        <v>932.78015086002188</v>
      </c>
      <c r="P83" s="8">
        <v>5.1752116669996777</v>
      </c>
      <c r="Q83" s="54">
        <v>0.40653687772411518</v>
      </c>
    </row>
    <row r="84" spans="1:17">
      <c r="A84" s="2" t="s">
        <v>446</v>
      </c>
      <c r="B84" s="16" t="s">
        <v>447</v>
      </c>
      <c r="D84" s="14">
        <v>1</v>
      </c>
      <c r="E84" s="14">
        <v>0.93652678238030118</v>
      </c>
      <c r="F84" s="14">
        <v>0.93634121188253916</v>
      </c>
      <c r="G84" s="14">
        <v>6.3016260303186629E-17</v>
      </c>
      <c r="H84" s="14">
        <v>1.1615131706721784</v>
      </c>
      <c r="I84" s="14">
        <v>3.7349200482356739</v>
      </c>
      <c r="J84" s="14">
        <v>0</v>
      </c>
      <c r="K84" s="14">
        <v>1.067986741702283</v>
      </c>
      <c r="L84" s="14">
        <v>0.93634121188253916</v>
      </c>
      <c r="M84" s="14">
        <v>0.76826796434962341</v>
      </c>
      <c r="N84" s="14">
        <v>0.9516556749200944</v>
      </c>
      <c r="O84" s="14">
        <v>370.08937541967549</v>
      </c>
      <c r="P84" s="8">
        <v>0.9516556749200944</v>
      </c>
      <c r="Q84" s="54">
        <v>4.1945107280493318E-2</v>
      </c>
    </row>
    <row r="85" spans="1:17">
      <c r="A85" s="2" t="s">
        <v>448</v>
      </c>
      <c r="B85" s="16" t="s">
        <v>449</v>
      </c>
      <c r="D85" s="14">
        <v>1</v>
      </c>
      <c r="E85" s="14">
        <v>0.98660433972129813</v>
      </c>
      <c r="F85" s="14">
        <v>0.98696504459992307</v>
      </c>
      <c r="G85" s="14">
        <v>4.4108293850786343E-10</v>
      </c>
      <c r="H85" s="14">
        <v>4.74342208732541E-2</v>
      </c>
      <c r="I85" s="14">
        <v>0.19379784447377577</v>
      </c>
      <c r="J85" s="14">
        <v>0</v>
      </c>
      <c r="K85" s="14">
        <v>1.0132071094831538</v>
      </c>
      <c r="L85" s="14">
        <v>0.98696504459992307</v>
      </c>
      <c r="M85" s="14">
        <v>0.80980481909423685</v>
      </c>
      <c r="N85" s="14">
        <v>0.97189015639706133</v>
      </c>
      <c r="O85" s="14">
        <v>174.20159163260928</v>
      </c>
      <c r="P85" s="8">
        <v>0.97189015639706133</v>
      </c>
      <c r="Q85" s="54">
        <v>8.1236076945399305E-3</v>
      </c>
    </row>
    <row r="86" spans="1:17">
      <c r="A86" s="2" t="s">
        <v>450</v>
      </c>
      <c r="B86" s="16" t="s">
        <v>451</v>
      </c>
      <c r="D86" s="14">
        <v>1</v>
      </c>
      <c r="E86" s="14">
        <v>0.93802670888153872</v>
      </c>
      <c r="F86" s="14">
        <v>0.93786723975583253</v>
      </c>
      <c r="G86" s="14">
        <v>1.5850386391240719E-10</v>
      </c>
      <c r="H86" s="14">
        <v>1.1066527459263316</v>
      </c>
      <c r="I86" s="14">
        <v>3.5716470612074436</v>
      </c>
      <c r="J86" s="14">
        <v>0</v>
      </c>
      <c r="K86" s="14">
        <v>1.0662489930454797</v>
      </c>
      <c r="L86" s="14">
        <v>0.93786723975583253</v>
      </c>
      <c r="M86" s="14">
        <v>0.76952007021966062</v>
      </c>
      <c r="N86" s="14">
        <v>0.9517849547902002</v>
      </c>
      <c r="O86" s="14">
        <v>248.50153384617334</v>
      </c>
      <c r="P86" s="8">
        <v>0.9517849547902002</v>
      </c>
      <c r="Q86" s="54">
        <v>4.0932525093574854E-2</v>
      </c>
    </row>
    <row r="87" spans="1:17">
      <c r="A87" s="2" t="s">
        <v>452</v>
      </c>
      <c r="B87" s="16" t="s">
        <v>453</v>
      </c>
      <c r="D87" s="14">
        <v>1</v>
      </c>
      <c r="E87" s="14">
        <v>0.47660752325437422</v>
      </c>
      <c r="F87" s="14">
        <v>2.7371254923549389E-3</v>
      </c>
      <c r="G87" s="14">
        <v>2.8232100879595125E-9</v>
      </c>
      <c r="H87" s="14">
        <v>318.79735501286729</v>
      </c>
      <c r="I87" s="14">
        <v>9518.5737740866844</v>
      </c>
      <c r="J87" s="14">
        <v>0</v>
      </c>
      <c r="K87" s="14">
        <v>365.34678544812743</v>
      </c>
      <c r="L87" s="14">
        <v>2.7371254923549389E-3</v>
      </c>
      <c r="M87" s="14">
        <v>2.2458114664772274E-3</v>
      </c>
      <c r="N87" s="14">
        <v>88.526426109837374</v>
      </c>
      <c r="O87" s="14">
        <v>36853.5511895253</v>
      </c>
      <c r="P87" s="8">
        <v>88.526426109837374</v>
      </c>
      <c r="Q87" s="54">
        <v>0.26963227761948827</v>
      </c>
    </row>
    <row r="88" spans="1:17">
      <c r="A88" s="2" t="s">
        <v>454</v>
      </c>
      <c r="B88" s="16" t="s">
        <v>455</v>
      </c>
      <c r="D88" s="14">
        <v>1</v>
      </c>
      <c r="E88" s="14">
        <v>0.69377724453510525</v>
      </c>
      <c r="F88" s="14">
        <v>0.67941352471175198</v>
      </c>
      <c r="G88" s="14">
        <v>4.9996853758327047E-7</v>
      </c>
      <c r="H88" s="14">
        <v>32.863528260476969</v>
      </c>
      <c r="I88" s="14">
        <v>80.681016017386995</v>
      </c>
      <c r="J88" s="14">
        <v>0</v>
      </c>
      <c r="K88" s="14">
        <v>1.4718576590365346</v>
      </c>
      <c r="L88" s="14">
        <v>0.67941352471175198</v>
      </c>
      <c r="M88" s="14">
        <v>0.55745879702599255</v>
      </c>
      <c r="N88" s="14">
        <v>1.3584551236690243</v>
      </c>
      <c r="O88" s="14">
        <v>259.83171150417428</v>
      </c>
      <c r="P88" s="8">
        <v>1.3584551236690243</v>
      </c>
      <c r="Q88" s="54">
        <v>0.2053862467582786</v>
      </c>
    </row>
    <row r="89" spans="1:17">
      <c r="A89" s="2" t="s">
        <v>456</v>
      </c>
      <c r="B89" s="16" t="s">
        <v>457</v>
      </c>
      <c r="D89" s="14">
        <v>1</v>
      </c>
      <c r="E89" s="14">
        <v>0.75883960237403647</v>
      </c>
      <c r="F89" s="14">
        <v>0.75060976278397762</v>
      </c>
      <c r="G89" s="14">
        <v>3.2408781024771492E-19</v>
      </c>
      <c r="H89" s="14">
        <v>18.951090638825082</v>
      </c>
      <c r="I89" s="14">
        <v>48.808041305745576</v>
      </c>
      <c r="J89" s="14">
        <v>0</v>
      </c>
      <c r="K89" s="14">
        <v>1.3322501912192632</v>
      </c>
      <c r="L89" s="14">
        <v>0.75060976278397762</v>
      </c>
      <c r="M89" s="14">
        <v>0.61587531036425369</v>
      </c>
      <c r="N89" s="14">
        <v>1.1536598785836714</v>
      </c>
      <c r="O89" s="14">
        <v>452.76535594894762</v>
      </c>
      <c r="P89" s="8">
        <v>1.1536598785836714</v>
      </c>
      <c r="Q89" s="54">
        <v>0.16169305981226376</v>
      </c>
    </row>
    <row r="90" spans="1:17">
      <c r="A90" s="2" t="s">
        <v>458</v>
      </c>
      <c r="B90" s="16" t="s">
        <v>459</v>
      </c>
      <c r="D90" s="14">
        <v>1</v>
      </c>
      <c r="E90" s="14">
        <v>0.88003778183016912</v>
      </c>
      <c r="F90" s="14">
        <v>0.87841170858860806</v>
      </c>
      <c r="G90" s="14">
        <v>4.7313666426262121E-31</v>
      </c>
      <c r="H90" s="14">
        <v>4.2575339129233853</v>
      </c>
      <c r="I90" s="14">
        <v>12.382698160898563</v>
      </c>
      <c r="J90" s="14">
        <v>0</v>
      </c>
      <c r="K90" s="14">
        <v>1.1384183409926927</v>
      </c>
      <c r="L90" s="14">
        <v>0.87841170858860818</v>
      </c>
      <c r="M90" s="14">
        <v>0.72073680689695296</v>
      </c>
      <c r="N90" s="14">
        <v>0.96778030496697032</v>
      </c>
      <c r="O90" s="14">
        <v>755.77835136090584</v>
      </c>
      <c r="P90" s="8">
        <v>0.96778030496697032</v>
      </c>
      <c r="Q90" s="54">
        <v>8.0059944876441982E-2</v>
      </c>
    </row>
    <row r="91" spans="1:17">
      <c r="A91" s="2" t="s">
        <v>460</v>
      </c>
      <c r="B91" s="16" t="s">
        <v>461</v>
      </c>
      <c r="D91" s="14">
        <v>1</v>
      </c>
      <c r="E91" s="14">
        <v>0.41503277013516271</v>
      </c>
      <c r="F91" s="14">
        <v>1.5499962606369544E-2</v>
      </c>
      <c r="G91" s="14">
        <v>2.5534016702090675E-9</v>
      </c>
      <c r="H91" s="14">
        <v>690.54287793897163</v>
      </c>
      <c r="I91" s="14">
        <v>4120.4801015833646</v>
      </c>
      <c r="J91" s="14">
        <v>0</v>
      </c>
      <c r="K91" s="14">
        <v>64.516284677297264</v>
      </c>
      <c r="L91" s="14">
        <v>1.5499962606369544E-2</v>
      </c>
      <c r="M91" s="14">
        <v>1.2717719318526211E-2</v>
      </c>
      <c r="N91" s="14">
        <v>37.542601928528164</v>
      </c>
      <c r="O91" s="14">
        <v>11503.053230901029</v>
      </c>
      <c r="P91" s="8">
        <v>37.542601928528171</v>
      </c>
      <c r="Q91" s="54">
        <v>0.35937496621715453</v>
      </c>
    </row>
    <row r="92" spans="1:17">
      <c r="A92" s="2" t="s">
        <v>462</v>
      </c>
      <c r="B92" s="16" t="s">
        <v>463</v>
      </c>
      <c r="D92" s="14">
        <v>1</v>
      </c>
      <c r="E92" s="14">
        <v>0.41978401697188239</v>
      </c>
      <c r="F92" s="14">
        <v>0.32640922543076722</v>
      </c>
      <c r="G92" s="14">
        <v>9.0546342567455666E-11</v>
      </c>
      <c r="H92" s="14">
        <v>218.09335070895963</v>
      </c>
      <c r="I92" s="14">
        <v>441.2651157925464</v>
      </c>
      <c r="J92" s="14">
        <v>0</v>
      </c>
      <c r="K92" s="14">
        <v>3.0636388989321142</v>
      </c>
      <c r="L92" s="14">
        <v>0.32640922543076722</v>
      </c>
      <c r="M92" s="14">
        <v>0.26781876946594452</v>
      </c>
      <c r="N92" s="14">
        <v>4.1718470850537859</v>
      </c>
      <c r="O92" s="14">
        <v>1405.1615351878161</v>
      </c>
      <c r="P92" s="8">
        <v>4.1718470850537859</v>
      </c>
      <c r="Q92" s="54">
        <v>0.38770338754791323</v>
      </c>
    </row>
    <row r="93" spans="1:17">
      <c r="A93" s="2" t="s">
        <v>464</v>
      </c>
      <c r="B93" s="16" t="s">
        <v>465</v>
      </c>
      <c r="D93" s="14">
        <v>1</v>
      </c>
      <c r="E93" s="14">
        <v>0.37363575160195039</v>
      </c>
      <c r="F93" s="14">
        <v>0.12598866609385828</v>
      </c>
      <c r="G93" s="14">
        <v>7.0488775384293187E-6</v>
      </c>
      <c r="H93" s="14">
        <v>591.95879555452325</v>
      </c>
      <c r="I93" s="14">
        <v>1037.4057447836492</v>
      </c>
      <c r="J93" s="14">
        <v>0</v>
      </c>
      <c r="K93" s="14">
        <v>7.9372219026037314</v>
      </c>
      <c r="L93" s="14">
        <v>0.12598866609385828</v>
      </c>
      <c r="M93" s="14">
        <v>0.10337370053001071</v>
      </c>
      <c r="N93" s="14">
        <v>9.3100629844634</v>
      </c>
      <c r="O93" s="14">
        <v>4330.0171934440823</v>
      </c>
      <c r="P93" s="8">
        <v>9.3100629844634</v>
      </c>
      <c r="Q93" s="54">
        <v>0.41356963883790604</v>
      </c>
    </row>
    <row r="94" spans="1:17">
      <c r="A94" s="2" t="s">
        <v>466</v>
      </c>
      <c r="B94" s="16" t="s">
        <v>467</v>
      </c>
      <c r="D94" s="14">
        <v>1</v>
      </c>
      <c r="E94" s="14">
        <v>0.99839928630837782</v>
      </c>
      <c r="F94" s="14">
        <v>0.98723624103010921</v>
      </c>
      <c r="G94" s="14">
        <v>2.240048948688145E-20</v>
      </c>
      <c r="H94" s="14">
        <v>32.817167200631708</v>
      </c>
      <c r="I94" s="14">
        <v>3.9930173723934495E-2</v>
      </c>
      <c r="J94" s="14">
        <v>0</v>
      </c>
      <c r="K94" s="14">
        <v>1.0129287787860914</v>
      </c>
      <c r="L94" s="14">
        <v>0.98723624103010921</v>
      </c>
      <c r="M94" s="14">
        <v>0.81002733576520458</v>
      </c>
      <c r="N94" s="14">
        <v>1.018148164785621</v>
      </c>
      <c r="O94" s="14">
        <v>336.74232402119628</v>
      </c>
      <c r="P94" s="8">
        <v>1.018148164785621</v>
      </c>
      <c r="Q94" s="54">
        <v>1.1833172612258002E-4</v>
      </c>
    </row>
    <row r="95" spans="1:17">
      <c r="A95" s="2" t="s">
        <v>468</v>
      </c>
      <c r="B95" s="16" t="s">
        <v>469</v>
      </c>
      <c r="D95" s="14">
        <v>1</v>
      </c>
      <c r="E95" s="14">
        <v>0.44105841703665272</v>
      </c>
      <c r="F95" s="14">
        <v>3.6627675821737454E-2</v>
      </c>
      <c r="G95" s="14">
        <v>1.0390533560694212E-19</v>
      </c>
      <c r="H95" s="14">
        <v>921.52975322224347</v>
      </c>
      <c r="I95" s="14">
        <v>2110.8945203774601</v>
      </c>
      <c r="J95" s="14">
        <v>0</v>
      </c>
      <c r="K95" s="14">
        <v>27.301759600223644</v>
      </c>
      <c r="L95" s="14">
        <v>3.6627675821737454E-2</v>
      </c>
      <c r="M95" s="14">
        <v>3.0053008011735584E-2</v>
      </c>
      <c r="N95" s="14">
        <v>19.024192255853478</v>
      </c>
      <c r="O95" s="14">
        <v>9397.9509743916187</v>
      </c>
      <c r="P95" s="8">
        <v>19.024192255853482</v>
      </c>
      <c r="Q95" s="54">
        <v>0.35930770681847785</v>
      </c>
    </row>
    <row r="96" spans="1:17">
      <c r="A96" s="2" t="s">
        <v>470</v>
      </c>
      <c r="B96" s="164">
        <v>354656</v>
      </c>
      <c r="D96" s="14">
        <v>1</v>
      </c>
      <c r="E96" s="14">
        <v>0.9686556189749933</v>
      </c>
      <c r="F96" s="14">
        <v>0.96889752784016303</v>
      </c>
      <c r="G96" s="14">
        <v>4.0811855047051412E-12</v>
      </c>
      <c r="H96" s="14">
        <v>0.27832860814083193</v>
      </c>
      <c r="I96" s="14">
        <v>0.99681604198040585</v>
      </c>
      <c r="J96" s="14">
        <v>0</v>
      </c>
      <c r="K96" s="14">
        <v>1.0321008891716026</v>
      </c>
      <c r="L96" s="14">
        <v>0.96889752784016314</v>
      </c>
      <c r="M96" s="14">
        <v>0.79498042159285387</v>
      </c>
      <c r="N96" s="14">
        <v>0.96076574696283001</v>
      </c>
      <c r="O96" s="14">
        <v>189.45339764360045</v>
      </c>
      <c r="P96" s="8">
        <v>0.96076574696283001</v>
      </c>
      <c r="Q96" s="54">
        <v>2.0249533313067471E-2</v>
      </c>
    </row>
    <row r="97" spans="1:17">
      <c r="A97" s="2" t="s">
        <v>472</v>
      </c>
      <c r="B97" s="16" t="s">
        <v>473</v>
      </c>
      <c r="D97" s="14">
        <v>1</v>
      </c>
      <c r="E97" s="14">
        <v>0.93576390031386547</v>
      </c>
      <c r="F97" s="14">
        <v>0.9355648210606986</v>
      </c>
      <c r="G97" s="14">
        <v>6.2972708189191077E-12</v>
      </c>
      <c r="H97" s="14">
        <v>1.1899367656220095</v>
      </c>
      <c r="I97" s="14">
        <v>3.8192760892815825</v>
      </c>
      <c r="J97" s="14">
        <v>0</v>
      </c>
      <c r="K97" s="14">
        <v>1.0688730246037339</v>
      </c>
      <c r="L97" s="14">
        <v>0.9355648210606986</v>
      </c>
      <c r="M97" s="14">
        <v>0.76763093568030316</v>
      </c>
      <c r="N97" s="14">
        <v>0.95160091910976841</v>
      </c>
      <c r="O97" s="14">
        <v>152.4274352230027</v>
      </c>
      <c r="P97" s="8">
        <v>0.95160091910976852</v>
      </c>
      <c r="Q97" s="54">
        <v>4.2460104037022904E-2</v>
      </c>
    </row>
    <row r="98" spans="1:17">
      <c r="A98" s="2" t="s">
        <v>474</v>
      </c>
      <c r="B98" s="16" t="s">
        <v>475</v>
      </c>
      <c r="D98" s="14">
        <v>1</v>
      </c>
      <c r="E98" s="14">
        <v>0.41593636209007129</v>
      </c>
      <c r="F98" s="14">
        <v>7.4863910097017247E-2</v>
      </c>
      <c r="G98" s="14">
        <v>2.1091185626771048E-21</v>
      </c>
      <c r="H98" s="14">
        <v>823.13772525441198</v>
      </c>
      <c r="I98" s="14">
        <v>1354.9699917435241</v>
      </c>
      <c r="J98" s="14">
        <v>0</v>
      </c>
      <c r="K98" s="14">
        <v>13.357571074020649</v>
      </c>
      <c r="L98" s="14">
        <v>7.4863910097017247E-2</v>
      </c>
      <c r="M98" s="14">
        <v>6.1425838234602646E-2</v>
      </c>
      <c r="N98" s="14">
        <v>12.148355513653819</v>
      </c>
      <c r="O98" s="14">
        <v>6456.0005706210486</v>
      </c>
      <c r="P98" s="8">
        <v>12.14835551365382</v>
      </c>
      <c r="Q98" s="54">
        <v>0.38276275962879902</v>
      </c>
    </row>
    <row r="99" spans="1:17">
      <c r="A99" s="2" t="s">
        <v>476</v>
      </c>
      <c r="B99" s="16" t="s">
        <v>477</v>
      </c>
      <c r="D99" s="14">
        <v>1</v>
      </c>
      <c r="E99" s="14">
        <v>0.99030282838013439</v>
      </c>
      <c r="F99" s="14">
        <v>0.9906769999452244</v>
      </c>
      <c r="G99" s="14">
        <v>1.9250435901427899E-9</v>
      </c>
      <c r="H99" s="14">
        <v>2.3345978450426675E-2</v>
      </c>
      <c r="I99" s="14">
        <v>0.10052388185842981</v>
      </c>
      <c r="J99" s="14">
        <v>0</v>
      </c>
      <c r="K99" s="14">
        <v>1.0094107363502849</v>
      </c>
      <c r="L99" s="14">
        <v>0.9906769999452244</v>
      </c>
      <c r="M99" s="14">
        <v>0.81285047845505665</v>
      </c>
      <c r="N99" s="14">
        <v>0.97477659657868299</v>
      </c>
      <c r="O99" s="14">
        <v>125.90214521410269</v>
      </c>
      <c r="P99" s="8">
        <v>0.97477659657868299</v>
      </c>
      <c r="Q99" s="54">
        <v>5.6243100132443453E-3</v>
      </c>
    </row>
    <row r="100" spans="1:17">
      <c r="A100" s="2" t="s">
        <v>478</v>
      </c>
      <c r="B100" s="16" t="s">
        <v>479</v>
      </c>
      <c r="D100" s="14">
        <v>1</v>
      </c>
      <c r="E100" s="14">
        <v>0.57064480110972571</v>
      </c>
      <c r="F100" s="14">
        <v>0.53669607563793464</v>
      </c>
      <c r="G100" s="14">
        <v>7.3990661043699862E-13</v>
      </c>
      <c r="H100" s="14">
        <v>78.009666222770505</v>
      </c>
      <c r="I100" s="14">
        <v>176.60605542363541</v>
      </c>
      <c r="J100" s="14">
        <v>0</v>
      </c>
      <c r="K100" s="14">
        <v>1.8632519323182437</v>
      </c>
      <c r="L100" s="14">
        <v>0.53669607563793464</v>
      </c>
      <c r="M100" s="14">
        <v>0.44035913006092542</v>
      </c>
      <c r="N100" s="14">
        <v>2.0515052359939907</v>
      </c>
      <c r="O100" s="14">
        <v>615.04126975099848</v>
      </c>
      <c r="P100" s="8">
        <v>2.0515052359939911</v>
      </c>
      <c r="Q100" s="54">
        <v>0.28787608675797161</v>
      </c>
    </row>
    <row r="101" spans="1:17">
      <c r="A101" s="2" t="s">
        <v>480</v>
      </c>
      <c r="B101" s="16" t="s">
        <v>481</v>
      </c>
      <c r="D101" s="14">
        <v>1</v>
      </c>
      <c r="E101" s="14">
        <v>0.98468769877443318</v>
      </c>
      <c r="F101" s="14">
        <v>0.9850399068417115</v>
      </c>
      <c r="G101" s="14">
        <v>5.1803882908689706E-13</v>
      </c>
      <c r="H101" s="14">
        <v>6.3115180038005189E-2</v>
      </c>
      <c r="I101" s="14">
        <v>0.25245908053300592</v>
      </c>
      <c r="J101" s="14">
        <v>0</v>
      </c>
      <c r="K101" s="14">
        <v>1.0151872965291877</v>
      </c>
      <c r="L101" s="14">
        <v>0.9850399068417115</v>
      </c>
      <c r="M101" s="14">
        <v>0.80822524356362435</v>
      </c>
      <c r="N101" s="14">
        <v>0.97047894397019174</v>
      </c>
      <c r="O101" s="14">
        <v>231.12926529594088</v>
      </c>
      <c r="P101" s="8">
        <v>0.97047894397019185</v>
      </c>
      <c r="Q101" s="54">
        <v>9.4187006937349778E-3</v>
      </c>
    </row>
    <row r="102" spans="1:17">
      <c r="A102" s="2" t="s">
        <v>482</v>
      </c>
      <c r="B102" s="16" t="s">
        <v>483</v>
      </c>
      <c r="D102" s="14">
        <v>1</v>
      </c>
      <c r="E102" s="14">
        <v>0.99508716303845068</v>
      </c>
      <c r="F102" s="14">
        <v>0.99547282152645133</v>
      </c>
      <c r="G102" s="14">
        <v>3.2552016356869867E-29</v>
      </c>
      <c r="H102" s="14">
        <v>4.5034921222040772E-3</v>
      </c>
      <c r="I102" s="14">
        <v>2.1898107233933019E-2</v>
      </c>
      <c r="J102" s="14">
        <v>0</v>
      </c>
      <c r="K102" s="14">
        <v>1.0045477670265339</v>
      </c>
      <c r="L102" s="14">
        <v>0.99547282152645133</v>
      </c>
      <c r="M102" s="14">
        <v>0.8167854500624534</v>
      </c>
      <c r="N102" s="14">
        <v>0.97885321185851581</v>
      </c>
      <c r="O102" s="14">
        <v>450.69338433601644</v>
      </c>
      <c r="P102" s="8">
        <v>0.97885321185851581</v>
      </c>
      <c r="Q102" s="54">
        <v>2.3911486638395654E-3</v>
      </c>
    </row>
    <row r="103" spans="1:17">
      <c r="A103" s="2" t="s">
        <v>484</v>
      </c>
      <c r="B103" s="16" t="s">
        <v>485</v>
      </c>
      <c r="D103" s="14">
        <v>1</v>
      </c>
      <c r="E103" s="14">
        <v>0.99056764267546626</v>
      </c>
      <c r="F103" s="14">
        <v>0.9909426274661125</v>
      </c>
      <c r="G103" s="14">
        <v>2.5966116339012942E-15</v>
      </c>
      <c r="H103" s="14">
        <v>2.1937064435456319E-2</v>
      </c>
      <c r="I103" s="14">
        <v>9.489332879568893E-2</v>
      </c>
      <c r="J103" s="14">
        <v>0</v>
      </c>
      <c r="K103" s="14">
        <v>1.0091401583531103</v>
      </c>
      <c r="L103" s="14">
        <v>0.99094262746611261</v>
      </c>
      <c r="M103" s="14">
        <v>0.81306842583594541</v>
      </c>
      <c r="N103" s="14">
        <v>0.97499183418231561</v>
      </c>
      <c r="O103" s="14">
        <v>200.11707396592027</v>
      </c>
      <c r="P103" s="8">
        <v>0.97499183418231561</v>
      </c>
      <c r="Q103" s="54">
        <v>5.4454739105999914E-3</v>
      </c>
    </row>
    <row r="104" spans="1:17">
      <c r="A104" s="2" t="s">
        <v>486</v>
      </c>
      <c r="B104" s="16" t="s">
        <v>487</v>
      </c>
      <c r="D104" s="14">
        <v>1</v>
      </c>
      <c r="E104" s="14">
        <v>0.95328300983110681</v>
      </c>
      <c r="F104" s="14">
        <v>0.95335469927706684</v>
      </c>
      <c r="G104" s="14">
        <v>3.2043725248320193E-11</v>
      </c>
      <c r="H104" s="14">
        <v>0.62504964324508749</v>
      </c>
      <c r="I104" s="14">
        <v>2.1065495664948917</v>
      </c>
      <c r="J104" s="14">
        <v>0</v>
      </c>
      <c r="K104" s="14">
        <v>1.0489275405662808</v>
      </c>
      <c r="L104" s="14">
        <v>0.95335469927706695</v>
      </c>
      <c r="M104" s="14">
        <v>0.78222753075683338</v>
      </c>
      <c r="N104" s="14">
        <v>0.95473580686690729</v>
      </c>
      <c r="O104" s="14">
        <v>144.3178645660017</v>
      </c>
      <c r="P104" s="8">
        <v>0.9547358068669074</v>
      </c>
      <c r="Q104" s="54">
        <v>3.0631741079857392E-2</v>
      </c>
    </row>
    <row r="105" spans="1:17">
      <c r="A105" s="2" t="s">
        <v>488</v>
      </c>
      <c r="B105" s="16" t="s">
        <v>489</v>
      </c>
      <c r="D105" s="14">
        <v>1</v>
      </c>
      <c r="E105" s="14">
        <v>0.99438199424613549</v>
      </c>
      <c r="F105" s="14">
        <v>0.99476639679434442</v>
      </c>
      <c r="G105" s="14">
        <v>2.5888661322253303E-18</v>
      </c>
      <c r="H105" s="14">
        <v>6.3867674959698049E-3</v>
      </c>
      <c r="I105" s="14">
        <v>3.026483267337958E-2</v>
      </c>
      <c r="J105" s="14">
        <v>0</v>
      </c>
      <c r="K105" s="14">
        <v>1.0052611379139071</v>
      </c>
      <c r="L105" s="14">
        <v>0.99476639679434442</v>
      </c>
      <c r="M105" s="14">
        <v>0.81620582856975965</v>
      </c>
      <c r="N105" s="14">
        <v>0.97822620954138417</v>
      </c>
      <c r="O105" s="14">
        <v>331.97084646996416</v>
      </c>
      <c r="P105" s="8">
        <v>0.97822620954138417</v>
      </c>
      <c r="Q105" s="54">
        <v>2.8677301158418029E-3</v>
      </c>
    </row>
    <row r="106" spans="1:17">
      <c r="A106" s="2" t="s">
        <v>490</v>
      </c>
      <c r="B106" s="16" t="s">
        <v>491</v>
      </c>
      <c r="D106" s="14">
        <v>1</v>
      </c>
      <c r="E106" s="14">
        <v>0.85012603074217474</v>
      </c>
      <c r="F106" s="14">
        <v>0.84735228225633075</v>
      </c>
      <c r="G106" s="14">
        <v>1.4472797686769573E-10</v>
      </c>
      <c r="H106" s="14">
        <v>6.7721099959786981</v>
      </c>
      <c r="I106" s="14">
        <v>18.983713646673003</v>
      </c>
      <c r="J106" s="14">
        <v>0</v>
      </c>
      <c r="K106" s="14">
        <v>1.1801467004221653</v>
      </c>
      <c r="L106" s="14">
        <v>0.84735228225633075</v>
      </c>
      <c r="M106" s="14">
        <v>0.69525254759131938</v>
      </c>
      <c r="N106" s="14">
        <v>0.99337706554230587</v>
      </c>
      <c r="O106" s="14">
        <v>190.85753560264322</v>
      </c>
      <c r="P106" s="8">
        <v>0.99337706554230587</v>
      </c>
      <c r="Q106" s="54">
        <v>0.10022617912987006</v>
      </c>
    </row>
    <row r="107" spans="1:17">
      <c r="A107" s="2" t="s">
        <v>492</v>
      </c>
      <c r="B107" s="16" t="s">
        <v>493</v>
      </c>
      <c r="D107" s="14">
        <v>1</v>
      </c>
      <c r="E107" s="14">
        <v>0.43973138535622919</v>
      </c>
      <c r="F107" s="14">
        <v>6.0372589032354963E-2</v>
      </c>
      <c r="G107" s="14">
        <v>1.0750985802147793E-17</v>
      </c>
      <c r="H107" s="14">
        <v>918.79749113111416</v>
      </c>
      <c r="I107" s="14">
        <v>1476.6479656424044</v>
      </c>
      <c r="J107" s="14">
        <v>0</v>
      </c>
      <c r="K107" s="14">
        <v>16.563808443995644</v>
      </c>
      <c r="L107" s="14">
        <v>6.0372589032354963E-2</v>
      </c>
      <c r="M107" s="14">
        <v>4.9535709301047247E-2</v>
      </c>
      <c r="N107" s="14">
        <v>13.250499455722235</v>
      </c>
      <c r="O107" s="14">
        <v>6023.6770525713282</v>
      </c>
      <c r="P107" s="8">
        <v>13.250499455722236</v>
      </c>
      <c r="Q107" s="54">
        <v>0.365659592898887</v>
      </c>
    </row>
    <row r="108" spans="1:17">
      <c r="A108" s="2" t="s">
        <v>291</v>
      </c>
      <c r="B108" s="16" t="s">
        <v>494</v>
      </c>
      <c r="D108" s="14">
        <v>1</v>
      </c>
      <c r="E108" s="14">
        <v>0.61055479488354725</v>
      </c>
      <c r="F108" s="14">
        <v>0.58443840142519998</v>
      </c>
      <c r="G108" s="14">
        <v>4.0303914780597744E-12</v>
      </c>
      <c r="H108" s="14">
        <v>59.857523428853114</v>
      </c>
      <c r="I108" s="14">
        <v>139.0515758302929</v>
      </c>
      <c r="J108" s="14">
        <v>0</v>
      </c>
      <c r="K108" s="14">
        <v>1.7110443077686539</v>
      </c>
      <c r="L108" s="14">
        <v>0.58443840142519998</v>
      </c>
      <c r="M108" s="14">
        <v>0.47953170836937664</v>
      </c>
      <c r="N108" s="14">
        <v>1.7712845018531771</v>
      </c>
      <c r="O108" s="14">
        <v>546.14015045639007</v>
      </c>
      <c r="P108" s="8">
        <v>1.7712845018531773</v>
      </c>
      <c r="Q108" s="54">
        <v>0.26120164935450807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08"/>
  <sheetViews>
    <sheetView workbookViewId="0">
      <pane ySplit="1" topLeftCell="A2" activePane="bottomLeft" state="frozen"/>
      <selection pane="bottomLeft" activeCell="L108" sqref="L108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313</v>
      </c>
      <c r="B2" s="3" t="s">
        <v>314</v>
      </c>
      <c r="D2" s="20">
        <v>9.4459536060120472E-5</v>
      </c>
      <c r="E2" s="20">
        <v>0.81235226473216227</v>
      </c>
      <c r="F2" s="20">
        <v>3.8399009604091019E-3</v>
      </c>
      <c r="G2" s="20">
        <v>1.1184474365514385E-3</v>
      </c>
      <c r="H2" s="20">
        <v>0</v>
      </c>
      <c r="I2" s="20">
        <v>0.80739391633520174</v>
      </c>
      <c r="J2" s="20">
        <v>1.4610590942998535E-3</v>
      </c>
      <c r="K2" s="20">
        <v>0.1860922166374778</v>
      </c>
      <c r="L2" s="20">
        <v>0</v>
      </c>
      <c r="N2" s="102"/>
    </row>
    <row r="3" spans="1:14">
      <c r="A3" s="2" t="s">
        <v>315</v>
      </c>
      <c r="B3" s="3" t="s">
        <v>316</v>
      </c>
      <c r="D3" s="20">
        <v>1.804060091447944E-2</v>
      </c>
      <c r="E3" s="20">
        <v>0.45624932301408633</v>
      </c>
      <c r="F3" s="20">
        <v>0.12210268505759851</v>
      </c>
      <c r="G3" s="20">
        <v>0.33084210061440816</v>
      </c>
      <c r="H3" s="20">
        <v>0</v>
      </c>
      <c r="I3" s="20">
        <v>3.304537342079679E-3</v>
      </c>
      <c r="J3" s="20">
        <v>0.11310610814337914</v>
      </c>
      <c r="K3" s="20">
        <v>0.41260396792805515</v>
      </c>
      <c r="L3" s="20">
        <v>0</v>
      </c>
      <c r="N3" s="102"/>
    </row>
    <row r="4" spans="1:14">
      <c r="A4" s="2" t="s">
        <v>317</v>
      </c>
      <c r="B4" s="3" t="s">
        <v>318</v>
      </c>
      <c r="D4" s="20">
        <v>6.1068753195947177E-12</v>
      </c>
      <c r="E4" s="20">
        <v>0.53418914156351016</v>
      </c>
      <c r="F4" s="20">
        <v>3.4777092321321305E-2</v>
      </c>
      <c r="G4" s="20">
        <v>8.3021165051145041E-3</v>
      </c>
      <c r="H4" s="20">
        <v>0</v>
      </c>
      <c r="I4" s="20">
        <v>0.49110993273707437</v>
      </c>
      <c r="J4" s="20">
        <v>3.3218090341476446E-3</v>
      </c>
      <c r="K4" s="20">
        <v>0.46248904939623514</v>
      </c>
      <c r="L4" s="20">
        <v>0</v>
      </c>
      <c r="N4" s="102"/>
    </row>
    <row r="5" spans="1:14">
      <c r="A5" s="2" t="s">
        <v>307</v>
      </c>
      <c r="B5" s="3" t="s">
        <v>308</v>
      </c>
      <c r="D5" s="20">
        <v>5.5245950419822575E-4</v>
      </c>
      <c r="E5" s="20">
        <v>0.43339463181589777</v>
      </c>
      <c r="F5" s="20">
        <v>0.31115348117508645</v>
      </c>
      <c r="G5" s="20">
        <v>9.029635502565718E-2</v>
      </c>
      <c r="H5" s="20">
        <v>0</v>
      </c>
      <c r="I5" s="20">
        <v>3.1944795615154127E-2</v>
      </c>
      <c r="J5" s="20">
        <v>3.0030618267773448E-2</v>
      </c>
      <c r="K5" s="20">
        <v>0.53602229041213068</v>
      </c>
      <c r="L5" s="20">
        <v>0</v>
      </c>
      <c r="N5" s="102"/>
    </row>
    <row r="6" spans="1:14">
      <c r="A6" s="2" t="s">
        <v>319</v>
      </c>
      <c r="B6" s="3" t="s">
        <v>320</v>
      </c>
      <c r="D6" s="20">
        <v>6.469925046304768E-5</v>
      </c>
      <c r="E6" s="20">
        <v>0.50833227550309112</v>
      </c>
      <c r="F6" s="20">
        <v>8.5718283215681187E-2</v>
      </c>
      <c r="G6" s="20">
        <v>0.42098732432237851</v>
      </c>
      <c r="H6" s="20">
        <v>0</v>
      </c>
      <c r="I6" s="20">
        <v>1.6266679650314671E-3</v>
      </c>
      <c r="J6" s="20">
        <v>0.14504045948632693</v>
      </c>
      <c r="K6" s="20">
        <v>0.34656256576011879</v>
      </c>
      <c r="L6" s="20">
        <v>0</v>
      </c>
    </row>
    <row r="7" spans="1:14">
      <c r="A7" s="2" t="s">
        <v>321</v>
      </c>
      <c r="B7" s="3" t="s">
        <v>322</v>
      </c>
      <c r="D7" s="20">
        <v>8.908313670068895E-5</v>
      </c>
      <c r="E7" s="20">
        <v>0.47046895134810202</v>
      </c>
      <c r="F7" s="20">
        <v>0.118159791356223</v>
      </c>
      <c r="G7" s="20">
        <v>0.34927320614499768</v>
      </c>
      <c r="H7" s="20">
        <v>0</v>
      </c>
      <c r="I7" s="20">
        <v>3.0359538468813429E-3</v>
      </c>
      <c r="J7" s="20">
        <v>0.11954198151828627</v>
      </c>
      <c r="K7" s="20">
        <v>0.40989998399691108</v>
      </c>
      <c r="L7" s="20">
        <v>0</v>
      </c>
    </row>
    <row r="8" spans="1:14">
      <c r="A8" s="2" t="s">
        <v>323</v>
      </c>
      <c r="B8" s="3" t="s">
        <v>324</v>
      </c>
      <c r="D8" s="20">
        <v>7.8040762917328161E-4</v>
      </c>
      <c r="E8" s="20">
        <v>0.43350283057201611</v>
      </c>
      <c r="F8" s="20">
        <v>0.16679987515547406</v>
      </c>
      <c r="G8" s="20">
        <v>0.26043015931617464</v>
      </c>
      <c r="H8" s="20">
        <v>0</v>
      </c>
      <c r="I8" s="20">
        <v>6.2727961003673852E-3</v>
      </c>
      <c r="J8" s="20">
        <v>8.8403053693716011E-2</v>
      </c>
      <c r="K8" s="20">
        <v>0.4773137081050946</v>
      </c>
      <c r="L8" s="20">
        <v>0</v>
      </c>
    </row>
    <row r="9" spans="1:14">
      <c r="A9" s="2" t="s">
        <v>325</v>
      </c>
      <c r="B9" s="3" t="s">
        <v>326</v>
      </c>
      <c r="D9" s="20">
        <v>2.829525862456693E-4</v>
      </c>
      <c r="E9" s="20">
        <v>0.36569193186775351</v>
      </c>
      <c r="F9" s="20">
        <v>0.1667200695231309</v>
      </c>
      <c r="G9" s="20">
        <v>3.2740359069860829E-2</v>
      </c>
      <c r="H9" s="20">
        <v>0</v>
      </c>
      <c r="I9" s="20">
        <v>0.16623150327476177</v>
      </c>
      <c r="J9" s="20">
        <v>1.0870137597349594E-2</v>
      </c>
      <c r="K9" s="20">
        <v>0.62315497794865138</v>
      </c>
      <c r="L9" s="20">
        <v>0</v>
      </c>
    </row>
    <row r="10" spans="1:14">
      <c r="A10" s="2" t="s">
        <v>275</v>
      </c>
      <c r="B10" s="3" t="s">
        <v>276</v>
      </c>
      <c r="D10" s="20">
        <v>7.0826580347494065E-6</v>
      </c>
      <c r="E10" s="20">
        <v>0.43006844546528122</v>
      </c>
      <c r="F10" s="20">
        <v>0.30413786193877101</v>
      </c>
      <c r="G10" s="20">
        <v>9.6286642666019023E-2</v>
      </c>
      <c r="H10" s="20">
        <v>0</v>
      </c>
      <c r="I10" s="20">
        <v>2.9643940860491186E-2</v>
      </c>
      <c r="J10" s="20">
        <v>3.2052796751111723E-2</v>
      </c>
      <c r="K10" s="20">
        <v>0.53787167512557232</v>
      </c>
      <c r="L10" s="20">
        <v>0</v>
      </c>
    </row>
    <row r="11" spans="1:14">
      <c r="A11" s="2" t="s">
        <v>327</v>
      </c>
      <c r="B11" s="3" t="s">
        <v>328</v>
      </c>
      <c r="D11" s="20">
        <v>3.6753688955044542E-4</v>
      </c>
      <c r="E11" s="20">
        <v>0.42477283341779254</v>
      </c>
      <c r="F11" s="20">
        <v>0.29186038463905734</v>
      </c>
      <c r="G11" s="20">
        <v>0.10682445993366349</v>
      </c>
      <c r="H11" s="20">
        <v>0</v>
      </c>
      <c r="I11" s="20">
        <v>2.608798884507171E-2</v>
      </c>
      <c r="J11" s="20">
        <v>3.5618094537703482E-2</v>
      </c>
      <c r="K11" s="20">
        <v>0.53924153515495366</v>
      </c>
      <c r="L11" s="20">
        <v>0</v>
      </c>
    </row>
    <row r="12" spans="1:14">
      <c r="A12" s="2" t="s">
        <v>329</v>
      </c>
      <c r="B12" s="3" t="s">
        <v>330</v>
      </c>
      <c r="D12" s="20">
        <v>1.7232593344364947E-4</v>
      </c>
      <c r="E12" s="20">
        <v>0.37455989712652027</v>
      </c>
      <c r="F12" s="20">
        <v>0.21058374968047316</v>
      </c>
      <c r="G12" s="20">
        <v>3.9785095959406887E-2</v>
      </c>
      <c r="H12" s="20">
        <v>0</v>
      </c>
      <c r="I12" s="20">
        <v>0.12419105148664021</v>
      </c>
      <c r="J12" s="20">
        <v>1.3152751088040638E-2</v>
      </c>
      <c r="K12" s="20">
        <v>0.61211502585199551</v>
      </c>
      <c r="L12" s="20">
        <v>0</v>
      </c>
    </row>
    <row r="13" spans="1:14">
      <c r="A13" s="2" t="s">
        <v>277</v>
      </c>
      <c r="B13" s="3" t="s">
        <v>278</v>
      </c>
      <c r="D13" s="20">
        <v>4.4684842421230961E-4</v>
      </c>
      <c r="E13" s="20">
        <v>0.36582799611185024</v>
      </c>
      <c r="F13" s="20">
        <v>0.17062177106465432</v>
      </c>
      <c r="G13" s="20">
        <v>3.3383356555824903E-2</v>
      </c>
      <c r="H13" s="20">
        <v>0</v>
      </c>
      <c r="I13" s="20">
        <v>0.16182286849137104</v>
      </c>
      <c r="J13" s="20">
        <v>1.1077106536969417E-2</v>
      </c>
      <c r="K13" s="20">
        <v>0.62264804892696801</v>
      </c>
      <c r="L13" s="20">
        <v>0</v>
      </c>
    </row>
    <row r="14" spans="1:14">
      <c r="A14" s="2" t="s">
        <v>331</v>
      </c>
      <c r="B14" s="3" t="s">
        <v>332</v>
      </c>
      <c r="D14" s="20">
        <v>2.447183670010476E-4</v>
      </c>
      <c r="E14" s="20">
        <v>0.41558940119254728</v>
      </c>
      <c r="F14" s="20">
        <v>0.25307006745366567</v>
      </c>
      <c r="G14" s="20">
        <v>0.1452233116816822</v>
      </c>
      <c r="H14" s="20">
        <v>0</v>
      </c>
      <c r="I14" s="20">
        <v>1.7296022057199378E-2</v>
      </c>
      <c r="J14" s="20">
        <v>4.86788375045741E-2</v>
      </c>
      <c r="K14" s="20">
        <v>0.53548704293587734</v>
      </c>
      <c r="L14" s="20">
        <v>0</v>
      </c>
    </row>
    <row r="15" spans="1:14">
      <c r="A15" s="2" t="s">
        <v>333</v>
      </c>
      <c r="B15" s="3" t="s">
        <v>334</v>
      </c>
      <c r="D15" s="20">
        <v>4.0083170384431827E-7</v>
      </c>
      <c r="E15" s="20">
        <v>0.42737385886978696</v>
      </c>
      <c r="F15" s="20">
        <v>0.29808236254077825</v>
      </c>
      <c r="G15" s="20">
        <v>0.10146863896514867</v>
      </c>
      <c r="H15" s="20">
        <v>0</v>
      </c>
      <c r="I15" s="20">
        <v>2.7822857363860042E-2</v>
      </c>
      <c r="J15" s="20">
        <v>3.3804799784608652E-2</v>
      </c>
      <c r="K15" s="20">
        <v>0.5388209405139005</v>
      </c>
      <c r="L15" s="20">
        <v>0</v>
      </c>
    </row>
    <row r="16" spans="1:14">
      <c r="A16" s="2" t="s">
        <v>335</v>
      </c>
      <c r="B16" s="3" t="s">
        <v>336</v>
      </c>
      <c r="D16" s="20">
        <v>2.0199234688437003E-3</v>
      </c>
      <c r="E16" s="20">
        <v>0.4317092847225093</v>
      </c>
      <c r="F16" s="20">
        <v>0.16896981556679577</v>
      </c>
      <c r="G16" s="20">
        <v>0.25627408135180257</v>
      </c>
      <c r="H16" s="20">
        <v>0</v>
      </c>
      <c r="I16" s="20">
        <v>6.4653878039109651E-3</v>
      </c>
      <c r="J16" s="20">
        <v>8.6959880139641371E-2</v>
      </c>
      <c r="K16" s="20">
        <v>0.47931091166900563</v>
      </c>
      <c r="L16" s="20">
        <v>0</v>
      </c>
    </row>
    <row r="17" spans="1:12">
      <c r="A17" s="2" t="s">
        <v>337</v>
      </c>
      <c r="B17" s="3" t="s">
        <v>338</v>
      </c>
      <c r="D17" s="20">
        <v>1.4182073532408444E-4</v>
      </c>
      <c r="E17" s="20">
        <v>0.43234634118391474</v>
      </c>
      <c r="F17" s="20">
        <v>0.30889718296292723</v>
      </c>
      <c r="G17" s="20">
        <v>9.2280407377545046E-2</v>
      </c>
      <c r="H17" s="20">
        <v>0</v>
      </c>
      <c r="I17" s="20">
        <v>3.116875084344245E-2</v>
      </c>
      <c r="J17" s="20">
        <v>3.0699939372610171E-2</v>
      </c>
      <c r="K17" s="20">
        <v>0.53681189870815105</v>
      </c>
      <c r="L17" s="20">
        <v>0</v>
      </c>
    </row>
    <row r="18" spans="1:12">
      <c r="A18" s="2" t="s">
        <v>279</v>
      </c>
      <c r="B18" s="3" t="s">
        <v>280</v>
      </c>
      <c r="D18" s="20">
        <v>7.9219375917002951E-3</v>
      </c>
      <c r="E18" s="20">
        <v>0.3637349356506519</v>
      </c>
      <c r="F18" s="20">
        <v>0.14856127966578</v>
      </c>
      <c r="G18" s="20">
        <v>2.966205166476487E-2</v>
      </c>
      <c r="H18" s="20">
        <v>0</v>
      </c>
      <c r="I18" s="20">
        <v>0.18551160432010705</v>
      </c>
      <c r="J18" s="20">
        <v>9.8799917484061698E-3</v>
      </c>
      <c r="K18" s="20">
        <v>0.61846313500924166</v>
      </c>
      <c r="L18" s="20">
        <v>0</v>
      </c>
    </row>
    <row r="19" spans="1:12">
      <c r="A19" s="2" t="s">
        <v>339</v>
      </c>
      <c r="B19" s="3" t="s">
        <v>340</v>
      </c>
      <c r="D19" s="20">
        <v>1.4043734034723018E-6</v>
      </c>
      <c r="E19" s="20">
        <v>0.42686406552759265</v>
      </c>
      <c r="F19" s="20">
        <v>0.29686350512044024</v>
      </c>
      <c r="G19" s="20">
        <v>0.10253033262751653</v>
      </c>
      <c r="H19" s="20">
        <v>0</v>
      </c>
      <c r="I19" s="20">
        <v>2.7470227779635873E-2</v>
      </c>
      <c r="J19" s="20">
        <v>3.4164028003615392E-2</v>
      </c>
      <c r="K19" s="20">
        <v>0.53897050209538866</v>
      </c>
      <c r="L19" s="20">
        <v>0</v>
      </c>
    </row>
    <row r="20" spans="1:12">
      <c r="A20" s="2" t="s">
        <v>281</v>
      </c>
      <c r="B20" s="3" t="s">
        <v>282</v>
      </c>
      <c r="D20" s="20">
        <v>6.7658903164282655E-5</v>
      </c>
      <c r="E20" s="20">
        <v>0.36596677626817603</v>
      </c>
      <c r="F20" s="20">
        <v>0.17068649797542279</v>
      </c>
      <c r="G20" s="20">
        <v>3.3396020833820941E-2</v>
      </c>
      <c r="H20" s="20">
        <v>0</v>
      </c>
      <c r="I20" s="20">
        <v>0.16188425745893231</v>
      </c>
      <c r="J20" s="20">
        <v>1.1081308737438426E-2</v>
      </c>
      <c r="K20" s="20">
        <v>0.62288425609122122</v>
      </c>
      <c r="L20" s="20">
        <v>0</v>
      </c>
    </row>
    <row r="21" spans="1:12">
      <c r="A21" s="2" t="s">
        <v>341</v>
      </c>
      <c r="B21" s="3" t="s">
        <v>342</v>
      </c>
      <c r="D21" s="20">
        <v>2.0431979760946305E-3</v>
      </c>
      <c r="E21" s="20">
        <v>0.41644009340720617</v>
      </c>
      <c r="F21" s="20">
        <v>0.26398829107375243</v>
      </c>
      <c r="G21" s="20">
        <v>0.13294751374411198</v>
      </c>
      <c r="H21" s="20">
        <v>0</v>
      </c>
      <c r="I21" s="20">
        <v>1.9504288589341768E-2</v>
      </c>
      <c r="J21" s="20">
        <v>4.4493752919877692E-2</v>
      </c>
      <c r="K21" s="20">
        <v>0.53702295569682146</v>
      </c>
      <c r="L21" s="20">
        <v>0</v>
      </c>
    </row>
    <row r="22" spans="1:12">
      <c r="A22" s="2" t="s">
        <v>343</v>
      </c>
      <c r="B22" s="3" t="s">
        <v>344</v>
      </c>
      <c r="D22" s="20">
        <v>2.2646829920816751E-3</v>
      </c>
      <c r="E22" s="20">
        <v>0.66798707772390298</v>
      </c>
      <c r="F22" s="20">
        <v>1.3870165189283702E-2</v>
      </c>
      <c r="G22" s="20">
        <v>3.6172388680388631E-3</v>
      </c>
      <c r="H22" s="20">
        <v>0</v>
      </c>
      <c r="I22" s="20">
        <v>0.65049967366658046</v>
      </c>
      <c r="J22" s="20">
        <v>2.038144697034588E-3</v>
      </c>
      <c r="K22" s="20">
        <v>0.32771009458698075</v>
      </c>
      <c r="L22" s="20">
        <v>0</v>
      </c>
    </row>
    <row r="23" spans="1:12">
      <c r="A23" s="2" t="s">
        <v>345</v>
      </c>
      <c r="B23" s="3" t="s">
        <v>346</v>
      </c>
      <c r="D23" s="20">
        <v>8.9190256727615693E-5</v>
      </c>
      <c r="E23" s="20">
        <v>0.76797095179405284</v>
      </c>
      <c r="F23" s="20">
        <v>6.1121165757915038E-3</v>
      </c>
      <c r="G23" s="20">
        <v>1.7127232145647076E-3</v>
      </c>
      <c r="H23" s="20">
        <v>0</v>
      </c>
      <c r="I23" s="20">
        <v>0.76014611200369664</v>
      </c>
      <c r="J23" s="20">
        <v>1.5837061567538083E-3</v>
      </c>
      <c r="K23" s="20">
        <v>0.23035615179246557</v>
      </c>
      <c r="L23" s="20">
        <v>0</v>
      </c>
    </row>
    <row r="24" spans="1:12">
      <c r="A24" s="2" t="s">
        <v>347</v>
      </c>
      <c r="B24" s="3" t="s">
        <v>348</v>
      </c>
      <c r="D24" s="20">
        <v>1.3390437886684806E-4</v>
      </c>
      <c r="E24" s="20">
        <v>0.4178854593269769</v>
      </c>
      <c r="F24" s="20">
        <v>7.7887720579137842E-2</v>
      </c>
      <c r="G24" s="20">
        <v>1.6988872208475076E-2</v>
      </c>
      <c r="H24" s="20">
        <v>0</v>
      </c>
      <c r="I24" s="20">
        <v>0.323008866539364</v>
      </c>
      <c r="J24" s="20">
        <v>5.9080881028274928E-3</v>
      </c>
      <c r="K24" s="20">
        <v>0.57607254819132869</v>
      </c>
      <c r="L24" s="20">
        <v>0</v>
      </c>
    </row>
    <row r="25" spans="1:12">
      <c r="A25" s="2" t="s">
        <v>349</v>
      </c>
      <c r="B25" s="3" t="s">
        <v>350</v>
      </c>
      <c r="D25" s="20">
        <v>4.9847109052309387E-2</v>
      </c>
      <c r="E25" s="20">
        <v>0.38598597346074515</v>
      </c>
      <c r="F25" s="20">
        <v>0.26080396566835568</v>
      </c>
      <c r="G25" s="20">
        <v>4.6882390308400246E-2</v>
      </c>
      <c r="H25" s="20">
        <v>0</v>
      </c>
      <c r="I25" s="20">
        <v>7.8299617483989226E-2</v>
      </c>
      <c r="J25" s="20">
        <v>1.548281557693486E-2</v>
      </c>
      <c r="K25" s="20">
        <v>0.54868410191001049</v>
      </c>
      <c r="L25" s="20">
        <v>0</v>
      </c>
    </row>
    <row r="26" spans="1:12">
      <c r="A26" s="2" t="s">
        <v>351</v>
      </c>
      <c r="B26" s="3" t="s">
        <v>352</v>
      </c>
      <c r="D26" s="20">
        <v>1.6402639221403117E-3</v>
      </c>
      <c r="E26" s="20">
        <v>0.41817177235245079</v>
      </c>
      <c r="F26" s="20">
        <v>0.27163638836171444</v>
      </c>
      <c r="G26" s="20">
        <v>0.12539594794319125</v>
      </c>
      <c r="H26" s="20">
        <v>0</v>
      </c>
      <c r="I26" s="20">
        <v>2.1139436047545115E-2</v>
      </c>
      <c r="J26" s="20">
        <v>4.1922973449000818E-2</v>
      </c>
      <c r="K26" s="20">
        <v>0.53826499027640806</v>
      </c>
      <c r="L26" s="20">
        <v>0</v>
      </c>
    </row>
    <row r="27" spans="1:12">
      <c r="A27" s="2" t="s">
        <v>353</v>
      </c>
      <c r="B27" s="3" t="s">
        <v>354</v>
      </c>
      <c r="D27" s="20">
        <v>1.2452293693278207E-2</v>
      </c>
      <c r="E27" s="20">
        <v>0.45418791113968654</v>
      </c>
      <c r="F27" s="20">
        <v>0.12800400852564608</v>
      </c>
      <c r="G27" s="20">
        <v>0.32256639861677777</v>
      </c>
      <c r="H27" s="20">
        <v>0</v>
      </c>
      <c r="I27" s="20">
        <v>3.6175039972626945E-3</v>
      </c>
      <c r="J27" s="20">
        <v>0.11017334282265979</v>
      </c>
      <c r="K27" s="20">
        <v>0.42318645234437535</v>
      </c>
      <c r="L27" s="20">
        <v>0</v>
      </c>
    </row>
    <row r="28" spans="1:12">
      <c r="A28" s="2" t="s">
        <v>355</v>
      </c>
      <c r="B28" s="3" t="s">
        <v>356</v>
      </c>
      <c r="D28" s="20">
        <v>6.241797213690618E-4</v>
      </c>
      <c r="E28" s="20">
        <v>0.41614025577918379</v>
      </c>
      <c r="F28" s="20">
        <v>0.21866731378382764</v>
      </c>
      <c r="G28" s="20">
        <v>0.18564336216170307</v>
      </c>
      <c r="H28" s="20">
        <v>0</v>
      </c>
      <c r="I28" s="20">
        <v>1.1829579833653053E-2</v>
      </c>
      <c r="J28" s="20">
        <v>6.2530195375048878E-2</v>
      </c>
      <c r="K28" s="20">
        <v>0.52070536912439824</v>
      </c>
      <c r="L28" s="20">
        <v>0</v>
      </c>
    </row>
    <row r="29" spans="1:12">
      <c r="A29" s="2" t="s">
        <v>357</v>
      </c>
      <c r="B29" s="3" t="s">
        <v>358</v>
      </c>
      <c r="D29" s="20">
        <v>0.11327707270722168</v>
      </c>
      <c r="E29" s="20">
        <v>0.36898703329280536</v>
      </c>
      <c r="F29" s="20">
        <v>0.22783279205138876</v>
      </c>
      <c r="G29" s="20">
        <v>0.12517332475326684</v>
      </c>
      <c r="H29" s="20">
        <v>0</v>
      </c>
      <c r="I29" s="20">
        <v>1.5980916488149782E-2</v>
      </c>
      <c r="J29" s="20">
        <v>4.1935915235572774E-2</v>
      </c>
      <c r="K29" s="20">
        <v>0.47579997876440022</v>
      </c>
      <c r="L29" s="20">
        <v>0</v>
      </c>
    </row>
    <row r="30" spans="1:12">
      <c r="A30" s="2" t="s">
        <v>359</v>
      </c>
      <c r="B30" s="3" t="s">
        <v>360</v>
      </c>
      <c r="D30" s="20">
        <v>6.241797213690618E-4</v>
      </c>
      <c r="E30" s="20">
        <v>0.41614025577918379</v>
      </c>
      <c r="F30" s="20">
        <v>0.21866731378382764</v>
      </c>
      <c r="G30" s="20">
        <v>0.18564336216170307</v>
      </c>
      <c r="H30" s="20">
        <v>0</v>
      </c>
      <c r="I30" s="20">
        <v>1.1829579833653053E-2</v>
      </c>
      <c r="J30" s="20">
        <v>6.2530195375048878E-2</v>
      </c>
      <c r="K30" s="20">
        <v>0.52070536912439824</v>
      </c>
      <c r="L30" s="20">
        <v>0</v>
      </c>
    </row>
    <row r="31" spans="1:12">
      <c r="A31" s="2" t="s">
        <v>283</v>
      </c>
      <c r="B31" s="3" t="s">
        <v>284</v>
      </c>
      <c r="D31" s="20">
        <v>2.6112800941264101E-8</v>
      </c>
      <c r="E31" s="20">
        <v>0.97537234766404346</v>
      </c>
      <c r="F31" s="20">
        <v>5.9803647505635762E-5</v>
      </c>
      <c r="G31" s="20">
        <v>2.4000662416773273E-5</v>
      </c>
      <c r="H31" s="20">
        <v>0</v>
      </c>
      <c r="I31" s="20">
        <v>0.97528854335412107</v>
      </c>
      <c r="J31" s="20">
        <v>1.3501517569365863E-3</v>
      </c>
      <c r="K31" s="20">
        <v>2.327747446621899E-2</v>
      </c>
      <c r="L31" s="20">
        <v>0</v>
      </c>
    </row>
    <row r="32" spans="1:12">
      <c r="A32" s="2" t="s">
        <v>361</v>
      </c>
      <c r="B32" s="3" t="s">
        <v>362</v>
      </c>
      <c r="D32" s="20">
        <v>2.7207165739662442E-8</v>
      </c>
      <c r="E32" s="20">
        <v>0.58679710077930103</v>
      </c>
      <c r="F32" s="20">
        <v>2.4896345780880121E-2</v>
      </c>
      <c r="G32" s="20">
        <v>6.1383870454543915E-3</v>
      </c>
      <c r="H32" s="20">
        <v>0</v>
      </c>
      <c r="I32" s="20">
        <v>0.55576236795296652</v>
      </c>
      <c r="J32" s="20">
        <v>2.8410974516403079E-3</v>
      </c>
      <c r="K32" s="20">
        <v>0.41036177456189288</v>
      </c>
      <c r="L32" s="20">
        <v>0</v>
      </c>
    </row>
    <row r="33" spans="1:12">
      <c r="A33" s="2" t="s">
        <v>364</v>
      </c>
      <c r="B33" s="3" t="s">
        <v>365</v>
      </c>
      <c r="D33" s="20">
        <v>1.2058411653250717E-10</v>
      </c>
      <c r="E33" s="20">
        <v>0.99856555707550509</v>
      </c>
      <c r="F33" s="20">
        <v>4.1976717428410427E-4</v>
      </c>
      <c r="G33" s="20">
        <v>1.283617993918487E-7</v>
      </c>
      <c r="H33" s="20">
        <v>0</v>
      </c>
      <c r="I33" s="20">
        <v>0.99814566153942164</v>
      </c>
      <c r="J33" s="20">
        <v>1.3773806150265415E-3</v>
      </c>
      <c r="K33" s="20">
        <v>5.7062188884025306E-5</v>
      </c>
      <c r="L33" s="20">
        <v>0</v>
      </c>
    </row>
    <row r="34" spans="1:12">
      <c r="A34" s="2" t="s">
        <v>285</v>
      </c>
      <c r="B34" s="3" t="s">
        <v>286</v>
      </c>
      <c r="D34" s="20">
        <v>6.0226044977712175E-10</v>
      </c>
      <c r="E34" s="20">
        <v>0.99801848738170018</v>
      </c>
      <c r="F34" s="20">
        <v>7.5870385794202272E-2</v>
      </c>
      <c r="G34" s="20">
        <v>6.2308428736653398E-6</v>
      </c>
      <c r="H34" s="20">
        <v>0</v>
      </c>
      <c r="I34" s="20">
        <v>0.92214187074462428</v>
      </c>
      <c r="J34" s="20">
        <v>1.6548794895802346E-3</v>
      </c>
      <c r="K34" s="20">
        <v>3.2663252645920109E-4</v>
      </c>
      <c r="L34" s="20">
        <v>0</v>
      </c>
    </row>
    <row r="35" spans="1:12">
      <c r="A35" s="2" t="s">
        <v>287</v>
      </c>
      <c r="B35" s="3" t="s">
        <v>288</v>
      </c>
      <c r="D35" s="20">
        <v>2.6526991550973241E-11</v>
      </c>
      <c r="E35" s="20">
        <v>0.99684250679669029</v>
      </c>
      <c r="F35" s="20">
        <v>0.17131932990842866</v>
      </c>
      <c r="G35" s="20">
        <v>3.3176738500627888E-5</v>
      </c>
      <c r="H35" s="20">
        <v>0</v>
      </c>
      <c r="I35" s="20">
        <v>0.82549000014976104</v>
      </c>
      <c r="J35" s="20">
        <v>1.9620021512847747E-3</v>
      </c>
      <c r="K35" s="20">
        <v>1.1954910254981003E-3</v>
      </c>
      <c r="L35" s="20">
        <v>0</v>
      </c>
    </row>
    <row r="36" spans="1:12">
      <c r="A36" s="2" t="s">
        <v>366</v>
      </c>
      <c r="B36" s="3" t="s">
        <v>305</v>
      </c>
      <c r="D36" s="20">
        <v>9.2746024391808308E-8</v>
      </c>
      <c r="E36" s="20">
        <v>0.99460619115072058</v>
      </c>
      <c r="F36" s="20">
        <v>0.44839063204587998</v>
      </c>
      <c r="G36" s="20">
        <v>1.283802786725857E-4</v>
      </c>
      <c r="H36" s="20">
        <v>0</v>
      </c>
      <c r="I36" s="20">
        <v>0.54608717882616797</v>
      </c>
      <c r="J36" s="20">
        <v>2.7439292281773975E-3</v>
      </c>
      <c r="K36" s="20">
        <v>2.6497868750776214E-3</v>
      </c>
      <c r="L36" s="20">
        <v>0</v>
      </c>
    </row>
    <row r="37" spans="1:12">
      <c r="A37" s="2" t="s">
        <v>289</v>
      </c>
      <c r="B37" s="3" t="s">
        <v>290</v>
      </c>
      <c r="D37" s="20">
        <v>1.1876160215007251E-14</v>
      </c>
      <c r="E37" s="20">
        <v>0.79585550985399856</v>
      </c>
      <c r="F37" s="20">
        <v>0.19746788248244118</v>
      </c>
      <c r="G37" s="20">
        <v>6.7416464014274247E-3</v>
      </c>
      <c r="H37" s="20">
        <v>0</v>
      </c>
      <c r="I37" s="20">
        <v>0.59164598097012999</v>
      </c>
      <c r="J37" s="20">
        <v>3.7533110582214269E-3</v>
      </c>
      <c r="K37" s="20">
        <v>0.20039117908776818</v>
      </c>
      <c r="L37" s="20">
        <v>0</v>
      </c>
    </row>
    <row r="38" spans="1:12">
      <c r="A38" s="2" t="s">
        <v>291</v>
      </c>
      <c r="B38" s="3" t="s">
        <v>292</v>
      </c>
      <c r="D38" s="20">
        <v>1.8393996984576255E-12</v>
      </c>
      <c r="E38" s="20">
        <v>0.99552780786202277</v>
      </c>
      <c r="F38" s="20">
        <v>5.8549274593783514E-2</v>
      </c>
      <c r="G38" s="20">
        <v>4.8914606751899415E-5</v>
      </c>
      <c r="H38" s="20">
        <v>0</v>
      </c>
      <c r="I38" s="20">
        <v>0.93692961866148738</v>
      </c>
      <c r="J38" s="20">
        <v>1.6056970810276871E-3</v>
      </c>
      <c r="K38" s="20">
        <v>2.8664950551099589E-3</v>
      </c>
      <c r="L38" s="20">
        <v>0</v>
      </c>
    </row>
    <row r="39" spans="1:12">
      <c r="A39" s="2" t="s">
        <v>367</v>
      </c>
      <c r="B39" s="3" t="s">
        <v>368</v>
      </c>
      <c r="D39" s="20">
        <v>6.8235926164480245E-5</v>
      </c>
      <c r="E39" s="20">
        <v>0.4609689654014511</v>
      </c>
      <c r="F39" s="20">
        <v>0.35090318123762992</v>
      </c>
      <c r="G39" s="20">
        <v>6.1289045929384181E-2</v>
      </c>
      <c r="H39" s="20">
        <v>0</v>
      </c>
      <c r="I39" s="20">
        <v>4.8776738234436984E-2</v>
      </c>
      <c r="J39" s="20">
        <v>2.0287588726629127E-2</v>
      </c>
      <c r="K39" s="20">
        <v>0.51867520994575522</v>
      </c>
      <c r="L39" s="20">
        <v>0</v>
      </c>
    </row>
    <row r="40" spans="1:12">
      <c r="A40" s="2" t="s">
        <v>369</v>
      </c>
      <c r="B40" s="3" t="s">
        <v>370</v>
      </c>
      <c r="D40" s="20">
        <v>7.0271140521445306E-12</v>
      </c>
      <c r="E40" s="20">
        <v>0.75727512056899504</v>
      </c>
      <c r="F40" s="20">
        <v>0.69901515793617608</v>
      </c>
      <c r="G40" s="20">
        <v>5.0571632153517218E-2</v>
      </c>
      <c r="H40" s="20">
        <v>0</v>
      </c>
      <c r="I40" s="20">
        <v>7.6883304793017746E-3</v>
      </c>
      <c r="J40" s="20">
        <v>0.22073516441421556</v>
      </c>
      <c r="K40" s="20">
        <v>2.198971500976225E-2</v>
      </c>
      <c r="L40" s="20">
        <v>0</v>
      </c>
    </row>
    <row r="41" spans="1:12">
      <c r="A41" s="2" t="s">
        <v>371</v>
      </c>
      <c r="B41" s="3" t="s">
        <v>372</v>
      </c>
      <c r="D41" s="20">
        <v>8.1445010283563948E-2</v>
      </c>
      <c r="E41" s="20">
        <v>0.91273800677994132</v>
      </c>
      <c r="F41" s="20">
        <v>2.7844453429715971E-6</v>
      </c>
      <c r="G41" s="20">
        <v>1.3939084561097383E-6</v>
      </c>
      <c r="H41" s="20">
        <v>0</v>
      </c>
      <c r="I41" s="20">
        <v>0.91273382842614226</v>
      </c>
      <c r="J41" s="20">
        <v>1.2571715022519365E-3</v>
      </c>
      <c r="K41" s="20">
        <v>4.559811434242683E-3</v>
      </c>
      <c r="L41" s="20">
        <v>0</v>
      </c>
    </row>
    <row r="42" spans="1:12">
      <c r="A42" s="2" t="s">
        <v>293</v>
      </c>
      <c r="B42" s="3" t="s">
        <v>294</v>
      </c>
      <c r="D42" s="20">
        <v>2.0759219832136739E-8</v>
      </c>
      <c r="E42" s="20">
        <v>0.64453081114999344</v>
      </c>
      <c r="F42" s="20">
        <v>1.6652722414583758E-2</v>
      </c>
      <c r="G42" s="20">
        <v>4.2715038112398898E-3</v>
      </c>
      <c r="H42" s="20">
        <v>0</v>
      </c>
      <c r="I42" s="20">
        <v>0.62360658492416976</v>
      </c>
      <c r="J42" s="20">
        <v>2.2100106616342926E-3</v>
      </c>
      <c r="K42" s="20">
        <v>0.35325915742915248</v>
      </c>
      <c r="L42" s="20">
        <v>0</v>
      </c>
    </row>
    <row r="43" spans="1:12">
      <c r="A43" s="2" t="s">
        <v>373</v>
      </c>
      <c r="B43" s="3" t="s">
        <v>374</v>
      </c>
      <c r="D43" s="20">
        <v>3.9503038226281481E-7</v>
      </c>
      <c r="E43" s="20">
        <v>0.98829891145416449</v>
      </c>
      <c r="F43" s="20">
        <v>0.90650537180150914</v>
      </c>
      <c r="G43" s="20">
        <v>7.6540677740455495E-4</v>
      </c>
      <c r="H43" s="20">
        <v>0</v>
      </c>
      <c r="I43" s="20">
        <v>8.1028132875250833E-2</v>
      </c>
      <c r="J43" s="20">
        <v>7.8369798498567206E-3</v>
      </c>
      <c r="K43" s="20">
        <v>3.8637136655962803E-3</v>
      </c>
      <c r="L43" s="20">
        <v>0</v>
      </c>
    </row>
    <row r="44" spans="1:12">
      <c r="A44" s="2" t="s">
        <v>375</v>
      </c>
      <c r="B44" s="3" t="s">
        <v>376</v>
      </c>
      <c r="D44" s="20">
        <v>8.6804580942607124E-2</v>
      </c>
      <c r="E44" s="20">
        <v>0.78220837316148417</v>
      </c>
      <c r="F44" s="20">
        <v>1.9843435310572563E-3</v>
      </c>
      <c r="G44" s="20">
        <v>6.052188069326427E-4</v>
      </c>
      <c r="H44" s="20">
        <v>0</v>
      </c>
      <c r="I44" s="20">
        <v>0.77961881082349427</v>
      </c>
      <c r="J44" s="20">
        <v>1.2616377854577363E-3</v>
      </c>
      <c r="K44" s="20">
        <v>0.12972540811045102</v>
      </c>
      <c r="L44" s="20">
        <v>0</v>
      </c>
    </row>
    <row r="45" spans="1:12">
      <c r="A45" s="2" t="s">
        <v>377</v>
      </c>
      <c r="B45" s="3" t="s">
        <v>378</v>
      </c>
      <c r="D45" s="20">
        <v>8.1055404956721676E-4</v>
      </c>
      <c r="E45" s="20">
        <v>0.62143370824267807</v>
      </c>
      <c r="F45" s="20">
        <v>1.9474046145618654E-2</v>
      </c>
      <c r="G45" s="20">
        <v>4.9221149300668829E-3</v>
      </c>
      <c r="H45" s="20">
        <v>0</v>
      </c>
      <c r="I45" s="20">
        <v>0.59703754716699253</v>
      </c>
      <c r="J45" s="20">
        <v>2.3815713642949443E-3</v>
      </c>
      <c r="K45" s="20">
        <v>0.3753741663434596</v>
      </c>
      <c r="L45" s="20">
        <v>0</v>
      </c>
    </row>
    <row r="46" spans="1:12">
      <c r="A46" s="2" t="s">
        <v>379</v>
      </c>
      <c r="B46" s="3" t="s">
        <v>380</v>
      </c>
      <c r="D46" s="20">
        <v>2.3963265340068828E-3</v>
      </c>
      <c r="E46" s="20">
        <v>0.63456860338874244</v>
      </c>
      <c r="F46" s="20">
        <v>1.7628696930626638E-2</v>
      </c>
      <c r="G46" s="20">
        <v>4.4969262679461245E-3</v>
      </c>
      <c r="H46" s="20">
        <v>0</v>
      </c>
      <c r="I46" s="20">
        <v>0.61244298019016963</v>
      </c>
      <c r="J46" s="20">
        <v>2.2667472354467913E-3</v>
      </c>
      <c r="K46" s="20">
        <v>0.36076832284180405</v>
      </c>
      <c r="L46" s="20">
        <v>0</v>
      </c>
    </row>
    <row r="47" spans="1:12">
      <c r="A47" s="2" t="s">
        <v>381</v>
      </c>
      <c r="B47" s="3" t="s">
        <v>382</v>
      </c>
      <c r="D47" s="20">
        <v>2.1585264470831492E-7</v>
      </c>
      <c r="E47" s="20">
        <v>0.46463145518680221</v>
      </c>
      <c r="F47" s="20">
        <v>0.12434593407336679</v>
      </c>
      <c r="G47" s="20">
        <v>0.33692027339355618</v>
      </c>
      <c r="H47" s="20">
        <v>0</v>
      </c>
      <c r="I47" s="20">
        <v>3.3652477198792574E-3</v>
      </c>
      <c r="J47" s="20">
        <v>0.11518407363324799</v>
      </c>
      <c r="K47" s="20">
        <v>0.42018425532730513</v>
      </c>
      <c r="L47" s="20">
        <v>0</v>
      </c>
    </row>
    <row r="48" spans="1:12">
      <c r="A48" s="2" t="s">
        <v>383</v>
      </c>
      <c r="B48" s="3" t="s">
        <v>384</v>
      </c>
      <c r="D48" s="20">
        <v>1.1808764282635727E-2</v>
      </c>
      <c r="E48" s="20">
        <v>0.91005194011353796</v>
      </c>
      <c r="F48" s="20">
        <v>6.3049067619128552E-4</v>
      </c>
      <c r="G48" s="20">
        <v>2.1162853420045899E-4</v>
      </c>
      <c r="H48" s="20">
        <v>0</v>
      </c>
      <c r="I48" s="20">
        <v>0.90920982090314617</v>
      </c>
      <c r="J48" s="20">
        <v>1.3170753824772016E-3</v>
      </c>
      <c r="K48" s="20">
        <v>7.6822220221349158E-2</v>
      </c>
      <c r="L48" s="20">
        <v>0</v>
      </c>
    </row>
    <row r="49" spans="1:12">
      <c r="A49" s="2" t="s">
        <v>385</v>
      </c>
      <c r="B49" s="3" t="s">
        <v>386</v>
      </c>
      <c r="D49" s="20">
        <v>2.2181071316888391E-2</v>
      </c>
      <c r="E49" s="20">
        <v>0.87434867972945696</v>
      </c>
      <c r="F49" s="20">
        <v>1.1309847084755265E-3</v>
      </c>
      <c r="G49" s="20">
        <v>3.6253695976973108E-4</v>
      </c>
      <c r="H49" s="20">
        <v>0</v>
      </c>
      <c r="I49" s="20">
        <v>0.87285515806121172</v>
      </c>
      <c r="J49" s="20">
        <v>1.3140044268333871E-3</v>
      </c>
      <c r="K49" s="20">
        <v>0.10215624452682123</v>
      </c>
      <c r="L49" s="20">
        <v>0</v>
      </c>
    </row>
    <row r="50" spans="1:12">
      <c r="A50" s="2" t="s">
        <v>387</v>
      </c>
      <c r="B50" s="3" t="s">
        <v>388</v>
      </c>
      <c r="D50" s="20">
        <v>1.664807492206781E-2</v>
      </c>
      <c r="E50" s="20">
        <v>0.36143308999630613</v>
      </c>
      <c r="F50" s="20">
        <v>0.14191824652196711</v>
      </c>
      <c r="G50" s="20">
        <v>2.8492712237402559E-2</v>
      </c>
      <c r="H50" s="20">
        <v>0</v>
      </c>
      <c r="I50" s="20">
        <v>0.19102213123693648</v>
      </c>
      <c r="J50" s="20">
        <v>9.5029846538346001E-3</v>
      </c>
      <c r="K50" s="20">
        <v>0.61241585042779145</v>
      </c>
      <c r="L50" s="20">
        <v>0</v>
      </c>
    </row>
    <row r="51" spans="1:12">
      <c r="A51" s="2" t="s">
        <v>295</v>
      </c>
      <c r="B51" s="3" t="s">
        <v>296</v>
      </c>
      <c r="D51" s="20">
        <v>6.5345650678060585E-2</v>
      </c>
      <c r="E51" s="20">
        <v>0.90390650417404306</v>
      </c>
      <c r="F51" s="20">
        <v>1.0099291362555734E-4</v>
      </c>
      <c r="G51" s="20">
        <v>3.8778093821710221E-5</v>
      </c>
      <c r="H51" s="20">
        <v>0</v>
      </c>
      <c r="I51" s="20">
        <v>0.90376673316659584</v>
      </c>
      <c r="J51" s="20">
        <v>1.2561940303003911E-3</v>
      </c>
      <c r="K51" s="20">
        <v>2.949165111759593E-2</v>
      </c>
      <c r="L51" s="20">
        <v>0</v>
      </c>
    </row>
    <row r="52" spans="1:12">
      <c r="A52" s="2" t="s">
        <v>389</v>
      </c>
      <c r="B52" s="3" t="s">
        <v>390</v>
      </c>
      <c r="D52" s="20">
        <v>7.1470420657913467E-2</v>
      </c>
      <c r="E52" s="20">
        <v>0.75617189534492912</v>
      </c>
      <c r="F52" s="20">
        <v>3.4865873743343367E-3</v>
      </c>
      <c r="G52" s="20">
        <v>1.0174102496835335E-3</v>
      </c>
      <c r="H52" s="20">
        <v>0</v>
      </c>
      <c r="I52" s="20">
        <v>0.75166789772091125</v>
      </c>
      <c r="J52" s="20">
        <v>1.3527114805561384E-3</v>
      </c>
      <c r="K52" s="20">
        <v>0.17100497251660132</v>
      </c>
      <c r="L52" s="20">
        <v>0</v>
      </c>
    </row>
    <row r="53" spans="1:12">
      <c r="A53" s="2" t="s">
        <v>391</v>
      </c>
      <c r="B53" s="3" t="s">
        <v>392</v>
      </c>
      <c r="D53" s="20">
        <v>2.6455440945463149E-3</v>
      </c>
      <c r="E53" s="20">
        <v>0.54942588245417245</v>
      </c>
      <c r="F53" s="20">
        <v>3.1130723880083516E-2</v>
      </c>
      <c r="G53" s="20">
        <v>7.5142350299203901E-3</v>
      </c>
      <c r="H53" s="20">
        <v>0</v>
      </c>
      <c r="I53" s="20">
        <v>0.5107809235441686</v>
      </c>
      <c r="J53" s="20">
        <v>3.0951561974694401E-3</v>
      </c>
      <c r="K53" s="20">
        <v>0.44483341725381165</v>
      </c>
      <c r="L53" s="20">
        <v>0</v>
      </c>
    </row>
    <row r="54" spans="1:12">
      <c r="A54" s="2" t="s">
        <v>393</v>
      </c>
      <c r="B54" s="3" t="s">
        <v>394</v>
      </c>
      <c r="D54" s="20">
        <v>9.6282590372164369E-4</v>
      </c>
      <c r="E54" s="20">
        <v>0.44809231307423947</v>
      </c>
      <c r="F54" s="20">
        <v>0.14368848999088565</v>
      </c>
      <c r="G54" s="20">
        <v>0.29985930924249632</v>
      </c>
      <c r="H54" s="20">
        <v>0</v>
      </c>
      <c r="I54" s="20">
        <v>4.5445138408574696E-3</v>
      </c>
      <c r="J54" s="20">
        <v>0.10216829945674501</v>
      </c>
      <c r="K54" s="20">
        <v>0.44877656156529377</v>
      </c>
      <c r="L54" s="20">
        <v>0</v>
      </c>
    </row>
    <row r="55" spans="1:12">
      <c r="A55" s="2" t="s">
        <v>395</v>
      </c>
      <c r="B55" s="3" t="s">
        <v>396</v>
      </c>
      <c r="D55" s="20">
        <v>0.22817564961345871</v>
      </c>
      <c r="E55" s="20">
        <v>0.31450625570905194</v>
      </c>
      <c r="F55" s="20">
        <v>6.5726954664825032E-2</v>
      </c>
      <c r="G55" s="20">
        <v>1.4178786591912355E-2</v>
      </c>
      <c r="H55" s="20">
        <v>0</v>
      </c>
      <c r="I55" s="20">
        <v>0.23460051445231456</v>
      </c>
      <c r="J55" s="20">
        <v>4.8877802931637212E-3</v>
      </c>
      <c r="K55" s="20">
        <v>0.45243031438432563</v>
      </c>
      <c r="L55" s="20">
        <v>0</v>
      </c>
    </row>
    <row r="56" spans="1:12">
      <c r="A56" s="2" t="s">
        <v>397</v>
      </c>
      <c r="B56" s="3" t="s">
        <v>398</v>
      </c>
      <c r="D56" s="20">
        <v>0.82881496879183714</v>
      </c>
      <c r="E56" s="20">
        <v>6.376066260238937E-2</v>
      </c>
      <c r="F56" s="20">
        <v>3.492462896566547E-2</v>
      </c>
      <c r="G56" s="20">
        <v>6.6347926717226467E-3</v>
      </c>
      <c r="H56" s="20">
        <v>0</v>
      </c>
      <c r="I56" s="20">
        <v>2.2201240965001257E-2</v>
      </c>
      <c r="J56" s="20">
        <v>2.1942676988796215E-3</v>
      </c>
      <c r="K56" s="20">
        <v>0.10523010090689383</v>
      </c>
      <c r="L56" s="20">
        <v>0</v>
      </c>
    </row>
    <row r="57" spans="1:12">
      <c r="A57" s="2" t="s">
        <v>399</v>
      </c>
      <c r="B57" s="3" t="s">
        <v>400</v>
      </c>
      <c r="D57" s="20">
        <v>0.87397096985369294</v>
      </c>
      <c r="E57" s="20">
        <v>4.8970600461772366E-2</v>
      </c>
      <c r="F57" s="20">
        <v>1.2923234414931727E-2</v>
      </c>
      <c r="G57" s="20">
        <v>2.721866230492362E-3</v>
      </c>
      <c r="H57" s="20">
        <v>0</v>
      </c>
      <c r="I57" s="20">
        <v>3.3325499816348275E-2</v>
      </c>
      <c r="J57" s="20">
        <v>9.2429641157764264E-4</v>
      </c>
      <c r="K57" s="20">
        <v>7.6134133272956858E-2</v>
      </c>
      <c r="L57" s="20">
        <v>0</v>
      </c>
    </row>
    <row r="58" spans="1:12">
      <c r="A58" s="2" t="s">
        <v>297</v>
      </c>
      <c r="B58" s="3" t="s">
        <v>298</v>
      </c>
      <c r="D58" s="20">
        <v>0.93242949379469409</v>
      </c>
      <c r="E58" s="20">
        <v>5.9555878169750096E-2</v>
      </c>
      <c r="F58" s="20">
        <v>9.8875847082493401E-5</v>
      </c>
      <c r="G58" s="20">
        <v>3.1116143992248692E-5</v>
      </c>
      <c r="H58" s="20">
        <v>0</v>
      </c>
      <c r="I58" s="20">
        <v>5.9425886178675356E-2</v>
      </c>
      <c r="J58" s="20">
        <v>9.1468455861529473E-5</v>
      </c>
      <c r="K58" s="20">
        <v>7.9231595796942361E-3</v>
      </c>
      <c r="L58" s="20">
        <v>0</v>
      </c>
    </row>
    <row r="59" spans="1:12">
      <c r="A59" s="2" t="s">
        <v>401</v>
      </c>
      <c r="B59" s="3" t="s">
        <v>402</v>
      </c>
      <c r="D59" s="20">
        <v>0.95383835628039604</v>
      </c>
      <c r="E59" s="20">
        <v>1.8116522119974932E-2</v>
      </c>
      <c r="F59" s="20">
        <v>4.5388830989699326E-3</v>
      </c>
      <c r="G59" s="20">
        <v>9.6126814970882166E-4</v>
      </c>
      <c r="H59" s="20">
        <v>0</v>
      </c>
      <c r="I59" s="20">
        <v>1.2616370871296179E-2</v>
      </c>
      <c r="J59" s="20">
        <v>3.2742201794806096E-4</v>
      </c>
      <c r="K59" s="20">
        <v>2.7717699581680966E-2</v>
      </c>
      <c r="L59" s="20">
        <v>0</v>
      </c>
    </row>
    <row r="60" spans="1:12">
      <c r="A60" s="2" t="s">
        <v>299</v>
      </c>
      <c r="B60" s="3" t="s">
        <v>300</v>
      </c>
      <c r="D60" s="20">
        <v>0.99881508582780909</v>
      </c>
      <c r="E60" s="20">
        <v>5.3654120586391616E-4</v>
      </c>
      <c r="F60" s="20">
        <v>7.0885810285800326E-5</v>
      </c>
      <c r="G60" s="20">
        <v>1.5953459106958428E-5</v>
      </c>
      <c r="H60" s="20">
        <v>0</v>
      </c>
      <c r="I60" s="20">
        <v>4.4970193647115745E-4</v>
      </c>
      <c r="J60" s="20">
        <v>5.7333509806020182E-6</v>
      </c>
      <c r="K60" s="20">
        <v>6.4263961534632248E-4</v>
      </c>
      <c r="L60" s="20">
        <v>0</v>
      </c>
    </row>
    <row r="61" spans="1:12">
      <c r="A61" s="2" t="s">
        <v>403</v>
      </c>
      <c r="B61" s="3" t="s">
        <v>404</v>
      </c>
      <c r="D61" s="20">
        <v>6.769168244093243E-44</v>
      </c>
      <c r="E61" s="20">
        <v>0.48893832142973104</v>
      </c>
      <c r="F61" s="20">
        <v>4.6731478687560689E-2</v>
      </c>
      <c r="G61" s="20">
        <v>1.0811976140785079E-2</v>
      </c>
      <c r="H61" s="20">
        <v>0</v>
      </c>
      <c r="I61" s="20">
        <v>0.43139486660138526</v>
      </c>
      <c r="J61" s="20">
        <v>4.0502963384255256E-3</v>
      </c>
      <c r="K61" s="20">
        <v>0.5070113822318435</v>
      </c>
      <c r="L61" s="20">
        <v>0</v>
      </c>
    </row>
    <row r="62" spans="1:12">
      <c r="A62" s="2" t="s">
        <v>405</v>
      </c>
      <c r="B62" s="3" t="s">
        <v>406</v>
      </c>
      <c r="D62" s="20">
        <v>4.9034903316124562E-7</v>
      </c>
      <c r="E62" s="20">
        <v>0.4159685305093529</v>
      </c>
      <c r="F62" s="20">
        <v>0.25566986269859715</v>
      </c>
      <c r="G62" s="20">
        <v>0.14251976369097136</v>
      </c>
      <c r="H62" s="20">
        <v>0</v>
      </c>
      <c r="I62" s="20">
        <v>1.7778904119784396E-2</v>
      </c>
      <c r="J62" s="20">
        <v>4.7755766027473862E-2</v>
      </c>
      <c r="K62" s="20">
        <v>0.53627521311414017</v>
      </c>
      <c r="L62" s="20">
        <v>0</v>
      </c>
    </row>
    <row r="63" spans="1:12">
      <c r="A63" s="2" t="s">
        <v>407</v>
      </c>
      <c r="B63" s="3" t="s">
        <v>408</v>
      </c>
      <c r="D63" s="20">
        <v>1.4108318966023464E-4</v>
      </c>
      <c r="E63" s="20">
        <v>0.49700561261072884</v>
      </c>
      <c r="F63" s="20">
        <v>9.4329924032617238E-2</v>
      </c>
      <c r="G63" s="20">
        <v>0.40072371050751221</v>
      </c>
      <c r="H63" s="20">
        <v>0</v>
      </c>
      <c r="I63" s="20">
        <v>1.9519780705993723E-3</v>
      </c>
      <c r="J63" s="20">
        <v>0.13779883422232511</v>
      </c>
      <c r="K63" s="20">
        <v>0.3650544699772858</v>
      </c>
      <c r="L63" s="20">
        <v>0</v>
      </c>
    </row>
    <row r="64" spans="1:12">
      <c r="A64" s="2" t="s">
        <v>409</v>
      </c>
      <c r="B64" s="3" t="s">
        <v>410</v>
      </c>
      <c r="D64" s="20">
        <v>1.9258932201253985E-5</v>
      </c>
      <c r="E64" s="20">
        <v>0.55567353899793803</v>
      </c>
      <c r="F64" s="20">
        <v>5.6041070056591057E-2</v>
      </c>
      <c r="G64" s="20">
        <v>0.49888675567591245</v>
      </c>
      <c r="H64" s="20">
        <v>0</v>
      </c>
      <c r="I64" s="20">
        <v>7.4571326543457163E-4</v>
      </c>
      <c r="J64" s="20">
        <v>0.17321651073978803</v>
      </c>
      <c r="K64" s="20">
        <v>0.27109069133007263</v>
      </c>
      <c r="L64" s="20">
        <v>0</v>
      </c>
    </row>
    <row r="65" spans="1:12">
      <c r="A65" s="2" t="s">
        <v>301</v>
      </c>
      <c r="B65" s="3" t="s">
        <v>302</v>
      </c>
      <c r="D65" s="20">
        <v>2.6044781611921902E-6</v>
      </c>
      <c r="E65" s="20">
        <v>0.61629833907981801</v>
      </c>
      <c r="F65" s="20">
        <v>2.8457381434582697E-2</v>
      </c>
      <c r="G65" s="20">
        <v>0.58761177570875811</v>
      </c>
      <c r="H65" s="20">
        <v>0</v>
      </c>
      <c r="I65" s="20">
        <v>2.2918193647725063E-4</v>
      </c>
      <c r="J65" s="20">
        <v>0.20627883335222116</v>
      </c>
      <c r="K65" s="20">
        <v>0.17742022308979957</v>
      </c>
      <c r="L65" s="20">
        <v>0</v>
      </c>
    </row>
    <row r="66" spans="1:12">
      <c r="A66" s="2" t="s">
        <v>303</v>
      </c>
      <c r="B66" s="3" t="s">
        <v>304</v>
      </c>
      <c r="D66" s="20">
        <v>2.3962818048349193E-12</v>
      </c>
      <c r="E66" s="20">
        <v>0.58335054234981987</v>
      </c>
      <c r="F66" s="20">
        <v>4.2258308085242856E-2</v>
      </c>
      <c r="G66" s="20">
        <v>0.54063936009088553</v>
      </c>
      <c r="H66" s="20">
        <v>0</v>
      </c>
      <c r="I66" s="20">
        <v>4.5287417369149714E-4</v>
      </c>
      <c r="J66" s="20">
        <v>0.18860459606924179</v>
      </c>
      <c r="K66" s="20">
        <v>0.22804486157854204</v>
      </c>
      <c r="L66" s="20">
        <v>0</v>
      </c>
    </row>
    <row r="67" spans="1:12">
      <c r="A67" s="2" t="s">
        <v>411</v>
      </c>
      <c r="B67" s="3" t="s">
        <v>412</v>
      </c>
      <c r="D67" s="20">
        <v>4.7793581407862247E-3</v>
      </c>
      <c r="E67" s="20">
        <v>0.83942458664770603</v>
      </c>
      <c r="F67" s="20">
        <v>2.599224490919119E-3</v>
      </c>
      <c r="G67" s="20">
        <v>7.8115882919149206E-4</v>
      </c>
      <c r="H67" s="20">
        <v>0</v>
      </c>
      <c r="I67" s="20">
        <v>0.83604420332759544</v>
      </c>
      <c r="J67" s="20">
        <v>1.3943912400326477E-3</v>
      </c>
      <c r="K67" s="20">
        <v>0.15440166397147506</v>
      </c>
      <c r="L67" s="20">
        <v>0</v>
      </c>
    </row>
    <row r="68" spans="1:12">
      <c r="A68" s="2" t="s">
        <v>413</v>
      </c>
      <c r="B68" s="3" t="s">
        <v>414</v>
      </c>
      <c r="D68" s="20">
        <v>1.0489322233183837E-2</v>
      </c>
      <c r="E68" s="20">
        <v>0.78589087188204776</v>
      </c>
      <c r="F68" s="20">
        <v>4.6453842386810782E-3</v>
      </c>
      <c r="G68" s="20">
        <v>1.3308134990139243E-3</v>
      </c>
      <c r="H68" s="20">
        <v>0</v>
      </c>
      <c r="I68" s="20">
        <v>0.77991467414435278</v>
      </c>
      <c r="J68" s="20">
        <v>1.4902470991826531E-3</v>
      </c>
      <c r="K68" s="20">
        <v>0.20212955878558578</v>
      </c>
      <c r="L68" s="20">
        <v>0</v>
      </c>
    </row>
    <row r="69" spans="1:12">
      <c r="A69" s="2" t="s">
        <v>415</v>
      </c>
      <c r="B69" s="3" t="s">
        <v>416</v>
      </c>
      <c r="D69" s="20">
        <v>5.940830306615655E-3</v>
      </c>
      <c r="E69" s="20">
        <v>0.42821226184732664</v>
      </c>
      <c r="F69" s="20">
        <v>0.17187842377330256</v>
      </c>
      <c r="G69" s="20">
        <v>0.24958410168319498</v>
      </c>
      <c r="H69" s="20">
        <v>0</v>
      </c>
      <c r="I69" s="20">
        <v>6.7497363908291166E-3</v>
      </c>
      <c r="J69" s="20">
        <v>8.4642553870846196E-2</v>
      </c>
      <c r="K69" s="20">
        <v>0.4812043539752115</v>
      </c>
      <c r="L69" s="20">
        <v>0</v>
      </c>
    </row>
    <row r="70" spans="1:12">
      <c r="A70" s="2" t="s">
        <v>417</v>
      </c>
      <c r="B70" s="3" t="s">
        <v>418</v>
      </c>
      <c r="D70" s="20">
        <v>1.1627801090326642E-2</v>
      </c>
      <c r="E70" s="20">
        <v>0.38882320234196022</v>
      </c>
      <c r="F70" s="20">
        <v>0.24944328017239037</v>
      </c>
      <c r="G70" s="20">
        <v>4.5589766117915362E-2</v>
      </c>
      <c r="H70" s="20">
        <v>0</v>
      </c>
      <c r="I70" s="20">
        <v>9.3790156051654514E-2</v>
      </c>
      <c r="J70" s="20">
        <v>1.5055080812113727E-2</v>
      </c>
      <c r="K70" s="20">
        <v>0.5844939157555995</v>
      </c>
      <c r="L70" s="20">
        <v>0</v>
      </c>
    </row>
    <row r="71" spans="1:12">
      <c r="A71" s="2" t="s">
        <v>419</v>
      </c>
      <c r="B71" s="3" t="s">
        <v>420</v>
      </c>
      <c r="D71" s="20">
        <v>2.5621772998497702E-2</v>
      </c>
      <c r="E71" s="20">
        <v>0.78190584065294255</v>
      </c>
      <c r="F71" s="20">
        <v>4.1848837077316401E-3</v>
      </c>
      <c r="G71" s="20">
        <v>1.2077552928557215E-3</v>
      </c>
      <c r="H71" s="20">
        <v>0</v>
      </c>
      <c r="I71" s="20">
        <v>0.77651320165235516</v>
      </c>
      <c r="J71" s="20">
        <v>1.4467830441385419E-3</v>
      </c>
      <c r="K71" s="20">
        <v>0.19102560330442123</v>
      </c>
      <c r="L71" s="20">
        <v>0</v>
      </c>
    </row>
    <row r="72" spans="1:12">
      <c r="A72" s="2" t="s">
        <v>421</v>
      </c>
      <c r="B72" s="3" t="s">
        <v>422</v>
      </c>
      <c r="D72" s="20">
        <v>4.53295502935529E-2</v>
      </c>
      <c r="E72" s="20">
        <v>0.36750106634745755</v>
      </c>
      <c r="F72" s="20">
        <v>0.2250378787388366</v>
      </c>
      <c r="G72" s="20">
        <v>4.1663061597521762E-2</v>
      </c>
      <c r="H72" s="20">
        <v>0</v>
      </c>
      <c r="I72" s="20">
        <v>0.10080012601109919</v>
      </c>
      <c r="J72" s="20">
        <v>1.3761299453941972E-2</v>
      </c>
      <c r="K72" s="20">
        <v>0.57340808390504761</v>
      </c>
      <c r="L72" s="20">
        <v>0</v>
      </c>
    </row>
    <row r="73" spans="1:12">
      <c r="A73" s="2" t="s">
        <v>423</v>
      </c>
      <c r="B73" s="3" t="s">
        <v>424</v>
      </c>
      <c r="D73" s="20">
        <v>2.0141040663636915E-2</v>
      </c>
      <c r="E73" s="20">
        <v>0.46682803154520741</v>
      </c>
      <c r="F73" s="20">
        <v>4.97916044802659E-2</v>
      </c>
      <c r="G73" s="20">
        <v>1.1414362912144722E-2</v>
      </c>
      <c r="H73" s="20">
        <v>0</v>
      </c>
      <c r="I73" s="20">
        <v>0.40562206415279678</v>
      </c>
      <c r="J73" s="20">
        <v>4.2107714261982992E-3</v>
      </c>
      <c r="K73" s="20">
        <v>0.50882015636495737</v>
      </c>
      <c r="L73" s="20">
        <v>0</v>
      </c>
    </row>
    <row r="74" spans="1:12">
      <c r="A74" s="2" t="s">
        <v>425</v>
      </c>
      <c r="B74" s="3" t="s">
        <v>426</v>
      </c>
      <c r="D74" s="20">
        <v>1.7623787038068241E-2</v>
      </c>
      <c r="E74" s="20">
        <v>0.38395372938784161</v>
      </c>
      <c r="F74" s="20">
        <v>0.24320553305723691</v>
      </c>
      <c r="G74" s="20">
        <v>4.4613778476439242E-2</v>
      </c>
      <c r="H74" s="20">
        <v>0</v>
      </c>
      <c r="I74" s="20">
        <v>9.6134417854165446E-2</v>
      </c>
      <c r="J74" s="20">
        <v>1.4733311212125106E-2</v>
      </c>
      <c r="K74" s="20">
        <v>0.58368917236196516</v>
      </c>
      <c r="L74" s="20">
        <v>0</v>
      </c>
    </row>
    <row r="75" spans="1:12">
      <c r="A75" s="2" t="s">
        <v>427</v>
      </c>
      <c r="B75" s="3" t="s">
        <v>428</v>
      </c>
      <c r="D75" s="20">
        <v>5.157134403278801E-9</v>
      </c>
      <c r="E75" s="20">
        <v>0.97289223708123218</v>
      </c>
      <c r="F75" s="20">
        <v>0.93192869040660287</v>
      </c>
      <c r="G75" s="20">
        <v>3.5961093665595447E-4</v>
      </c>
      <c r="H75" s="20">
        <v>0</v>
      </c>
      <c r="I75" s="20">
        <v>4.0603935737973322E-2</v>
      </c>
      <c r="J75" s="20">
        <v>2.6324787041073029E-2</v>
      </c>
      <c r="K75" s="20">
        <v>7.8297072056041008E-4</v>
      </c>
      <c r="L75" s="20">
        <v>0</v>
      </c>
    </row>
    <row r="76" spans="1:12">
      <c r="A76" s="2" t="s">
        <v>429</v>
      </c>
      <c r="B76" s="3" t="s">
        <v>430</v>
      </c>
      <c r="D76" s="20">
        <v>1.2954135998195403E-10</v>
      </c>
      <c r="E76" s="20">
        <v>0.97289224197253843</v>
      </c>
      <c r="F76" s="20">
        <v>0.93192869509196108</v>
      </c>
      <c r="G76" s="20">
        <v>3.596109384639319E-4</v>
      </c>
      <c r="H76" s="20">
        <v>0</v>
      </c>
      <c r="I76" s="20">
        <v>4.0603935942113395E-2</v>
      </c>
      <c r="J76" s="20">
        <v>2.6324787173423351E-2</v>
      </c>
      <c r="K76" s="20">
        <v>7.8297072449686844E-4</v>
      </c>
      <c r="L76" s="20">
        <v>0</v>
      </c>
    </row>
    <row r="77" spans="1:12">
      <c r="A77" s="2" t="s">
        <v>431</v>
      </c>
      <c r="B77" s="3" t="s">
        <v>432</v>
      </c>
      <c r="D77" s="20">
        <v>5.2335577479495576E-2</v>
      </c>
      <c r="E77" s="20">
        <v>0.35797090638519613</v>
      </c>
      <c r="F77" s="20">
        <v>0.11134513226477639</v>
      </c>
      <c r="G77" s="20">
        <v>2.3023258562792429E-2</v>
      </c>
      <c r="H77" s="20">
        <v>0</v>
      </c>
      <c r="I77" s="20">
        <v>0.22360251555762728</v>
      </c>
      <c r="J77" s="20">
        <v>7.7518924858446785E-3</v>
      </c>
      <c r="K77" s="20">
        <v>0.58194162364946367</v>
      </c>
      <c r="L77" s="20">
        <v>0</v>
      </c>
    </row>
    <row r="78" spans="1:12">
      <c r="A78" s="2" t="s">
        <v>433</v>
      </c>
      <c r="B78" s="3" t="s">
        <v>434</v>
      </c>
      <c r="D78" s="20">
        <v>3.8777604886238867E-2</v>
      </c>
      <c r="E78" s="20">
        <v>0.63027323528607637</v>
      </c>
      <c r="F78" s="20">
        <v>1.4779345304131306E-2</v>
      </c>
      <c r="G78" s="20">
        <v>3.8190096122066347E-3</v>
      </c>
      <c r="H78" s="20">
        <v>0</v>
      </c>
      <c r="I78" s="20">
        <v>0.61167488036973838</v>
      </c>
      <c r="J78" s="20">
        <v>2.0495320230627303E-3</v>
      </c>
      <c r="K78" s="20">
        <v>0.32889962780462206</v>
      </c>
      <c r="L78" s="20">
        <v>0</v>
      </c>
    </row>
    <row r="79" spans="1:12">
      <c r="A79" s="2" t="s">
        <v>435</v>
      </c>
      <c r="B79" s="3" t="s">
        <v>436</v>
      </c>
      <c r="D79" s="20">
        <v>1.0548864580592775E-2</v>
      </c>
      <c r="E79" s="20">
        <v>0.53953633118244837</v>
      </c>
      <c r="F79" s="20">
        <v>3.2024321128371516E-2</v>
      </c>
      <c r="G79" s="20">
        <v>7.7015029736152204E-3</v>
      </c>
      <c r="H79" s="20">
        <v>0</v>
      </c>
      <c r="I79" s="20">
        <v>0.49981050708046165</v>
      </c>
      <c r="J79" s="20">
        <v>3.1405711594755317E-3</v>
      </c>
      <c r="K79" s="20">
        <v>0.44677423307748332</v>
      </c>
      <c r="L79" s="20">
        <v>0</v>
      </c>
    </row>
    <row r="80" spans="1:12">
      <c r="A80" s="2" t="s">
        <v>437</v>
      </c>
      <c r="B80" s="3" t="s">
        <v>438</v>
      </c>
      <c r="D80" s="20">
        <v>1.8225781397297528E-9</v>
      </c>
      <c r="E80" s="20">
        <v>0.94864559414292637</v>
      </c>
      <c r="F80" s="20">
        <v>0.92078956546996849</v>
      </c>
      <c r="G80" s="20">
        <v>6.8251248189939574E-4</v>
      </c>
      <c r="H80" s="20">
        <v>0</v>
      </c>
      <c r="I80" s="20">
        <v>2.7173516191058462E-2</v>
      </c>
      <c r="J80" s="20">
        <v>5.0412464058477519E-2</v>
      </c>
      <c r="K80" s="20">
        <v>9.4193997601809722E-4</v>
      </c>
      <c r="L80" s="20">
        <v>0</v>
      </c>
    </row>
    <row r="81" spans="1:12">
      <c r="A81" s="2" t="s">
        <v>440</v>
      </c>
      <c r="B81" s="3" t="s">
        <v>441</v>
      </c>
      <c r="D81" s="20">
        <v>1.8422697140379617E-13</v>
      </c>
      <c r="E81" s="20">
        <v>0.96977158851593848</v>
      </c>
      <c r="F81" s="20">
        <v>9.0955177865999543E-5</v>
      </c>
      <c r="G81" s="20">
        <v>3.5377161390604369E-5</v>
      </c>
      <c r="H81" s="20">
        <v>0</v>
      </c>
      <c r="I81" s="20">
        <v>0.96964525617668185</v>
      </c>
      <c r="J81" s="20">
        <v>1.3458561931514056E-3</v>
      </c>
      <c r="K81" s="20">
        <v>2.8882555290725882E-2</v>
      </c>
      <c r="L81" s="20">
        <v>0</v>
      </c>
    </row>
    <row r="82" spans="1:12">
      <c r="A82" s="2" t="s">
        <v>442</v>
      </c>
      <c r="B82" s="3" t="s">
        <v>443</v>
      </c>
      <c r="D82" s="20">
        <v>8.7690952460254569E-5</v>
      </c>
      <c r="E82" s="20">
        <v>0.77248428522868096</v>
      </c>
      <c r="F82" s="20">
        <v>5.8509852342000564E-3</v>
      </c>
      <c r="G82" s="20">
        <v>1.6456010563817469E-3</v>
      </c>
      <c r="H82" s="20">
        <v>0</v>
      </c>
      <c r="I82" s="20">
        <v>0.76498769893809915</v>
      </c>
      <c r="J82" s="20">
        <v>1.5691345504365108E-3</v>
      </c>
      <c r="K82" s="20">
        <v>0.22585888926842224</v>
      </c>
      <c r="L82" s="20">
        <v>0</v>
      </c>
    </row>
    <row r="83" spans="1:12">
      <c r="A83" s="2" t="s">
        <v>444</v>
      </c>
      <c r="B83" s="3" t="s">
        <v>445</v>
      </c>
      <c r="D83" s="20">
        <v>1.0600193027098341E-3</v>
      </c>
      <c r="E83" s="20">
        <v>0.3894178284759125</v>
      </c>
      <c r="F83" s="20">
        <v>0.10101549321026101</v>
      </c>
      <c r="G83" s="20">
        <v>2.1314912001400493E-2</v>
      </c>
      <c r="H83" s="20">
        <v>0</v>
      </c>
      <c r="I83" s="20">
        <v>0.267087423264251</v>
      </c>
      <c r="J83" s="20">
        <v>7.2452963337995471E-3</v>
      </c>
      <c r="K83" s="20">
        <v>0.60227685588757796</v>
      </c>
      <c r="L83" s="20">
        <v>0</v>
      </c>
    </row>
    <row r="84" spans="1:12">
      <c r="A84" s="2" t="s">
        <v>446</v>
      </c>
      <c r="B84" s="3" t="s">
        <v>447</v>
      </c>
      <c r="D84" s="20">
        <v>5.6714634272867952E-15</v>
      </c>
      <c r="E84" s="20">
        <v>0.93652678238030118</v>
      </c>
      <c r="F84" s="20">
        <v>4.0866679396929924E-4</v>
      </c>
      <c r="G84" s="20">
        <v>1.419269618329556E-4</v>
      </c>
      <c r="H84" s="20">
        <v>0</v>
      </c>
      <c r="I84" s="20">
        <v>0.93597618862449894</v>
      </c>
      <c r="J84" s="20">
        <v>1.3323179448881321E-3</v>
      </c>
      <c r="K84" s="20">
        <v>6.214089967480492E-2</v>
      </c>
      <c r="L84" s="20">
        <v>0</v>
      </c>
    </row>
    <row r="85" spans="1:12">
      <c r="A85" s="2" t="s">
        <v>448</v>
      </c>
      <c r="B85" s="3" t="s">
        <v>449</v>
      </c>
      <c r="D85" s="20">
        <v>3.9697464465707705E-8</v>
      </c>
      <c r="E85" s="20">
        <v>0.98660433972129824</v>
      </c>
      <c r="F85" s="20">
        <v>1.6689256272045725E-5</v>
      </c>
      <c r="G85" s="20">
        <v>7.3643180900034789E-6</v>
      </c>
      <c r="H85" s="20">
        <v>0</v>
      </c>
      <c r="I85" s="20">
        <v>0.98658028614693616</v>
      </c>
      <c r="J85" s="20">
        <v>1.3606462189558858E-3</v>
      </c>
      <c r="K85" s="20">
        <v>1.2034974362281379E-2</v>
      </c>
      <c r="L85" s="20">
        <v>0</v>
      </c>
    </row>
    <row r="86" spans="1:12">
      <c r="A86" s="2" t="s">
        <v>450</v>
      </c>
      <c r="B86" s="3" t="s">
        <v>451</v>
      </c>
      <c r="D86" s="20">
        <v>1.4265347752116644E-8</v>
      </c>
      <c r="E86" s="20">
        <v>0.93802670888153883</v>
      </c>
      <c r="F86" s="20">
        <v>3.8936470212672049E-4</v>
      </c>
      <c r="G86" s="20">
        <v>1.3572258832588284E-4</v>
      </c>
      <c r="H86" s="20">
        <v>0</v>
      </c>
      <c r="I86" s="20">
        <v>0.93750162159108619</v>
      </c>
      <c r="J86" s="20">
        <v>1.3324989367062801E-3</v>
      </c>
      <c r="K86" s="20">
        <v>6.0640777916407186E-2</v>
      </c>
      <c r="L86" s="20">
        <v>0</v>
      </c>
    </row>
    <row r="87" spans="1:12">
      <c r="A87" s="2" t="s">
        <v>452</v>
      </c>
      <c r="B87" s="3" t="s">
        <v>453</v>
      </c>
      <c r="D87" s="20">
        <v>2.5408890791635611E-7</v>
      </c>
      <c r="E87" s="20">
        <v>0.47660752325437422</v>
      </c>
      <c r="F87" s="20">
        <v>0.11216566138772723</v>
      </c>
      <c r="G87" s="20">
        <v>0.36170580341529401</v>
      </c>
      <c r="H87" s="20">
        <v>0</v>
      </c>
      <c r="I87" s="20">
        <v>2.7360584513529997E-3</v>
      </c>
      <c r="J87" s="20">
        <v>0.12393699655377229</v>
      </c>
      <c r="K87" s="20">
        <v>0.39945522610294554</v>
      </c>
      <c r="L87" s="20">
        <v>0</v>
      </c>
    </row>
    <row r="88" spans="1:12">
      <c r="A88" s="2" t="s">
        <v>454</v>
      </c>
      <c r="B88" s="3" t="s">
        <v>455</v>
      </c>
      <c r="D88" s="20">
        <v>4.4997168382494339E-5</v>
      </c>
      <c r="E88" s="20">
        <v>0.69377724453510536</v>
      </c>
      <c r="F88" s="20">
        <v>1.1562703783166216E-2</v>
      </c>
      <c r="G88" s="20">
        <v>3.0658786086607058E-3</v>
      </c>
      <c r="H88" s="20">
        <v>0</v>
      </c>
      <c r="I88" s="20">
        <v>0.6791486621432784</v>
      </c>
      <c r="J88" s="20">
        <v>1.9018371731366339E-3</v>
      </c>
      <c r="K88" s="20">
        <v>0.3042759211233757</v>
      </c>
      <c r="L88" s="20">
        <v>0</v>
      </c>
    </row>
    <row r="89" spans="1:12">
      <c r="A89" s="2" t="s">
        <v>456</v>
      </c>
      <c r="B89" s="3" t="s">
        <v>457</v>
      </c>
      <c r="D89" s="20">
        <v>2.9167902922294342E-17</v>
      </c>
      <c r="E89" s="20">
        <v>0.75883960237403647</v>
      </c>
      <c r="F89" s="20">
        <v>6.6677517303642174E-3</v>
      </c>
      <c r="G89" s="20">
        <v>1.854705569618332E-3</v>
      </c>
      <c r="H89" s="20">
        <v>0</v>
      </c>
      <c r="I89" s="20">
        <v>0.75031714507405389</v>
      </c>
      <c r="J89" s="20">
        <v>1.6151238300171396E-3</v>
      </c>
      <c r="K89" s="20">
        <v>0.23954527379594628</v>
      </c>
      <c r="L89" s="20">
        <v>0</v>
      </c>
    </row>
    <row r="90" spans="1:12">
      <c r="A90" s="2" t="s">
        <v>458</v>
      </c>
      <c r="B90" s="3" t="s">
        <v>459</v>
      </c>
      <c r="D90" s="20">
        <v>4.2582299783635899E-29</v>
      </c>
      <c r="E90" s="20">
        <v>0.88003778183016912</v>
      </c>
      <c r="F90" s="20">
        <v>1.497970731922964E-3</v>
      </c>
      <c r="G90" s="20">
        <v>4.7054253011414541E-4</v>
      </c>
      <c r="H90" s="20">
        <v>0</v>
      </c>
      <c r="I90" s="20">
        <v>0.87806926856813206</v>
      </c>
      <c r="J90" s="20">
        <v>1.3548924269537583E-3</v>
      </c>
      <c r="K90" s="20">
        <v>0.11860732574287701</v>
      </c>
      <c r="L90" s="20">
        <v>0</v>
      </c>
    </row>
    <row r="91" spans="1:12">
      <c r="A91" s="2" t="s">
        <v>460</v>
      </c>
      <c r="B91" s="3" t="s">
        <v>461</v>
      </c>
      <c r="D91" s="20">
        <v>2.2980615031881603E-7</v>
      </c>
      <c r="E91" s="20">
        <v>0.41503277013516271</v>
      </c>
      <c r="F91" s="20">
        <v>0.24296060617404783</v>
      </c>
      <c r="G91" s="20">
        <v>0.15657824386016783</v>
      </c>
      <c r="H91" s="20">
        <v>0</v>
      </c>
      <c r="I91" s="20">
        <v>1.5493920100947077E-2</v>
      </c>
      <c r="J91" s="20">
        <v>5.2559642699939429E-2</v>
      </c>
      <c r="K91" s="20">
        <v>0.53240735735874756</v>
      </c>
      <c r="L91" s="20">
        <v>0</v>
      </c>
    </row>
    <row r="92" spans="1:12">
      <c r="A92" s="2" t="s">
        <v>462</v>
      </c>
      <c r="B92" s="3" t="s">
        <v>463</v>
      </c>
      <c r="D92" s="20">
        <v>8.1491708310710087E-9</v>
      </c>
      <c r="E92" s="20">
        <v>0.41978401697188245</v>
      </c>
      <c r="F92" s="20">
        <v>7.6733964513440361E-2</v>
      </c>
      <c r="G92" s="20">
        <v>1.676807440011676E-2</v>
      </c>
      <c r="H92" s="20">
        <v>0</v>
      </c>
      <c r="I92" s="20">
        <v>0.32628197805832532</v>
      </c>
      <c r="J92" s="20">
        <v>5.8405859190752991E-3</v>
      </c>
      <c r="K92" s="20">
        <v>0.57437538895987139</v>
      </c>
      <c r="L92" s="20">
        <v>0</v>
      </c>
    </row>
    <row r="93" spans="1:12">
      <c r="A93" s="2" t="s">
        <v>464</v>
      </c>
      <c r="B93" s="3" t="s">
        <v>465</v>
      </c>
      <c r="D93" s="20">
        <v>6.3439897845863854E-4</v>
      </c>
      <c r="E93" s="20">
        <v>0.37363575160195039</v>
      </c>
      <c r="F93" s="20">
        <v>0.20827478262790347</v>
      </c>
      <c r="G93" s="20">
        <v>3.9421418301778671E-2</v>
      </c>
      <c r="H93" s="20">
        <v>0</v>
      </c>
      <c r="I93" s="20">
        <v>0.12593955067226825</v>
      </c>
      <c r="J93" s="20">
        <v>1.3034088178248757E-2</v>
      </c>
      <c r="K93" s="20">
        <v>0.61269576124134228</v>
      </c>
      <c r="L93" s="20">
        <v>0</v>
      </c>
    </row>
    <row r="94" spans="1:12">
      <c r="A94" s="2" t="s">
        <v>466</v>
      </c>
      <c r="B94" s="3" t="s">
        <v>467</v>
      </c>
      <c r="D94" s="20">
        <v>2.01604405381933E-18</v>
      </c>
      <c r="E94" s="20">
        <v>0.99839928630837782</v>
      </c>
      <c r="F94" s="20">
        <v>1.154639210787026E-2</v>
      </c>
      <c r="G94" s="20">
        <v>1.5173466015095109E-6</v>
      </c>
      <c r="H94" s="20">
        <v>0</v>
      </c>
      <c r="I94" s="20">
        <v>0.986851376853906</v>
      </c>
      <c r="J94" s="20">
        <v>1.4254074306998691E-3</v>
      </c>
      <c r="K94" s="20">
        <v>1.7530626092234077E-4</v>
      </c>
      <c r="L94" s="20">
        <v>0</v>
      </c>
    </row>
    <row r="95" spans="1:12">
      <c r="A95" s="2" t="s">
        <v>468</v>
      </c>
      <c r="B95" s="3" t="s">
        <v>469</v>
      </c>
      <c r="D95" s="20">
        <v>9.3514802046247907E-18</v>
      </c>
      <c r="E95" s="20">
        <v>0.44105841703665272</v>
      </c>
      <c r="F95" s="20">
        <v>0.32423102837371415</v>
      </c>
      <c r="G95" s="20">
        <v>8.0213991774343477E-2</v>
      </c>
      <c r="H95" s="20">
        <v>0</v>
      </c>
      <c r="I95" s="20">
        <v>3.6613396888595114E-2</v>
      </c>
      <c r="J95" s="20">
        <v>2.6633869158194868E-2</v>
      </c>
      <c r="K95" s="20">
        <v>0.53230771380515229</v>
      </c>
      <c r="L95" s="20">
        <v>0</v>
      </c>
    </row>
    <row r="96" spans="1:12">
      <c r="A96" s="2" t="s">
        <v>470</v>
      </c>
      <c r="B96" s="163">
        <v>354656</v>
      </c>
      <c r="D96" s="20">
        <v>3.6730669542346271E-10</v>
      </c>
      <c r="E96" s="20">
        <v>0.96865561897499342</v>
      </c>
      <c r="F96" s="20">
        <v>9.792713748827032E-5</v>
      </c>
      <c r="G96" s="20">
        <v>3.7879009595255425E-5</v>
      </c>
      <c r="H96" s="20">
        <v>0</v>
      </c>
      <c r="I96" s="20">
        <v>0.96851981282790989</v>
      </c>
      <c r="J96" s="20">
        <v>1.3450720457479617E-3</v>
      </c>
      <c r="K96" s="20">
        <v>2.9999308611951811E-2</v>
      </c>
      <c r="L96" s="20">
        <v>0</v>
      </c>
    </row>
    <row r="97" spans="1:12">
      <c r="A97" s="2" t="s">
        <v>472</v>
      </c>
      <c r="B97" s="3" t="s">
        <v>473</v>
      </c>
      <c r="D97" s="20">
        <v>5.667543737027196E-10</v>
      </c>
      <c r="E97" s="20">
        <v>0.93576390031386547</v>
      </c>
      <c r="F97" s="20">
        <v>4.1866735161644783E-4</v>
      </c>
      <c r="G97" s="20">
        <v>1.4513249139270012E-4</v>
      </c>
      <c r="H97" s="20">
        <v>0</v>
      </c>
      <c r="I97" s="20">
        <v>0.93520010047085633</v>
      </c>
      <c r="J97" s="20">
        <v>1.3322412867536756E-3</v>
      </c>
      <c r="K97" s="20">
        <v>6.2903857832626531E-2</v>
      </c>
      <c r="L97" s="20">
        <v>0</v>
      </c>
    </row>
    <row r="98" spans="1:12">
      <c r="A98" s="2" t="s">
        <v>474</v>
      </c>
      <c r="B98" s="3" t="s">
        <v>475</v>
      </c>
      <c r="D98" s="20">
        <v>1.8982067064093941E-19</v>
      </c>
      <c r="E98" s="20">
        <v>0.41593636209007129</v>
      </c>
      <c r="F98" s="20">
        <v>0.28961277725351237</v>
      </c>
      <c r="G98" s="20">
        <v>5.148885968625392E-2</v>
      </c>
      <c r="H98" s="20">
        <v>0</v>
      </c>
      <c r="I98" s="20">
        <v>7.4834725150305023E-2</v>
      </c>
      <c r="J98" s="20">
        <v>1.7007697719115346E-2</v>
      </c>
      <c r="K98" s="20">
        <v>0.5670559401908134</v>
      </c>
      <c r="L98" s="20">
        <v>0</v>
      </c>
    </row>
    <row r="99" spans="1:12">
      <c r="A99" s="2" t="s">
        <v>476</v>
      </c>
      <c r="B99" s="3" t="s">
        <v>477</v>
      </c>
      <c r="D99" s="20">
        <v>1.7325392311285106E-7</v>
      </c>
      <c r="E99" s="20">
        <v>0.99030282838013439</v>
      </c>
      <c r="F99" s="20">
        <v>8.2140490579981233E-6</v>
      </c>
      <c r="G99" s="20">
        <v>3.819907510620333E-6</v>
      </c>
      <c r="H99" s="20">
        <v>0</v>
      </c>
      <c r="I99" s="20">
        <v>0.99029079442356582</v>
      </c>
      <c r="J99" s="20">
        <v>1.3646872352101559E-3</v>
      </c>
      <c r="K99" s="20">
        <v>8.3323111307323627E-3</v>
      </c>
      <c r="L99" s="20">
        <v>0</v>
      </c>
    </row>
    <row r="100" spans="1:12">
      <c r="A100" s="2" t="s">
        <v>478</v>
      </c>
      <c r="B100" s="3" t="s">
        <v>479</v>
      </c>
      <c r="D100" s="20">
        <v>6.6591594939329865E-11</v>
      </c>
      <c r="E100" s="20">
        <v>0.57064480110972571</v>
      </c>
      <c r="F100" s="20">
        <v>2.7446920963819576E-2</v>
      </c>
      <c r="G100" s="20">
        <v>6.7110301060981448E-3</v>
      </c>
      <c r="H100" s="20">
        <v>0</v>
      </c>
      <c r="I100" s="20">
        <v>0.53648685003980801</v>
      </c>
      <c r="J100" s="20">
        <v>2.8721073303915865E-3</v>
      </c>
      <c r="K100" s="20">
        <v>0.42648309149329128</v>
      </c>
      <c r="L100" s="20">
        <v>0</v>
      </c>
    </row>
    <row r="101" spans="1:12">
      <c r="A101" s="2" t="s">
        <v>480</v>
      </c>
      <c r="B101" s="3" t="s">
        <v>481</v>
      </c>
      <c r="D101" s="20">
        <v>4.6623494617820725E-11</v>
      </c>
      <c r="E101" s="20">
        <v>0.98468769877443318</v>
      </c>
      <c r="F101" s="20">
        <v>2.2206444944571744E-5</v>
      </c>
      <c r="G101" s="20">
        <v>9.5934450602542258E-6</v>
      </c>
      <c r="H101" s="20">
        <v>0</v>
      </c>
      <c r="I101" s="20">
        <v>0.98465589888442839</v>
      </c>
      <c r="J101" s="20">
        <v>1.3586705215582683E-3</v>
      </c>
      <c r="K101" s="20">
        <v>1.3953630657385151E-2</v>
      </c>
      <c r="L101" s="20">
        <v>0</v>
      </c>
    </row>
    <row r="102" spans="1:12">
      <c r="A102" s="2" t="s">
        <v>482</v>
      </c>
      <c r="B102" s="3" t="s">
        <v>483</v>
      </c>
      <c r="D102" s="20">
        <v>2.9296814721182881E-27</v>
      </c>
      <c r="E102" s="20">
        <v>0.99508716303845068</v>
      </c>
      <c r="F102" s="20">
        <v>1.5845086682762828E-6</v>
      </c>
      <c r="G102" s="20">
        <v>8.3212807488945482E-7</v>
      </c>
      <c r="H102" s="20">
        <v>0</v>
      </c>
      <c r="I102" s="20">
        <v>0.99508474640170752</v>
      </c>
      <c r="J102" s="20">
        <v>1.3703944966019219E-3</v>
      </c>
      <c r="K102" s="20">
        <v>3.5424424649475044E-3</v>
      </c>
      <c r="L102" s="20">
        <v>0</v>
      </c>
    </row>
    <row r="103" spans="1:12">
      <c r="A103" s="2" t="s">
        <v>484</v>
      </c>
      <c r="B103" s="3" t="s">
        <v>485</v>
      </c>
      <c r="D103" s="20">
        <v>2.3369504705111644E-13</v>
      </c>
      <c r="E103" s="20">
        <v>0.99056764267546638</v>
      </c>
      <c r="F103" s="20">
        <v>7.7183367509709513E-6</v>
      </c>
      <c r="G103" s="20">
        <v>3.6059464942361794E-6</v>
      </c>
      <c r="H103" s="20">
        <v>0</v>
      </c>
      <c r="I103" s="20">
        <v>0.99055631839222114</v>
      </c>
      <c r="J103" s="20">
        <v>1.3649885678552415E-3</v>
      </c>
      <c r="K103" s="20">
        <v>8.0673687564444332E-3</v>
      </c>
      <c r="L103" s="20">
        <v>0</v>
      </c>
    </row>
    <row r="104" spans="1:12">
      <c r="A104" s="2" t="s">
        <v>486</v>
      </c>
      <c r="B104" s="3" t="s">
        <v>487</v>
      </c>
      <c r="D104" s="20">
        <v>2.8839352723488171E-9</v>
      </c>
      <c r="E104" s="20">
        <v>0.95328300983110692</v>
      </c>
      <c r="F104" s="20">
        <v>2.1991746647935159E-4</v>
      </c>
      <c r="G104" s="20">
        <v>8.0048883526805879E-5</v>
      </c>
      <c r="H104" s="20">
        <v>0</v>
      </c>
      <c r="I104" s="20">
        <v>0.95298304348110074</v>
      </c>
      <c r="J104" s="20">
        <v>1.3366301296136702E-3</v>
      </c>
      <c r="K104" s="20">
        <v>4.5380357155344289E-2</v>
      </c>
      <c r="L104" s="20">
        <v>0</v>
      </c>
    </row>
    <row r="105" spans="1:12">
      <c r="A105" s="2" t="s">
        <v>488</v>
      </c>
      <c r="B105" s="3" t="s">
        <v>489</v>
      </c>
      <c r="D105" s="20">
        <v>2.329979519002797E-16</v>
      </c>
      <c r="E105" s="20">
        <v>0.9943819942461356</v>
      </c>
      <c r="F105" s="20">
        <v>2.2471202757820164E-6</v>
      </c>
      <c r="G105" s="20">
        <v>1.150063641588424E-6</v>
      </c>
      <c r="H105" s="20">
        <v>0</v>
      </c>
      <c r="I105" s="20">
        <v>0.99437859706221821</v>
      </c>
      <c r="J105" s="20">
        <v>1.3695166933579376E-3</v>
      </c>
      <c r="K105" s="20">
        <v>4.2484890605063745E-3</v>
      </c>
      <c r="L105" s="20">
        <v>0</v>
      </c>
    </row>
    <row r="106" spans="1:12">
      <c r="A106" s="2" t="s">
        <v>490</v>
      </c>
      <c r="B106" s="3" t="s">
        <v>491</v>
      </c>
      <c r="D106" s="20">
        <v>1.3025517918092614E-8</v>
      </c>
      <c r="E106" s="20">
        <v>0.85012603074217463</v>
      </c>
      <c r="F106" s="20">
        <v>2.3826991809851455E-3</v>
      </c>
      <c r="G106" s="20">
        <v>7.2138111857357413E-4</v>
      </c>
      <c r="H106" s="20">
        <v>0</v>
      </c>
      <c r="I106" s="20">
        <v>0.84702195044261597</v>
      </c>
      <c r="J106" s="20">
        <v>1.3907278917592279E-3</v>
      </c>
      <c r="K106" s="20">
        <v>0.14848322834054825</v>
      </c>
      <c r="L106" s="20">
        <v>0</v>
      </c>
    </row>
    <row r="107" spans="1:12">
      <c r="A107" s="2" t="s">
        <v>492</v>
      </c>
      <c r="B107" s="3" t="s">
        <v>493</v>
      </c>
      <c r="D107" s="20">
        <v>9.6758872219330118E-16</v>
      </c>
      <c r="E107" s="20">
        <v>0.43973138535622919</v>
      </c>
      <c r="F107" s="20">
        <v>0.32326970927957122</v>
      </c>
      <c r="G107" s="20">
        <v>5.611262269441137E-2</v>
      </c>
      <c r="H107" s="20">
        <v>0</v>
      </c>
      <c r="I107" s="20">
        <v>6.0349053382246588E-2</v>
      </c>
      <c r="J107" s="20">
        <v>1.8550699238011129E-2</v>
      </c>
      <c r="K107" s="20">
        <v>0.54171791540575853</v>
      </c>
      <c r="L107" s="20">
        <v>0</v>
      </c>
    </row>
    <row r="108" spans="1:12">
      <c r="A108" s="2" t="s">
        <v>291</v>
      </c>
      <c r="B108" s="3" t="s">
        <v>494</v>
      </c>
      <c r="D108" s="20">
        <v>3.6273523302537967E-10</v>
      </c>
      <c r="E108" s="20">
        <v>0.61055479488354725</v>
      </c>
      <c r="F108" s="20">
        <v>2.1060271043207682E-2</v>
      </c>
      <c r="G108" s="20">
        <v>5.2839598815511302E-3</v>
      </c>
      <c r="H108" s="20">
        <v>0</v>
      </c>
      <c r="I108" s="20">
        <v>0.58421056395878845</v>
      </c>
      <c r="J108" s="20">
        <v>2.4797983025944478E-3</v>
      </c>
      <c r="K108" s="20">
        <v>0.3869654064511231</v>
      </c>
      <c r="L108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08"/>
  <sheetViews>
    <sheetView workbookViewId="0">
      <pane ySplit="1" topLeftCell="A2" activePane="bottomLeft" state="frozen"/>
      <selection pane="bottomLeft" activeCell="K108" sqref="K108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313</v>
      </c>
      <c r="B2" s="3" t="s">
        <v>314</v>
      </c>
      <c r="D2" s="14">
        <v>3.7783814424048193E-9</v>
      </c>
      <c r="E2" s="14">
        <v>3.2295756653408076E-5</v>
      </c>
      <c r="F2" s="14">
        <v>1.5359603841636407E-7</v>
      </c>
      <c r="G2" s="14">
        <v>4.4737897462057548E-8</v>
      </c>
      <c r="H2" s="14">
        <v>0</v>
      </c>
      <c r="I2" s="14">
        <v>5.8442363771994148E-8</v>
      </c>
      <c r="J2" s="14">
        <v>7.4436886654991127E-6</v>
      </c>
      <c r="K2" s="14">
        <v>0</v>
      </c>
      <c r="L2" s="21"/>
      <c r="M2" s="102"/>
    </row>
    <row r="3" spans="1:23">
      <c r="A3" s="2" t="s">
        <v>315</v>
      </c>
      <c r="B3" s="3" t="s">
        <v>316</v>
      </c>
      <c r="D3" s="14">
        <v>7.2162403657917768E-7</v>
      </c>
      <c r="E3" s="14">
        <v>1.3218149368318718E-7</v>
      </c>
      <c r="F3" s="14">
        <v>4.8841074023039408E-6</v>
      </c>
      <c r="G3" s="14">
        <v>1.3233684024576327E-5</v>
      </c>
      <c r="H3" s="14">
        <v>0</v>
      </c>
      <c r="I3" s="14">
        <v>4.5242443257351657E-6</v>
      </c>
      <c r="J3" s="14">
        <v>1.6504158717122205E-5</v>
      </c>
      <c r="K3" s="14">
        <v>0</v>
      </c>
      <c r="L3" s="21"/>
      <c r="M3" s="102"/>
    </row>
    <row r="4" spans="1:23">
      <c r="A4" s="2" t="s">
        <v>317</v>
      </c>
      <c r="B4" s="3" t="s">
        <v>318</v>
      </c>
      <c r="D4" s="14">
        <v>2.4427501278378873E-16</v>
      </c>
      <c r="E4" s="14">
        <v>1.9644397309482979E-5</v>
      </c>
      <c r="F4" s="14">
        <v>1.3910836928528525E-6</v>
      </c>
      <c r="G4" s="14">
        <v>3.3208466020458022E-7</v>
      </c>
      <c r="H4" s="14">
        <v>0</v>
      </c>
      <c r="I4" s="14">
        <v>1.3287236136590578E-7</v>
      </c>
      <c r="J4" s="14">
        <v>1.8499561975849408E-5</v>
      </c>
      <c r="K4" s="14">
        <v>0</v>
      </c>
      <c r="L4" s="21"/>
    </row>
    <row r="5" spans="1:23">
      <c r="A5" s="2" t="s">
        <v>307</v>
      </c>
      <c r="B5" s="3" t="s">
        <v>308</v>
      </c>
      <c r="D5" s="14">
        <v>2.2098380167929029E-8</v>
      </c>
      <c r="E5" s="14">
        <v>1.2777918246061652E-6</v>
      </c>
      <c r="F5" s="14">
        <v>1.244613924700346E-5</v>
      </c>
      <c r="G5" s="14">
        <v>3.611854201026288E-6</v>
      </c>
      <c r="H5" s="14">
        <v>0</v>
      </c>
      <c r="I5" s="14">
        <v>1.201224730710938E-6</v>
      </c>
      <c r="J5" s="14">
        <v>2.1440891616485228E-5</v>
      </c>
      <c r="K5" s="14">
        <v>0</v>
      </c>
      <c r="L5" s="21"/>
    </row>
    <row r="6" spans="1:23">
      <c r="A6" s="2" t="s">
        <v>319</v>
      </c>
      <c r="B6" s="3" t="s">
        <v>320</v>
      </c>
      <c r="D6" s="14">
        <v>2.5879700185219074E-9</v>
      </c>
      <c r="E6" s="14">
        <v>6.5066718601258693E-8</v>
      </c>
      <c r="F6" s="14">
        <v>3.4287313286272474E-6</v>
      </c>
      <c r="G6" s="14">
        <v>1.683949297289514E-5</v>
      </c>
      <c r="H6" s="14">
        <v>0</v>
      </c>
      <c r="I6" s="14">
        <v>5.8016183794530774E-6</v>
      </c>
      <c r="J6" s="14">
        <v>1.3862502630404754E-5</v>
      </c>
      <c r="K6" s="14">
        <v>0</v>
      </c>
      <c r="L6" s="21"/>
      <c r="M6" s="12"/>
    </row>
    <row r="7" spans="1:23">
      <c r="A7" s="2" t="s">
        <v>321</v>
      </c>
      <c r="B7" s="3" t="s">
        <v>322</v>
      </c>
      <c r="D7" s="14">
        <v>3.5633254680275587E-9</v>
      </c>
      <c r="E7" s="14">
        <v>1.2143815387525373E-7</v>
      </c>
      <c r="F7" s="14">
        <v>4.7263916542489207E-6</v>
      </c>
      <c r="G7" s="14">
        <v>1.3970928245799908E-5</v>
      </c>
      <c r="H7" s="14">
        <v>0</v>
      </c>
      <c r="I7" s="14">
        <v>4.7816792607314511E-6</v>
      </c>
      <c r="J7" s="14">
        <v>1.6395999359876446E-5</v>
      </c>
      <c r="K7" s="14">
        <v>0</v>
      </c>
      <c r="L7" s="21"/>
      <c r="M7" s="12"/>
    </row>
    <row r="8" spans="1:23">
      <c r="A8" s="2" t="s">
        <v>323</v>
      </c>
      <c r="B8" s="3" t="s">
        <v>324</v>
      </c>
      <c r="D8" s="14">
        <v>3.1216305166931269E-8</v>
      </c>
      <c r="E8" s="14">
        <v>2.5091184401469542E-7</v>
      </c>
      <c r="F8" s="14">
        <v>6.6719950062189628E-6</v>
      </c>
      <c r="G8" s="14">
        <v>1.0417206372646986E-5</v>
      </c>
      <c r="H8" s="14">
        <v>0</v>
      </c>
      <c r="I8" s="14">
        <v>3.5361221477486406E-6</v>
      </c>
      <c r="J8" s="14">
        <v>1.9092548324203787E-5</v>
      </c>
      <c r="K8" s="14">
        <v>0</v>
      </c>
      <c r="L8" s="21"/>
      <c r="M8" s="12"/>
    </row>
    <row r="9" spans="1:23">
      <c r="A9" s="2" t="s">
        <v>325</v>
      </c>
      <c r="B9" s="3" t="s">
        <v>326</v>
      </c>
      <c r="D9" s="14">
        <v>1.1318103449826773E-8</v>
      </c>
      <c r="E9" s="14">
        <v>6.6492601309904712E-6</v>
      </c>
      <c r="F9" s="14">
        <v>6.6688027809252369E-6</v>
      </c>
      <c r="G9" s="14">
        <v>1.3096143627944332E-6</v>
      </c>
      <c r="H9" s="14">
        <v>0</v>
      </c>
      <c r="I9" s="14">
        <v>4.3480550389398378E-7</v>
      </c>
      <c r="J9" s="14">
        <v>2.4926199117946057E-5</v>
      </c>
      <c r="K9" s="14">
        <v>0</v>
      </c>
      <c r="L9" s="21"/>
      <c r="M9" s="12"/>
    </row>
    <row r="10" spans="1:23">
      <c r="A10" s="2" t="s">
        <v>275</v>
      </c>
      <c r="B10" s="3" t="s">
        <v>276</v>
      </c>
      <c r="D10" s="14">
        <v>2.8330632138997628E-10</v>
      </c>
      <c r="E10" s="14">
        <v>1.1857576344196474E-6</v>
      </c>
      <c r="F10" s="14">
        <v>1.2165514477550842E-5</v>
      </c>
      <c r="G10" s="14">
        <v>3.8514657066407612E-6</v>
      </c>
      <c r="H10" s="14">
        <v>0</v>
      </c>
      <c r="I10" s="14">
        <v>1.2821118700444689E-6</v>
      </c>
      <c r="J10" s="14">
        <v>2.1514867005022895E-5</v>
      </c>
      <c r="K10" s="14">
        <v>0</v>
      </c>
      <c r="L10" s="21"/>
      <c r="M10" s="12"/>
    </row>
    <row r="11" spans="1:23">
      <c r="A11" s="2" t="s">
        <v>327</v>
      </c>
      <c r="B11" s="3" t="s">
        <v>328</v>
      </c>
      <c r="D11" s="14">
        <v>1.4701475582017816E-8</v>
      </c>
      <c r="E11" s="14">
        <v>1.0435195538028686E-6</v>
      </c>
      <c r="F11" s="14">
        <v>1.1674415385562295E-5</v>
      </c>
      <c r="G11" s="14">
        <v>4.2729783973465397E-6</v>
      </c>
      <c r="H11" s="14">
        <v>0</v>
      </c>
      <c r="I11" s="14">
        <v>1.4247237815081394E-6</v>
      </c>
      <c r="J11" s="14">
        <v>2.1569661406198148E-5</v>
      </c>
      <c r="K11" s="14">
        <v>0</v>
      </c>
      <c r="L11" s="21"/>
      <c r="M11" s="12"/>
    </row>
    <row r="12" spans="1:23">
      <c r="A12" s="2" t="s">
        <v>329</v>
      </c>
      <c r="B12" s="3" t="s">
        <v>330</v>
      </c>
      <c r="D12" s="14">
        <v>6.8930373377459789E-9</v>
      </c>
      <c r="E12" s="14">
        <v>4.9676420594656088E-6</v>
      </c>
      <c r="F12" s="14">
        <v>8.4233499872189263E-6</v>
      </c>
      <c r="G12" s="14">
        <v>1.5914038383762756E-6</v>
      </c>
      <c r="H12" s="14">
        <v>0</v>
      </c>
      <c r="I12" s="14">
        <v>5.2611004352162559E-7</v>
      </c>
      <c r="J12" s="14">
        <v>2.448460103407982E-5</v>
      </c>
      <c r="K12" s="14">
        <v>0</v>
      </c>
      <c r="L12" s="21"/>
      <c r="M12" s="12"/>
    </row>
    <row r="13" spans="1:23">
      <c r="A13" s="2" t="s">
        <v>277</v>
      </c>
      <c r="B13" s="3" t="s">
        <v>278</v>
      </c>
      <c r="D13" s="14">
        <v>1.7873936968492384E-8</v>
      </c>
      <c r="E13" s="14">
        <v>6.4729147396548417E-6</v>
      </c>
      <c r="F13" s="14">
        <v>6.8248708425861735E-6</v>
      </c>
      <c r="G13" s="14">
        <v>1.335334262232996E-6</v>
      </c>
      <c r="H13" s="14">
        <v>0</v>
      </c>
      <c r="I13" s="14">
        <v>4.4308426147877671E-7</v>
      </c>
      <c r="J13" s="14">
        <v>2.4905921957078721E-5</v>
      </c>
      <c r="K13" s="14">
        <v>0</v>
      </c>
      <c r="L13" s="21"/>
      <c r="M13" s="12"/>
    </row>
    <row r="14" spans="1:23">
      <c r="A14" s="2" t="s">
        <v>331</v>
      </c>
      <c r="B14" s="3" t="s">
        <v>332</v>
      </c>
      <c r="D14" s="14">
        <v>9.7887346800419043E-9</v>
      </c>
      <c r="E14" s="14">
        <v>6.9184088228797516E-7</v>
      </c>
      <c r="F14" s="14">
        <v>1.0122802698146628E-5</v>
      </c>
      <c r="G14" s="14">
        <v>5.8089324672672894E-6</v>
      </c>
      <c r="H14" s="14">
        <v>0</v>
      </c>
      <c r="I14" s="14">
        <v>1.9471535001829643E-6</v>
      </c>
      <c r="J14" s="14">
        <v>2.1419481717435096E-5</v>
      </c>
      <c r="K14" s="14">
        <v>0</v>
      </c>
      <c r="L14" s="21"/>
      <c r="M14" s="12"/>
    </row>
    <row r="15" spans="1:23">
      <c r="A15" s="2" t="s">
        <v>333</v>
      </c>
      <c r="B15" s="3" t="s">
        <v>334</v>
      </c>
      <c r="D15" s="14">
        <v>1.6033268153772732E-11</v>
      </c>
      <c r="E15" s="14">
        <v>1.1129142945544018E-6</v>
      </c>
      <c r="F15" s="14">
        <v>1.1923294501631129E-5</v>
      </c>
      <c r="G15" s="14">
        <v>4.0587455586059471E-6</v>
      </c>
      <c r="H15" s="14">
        <v>0</v>
      </c>
      <c r="I15" s="14">
        <v>1.3521919913843463E-6</v>
      </c>
      <c r="J15" s="14">
        <v>2.1552837620556021E-5</v>
      </c>
      <c r="K15" s="14">
        <v>0</v>
      </c>
      <c r="L15" s="21"/>
      <c r="M15" s="12"/>
    </row>
    <row r="16" spans="1:23">
      <c r="A16" s="2" t="s">
        <v>335</v>
      </c>
      <c r="B16" s="3" t="s">
        <v>336</v>
      </c>
      <c r="D16" s="14">
        <v>8.0796938753748023E-8</v>
      </c>
      <c r="E16" s="14">
        <v>2.5861551215643862E-7</v>
      </c>
      <c r="F16" s="14">
        <v>6.7587926226718319E-6</v>
      </c>
      <c r="G16" s="14">
        <v>1.0250963254072104E-5</v>
      </c>
      <c r="H16" s="14">
        <v>0</v>
      </c>
      <c r="I16" s="14">
        <v>3.4783952055856554E-6</v>
      </c>
      <c r="J16" s="14">
        <v>1.9172436466760228E-5</v>
      </c>
      <c r="K16" s="14">
        <v>0</v>
      </c>
      <c r="L16" s="21"/>
      <c r="M16" s="12"/>
      <c r="U16" s="22"/>
      <c r="W16" s="22"/>
    </row>
    <row r="17" spans="1:13">
      <c r="A17" s="2" t="s">
        <v>337</v>
      </c>
      <c r="B17" s="3" t="s">
        <v>338</v>
      </c>
      <c r="D17" s="14">
        <v>5.6728294129633776E-9</v>
      </c>
      <c r="E17" s="14">
        <v>1.2467500337376981E-6</v>
      </c>
      <c r="F17" s="14">
        <v>1.235588731851709E-5</v>
      </c>
      <c r="G17" s="14">
        <v>3.6912162951018022E-6</v>
      </c>
      <c r="H17" s="14">
        <v>0</v>
      </c>
      <c r="I17" s="14">
        <v>1.227997574904407E-6</v>
      </c>
      <c r="J17" s="14">
        <v>2.1472475948326043E-5</v>
      </c>
      <c r="K17" s="14">
        <v>0</v>
      </c>
      <c r="L17" s="21"/>
      <c r="M17" s="12"/>
    </row>
    <row r="18" spans="1:13">
      <c r="A18" s="2" t="s">
        <v>279</v>
      </c>
      <c r="B18" s="3" t="s">
        <v>280</v>
      </c>
      <c r="D18" s="14">
        <v>3.1687750366801186E-7</v>
      </c>
      <c r="E18" s="14">
        <v>7.4204641728042819E-6</v>
      </c>
      <c r="F18" s="14">
        <v>5.9424511866312005E-6</v>
      </c>
      <c r="G18" s="14">
        <v>1.1864820665905949E-6</v>
      </c>
      <c r="H18" s="14">
        <v>0</v>
      </c>
      <c r="I18" s="14">
        <v>3.9519966993624681E-7</v>
      </c>
      <c r="J18" s="14">
        <v>2.4738525400369667E-5</v>
      </c>
      <c r="K18" s="14">
        <v>0</v>
      </c>
      <c r="L18" s="21"/>
      <c r="M18" s="12"/>
    </row>
    <row r="19" spans="1:13">
      <c r="A19" s="2" t="s">
        <v>339</v>
      </c>
      <c r="B19" s="3" t="s">
        <v>340</v>
      </c>
      <c r="D19" s="14">
        <v>5.6174936138892082E-11</v>
      </c>
      <c r="E19" s="14">
        <v>1.0988091111854351E-6</v>
      </c>
      <c r="F19" s="14">
        <v>1.1874540204817611E-5</v>
      </c>
      <c r="G19" s="14">
        <v>4.1012133051006615E-6</v>
      </c>
      <c r="H19" s="14">
        <v>0</v>
      </c>
      <c r="I19" s="14">
        <v>1.3665611201446158E-6</v>
      </c>
      <c r="J19" s="14">
        <v>2.1558820083815549E-5</v>
      </c>
      <c r="K19" s="14">
        <v>0</v>
      </c>
      <c r="L19" s="21"/>
      <c r="M19" s="12"/>
    </row>
    <row r="20" spans="1:13">
      <c r="A20" s="2" t="s">
        <v>281</v>
      </c>
      <c r="B20" s="3" t="s">
        <v>282</v>
      </c>
      <c r="D20" s="14">
        <v>2.7063561265713062E-9</v>
      </c>
      <c r="E20" s="14">
        <v>6.4753702983572932E-6</v>
      </c>
      <c r="F20" s="14">
        <v>6.8274599190169121E-6</v>
      </c>
      <c r="G20" s="14">
        <v>1.3358408333528379E-6</v>
      </c>
      <c r="H20" s="14">
        <v>0</v>
      </c>
      <c r="I20" s="14">
        <v>4.4325234949753709E-7</v>
      </c>
      <c r="J20" s="14">
        <v>2.4915370243648851E-5</v>
      </c>
      <c r="K20" s="14">
        <v>0</v>
      </c>
      <c r="L20" s="21"/>
      <c r="M20" s="12"/>
    </row>
    <row r="21" spans="1:13">
      <c r="A21" s="2" t="s">
        <v>341</v>
      </c>
      <c r="B21" s="3" t="s">
        <v>342</v>
      </c>
      <c r="D21" s="14">
        <v>8.1727919043785224E-8</v>
      </c>
      <c r="E21" s="14">
        <v>7.8017154357367081E-7</v>
      </c>
      <c r="F21" s="14">
        <v>1.0559531642950097E-5</v>
      </c>
      <c r="G21" s="14">
        <v>5.31790054976448E-6</v>
      </c>
      <c r="H21" s="14">
        <v>0</v>
      </c>
      <c r="I21" s="14">
        <v>1.7797501167951079E-6</v>
      </c>
      <c r="J21" s="14">
        <v>2.1480918227872858E-5</v>
      </c>
      <c r="K21" s="14">
        <v>0</v>
      </c>
      <c r="L21" s="21"/>
      <c r="M21" s="12"/>
    </row>
    <row r="22" spans="1:13">
      <c r="A22" s="2" t="s">
        <v>343</v>
      </c>
      <c r="B22" s="3" t="s">
        <v>344</v>
      </c>
      <c r="D22" s="14">
        <v>9.058731968326701E-8</v>
      </c>
      <c r="E22" s="14">
        <v>2.6019986946663219E-5</v>
      </c>
      <c r="F22" s="14">
        <v>5.5480660757134808E-7</v>
      </c>
      <c r="G22" s="14">
        <v>1.4468955472155455E-7</v>
      </c>
      <c r="H22" s="14">
        <v>0</v>
      </c>
      <c r="I22" s="14">
        <v>8.1525787881383528E-8</v>
      </c>
      <c r="J22" s="14">
        <v>1.310840378347923E-5</v>
      </c>
      <c r="K22" s="14">
        <v>0</v>
      </c>
      <c r="L22" s="21"/>
      <c r="M22" s="12"/>
    </row>
    <row r="23" spans="1:13">
      <c r="A23" s="2" t="s">
        <v>345</v>
      </c>
      <c r="B23" s="3" t="s">
        <v>346</v>
      </c>
      <c r="D23" s="14">
        <v>3.5676102691046283E-9</v>
      </c>
      <c r="E23" s="14">
        <v>3.040584448014787E-5</v>
      </c>
      <c r="F23" s="14">
        <v>2.4448466303166019E-7</v>
      </c>
      <c r="G23" s="14">
        <v>6.8508928582588307E-8</v>
      </c>
      <c r="H23" s="14">
        <v>0</v>
      </c>
      <c r="I23" s="14">
        <v>6.3348246270152342E-8</v>
      </c>
      <c r="J23" s="14">
        <v>9.2142460716986249E-6</v>
      </c>
      <c r="K23" s="14">
        <v>0</v>
      </c>
      <c r="L23" s="21"/>
    </row>
    <row r="24" spans="1:13">
      <c r="A24" s="2" t="s">
        <v>347</v>
      </c>
      <c r="B24" s="3" t="s">
        <v>348</v>
      </c>
      <c r="D24" s="14">
        <v>5.3561751546739234E-9</v>
      </c>
      <c r="E24" s="14">
        <v>1.292035466157456E-5</v>
      </c>
      <c r="F24" s="14">
        <v>3.1155088231655136E-6</v>
      </c>
      <c r="G24" s="14">
        <v>6.7955488833900309E-7</v>
      </c>
      <c r="H24" s="14">
        <v>0</v>
      </c>
      <c r="I24" s="14">
        <v>2.3632352411309972E-7</v>
      </c>
      <c r="J24" s="14">
        <v>2.3042901927653152E-5</v>
      </c>
      <c r="K24" s="14">
        <v>0</v>
      </c>
      <c r="L24" s="21"/>
    </row>
    <row r="25" spans="1:13">
      <c r="A25" s="2" t="s">
        <v>349</v>
      </c>
      <c r="B25" s="3" t="s">
        <v>350</v>
      </c>
      <c r="D25" s="14">
        <v>1.9938843620923756E-6</v>
      </c>
      <c r="E25" s="14">
        <v>3.1319846993595696E-6</v>
      </c>
      <c r="F25" s="14">
        <v>1.043215862673423E-5</v>
      </c>
      <c r="G25" s="14">
        <v>1.87529561233601E-6</v>
      </c>
      <c r="H25" s="14">
        <v>0</v>
      </c>
      <c r="I25" s="14">
        <v>6.1931262307739445E-7</v>
      </c>
      <c r="J25" s="14">
        <v>2.1947364076400421E-5</v>
      </c>
      <c r="K25" s="14">
        <v>0</v>
      </c>
      <c r="L25" s="21"/>
    </row>
    <row r="26" spans="1:13">
      <c r="A26" s="2" t="s">
        <v>351</v>
      </c>
      <c r="B26" s="3" t="s">
        <v>352</v>
      </c>
      <c r="D26" s="14">
        <v>6.5610556885612474E-8</v>
      </c>
      <c r="E26" s="14">
        <v>8.4557744190180465E-7</v>
      </c>
      <c r="F26" s="14">
        <v>1.0865455534468577E-5</v>
      </c>
      <c r="G26" s="14">
        <v>5.015837917727651E-6</v>
      </c>
      <c r="H26" s="14">
        <v>0</v>
      </c>
      <c r="I26" s="14">
        <v>1.6769189379600328E-6</v>
      </c>
      <c r="J26" s="14">
        <v>2.1530599611056325E-5</v>
      </c>
      <c r="K26" s="14">
        <v>0</v>
      </c>
    </row>
    <row r="27" spans="1:13">
      <c r="A27" s="2" t="s">
        <v>353</v>
      </c>
      <c r="B27" s="3" t="s">
        <v>354</v>
      </c>
      <c r="D27" s="14">
        <v>4.9809174773112831E-7</v>
      </c>
      <c r="E27" s="14">
        <v>1.447001598905078E-7</v>
      </c>
      <c r="F27" s="14">
        <v>5.1201603410258435E-6</v>
      </c>
      <c r="G27" s="14">
        <v>1.2902655944671112E-5</v>
      </c>
      <c r="H27" s="14">
        <v>0</v>
      </c>
      <c r="I27" s="14">
        <v>4.4069337129063926E-6</v>
      </c>
      <c r="J27" s="14">
        <v>1.6927458093775016E-5</v>
      </c>
      <c r="K27" s="14">
        <v>0</v>
      </c>
    </row>
    <row r="28" spans="1:13">
      <c r="A28" s="2" t="s">
        <v>355</v>
      </c>
      <c r="B28" s="3" t="s">
        <v>356</v>
      </c>
      <c r="D28" s="14">
        <v>2.4967188854762472E-8</v>
      </c>
      <c r="E28" s="14">
        <v>4.7318319334612212E-7</v>
      </c>
      <c r="F28" s="14">
        <v>8.7466925513531071E-6</v>
      </c>
      <c r="G28" s="14">
        <v>7.4257344864681236E-6</v>
      </c>
      <c r="H28" s="14">
        <v>0</v>
      </c>
      <c r="I28" s="14">
        <v>2.5012078150019557E-6</v>
      </c>
      <c r="J28" s="14">
        <v>2.0828214764975932E-5</v>
      </c>
      <c r="K28" s="14">
        <v>0</v>
      </c>
    </row>
    <row r="29" spans="1:13">
      <c r="A29" s="2" t="s">
        <v>357</v>
      </c>
      <c r="B29" s="3" t="s">
        <v>358</v>
      </c>
      <c r="D29" s="14">
        <v>4.5310829082888678E-6</v>
      </c>
      <c r="E29" s="14">
        <v>6.3923665952599132E-7</v>
      </c>
      <c r="F29" s="14">
        <v>9.1133116820555504E-6</v>
      </c>
      <c r="G29" s="14">
        <v>5.0069329901306742E-6</v>
      </c>
      <c r="H29" s="14">
        <v>0</v>
      </c>
      <c r="I29" s="14">
        <v>1.6774366094229112E-6</v>
      </c>
      <c r="J29" s="14">
        <v>1.9031999150576011E-5</v>
      </c>
      <c r="K29" s="14">
        <v>0</v>
      </c>
    </row>
    <row r="30" spans="1:13">
      <c r="A30" s="2" t="s">
        <v>359</v>
      </c>
      <c r="B30" s="3" t="s">
        <v>360</v>
      </c>
      <c r="D30" s="14">
        <v>2.4967188854762472E-8</v>
      </c>
      <c r="E30" s="14">
        <v>4.7318319334612212E-7</v>
      </c>
      <c r="F30" s="14">
        <v>8.7466925513531071E-6</v>
      </c>
      <c r="G30" s="14">
        <v>7.4257344864681236E-6</v>
      </c>
      <c r="H30" s="14">
        <v>0</v>
      </c>
      <c r="I30" s="14">
        <v>2.5012078150019557E-6</v>
      </c>
      <c r="J30" s="14">
        <v>2.0828214764975932E-5</v>
      </c>
      <c r="K30" s="14">
        <v>0</v>
      </c>
    </row>
    <row r="31" spans="1:13">
      <c r="A31" s="2" t="s">
        <v>283</v>
      </c>
      <c r="B31" s="3" t="s">
        <v>284</v>
      </c>
      <c r="D31" s="14">
        <v>1.0445120376505642E-12</v>
      </c>
      <c r="E31" s="14">
        <v>3.9011541734164848E-5</v>
      </c>
      <c r="F31" s="14">
        <v>2.3921459002254309E-9</v>
      </c>
      <c r="G31" s="14">
        <v>9.6002649667093094E-10</v>
      </c>
      <c r="H31" s="14">
        <v>0</v>
      </c>
      <c r="I31" s="14">
        <v>5.4006070277463453E-8</v>
      </c>
      <c r="J31" s="14">
        <v>9.3109897864875965E-7</v>
      </c>
      <c r="K31" s="14">
        <v>0</v>
      </c>
    </row>
    <row r="32" spans="1:13">
      <c r="A32" s="2" t="s">
        <v>361</v>
      </c>
      <c r="B32" s="3" t="s">
        <v>362</v>
      </c>
      <c r="D32" s="14">
        <v>1.0882866295864979E-12</v>
      </c>
      <c r="E32" s="14">
        <v>2.2230494718118663E-5</v>
      </c>
      <c r="F32" s="14">
        <v>9.9585383123520494E-7</v>
      </c>
      <c r="G32" s="14">
        <v>2.4553548181817568E-7</v>
      </c>
      <c r="H32" s="14">
        <v>0</v>
      </c>
      <c r="I32" s="14">
        <v>1.1364389806561233E-7</v>
      </c>
      <c r="J32" s="14">
        <v>1.6414470982475716E-5</v>
      </c>
      <c r="K32" s="14">
        <v>0</v>
      </c>
    </row>
    <row r="33" spans="1:11">
      <c r="A33" s="2" t="s">
        <v>364</v>
      </c>
      <c r="B33" s="3" t="s">
        <v>365</v>
      </c>
      <c r="D33" s="14">
        <v>4.8233646613002876E-15</v>
      </c>
      <c r="E33" s="14">
        <v>3.992582646157687E-5</v>
      </c>
      <c r="F33" s="14">
        <v>1.6790686971364173E-8</v>
      </c>
      <c r="G33" s="14">
        <v>5.1344719756739486E-12</v>
      </c>
      <c r="H33" s="14">
        <v>0</v>
      </c>
      <c r="I33" s="14">
        <v>5.509522460106167E-8</v>
      </c>
      <c r="J33" s="14">
        <v>2.2824875553610126E-9</v>
      </c>
      <c r="K33" s="14">
        <v>0</v>
      </c>
    </row>
    <row r="34" spans="1:11">
      <c r="A34" s="2" t="s">
        <v>285</v>
      </c>
      <c r="B34" s="3" t="s">
        <v>286</v>
      </c>
      <c r="D34" s="14">
        <v>2.4090417991084873E-14</v>
      </c>
      <c r="E34" s="14">
        <v>3.6885674829784978E-5</v>
      </c>
      <c r="F34" s="14">
        <v>3.0348154317680911E-6</v>
      </c>
      <c r="G34" s="14">
        <v>2.4923371494661364E-10</v>
      </c>
      <c r="H34" s="14">
        <v>0</v>
      </c>
      <c r="I34" s="14">
        <v>6.6195179583209387E-8</v>
      </c>
      <c r="J34" s="14">
        <v>1.3065301058368046E-8</v>
      </c>
      <c r="K34" s="14">
        <v>0</v>
      </c>
    </row>
    <row r="35" spans="1:11">
      <c r="A35" s="2" t="s">
        <v>287</v>
      </c>
      <c r="B35" s="3" t="s">
        <v>288</v>
      </c>
      <c r="D35" s="14">
        <v>1.0610796620389297E-15</v>
      </c>
      <c r="E35" s="14">
        <v>3.3019600005990445E-5</v>
      </c>
      <c r="F35" s="14">
        <v>6.8527731963371475E-6</v>
      </c>
      <c r="G35" s="14">
        <v>1.3270695400251158E-9</v>
      </c>
      <c r="H35" s="14">
        <v>0</v>
      </c>
      <c r="I35" s="14">
        <v>7.8480086051391004E-8</v>
      </c>
      <c r="J35" s="14">
        <v>4.7819641019924017E-8</v>
      </c>
      <c r="K35" s="14">
        <v>0</v>
      </c>
    </row>
    <row r="36" spans="1:11">
      <c r="A36" s="2" t="s">
        <v>366</v>
      </c>
      <c r="B36" s="3" t="s">
        <v>305</v>
      </c>
      <c r="D36" s="14">
        <v>3.7098409756723327E-12</v>
      </c>
      <c r="E36" s="14">
        <v>2.184348715304672E-5</v>
      </c>
      <c r="F36" s="14">
        <v>1.79356252818352E-5</v>
      </c>
      <c r="G36" s="14">
        <v>5.1352111469034292E-9</v>
      </c>
      <c r="H36" s="14">
        <v>0</v>
      </c>
      <c r="I36" s="14">
        <v>1.0975716912709592E-7</v>
      </c>
      <c r="J36" s="14">
        <v>1.0599147500310485E-7</v>
      </c>
      <c r="K36" s="14">
        <v>0</v>
      </c>
    </row>
    <row r="37" spans="1:11">
      <c r="A37" s="2" t="s">
        <v>289</v>
      </c>
      <c r="B37" s="3" t="s">
        <v>290</v>
      </c>
      <c r="D37" s="14">
        <v>4.7504640860029012E-19</v>
      </c>
      <c r="E37" s="14">
        <v>2.3665839238805201E-5</v>
      </c>
      <c r="F37" s="14">
        <v>7.8987152992976474E-6</v>
      </c>
      <c r="G37" s="14">
        <v>2.6966585605709702E-7</v>
      </c>
      <c r="H37" s="14">
        <v>0</v>
      </c>
      <c r="I37" s="14">
        <v>1.501324423288571E-7</v>
      </c>
      <c r="J37" s="14">
        <v>8.0156471635107287E-6</v>
      </c>
      <c r="K37" s="14">
        <v>0</v>
      </c>
    </row>
    <row r="38" spans="1:11">
      <c r="A38" s="2" t="s">
        <v>291</v>
      </c>
      <c r="B38" s="3" t="s">
        <v>292</v>
      </c>
      <c r="D38" s="14">
        <v>7.3575987938305035E-17</v>
      </c>
      <c r="E38" s="14">
        <v>3.7477184746459498E-5</v>
      </c>
      <c r="F38" s="14">
        <v>2.3419709837513407E-6</v>
      </c>
      <c r="G38" s="14">
        <v>1.9565842700759766E-9</v>
      </c>
      <c r="H38" s="14">
        <v>0</v>
      </c>
      <c r="I38" s="14">
        <v>6.4227883241107489E-8</v>
      </c>
      <c r="J38" s="14">
        <v>1.1465980220439836E-7</v>
      </c>
      <c r="K38" s="14">
        <v>0</v>
      </c>
    </row>
    <row r="39" spans="1:11">
      <c r="A39" s="2" t="s">
        <v>367</v>
      </c>
      <c r="B39" s="3" t="s">
        <v>368</v>
      </c>
      <c r="D39" s="14">
        <v>2.7294370465792102E-9</v>
      </c>
      <c r="E39" s="14">
        <v>1.9510695293774795E-6</v>
      </c>
      <c r="F39" s="14">
        <v>1.4036127249505198E-5</v>
      </c>
      <c r="G39" s="14">
        <v>2.4515618371753675E-6</v>
      </c>
      <c r="H39" s="14">
        <v>0</v>
      </c>
      <c r="I39" s="14">
        <v>8.1150354906516515E-7</v>
      </c>
      <c r="J39" s="14">
        <v>2.0747008397830211E-5</v>
      </c>
      <c r="K39" s="14">
        <v>0</v>
      </c>
    </row>
    <row r="40" spans="1:11">
      <c r="A40" s="2" t="s">
        <v>369</v>
      </c>
      <c r="B40" s="3" t="s">
        <v>370</v>
      </c>
      <c r="D40" s="14">
        <v>2.8108456208578126E-16</v>
      </c>
      <c r="E40" s="14">
        <v>3.0753321917207102E-7</v>
      </c>
      <c r="F40" s="14">
        <v>2.7960606317447045E-5</v>
      </c>
      <c r="G40" s="14">
        <v>2.022865286140689E-6</v>
      </c>
      <c r="H40" s="14">
        <v>0</v>
      </c>
      <c r="I40" s="14">
        <v>8.8294065765686224E-6</v>
      </c>
      <c r="J40" s="14">
        <v>8.7958860039048998E-7</v>
      </c>
      <c r="K40" s="14">
        <v>0</v>
      </c>
    </row>
    <row r="41" spans="1:11">
      <c r="A41" s="2" t="s">
        <v>371</v>
      </c>
      <c r="B41" s="3" t="s">
        <v>372</v>
      </c>
      <c r="D41" s="14">
        <v>3.2578004113425582E-6</v>
      </c>
      <c r="E41" s="14">
        <v>3.6509353137045694E-5</v>
      </c>
      <c r="F41" s="14">
        <v>1.113778137188639E-10</v>
      </c>
      <c r="G41" s="14">
        <v>5.5756338244389539E-11</v>
      </c>
      <c r="H41" s="14">
        <v>0</v>
      </c>
      <c r="I41" s="14">
        <v>5.0286860090077468E-8</v>
      </c>
      <c r="J41" s="14">
        <v>1.8239245736970733E-7</v>
      </c>
      <c r="K41" s="14">
        <v>0</v>
      </c>
    </row>
    <row r="42" spans="1:11">
      <c r="A42" s="2" t="s">
        <v>293</v>
      </c>
      <c r="B42" s="3" t="s">
        <v>294</v>
      </c>
      <c r="D42" s="14">
        <v>8.3036879328546956E-13</v>
      </c>
      <c r="E42" s="14">
        <v>2.4944263396966792E-5</v>
      </c>
      <c r="F42" s="14">
        <v>6.6610889658335047E-7</v>
      </c>
      <c r="G42" s="14">
        <v>1.7086015244959559E-7</v>
      </c>
      <c r="H42" s="14">
        <v>0</v>
      </c>
      <c r="I42" s="14">
        <v>8.8400426465371714E-8</v>
      </c>
      <c r="J42" s="14">
        <v>1.41303662971661E-5</v>
      </c>
      <c r="K42" s="14">
        <v>0</v>
      </c>
    </row>
    <row r="43" spans="1:11">
      <c r="A43" s="2" t="s">
        <v>373</v>
      </c>
      <c r="B43" s="3" t="s">
        <v>374</v>
      </c>
      <c r="D43" s="14">
        <v>1.5801215290512594E-11</v>
      </c>
      <c r="E43" s="14">
        <v>3.2411253150100338E-6</v>
      </c>
      <c r="F43" s="14">
        <v>3.6260214872060373E-5</v>
      </c>
      <c r="G43" s="14">
        <v>3.0616271096182204E-8</v>
      </c>
      <c r="H43" s="14">
        <v>0</v>
      </c>
      <c r="I43" s="14">
        <v>3.1347919399426888E-7</v>
      </c>
      <c r="J43" s="14">
        <v>1.5454854662385124E-7</v>
      </c>
      <c r="K43" s="14">
        <v>0</v>
      </c>
    </row>
    <row r="44" spans="1:11">
      <c r="A44" s="2" t="s">
        <v>375</v>
      </c>
      <c r="B44" s="3" t="s">
        <v>376</v>
      </c>
      <c r="D44" s="14">
        <v>3.4721832377042855E-6</v>
      </c>
      <c r="E44" s="14">
        <v>3.1184752432939771E-5</v>
      </c>
      <c r="F44" s="14">
        <v>7.9373741242290261E-8</v>
      </c>
      <c r="G44" s="14">
        <v>2.4208752277305712E-8</v>
      </c>
      <c r="H44" s="14">
        <v>0</v>
      </c>
      <c r="I44" s="14">
        <v>5.0465511418309454E-8</v>
      </c>
      <c r="J44" s="14">
        <v>5.1890163244180414E-6</v>
      </c>
      <c r="K44" s="14">
        <v>0</v>
      </c>
    </row>
    <row r="45" spans="1:11">
      <c r="A45" s="2" t="s">
        <v>377</v>
      </c>
      <c r="B45" s="3" t="s">
        <v>378</v>
      </c>
      <c r="D45" s="14">
        <v>3.2422161982688674E-8</v>
      </c>
      <c r="E45" s="14">
        <v>2.3881501886679704E-5</v>
      </c>
      <c r="F45" s="14">
        <v>7.7896184582474619E-7</v>
      </c>
      <c r="G45" s="14">
        <v>1.9688459720267532E-7</v>
      </c>
      <c r="H45" s="14">
        <v>0</v>
      </c>
      <c r="I45" s="14">
        <v>9.5262854571797781E-8</v>
      </c>
      <c r="J45" s="14">
        <v>1.5014966653738385E-5</v>
      </c>
      <c r="K45" s="14">
        <v>0</v>
      </c>
    </row>
    <row r="46" spans="1:11">
      <c r="A46" s="2" t="s">
        <v>379</v>
      </c>
      <c r="B46" s="3" t="s">
        <v>380</v>
      </c>
      <c r="D46" s="14">
        <v>9.5853061360275327E-8</v>
      </c>
      <c r="E46" s="14">
        <v>2.4497719207606789E-5</v>
      </c>
      <c r="F46" s="14">
        <v>7.0514787722506551E-7</v>
      </c>
      <c r="G46" s="14">
        <v>1.79877050717845E-7</v>
      </c>
      <c r="H46" s="14">
        <v>0</v>
      </c>
      <c r="I46" s="14">
        <v>9.0669889417871659E-8</v>
      </c>
      <c r="J46" s="14">
        <v>1.4430732913672163E-5</v>
      </c>
      <c r="K46" s="14">
        <v>0</v>
      </c>
    </row>
    <row r="47" spans="1:11">
      <c r="A47" s="2" t="s">
        <v>381</v>
      </c>
      <c r="B47" s="3" t="s">
        <v>382</v>
      </c>
      <c r="D47" s="14">
        <v>8.6341057883325983E-12</v>
      </c>
      <c r="E47" s="14">
        <v>1.3460990879517031E-7</v>
      </c>
      <c r="F47" s="14">
        <v>4.9738373629346716E-6</v>
      </c>
      <c r="G47" s="14">
        <v>1.3476810935742249E-5</v>
      </c>
      <c r="H47" s="14">
        <v>0</v>
      </c>
      <c r="I47" s="14">
        <v>4.60736294532992E-6</v>
      </c>
      <c r="J47" s="14">
        <v>1.6807370213092208E-5</v>
      </c>
      <c r="K47" s="14">
        <v>0</v>
      </c>
    </row>
    <row r="48" spans="1:11">
      <c r="A48" s="2" t="s">
        <v>383</v>
      </c>
      <c r="B48" s="3" t="s">
        <v>384</v>
      </c>
      <c r="D48" s="14">
        <v>4.7235057130542915E-7</v>
      </c>
      <c r="E48" s="14">
        <v>3.6368392836125847E-5</v>
      </c>
      <c r="F48" s="14">
        <v>2.5219627047651424E-8</v>
      </c>
      <c r="G48" s="14">
        <v>8.4651413680183607E-9</v>
      </c>
      <c r="H48" s="14">
        <v>0</v>
      </c>
      <c r="I48" s="14">
        <v>5.2683015299088072E-8</v>
      </c>
      <c r="J48" s="14">
        <v>3.0728888088539662E-6</v>
      </c>
      <c r="K48" s="14">
        <v>0</v>
      </c>
    </row>
    <row r="49" spans="1:11">
      <c r="A49" s="2" t="s">
        <v>385</v>
      </c>
      <c r="B49" s="3" t="s">
        <v>386</v>
      </c>
      <c r="D49" s="14">
        <v>8.8724285267553563E-7</v>
      </c>
      <c r="E49" s="14">
        <v>3.4914206322448477E-5</v>
      </c>
      <c r="F49" s="14">
        <v>4.5239388339021063E-8</v>
      </c>
      <c r="G49" s="14">
        <v>1.4501478390789245E-8</v>
      </c>
      <c r="H49" s="14">
        <v>0</v>
      </c>
      <c r="I49" s="14">
        <v>5.2560177073335493E-8</v>
      </c>
      <c r="J49" s="14">
        <v>4.0862497810728499E-6</v>
      </c>
      <c r="K49" s="14">
        <v>0</v>
      </c>
    </row>
    <row r="50" spans="1:11">
      <c r="A50" s="2" t="s">
        <v>387</v>
      </c>
      <c r="B50" s="3" t="s">
        <v>388</v>
      </c>
      <c r="D50" s="14">
        <v>6.6592299688271245E-7</v>
      </c>
      <c r="E50" s="14">
        <v>7.6408852494774599E-6</v>
      </c>
      <c r="F50" s="14">
        <v>5.6767298608786854E-6</v>
      </c>
      <c r="G50" s="14">
        <v>1.1397084894961024E-6</v>
      </c>
      <c r="H50" s="14">
        <v>0</v>
      </c>
      <c r="I50" s="14">
        <v>3.8011938615338405E-7</v>
      </c>
      <c r="J50" s="14">
        <v>2.449663401711166E-5</v>
      </c>
      <c r="K50" s="14">
        <v>0</v>
      </c>
    </row>
    <row r="51" spans="1:11">
      <c r="A51" s="2" t="s">
        <v>295</v>
      </c>
      <c r="B51" s="3" t="s">
        <v>296</v>
      </c>
      <c r="D51" s="14">
        <v>2.6138260271224237E-6</v>
      </c>
      <c r="E51" s="14">
        <v>3.6150669326663841E-5</v>
      </c>
      <c r="F51" s="14">
        <v>4.0397165450222942E-9</v>
      </c>
      <c r="G51" s="14">
        <v>1.5511237528684091E-9</v>
      </c>
      <c r="H51" s="14">
        <v>0</v>
      </c>
      <c r="I51" s="14">
        <v>5.0247761212015643E-8</v>
      </c>
      <c r="J51" s="14">
        <v>1.1796660447038373E-6</v>
      </c>
      <c r="K51" s="14">
        <v>0</v>
      </c>
    </row>
    <row r="52" spans="1:11">
      <c r="A52" s="2" t="s">
        <v>389</v>
      </c>
      <c r="B52" s="3" t="s">
        <v>390</v>
      </c>
      <c r="D52" s="14">
        <v>2.8588168263165391E-6</v>
      </c>
      <c r="E52" s="14">
        <v>3.0066715908836455E-5</v>
      </c>
      <c r="F52" s="14">
        <v>1.394634949733735E-7</v>
      </c>
      <c r="G52" s="14">
        <v>4.0696409987341338E-8</v>
      </c>
      <c r="H52" s="14">
        <v>0</v>
      </c>
      <c r="I52" s="14">
        <v>5.4108459222245538E-8</v>
      </c>
      <c r="J52" s="14">
        <v>6.8401989006640535E-6</v>
      </c>
      <c r="K52" s="14">
        <v>0</v>
      </c>
    </row>
    <row r="53" spans="1:11">
      <c r="A53" s="2" t="s">
        <v>391</v>
      </c>
      <c r="B53" s="3" t="s">
        <v>392</v>
      </c>
      <c r="D53" s="14">
        <v>1.058217637818526E-7</v>
      </c>
      <c r="E53" s="14">
        <v>2.0431236941766749E-5</v>
      </c>
      <c r="F53" s="14">
        <v>1.2452289552033409E-6</v>
      </c>
      <c r="G53" s="14">
        <v>3.0056940119681567E-7</v>
      </c>
      <c r="H53" s="14">
        <v>0</v>
      </c>
      <c r="I53" s="14">
        <v>1.2380624789877762E-7</v>
      </c>
      <c r="J53" s="14">
        <v>1.7793336690152467E-5</v>
      </c>
      <c r="K53" s="14">
        <v>0</v>
      </c>
    </row>
    <row r="54" spans="1:11">
      <c r="A54" s="2" t="s">
        <v>393</v>
      </c>
      <c r="B54" s="3" t="s">
        <v>394</v>
      </c>
      <c r="D54" s="14">
        <v>3.851303614886575E-8</v>
      </c>
      <c r="E54" s="14">
        <v>1.8178055363429879E-7</v>
      </c>
      <c r="F54" s="14">
        <v>5.747539599635427E-6</v>
      </c>
      <c r="G54" s="14">
        <v>1.1994372369699854E-5</v>
      </c>
      <c r="H54" s="14">
        <v>0</v>
      </c>
      <c r="I54" s="14">
        <v>4.0867319782698011E-6</v>
      </c>
      <c r="J54" s="14">
        <v>1.7951062462611751E-5</v>
      </c>
      <c r="K54" s="14">
        <v>0</v>
      </c>
    </row>
    <row r="55" spans="1:11">
      <c r="A55" s="2" t="s">
        <v>395</v>
      </c>
      <c r="B55" s="3" t="s">
        <v>396</v>
      </c>
      <c r="D55" s="14">
        <v>9.127025984538349E-6</v>
      </c>
      <c r="E55" s="14">
        <v>9.3840205780925834E-6</v>
      </c>
      <c r="F55" s="14">
        <v>2.6290781865930012E-6</v>
      </c>
      <c r="G55" s="14">
        <v>5.6715146367649425E-7</v>
      </c>
      <c r="H55" s="14">
        <v>0</v>
      </c>
      <c r="I55" s="14">
        <v>1.9551121172654884E-7</v>
      </c>
      <c r="J55" s="14">
        <v>1.8097212575373028E-5</v>
      </c>
      <c r="K55" s="14">
        <v>0</v>
      </c>
    </row>
    <row r="56" spans="1:11">
      <c r="A56" s="2" t="s">
        <v>397</v>
      </c>
      <c r="B56" s="3" t="s">
        <v>398</v>
      </c>
      <c r="D56" s="14">
        <v>3.315259875167349E-5</v>
      </c>
      <c r="E56" s="14">
        <v>8.8804963860005039E-7</v>
      </c>
      <c r="F56" s="14">
        <v>1.396985158626619E-6</v>
      </c>
      <c r="G56" s="14">
        <v>2.653917068689059E-7</v>
      </c>
      <c r="H56" s="14">
        <v>0</v>
      </c>
      <c r="I56" s="14">
        <v>8.7770707955184875E-8</v>
      </c>
      <c r="J56" s="14">
        <v>4.2092040362757542E-6</v>
      </c>
      <c r="K56" s="14">
        <v>0</v>
      </c>
    </row>
    <row r="57" spans="1:11">
      <c r="A57" s="2" t="s">
        <v>399</v>
      </c>
      <c r="B57" s="3" t="s">
        <v>400</v>
      </c>
      <c r="D57" s="14">
        <v>3.4958838794147719E-5</v>
      </c>
      <c r="E57" s="14">
        <v>1.3330199926539313E-6</v>
      </c>
      <c r="F57" s="14">
        <v>5.1692937659726911E-7</v>
      </c>
      <c r="G57" s="14">
        <v>1.0887464921969448E-7</v>
      </c>
      <c r="H57" s="14">
        <v>0</v>
      </c>
      <c r="I57" s="14">
        <v>3.6971856463105711E-8</v>
      </c>
      <c r="J57" s="14">
        <v>3.0453653309182747E-6</v>
      </c>
      <c r="K57" s="14">
        <v>0</v>
      </c>
    </row>
    <row r="58" spans="1:11">
      <c r="A58" s="2" t="s">
        <v>297</v>
      </c>
      <c r="B58" s="3" t="s">
        <v>298</v>
      </c>
      <c r="D58" s="14">
        <v>3.7297179751787767E-5</v>
      </c>
      <c r="E58" s="14">
        <v>2.3770354471470142E-6</v>
      </c>
      <c r="F58" s="14">
        <v>3.9550338832997368E-9</v>
      </c>
      <c r="G58" s="14">
        <v>1.2446457596899479E-9</v>
      </c>
      <c r="H58" s="14">
        <v>0</v>
      </c>
      <c r="I58" s="14">
        <v>3.6587382344611789E-9</v>
      </c>
      <c r="J58" s="14">
        <v>3.1692638318776944E-7</v>
      </c>
      <c r="K58" s="14">
        <v>0</v>
      </c>
    </row>
    <row r="59" spans="1:11">
      <c r="A59" s="2" t="s">
        <v>401</v>
      </c>
      <c r="B59" s="3" t="s">
        <v>402</v>
      </c>
      <c r="D59" s="14">
        <v>3.815353425121585E-5</v>
      </c>
      <c r="E59" s="14">
        <v>5.0465483485184724E-7</v>
      </c>
      <c r="F59" s="14">
        <v>1.8155532395879732E-7</v>
      </c>
      <c r="G59" s="14">
        <v>3.845072598835287E-8</v>
      </c>
      <c r="H59" s="14">
        <v>0</v>
      </c>
      <c r="I59" s="14">
        <v>1.3096880717922441E-8</v>
      </c>
      <c r="J59" s="14">
        <v>1.1087079832672388E-6</v>
      </c>
      <c r="K59" s="14">
        <v>0</v>
      </c>
    </row>
    <row r="60" spans="1:11">
      <c r="A60" s="2" t="s">
        <v>299</v>
      </c>
      <c r="B60" s="3" t="s">
        <v>300</v>
      </c>
      <c r="D60" s="14">
        <v>3.995260343311237E-5</v>
      </c>
      <c r="E60" s="14">
        <v>1.7988077458846301E-8</v>
      </c>
      <c r="F60" s="14">
        <v>2.8354324114320132E-9</v>
      </c>
      <c r="G60" s="14">
        <v>6.3813836427833722E-10</v>
      </c>
      <c r="H60" s="14">
        <v>0</v>
      </c>
      <c r="I60" s="14">
        <v>2.2933403922408073E-10</v>
      </c>
      <c r="J60" s="14">
        <v>2.5705584613852905E-8</v>
      </c>
      <c r="K60" s="14">
        <v>0</v>
      </c>
    </row>
    <row r="61" spans="1:11">
      <c r="A61" s="2" t="s">
        <v>403</v>
      </c>
      <c r="B61" s="3" t="s">
        <v>404</v>
      </c>
      <c r="D61" s="14">
        <v>2.7076672976372975E-48</v>
      </c>
      <c r="E61" s="14">
        <v>1.7255794664055411E-5</v>
      </c>
      <c r="F61" s="14">
        <v>1.8692591475024279E-6</v>
      </c>
      <c r="G61" s="14">
        <v>4.3247904563140324E-7</v>
      </c>
      <c r="H61" s="14">
        <v>0</v>
      </c>
      <c r="I61" s="14">
        <v>1.6201185353702104E-7</v>
      </c>
      <c r="J61" s="14">
        <v>2.0280455289273742E-5</v>
      </c>
      <c r="K61" s="14">
        <v>0</v>
      </c>
    </row>
    <row r="62" spans="1:11">
      <c r="A62" s="2" t="s">
        <v>405</v>
      </c>
      <c r="B62" s="3" t="s">
        <v>406</v>
      </c>
      <c r="D62" s="14">
        <v>1.9613961326449827E-11</v>
      </c>
      <c r="E62" s="14">
        <v>7.1115616479137587E-7</v>
      </c>
      <c r="F62" s="14">
        <v>1.0226794507943887E-5</v>
      </c>
      <c r="G62" s="14">
        <v>5.7007905476388554E-6</v>
      </c>
      <c r="H62" s="14">
        <v>0</v>
      </c>
      <c r="I62" s="14">
        <v>1.9102306410989546E-6</v>
      </c>
      <c r="J62" s="14">
        <v>2.1451008524565607E-5</v>
      </c>
      <c r="K62" s="14">
        <v>0</v>
      </c>
    </row>
    <row r="63" spans="1:11">
      <c r="A63" s="2" t="s">
        <v>407</v>
      </c>
      <c r="B63" s="3" t="s">
        <v>408</v>
      </c>
      <c r="D63" s="14">
        <v>5.6433275864093868E-9</v>
      </c>
      <c r="E63" s="14">
        <v>7.8079122823974897E-8</v>
      </c>
      <c r="F63" s="14">
        <v>3.7731969613046896E-6</v>
      </c>
      <c r="G63" s="14">
        <v>1.6028948420300492E-5</v>
      </c>
      <c r="H63" s="14">
        <v>0</v>
      </c>
      <c r="I63" s="14">
        <v>5.511953368893005E-6</v>
      </c>
      <c r="J63" s="14">
        <v>1.4602178799091433E-5</v>
      </c>
      <c r="K63" s="14">
        <v>0</v>
      </c>
    </row>
    <row r="64" spans="1:11">
      <c r="A64" s="2" t="s">
        <v>409</v>
      </c>
      <c r="B64" s="3" t="s">
        <v>410</v>
      </c>
      <c r="D64" s="14">
        <v>7.7035728805015956E-10</v>
      </c>
      <c r="E64" s="14">
        <v>2.9828530617382871E-8</v>
      </c>
      <c r="F64" s="14">
        <v>2.2416428022636423E-6</v>
      </c>
      <c r="G64" s="14">
        <v>1.9955470227036499E-5</v>
      </c>
      <c r="H64" s="14">
        <v>0</v>
      </c>
      <c r="I64" s="14">
        <v>6.9286604295915218E-6</v>
      </c>
      <c r="J64" s="14">
        <v>1.0843627653202906E-5</v>
      </c>
      <c r="K64" s="14">
        <v>0</v>
      </c>
    </row>
    <row r="65" spans="1:11">
      <c r="A65" s="2" t="s">
        <v>301</v>
      </c>
      <c r="B65" s="3" t="s">
        <v>302</v>
      </c>
      <c r="D65" s="14">
        <v>1.0417912644768762E-10</v>
      </c>
      <c r="E65" s="14">
        <v>9.1672774590900269E-9</v>
      </c>
      <c r="F65" s="14">
        <v>1.1382952573833078E-6</v>
      </c>
      <c r="G65" s="14">
        <v>2.3504471028350324E-5</v>
      </c>
      <c r="H65" s="14">
        <v>0</v>
      </c>
      <c r="I65" s="14">
        <v>8.2511533340888472E-6</v>
      </c>
      <c r="J65" s="14">
        <v>7.0968089235919844E-6</v>
      </c>
      <c r="K65" s="14">
        <v>0</v>
      </c>
    </row>
    <row r="66" spans="1:11">
      <c r="A66" s="2" t="s">
        <v>303</v>
      </c>
      <c r="B66" s="3" t="s">
        <v>304</v>
      </c>
      <c r="D66" s="14">
        <v>9.5851272193396784E-17</v>
      </c>
      <c r="E66" s="14">
        <v>1.8114966947659885E-8</v>
      </c>
      <c r="F66" s="14">
        <v>1.6903323234097145E-6</v>
      </c>
      <c r="G66" s="14">
        <v>2.1625574403635425E-5</v>
      </c>
      <c r="H66" s="14">
        <v>0</v>
      </c>
      <c r="I66" s="14">
        <v>7.5441838427696727E-6</v>
      </c>
      <c r="J66" s="14">
        <v>9.1217944631416828E-6</v>
      </c>
      <c r="K66" s="14">
        <v>0</v>
      </c>
    </row>
    <row r="67" spans="1:11">
      <c r="A67" s="2" t="s">
        <v>411</v>
      </c>
      <c r="B67" s="3" t="s">
        <v>412</v>
      </c>
      <c r="D67" s="14">
        <v>1.9117432563144901E-7</v>
      </c>
      <c r="E67" s="14">
        <v>3.3441768133103816E-5</v>
      </c>
      <c r="F67" s="14">
        <v>1.0396897963676477E-7</v>
      </c>
      <c r="G67" s="14">
        <v>3.1246353167659687E-8</v>
      </c>
      <c r="H67" s="14">
        <v>0</v>
      </c>
      <c r="I67" s="14">
        <v>5.5775649601305916E-8</v>
      </c>
      <c r="J67" s="14">
        <v>6.1760665588590033E-6</v>
      </c>
      <c r="K67" s="14">
        <v>0</v>
      </c>
    </row>
    <row r="68" spans="1:11">
      <c r="A68" s="2" t="s">
        <v>413</v>
      </c>
      <c r="B68" s="3" t="s">
        <v>414</v>
      </c>
      <c r="D68" s="14">
        <v>4.1957288932735355E-7</v>
      </c>
      <c r="E68" s="14">
        <v>3.1196586965774119E-5</v>
      </c>
      <c r="F68" s="14">
        <v>1.8581536954724315E-7</v>
      </c>
      <c r="G68" s="14">
        <v>5.3232539960556981E-8</v>
      </c>
      <c r="H68" s="14">
        <v>0</v>
      </c>
      <c r="I68" s="14">
        <v>5.9609883967306122E-8</v>
      </c>
      <c r="J68" s="14">
        <v>8.0851823514234319E-6</v>
      </c>
      <c r="K68" s="14">
        <v>0</v>
      </c>
    </row>
    <row r="69" spans="1:11">
      <c r="A69" s="2" t="s">
        <v>415</v>
      </c>
      <c r="B69" s="3" t="s">
        <v>416</v>
      </c>
      <c r="D69" s="14">
        <v>2.3763321226462622E-7</v>
      </c>
      <c r="E69" s="14">
        <v>2.6998945563316468E-7</v>
      </c>
      <c r="F69" s="14">
        <v>6.875136950932103E-6</v>
      </c>
      <c r="G69" s="14">
        <v>9.9833640673277994E-6</v>
      </c>
      <c r="H69" s="14">
        <v>0</v>
      </c>
      <c r="I69" s="14">
        <v>3.3857021548338485E-6</v>
      </c>
      <c r="J69" s="14">
        <v>1.9248174159008462E-5</v>
      </c>
      <c r="K69" s="14">
        <v>0</v>
      </c>
    </row>
    <row r="70" spans="1:11">
      <c r="A70" s="2" t="s">
        <v>417</v>
      </c>
      <c r="B70" s="3" t="s">
        <v>418</v>
      </c>
      <c r="D70" s="14">
        <v>4.6511204361306573E-7</v>
      </c>
      <c r="E70" s="14">
        <v>3.751606242066181E-6</v>
      </c>
      <c r="F70" s="14">
        <v>9.9777312068956163E-6</v>
      </c>
      <c r="G70" s="14">
        <v>1.8235906447166148E-6</v>
      </c>
      <c r="H70" s="14">
        <v>0</v>
      </c>
      <c r="I70" s="14">
        <v>6.0220323248454912E-7</v>
      </c>
      <c r="J70" s="14">
        <v>2.3379756630223984E-5</v>
      </c>
      <c r="K70" s="14">
        <v>0</v>
      </c>
    </row>
    <row r="71" spans="1:11">
      <c r="A71" s="2" t="s">
        <v>419</v>
      </c>
      <c r="B71" s="3" t="s">
        <v>420</v>
      </c>
      <c r="D71" s="14">
        <v>1.0248709199399082E-6</v>
      </c>
      <c r="E71" s="14">
        <v>3.1060528066094206E-5</v>
      </c>
      <c r="F71" s="14">
        <v>1.6739534830926564E-7</v>
      </c>
      <c r="G71" s="14">
        <v>4.831021171422886E-8</v>
      </c>
      <c r="H71" s="14">
        <v>0</v>
      </c>
      <c r="I71" s="14">
        <v>5.7871321765541677E-8</v>
      </c>
      <c r="J71" s="14">
        <v>7.6410241321768495E-6</v>
      </c>
      <c r="K71" s="14">
        <v>0</v>
      </c>
    </row>
    <row r="72" spans="1:11">
      <c r="A72" s="2" t="s">
        <v>421</v>
      </c>
      <c r="B72" s="3" t="s">
        <v>422</v>
      </c>
      <c r="D72" s="14">
        <v>1.8131820117421162E-6</v>
      </c>
      <c r="E72" s="14">
        <v>4.0320050404439683E-6</v>
      </c>
      <c r="F72" s="14">
        <v>9.0015151495534648E-6</v>
      </c>
      <c r="G72" s="14">
        <v>1.6665224639008707E-6</v>
      </c>
      <c r="H72" s="14">
        <v>0</v>
      </c>
      <c r="I72" s="14">
        <v>5.5045197815767893E-7</v>
      </c>
      <c r="J72" s="14">
        <v>2.293632335620191E-5</v>
      </c>
      <c r="K72" s="14">
        <v>0</v>
      </c>
    </row>
    <row r="73" spans="1:11">
      <c r="A73" s="2" t="s">
        <v>423</v>
      </c>
      <c r="B73" s="3" t="s">
        <v>424</v>
      </c>
      <c r="D73" s="14">
        <v>8.0564162654547659E-7</v>
      </c>
      <c r="E73" s="14">
        <v>1.622488256611187E-5</v>
      </c>
      <c r="F73" s="14">
        <v>1.991664179210636E-6</v>
      </c>
      <c r="G73" s="14">
        <v>4.5657451648578889E-7</v>
      </c>
      <c r="H73" s="14">
        <v>0</v>
      </c>
      <c r="I73" s="14">
        <v>1.6843085704793197E-7</v>
      </c>
      <c r="J73" s="14">
        <v>2.0352806254598296E-5</v>
      </c>
      <c r="K73" s="14">
        <v>0</v>
      </c>
    </row>
    <row r="74" spans="1:11">
      <c r="A74" s="2" t="s">
        <v>425</v>
      </c>
      <c r="B74" s="3" t="s">
        <v>426</v>
      </c>
      <c r="D74" s="14">
        <v>7.0495148152272965E-7</v>
      </c>
      <c r="E74" s="14">
        <v>3.8453767141666187E-6</v>
      </c>
      <c r="F74" s="14">
        <v>9.7282213222894773E-6</v>
      </c>
      <c r="G74" s="14">
        <v>1.7845511390575698E-6</v>
      </c>
      <c r="H74" s="14">
        <v>0</v>
      </c>
      <c r="I74" s="14">
        <v>5.8933244848500438E-7</v>
      </c>
      <c r="J74" s="14">
        <v>2.3347566894478607E-5</v>
      </c>
      <c r="K74" s="14">
        <v>0</v>
      </c>
    </row>
    <row r="75" spans="1:11">
      <c r="A75" s="2" t="s">
        <v>427</v>
      </c>
      <c r="B75" s="3" t="s">
        <v>428</v>
      </c>
      <c r="D75" s="14">
        <v>2.0628537613115205E-13</v>
      </c>
      <c r="E75" s="14">
        <v>1.6241574295189331E-6</v>
      </c>
      <c r="F75" s="14">
        <v>3.7277147616264118E-5</v>
      </c>
      <c r="G75" s="14">
        <v>1.438443746623818E-8</v>
      </c>
      <c r="H75" s="14">
        <v>0</v>
      </c>
      <c r="I75" s="14">
        <v>1.0529914816429213E-6</v>
      </c>
      <c r="J75" s="14">
        <v>3.1318828822416405E-8</v>
      </c>
      <c r="K75" s="14">
        <v>0</v>
      </c>
    </row>
    <row r="76" spans="1:11">
      <c r="A76" s="2" t="s">
        <v>429</v>
      </c>
      <c r="B76" s="3" t="s">
        <v>430</v>
      </c>
      <c r="D76" s="14">
        <v>5.1816543992781616E-15</v>
      </c>
      <c r="E76" s="14">
        <v>1.6241574376845359E-6</v>
      </c>
      <c r="F76" s="14">
        <v>3.7277147803678445E-5</v>
      </c>
      <c r="G76" s="14">
        <v>1.4384437538557278E-8</v>
      </c>
      <c r="H76" s="14">
        <v>0</v>
      </c>
      <c r="I76" s="14">
        <v>1.0529914869369342E-6</v>
      </c>
      <c r="J76" s="14">
        <v>3.1318828979874741E-8</v>
      </c>
      <c r="K76" s="14">
        <v>0</v>
      </c>
    </row>
    <row r="77" spans="1:11">
      <c r="A77" s="2" t="s">
        <v>431</v>
      </c>
      <c r="B77" s="3" t="s">
        <v>432</v>
      </c>
      <c r="D77" s="14">
        <v>2.0934230991798232E-6</v>
      </c>
      <c r="E77" s="14">
        <v>8.9441006223050924E-6</v>
      </c>
      <c r="F77" s="14">
        <v>4.4538052905910562E-6</v>
      </c>
      <c r="G77" s="14">
        <v>9.2093034251169726E-7</v>
      </c>
      <c r="H77" s="14">
        <v>0</v>
      </c>
      <c r="I77" s="14">
        <v>3.1007569943378717E-7</v>
      </c>
      <c r="J77" s="14">
        <v>2.3277664945978549E-5</v>
      </c>
      <c r="K77" s="14">
        <v>0</v>
      </c>
    </row>
    <row r="78" spans="1:11">
      <c r="A78" s="2" t="s">
        <v>433</v>
      </c>
      <c r="B78" s="3" t="s">
        <v>434</v>
      </c>
      <c r="D78" s="14">
        <v>1.5511041954495548E-6</v>
      </c>
      <c r="E78" s="14">
        <v>2.4466995214789538E-5</v>
      </c>
      <c r="F78" s="14">
        <v>5.9117381216525235E-7</v>
      </c>
      <c r="G78" s="14">
        <v>1.5276038448826541E-7</v>
      </c>
      <c r="H78" s="14">
        <v>0</v>
      </c>
      <c r="I78" s="14">
        <v>8.1981280922509216E-8</v>
      </c>
      <c r="J78" s="14">
        <v>1.3155985112184885E-5</v>
      </c>
      <c r="K78" s="14">
        <v>0</v>
      </c>
    </row>
    <row r="79" spans="1:11">
      <c r="A79" s="2" t="s">
        <v>435</v>
      </c>
      <c r="B79" s="3" t="s">
        <v>436</v>
      </c>
      <c r="D79" s="14">
        <v>4.2195458322371108E-7</v>
      </c>
      <c r="E79" s="14">
        <v>1.9992420283218469E-5</v>
      </c>
      <c r="F79" s="14">
        <v>1.2809728451348609E-6</v>
      </c>
      <c r="G79" s="14">
        <v>3.0806011894460884E-7</v>
      </c>
      <c r="H79" s="14">
        <v>0</v>
      </c>
      <c r="I79" s="14">
        <v>1.2562284637902129E-7</v>
      </c>
      <c r="J79" s="14">
        <v>1.7870969323099336E-5</v>
      </c>
      <c r="K79" s="14">
        <v>0</v>
      </c>
    </row>
    <row r="80" spans="1:11">
      <c r="A80" s="2" t="s">
        <v>437</v>
      </c>
      <c r="B80" s="3" t="s">
        <v>438</v>
      </c>
      <c r="D80" s="14">
        <v>7.2903125589190122E-14</v>
      </c>
      <c r="E80" s="14">
        <v>1.0869406476423386E-6</v>
      </c>
      <c r="F80" s="14">
        <v>3.6831582618798746E-5</v>
      </c>
      <c r="G80" s="14">
        <v>2.7300499275975834E-8</v>
      </c>
      <c r="H80" s="14">
        <v>0</v>
      </c>
      <c r="I80" s="14">
        <v>2.0164985623391009E-6</v>
      </c>
      <c r="J80" s="14">
        <v>3.7677599040723891E-8</v>
      </c>
      <c r="K80" s="14">
        <v>0</v>
      </c>
    </row>
    <row r="81" spans="1:11">
      <c r="A81" s="2" t="s">
        <v>440</v>
      </c>
      <c r="B81" s="3" t="s">
        <v>441</v>
      </c>
      <c r="D81" s="14">
        <v>7.369078856151847E-18</v>
      </c>
      <c r="E81" s="14">
        <v>3.8785810247067277E-5</v>
      </c>
      <c r="F81" s="14">
        <v>3.6382071146399821E-9</v>
      </c>
      <c r="G81" s="14">
        <v>1.4150864556241749E-9</v>
      </c>
      <c r="H81" s="14">
        <v>0</v>
      </c>
      <c r="I81" s="14">
        <v>5.3834247726056234E-8</v>
      </c>
      <c r="J81" s="14">
        <v>1.1553022116290353E-6</v>
      </c>
      <c r="K81" s="14">
        <v>0</v>
      </c>
    </row>
    <row r="82" spans="1:11">
      <c r="A82" s="2" t="s">
        <v>442</v>
      </c>
      <c r="B82" s="3" t="s">
        <v>443</v>
      </c>
      <c r="D82" s="14">
        <v>3.5076380984101828E-9</v>
      </c>
      <c r="E82" s="14">
        <v>3.0599507957523967E-5</v>
      </c>
      <c r="F82" s="14">
        <v>2.3403940936800228E-7</v>
      </c>
      <c r="G82" s="14">
        <v>6.5824042255269884E-8</v>
      </c>
      <c r="H82" s="14">
        <v>0</v>
      </c>
      <c r="I82" s="14">
        <v>6.2765382017460435E-8</v>
      </c>
      <c r="J82" s="14">
        <v>9.0343555707368897E-6</v>
      </c>
      <c r="K82" s="14">
        <v>0</v>
      </c>
    </row>
    <row r="83" spans="1:11">
      <c r="A83" s="2" t="s">
        <v>444</v>
      </c>
      <c r="B83" s="3" t="s">
        <v>445</v>
      </c>
      <c r="D83" s="14">
        <v>4.2400772108393367E-8</v>
      </c>
      <c r="E83" s="14">
        <v>1.0683496930570041E-5</v>
      </c>
      <c r="F83" s="14">
        <v>4.0406197284104411E-6</v>
      </c>
      <c r="G83" s="14">
        <v>8.5259648005601984E-7</v>
      </c>
      <c r="H83" s="14">
        <v>0</v>
      </c>
      <c r="I83" s="14">
        <v>2.8981185335198192E-7</v>
      </c>
      <c r="J83" s="14">
        <v>2.4091074235503121E-5</v>
      </c>
      <c r="K83" s="14">
        <v>0</v>
      </c>
    </row>
    <row r="84" spans="1:11">
      <c r="A84" s="2" t="s">
        <v>446</v>
      </c>
      <c r="B84" s="3" t="s">
        <v>447</v>
      </c>
      <c r="D84" s="14">
        <v>2.2685853709147186E-19</v>
      </c>
      <c r="E84" s="14">
        <v>3.7439047544979962E-5</v>
      </c>
      <c r="F84" s="14">
        <v>1.634667175877197E-8</v>
      </c>
      <c r="G84" s="14">
        <v>5.6770784733182251E-9</v>
      </c>
      <c r="H84" s="14">
        <v>0</v>
      </c>
      <c r="I84" s="14">
        <v>5.3292717795525289E-8</v>
      </c>
      <c r="J84" s="14">
        <v>2.4856359869921973E-6</v>
      </c>
      <c r="K84" s="14">
        <v>0</v>
      </c>
    </row>
    <row r="85" spans="1:11">
      <c r="A85" s="2" t="s">
        <v>448</v>
      </c>
      <c r="B85" s="3" t="s">
        <v>449</v>
      </c>
      <c r="D85" s="14">
        <v>1.5878985786283083E-12</v>
      </c>
      <c r="E85" s="14">
        <v>3.9463211445877447E-5</v>
      </c>
      <c r="F85" s="14">
        <v>6.67570250881829E-10</v>
      </c>
      <c r="G85" s="14">
        <v>2.9457272360013918E-10</v>
      </c>
      <c r="H85" s="14">
        <v>0</v>
      </c>
      <c r="I85" s="14">
        <v>5.4425848758235438E-8</v>
      </c>
      <c r="J85" s="14">
        <v>4.8139897449125523E-7</v>
      </c>
      <c r="K85" s="14">
        <v>0</v>
      </c>
    </row>
    <row r="86" spans="1:11">
      <c r="A86" s="2" t="s">
        <v>450</v>
      </c>
      <c r="B86" s="3" t="s">
        <v>451</v>
      </c>
      <c r="D86" s="14">
        <v>5.706139100846658E-13</v>
      </c>
      <c r="E86" s="14">
        <v>3.7500064863643452E-5</v>
      </c>
      <c r="F86" s="14">
        <v>1.5574588085068819E-8</v>
      </c>
      <c r="G86" s="14">
        <v>5.4289035330353148E-9</v>
      </c>
      <c r="H86" s="14">
        <v>0</v>
      </c>
      <c r="I86" s="14">
        <v>5.3299957468251212E-8</v>
      </c>
      <c r="J86" s="14">
        <v>2.4256311166562874E-6</v>
      </c>
      <c r="K86" s="14">
        <v>0</v>
      </c>
    </row>
    <row r="87" spans="1:11">
      <c r="A87" s="2" t="s">
        <v>452</v>
      </c>
      <c r="B87" s="3" t="s">
        <v>453</v>
      </c>
      <c r="D87" s="14">
        <v>1.0163556316654244E-11</v>
      </c>
      <c r="E87" s="14">
        <v>1.0944233805412E-7</v>
      </c>
      <c r="F87" s="14">
        <v>4.48662645550909E-6</v>
      </c>
      <c r="G87" s="14">
        <v>1.4468232136611761E-5</v>
      </c>
      <c r="H87" s="14">
        <v>0</v>
      </c>
      <c r="I87" s="14">
        <v>4.9574798621508925E-6</v>
      </c>
      <c r="J87" s="14">
        <v>1.5978209044117823E-5</v>
      </c>
      <c r="K87" s="14">
        <v>0</v>
      </c>
    </row>
    <row r="88" spans="1:11">
      <c r="A88" s="2" t="s">
        <v>454</v>
      </c>
      <c r="B88" s="3" t="s">
        <v>455</v>
      </c>
      <c r="D88" s="14">
        <v>1.7998867352997739E-9</v>
      </c>
      <c r="E88" s="14">
        <v>2.7165946485731138E-5</v>
      </c>
      <c r="F88" s="14">
        <v>4.6250815132664872E-7</v>
      </c>
      <c r="G88" s="14">
        <v>1.2263514434642825E-7</v>
      </c>
      <c r="H88" s="14">
        <v>0</v>
      </c>
      <c r="I88" s="14">
        <v>7.6073486925465364E-8</v>
      </c>
      <c r="J88" s="14">
        <v>1.2171036844935029E-5</v>
      </c>
      <c r="K88" s="14">
        <v>0</v>
      </c>
    </row>
    <row r="89" spans="1:11">
      <c r="A89" s="2" t="s">
        <v>456</v>
      </c>
      <c r="B89" s="3" t="s">
        <v>457</v>
      </c>
      <c r="D89" s="14">
        <v>1.1667161168917737E-21</v>
      </c>
      <c r="E89" s="14">
        <v>3.0012685802962162E-5</v>
      </c>
      <c r="F89" s="14">
        <v>2.6671006921456871E-7</v>
      </c>
      <c r="G89" s="14">
        <v>7.418822278473329E-8</v>
      </c>
      <c r="H89" s="14">
        <v>0</v>
      </c>
      <c r="I89" s="14">
        <v>6.4604953200685587E-8</v>
      </c>
      <c r="J89" s="14">
        <v>9.5818109518378527E-6</v>
      </c>
      <c r="K89" s="14">
        <v>0</v>
      </c>
    </row>
    <row r="90" spans="1:11">
      <c r="A90" s="2" t="s">
        <v>458</v>
      </c>
      <c r="B90" s="3" t="s">
        <v>459</v>
      </c>
      <c r="D90" s="14">
        <v>1.7032919913454361E-33</v>
      </c>
      <c r="E90" s="14">
        <v>3.5122770742725285E-5</v>
      </c>
      <c r="F90" s="14">
        <v>5.991882927691856E-8</v>
      </c>
      <c r="G90" s="14">
        <v>1.8821701204565817E-8</v>
      </c>
      <c r="H90" s="14">
        <v>0</v>
      </c>
      <c r="I90" s="14">
        <v>5.4195697078150334E-8</v>
      </c>
      <c r="J90" s="14">
        <v>4.7442930297150809E-6</v>
      </c>
      <c r="K90" s="14">
        <v>0</v>
      </c>
    </row>
    <row r="91" spans="1:11">
      <c r="A91" s="2" t="s">
        <v>460</v>
      </c>
      <c r="B91" s="3" t="s">
        <v>461</v>
      </c>
      <c r="D91" s="14">
        <v>9.1922460127526421E-12</v>
      </c>
      <c r="E91" s="14">
        <v>6.1975680403788311E-7</v>
      </c>
      <c r="F91" s="14">
        <v>9.7184242469619144E-6</v>
      </c>
      <c r="G91" s="14">
        <v>6.2631297544067143E-6</v>
      </c>
      <c r="H91" s="14">
        <v>0</v>
      </c>
      <c r="I91" s="14">
        <v>2.1023857079975773E-6</v>
      </c>
      <c r="J91" s="14">
        <v>2.1296294294349904E-5</v>
      </c>
      <c r="K91" s="14">
        <v>0</v>
      </c>
    </row>
    <row r="92" spans="1:11">
      <c r="A92" s="2" t="s">
        <v>462</v>
      </c>
      <c r="B92" s="3" t="s">
        <v>463</v>
      </c>
      <c r="D92" s="14">
        <v>3.2596683324284037E-13</v>
      </c>
      <c r="E92" s="14">
        <v>1.3051279122333014E-5</v>
      </c>
      <c r="F92" s="14">
        <v>3.0693585805376151E-6</v>
      </c>
      <c r="G92" s="14">
        <v>6.7072297600467055E-7</v>
      </c>
      <c r="H92" s="14">
        <v>0</v>
      </c>
      <c r="I92" s="14">
        <v>2.3362343676301198E-7</v>
      </c>
      <c r="J92" s="14">
        <v>2.297501555839486E-5</v>
      </c>
      <c r="K92" s="14">
        <v>0</v>
      </c>
    </row>
    <row r="93" spans="1:11">
      <c r="A93" s="2" t="s">
        <v>464</v>
      </c>
      <c r="B93" s="3" t="s">
        <v>465</v>
      </c>
      <c r="D93" s="14">
        <v>2.5375959138345546E-8</v>
      </c>
      <c r="E93" s="14">
        <v>5.037582026890731E-6</v>
      </c>
      <c r="F93" s="14">
        <v>8.3309913051161406E-6</v>
      </c>
      <c r="G93" s="14">
        <v>1.576856732071147E-6</v>
      </c>
      <c r="H93" s="14">
        <v>0</v>
      </c>
      <c r="I93" s="14">
        <v>5.2136352712995035E-7</v>
      </c>
      <c r="J93" s="14">
        <v>2.4507830449653693E-5</v>
      </c>
      <c r="K93" s="14">
        <v>0</v>
      </c>
    </row>
    <row r="94" spans="1:11">
      <c r="A94" s="2" t="s">
        <v>466</v>
      </c>
      <c r="B94" s="3" t="s">
        <v>467</v>
      </c>
      <c r="D94" s="14">
        <v>8.0641762152773216E-23</v>
      </c>
      <c r="E94" s="14">
        <v>3.9474055074156249E-5</v>
      </c>
      <c r="F94" s="14">
        <v>4.6185568431481043E-7</v>
      </c>
      <c r="G94" s="14">
        <v>6.0693864060380443E-11</v>
      </c>
      <c r="H94" s="14">
        <v>0</v>
      </c>
      <c r="I94" s="14">
        <v>5.7016297227994771E-8</v>
      </c>
      <c r="J94" s="14">
        <v>7.0122504368936315E-9</v>
      </c>
      <c r="K94" s="14">
        <v>0</v>
      </c>
    </row>
    <row r="95" spans="1:11">
      <c r="A95" s="2" t="s">
        <v>468</v>
      </c>
      <c r="B95" s="3" t="s">
        <v>469</v>
      </c>
      <c r="D95" s="14">
        <v>3.7405920818499166E-22</v>
      </c>
      <c r="E95" s="14">
        <v>1.4645358755438046E-6</v>
      </c>
      <c r="F95" s="14">
        <v>1.2969241134948567E-5</v>
      </c>
      <c r="G95" s="14">
        <v>3.2085596709737394E-6</v>
      </c>
      <c r="H95" s="14">
        <v>0</v>
      </c>
      <c r="I95" s="14">
        <v>1.0653547663277948E-6</v>
      </c>
      <c r="J95" s="14">
        <v>2.1292308552206096E-5</v>
      </c>
      <c r="K95" s="14">
        <v>0</v>
      </c>
    </row>
    <row r="96" spans="1:11">
      <c r="A96" s="2" t="s">
        <v>470</v>
      </c>
      <c r="B96" s="163">
        <v>354656</v>
      </c>
      <c r="D96" s="14">
        <v>1.469226781693851E-14</v>
      </c>
      <c r="E96" s="14">
        <v>3.8740792513116396E-5</v>
      </c>
      <c r="F96" s="14">
        <v>3.9170854995308128E-9</v>
      </c>
      <c r="G96" s="14">
        <v>1.5151603838102172E-9</v>
      </c>
      <c r="H96" s="14">
        <v>0</v>
      </c>
      <c r="I96" s="14">
        <v>5.3802881829918475E-8</v>
      </c>
      <c r="J96" s="14">
        <v>1.1999723444780726E-6</v>
      </c>
      <c r="K96" s="14">
        <v>0</v>
      </c>
    </row>
    <row r="97" spans="1:11">
      <c r="A97" s="2" t="s">
        <v>472</v>
      </c>
      <c r="B97" s="3" t="s">
        <v>473</v>
      </c>
      <c r="D97" s="14">
        <v>2.2670174948108786E-14</v>
      </c>
      <c r="E97" s="14">
        <v>3.7408004018834255E-5</v>
      </c>
      <c r="F97" s="14">
        <v>1.6746694064657915E-8</v>
      </c>
      <c r="G97" s="14">
        <v>5.8052996557080054E-9</v>
      </c>
      <c r="H97" s="14">
        <v>0</v>
      </c>
      <c r="I97" s="14">
        <v>5.3289651470147034E-8</v>
      </c>
      <c r="J97" s="14">
        <v>2.5161543133050614E-6</v>
      </c>
      <c r="K97" s="14">
        <v>0</v>
      </c>
    </row>
    <row r="98" spans="1:11">
      <c r="A98" s="2" t="s">
        <v>474</v>
      </c>
      <c r="B98" s="3" t="s">
        <v>475</v>
      </c>
      <c r="D98" s="14">
        <v>7.5928268256375772E-24</v>
      </c>
      <c r="E98" s="14">
        <v>2.9933890060122012E-6</v>
      </c>
      <c r="F98" s="14">
        <v>1.1584511090140495E-5</v>
      </c>
      <c r="G98" s="14">
        <v>2.0595543874501569E-6</v>
      </c>
      <c r="H98" s="14">
        <v>0</v>
      </c>
      <c r="I98" s="14">
        <v>6.8030790876461385E-7</v>
      </c>
      <c r="J98" s="14">
        <v>2.2682237607632538E-5</v>
      </c>
      <c r="K98" s="14">
        <v>0</v>
      </c>
    </row>
    <row r="99" spans="1:11">
      <c r="A99" s="2" t="s">
        <v>476</v>
      </c>
      <c r="B99" s="3" t="s">
        <v>477</v>
      </c>
      <c r="D99" s="14">
        <v>6.9301569245140434E-12</v>
      </c>
      <c r="E99" s="14">
        <v>3.9611631776942635E-5</v>
      </c>
      <c r="F99" s="14">
        <v>3.2856196231992496E-10</v>
      </c>
      <c r="G99" s="14">
        <v>1.5279630042481333E-10</v>
      </c>
      <c r="H99" s="14">
        <v>0</v>
      </c>
      <c r="I99" s="14">
        <v>5.4587489408406244E-8</v>
      </c>
      <c r="J99" s="14">
        <v>3.3329244522929459E-7</v>
      </c>
      <c r="K99" s="14">
        <v>0</v>
      </c>
    </row>
    <row r="100" spans="1:11">
      <c r="A100" s="2" t="s">
        <v>478</v>
      </c>
      <c r="B100" s="3" t="s">
        <v>479</v>
      </c>
      <c r="D100" s="14">
        <v>2.6636637975731949E-15</v>
      </c>
      <c r="E100" s="14">
        <v>2.1459474001592323E-5</v>
      </c>
      <c r="F100" s="14">
        <v>1.0978768385527832E-6</v>
      </c>
      <c r="G100" s="14">
        <v>2.6844120424392581E-7</v>
      </c>
      <c r="H100" s="14">
        <v>0</v>
      </c>
      <c r="I100" s="14">
        <v>1.1488429321566348E-7</v>
      </c>
      <c r="J100" s="14">
        <v>1.7059323659731652E-5</v>
      </c>
      <c r="K100" s="14">
        <v>0</v>
      </c>
    </row>
    <row r="101" spans="1:11">
      <c r="A101" s="2" t="s">
        <v>480</v>
      </c>
      <c r="B101" s="3" t="s">
        <v>481</v>
      </c>
      <c r="D101" s="14">
        <v>1.8649397847128293E-15</v>
      </c>
      <c r="E101" s="14">
        <v>3.9386235955377136E-5</v>
      </c>
      <c r="F101" s="14">
        <v>8.8825779778286987E-10</v>
      </c>
      <c r="G101" s="14">
        <v>3.8373780241016906E-10</v>
      </c>
      <c r="H101" s="14">
        <v>0</v>
      </c>
      <c r="I101" s="14">
        <v>5.4346820862330732E-8</v>
      </c>
      <c r="J101" s="14">
        <v>5.5814522629540607E-7</v>
      </c>
      <c r="K101" s="14">
        <v>0</v>
      </c>
    </row>
    <row r="102" spans="1:11">
      <c r="A102" s="2" t="s">
        <v>482</v>
      </c>
      <c r="B102" s="3" t="s">
        <v>483</v>
      </c>
      <c r="D102" s="14">
        <v>1.1718725888473152E-31</v>
      </c>
      <c r="E102" s="14">
        <v>3.9803389856068304E-5</v>
      </c>
      <c r="F102" s="14">
        <v>6.3380346731051315E-11</v>
      </c>
      <c r="G102" s="14">
        <v>3.3285122995578194E-11</v>
      </c>
      <c r="H102" s="14">
        <v>0</v>
      </c>
      <c r="I102" s="14">
        <v>5.4815779864076883E-8</v>
      </c>
      <c r="J102" s="14">
        <v>1.4169769859790019E-7</v>
      </c>
      <c r="K102" s="14">
        <v>0</v>
      </c>
    </row>
    <row r="103" spans="1:11">
      <c r="A103" s="2" t="s">
        <v>484</v>
      </c>
      <c r="B103" s="3" t="s">
        <v>485</v>
      </c>
      <c r="D103" s="14">
        <v>9.3478018820446574E-18</v>
      </c>
      <c r="E103" s="14">
        <v>3.9622252735688851E-5</v>
      </c>
      <c r="F103" s="14">
        <v>3.0873347003883807E-10</v>
      </c>
      <c r="G103" s="14">
        <v>1.4423785976944718E-10</v>
      </c>
      <c r="H103" s="14">
        <v>0</v>
      </c>
      <c r="I103" s="14">
        <v>5.459954271420967E-8</v>
      </c>
      <c r="J103" s="14">
        <v>3.2269475025777734E-7</v>
      </c>
      <c r="K103" s="14">
        <v>0</v>
      </c>
    </row>
    <row r="104" spans="1:11">
      <c r="A104" s="2" t="s">
        <v>486</v>
      </c>
      <c r="B104" s="3" t="s">
        <v>487</v>
      </c>
      <c r="D104" s="14">
        <v>1.153574108939527E-13</v>
      </c>
      <c r="E104" s="14">
        <v>3.8119321739244031E-5</v>
      </c>
      <c r="F104" s="14">
        <v>8.796698659174065E-9</v>
      </c>
      <c r="G104" s="14">
        <v>3.2019553410722357E-9</v>
      </c>
      <c r="H104" s="14">
        <v>0</v>
      </c>
      <c r="I104" s="14">
        <v>5.3465205184546812E-8</v>
      </c>
      <c r="J104" s="14">
        <v>1.8152142862137716E-6</v>
      </c>
      <c r="K104" s="14">
        <v>0</v>
      </c>
    </row>
    <row r="105" spans="1:11">
      <c r="A105" s="2" t="s">
        <v>488</v>
      </c>
      <c r="B105" s="3" t="s">
        <v>489</v>
      </c>
      <c r="D105" s="14">
        <v>9.319918076011189E-21</v>
      </c>
      <c r="E105" s="14">
        <v>3.9775143882488732E-5</v>
      </c>
      <c r="F105" s="14">
        <v>8.9884811031280658E-11</v>
      </c>
      <c r="G105" s="14">
        <v>4.6002545663536963E-11</v>
      </c>
      <c r="H105" s="14">
        <v>0</v>
      </c>
      <c r="I105" s="14">
        <v>5.4780667734317508E-8</v>
      </c>
      <c r="J105" s="14">
        <v>1.69939562420255E-7</v>
      </c>
      <c r="K105" s="14">
        <v>0</v>
      </c>
    </row>
    <row r="106" spans="1:11">
      <c r="A106" s="2" t="s">
        <v>490</v>
      </c>
      <c r="B106" s="3" t="s">
        <v>491</v>
      </c>
      <c r="D106" s="14">
        <v>5.2102071672370461E-13</v>
      </c>
      <c r="E106" s="14">
        <v>3.3880878017704645E-5</v>
      </c>
      <c r="F106" s="14">
        <v>9.5307967239405824E-8</v>
      </c>
      <c r="G106" s="14">
        <v>2.8855244742942965E-8</v>
      </c>
      <c r="H106" s="14">
        <v>0</v>
      </c>
      <c r="I106" s="14">
        <v>5.5629115670369127E-8</v>
      </c>
      <c r="J106" s="14">
        <v>5.9393291336219303E-6</v>
      </c>
      <c r="K106" s="14">
        <v>0</v>
      </c>
    </row>
    <row r="107" spans="1:11">
      <c r="A107" s="2" t="s">
        <v>492</v>
      </c>
      <c r="B107" s="3" t="s">
        <v>493</v>
      </c>
      <c r="D107" s="14">
        <v>3.8703548887732057E-20</v>
      </c>
      <c r="E107" s="14">
        <v>2.4139621352898636E-6</v>
      </c>
      <c r="F107" s="14">
        <v>1.293078837118285E-5</v>
      </c>
      <c r="G107" s="14">
        <v>2.2445049077764552E-6</v>
      </c>
      <c r="H107" s="14">
        <v>0</v>
      </c>
      <c r="I107" s="14">
        <v>7.4202796952044518E-7</v>
      </c>
      <c r="J107" s="14">
        <v>2.1668716616230342E-5</v>
      </c>
      <c r="K107" s="14">
        <v>0</v>
      </c>
    </row>
    <row r="108" spans="1:11">
      <c r="A108" s="2" t="s">
        <v>291</v>
      </c>
      <c r="B108" s="3" t="s">
        <v>494</v>
      </c>
      <c r="D108" s="14">
        <v>1.450940932101519E-14</v>
      </c>
      <c r="E108" s="14">
        <v>2.336842255835154E-5</v>
      </c>
      <c r="F108" s="14">
        <v>8.4241084172830743E-7</v>
      </c>
      <c r="G108" s="14">
        <v>2.1135839526204524E-7</v>
      </c>
      <c r="H108" s="14">
        <v>0</v>
      </c>
      <c r="I108" s="14">
        <v>9.9191932103777918E-8</v>
      </c>
      <c r="J108" s="14">
        <v>1.5478616258044926E-5</v>
      </c>
      <c r="K108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08"/>
  <sheetViews>
    <sheetView tabSelected="1" topLeftCell="A77" workbookViewId="0">
      <selection activeCell="A84" sqref="A84:D108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5.8442363771994148E-8</v>
      </c>
      <c r="B2">
        <f>'Mass Balance'!E2</f>
        <v>3.2295756653408076E-5</v>
      </c>
      <c r="C2">
        <f>SUM('Mass Balance'!E2:H2)</f>
        <v>3.2494090589286497E-5</v>
      </c>
      <c r="D2">
        <f>Concentrations!F2/Concentrations!E2</f>
        <v>0.99428391917831194</v>
      </c>
    </row>
    <row r="3" spans="1:4">
      <c r="A3">
        <f>'Mass Balance'!I3</f>
        <v>4.5242443257351657E-6</v>
      </c>
      <c r="B3">
        <f>'Mass Balance'!E3</f>
        <v>1.3218149368318718E-7</v>
      </c>
      <c r="C3">
        <f>SUM('Mass Balance'!E3:H3)</f>
        <v>1.8249972920563454E-5</v>
      </c>
      <c r="D3">
        <f>Concentrations!F3/Concentrations!E3</f>
        <v>7.2456569655418761E-3</v>
      </c>
    </row>
    <row r="4" spans="1:4">
      <c r="A4">
        <f>'Mass Balance'!I4</f>
        <v>1.3287236136590578E-7</v>
      </c>
      <c r="B4">
        <f>'Mass Balance'!E4</f>
        <v>1.9644397309482979E-5</v>
      </c>
      <c r="C4">
        <f>SUM('Mass Balance'!E4:H4)</f>
        <v>2.1367565662540412E-5</v>
      </c>
      <c r="D4">
        <f>Concentrations!F4/Concentrations!E4</f>
        <v>0.91971442972599593</v>
      </c>
    </row>
    <row r="5" spans="1:4">
      <c r="A5">
        <f>'Mass Balance'!I5</f>
        <v>1.201224730710938E-6</v>
      </c>
      <c r="B5">
        <f>'Mass Balance'!E5</f>
        <v>1.2777918246061652E-6</v>
      </c>
      <c r="C5">
        <f>SUM('Mass Balance'!E5:H5)</f>
        <v>1.7335785272635914E-5</v>
      </c>
      <c r="D5">
        <f>Concentrations!F5/Concentrations!E5</f>
        <v>7.3737078138436107E-2</v>
      </c>
    </row>
    <row r="6" spans="1:4">
      <c r="A6">
        <f>'Mass Balance'!I6</f>
        <v>5.8016183794530774E-6</v>
      </c>
      <c r="B6">
        <f>'Mass Balance'!E6</f>
        <v>6.5066718601258693E-8</v>
      </c>
      <c r="C6">
        <f>SUM('Mass Balance'!E6:H6)</f>
        <v>2.0333291020123645E-5</v>
      </c>
      <c r="D6">
        <f>Concentrations!F6/Concentrations!E6</f>
        <v>3.2012571914110176E-3</v>
      </c>
    </row>
    <row r="7" spans="1:4">
      <c r="A7">
        <f>'Mass Balance'!I7</f>
        <v>4.7816792607314511E-6</v>
      </c>
      <c r="B7">
        <f>'Mass Balance'!E7</f>
        <v>1.2143815387525373E-7</v>
      </c>
      <c r="C7">
        <f>SUM('Mass Balance'!E7:H7)</f>
        <v>1.8818758053924084E-5</v>
      </c>
      <c r="D7">
        <f>Concentrations!F7/Concentrations!E7</f>
        <v>6.4555542634555886E-3</v>
      </c>
    </row>
    <row r="8" spans="1:4">
      <c r="A8">
        <f>'Mass Balance'!I8</f>
        <v>3.5361221477486406E-6</v>
      </c>
      <c r="B8">
        <f>'Mass Balance'!E8</f>
        <v>2.5091184401469542E-7</v>
      </c>
      <c r="C8">
        <f>SUM('Mass Balance'!E8:H8)</f>
        <v>1.7340113222880642E-5</v>
      </c>
      <c r="D8">
        <f>Concentrations!F8/Concentrations!E8</f>
        <v>1.4475666589305134E-2</v>
      </c>
    </row>
    <row r="9" spans="1:4">
      <c r="A9">
        <f>'Mass Balance'!I9</f>
        <v>4.3480550389398378E-7</v>
      </c>
      <c r="B9">
        <f>'Mass Balance'!E9</f>
        <v>6.6492601309904712E-6</v>
      </c>
      <c r="C9">
        <f>SUM('Mass Balance'!E9:H9)</f>
        <v>1.4627677274710141E-5</v>
      </c>
      <c r="D9">
        <f>Concentrations!F9/Concentrations!E9</f>
        <v>0.4547443291613536</v>
      </c>
    </row>
    <row r="10" spans="1:4">
      <c r="A10">
        <f>'Mass Balance'!I10</f>
        <v>1.2821118700444689E-6</v>
      </c>
      <c r="B10">
        <f>'Mass Balance'!E10</f>
        <v>1.1857576344196474E-6</v>
      </c>
      <c r="C10">
        <f>SUM('Mass Balance'!E10:H10)</f>
        <v>1.720273781861125E-5</v>
      </c>
      <c r="D10">
        <f>Concentrations!F10/Concentrations!E10</f>
        <v>6.895530717026728E-2</v>
      </c>
    </row>
    <row r="11" spans="1:4">
      <c r="A11">
        <f>'Mass Balance'!I11</f>
        <v>1.4247237815081394E-6</v>
      </c>
      <c r="B11">
        <f>'Mass Balance'!E11</f>
        <v>1.0435195538028686E-6</v>
      </c>
      <c r="C11">
        <f>SUM('Mass Balance'!E11:H11)</f>
        <v>1.6990913336711703E-5</v>
      </c>
      <c r="D11">
        <f>Concentrations!F11/Concentrations!E11</f>
        <v>6.1440282663387712E-2</v>
      </c>
    </row>
    <row r="12" spans="1:4">
      <c r="A12">
        <f>'Mass Balance'!I12</f>
        <v>5.2611004352162559E-7</v>
      </c>
      <c r="B12">
        <f>'Mass Balance'!E12</f>
        <v>4.9676420594656088E-6</v>
      </c>
      <c r="C12">
        <f>SUM('Mass Balance'!E12:H12)</f>
        <v>1.498239588506081E-5</v>
      </c>
      <c r="D12">
        <f>Concentrations!F12/Concentrations!E12</f>
        <v>0.33169457264537167</v>
      </c>
    </row>
    <row r="13" spans="1:4">
      <c r="A13">
        <f>'Mass Balance'!I13</f>
        <v>4.4308426147877671E-7</v>
      </c>
      <c r="B13">
        <f>'Mass Balance'!E13</f>
        <v>6.4729147396548417E-6</v>
      </c>
      <c r="C13">
        <f>SUM('Mass Balance'!E13:H13)</f>
        <v>1.4633119844474011E-5</v>
      </c>
      <c r="D13">
        <f>Concentrations!F13/Concentrations!E13</f>
        <v>0.44251938025974874</v>
      </c>
    </row>
    <row r="14" spans="1:4">
      <c r="A14">
        <f>'Mass Balance'!I14</f>
        <v>1.9471535001829643E-6</v>
      </c>
      <c r="B14">
        <f>'Mass Balance'!E14</f>
        <v>6.9184088228797516E-7</v>
      </c>
      <c r="C14">
        <f>SUM('Mass Balance'!E14:H14)</f>
        <v>1.6623576047701893E-5</v>
      </c>
      <c r="D14">
        <f>Concentrations!F14/Concentrations!E14</f>
        <v>4.1634284508650317E-2</v>
      </c>
    </row>
    <row r="15" spans="1:4">
      <c r="A15">
        <f>'Mass Balance'!I15</f>
        <v>1.3521919913843463E-6</v>
      </c>
      <c r="B15">
        <f>'Mass Balance'!E15</f>
        <v>1.1129142945544018E-6</v>
      </c>
      <c r="C15">
        <f>SUM('Mass Balance'!E15:H15)</f>
        <v>1.7094954354791479E-5</v>
      </c>
      <c r="D15">
        <f>Concentrations!F15/Concentrations!E15</f>
        <v>6.512730593821664E-2</v>
      </c>
    </row>
    <row r="16" spans="1:4">
      <c r="A16">
        <f>'Mass Balance'!I16</f>
        <v>3.4783952055856554E-6</v>
      </c>
      <c r="B16">
        <f>'Mass Balance'!E16</f>
        <v>2.5861551215643862E-7</v>
      </c>
      <c r="C16">
        <f>SUM('Mass Balance'!E16:H16)</f>
        <v>1.7268371388900375E-5</v>
      </c>
      <c r="D16">
        <f>Concentrations!F16/Concentrations!E16</f>
        <v>1.4982094392090273E-2</v>
      </c>
    </row>
    <row r="17" spans="1:4">
      <c r="A17">
        <f>'Mass Balance'!I17</f>
        <v>1.227997574904407E-6</v>
      </c>
      <c r="B17">
        <f>'Mass Balance'!E17</f>
        <v>1.2467500337376981E-6</v>
      </c>
      <c r="C17">
        <f>SUM('Mass Balance'!E17:H17)</f>
        <v>1.7293853647356591E-5</v>
      </c>
      <c r="D17">
        <f>Concentrations!F17/Concentrations!E17</f>
        <v>7.2120204192343509E-2</v>
      </c>
    </row>
    <row r="18" spans="1:4">
      <c r="A18">
        <f>'Mass Balance'!I18</f>
        <v>3.9519966993624681E-7</v>
      </c>
      <c r="B18">
        <f>'Mass Balance'!E18</f>
        <v>7.4204641728042819E-6</v>
      </c>
      <c r="C18">
        <f>SUM('Mass Balance'!E18:H18)</f>
        <v>1.4549397426026077E-5</v>
      </c>
      <c r="D18">
        <f>Concentrations!F18/Concentrations!E18</f>
        <v>0.51021756278682495</v>
      </c>
    </row>
    <row r="19" spans="1:4">
      <c r="A19">
        <f>'Mass Balance'!I19</f>
        <v>1.3665611201446158E-6</v>
      </c>
      <c r="B19">
        <f>'Mass Balance'!E19</f>
        <v>1.0988091111854351E-6</v>
      </c>
      <c r="C19">
        <f>SUM('Mass Balance'!E19:H19)</f>
        <v>1.7074562621103707E-5</v>
      </c>
      <c r="D19">
        <f>Concentrations!F19/Concentrations!E19</f>
        <v>6.4378670328433418E-2</v>
      </c>
    </row>
    <row r="20" spans="1:4">
      <c r="A20">
        <f>'Mass Balance'!I20</f>
        <v>4.4325234949753709E-7</v>
      </c>
      <c r="B20">
        <f>'Mass Balance'!E20</f>
        <v>6.4753702983572932E-6</v>
      </c>
      <c r="C20">
        <f>SUM('Mass Balance'!E20:H20)</f>
        <v>1.4638671050727043E-5</v>
      </c>
      <c r="D20">
        <f>Concentrations!F20/Concentrations!E20</f>
        <v>0.44251938025974868</v>
      </c>
    </row>
    <row r="21" spans="1:4">
      <c r="A21">
        <f>'Mass Balance'!I21</f>
        <v>1.7797501167951079E-6</v>
      </c>
      <c r="B21">
        <f>'Mass Balance'!E21</f>
        <v>7.8017154357367081E-7</v>
      </c>
      <c r="C21">
        <f>SUM('Mass Balance'!E21:H21)</f>
        <v>1.6657603736288247E-5</v>
      </c>
      <c r="D21">
        <f>Concentrations!F21/Concentrations!E21</f>
        <v>4.685402634239362E-2</v>
      </c>
    </row>
    <row r="22" spans="1:4">
      <c r="A22">
        <f>'Mass Balance'!I22</f>
        <v>8.1525787881383528E-8</v>
      </c>
      <c r="B22">
        <f>'Mass Balance'!E22</f>
        <v>2.6019986946663219E-5</v>
      </c>
      <c r="C22">
        <f>SUM('Mass Balance'!E22:H22)</f>
        <v>2.6719483108956122E-5</v>
      </c>
      <c r="D22">
        <f>Concentrations!F22/Concentrations!E22</f>
        <v>0.97420052731428086</v>
      </c>
    </row>
    <row r="23" spans="1:4">
      <c r="A23">
        <f>'Mass Balance'!I23</f>
        <v>6.3348246270152342E-8</v>
      </c>
      <c r="B23">
        <f>'Mass Balance'!E23</f>
        <v>3.040584448014787E-5</v>
      </c>
      <c r="C23">
        <f>SUM('Mass Balance'!E23:H23)</f>
        <v>3.0718838071762114E-5</v>
      </c>
      <c r="D23">
        <f>Concentrations!F23/Concentrations!E23</f>
        <v>0.99019703955724425</v>
      </c>
    </row>
    <row r="24" spans="1:4">
      <c r="A24">
        <f>'Mass Balance'!I24</f>
        <v>2.3632352411309972E-7</v>
      </c>
      <c r="B24">
        <f>'Mass Balance'!E24</f>
        <v>1.292035466157456E-5</v>
      </c>
      <c r="C24">
        <f>SUM('Mass Balance'!E24:H24)</f>
        <v>1.6715418373079079E-5</v>
      </c>
      <c r="D24">
        <f>Concentrations!F24/Concentrations!E24</f>
        <v>0.77326174005864801</v>
      </c>
    </row>
    <row r="25" spans="1:4">
      <c r="A25">
        <f>'Mass Balance'!I25</f>
        <v>6.1931262307739445E-7</v>
      </c>
      <c r="B25">
        <f>'Mass Balance'!E25</f>
        <v>3.1319846993595696E-6</v>
      </c>
      <c r="C25">
        <f>SUM('Mass Balance'!E25:H25)</f>
        <v>1.5439438938429809E-5</v>
      </c>
      <c r="D25">
        <f>Concentrations!F25/Concentrations!E25</f>
        <v>0.20293523365319427</v>
      </c>
    </row>
    <row r="26" spans="1:4">
      <c r="A26">
        <f>'Mass Balance'!I26</f>
        <v>1.6769189379600328E-6</v>
      </c>
      <c r="B26">
        <f>'Mass Balance'!E26</f>
        <v>8.4557744190180465E-7</v>
      </c>
      <c r="C26">
        <f>SUM('Mass Balance'!E26:H26)</f>
        <v>1.6726870894098033E-5</v>
      </c>
      <c r="D26">
        <f>Concentrations!F26/Concentrations!E26</f>
        <v>5.0571754617127311E-2</v>
      </c>
    </row>
    <row r="27" spans="1:4">
      <c r="A27">
        <f>'Mass Balance'!I27</f>
        <v>4.4069337129063926E-6</v>
      </c>
      <c r="B27">
        <f>'Mass Balance'!E27</f>
        <v>1.447001598905078E-7</v>
      </c>
      <c r="C27">
        <f>SUM('Mass Balance'!E27:H27)</f>
        <v>1.8167516445587464E-5</v>
      </c>
      <c r="D27">
        <f>Concentrations!F27/Concentrations!E27</f>
        <v>7.9678800475457261E-3</v>
      </c>
    </row>
    <row r="28" spans="1:4">
      <c r="A28">
        <f>'Mass Balance'!I28</f>
        <v>2.5012078150019557E-6</v>
      </c>
      <c r="B28">
        <f>'Mass Balance'!E28</f>
        <v>4.7318319334612212E-7</v>
      </c>
      <c r="C28">
        <f>SUM('Mass Balance'!E28:H28)</f>
        <v>1.6645610231167352E-5</v>
      </c>
      <c r="D28">
        <f>Concentrations!F28/Concentrations!E28</f>
        <v>2.8437992026032605E-2</v>
      </c>
    </row>
    <row r="29" spans="1:4">
      <c r="A29">
        <f>'Mass Balance'!I29</f>
        <v>1.6774366094229112E-6</v>
      </c>
      <c r="B29">
        <f>'Mass Balance'!E29</f>
        <v>6.3923665952599132E-7</v>
      </c>
      <c r="C29">
        <f>SUM('Mass Balance'!E29:H29)</f>
        <v>1.4759481331712215E-5</v>
      </c>
      <c r="D29">
        <f>Concentrations!F29/Concentrations!E29</f>
        <v>4.3327129345484799E-2</v>
      </c>
    </row>
    <row r="30" spans="1:4">
      <c r="A30">
        <f>'Mass Balance'!I30</f>
        <v>2.5012078150019557E-6</v>
      </c>
      <c r="B30">
        <f>'Mass Balance'!E30</f>
        <v>4.7318319334612212E-7</v>
      </c>
      <c r="C30">
        <f>SUM('Mass Balance'!E30:H30)</f>
        <v>1.6645610231167352E-5</v>
      </c>
      <c r="D30">
        <f>Concentrations!F30/Concentrations!E30</f>
        <v>2.8437992026032605E-2</v>
      </c>
    </row>
    <row r="31" spans="1:4">
      <c r="A31">
        <f>'Mass Balance'!I31</f>
        <v>5.4006070277463453E-8</v>
      </c>
      <c r="B31">
        <f>'Mass Balance'!E31</f>
        <v>3.9011541734164848E-5</v>
      </c>
      <c r="C31">
        <f>SUM('Mass Balance'!E31:H31)</f>
        <v>3.9014893906561744E-5</v>
      </c>
      <c r="D31">
        <f>Concentrations!F31/Concentrations!E31</f>
        <v>1.0003040382004165</v>
      </c>
    </row>
    <row r="32" spans="1:4">
      <c r="A32">
        <f>'Mass Balance'!I32</f>
        <v>1.1364389806561233E-7</v>
      </c>
      <c r="B32">
        <f>'Mass Balance'!E32</f>
        <v>2.2230494718118663E-5</v>
      </c>
      <c r="C32">
        <f>SUM('Mass Balance'!E32:H32)</f>
        <v>2.3471884031172043E-5</v>
      </c>
      <c r="D32">
        <f>Concentrations!F32/Concentrations!E32</f>
        <v>0.94748101193950529</v>
      </c>
    </row>
    <row r="33" spans="1:4">
      <c r="A33">
        <f>'Mass Balance'!I33</f>
        <v>5.509522460106167E-8</v>
      </c>
      <c r="B33">
        <f>'Mass Balance'!E33</f>
        <v>3.992582646157687E-5</v>
      </c>
      <c r="C33">
        <f>SUM('Mass Balance'!E33:H33)</f>
        <v>3.9942622283020209E-5</v>
      </c>
      <c r="D33">
        <f>Concentrations!F33/Concentrations!E33</f>
        <v>0.99996932932585092</v>
      </c>
    </row>
    <row r="34" spans="1:4">
      <c r="A34">
        <f>'Mass Balance'!I34</f>
        <v>6.6195179583209387E-8</v>
      </c>
      <c r="B34">
        <f>'Mass Balance'!E34</f>
        <v>3.6885674829784978E-5</v>
      </c>
      <c r="C34">
        <f>SUM('Mass Balance'!E34:H34)</f>
        <v>3.9920739495268017E-5</v>
      </c>
      <c r="D34">
        <f>Concentrations!F34/Concentrations!E34</f>
        <v>0.9243330763832539</v>
      </c>
    </row>
    <row r="35" spans="1:4">
      <c r="A35">
        <f>'Mass Balance'!I35</f>
        <v>7.8480086051391004E-8</v>
      </c>
      <c r="B35">
        <f>'Mass Balance'!E35</f>
        <v>3.3019600005990445E-5</v>
      </c>
      <c r="C35">
        <f>SUM('Mass Balance'!E35:H35)</f>
        <v>3.9873700271867616E-5</v>
      </c>
      <c r="D35">
        <f>Concentrations!F35/Concentrations!E35</f>
        <v>0.82842768947332002</v>
      </c>
    </row>
    <row r="36" spans="1:4">
      <c r="A36">
        <f>'Mass Balance'!I36</f>
        <v>1.0975716912709592E-7</v>
      </c>
      <c r="B36">
        <f>'Mass Balance'!E36</f>
        <v>2.184348715304672E-5</v>
      </c>
      <c r="C36">
        <f>SUM('Mass Balance'!E36:H36)</f>
        <v>3.9784247646028823E-5</v>
      </c>
      <c r="D36">
        <f>Concentrations!F36/Concentrations!E36</f>
        <v>0.54926276684845676</v>
      </c>
    </row>
    <row r="37" spans="1:4">
      <c r="A37">
        <f>'Mass Balance'!I37</f>
        <v>1.501324423288571E-7</v>
      </c>
      <c r="B37">
        <f>'Mass Balance'!E37</f>
        <v>2.3665839238805201E-5</v>
      </c>
      <c r="C37">
        <f>SUM('Mass Balance'!E37:H37)</f>
        <v>3.1834220394159947E-5</v>
      </c>
      <c r="D37">
        <f>Concentrations!F37/Concentrations!E37</f>
        <v>0.74369871272051646</v>
      </c>
    </row>
    <row r="38" spans="1:4">
      <c r="A38">
        <f>'Mass Balance'!I38</f>
        <v>6.4227883241107489E-8</v>
      </c>
      <c r="B38">
        <f>'Mass Balance'!E38</f>
        <v>3.7477184746459498E-5</v>
      </c>
      <c r="C38">
        <f>SUM('Mass Balance'!E38:H38)</f>
        <v>3.9821112314480914E-5</v>
      </c>
      <c r="D38">
        <f>Concentrations!F38/Concentrations!E38</f>
        <v>0.94150560772638303</v>
      </c>
    </row>
    <row r="39" spans="1:4">
      <c r="A39">
        <f>'Mass Balance'!I39</f>
        <v>8.1150354906516515E-7</v>
      </c>
      <c r="B39">
        <f>'Mass Balance'!E39</f>
        <v>1.9510695293774795E-6</v>
      </c>
      <c r="C39">
        <f>SUM('Mass Balance'!E39:H39)</f>
        <v>1.8438758616058042E-5</v>
      </c>
      <c r="D39">
        <f>Concentrations!F39/Concentrations!E39</f>
        <v>0.10585476341410867</v>
      </c>
    </row>
    <row r="40" spans="1:4">
      <c r="A40">
        <f>'Mass Balance'!I40</f>
        <v>8.8294065765686224E-6</v>
      </c>
      <c r="B40">
        <f>'Mass Balance'!E40</f>
        <v>3.0753321917207102E-7</v>
      </c>
      <c r="C40">
        <f>SUM('Mass Balance'!E40:H40)</f>
        <v>3.0291004822759805E-5</v>
      </c>
      <c r="D40">
        <f>Concentrations!F40/Concentrations!E40</f>
        <v>1.0156584652045903E-2</v>
      </c>
    </row>
    <row r="41" spans="1:4">
      <c r="A41">
        <f>'Mass Balance'!I41</f>
        <v>5.0286860090077468E-8</v>
      </c>
      <c r="B41">
        <f>'Mass Balance'!E41</f>
        <v>3.6509353137045694E-5</v>
      </c>
      <c r="C41">
        <f>SUM('Mass Balance'!E41:H41)</f>
        <v>3.6509520271197657E-5</v>
      </c>
      <c r="D41">
        <f>Concentrations!F41/Concentrations!E41</f>
        <v>1.0003854124253488</v>
      </c>
    </row>
    <row r="42" spans="1:4">
      <c r="A42">
        <f>'Mass Balance'!I42</f>
        <v>8.8400426465371714E-8</v>
      </c>
      <c r="B42">
        <f>'Mass Balance'!E42</f>
        <v>2.4944263396966792E-5</v>
      </c>
      <c r="C42">
        <f>SUM('Mass Balance'!E42:H42)</f>
        <v>2.5781232445999737E-5</v>
      </c>
      <c r="D42">
        <f>Concentrations!F42/Concentrations!E42</f>
        <v>0.96791305509794801</v>
      </c>
    </row>
    <row r="43" spans="1:4">
      <c r="A43">
        <f>'Mass Balance'!I43</f>
        <v>3.1347919399426888E-7</v>
      </c>
      <c r="B43">
        <f>'Mass Balance'!E43</f>
        <v>3.2411253150100338E-6</v>
      </c>
      <c r="C43">
        <f>SUM('Mass Balance'!E43:H43)</f>
        <v>3.9531956458166592E-5</v>
      </c>
      <c r="D43">
        <f>Concentrations!F43/Concentrations!E43</f>
        <v>8.2019450049147971E-2</v>
      </c>
    </row>
    <row r="44" spans="1:4">
      <c r="A44">
        <f>'Mass Balance'!I44</f>
        <v>5.0465511418309454E-8</v>
      </c>
      <c r="B44">
        <f>'Mass Balance'!E44</f>
        <v>3.1184752432939771E-5</v>
      </c>
      <c r="C44">
        <f>SUM('Mass Balance'!E44:H44)</f>
        <v>3.1288334926459365E-5</v>
      </c>
      <c r="D44">
        <f>Concentrations!F44/Concentrations!E44</f>
        <v>0.99707812228781312</v>
      </c>
    </row>
    <row r="45" spans="1:4">
      <c r="A45">
        <f>'Mass Balance'!I45</f>
        <v>9.5262854571797781E-8</v>
      </c>
      <c r="B45">
        <f>'Mass Balance'!E45</f>
        <v>2.3881501886679704E-5</v>
      </c>
      <c r="C45">
        <f>SUM('Mass Balance'!E45:H45)</f>
        <v>2.4857348329707125E-5</v>
      </c>
      <c r="D45">
        <f>Concentrations!F45/Concentrations!E45</f>
        <v>0.96111681605375676</v>
      </c>
    </row>
    <row r="46" spans="1:4">
      <c r="A46">
        <f>'Mass Balance'!I46</f>
        <v>9.0669889417871659E-8</v>
      </c>
      <c r="B46">
        <f>'Mass Balance'!E46</f>
        <v>2.4497719207606789E-5</v>
      </c>
      <c r="C46">
        <f>SUM('Mass Balance'!E46:H46)</f>
        <v>2.53827441355497E-5</v>
      </c>
      <c r="D46">
        <f>Concentrations!F46/Concentrations!E46</f>
        <v>0.96550920546992713</v>
      </c>
    </row>
    <row r="47" spans="1:4">
      <c r="A47">
        <f>'Mass Balance'!I47</f>
        <v>4.60736294532992E-6</v>
      </c>
      <c r="B47">
        <f>'Mass Balance'!E47</f>
        <v>1.3460990879517031E-7</v>
      </c>
      <c r="C47">
        <f>SUM('Mass Balance'!E47:H47)</f>
        <v>1.8585258207472092E-5</v>
      </c>
      <c r="D47">
        <f>Concentrations!F47/Concentrations!E47</f>
        <v>7.245656965541877E-3</v>
      </c>
    </row>
    <row r="48" spans="1:4">
      <c r="A48">
        <f>'Mass Balance'!I48</f>
        <v>5.2683015299088072E-8</v>
      </c>
      <c r="B48">
        <f>'Mass Balance'!E48</f>
        <v>3.6368392836125847E-5</v>
      </c>
      <c r="C48">
        <f>SUM('Mass Balance'!E48:H48)</f>
        <v>3.6402077604541515E-5</v>
      </c>
      <c r="D48">
        <f>Concentrations!F48/Concentrations!E48</f>
        <v>0.999464278244938</v>
      </c>
    </row>
    <row r="49" spans="1:4">
      <c r="A49">
        <f>'Mass Balance'!I49</f>
        <v>5.2560177073335493E-8</v>
      </c>
      <c r="B49">
        <f>'Mass Balance'!E49</f>
        <v>3.4914206322448477E-5</v>
      </c>
      <c r="C49">
        <f>SUM('Mass Balance'!E49:H49)</f>
        <v>3.4973947189178293E-5</v>
      </c>
      <c r="D49">
        <f>Concentrations!F49/Concentrations!E49</f>
        <v>0.99868117247035759</v>
      </c>
    </row>
    <row r="50" spans="1:4">
      <c r="A50">
        <f>'Mass Balance'!I50</f>
        <v>3.8011938615338405E-7</v>
      </c>
      <c r="B50">
        <f>'Mass Balance'!E50</f>
        <v>7.6408852494774599E-6</v>
      </c>
      <c r="C50">
        <f>SUM('Mass Balance'!E50:H50)</f>
        <v>1.4457323599852247E-5</v>
      </c>
      <c r="D50">
        <f>Concentrations!F50/Concentrations!E50</f>
        <v>0.52871923915014007</v>
      </c>
    </row>
    <row r="51" spans="1:4">
      <c r="A51">
        <f>'Mass Balance'!I51</f>
        <v>5.0247761212015643E-8</v>
      </c>
      <c r="B51">
        <f>'Mass Balance'!E51</f>
        <v>3.6150669326663841E-5</v>
      </c>
      <c r="C51">
        <f>SUM('Mass Balance'!E51:H51)</f>
        <v>3.6156260166961736E-5</v>
      </c>
      <c r="D51">
        <f>Concentrations!F51/Concentrations!E51</f>
        <v>1.0002353017912218</v>
      </c>
    </row>
    <row r="52" spans="1:4">
      <c r="A52">
        <f>'Mass Balance'!I52</f>
        <v>5.4108459222245538E-8</v>
      </c>
      <c r="B52">
        <f>'Mass Balance'!E52</f>
        <v>3.0066715908836455E-5</v>
      </c>
      <c r="C52">
        <f>SUM('Mass Balance'!E52:H52)</f>
        <v>3.0246875813797168E-5</v>
      </c>
      <c r="D52">
        <f>Concentrations!F52/Concentrations!E52</f>
        <v>0.99443135462023402</v>
      </c>
    </row>
    <row r="53" spans="1:4">
      <c r="A53">
        <f>'Mass Balance'!I53</f>
        <v>1.2380624789877762E-7</v>
      </c>
      <c r="B53">
        <f>'Mass Balance'!E53</f>
        <v>2.0431236941766749E-5</v>
      </c>
      <c r="C53">
        <f>SUM('Mass Balance'!E53:H53)</f>
        <v>2.1977035298166906E-5</v>
      </c>
      <c r="D53">
        <f>Concentrations!F53/Concentrations!E53</f>
        <v>0.93002557825139109</v>
      </c>
    </row>
    <row r="54" spans="1:4">
      <c r="A54">
        <f>'Mass Balance'!I54</f>
        <v>4.0867319782698011E-6</v>
      </c>
      <c r="B54">
        <f>'Mass Balance'!E54</f>
        <v>1.8178055363429879E-7</v>
      </c>
      <c r="C54">
        <f>SUM('Mass Balance'!E54:H54)</f>
        <v>1.7923692522969581E-5</v>
      </c>
      <c r="D54">
        <f>Concentrations!F54/Concentrations!E54</f>
        <v>1.0145869572868194E-2</v>
      </c>
    </row>
    <row r="55" spans="1:4">
      <c r="A55">
        <f>'Mass Balance'!I55</f>
        <v>1.9551121172654884E-7</v>
      </c>
      <c r="B55">
        <f>'Mass Balance'!E55</f>
        <v>9.3840205780925834E-6</v>
      </c>
      <c r="C55">
        <f>SUM('Mass Balance'!E55:H55)</f>
        <v>1.2580250228362079E-5</v>
      </c>
      <c r="D55">
        <f>Concentrations!F55/Concentrations!E55</f>
        <v>0.7462236522295177</v>
      </c>
    </row>
    <row r="56" spans="1:4">
      <c r="A56">
        <f>'Mass Balance'!I56</f>
        <v>8.7770707955184875E-8</v>
      </c>
      <c r="B56">
        <f>'Mass Balance'!E56</f>
        <v>8.8804963860005039E-7</v>
      </c>
      <c r="C56">
        <f>SUM('Mass Balance'!E56:H56)</f>
        <v>2.5504265040955756E-6</v>
      </c>
      <c r="D56">
        <f>Concentrations!F56/Concentrations!E56</f>
        <v>0.34833231597096376</v>
      </c>
    </row>
    <row r="57" spans="1:4">
      <c r="A57">
        <f>'Mass Balance'!I57</f>
        <v>3.6971856463105711E-8</v>
      </c>
      <c r="B57">
        <f>'Mass Balance'!E57</f>
        <v>1.3330199926539313E-6</v>
      </c>
      <c r="C57">
        <f>SUM('Mass Balance'!E57:H57)</f>
        <v>1.9588240184708947E-6</v>
      </c>
      <c r="D57">
        <f>Concentrations!F57/Concentrations!E57</f>
        <v>0.68078594465769393</v>
      </c>
    </row>
    <row r="58" spans="1:4">
      <c r="A58">
        <f>'Mass Balance'!I58</f>
        <v>3.6587382344611789E-9</v>
      </c>
      <c r="B58">
        <f>'Mass Balance'!E58</f>
        <v>2.3770354471470142E-6</v>
      </c>
      <c r="C58">
        <f>SUM('Mass Balance'!E58:H58)</f>
        <v>2.3822351267900039E-6</v>
      </c>
      <c r="D58">
        <f>Concentrations!F58/Concentrations!E58</f>
        <v>0.99820645128398888</v>
      </c>
    </row>
    <row r="59" spans="1:4">
      <c r="A59">
        <f>'Mass Balance'!I59</f>
        <v>1.3096880717922441E-8</v>
      </c>
      <c r="B59">
        <f>'Mass Balance'!E59</f>
        <v>5.0465483485184724E-7</v>
      </c>
      <c r="C59">
        <f>SUM('Mass Balance'!E59:H59)</f>
        <v>7.246608847989974E-7</v>
      </c>
      <c r="D59">
        <f>Concentrations!F59/Concentrations!E59</f>
        <v>0.69667296359957631</v>
      </c>
    </row>
    <row r="60" spans="1:4">
      <c r="A60">
        <f>'Mass Balance'!I60</f>
        <v>2.2933403922408073E-10</v>
      </c>
      <c r="B60">
        <f>'Mass Balance'!E60</f>
        <v>1.7988077458846301E-8</v>
      </c>
      <c r="C60">
        <f>SUM('Mass Balance'!E60:H60)</f>
        <v>2.1461648234556652E-8</v>
      </c>
      <c r="D60">
        <f>Concentrations!F60/Concentrations!E60</f>
        <v>0.83847673156790337</v>
      </c>
    </row>
    <row r="61" spans="1:4">
      <c r="A61">
        <f>'Mass Balance'!I61</f>
        <v>1.6201185353702104E-7</v>
      </c>
      <c r="B61">
        <f>'Mass Balance'!E61</f>
        <v>1.7255794664055411E-5</v>
      </c>
      <c r="C61">
        <f>SUM('Mass Balance'!E61:H61)</f>
        <v>1.9557532857189243E-5</v>
      </c>
      <c r="D61">
        <f>Concentrations!F61/Concentrations!E61</f>
        <v>0.88265347232576219</v>
      </c>
    </row>
    <row r="62" spans="1:4">
      <c r="A62">
        <f>'Mass Balance'!I62</f>
        <v>1.9102306410989546E-6</v>
      </c>
      <c r="B62">
        <f>'Mass Balance'!E62</f>
        <v>7.1115616479137587E-7</v>
      </c>
      <c r="C62">
        <f>SUM('Mass Balance'!E62:H62)</f>
        <v>1.6638741220374116E-5</v>
      </c>
      <c r="D62">
        <f>Concentrations!F62/Concentrations!E62</f>
        <v>4.2757652193050333E-2</v>
      </c>
    </row>
    <row r="63" spans="1:4">
      <c r="A63">
        <f>'Mass Balance'!I63</f>
        <v>5.511953368893005E-6</v>
      </c>
      <c r="B63">
        <f>'Mass Balance'!E63</f>
        <v>7.8079122823974897E-8</v>
      </c>
      <c r="C63">
        <f>SUM('Mass Balance'!E63:H63)</f>
        <v>1.9880224504429156E-5</v>
      </c>
      <c r="D63">
        <f>Concentrations!F63/Concentrations!E63</f>
        <v>3.9290086006088304E-3</v>
      </c>
    </row>
    <row r="64" spans="1:4">
      <c r="A64">
        <f>'Mass Balance'!I64</f>
        <v>6.9286604295915218E-6</v>
      </c>
      <c r="B64">
        <f>'Mass Balance'!E64</f>
        <v>2.9828530617382871E-8</v>
      </c>
      <c r="C64">
        <f>SUM('Mass Balance'!E64:H64)</f>
        <v>2.2226941559917524E-5</v>
      </c>
      <c r="D64">
        <f>Concentrations!F64/Concentrations!E64</f>
        <v>1.3425222460896708E-3</v>
      </c>
    </row>
    <row r="65" spans="1:4">
      <c r="A65">
        <f>'Mass Balance'!I65</f>
        <v>8.2511533340888472E-6</v>
      </c>
      <c r="B65">
        <f>'Mass Balance'!E65</f>
        <v>9.1672774590900269E-9</v>
      </c>
      <c r="C65">
        <f>SUM('Mass Balance'!E65:H65)</f>
        <v>2.4651933563192722E-5</v>
      </c>
      <c r="D65">
        <f>Concentrations!F65/Concentrations!E65</f>
        <v>3.7201352181030859E-4</v>
      </c>
    </row>
    <row r="66" spans="1:4">
      <c r="A66">
        <f>'Mass Balance'!I66</f>
        <v>7.5441838427696727E-6</v>
      </c>
      <c r="B66">
        <f>'Mass Balance'!E66</f>
        <v>1.8114966947659885E-8</v>
      </c>
      <c r="C66">
        <f>SUM('Mass Balance'!E66:H66)</f>
        <v>2.3334021693992801E-5</v>
      </c>
      <c r="D66">
        <f>Concentrations!F66/Concentrations!E66</f>
        <v>7.7663558721812701E-4</v>
      </c>
    </row>
    <row r="67" spans="1:4">
      <c r="A67">
        <f>'Mass Balance'!I67</f>
        <v>5.5775649601305916E-8</v>
      </c>
      <c r="B67">
        <f>'Mass Balance'!E67</f>
        <v>3.3441768133103816E-5</v>
      </c>
      <c r="C67">
        <f>SUM('Mass Balance'!E67:H67)</f>
        <v>3.3576983465908237E-5</v>
      </c>
      <c r="D67">
        <f>Concentrations!F67/Concentrations!E67</f>
        <v>0.99636139709402016</v>
      </c>
    </row>
    <row r="68" spans="1:4">
      <c r="A68">
        <f>'Mass Balance'!I68</f>
        <v>5.9609883967306122E-8</v>
      </c>
      <c r="B68">
        <f>'Mass Balance'!E68</f>
        <v>3.1196586965774119E-5</v>
      </c>
      <c r="C68">
        <f>SUM('Mass Balance'!E68:H68)</f>
        <v>3.1435634875281917E-5</v>
      </c>
      <c r="D68">
        <f>Concentrations!F68/Concentrations!E68</f>
        <v>0.99278266559629358</v>
      </c>
    </row>
    <row r="69" spans="1:4">
      <c r="A69">
        <f>'Mass Balance'!I69</f>
        <v>3.3857021548338485E-6</v>
      </c>
      <c r="B69">
        <f>'Mass Balance'!E69</f>
        <v>2.6998945563316468E-7</v>
      </c>
      <c r="C69">
        <f>SUM('Mass Balance'!E69:H69)</f>
        <v>1.7128490473893067E-5</v>
      </c>
      <c r="D69">
        <f>Concentrations!F69/Concentrations!E69</f>
        <v>1.5768742130658431E-2</v>
      </c>
    </row>
    <row r="70" spans="1:4">
      <c r="A70">
        <f>'Mass Balance'!I70</f>
        <v>6.0220323248454912E-7</v>
      </c>
      <c r="B70">
        <f>'Mass Balance'!E70</f>
        <v>3.751606242066181E-6</v>
      </c>
      <c r="C70">
        <f>SUM('Mass Balance'!E70:H70)</f>
        <v>1.5552928093678413E-5</v>
      </c>
      <c r="D70">
        <f>Concentrations!F70/Concentrations!E70</f>
        <v>0.24130950236583468</v>
      </c>
    </row>
    <row r="71" spans="1:4">
      <c r="A71">
        <f>'Mass Balance'!I71</f>
        <v>5.7871321765541677E-8</v>
      </c>
      <c r="B71">
        <f>'Mass Balance'!E71</f>
        <v>3.1060528066094206E-5</v>
      </c>
      <c r="C71">
        <f>SUM('Mass Balance'!E71:H71)</f>
        <v>3.1276233626117702E-5</v>
      </c>
      <c r="D71">
        <f>Concentrations!F71/Concentrations!E71</f>
        <v>0.99349051410971345</v>
      </c>
    </row>
    <row r="72" spans="1:4">
      <c r="A72">
        <f>'Mass Balance'!I72</f>
        <v>5.5045197815767893E-7</v>
      </c>
      <c r="B72">
        <f>'Mass Balance'!E72</f>
        <v>4.0320050404439683E-6</v>
      </c>
      <c r="C72">
        <f>SUM('Mass Balance'!E72:H72)</f>
        <v>1.4700042653898303E-5</v>
      </c>
      <c r="D72">
        <f>Concentrations!F72/Concentrations!E72</f>
        <v>0.27439223036697236</v>
      </c>
    </row>
    <row r="73" spans="1:4">
      <c r="A73">
        <f>'Mass Balance'!I73</f>
        <v>1.6843085704793197E-7</v>
      </c>
      <c r="B73">
        <f>'Mass Balance'!E73</f>
        <v>1.622488256611187E-5</v>
      </c>
      <c r="C73">
        <f>SUM('Mass Balance'!E73:H73)</f>
        <v>1.8673121261808292E-5</v>
      </c>
      <c r="D73">
        <f>Concentrations!F73/Concentrations!E73</f>
        <v>0.86922855121551557</v>
      </c>
    </row>
    <row r="74" spans="1:4">
      <c r="A74">
        <f>'Mass Balance'!I74</f>
        <v>5.8933244848500438E-7</v>
      </c>
      <c r="B74">
        <f>'Mass Balance'!E74</f>
        <v>3.8453767141666187E-6</v>
      </c>
      <c r="C74">
        <f>SUM('Mass Balance'!E74:H74)</f>
        <v>1.5358149175513665E-5</v>
      </c>
      <c r="D74">
        <f>Concentrations!F74/Concentrations!E74</f>
        <v>0.25047786269637617</v>
      </c>
    </row>
    <row r="75" spans="1:4">
      <c r="A75">
        <f>'Mass Balance'!I75</f>
        <v>1.0529914816429213E-6</v>
      </c>
      <c r="B75">
        <f>'Mass Balance'!E75</f>
        <v>1.6241574295189331E-6</v>
      </c>
      <c r="C75">
        <f>SUM('Mass Balance'!E75:H75)</f>
        <v>3.8915689483249292E-5</v>
      </c>
      <c r="D75">
        <f>Concentrations!F75/Concentrations!E75</f>
        <v>4.1751562404633208E-2</v>
      </c>
    </row>
    <row r="76" spans="1:4">
      <c r="A76">
        <f>'Mass Balance'!I76</f>
        <v>1.0529914869369342E-6</v>
      </c>
      <c r="B76">
        <f>'Mass Balance'!E76</f>
        <v>1.6241574376845359E-6</v>
      </c>
      <c r="C76">
        <f>SUM('Mass Balance'!E76:H76)</f>
        <v>3.8915689678901536E-5</v>
      </c>
      <c r="D76">
        <f>Concentrations!F76/Concentrations!E76</f>
        <v>4.1751562404633208E-2</v>
      </c>
    </row>
    <row r="77" spans="1:4">
      <c r="A77">
        <f>'Mass Balance'!I77</f>
        <v>3.1007569943378717E-7</v>
      </c>
      <c r="B77">
        <f>'Mass Balance'!E77</f>
        <v>8.9441006223050924E-6</v>
      </c>
      <c r="C77">
        <f>SUM('Mass Balance'!E77:H77)</f>
        <v>1.4318836255407846E-5</v>
      </c>
      <c r="D77">
        <f>Concentrations!F77/Concentrations!E77</f>
        <v>0.6248823990095036</v>
      </c>
    </row>
    <row r="78" spans="1:4">
      <c r="A78">
        <f>'Mass Balance'!I78</f>
        <v>8.1981280922509216E-8</v>
      </c>
      <c r="B78">
        <f>'Mass Balance'!E78</f>
        <v>2.4466995214789538E-5</v>
      </c>
      <c r="C78">
        <f>SUM('Mass Balance'!E78:H78)</f>
        <v>2.5210929411443055E-5</v>
      </c>
      <c r="D78">
        <f>Concentrations!F78/Concentrations!E78</f>
        <v>0.97087008370748962</v>
      </c>
    </row>
    <row r="79" spans="1:4">
      <c r="A79">
        <f>'Mass Balance'!I79</f>
        <v>1.2562284637902129E-7</v>
      </c>
      <c r="B79">
        <f>'Mass Balance'!E79</f>
        <v>1.9992420283218469E-5</v>
      </c>
      <c r="C79">
        <f>SUM('Mass Balance'!E79:H79)</f>
        <v>2.1581453247297942E-5</v>
      </c>
      <c r="D79">
        <f>Concentrations!F79/Concentrations!E79</f>
        <v>0.92673171443555502</v>
      </c>
    </row>
    <row r="80" spans="1:4">
      <c r="A80">
        <f>'Mass Balance'!I80</f>
        <v>2.0164985623391009E-6</v>
      </c>
      <c r="B80">
        <f>'Mass Balance'!E80</f>
        <v>1.0869406476423386E-6</v>
      </c>
      <c r="C80">
        <f>SUM('Mass Balance'!E80:H80)</f>
        <v>3.7945823765717061E-5</v>
      </c>
      <c r="D80">
        <f>Concentrations!F80/Concentrations!E80</f>
        <v>2.8655710640265231E-2</v>
      </c>
    </row>
    <row r="81" spans="1:4">
      <c r="A81">
        <f>'Mass Balance'!I81</f>
        <v>5.3834247726056234E-8</v>
      </c>
      <c r="B81">
        <f>'Mass Balance'!E81</f>
        <v>3.8785810247067277E-5</v>
      </c>
      <c r="C81">
        <f>SUM('Mass Balance'!E81:H81)</f>
        <v>3.8790863540637542E-5</v>
      </c>
      <c r="D81">
        <f>Concentrations!F81/Concentrations!E81</f>
        <v>1.0002596710296732</v>
      </c>
    </row>
    <row r="82" spans="1:4">
      <c r="A82">
        <f>'Mass Balance'!I82</f>
        <v>6.2765382017460435E-8</v>
      </c>
      <c r="B82">
        <f>'Mass Balance'!E82</f>
        <v>3.0599507957523967E-5</v>
      </c>
      <c r="C82">
        <f>SUM('Mass Balance'!E82:H82)</f>
        <v>3.0899371409147236E-5</v>
      </c>
      <c r="D82">
        <f>Concentrations!F82/Concentrations!E82</f>
        <v>0.99068169111119375</v>
      </c>
    </row>
    <row r="83" spans="1:4">
      <c r="A83">
        <f>'Mass Balance'!I83</f>
        <v>2.8981185335198192E-7</v>
      </c>
      <c r="B83">
        <f>'Mass Balance'!E83</f>
        <v>1.0683496930570041E-5</v>
      </c>
      <c r="C83">
        <f>SUM('Mass Balance'!E83:H83)</f>
        <v>1.5576713139036503E-5</v>
      </c>
      <c r="D83">
        <f>Concentrations!F83/Concentrations!E83</f>
        <v>0.68613084890735798</v>
      </c>
    </row>
    <row r="84" spans="1:4">
      <c r="A84">
        <f>'Mass Balance'!I84</f>
        <v>5.3292717795525289E-8</v>
      </c>
      <c r="B84">
        <f>'Mass Balance'!E84</f>
        <v>3.7439047544979962E-5</v>
      </c>
      <c r="C84">
        <f>SUM('Mass Balance'!E84:H84)</f>
        <v>3.746107129521205E-5</v>
      </c>
      <c r="D84">
        <f>Concentrations!F84/Concentrations!E84</f>
        <v>0.99980185243897635</v>
      </c>
    </row>
    <row r="85" spans="1:4">
      <c r="A85">
        <f>'Mass Balance'!I85</f>
        <v>5.4425848758235438E-8</v>
      </c>
      <c r="B85">
        <f>'Mass Balance'!E85</f>
        <v>3.9463211445877447E-5</v>
      </c>
      <c r="C85">
        <f>SUM('Mass Balance'!E85:H85)</f>
        <v>3.9464173588851932E-5</v>
      </c>
      <c r="D85">
        <f>Concentrations!F85/Concentrations!E85</f>
        <v>1.000365602363686</v>
      </c>
    </row>
    <row r="86" spans="1:4">
      <c r="A86">
        <f>'Mass Balance'!I86</f>
        <v>5.3299957468251212E-8</v>
      </c>
      <c r="B86">
        <f>'Mass Balance'!E86</f>
        <v>3.7500064863643452E-5</v>
      </c>
      <c r="C86">
        <f>SUM('Mass Balance'!E86:H86)</f>
        <v>3.7521068355261557E-5</v>
      </c>
      <c r="D86">
        <f>Concentrations!F86/Concentrations!E86</f>
        <v>0.99982999511187021</v>
      </c>
    </row>
    <row r="87" spans="1:4">
      <c r="A87">
        <f>'Mass Balance'!I87</f>
        <v>4.9574798621508925E-6</v>
      </c>
      <c r="B87">
        <f>'Mass Balance'!E87</f>
        <v>1.0944233805412E-7</v>
      </c>
      <c r="C87">
        <f>SUM('Mass Balance'!E87:H87)</f>
        <v>1.906430093017497E-5</v>
      </c>
      <c r="D87">
        <f>Concentrations!F87/Concentrations!E87</f>
        <v>5.7429338791492061E-3</v>
      </c>
    </row>
    <row r="88" spans="1:4">
      <c r="A88">
        <f>'Mass Balance'!I88</f>
        <v>7.6073486925465364E-8</v>
      </c>
      <c r="B88">
        <f>'Mass Balance'!E88</f>
        <v>2.7165946485731138E-5</v>
      </c>
      <c r="C88">
        <f>SUM('Mass Balance'!E88:H88)</f>
        <v>2.7751089781404214E-5</v>
      </c>
      <c r="D88">
        <f>Concentrations!F88/Concentrations!E88</f>
        <v>0.97929635205464505</v>
      </c>
    </row>
    <row r="89" spans="1:4">
      <c r="A89">
        <f>'Mass Balance'!I89</f>
        <v>6.4604953200685587E-8</v>
      </c>
      <c r="B89">
        <f>'Mass Balance'!E89</f>
        <v>3.0012685802962162E-5</v>
      </c>
      <c r="C89">
        <f>SUM('Mass Balance'!E89:H89)</f>
        <v>3.0353584094961463E-5</v>
      </c>
      <c r="D89">
        <f>Concentrations!F89/Concentrations!E89</f>
        <v>0.98915470467762656</v>
      </c>
    </row>
    <row r="90" spans="1:4">
      <c r="A90">
        <f>'Mass Balance'!I90</f>
        <v>5.4195697078150334E-8</v>
      </c>
      <c r="B90">
        <f>'Mass Balance'!E90</f>
        <v>3.5122770742725285E-5</v>
      </c>
      <c r="C90">
        <f>SUM('Mass Balance'!E90:H90)</f>
        <v>3.5201511273206772E-5</v>
      </c>
      <c r="D90">
        <f>Concentrations!F90/Concentrations!E90</f>
        <v>0.99815226882852759</v>
      </c>
    </row>
    <row r="91" spans="1:4">
      <c r="A91">
        <f>'Mass Balance'!I91</f>
        <v>2.1023857079975773E-6</v>
      </c>
      <c r="B91">
        <f>'Mass Balance'!E91</f>
        <v>6.1975680403788311E-7</v>
      </c>
      <c r="C91">
        <f>SUM('Mass Balance'!E91:H91)</f>
        <v>1.6601310805406513E-5</v>
      </c>
      <c r="D91">
        <f>Concentrations!F91/Concentrations!E91</f>
        <v>3.7346358460614348E-2</v>
      </c>
    </row>
    <row r="92" spans="1:4">
      <c r="A92">
        <f>'Mass Balance'!I92</f>
        <v>2.3362343676301198E-7</v>
      </c>
      <c r="B92">
        <f>'Mass Balance'!E92</f>
        <v>1.3051279122333014E-5</v>
      </c>
      <c r="C92">
        <f>SUM('Mass Balance'!E92:H92)</f>
        <v>1.6791360678875298E-5</v>
      </c>
      <c r="D92">
        <f>Concentrations!F92/Concentrations!E92</f>
        <v>0.7775646814410051</v>
      </c>
    </row>
    <row r="93" spans="1:4">
      <c r="A93">
        <f>'Mass Balance'!I93</f>
        <v>5.2136352712995035E-7</v>
      </c>
      <c r="B93">
        <f>'Mass Balance'!E93</f>
        <v>5.037582026890731E-6</v>
      </c>
      <c r="C93">
        <f>SUM('Mass Balance'!E93:H93)</f>
        <v>1.4945430064078018E-5</v>
      </c>
      <c r="D93">
        <f>Concentrations!F93/Concentrations!E93</f>
        <v>0.33719649566104481</v>
      </c>
    </row>
    <row r="94" spans="1:4">
      <c r="A94">
        <f>'Mass Balance'!I94</f>
        <v>5.7016297227994771E-8</v>
      </c>
      <c r="B94">
        <f>'Mass Balance'!E94</f>
        <v>3.9474055074156249E-5</v>
      </c>
      <c r="C94">
        <f>SUM('Mass Balance'!E94:H94)</f>
        <v>3.9935971452335115E-5</v>
      </c>
      <c r="D94">
        <f>Concentrations!F94/Concentrations!E94</f>
        <v>0.98881905723355989</v>
      </c>
    </row>
    <row r="95" spans="1:4">
      <c r="A95">
        <f>'Mass Balance'!I95</f>
        <v>1.0653547663277948E-6</v>
      </c>
      <c r="B95">
        <f>'Mass Balance'!E95</f>
        <v>1.4645358755438046E-6</v>
      </c>
      <c r="C95">
        <f>SUM('Mass Balance'!E95:H95)</f>
        <v>1.7642336681466111E-5</v>
      </c>
      <c r="D95">
        <f>Concentrations!F95/Concentrations!E95</f>
        <v>8.3044953699848864E-2</v>
      </c>
    </row>
    <row r="96" spans="1:4">
      <c r="A96">
        <f>'Mass Balance'!I96</f>
        <v>5.3802881829918475E-8</v>
      </c>
      <c r="B96">
        <f>'Mass Balance'!E96</f>
        <v>3.8740792513116396E-5</v>
      </c>
      <c r="C96">
        <f>SUM('Mass Balance'!E96:H96)</f>
        <v>3.8746224758999733E-5</v>
      </c>
      <c r="D96">
        <f>Concentrations!F96/Concentrations!E96</f>
        <v>1.0002497367076915</v>
      </c>
    </row>
    <row r="97" spans="1:4">
      <c r="A97">
        <f>'Mass Balance'!I97</f>
        <v>5.3289651470147034E-8</v>
      </c>
      <c r="B97">
        <f>'Mass Balance'!E97</f>
        <v>3.7408004018834255E-5</v>
      </c>
      <c r="C97">
        <f>SUM('Mass Balance'!E97:H97)</f>
        <v>3.7430556012554621E-5</v>
      </c>
      <c r="D97">
        <f>Concentrations!F97/Concentrations!E97</f>
        <v>0.99978725482667141</v>
      </c>
    </row>
    <row r="98" spans="1:4">
      <c r="A98">
        <f>'Mass Balance'!I98</f>
        <v>6.8030790876461385E-7</v>
      </c>
      <c r="B98">
        <f>'Mass Balance'!E98</f>
        <v>2.9933890060122012E-6</v>
      </c>
      <c r="C98">
        <f>SUM('Mass Balance'!E98:H98)</f>
        <v>1.6637454483602855E-5</v>
      </c>
      <c r="D98">
        <f>Concentrations!F98/Concentrations!E98</f>
        <v>0.17998885627798375</v>
      </c>
    </row>
    <row r="99" spans="1:4">
      <c r="A99">
        <f>'Mass Balance'!I99</f>
        <v>5.4587489408406244E-8</v>
      </c>
      <c r="B99">
        <f>'Mass Balance'!E99</f>
        <v>3.9611631776942635E-5</v>
      </c>
      <c r="C99">
        <f>SUM('Mass Balance'!E99:H99)</f>
        <v>3.961211313520538E-5</v>
      </c>
      <c r="D99">
        <f>Concentrations!F99/Concentrations!E99</f>
        <v>1.0003778355007853</v>
      </c>
    </row>
    <row r="100" spans="1:4">
      <c r="A100">
        <f>'Mass Balance'!I100</f>
        <v>1.1488429321566348E-7</v>
      </c>
      <c r="B100">
        <f>'Mass Balance'!E100</f>
        <v>2.1459474001592323E-5</v>
      </c>
      <c r="C100">
        <f>SUM('Mass Balance'!E100:H100)</f>
        <v>2.2825792044389032E-5</v>
      </c>
      <c r="D100">
        <f>Concentrations!F100/Concentrations!E100</f>
        <v>0.9405081314930559</v>
      </c>
    </row>
    <row r="101" spans="1:4">
      <c r="A101">
        <f>'Mass Balance'!I101</f>
        <v>5.4346820862330732E-8</v>
      </c>
      <c r="B101">
        <f>'Mass Balance'!E101</f>
        <v>3.9386235955377136E-5</v>
      </c>
      <c r="C101">
        <f>SUM('Mass Balance'!E101:H101)</f>
        <v>3.9387507950977328E-5</v>
      </c>
      <c r="D101">
        <f>Concentrations!F101/Concentrations!E101</f>
        <v>1.0003576850484845</v>
      </c>
    </row>
    <row r="102" spans="1:4">
      <c r="A102">
        <f>'Mass Balance'!I102</f>
        <v>5.4815779864076883E-8</v>
      </c>
      <c r="B102">
        <f>'Mass Balance'!E102</f>
        <v>3.9803389856068304E-5</v>
      </c>
      <c r="C102">
        <f>SUM('Mass Balance'!E102:H102)</f>
        <v>3.9803486521538034E-5</v>
      </c>
      <c r="D102">
        <f>Concentrations!F102/Concentrations!E102</f>
        <v>1.0003875625194711</v>
      </c>
    </row>
    <row r="103" spans="1:4">
      <c r="A103">
        <f>'Mass Balance'!I103</f>
        <v>5.459954271420967E-8</v>
      </c>
      <c r="B103">
        <f>'Mass Balance'!E103</f>
        <v>3.9622252735688851E-5</v>
      </c>
      <c r="C103">
        <f>SUM('Mass Balance'!E103:H103)</f>
        <v>3.9622705707018655E-5</v>
      </c>
      <c r="D103">
        <f>Concentrations!F103/Concentrations!E103</f>
        <v>1.0003785554610218</v>
      </c>
    </row>
    <row r="104" spans="1:4">
      <c r="A104">
        <f>'Mass Balance'!I104</f>
        <v>5.3465205184546812E-8</v>
      </c>
      <c r="B104">
        <f>'Mass Balance'!E104</f>
        <v>3.8119321739244031E-5</v>
      </c>
      <c r="C104">
        <f>SUM('Mass Balance'!E104:H104)</f>
        <v>3.8131320393244282E-5</v>
      </c>
      <c r="D104">
        <f>Concentrations!F104/Concentrations!E104</f>
        <v>1.0000752026892545</v>
      </c>
    </row>
    <row r="105" spans="1:4">
      <c r="A105">
        <f>'Mass Balance'!I105</f>
        <v>5.4780667734317508E-8</v>
      </c>
      <c r="B105">
        <f>'Mass Balance'!E105</f>
        <v>3.9775143882488732E-5</v>
      </c>
      <c r="C105">
        <f>SUM('Mass Balance'!E105:H105)</f>
        <v>3.9775279769845431E-5</v>
      </c>
      <c r="D105">
        <f>Concentrations!F105/Concentrations!E105</f>
        <v>1.0003865743249911</v>
      </c>
    </row>
    <row r="106" spans="1:4">
      <c r="A106">
        <f>'Mass Balance'!I106</f>
        <v>5.5629115670369127E-8</v>
      </c>
      <c r="B106">
        <f>'Mass Balance'!E106</f>
        <v>3.3880878017704645E-5</v>
      </c>
      <c r="C106">
        <f>SUM('Mass Balance'!E106:H106)</f>
        <v>3.4005041229687E-5</v>
      </c>
      <c r="D106">
        <f>Concentrations!F106/Concentrations!E106</f>
        <v>0.99673725025991444</v>
      </c>
    </row>
    <row r="107" spans="1:4">
      <c r="A107">
        <f>'Mass Balance'!I107</f>
        <v>7.4202796952044518E-7</v>
      </c>
      <c r="B107">
        <f>'Mass Balance'!E107</f>
        <v>2.4139621352898636E-6</v>
      </c>
      <c r="C107">
        <f>SUM('Mass Balance'!E107:H107)</f>
        <v>1.7589255414249169E-5</v>
      </c>
      <c r="D107">
        <f>Concentrations!F107/Concentrations!E107</f>
        <v>0.13729424608490645</v>
      </c>
    </row>
    <row r="108" spans="1:4">
      <c r="A108">
        <f>'Mass Balance'!I108</f>
        <v>9.9191932103777918E-8</v>
      </c>
      <c r="B108">
        <f>'Mass Balance'!E108</f>
        <v>2.336842255835154E-5</v>
      </c>
      <c r="C108">
        <f>SUM('Mass Balance'!E108:H108)</f>
        <v>2.4422191795341891E-5</v>
      </c>
      <c r="D108">
        <f>Concentrations!F108/Concentrations!E108</f>
        <v>0.95722514395562397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08" sqref="R108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313</v>
      </c>
      <c r="B2" s="102" t="s">
        <v>314</v>
      </c>
      <c r="D2" s="103" t="s">
        <v>176</v>
      </c>
      <c r="F2" s="107">
        <v>1.5615771707711545</v>
      </c>
      <c r="G2" s="107">
        <v>-5.8862515123134633</v>
      </c>
      <c r="H2" s="107">
        <v>1.83382</v>
      </c>
      <c r="I2" s="107">
        <v>0.16302164717675349</v>
      </c>
      <c r="J2" s="107">
        <v>0.17432877930167268</v>
      </c>
      <c r="K2" s="115">
        <v>1</v>
      </c>
      <c r="L2" s="115">
        <v>0.80913142332240295</v>
      </c>
      <c r="M2" s="115">
        <v>1.0436136387856099</v>
      </c>
      <c r="N2" s="115">
        <v>55.090258608606327</v>
      </c>
      <c r="O2" s="115">
        <v>1.1756456959830965</v>
      </c>
      <c r="P2" s="115">
        <v>1.2066563157586803</v>
      </c>
      <c r="Q2" s="111">
        <v>1.1756456959830965</v>
      </c>
      <c r="R2" s="68">
        <v>1.2066563157586803</v>
      </c>
    </row>
    <row r="3" spans="1:22">
      <c r="A3" s="102" t="s">
        <v>315</v>
      </c>
      <c r="B3" s="102" t="s">
        <v>316</v>
      </c>
      <c r="D3" s="103" t="s">
        <v>176</v>
      </c>
      <c r="F3" s="107">
        <v>6.4205571707711533</v>
      </c>
      <c r="G3" s="107">
        <v>-1.2172715123134639</v>
      </c>
      <c r="H3" s="107">
        <v>6.7410999999999994</v>
      </c>
      <c r="I3" s="107">
        <v>4.5214945708792449</v>
      </c>
      <c r="J3" s="107">
        <v>4.1532949265106955</v>
      </c>
      <c r="K3" s="115">
        <v>1</v>
      </c>
      <c r="L3" s="115">
        <v>3.4077197266141842E-3</v>
      </c>
      <c r="M3" s="115">
        <v>80.790077245270822</v>
      </c>
      <c r="N3" s="115">
        <v>18212.937708832491</v>
      </c>
      <c r="O3" s="115">
        <v>109.84355324551325</v>
      </c>
      <c r="P3" s="115">
        <v>47.051657686417911</v>
      </c>
      <c r="Q3" s="111">
        <v>109.84355324551326</v>
      </c>
      <c r="R3" s="68">
        <v>47.051657686417911</v>
      </c>
    </row>
    <row r="4" spans="1:22">
      <c r="A4" s="102" t="s">
        <v>317</v>
      </c>
      <c r="B4" s="102" t="s">
        <v>318</v>
      </c>
      <c r="D4" s="103" t="s">
        <v>176</v>
      </c>
      <c r="F4" s="107">
        <v>2.6480571707711547</v>
      </c>
      <c r="G4" s="107">
        <v>-12.859771512313463</v>
      </c>
      <c r="H4" s="107">
        <v>2.9310999999999998</v>
      </c>
      <c r="I4" s="107">
        <v>0.96363937109496356</v>
      </c>
      <c r="J4" s="107">
        <v>0.93528483537422746</v>
      </c>
      <c r="K4" s="115">
        <v>1</v>
      </c>
      <c r="L4" s="115">
        <v>0.50232977632032871</v>
      </c>
      <c r="M4" s="115">
        <v>2.3727207386768892</v>
      </c>
      <c r="N4" s="115">
        <v>419.2258521995189</v>
      </c>
      <c r="O4" s="115">
        <v>4.5184286349194522</v>
      </c>
      <c r="P4" s="115">
        <v>4.2328501267314671</v>
      </c>
      <c r="Q4" s="111">
        <v>4.5184286349194531</v>
      </c>
      <c r="R4" s="68">
        <v>4.2328501267314671</v>
      </c>
      <c r="T4" s="146"/>
    </row>
    <row r="5" spans="1:22">
      <c r="A5" s="102" t="s">
        <v>307</v>
      </c>
      <c r="B5" s="102" t="s">
        <v>308</v>
      </c>
      <c r="D5" s="103" t="s">
        <v>176</v>
      </c>
      <c r="F5" s="107">
        <v>4.871317170771154</v>
      </c>
      <c r="G5" s="107">
        <v>-3.7165115123134638</v>
      </c>
      <c r="H5" s="107">
        <v>5.1764599999999996</v>
      </c>
      <c r="I5" s="107">
        <v>3.1213421800980909</v>
      </c>
      <c r="J5" s="107">
        <v>3.0472767166822177</v>
      </c>
      <c r="K5" s="115">
        <v>1</v>
      </c>
      <c r="L5" s="115">
        <v>3.2932444395132016E-2</v>
      </c>
      <c r="M5" s="115">
        <v>21.45044161983818</v>
      </c>
      <c r="N5" s="115">
        <v>4797.6598344172462</v>
      </c>
      <c r="O5" s="115">
        <v>42.258262087975801</v>
      </c>
      <c r="P5" s="115">
        <v>35.632489750287903</v>
      </c>
      <c r="Q5" s="111">
        <v>42.258262087975801</v>
      </c>
      <c r="R5" s="68">
        <v>35.632489750287903</v>
      </c>
    </row>
    <row r="6" spans="1:22">
      <c r="A6" s="102" t="s">
        <v>319</v>
      </c>
      <c r="B6" s="102" t="s">
        <v>320</v>
      </c>
      <c r="D6" s="103" t="s">
        <v>176</v>
      </c>
      <c r="F6" s="107">
        <v>6.8330171707711536</v>
      </c>
      <c r="G6" s="107">
        <v>-3.3548115123134634</v>
      </c>
      <c r="H6" s="107">
        <v>7.157659999999999</v>
      </c>
      <c r="I6" s="107">
        <v>4.9255274587612012</v>
      </c>
      <c r="J6" s="107">
        <v>4.52336495385316</v>
      </c>
      <c r="K6" s="115">
        <v>1</v>
      </c>
      <c r="L6" s="115">
        <v>1.67756891261217E-3</v>
      </c>
      <c r="M6" s="115">
        <v>103.60032820451924</v>
      </c>
      <c r="N6" s="115">
        <v>23395.280269483093</v>
      </c>
      <c r="O6" s="115">
        <v>137.08682278764067</v>
      </c>
      <c r="P6" s="115">
        <v>54.304173244107041</v>
      </c>
      <c r="Q6" s="111">
        <v>137.08682278764067</v>
      </c>
      <c r="R6" s="68">
        <v>54.304173244107048</v>
      </c>
    </row>
    <row r="7" spans="1:22">
      <c r="A7" s="102" t="s">
        <v>321</v>
      </c>
      <c r="B7" s="102" t="s">
        <v>322</v>
      </c>
      <c r="D7" s="103" t="s">
        <v>176</v>
      </c>
      <c r="F7" s="107">
        <v>6.4809171707711535</v>
      </c>
      <c r="G7" s="107">
        <v>-3.4869115123134642</v>
      </c>
      <c r="H7" s="107">
        <v>6.8020599999999991</v>
      </c>
      <c r="I7" s="107">
        <v>4.5802391830830551</v>
      </c>
      <c r="J7" s="107">
        <v>4.2060270782132152</v>
      </c>
      <c r="K7" s="115">
        <v>1</v>
      </c>
      <c r="L7" s="115">
        <v>3.130779929408497E-3</v>
      </c>
      <c r="M7" s="115">
        <v>85.38712965591877</v>
      </c>
      <c r="N7" s="115">
        <v>19254.156762985072</v>
      </c>
      <c r="O7" s="115">
        <v>115.53237108267207</v>
      </c>
      <c r="P7" s="115">
        <v>48.808064019888384</v>
      </c>
      <c r="Q7" s="111">
        <v>115.53237108267209</v>
      </c>
      <c r="R7" s="68">
        <v>48.808064019888391</v>
      </c>
    </row>
    <row r="8" spans="1:22">
      <c r="A8" s="102" t="s">
        <v>323</v>
      </c>
      <c r="B8" s="102" t="s">
        <v>324</v>
      </c>
      <c r="D8" s="103" t="s">
        <v>176</v>
      </c>
      <c r="F8" s="107">
        <v>6.0382771707711536</v>
      </c>
      <c r="G8" s="107">
        <v>-2.8595515123134634</v>
      </c>
      <c r="H8" s="107">
        <v>6.3550199999999997</v>
      </c>
      <c r="I8" s="107">
        <v>4.1537485305079098</v>
      </c>
      <c r="J8" s="107">
        <v>3.8334827677024599</v>
      </c>
      <c r="K8" s="115">
        <v>1</v>
      </c>
      <c r="L8" s="115">
        <v>6.4682601217177253E-3</v>
      </c>
      <c r="M8" s="115">
        <v>63.145038352654296</v>
      </c>
      <c r="N8" s="115">
        <v>14211.846537156391</v>
      </c>
      <c r="O8" s="115">
        <v>89.408547540309641</v>
      </c>
      <c r="P8" s="115">
        <v>42.767442182792188</v>
      </c>
      <c r="Q8" s="111">
        <v>89.408547540309641</v>
      </c>
      <c r="R8" s="68">
        <v>42.767442182792188</v>
      </c>
    </row>
    <row r="9" spans="1:22">
      <c r="A9" s="102" t="s">
        <v>325</v>
      </c>
      <c r="B9" s="102" t="s">
        <v>326</v>
      </c>
      <c r="D9" s="103" t="s">
        <v>176</v>
      </c>
      <c r="F9" s="107">
        <v>3.7144171707711546</v>
      </c>
      <c r="G9" s="107">
        <v>-4.7234115123134632</v>
      </c>
      <c r="H9" s="107">
        <v>4.0080600000000004</v>
      </c>
      <c r="I9" s="107">
        <v>2.0295460357791568</v>
      </c>
      <c r="J9" s="107">
        <v>2.0215021477099899</v>
      </c>
      <c r="K9" s="115">
        <v>1</v>
      </c>
      <c r="L9" s="115">
        <v>0.17121356189184245</v>
      </c>
      <c r="M9" s="115">
        <v>7.7643839981068536</v>
      </c>
      <c r="N9" s="115">
        <v>1694.1141531679427</v>
      </c>
      <c r="O9" s="115">
        <v>17.800356753062577</v>
      </c>
      <c r="P9" s="115">
        <v>17.473697715876661</v>
      </c>
      <c r="Q9" s="111">
        <v>17.80035675306258</v>
      </c>
      <c r="R9" s="68">
        <v>17.473697715876664</v>
      </c>
    </row>
    <row r="10" spans="1:22">
      <c r="A10" s="102" t="s">
        <v>275</v>
      </c>
      <c r="B10" s="102" t="s">
        <v>276</v>
      </c>
      <c r="D10" s="103" t="s">
        <v>176</v>
      </c>
      <c r="F10" s="107">
        <v>4.9316771707711533</v>
      </c>
      <c r="G10" s="107">
        <v>-5.5761515123134631</v>
      </c>
      <c r="H10" s="107">
        <v>5.2374199999999993</v>
      </c>
      <c r="I10" s="107">
        <v>3.1695262934682646</v>
      </c>
      <c r="J10" s="107">
        <v>3.0807837153172382</v>
      </c>
      <c r="K10" s="115">
        <v>1</v>
      </c>
      <c r="L10" s="115">
        <v>3.0560966747443751E-2</v>
      </c>
      <c r="M10" s="115">
        <v>22.894854822222658</v>
      </c>
      <c r="N10" s="115">
        <v>5123.0108604189109</v>
      </c>
      <c r="O10" s="115">
        <v>43.815883179372769</v>
      </c>
      <c r="P10" s="115">
        <v>35.718152885885544</v>
      </c>
      <c r="Q10" s="111">
        <v>43.815883179372769</v>
      </c>
      <c r="R10" s="68">
        <v>35.718152885885544</v>
      </c>
    </row>
    <row r="11" spans="1:22">
      <c r="A11" s="102" t="s">
        <v>327</v>
      </c>
      <c r="B11" s="102" t="s">
        <v>328</v>
      </c>
      <c r="D11" s="103" t="s">
        <v>176</v>
      </c>
      <c r="F11" s="107">
        <v>5.0322771707711542</v>
      </c>
      <c r="G11" s="107">
        <v>-3.8055515123134631</v>
      </c>
      <c r="H11" s="107">
        <v>5.3390199999999997</v>
      </c>
      <c r="I11" s="107">
        <v>3.251425834146763</v>
      </c>
      <c r="J11" s="107">
        <v>3.1381909661982248</v>
      </c>
      <c r="K11" s="115">
        <v>1</v>
      </c>
      <c r="L11" s="115">
        <v>2.6895710867578537E-2</v>
      </c>
      <c r="M11" s="115">
        <v>25.441496098359629</v>
      </c>
      <c r="N11" s="115">
        <v>5696.7864328182395</v>
      </c>
      <c r="O11" s="115">
        <v>46.562444519229544</v>
      </c>
      <c r="P11" s="115">
        <v>35.875743035645321</v>
      </c>
      <c r="Q11" s="111">
        <v>46.562444519229551</v>
      </c>
      <c r="R11" s="68">
        <v>35.875743035645321</v>
      </c>
    </row>
    <row r="12" spans="1:22">
      <c r="A12" s="102" t="s">
        <v>329</v>
      </c>
      <c r="B12" s="102" t="s">
        <v>330</v>
      </c>
      <c r="D12" s="103" t="s">
        <v>176</v>
      </c>
      <c r="F12" s="107">
        <v>3.9256771707711544</v>
      </c>
      <c r="G12" s="107">
        <v>-4.8121515123134628</v>
      </c>
      <c r="H12" s="107">
        <v>4.2214199999999984</v>
      </c>
      <c r="I12" s="107">
        <v>2.2472127559545725</v>
      </c>
      <c r="J12" s="107">
        <v>2.2447119210037929</v>
      </c>
      <c r="K12" s="115">
        <v>1</v>
      </c>
      <c r="L12" s="115">
        <v>0.12795600131121482</v>
      </c>
      <c r="M12" s="115">
        <v>9.3948222057433135</v>
      </c>
      <c r="N12" s="115">
        <v>2068.6148712814497</v>
      </c>
      <c r="O12" s="115">
        <v>21.951914295402268</v>
      </c>
      <c r="P12" s="115">
        <v>21.825869969493343</v>
      </c>
      <c r="Q12" s="111">
        <v>21.951914295402272</v>
      </c>
      <c r="R12" s="68">
        <v>21.825869969493343</v>
      </c>
    </row>
    <row r="13" spans="1:22">
      <c r="A13" s="102" t="s">
        <v>277</v>
      </c>
      <c r="B13" s="102" t="s">
        <v>278</v>
      </c>
      <c r="D13" s="103" t="s">
        <v>176</v>
      </c>
      <c r="F13" s="107">
        <v>3.7345371707711545</v>
      </c>
      <c r="G13" s="107">
        <v>-4.5132915123134634</v>
      </c>
      <c r="H13" s="107">
        <v>4.0283800000000003</v>
      </c>
      <c r="I13" s="107">
        <v>2.0502395717813422</v>
      </c>
      <c r="J13" s="107">
        <v>2.0427184253129749</v>
      </c>
      <c r="K13" s="115">
        <v>1</v>
      </c>
      <c r="L13" s="115">
        <v>0.16667919929756733</v>
      </c>
      <c r="M13" s="115">
        <v>7.9122189549781563</v>
      </c>
      <c r="N13" s="115">
        <v>1728.1810299789345</v>
      </c>
      <c r="O13" s="115">
        <v>18.173928093943701</v>
      </c>
      <c r="P13" s="115">
        <v>17.861900218305021</v>
      </c>
      <c r="Q13" s="111">
        <v>18.173928093943701</v>
      </c>
      <c r="R13" s="68">
        <v>17.861900218305021</v>
      </c>
    </row>
    <row r="14" spans="1:22">
      <c r="A14" s="102" t="s">
        <v>331</v>
      </c>
      <c r="B14" s="102" t="s">
        <v>332</v>
      </c>
      <c r="D14" s="103" t="s">
        <v>176</v>
      </c>
      <c r="F14" s="107">
        <v>5.3441371707711536</v>
      </c>
      <c r="G14" s="107">
        <v>-3.8036915123134634</v>
      </c>
      <c r="H14" s="107">
        <v>5.6539799999999989</v>
      </c>
      <c r="I14" s="107">
        <v>3.516782441359386</v>
      </c>
      <c r="J14" s="107">
        <v>3.3295476410440865</v>
      </c>
      <c r="K14" s="115">
        <v>1</v>
      </c>
      <c r="L14" s="115">
        <v>1.7832762777394127E-2</v>
      </c>
      <c r="M14" s="115">
        <v>34.770598217552937</v>
      </c>
      <c r="N14" s="115">
        <v>7800.0173519581449</v>
      </c>
      <c r="O14" s="115">
        <v>56.871935697647054</v>
      </c>
      <c r="P14" s="115">
        <v>36.954149366425987</v>
      </c>
      <c r="Q14" s="111">
        <v>56.871935697647054</v>
      </c>
      <c r="R14" s="68">
        <v>36.954149366425987</v>
      </c>
    </row>
    <row r="15" spans="1:22">
      <c r="A15" s="102" t="s">
        <v>333</v>
      </c>
      <c r="B15" s="102" t="s">
        <v>334</v>
      </c>
      <c r="D15" s="103" t="s">
        <v>176</v>
      </c>
      <c r="F15" s="107">
        <v>4.9819771707711542</v>
      </c>
      <c r="G15" s="107">
        <v>-6.7958515123134635</v>
      </c>
      <c r="H15" s="107">
        <v>5.2882199999999999</v>
      </c>
      <c r="I15" s="107">
        <v>3.2102322876537182</v>
      </c>
      <c r="J15" s="107">
        <v>3.1092381292807669</v>
      </c>
      <c r="K15" s="115">
        <v>1</v>
      </c>
      <c r="L15" s="115">
        <v>2.8683929393474885E-2</v>
      </c>
      <c r="M15" s="115">
        <v>24.146285560434759</v>
      </c>
      <c r="N15" s="115">
        <v>5404.9423701827664</v>
      </c>
      <c r="O15" s="115">
        <v>45.165139434752646</v>
      </c>
      <c r="P15" s="115">
        <v>35.793914548477382</v>
      </c>
      <c r="Q15" s="111">
        <v>45.165139434752646</v>
      </c>
      <c r="R15" s="68">
        <v>35.793914548477382</v>
      </c>
    </row>
    <row r="16" spans="1:22">
      <c r="A16" s="102" t="s">
        <v>335</v>
      </c>
      <c r="B16" s="102" t="s">
        <v>336</v>
      </c>
      <c r="D16" s="103" t="s">
        <v>176</v>
      </c>
      <c r="F16" s="107">
        <v>6.0181571707711532</v>
      </c>
      <c r="G16" s="107">
        <v>-2.4596715123134634</v>
      </c>
      <c r="H16" s="107">
        <v>6.3346999999999989</v>
      </c>
      <c r="I16" s="107">
        <v>4.1346432255228116</v>
      </c>
      <c r="J16" s="107">
        <v>3.8174034402397612</v>
      </c>
      <c r="K16" s="115">
        <v>1</v>
      </c>
      <c r="L16" s="115">
        <v>6.6668308888981386E-3</v>
      </c>
      <c r="M16" s="115">
        <v>62.114200099743847</v>
      </c>
      <c r="N16" s="115">
        <v>13978.607736665219</v>
      </c>
      <c r="O16" s="115">
        <v>88.187522832775571</v>
      </c>
      <c r="P16" s="115">
        <v>42.478322544378194</v>
      </c>
      <c r="Q16" s="111">
        <v>88.187522832775571</v>
      </c>
      <c r="R16" s="68">
        <v>42.478322544378194</v>
      </c>
    </row>
    <row r="17" spans="1:18">
      <c r="A17" s="102" t="s">
        <v>337</v>
      </c>
      <c r="B17" s="102" t="s">
        <v>338</v>
      </c>
      <c r="D17" s="103" t="s">
        <v>176</v>
      </c>
      <c r="F17" s="107">
        <v>4.8914371707711544</v>
      </c>
      <c r="G17" s="107">
        <v>-4.2963915123134635</v>
      </c>
      <c r="H17" s="107">
        <v>5.1967800000000004</v>
      </c>
      <c r="I17" s="107">
        <v>3.1373218989765257</v>
      </c>
      <c r="J17" s="107">
        <v>3.0583697299259769</v>
      </c>
      <c r="K17" s="115">
        <v>1</v>
      </c>
      <c r="L17" s="115">
        <v>3.2132589956689293E-2</v>
      </c>
      <c r="M17" s="115">
        <v>21.928528123292981</v>
      </c>
      <c r="N17" s="115">
        <v>4905.3357193424199</v>
      </c>
      <c r="O17" s="115">
        <v>42.777030625650994</v>
      </c>
      <c r="P17" s="115">
        <v>35.66633345581473</v>
      </c>
      <c r="Q17" s="111">
        <v>42.777030625650994</v>
      </c>
      <c r="R17" s="68">
        <v>35.66633345581473</v>
      </c>
    </row>
    <row r="18" spans="1:18">
      <c r="A18" s="102" t="s">
        <v>279</v>
      </c>
      <c r="B18" s="102" t="s">
        <v>280</v>
      </c>
      <c r="D18" s="103" t="s">
        <v>176</v>
      </c>
      <c r="F18" s="107">
        <v>3.6238771707711543</v>
      </c>
      <c r="G18" s="107">
        <v>-3.3239515123134638</v>
      </c>
      <c r="H18" s="107">
        <v>3.91662</v>
      </c>
      <c r="I18" s="107">
        <v>1.9365410869067614</v>
      </c>
      <c r="J18" s="107">
        <v>1.9261641505122657</v>
      </c>
      <c r="K18" s="115">
        <v>1</v>
      </c>
      <c r="L18" s="115">
        <v>0.19103448957852748</v>
      </c>
      <c r="M18" s="115">
        <v>7.057136963147264</v>
      </c>
      <c r="N18" s="115">
        <v>1531.6531189794277</v>
      </c>
      <c r="O18" s="115">
        <v>16.035463091629339</v>
      </c>
      <c r="P18" s="115">
        <v>15.656856463505907</v>
      </c>
      <c r="Q18" s="111">
        <v>16.035463091629342</v>
      </c>
      <c r="R18" s="68">
        <v>15.656856463505907</v>
      </c>
    </row>
    <row r="19" spans="1:18">
      <c r="A19" s="102" t="s">
        <v>339</v>
      </c>
      <c r="B19" s="102" t="s">
        <v>340</v>
      </c>
      <c r="D19" s="103" t="s">
        <v>176</v>
      </c>
      <c r="F19" s="107">
        <v>4.9920371707711544</v>
      </c>
      <c r="G19" s="107">
        <v>-6.2457915123134633</v>
      </c>
      <c r="H19" s="107">
        <v>5.298379999999999</v>
      </c>
      <c r="I19" s="107">
        <v>3.2184324499720649</v>
      </c>
      <c r="J19" s="107">
        <v>3.1149883907761233</v>
      </c>
      <c r="K19" s="115">
        <v>1</v>
      </c>
      <c r="L19" s="115">
        <v>2.8320459646533853E-2</v>
      </c>
      <c r="M19" s="115">
        <v>24.402877145439568</v>
      </c>
      <c r="N19" s="115">
        <v>5462.7534366742175</v>
      </c>
      <c r="O19" s="115">
        <v>45.442691797224441</v>
      </c>
      <c r="P19" s="115">
        <v>35.811291993672057</v>
      </c>
      <c r="Q19" s="111">
        <v>45.442691797224441</v>
      </c>
      <c r="R19" s="68">
        <v>35.811291993672057</v>
      </c>
    </row>
    <row r="20" spans="1:18">
      <c r="A20" s="102" t="s">
        <v>281</v>
      </c>
      <c r="B20" s="102" t="s">
        <v>282</v>
      </c>
      <c r="D20" s="103" t="s">
        <v>176</v>
      </c>
      <c r="F20" s="107">
        <v>3.7345371707711545</v>
      </c>
      <c r="G20" s="107">
        <v>-5.3332915123134637</v>
      </c>
      <c r="H20" s="107">
        <v>4.0283800000000003</v>
      </c>
      <c r="I20" s="107">
        <v>2.0502395717813422</v>
      </c>
      <c r="J20" s="107">
        <v>2.0427184253129749</v>
      </c>
      <c r="K20" s="115">
        <v>1</v>
      </c>
      <c r="L20" s="115">
        <v>0.16674243055810678</v>
      </c>
      <c r="M20" s="115">
        <v>7.9152205267417344</v>
      </c>
      <c r="N20" s="115">
        <v>1728.8366310702909</v>
      </c>
      <c r="O20" s="115">
        <v>18.180822537804577</v>
      </c>
      <c r="P20" s="115">
        <v>17.868676291571468</v>
      </c>
      <c r="Q20" s="111">
        <v>18.18082253780458</v>
      </c>
      <c r="R20" s="68">
        <v>17.868676291571468</v>
      </c>
    </row>
    <row r="21" spans="1:18">
      <c r="A21" s="102" t="s">
        <v>341</v>
      </c>
      <c r="B21" s="102" t="s">
        <v>342</v>
      </c>
      <c r="D21" s="103" t="s">
        <v>176</v>
      </c>
      <c r="F21" s="107">
        <v>5.2535971707711537</v>
      </c>
      <c r="G21" s="107">
        <v>-2.9342315123134637</v>
      </c>
      <c r="H21" s="107">
        <v>5.5625399999999994</v>
      </c>
      <c r="I21" s="107">
        <v>3.4380895165961509</v>
      </c>
      <c r="J21" s="107">
        <v>3.2718174732905148</v>
      </c>
      <c r="K21" s="115">
        <v>1</v>
      </c>
      <c r="L21" s="115">
        <v>2.0109182573860192E-2</v>
      </c>
      <c r="M21" s="115">
        <v>31.781252085626928</v>
      </c>
      <c r="N21" s="115">
        <v>7125.8955556265992</v>
      </c>
      <c r="O21" s="115">
        <v>53.504334823948973</v>
      </c>
      <c r="P21" s="115">
        <v>36.485216351274971</v>
      </c>
      <c r="Q21" s="111">
        <v>53.50433482394898</v>
      </c>
      <c r="R21" s="68">
        <v>36.485216351274971</v>
      </c>
    </row>
    <row r="22" spans="1:18">
      <c r="A22" s="102" t="s">
        <v>343</v>
      </c>
      <c r="B22" s="102" t="s">
        <v>344</v>
      </c>
      <c r="D22" s="103" t="s">
        <v>176</v>
      </c>
      <c r="F22" s="107">
        <v>2.1651771707711545</v>
      </c>
      <c r="G22" s="107">
        <v>-4.4126515123134631</v>
      </c>
      <c r="H22" s="107">
        <v>2.4434200000000001</v>
      </c>
      <c r="I22" s="107">
        <v>0.54151033470347176</v>
      </c>
      <c r="J22" s="107">
        <v>0.51971571131938843</v>
      </c>
      <c r="K22" s="115">
        <v>1</v>
      </c>
      <c r="L22" s="115">
        <v>0.65957889593502705</v>
      </c>
      <c r="M22" s="115">
        <v>1.4558176407389916</v>
      </c>
      <c r="N22" s="115">
        <v>180.64935754507115</v>
      </c>
      <c r="O22" s="115">
        <v>2.2642624068325889</v>
      </c>
      <c r="P22" s="115">
        <v>2.1534368113772615</v>
      </c>
      <c r="Q22" s="111">
        <v>2.2642624068325889</v>
      </c>
      <c r="R22" s="68">
        <v>2.1534368113772615</v>
      </c>
    </row>
    <row r="23" spans="1:18">
      <c r="A23" s="102" t="s">
        <v>345</v>
      </c>
      <c r="B23" s="102" t="s">
        <v>346</v>
      </c>
      <c r="D23" s="103" t="s">
        <v>176</v>
      </c>
      <c r="F23" s="107">
        <v>1.7728371707711545</v>
      </c>
      <c r="G23" s="107">
        <v>-5.884991512313464</v>
      </c>
      <c r="H23" s="107">
        <v>2.0471799999999991</v>
      </c>
      <c r="I23" s="107">
        <v>0.27148038403141289</v>
      </c>
      <c r="J23" s="107">
        <v>0.26903543029683008</v>
      </c>
      <c r="K23" s="115">
        <v>1</v>
      </c>
      <c r="L23" s="115">
        <v>0.76454722436377398</v>
      </c>
      <c r="M23" s="115">
        <v>1.1312186833955775</v>
      </c>
      <c r="N23" s="115">
        <v>84.770826385993445</v>
      </c>
      <c r="O23" s="115">
        <v>1.4208453192971566</v>
      </c>
      <c r="P23" s="115">
        <v>1.4128688401946878</v>
      </c>
      <c r="Q23" s="111">
        <v>1.4208453192971566</v>
      </c>
      <c r="R23" s="68">
        <v>1.4128688401946878</v>
      </c>
    </row>
    <row r="24" spans="1:18">
      <c r="A24" s="102" t="s">
        <v>347</v>
      </c>
      <c r="B24" s="102" t="s">
        <v>348</v>
      </c>
      <c r="D24" s="103" t="s">
        <v>176</v>
      </c>
      <c r="F24" s="107">
        <v>3.1409971707711546</v>
      </c>
      <c r="G24" s="107">
        <v>-5.3368315123134638</v>
      </c>
      <c r="H24" s="107">
        <v>3.4289400000000003</v>
      </c>
      <c r="I24" s="107">
        <v>1.4455116185094061</v>
      </c>
      <c r="J24" s="107">
        <v>1.4237506391495387</v>
      </c>
      <c r="K24" s="115">
        <v>1</v>
      </c>
      <c r="L24" s="115">
        <v>0.3319876653355936</v>
      </c>
      <c r="M24" s="115">
        <v>4.2200629305910669</v>
      </c>
      <c r="N24" s="115">
        <v>867.60846805650249</v>
      </c>
      <c r="O24" s="115">
        <v>9.0135402140623508</v>
      </c>
      <c r="P24" s="115">
        <v>8.5730315367579291</v>
      </c>
      <c r="Q24" s="111">
        <v>9.0135402140623526</v>
      </c>
      <c r="R24" s="68">
        <v>8.5730315367579291</v>
      </c>
    </row>
    <row r="25" spans="1:18">
      <c r="A25" s="102" t="s">
        <v>349</v>
      </c>
      <c r="B25" s="102" t="s">
        <v>350</v>
      </c>
      <c r="D25" s="103" t="s">
        <v>176</v>
      </c>
      <c r="F25" s="107">
        <v>4.1972971707711535</v>
      </c>
      <c r="G25" s="107">
        <v>-2.1505315123134641</v>
      </c>
      <c r="H25" s="107">
        <v>4.4957399999999987</v>
      </c>
      <c r="I25" s="107">
        <v>2.5280197519710872</v>
      </c>
      <c r="J25" s="107">
        <v>2.5327390109931898</v>
      </c>
      <c r="K25" s="115">
        <v>1</v>
      </c>
      <c r="L25" s="115">
        <v>8.0695088026691342E-2</v>
      </c>
      <c r="M25" s="115">
        <v>11.059153983524903</v>
      </c>
      <c r="N25" s="115">
        <v>2452.8386383002576</v>
      </c>
      <c r="O25" s="115">
        <v>26.420968346070481</v>
      </c>
      <c r="P25" s="115">
        <v>26.709637248174211</v>
      </c>
      <c r="Q25" s="111">
        <v>26.420968346070481</v>
      </c>
      <c r="R25" s="68">
        <v>26.709637248174214</v>
      </c>
    </row>
    <row r="26" spans="1:18">
      <c r="A26" s="102" t="s">
        <v>351</v>
      </c>
      <c r="B26" s="102" t="s">
        <v>352</v>
      </c>
      <c r="D26" s="103" t="s">
        <v>176</v>
      </c>
      <c r="F26" s="107">
        <v>5.1932371707711544</v>
      </c>
      <c r="G26" s="107">
        <v>-3.0645915123134637</v>
      </c>
      <c r="H26" s="107">
        <v>5.5015799999999997</v>
      </c>
      <c r="I26" s="107">
        <v>3.3863484570395181</v>
      </c>
      <c r="J26" s="107">
        <v>3.2343366151345618</v>
      </c>
      <c r="K26" s="115">
        <v>1</v>
      </c>
      <c r="L26" s="115">
        <v>2.1794758448641205E-2</v>
      </c>
      <c r="M26" s="115">
        <v>29.944981035000588</v>
      </c>
      <c r="N26" s="115">
        <v>6711.8576255370799</v>
      </c>
      <c r="O26" s="115">
        <v>51.476758623396805</v>
      </c>
      <c r="P26" s="115">
        <v>36.27432590949703</v>
      </c>
      <c r="Q26" s="111">
        <v>51.476758623396812</v>
      </c>
      <c r="R26" s="68">
        <v>36.27432590949703</v>
      </c>
    </row>
    <row r="27" spans="1:18">
      <c r="A27" s="102" t="s">
        <v>353</v>
      </c>
      <c r="B27" s="102" t="s">
        <v>354</v>
      </c>
      <c r="D27" s="103" t="s">
        <v>176</v>
      </c>
      <c r="F27" s="107">
        <v>6.3702571707711542</v>
      </c>
      <c r="G27" s="107">
        <v>-1.4175715123134636</v>
      </c>
      <c r="H27" s="107">
        <v>6.6902999999999997</v>
      </c>
      <c r="I27" s="107">
        <v>4.4726626296818912</v>
      </c>
      <c r="J27" s="107">
        <v>4.1097785934469009</v>
      </c>
      <c r="K27" s="115">
        <v>1</v>
      </c>
      <c r="L27" s="115">
        <v>3.7304286279284649E-3</v>
      </c>
      <c r="M27" s="115">
        <v>78.695244873328434</v>
      </c>
      <c r="N27" s="115">
        <v>17736.926160666546</v>
      </c>
      <c r="O27" s="115">
        <v>107.4585528807237</v>
      </c>
      <c r="P27" s="115">
        <v>46.596892124689226</v>
      </c>
      <c r="Q27" s="111">
        <v>107.4585528807237</v>
      </c>
      <c r="R27" s="68">
        <v>46.596892124689234</v>
      </c>
    </row>
    <row r="28" spans="1:18">
      <c r="A28" s="102" t="s">
        <v>355</v>
      </c>
      <c r="B28" s="102" t="s">
        <v>356</v>
      </c>
      <c r="D28" s="103" t="s">
        <v>176</v>
      </c>
      <c r="F28" s="107">
        <v>5.615757170771154</v>
      </c>
      <c r="G28" s="107">
        <v>-3.2320715123134636</v>
      </c>
      <c r="H28" s="107">
        <v>5.9283000000000001</v>
      </c>
      <c r="I28" s="107">
        <v>3.7597652141742195</v>
      </c>
      <c r="J28" s="107">
        <v>3.5138787610240949</v>
      </c>
      <c r="K28" s="115">
        <v>1</v>
      </c>
      <c r="L28" s="115">
        <v>1.2197311201984364E-2</v>
      </c>
      <c r="M28" s="115">
        <v>44.664425267892064</v>
      </c>
      <c r="N28" s="115">
        <v>10033.181250147354</v>
      </c>
      <c r="O28" s="115">
        <v>68.061869198767738</v>
      </c>
      <c r="P28" s="115">
        <v>38.638247396693565</v>
      </c>
      <c r="Q28" s="111">
        <v>68.061869198767738</v>
      </c>
      <c r="R28" s="68">
        <v>38.638247396693572</v>
      </c>
    </row>
    <row r="29" spans="1:18">
      <c r="A29" s="102" t="s">
        <v>357</v>
      </c>
      <c r="B29" s="102" t="s">
        <v>358</v>
      </c>
      <c r="D29" s="103" t="s">
        <v>176</v>
      </c>
      <c r="F29" s="107">
        <v>5.3139571707711539</v>
      </c>
      <c r="G29" s="107">
        <v>-1.1038715123134639</v>
      </c>
      <c r="H29" s="107">
        <v>5.6234999999999999</v>
      </c>
      <c r="I29" s="107">
        <v>3.4904119793386181</v>
      </c>
      <c r="J29" s="107">
        <v>3.310100986983239</v>
      </c>
      <c r="K29" s="115">
        <v>1</v>
      </c>
      <c r="L29" s="115">
        <v>1.6476745290225508E-2</v>
      </c>
      <c r="M29" s="115">
        <v>29.954225168266273</v>
      </c>
      <c r="N29" s="115">
        <v>6718.479871773322</v>
      </c>
      <c r="O29" s="115">
        <v>49.451901976672048</v>
      </c>
      <c r="P29" s="115">
        <v>32.649159636658595</v>
      </c>
      <c r="Q29" s="111">
        <v>49.451901976672048</v>
      </c>
      <c r="R29" s="68">
        <v>32.649159636658595</v>
      </c>
    </row>
    <row r="30" spans="1:18">
      <c r="A30" s="102" t="s">
        <v>359</v>
      </c>
      <c r="B30" s="102" t="s">
        <v>360</v>
      </c>
      <c r="D30" s="103" t="s">
        <v>176</v>
      </c>
      <c r="F30" s="107">
        <v>5.615757170771154</v>
      </c>
      <c r="G30" s="107">
        <v>-3.2320715123134636</v>
      </c>
      <c r="H30" s="107">
        <v>5.9283000000000001</v>
      </c>
      <c r="I30" s="107">
        <v>3.7597652141742195</v>
      </c>
      <c r="J30" s="107">
        <v>3.5138787610240949</v>
      </c>
      <c r="K30" s="115">
        <v>1</v>
      </c>
      <c r="L30" s="115">
        <v>1.2197311201984364E-2</v>
      </c>
      <c r="M30" s="115">
        <v>44.664425267892064</v>
      </c>
      <c r="N30" s="115">
        <v>10033.181250147354</v>
      </c>
      <c r="O30" s="115">
        <v>68.061869198767738</v>
      </c>
      <c r="P30" s="115">
        <v>38.638247396693565</v>
      </c>
      <c r="Q30" s="111">
        <v>68.061869198767738</v>
      </c>
      <c r="R30" s="68">
        <v>38.638247396693572</v>
      </c>
    </row>
    <row r="31" spans="1:18">
      <c r="A31" s="102" t="s">
        <v>283</v>
      </c>
      <c r="B31" s="102" t="s">
        <v>284</v>
      </c>
      <c r="D31" s="103" t="s">
        <v>176</v>
      </c>
      <c r="F31" s="107">
        <v>-0.18886282922884523</v>
      </c>
      <c r="G31" s="107">
        <v>-9.5266915123134623</v>
      </c>
      <c r="H31" s="107">
        <v>6.5979999999999983E-2</v>
      </c>
      <c r="I31" s="107">
        <v>-8.0595885351553126E-2</v>
      </c>
      <c r="J31" s="107">
        <v>-1.711847788201391E-2</v>
      </c>
      <c r="K31" s="115">
        <v>1</v>
      </c>
      <c r="L31" s="115">
        <v>0.96921914496960515</v>
      </c>
      <c r="M31" s="115">
        <v>0.96439411209756176</v>
      </c>
      <c r="N31" s="115">
        <v>1.1357492559942064</v>
      </c>
      <c r="O31" s="115">
        <v>0.81041332958753698</v>
      </c>
      <c r="P31" s="115">
        <v>0.93795927680041291</v>
      </c>
      <c r="Q31" s="111">
        <v>0.81041332958753709</v>
      </c>
      <c r="R31" s="68">
        <v>0.93795927680041291</v>
      </c>
    </row>
    <row r="32" spans="1:18">
      <c r="A32" s="102" t="s">
        <v>361</v>
      </c>
      <c r="B32" s="102" t="s">
        <v>362</v>
      </c>
      <c r="D32" s="103" t="s">
        <v>363</v>
      </c>
      <c r="E32" s="107">
        <v>5.34</v>
      </c>
      <c r="F32" s="107">
        <v>2.4632121973832968</v>
      </c>
      <c r="G32" s="107">
        <v>-9.2646176818460013</v>
      </c>
      <c r="H32" s="107">
        <v>2.7448319205210736</v>
      </c>
      <c r="I32" s="107">
        <v>0.7563764011363916</v>
      </c>
      <c r="J32" s="107">
        <v>0.7194861815745387</v>
      </c>
      <c r="K32" s="115">
        <v>1</v>
      </c>
      <c r="L32" s="115">
        <v>0.591910275005056</v>
      </c>
      <c r="M32" s="115">
        <v>2.0293553226002201</v>
      </c>
      <c r="N32" s="115">
        <v>309.8454928445247</v>
      </c>
      <c r="O32" s="115">
        <v>3.1727428625552569</v>
      </c>
      <c r="P32" s="115">
        <v>2.914369788742103</v>
      </c>
      <c r="Q32" s="111">
        <v>3.1727428625552569</v>
      </c>
      <c r="R32" s="68">
        <v>2.9143697887421034</v>
      </c>
    </row>
    <row r="33" spans="1:18">
      <c r="A33" s="102" t="s">
        <v>364</v>
      </c>
      <c r="B33" s="102" t="s">
        <v>365</v>
      </c>
      <c r="D33" s="103" t="s">
        <v>306</v>
      </c>
      <c r="E33" s="107">
        <v>4.1500000000000004</v>
      </c>
      <c r="F33" s="107">
        <v>-2.4707110619648174</v>
      </c>
      <c r="G33" s="107">
        <v>-11.872315665405687</v>
      </c>
      <c r="H33" s="107">
        <v>-0.14950877691100511</v>
      </c>
      <c r="I33" s="107">
        <v>-7.439927591875585E-2</v>
      </c>
      <c r="J33" s="107">
        <v>-4.1486450578519787E-3</v>
      </c>
      <c r="K33" s="115">
        <v>1</v>
      </c>
      <c r="L33" s="115">
        <v>0.99184130501459378</v>
      </c>
      <c r="M33" s="115">
        <v>0.98384329644752977</v>
      </c>
      <c r="N33" s="115">
        <v>0.59070999285319259</v>
      </c>
      <c r="O33" s="115">
        <v>0.8413253713809572</v>
      </c>
      <c r="P33" s="115">
        <v>0.98904173195888534</v>
      </c>
      <c r="Q33" s="111">
        <v>0.84132537138095731</v>
      </c>
      <c r="R33" s="68">
        <v>0.98904173195888545</v>
      </c>
    </row>
    <row r="34" spans="1:18">
      <c r="A34" s="102" t="s">
        <v>285</v>
      </c>
      <c r="B34" s="102" t="s">
        <v>286</v>
      </c>
      <c r="D34" s="103" t="s">
        <v>306</v>
      </c>
      <c r="E34" s="107">
        <v>2.9</v>
      </c>
      <c r="F34" s="107">
        <v>-0.75020387745085804</v>
      </c>
      <c r="G34" s="107">
        <v>-11.139425245693701</v>
      </c>
      <c r="H34" s="107">
        <v>1.9921835808834203</v>
      </c>
      <c r="I34" s="107">
        <v>0.67934149289788037</v>
      </c>
      <c r="J34" s="107">
        <v>0.89281054955147798</v>
      </c>
      <c r="K34" s="115">
        <v>1</v>
      </c>
      <c r="L34" s="115">
        <v>0.92580787250701657</v>
      </c>
      <c r="M34" s="115">
        <v>1.1820567782715963</v>
      </c>
      <c r="N34" s="115">
        <v>75.546419085819522</v>
      </c>
      <c r="O34" s="115">
        <v>4.4086799613922825</v>
      </c>
      <c r="P34" s="115">
        <v>7.2073834794820604</v>
      </c>
      <c r="Q34" s="111">
        <v>4.4086799613922825</v>
      </c>
      <c r="R34" s="68">
        <v>7.2073834794820604</v>
      </c>
    </row>
    <row r="35" spans="1:18">
      <c r="A35" s="102" t="s">
        <v>287</v>
      </c>
      <c r="B35" s="102" t="s">
        <v>288</v>
      </c>
      <c r="D35" s="103" t="s">
        <v>306</v>
      </c>
      <c r="E35" s="107">
        <v>4.1500000000000004</v>
      </c>
      <c r="F35" s="107">
        <v>2.4168938035182792E-2</v>
      </c>
      <c r="G35" s="107">
        <v>-12.447435665405685</v>
      </c>
      <c r="H35" s="107">
        <v>2.3701712230889953</v>
      </c>
      <c r="I35" s="107">
        <v>1.0325323772510655</v>
      </c>
      <c r="J35" s="107">
        <v>1.2610911157259397</v>
      </c>
      <c r="K35" s="115">
        <v>1</v>
      </c>
      <c r="L35" s="115">
        <v>0.83580438924834233</v>
      </c>
      <c r="M35" s="115">
        <v>1.4014301080605536</v>
      </c>
      <c r="N35" s="115">
        <v>161.6486980099196</v>
      </c>
      <c r="O35" s="115">
        <v>8.90048212407339</v>
      </c>
      <c r="P35" s="115">
        <v>15.065108739842527</v>
      </c>
      <c r="Q35" s="111">
        <v>8.90048212407339</v>
      </c>
      <c r="R35" s="68">
        <v>15.065108739842529</v>
      </c>
    </row>
    <row r="36" spans="1:18">
      <c r="A36" s="102" t="s">
        <v>366</v>
      </c>
      <c r="B36" s="102" t="s">
        <v>305</v>
      </c>
      <c r="D36" s="103" t="s">
        <v>306</v>
      </c>
      <c r="E36" s="107">
        <v>4.45</v>
      </c>
      <c r="F36" s="107">
        <v>0.79128339889788069</v>
      </c>
      <c r="G36" s="107">
        <v>-8.724378525568893</v>
      </c>
      <c r="H36" s="107">
        <v>2.9311387165398459</v>
      </c>
      <c r="I36" s="107">
        <v>1.6027000001251428</v>
      </c>
      <c r="J36" s="107">
        <v>1.8406885949430936</v>
      </c>
      <c r="K36" s="115">
        <v>1</v>
      </c>
      <c r="L36" s="115">
        <v>0.5606252281281795</v>
      </c>
      <c r="M36" s="115">
        <v>1.9599494486981415</v>
      </c>
      <c r="N36" s="115">
        <v>389.5522257495893</v>
      </c>
      <c r="O36" s="115">
        <v>21.884232427531678</v>
      </c>
      <c r="P36" s="115">
        <v>37.854709131215841</v>
      </c>
      <c r="Q36" s="111">
        <v>21.884232427531682</v>
      </c>
      <c r="R36" s="68">
        <v>37.854709131215841</v>
      </c>
    </row>
    <row r="37" spans="1:18">
      <c r="A37" s="102" t="s">
        <v>289</v>
      </c>
      <c r="B37" s="102" t="s">
        <v>290</v>
      </c>
      <c r="D37" s="103" t="s">
        <v>306</v>
      </c>
      <c r="E37" s="107">
        <v>6.68</v>
      </c>
      <c r="F37" s="107">
        <v>2.4767511163848455</v>
      </c>
      <c r="G37" s="107">
        <v>-15.651797718723627</v>
      </c>
      <c r="H37" s="107">
        <v>2.9484888017118567</v>
      </c>
      <c r="I37" s="107">
        <v>1.2928377324284681</v>
      </c>
      <c r="J37" s="107">
        <v>1.4671969405667538</v>
      </c>
      <c r="K37" s="115">
        <v>1</v>
      </c>
      <c r="L37" s="115">
        <v>0.60598828463600063</v>
      </c>
      <c r="M37" s="115">
        <v>2.6809364701581626</v>
      </c>
      <c r="N37" s="115">
        <v>495.59908168083263</v>
      </c>
      <c r="O37" s="115">
        <v>11.616331295163157</v>
      </c>
      <c r="P37" s="115">
        <v>17.355143048076098</v>
      </c>
      <c r="Q37" s="111">
        <v>11.616331295163159</v>
      </c>
      <c r="R37" s="68">
        <v>17.355143048076098</v>
      </c>
    </row>
    <row r="38" spans="1:18">
      <c r="A38" s="102" t="s">
        <v>291</v>
      </c>
      <c r="B38" s="102" t="s">
        <v>292</v>
      </c>
      <c r="D38" s="103" t="s">
        <v>306</v>
      </c>
      <c r="E38" s="107">
        <v>4.9000000000000004</v>
      </c>
      <c r="F38" s="107">
        <v>0.13777866309669651</v>
      </c>
      <c r="G38" s="107">
        <v>-13.661442705146145</v>
      </c>
      <c r="H38" s="107">
        <v>1.892449729275355</v>
      </c>
      <c r="I38" s="107">
        <v>0.58455687682968094</v>
      </c>
      <c r="J38" s="107">
        <v>0.79008748046166655</v>
      </c>
      <c r="K38" s="115">
        <v>1</v>
      </c>
      <c r="L38" s="115">
        <v>0.9390573156173444</v>
      </c>
      <c r="M38" s="115">
        <v>1.1469264864483479</v>
      </c>
      <c r="N38" s="115">
        <v>61.377379539165389</v>
      </c>
      <c r="O38" s="115">
        <v>3.6010834321129721</v>
      </c>
      <c r="P38" s="115">
        <v>5.7804784589677976</v>
      </c>
      <c r="Q38" s="111">
        <v>3.6010834321129721</v>
      </c>
      <c r="R38" s="68">
        <v>5.7804784589677976</v>
      </c>
    </row>
    <row r="39" spans="1:18">
      <c r="A39" s="102" t="s">
        <v>367</v>
      </c>
      <c r="B39" s="102" t="s">
        <v>368</v>
      </c>
      <c r="D39" s="103" t="s">
        <v>176</v>
      </c>
      <c r="F39" s="107">
        <v>4.5192171707711548</v>
      </c>
      <c r="G39" s="107">
        <v>-4.8086115123134636</v>
      </c>
      <c r="H39" s="107">
        <v>4.8208599999999997</v>
      </c>
      <c r="I39" s="107">
        <v>2.8556970420401164</v>
      </c>
      <c r="J39" s="107">
        <v>2.8643564720039665</v>
      </c>
      <c r="K39" s="115">
        <v>1</v>
      </c>
      <c r="L39" s="115">
        <v>5.027847460084979E-2</v>
      </c>
      <c r="M39" s="115">
        <v>14.491134804735093</v>
      </c>
      <c r="N39" s="115">
        <v>3230.2943177949633</v>
      </c>
      <c r="O39" s="115">
        <v>35.000893853102149</v>
      </c>
      <c r="P39" s="115">
        <v>35.705783346689351</v>
      </c>
      <c r="Q39" s="111">
        <v>35.000893853102149</v>
      </c>
      <c r="R39" s="68">
        <v>35.705783346689351</v>
      </c>
    </row>
    <row r="40" spans="1:18">
      <c r="A40" s="102" t="s">
        <v>369</v>
      </c>
      <c r="B40" s="102" t="s">
        <v>370</v>
      </c>
      <c r="D40" s="103" t="s">
        <v>306</v>
      </c>
      <c r="E40" s="107">
        <v>5.15</v>
      </c>
      <c r="F40" s="107">
        <v>5.2381219923240776</v>
      </c>
      <c r="G40" s="107">
        <v>-10.99346688849468</v>
      </c>
      <c r="H40" s="107">
        <v>6.8190648215529235</v>
      </c>
      <c r="I40" s="107">
        <v>4.2924072075121318</v>
      </c>
      <c r="J40" s="107">
        <v>4.1091413241074966</v>
      </c>
      <c r="K40" s="115">
        <v>1</v>
      </c>
      <c r="L40" s="115">
        <v>7.9895439007223457E-3</v>
      </c>
      <c r="M40" s="115">
        <v>157.66797458158254</v>
      </c>
      <c r="N40" s="115">
        <v>42725.609702089248</v>
      </c>
      <c r="O40" s="115">
        <v>150.80251651932883</v>
      </c>
      <c r="P40" s="115">
        <v>98.887797819849169</v>
      </c>
      <c r="Q40" s="111">
        <v>150.80251651932883</v>
      </c>
      <c r="R40" s="68">
        <v>98.887797819849169</v>
      </c>
    </row>
    <row r="41" spans="1:18">
      <c r="A41" s="102" t="s">
        <v>371</v>
      </c>
      <c r="B41" s="102" t="s">
        <v>372</v>
      </c>
      <c r="D41" s="103" t="s">
        <v>176</v>
      </c>
      <c r="F41" s="107">
        <v>-1.3960628292288451</v>
      </c>
      <c r="G41" s="107">
        <v>-3.0038915123134635</v>
      </c>
      <c r="H41" s="107">
        <v>-1.1532199999999999</v>
      </c>
      <c r="I41" s="107">
        <v>-8.5609449558202086E-2</v>
      </c>
      <c r="J41" s="107">
        <v>-2.0401101557984025E-2</v>
      </c>
      <c r="K41" s="115">
        <v>1</v>
      </c>
      <c r="L41" s="115">
        <v>0.90689126795170993</v>
      </c>
      <c r="M41" s="115">
        <v>0.89797964446566902</v>
      </c>
      <c r="N41" s="115">
        <v>6.4164303642112328E-2</v>
      </c>
      <c r="O41" s="115">
        <v>0.74972852669246703</v>
      </c>
      <c r="P41" s="115">
        <v>0.87118900118746601</v>
      </c>
      <c r="Q41" s="111">
        <v>0.74972852669246715</v>
      </c>
      <c r="R41" s="68">
        <v>0.87118900118746601</v>
      </c>
    </row>
    <row r="42" spans="1:18">
      <c r="A42" s="102" t="s">
        <v>293</v>
      </c>
      <c r="B42" s="102" t="s">
        <v>294</v>
      </c>
      <c r="D42" s="103" t="s">
        <v>176</v>
      </c>
      <c r="F42" s="107">
        <v>2.2557171707711543</v>
      </c>
      <c r="G42" s="107">
        <v>-9.4321115123134636</v>
      </c>
      <c r="H42" s="107">
        <v>2.5348600000000001</v>
      </c>
      <c r="I42" s="107">
        <v>0.61461354848187277</v>
      </c>
      <c r="J42" s="107">
        <v>0.59015918612786689</v>
      </c>
      <c r="K42" s="115">
        <v>1</v>
      </c>
      <c r="L42" s="115">
        <v>0.63349622148813434</v>
      </c>
      <c r="M42" s="115">
        <v>1.5785790440244949</v>
      </c>
      <c r="N42" s="115">
        <v>213.76668911757673</v>
      </c>
      <c r="O42" s="115">
        <v>2.5685828545875937</v>
      </c>
      <c r="P42" s="115">
        <v>2.4279470822180893</v>
      </c>
      <c r="Q42" s="111">
        <v>2.5685828545875937</v>
      </c>
      <c r="R42" s="68">
        <v>2.4279470822180897</v>
      </c>
    </row>
    <row r="43" spans="1:18">
      <c r="A43" s="102" t="s">
        <v>373</v>
      </c>
      <c r="B43" s="102" t="s">
        <v>374</v>
      </c>
      <c r="D43" s="103" t="s">
        <v>306</v>
      </c>
      <c r="E43" s="107">
        <v>4.7</v>
      </c>
      <c r="F43" s="107">
        <v>2.3953035368317406</v>
      </c>
      <c r="G43" s="107">
        <v>-7.2664171803962567</v>
      </c>
      <c r="H43" s="107">
        <v>4.3467343311472426</v>
      </c>
      <c r="I43" s="107">
        <v>2.7479195396128766</v>
      </c>
      <c r="J43" s="107">
        <v>2.9734150698624759</v>
      </c>
      <c r="K43" s="115">
        <v>1</v>
      </c>
      <c r="L43" s="115">
        <v>8.4178720057020012E-2</v>
      </c>
      <c r="M43" s="115">
        <v>5.5978427498976586</v>
      </c>
      <c r="N43" s="115">
        <v>1507.5305358300552</v>
      </c>
      <c r="O43" s="115">
        <v>45.365396350376635</v>
      </c>
      <c r="P43" s="115">
        <v>76.246557428755423</v>
      </c>
      <c r="Q43" s="111">
        <v>45.365396350376642</v>
      </c>
      <c r="R43" s="68">
        <v>76.246557428755438</v>
      </c>
    </row>
    <row r="44" spans="1:18">
      <c r="A44" s="102" t="s">
        <v>375</v>
      </c>
      <c r="B44" s="102" t="s">
        <v>376</v>
      </c>
      <c r="D44" s="103" t="s">
        <v>176</v>
      </c>
      <c r="F44" s="107">
        <v>1.3100771707711547</v>
      </c>
      <c r="G44" s="107">
        <v>-2.9077515123134638</v>
      </c>
      <c r="H44" s="107">
        <v>1.5798199999999998</v>
      </c>
      <c r="I44" s="107">
        <v>6.834831513376248E-2</v>
      </c>
      <c r="J44" s="107">
        <v>9.5652056219914725E-2</v>
      </c>
      <c r="K44" s="115">
        <v>1</v>
      </c>
      <c r="L44" s="115">
        <v>0.7787661820207451</v>
      </c>
      <c r="M44" s="115">
        <v>0.90116984675552603</v>
      </c>
      <c r="N44" s="115">
        <v>29.639552865229398</v>
      </c>
      <c r="O44" s="115">
        <v>0.91285114121159483</v>
      </c>
      <c r="P44" s="115">
        <v>0.97208379630026254</v>
      </c>
      <c r="Q44" s="111">
        <v>0.91285114121159483</v>
      </c>
      <c r="R44" s="68">
        <v>0.97208379630026265</v>
      </c>
    </row>
    <row r="45" spans="1:18">
      <c r="A45" s="102" t="s">
        <v>377</v>
      </c>
      <c r="B45" s="102" t="s">
        <v>378</v>
      </c>
      <c r="D45" s="103" t="s">
        <v>176</v>
      </c>
      <c r="F45" s="107">
        <v>2.3361971707711549</v>
      </c>
      <c r="G45" s="107">
        <v>-4.8216315123134628</v>
      </c>
      <c r="H45" s="107">
        <v>2.6161399999999997</v>
      </c>
      <c r="I45" s="107">
        <v>0.68231508513120154</v>
      </c>
      <c r="J45" s="107">
        <v>0.6560976658281501</v>
      </c>
      <c r="K45" s="115">
        <v>1</v>
      </c>
      <c r="L45" s="115">
        <v>0.60747638614379951</v>
      </c>
      <c r="M45" s="115">
        <v>1.7011224030678176</v>
      </c>
      <c r="N45" s="115">
        <v>246.78058122489668</v>
      </c>
      <c r="O45" s="115">
        <v>2.8739953947302883</v>
      </c>
      <c r="P45" s="115">
        <v>2.7056315129536106</v>
      </c>
      <c r="Q45" s="111">
        <v>2.8739953947302883</v>
      </c>
      <c r="R45" s="68">
        <v>2.705631512953611</v>
      </c>
    </row>
    <row r="46" spans="1:18">
      <c r="A46" s="102" t="s">
        <v>379</v>
      </c>
      <c r="B46" s="102" t="s">
        <v>380</v>
      </c>
      <c r="D46" s="103" t="s">
        <v>176</v>
      </c>
      <c r="F46" s="107">
        <v>2.2858971707711548</v>
      </c>
      <c r="G46" s="107">
        <v>-4.3619315123134639</v>
      </c>
      <c r="H46" s="107">
        <v>2.5653399999999995</v>
      </c>
      <c r="I46" s="107">
        <v>0.63971842481140939</v>
      </c>
      <c r="J46" s="107">
        <v>0.61453782937195078</v>
      </c>
      <c r="K46" s="115">
        <v>1</v>
      </c>
      <c r="L46" s="115">
        <v>0.62253418080949718</v>
      </c>
      <c r="M46" s="115">
        <v>1.6191051681762796</v>
      </c>
      <c r="N46" s="115">
        <v>225.20342931301801</v>
      </c>
      <c r="O46" s="115">
        <v>2.6727197588507035</v>
      </c>
      <c r="P46" s="115">
        <v>2.5221611331891522</v>
      </c>
      <c r="Q46" s="111">
        <v>2.6727197588507035</v>
      </c>
      <c r="R46" s="68">
        <v>2.5221611331891527</v>
      </c>
    </row>
    <row r="47" spans="1:18">
      <c r="A47" s="102" t="s">
        <v>381</v>
      </c>
      <c r="B47" s="102" t="s">
        <v>382</v>
      </c>
      <c r="D47" s="103" t="s">
        <v>176</v>
      </c>
      <c r="F47" s="107">
        <v>6.4205571707711533</v>
      </c>
      <c r="G47" s="107">
        <v>-6.1472715123134636</v>
      </c>
      <c r="H47" s="107">
        <v>6.7410999999999994</v>
      </c>
      <c r="I47" s="107">
        <v>4.5214945708792449</v>
      </c>
      <c r="J47" s="107">
        <v>4.1532949265106955</v>
      </c>
      <c r="K47" s="115">
        <v>1</v>
      </c>
      <c r="L47" s="115">
        <v>3.4703257530020186E-3</v>
      </c>
      <c r="M47" s="115">
        <v>82.274338309462863</v>
      </c>
      <c r="N47" s="115">
        <v>18547.542591356691</v>
      </c>
      <c r="O47" s="115">
        <v>111.86157965165044</v>
      </c>
      <c r="P47" s="115">
        <v>47.916082451078353</v>
      </c>
      <c r="Q47" s="111">
        <v>111.86157965165044</v>
      </c>
      <c r="R47" s="68">
        <v>47.916082451078353</v>
      </c>
    </row>
    <row r="48" spans="1:18">
      <c r="A48" s="102" t="s">
        <v>383</v>
      </c>
      <c r="B48" s="102" t="s">
        <v>384</v>
      </c>
      <c r="D48" s="103" t="s">
        <v>176</v>
      </c>
      <c r="F48" s="107">
        <v>0.78695717077115468</v>
      </c>
      <c r="G48" s="107">
        <v>-3.8408715123134631</v>
      </c>
      <c r="H48" s="107">
        <v>1.0515000000000001</v>
      </c>
      <c r="I48" s="107">
        <v>-3.5289873430982874E-2</v>
      </c>
      <c r="J48" s="107">
        <v>1.519399315984879E-2</v>
      </c>
      <c r="K48" s="115">
        <v>1</v>
      </c>
      <c r="L48" s="115">
        <v>0.90497424839743523</v>
      </c>
      <c r="M48" s="115">
        <v>0.94076813034085838</v>
      </c>
      <c r="N48" s="115">
        <v>10.240789906324448</v>
      </c>
      <c r="O48" s="115">
        <v>0.8385782288782937</v>
      </c>
      <c r="P48" s="115">
        <v>0.94194913073711484</v>
      </c>
      <c r="Q48" s="111">
        <v>0.8385782288782937</v>
      </c>
      <c r="R48" s="68">
        <v>0.94194913073711495</v>
      </c>
    </row>
    <row r="49" spans="1:18">
      <c r="A49" s="102" t="s">
        <v>385</v>
      </c>
      <c r="B49" s="102" t="s">
        <v>386</v>
      </c>
      <c r="D49" s="103" t="s">
        <v>176</v>
      </c>
      <c r="F49" s="107">
        <v>1.0384571707711545</v>
      </c>
      <c r="G49" s="107">
        <v>-3.5493715123134639</v>
      </c>
      <c r="H49" s="107">
        <v>1.3054999999999997</v>
      </c>
      <c r="I49" s="107">
        <v>1.9271157019646421E-3</v>
      </c>
      <c r="J49" s="107">
        <v>4.3264382431610404E-2</v>
      </c>
      <c r="K49" s="115">
        <v>1</v>
      </c>
      <c r="L49" s="115">
        <v>0.86990545658808482</v>
      </c>
      <c r="M49" s="115">
        <v>0.9385745905952767</v>
      </c>
      <c r="N49" s="115">
        <v>17.64458795881524</v>
      </c>
      <c r="O49" s="115">
        <v>0.87707884647888534</v>
      </c>
      <c r="P49" s="115">
        <v>0.96466362674580031</v>
      </c>
      <c r="Q49" s="111">
        <v>0.87707884647888534</v>
      </c>
      <c r="R49" s="68">
        <v>0.96466362674580031</v>
      </c>
    </row>
    <row r="50" spans="1:18">
      <c r="A50" s="102" t="s">
        <v>387</v>
      </c>
      <c r="B50" s="102" t="s">
        <v>388</v>
      </c>
      <c r="D50" s="103" t="s">
        <v>176</v>
      </c>
      <c r="F50" s="107">
        <v>3.5936971707711542</v>
      </c>
      <c r="G50" s="107">
        <v>-3.0141315123134635</v>
      </c>
      <c r="H50" s="107">
        <v>3.8861399999999993</v>
      </c>
      <c r="I50" s="107">
        <v>1.9055858071992202</v>
      </c>
      <c r="J50" s="107">
        <v>1.8944394100908883</v>
      </c>
      <c r="K50" s="115">
        <v>1</v>
      </c>
      <c r="L50" s="115">
        <v>0.19669472203003405</v>
      </c>
      <c r="M50" s="115">
        <v>6.7878461813104289</v>
      </c>
      <c r="N50" s="115">
        <v>1470.2562171970951</v>
      </c>
      <c r="O50" s="115">
        <v>15.375839314872268</v>
      </c>
      <c r="P50" s="115">
        <v>14.986231415950284</v>
      </c>
      <c r="Q50" s="111">
        <v>15.375839314872268</v>
      </c>
      <c r="R50" s="68">
        <v>14.986231415950284</v>
      </c>
    </row>
    <row r="51" spans="1:18">
      <c r="A51" s="102" t="s">
        <v>295</v>
      </c>
      <c r="B51" s="102" t="s">
        <v>296</v>
      </c>
      <c r="D51" s="103" t="s">
        <v>176</v>
      </c>
      <c r="F51" s="107">
        <v>5.2577170771154709E-2</v>
      </c>
      <c r="G51" s="107">
        <v>-3.0952515123134638</v>
      </c>
      <c r="H51" s="107">
        <v>0.30981999999999998</v>
      </c>
      <c r="I51" s="107">
        <v>-7.6551243029981467E-2</v>
      </c>
      <c r="J51" s="107">
        <v>-1.4373506469006214E-2</v>
      </c>
      <c r="K51" s="115">
        <v>1</v>
      </c>
      <c r="L51" s="115">
        <v>0.89827024918693699</v>
      </c>
      <c r="M51" s="115">
        <v>0.89728145021456507</v>
      </c>
      <c r="N51" s="115">
        <v>1.8452095330605482</v>
      </c>
      <c r="O51" s="115">
        <v>0.75800914750518478</v>
      </c>
      <c r="P51" s="115">
        <v>0.87468601577026972</v>
      </c>
      <c r="Q51" s="111">
        <v>0.75800914750518478</v>
      </c>
      <c r="R51" s="68">
        <v>0.87468601577026972</v>
      </c>
    </row>
    <row r="52" spans="1:18">
      <c r="A52" s="102" t="s">
        <v>389</v>
      </c>
      <c r="B52" s="102" t="s">
        <v>390</v>
      </c>
      <c r="D52" s="103" t="s">
        <v>176</v>
      </c>
      <c r="F52" s="107">
        <v>1.5515171707711544</v>
      </c>
      <c r="G52" s="107">
        <v>-2.9763115123134636</v>
      </c>
      <c r="H52" s="107">
        <v>1.8236600000000001</v>
      </c>
      <c r="I52" s="107">
        <v>0.15853385227252828</v>
      </c>
      <c r="J52" s="107">
        <v>0.17050757529739025</v>
      </c>
      <c r="K52" s="115">
        <v>1</v>
      </c>
      <c r="L52" s="115">
        <v>0.75317055451814385</v>
      </c>
      <c r="M52" s="115">
        <v>0.9662224861115275</v>
      </c>
      <c r="N52" s="115">
        <v>50.102032130149695</v>
      </c>
      <c r="O52" s="115">
        <v>1.0832512364206297</v>
      </c>
      <c r="P52" s="115">
        <v>1.1135325497128841</v>
      </c>
      <c r="Q52" s="111">
        <v>1.0832512364206297</v>
      </c>
      <c r="R52" s="68">
        <v>1.1135325497128841</v>
      </c>
    </row>
    <row r="53" spans="1:18">
      <c r="A53" s="102" t="s">
        <v>391</v>
      </c>
      <c r="B53" s="102" t="s">
        <v>392</v>
      </c>
      <c r="D53" s="103" t="s">
        <v>176</v>
      </c>
      <c r="F53" s="107">
        <v>2.5876971707711545</v>
      </c>
      <c r="G53" s="107">
        <v>-4.2401315123134635</v>
      </c>
      <c r="H53" s="107">
        <v>2.8701399999999997</v>
      </c>
      <c r="I53" s="107">
        <v>0.90724523010998759</v>
      </c>
      <c r="J53" s="107">
        <v>0.87879552029503416</v>
      </c>
      <c r="K53" s="115">
        <v>1</v>
      </c>
      <c r="L53" s="115">
        <v>0.52198959144886836</v>
      </c>
      <c r="M53" s="115">
        <v>2.2108258553353144</v>
      </c>
      <c r="N53" s="115">
        <v>378.91692774872052</v>
      </c>
      <c r="O53" s="115">
        <v>4.127140345247172</v>
      </c>
      <c r="P53" s="115">
        <v>3.865445262186626</v>
      </c>
      <c r="Q53" s="111">
        <v>4.127140345247172</v>
      </c>
      <c r="R53" s="68">
        <v>3.865445262186626</v>
      </c>
    </row>
    <row r="54" spans="1:18">
      <c r="A54" s="102" t="s">
        <v>393</v>
      </c>
      <c r="B54" s="102" t="s">
        <v>394</v>
      </c>
      <c r="D54" s="103" t="s">
        <v>176</v>
      </c>
      <c r="F54" s="107">
        <v>6.2394771707711545</v>
      </c>
      <c r="G54" s="107">
        <v>-2.6283515123134635</v>
      </c>
      <c r="H54" s="107">
        <v>6.5582200000000004</v>
      </c>
      <c r="I54" s="107">
        <v>4.3462756065450696</v>
      </c>
      <c r="J54" s="107">
        <v>3.9985745383602556</v>
      </c>
      <c r="K54" s="115">
        <v>1</v>
      </c>
      <c r="L54" s="115">
        <v>4.6862776194743156E-3</v>
      </c>
      <c r="M54" s="115">
        <v>72.977356754817876</v>
      </c>
      <c r="N54" s="115">
        <v>16439.051984990627</v>
      </c>
      <c r="O54" s="115">
        <v>100.90957460706208</v>
      </c>
      <c r="P54" s="115">
        <v>45.313885943179464</v>
      </c>
      <c r="Q54" s="111">
        <v>100.9095746070621</v>
      </c>
      <c r="R54" s="68">
        <v>45.313885943179464</v>
      </c>
    </row>
    <row r="55" spans="1:18">
      <c r="A55" s="102" t="s">
        <v>395</v>
      </c>
      <c r="B55" s="102" t="s">
        <v>396</v>
      </c>
      <c r="D55" s="103" t="s">
        <v>176</v>
      </c>
      <c r="F55" s="107">
        <v>3.2013571707711543</v>
      </c>
      <c r="G55" s="107">
        <v>-1.966471512313464</v>
      </c>
      <c r="H55" s="107">
        <v>3.4899</v>
      </c>
      <c r="I55" s="107">
        <v>1.5062376575644019</v>
      </c>
      <c r="J55" s="107">
        <v>1.4857448042436765</v>
      </c>
      <c r="K55" s="115">
        <v>1</v>
      </c>
      <c r="L55" s="115">
        <v>0.24120655059766374</v>
      </c>
      <c r="M55" s="115">
        <v>3.4912716379740867</v>
      </c>
      <c r="N55" s="115">
        <v>725.10065679293371</v>
      </c>
      <c r="O55" s="115">
        <v>7.5289767510835359</v>
      </c>
      <c r="P55" s="115">
        <v>7.1819619970827677</v>
      </c>
      <c r="Q55" s="111">
        <v>7.5289767510835368</v>
      </c>
      <c r="R55" s="68">
        <v>7.1819619970827677</v>
      </c>
    </row>
    <row r="56" spans="1:18">
      <c r="A56" s="102" t="s">
        <v>397</v>
      </c>
      <c r="B56" s="102" t="s">
        <v>398</v>
      </c>
      <c r="D56" s="103" t="s">
        <v>176</v>
      </c>
      <c r="F56" s="107">
        <v>3.8954971707711543</v>
      </c>
      <c r="G56" s="107">
        <v>-0.38233151231346396</v>
      </c>
      <c r="H56" s="107">
        <v>4.1909400000000003</v>
      </c>
      <c r="I56" s="107">
        <v>2.2160705570821571</v>
      </c>
      <c r="J56" s="107">
        <v>2.2127719408485094</v>
      </c>
      <c r="K56" s="115">
        <v>1</v>
      </c>
      <c r="L56" s="115">
        <v>2.2873382233715184E-2</v>
      </c>
      <c r="M56" s="115">
        <v>1.5673340706283014</v>
      </c>
      <c r="N56" s="115">
        <v>344.73596090218962</v>
      </c>
      <c r="O56" s="115">
        <v>3.6527264210483605</v>
      </c>
      <c r="P56" s="115">
        <v>3.6250878005649314</v>
      </c>
      <c r="Q56" s="111">
        <v>3.6527264210483605</v>
      </c>
      <c r="R56" s="68">
        <v>3.6250878005649319</v>
      </c>
    </row>
    <row r="57" spans="1:18">
      <c r="A57" s="102" t="s">
        <v>399</v>
      </c>
      <c r="B57" s="102" t="s">
        <v>400</v>
      </c>
      <c r="D57" s="103" t="s">
        <v>176</v>
      </c>
      <c r="F57" s="107">
        <v>3.3321371707711545</v>
      </c>
      <c r="G57" s="107">
        <v>-0.5356915123134639</v>
      </c>
      <c r="H57" s="107">
        <v>3.6219799999999998</v>
      </c>
      <c r="I57" s="107">
        <v>1.6385810169496262</v>
      </c>
      <c r="J57" s="107">
        <v>1.6210268010427327</v>
      </c>
      <c r="K57" s="115">
        <v>1</v>
      </c>
      <c r="L57" s="115">
        <v>3.4285598992802556E-2</v>
      </c>
      <c r="M57" s="115">
        <v>0.66021172255545912</v>
      </c>
      <c r="N57" s="115">
        <v>139.61304846503742</v>
      </c>
      <c r="O57" s="115">
        <v>1.4505310409298031</v>
      </c>
      <c r="P57" s="115">
        <v>1.3930695874437207</v>
      </c>
      <c r="Q57" s="111">
        <v>1.4505310409298031</v>
      </c>
      <c r="R57" s="68">
        <v>1.3930695874437207</v>
      </c>
    </row>
    <row r="58" spans="1:18">
      <c r="A58" s="102" t="s">
        <v>297</v>
      </c>
      <c r="B58" s="102" t="s">
        <v>298</v>
      </c>
      <c r="D58" s="103" t="s">
        <v>176</v>
      </c>
      <c r="F58" s="107">
        <v>1.1390571707711545</v>
      </c>
      <c r="G58" s="107">
        <v>-0.75877151231346396</v>
      </c>
      <c r="H58" s="107">
        <v>1.4070999999999998</v>
      </c>
      <c r="I58" s="107">
        <v>2.2801731556519871E-2</v>
      </c>
      <c r="J58" s="107">
        <v>5.9439921442983983E-2</v>
      </c>
      <c r="K58" s="115">
        <v>1</v>
      </c>
      <c r="L58" s="115">
        <v>5.9267734417870845E-2</v>
      </c>
      <c r="M58" s="115">
        <v>6.5334611329663908E-2</v>
      </c>
      <c r="N58" s="115">
        <v>1.5179064456517681</v>
      </c>
      <c r="O58" s="115">
        <v>6.2653701943338358E-2</v>
      </c>
      <c r="P58" s="115">
        <v>6.8168686606327245E-2</v>
      </c>
      <c r="Q58" s="111">
        <v>6.2653701943338358E-2</v>
      </c>
      <c r="R58" s="68">
        <v>6.8168686606327258E-2</v>
      </c>
    </row>
    <row r="59" spans="1:18">
      <c r="A59" s="102" t="s">
        <v>401</v>
      </c>
      <c r="B59" s="102" t="s">
        <v>402</v>
      </c>
      <c r="D59" s="103" t="s">
        <v>176</v>
      </c>
      <c r="F59" s="107">
        <v>3.3019571707711544</v>
      </c>
      <c r="G59" s="107">
        <v>-7.5871512313464076E-2</v>
      </c>
      <c r="H59" s="107">
        <v>3.591499999999999</v>
      </c>
      <c r="I59" s="107">
        <v>1.6079569803974632</v>
      </c>
      <c r="J59" s="107">
        <v>1.5897045209690099</v>
      </c>
      <c r="K59" s="115">
        <v>1</v>
      </c>
      <c r="L59" s="115">
        <v>1.2978133578368495E-2</v>
      </c>
      <c r="M59" s="115">
        <v>0.23387286996290071</v>
      </c>
      <c r="N59" s="115">
        <v>49.272407789457745</v>
      </c>
      <c r="O59" s="115">
        <v>0.51175343428082365</v>
      </c>
      <c r="P59" s="115">
        <v>0.49069124171572726</v>
      </c>
      <c r="Q59" s="111">
        <v>0.51175343428082365</v>
      </c>
      <c r="R59" s="68">
        <v>0.49069124171572731</v>
      </c>
    </row>
    <row r="60" spans="1:18">
      <c r="A60" s="102" t="s">
        <v>299</v>
      </c>
      <c r="B60" s="102" t="s">
        <v>300</v>
      </c>
      <c r="D60" s="103" t="s">
        <v>176</v>
      </c>
      <c r="F60" s="107">
        <v>2.9699771707711542</v>
      </c>
      <c r="G60" s="107">
        <v>1.392148487686536</v>
      </c>
      <c r="H60" s="107">
        <v>3.2562199999999999</v>
      </c>
      <c r="I60" s="107">
        <v>1.275035442871006</v>
      </c>
      <c r="J60" s="107">
        <v>1.2500928133449978</v>
      </c>
      <c r="K60" s="115">
        <v>1</v>
      </c>
      <c r="L60" s="115">
        <v>4.6162857351446037E-4</v>
      </c>
      <c r="M60" s="115">
        <v>4.0952507004300134E-3</v>
      </c>
      <c r="N60" s="115">
        <v>0.81154778373351155</v>
      </c>
      <c r="O60" s="115">
        <v>8.4748015810457902E-3</v>
      </c>
      <c r="P60" s="115">
        <v>8.0017855761977102E-3</v>
      </c>
      <c r="Q60" s="111">
        <v>8.4748015810457919E-3</v>
      </c>
      <c r="R60" s="68">
        <v>8.0017855761977102E-3</v>
      </c>
    </row>
    <row r="61" spans="1:18">
      <c r="A61" s="102" t="s">
        <v>403</v>
      </c>
      <c r="B61" s="102" t="s">
        <v>404</v>
      </c>
      <c r="D61" s="103" t="s">
        <v>176</v>
      </c>
      <c r="F61" s="107">
        <v>2.8190771707711546</v>
      </c>
      <c r="G61" s="107">
        <v>-44.758751512313466</v>
      </c>
      <c r="H61" s="107">
        <v>3.1038199999999998</v>
      </c>
      <c r="I61" s="107">
        <v>1.1271663952778412</v>
      </c>
      <c r="J61" s="107">
        <v>1.1001030152018811</v>
      </c>
      <c r="K61" s="115">
        <v>1</v>
      </c>
      <c r="L61" s="115">
        <v>0.44219152057869821</v>
      </c>
      <c r="M61" s="115">
        <v>2.89306881316109</v>
      </c>
      <c r="N61" s="115">
        <v>548.10569084227586</v>
      </c>
      <c r="O61" s="115">
        <v>5.7837659016727088</v>
      </c>
      <c r="P61" s="115">
        <v>5.4343465050192279</v>
      </c>
      <c r="Q61" s="111">
        <v>5.7837659016727097</v>
      </c>
      <c r="R61" s="68">
        <v>5.4343465050192279</v>
      </c>
    </row>
    <row r="62" spans="1:18">
      <c r="A62" s="102" t="s">
        <v>405</v>
      </c>
      <c r="B62" s="102" t="s">
        <v>406</v>
      </c>
      <c r="D62" s="103" t="s">
        <v>176</v>
      </c>
      <c r="F62" s="107">
        <v>5.3240171707711541</v>
      </c>
      <c r="G62" s="107">
        <v>-6.5138115123134632</v>
      </c>
      <c r="H62" s="107">
        <v>5.6336599999999999</v>
      </c>
      <c r="I62" s="107">
        <v>3.4991869392277986</v>
      </c>
      <c r="J62" s="107">
        <v>3.3165605016947399</v>
      </c>
      <c r="K62" s="115">
        <v>1</v>
      </c>
      <c r="L62" s="115">
        <v>1.8330555395822238E-2</v>
      </c>
      <c r="M62" s="115">
        <v>34.11126144819562</v>
      </c>
      <c r="N62" s="115">
        <v>7651.2840671540944</v>
      </c>
      <c r="O62" s="115">
        <v>56.138559611223485</v>
      </c>
      <c r="P62" s="115">
        <v>36.86674778996813</v>
      </c>
      <c r="Q62" s="111">
        <v>56.138559611223485</v>
      </c>
      <c r="R62" s="68">
        <v>36.86674778996813</v>
      </c>
    </row>
    <row r="63" spans="1:18">
      <c r="A63" s="102" t="s">
        <v>407</v>
      </c>
      <c r="B63" s="102" t="s">
        <v>408</v>
      </c>
      <c r="D63" s="103" t="s">
        <v>176</v>
      </c>
      <c r="F63" s="107">
        <v>6.7324171707711526</v>
      </c>
      <c r="G63" s="107">
        <v>-3.0954115123134636</v>
      </c>
      <c r="H63" s="107">
        <v>7.0560599999999987</v>
      </c>
      <c r="I63" s="107">
        <v>4.8264786196438463</v>
      </c>
      <c r="J63" s="107">
        <v>4.4311631331669821</v>
      </c>
      <c r="K63" s="115">
        <v>1</v>
      </c>
      <c r="L63" s="115">
        <v>2.0130267559116928E-3</v>
      </c>
      <c r="M63" s="115">
        <v>98.42773873023225</v>
      </c>
      <c r="N63" s="115">
        <v>22217.96471248574</v>
      </c>
      <c r="O63" s="115">
        <v>130.95524346366091</v>
      </c>
      <c r="P63" s="115">
        <v>52.699610555643083</v>
      </c>
      <c r="Q63" s="111">
        <v>130.95524346366091</v>
      </c>
      <c r="R63" s="68">
        <v>52.699610555643083</v>
      </c>
    </row>
    <row r="64" spans="1:18">
      <c r="A64" s="102" t="s">
        <v>409</v>
      </c>
      <c r="B64" s="102" t="s">
        <v>410</v>
      </c>
      <c r="D64" s="103" t="s">
        <v>176</v>
      </c>
      <c r="F64" s="107">
        <v>7.2454771707711529</v>
      </c>
      <c r="G64" s="107">
        <v>-3.5423515123134632</v>
      </c>
      <c r="H64" s="107">
        <v>7.5742199999999995</v>
      </c>
      <c r="I64" s="107">
        <v>5.3339768811566497</v>
      </c>
      <c r="J64" s="107">
        <v>4.9112223845517216</v>
      </c>
      <c r="K64" s="115">
        <v>1</v>
      </c>
      <c r="L64" s="115">
        <v>7.6909707219313726E-4</v>
      </c>
      <c r="M64" s="115">
        <v>123.7260790998486</v>
      </c>
      <c r="N64" s="115">
        <v>27987.313151111306</v>
      </c>
      <c r="O64" s="115">
        <v>160.9600463061289</v>
      </c>
      <c r="P64" s="115">
        <v>60.808402152366327</v>
      </c>
      <c r="Q64" s="111">
        <v>160.9600463061289</v>
      </c>
      <c r="R64" s="68">
        <v>60.808402152366334</v>
      </c>
    </row>
    <row r="65" spans="1:18">
      <c r="A65" s="102" t="s">
        <v>301</v>
      </c>
      <c r="B65" s="102" t="s">
        <v>302</v>
      </c>
      <c r="D65" s="103" t="s">
        <v>176</v>
      </c>
      <c r="F65" s="107">
        <v>7.8289571707711536</v>
      </c>
      <c r="G65" s="107">
        <v>-3.8988715123134638</v>
      </c>
      <c r="H65" s="107">
        <v>8.1634999999999991</v>
      </c>
      <c r="I65" s="107">
        <v>5.9157742516999097</v>
      </c>
      <c r="J65" s="107">
        <v>5.477754933792264</v>
      </c>
      <c r="K65" s="115">
        <v>1</v>
      </c>
      <c r="L65" s="115">
        <v>2.3638973571724308E-4</v>
      </c>
      <c r="M65" s="115">
        <v>147.34202382301513</v>
      </c>
      <c r="N65" s="115">
        <v>33407.942004137018</v>
      </c>
      <c r="O65" s="115">
        <v>188.85303766164512</v>
      </c>
      <c r="P65" s="115">
        <v>68.881826866598871</v>
      </c>
      <c r="Q65" s="111">
        <v>188.85303766164515</v>
      </c>
      <c r="R65" s="68">
        <v>68.881826866598871</v>
      </c>
    </row>
    <row r="66" spans="1:18">
      <c r="A66" s="102" t="s">
        <v>303</v>
      </c>
      <c r="B66" s="102" t="s">
        <v>304</v>
      </c>
      <c r="D66" s="103" t="s">
        <v>176</v>
      </c>
      <c r="F66" s="107">
        <v>7.496977170771153</v>
      </c>
      <c r="G66" s="107">
        <v>-10.230851512313462</v>
      </c>
      <c r="H66" s="107">
        <v>7.8282199999999991</v>
      </c>
      <c r="I66" s="107">
        <v>5.5843421943977098</v>
      </c>
      <c r="J66" s="107">
        <v>5.1535116478240619</v>
      </c>
      <c r="K66" s="115">
        <v>1</v>
      </c>
      <c r="L66" s="115">
        <v>4.6709334717602932E-4</v>
      </c>
      <c r="M66" s="115">
        <v>134.71756862088702</v>
      </c>
      <c r="N66" s="115">
        <v>30504.709464580075</v>
      </c>
      <c r="O66" s="115">
        <v>173.97589822472307</v>
      </c>
      <c r="P66" s="115">
        <v>64.514679014136732</v>
      </c>
      <c r="Q66" s="111">
        <v>173.97589822472307</v>
      </c>
      <c r="R66" s="68">
        <v>64.514679014136746</v>
      </c>
    </row>
    <row r="67" spans="1:18">
      <c r="A67" s="102" t="s">
        <v>411</v>
      </c>
      <c r="B67" s="102" t="s">
        <v>412</v>
      </c>
      <c r="D67" s="103" t="s">
        <v>176</v>
      </c>
      <c r="F67" s="107">
        <v>1.3905571707711546</v>
      </c>
      <c r="G67" s="107">
        <v>-4.1972715123134634</v>
      </c>
      <c r="H67" s="107">
        <v>1.6610999999999998</v>
      </c>
      <c r="I67" s="107">
        <v>9.4797986902678932E-2</v>
      </c>
      <c r="J67" s="107">
        <v>0.11720098797754357</v>
      </c>
      <c r="K67" s="115">
        <v>1</v>
      </c>
      <c r="L67" s="115">
        <v>0.8358904749386451</v>
      </c>
      <c r="M67" s="115">
        <v>0.99599374288046283</v>
      </c>
      <c r="N67" s="115">
        <v>38.326448586685643</v>
      </c>
      <c r="O67" s="115">
        <v>1.0403909489770673</v>
      </c>
      <c r="P67" s="115">
        <v>1.0954676736454576</v>
      </c>
      <c r="Q67" s="111">
        <v>1.0403909489770673</v>
      </c>
      <c r="R67" s="68">
        <v>1.0954676736454576</v>
      </c>
    </row>
    <row r="68" spans="1:18">
      <c r="A68" s="102" t="s">
        <v>413</v>
      </c>
      <c r="B68" s="102" t="s">
        <v>414</v>
      </c>
      <c r="D68" s="103" t="s">
        <v>176</v>
      </c>
      <c r="F68" s="107">
        <v>1.6521171707711544</v>
      </c>
      <c r="G68" s="107">
        <v>-3.8257115123134628</v>
      </c>
      <c r="H68" s="107">
        <v>1.9252599999999995</v>
      </c>
      <c r="I68" s="107">
        <v>0.20616903096194325</v>
      </c>
      <c r="J68" s="107">
        <v>0.21148285077802634</v>
      </c>
      <c r="K68" s="115">
        <v>1</v>
      </c>
      <c r="L68" s="115">
        <v>0.78273324527377386</v>
      </c>
      <c r="M68" s="115">
        <v>1.0644622137018951</v>
      </c>
      <c r="N68" s="115">
        <v>65.686546625311692</v>
      </c>
      <c r="O68" s="115">
        <v>1.2542539026679871</v>
      </c>
      <c r="P68" s="115">
        <v>1.2696946242720339</v>
      </c>
      <c r="Q68" s="111">
        <v>1.2542539026679871</v>
      </c>
      <c r="R68" s="68">
        <v>1.2696946242720339</v>
      </c>
    </row>
    <row r="69" spans="1:18">
      <c r="A69" s="102" t="s">
        <v>415</v>
      </c>
      <c r="B69" s="102" t="s">
        <v>416</v>
      </c>
      <c r="D69" s="103" t="s">
        <v>176</v>
      </c>
      <c r="F69" s="107">
        <v>5.9879771707711535</v>
      </c>
      <c r="G69" s="107">
        <v>-2.0098515123134639</v>
      </c>
      <c r="H69" s="107">
        <v>6.304219999999999</v>
      </c>
      <c r="I69" s="107">
        <v>4.1060408070486618</v>
      </c>
      <c r="J69" s="107">
        <v>3.7934378079391395</v>
      </c>
      <c r="K69" s="115">
        <v>1</v>
      </c>
      <c r="L69" s="115">
        <v>6.960004070181402E-3</v>
      </c>
      <c r="M69" s="115">
        <v>60.458967050604443</v>
      </c>
      <c r="N69" s="115">
        <v>13604.298431016297</v>
      </c>
      <c r="O69" s="115">
        <v>86.197953964050782</v>
      </c>
      <c r="P69" s="115">
        <v>41.965650385427189</v>
      </c>
      <c r="Q69" s="111">
        <v>86.197953964050797</v>
      </c>
      <c r="R69" s="68">
        <v>41.965650385427189</v>
      </c>
    </row>
    <row r="70" spans="1:18">
      <c r="A70" s="102" t="s">
        <v>417</v>
      </c>
      <c r="B70" s="102" t="s">
        <v>418</v>
      </c>
      <c r="D70" s="103" t="s">
        <v>176</v>
      </c>
      <c r="F70" s="107">
        <v>4.1067571707711537</v>
      </c>
      <c r="G70" s="107">
        <v>-2.861071512313464</v>
      </c>
      <c r="H70" s="107">
        <v>4.4042999999999992</v>
      </c>
      <c r="I70" s="107">
        <v>2.4343242038294881</v>
      </c>
      <c r="J70" s="107">
        <v>2.4366320533493182</v>
      </c>
      <c r="K70" s="115">
        <v>1</v>
      </c>
      <c r="L70" s="115">
        <v>9.6652288702066741E-2</v>
      </c>
      <c r="M70" s="115">
        <v>10.753629151509806</v>
      </c>
      <c r="N70" s="115">
        <v>2380.2720490568195</v>
      </c>
      <c r="O70" s="115">
        <v>25.506495995351457</v>
      </c>
      <c r="P70" s="115">
        <v>25.64239879796947</v>
      </c>
      <c r="Q70" s="111">
        <v>25.506495995351457</v>
      </c>
      <c r="R70" s="68">
        <v>25.64239879796947</v>
      </c>
    </row>
    <row r="71" spans="1:18">
      <c r="A71" s="102" t="s">
        <v>419</v>
      </c>
      <c r="B71" s="102" t="s">
        <v>420</v>
      </c>
      <c r="D71" s="103" t="s">
        <v>176</v>
      </c>
      <c r="F71" s="107">
        <v>1.6118771707711546</v>
      </c>
      <c r="G71" s="107">
        <v>-3.4359515123134639</v>
      </c>
      <c r="H71" s="107">
        <v>1.8846199999999995</v>
      </c>
      <c r="I71" s="107">
        <v>0.18637698883969758</v>
      </c>
      <c r="J71" s="107">
        <v>0.19434856537772985</v>
      </c>
      <c r="K71" s="115">
        <v>1</v>
      </c>
      <c r="L71" s="115">
        <v>0.77880026667190072</v>
      </c>
      <c r="M71" s="115">
        <v>1.0334164600989586</v>
      </c>
      <c r="N71" s="115">
        <v>59.557736232706588</v>
      </c>
      <c r="O71" s="115">
        <v>1.1931503441949538</v>
      </c>
      <c r="P71" s="115">
        <v>1.2152531274421186</v>
      </c>
      <c r="Q71" s="111">
        <v>1.1931503441949538</v>
      </c>
      <c r="R71" s="68">
        <v>1.2152531274421186</v>
      </c>
    </row>
    <row r="72" spans="1:18">
      <c r="A72" s="102" t="s">
        <v>421</v>
      </c>
      <c r="B72" s="102" t="s">
        <v>422</v>
      </c>
      <c r="D72" s="103" t="s">
        <v>176</v>
      </c>
      <c r="F72" s="107">
        <v>4.0363371707711542</v>
      </c>
      <c r="G72" s="107">
        <v>-2.3014915123134636</v>
      </c>
      <c r="H72" s="107">
        <v>4.3331799999999996</v>
      </c>
      <c r="I72" s="107">
        <v>2.3615102712517686</v>
      </c>
      <c r="J72" s="107">
        <v>2.3619447471320845</v>
      </c>
      <c r="K72" s="115">
        <v>1</v>
      </c>
      <c r="L72" s="115">
        <v>0.10386913869438734</v>
      </c>
      <c r="M72" s="115">
        <v>9.8294996099585532</v>
      </c>
      <c r="N72" s="115">
        <v>2171.7529164270863</v>
      </c>
      <c r="O72" s="115">
        <v>23.181454646200248</v>
      </c>
      <c r="P72" s="115">
        <v>23.204657387680133</v>
      </c>
      <c r="Q72" s="111">
        <v>23.181454646200248</v>
      </c>
      <c r="R72" s="68">
        <v>23.204657387680136</v>
      </c>
    </row>
    <row r="73" spans="1:18">
      <c r="A73" s="102" t="s">
        <v>423</v>
      </c>
      <c r="B73" s="102" t="s">
        <v>424</v>
      </c>
      <c r="D73" s="103" t="s">
        <v>176</v>
      </c>
      <c r="F73" s="107">
        <v>2.8693771707711551</v>
      </c>
      <c r="G73" s="107">
        <v>-3.2584515123134636</v>
      </c>
      <c r="H73" s="107">
        <v>3.15462</v>
      </c>
      <c r="I73" s="107">
        <v>1.1761373162410069</v>
      </c>
      <c r="J73" s="107">
        <v>1.1496938025909278</v>
      </c>
      <c r="K73" s="115">
        <v>1</v>
      </c>
      <c r="L73" s="115">
        <v>0.41599286986341344</v>
      </c>
      <c r="M73" s="115">
        <v>3.0076938758559284</v>
      </c>
      <c r="N73" s="115">
        <v>579.30984504370508</v>
      </c>
      <c r="O73" s="115">
        <v>6.0873493356508828</v>
      </c>
      <c r="P73" s="115">
        <v>5.7277586748013318</v>
      </c>
      <c r="Q73" s="111">
        <v>6.0873493356508828</v>
      </c>
      <c r="R73" s="68">
        <v>5.7277586748013318</v>
      </c>
    </row>
    <row r="74" spans="1:18">
      <c r="A74" s="102" t="s">
        <v>425</v>
      </c>
      <c r="B74" s="102" t="s">
        <v>426</v>
      </c>
      <c r="D74" s="103" t="s">
        <v>176</v>
      </c>
      <c r="F74" s="107">
        <v>4.0866371707711542</v>
      </c>
      <c r="G74" s="107">
        <v>-2.691191512313464</v>
      </c>
      <c r="H74" s="107">
        <v>4.3839799999999993</v>
      </c>
      <c r="I74" s="107">
        <v>2.4135145029575948</v>
      </c>
      <c r="J74" s="107">
        <v>2.4152868217468777</v>
      </c>
      <c r="K74" s="115">
        <v>1</v>
      </c>
      <c r="L74" s="115">
        <v>9.9066261112708331E-2</v>
      </c>
      <c r="M74" s="115">
        <v>10.523793722946508</v>
      </c>
      <c r="N74" s="115">
        <v>2328.2426420662173</v>
      </c>
      <c r="O74" s="115">
        <v>24.920843741774839</v>
      </c>
      <c r="P74" s="115">
        <v>25.022751379197608</v>
      </c>
      <c r="Q74" s="111">
        <v>24.920843741774839</v>
      </c>
      <c r="R74" s="68">
        <v>25.022751379197611</v>
      </c>
    </row>
    <row r="75" spans="1:18">
      <c r="A75" s="102" t="s">
        <v>427</v>
      </c>
      <c r="B75" s="102" t="s">
        <v>428</v>
      </c>
      <c r="D75" s="103" t="s">
        <v>306</v>
      </c>
      <c r="E75" s="107">
        <v>0</v>
      </c>
      <c r="F75" s="107">
        <v>2.3673118244762641</v>
      </c>
      <c r="G75" s="107">
        <v>-8.8505715296030374</v>
      </c>
      <c r="H75" s="107">
        <v>5.1823001556061383</v>
      </c>
      <c r="I75" s="107">
        <v>3.1399433622869712</v>
      </c>
      <c r="J75" s="107">
        <v>3.3040236209498035</v>
      </c>
      <c r="K75" s="115">
        <v>1</v>
      </c>
      <c r="L75" s="115">
        <v>4.2216659726833791E-2</v>
      </c>
      <c r="M75" s="115">
        <v>18.803419315052164</v>
      </c>
      <c r="N75" s="115">
        <v>5153.158577332646</v>
      </c>
      <c r="O75" s="115">
        <v>56.063580745288142</v>
      </c>
      <c r="P75" s="115">
        <v>81.801466784007971</v>
      </c>
      <c r="Q75" s="111">
        <v>56.063580745288142</v>
      </c>
      <c r="R75" s="68">
        <v>81.801466784007971</v>
      </c>
    </row>
    <row r="76" spans="1:18">
      <c r="A76" s="102" t="s">
        <v>429</v>
      </c>
      <c r="B76" s="102" t="s">
        <v>430</v>
      </c>
      <c r="D76" s="103" t="s">
        <v>306</v>
      </c>
      <c r="E76" s="107">
        <v>0</v>
      </c>
      <c r="F76" s="107">
        <v>2.3673118244762641</v>
      </c>
      <c r="G76" s="107">
        <v>-10.450571529603037</v>
      </c>
      <c r="H76" s="107">
        <v>5.1823001556061383</v>
      </c>
      <c r="I76" s="107">
        <v>3.1399433622869712</v>
      </c>
      <c r="J76" s="107">
        <v>3.3040236209498035</v>
      </c>
      <c r="K76" s="115">
        <v>1</v>
      </c>
      <c r="L76" s="115">
        <v>4.2216659939081982E-2</v>
      </c>
      <c r="M76" s="115">
        <v>18.803419409588109</v>
      </c>
      <c r="N76" s="115">
        <v>5153.1586032406312</v>
      </c>
      <c r="O76" s="115">
        <v>56.06358102715302</v>
      </c>
      <c r="P76" s="115">
        <v>81.80146719527248</v>
      </c>
      <c r="Q76" s="111">
        <v>56.063581027153027</v>
      </c>
      <c r="R76" s="68">
        <v>81.80146719527248</v>
      </c>
    </row>
    <row r="77" spans="1:18">
      <c r="A77" s="102" t="s">
        <v>431</v>
      </c>
      <c r="B77" s="102" t="s">
        <v>432</v>
      </c>
      <c r="D77" s="103" t="s">
        <v>176</v>
      </c>
      <c r="F77" s="107">
        <v>3.4327371707711545</v>
      </c>
      <c r="G77" s="107">
        <v>-2.5850915123134635</v>
      </c>
      <c r="H77" s="107">
        <v>3.7235799999999992</v>
      </c>
      <c r="I77" s="107">
        <v>1.7409671668297186</v>
      </c>
      <c r="J77" s="107">
        <v>1.7258110469394796</v>
      </c>
      <c r="K77" s="115">
        <v>1</v>
      </c>
      <c r="L77" s="115">
        <v>0.23013328272790476</v>
      </c>
      <c r="M77" s="115">
        <v>5.5370660613176286</v>
      </c>
      <c r="N77" s="115">
        <v>1183.6574161068258</v>
      </c>
      <c r="O77" s="115">
        <v>12.320070422915849</v>
      </c>
      <c r="P77" s="115">
        <v>11.897537173734721</v>
      </c>
      <c r="Q77" s="111">
        <v>12.320070422915851</v>
      </c>
      <c r="R77" s="68">
        <v>11.897537173734721</v>
      </c>
    </row>
    <row r="78" spans="1:18">
      <c r="A78" s="102" t="s">
        <v>433</v>
      </c>
      <c r="B78" s="102" t="s">
        <v>434</v>
      </c>
      <c r="D78" s="103" t="s">
        <v>176</v>
      </c>
      <c r="F78" s="107">
        <v>2.2154771707711545</v>
      </c>
      <c r="G78" s="107">
        <v>-3.1523515123134636</v>
      </c>
      <c r="H78" s="107">
        <v>2.4942199999999999</v>
      </c>
      <c r="I78" s="107">
        <v>0.58170051575688697</v>
      </c>
      <c r="J78" s="107">
        <v>0.55833852713061605</v>
      </c>
      <c r="K78" s="115">
        <v>1</v>
      </c>
      <c r="L78" s="115">
        <v>0.62086294649629492</v>
      </c>
      <c r="M78" s="115">
        <v>1.4639514450448075</v>
      </c>
      <c r="N78" s="115">
        <v>190.94574456037128</v>
      </c>
      <c r="O78" s="115">
        <v>2.3355571559002435</v>
      </c>
      <c r="P78" s="115">
        <v>2.2132400029033756</v>
      </c>
      <c r="Q78" s="111">
        <v>2.3355571559002435</v>
      </c>
      <c r="R78" s="68">
        <v>2.2132400029033756</v>
      </c>
    </row>
    <row r="79" spans="1:18">
      <c r="A79" s="102" t="s">
        <v>435</v>
      </c>
      <c r="B79" s="102" t="s">
        <v>436</v>
      </c>
      <c r="D79" s="103" t="s">
        <v>176</v>
      </c>
      <c r="F79" s="107">
        <v>2.6078171707711544</v>
      </c>
      <c r="G79" s="107">
        <v>-3.6300115123134638</v>
      </c>
      <c r="H79" s="107">
        <v>2.89046</v>
      </c>
      <c r="I79" s="107">
        <v>0.92595590473241618</v>
      </c>
      <c r="J79" s="107">
        <v>0.89751430688809108</v>
      </c>
      <c r="K79" s="115">
        <v>1</v>
      </c>
      <c r="L79" s="115">
        <v>0.51093250971228776</v>
      </c>
      <c r="M79" s="115">
        <v>2.2432651139110948</v>
      </c>
      <c r="N79" s="115">
        <v>388.53909122931395</v>
      </c>
      <c r="O79" s="115">
        <v>4.2162914602260679</v>
      </c>
      <c r="P79" s="115">
        <v>3.9490172147550728</v>
      </c>
      <c r="Q79" s="111">
        <v>4.2162914602260688</v>
      </c>
      <c r="R79" s="68">
        <v>3.9490172147550728</v>
      </c>
    </row>
    <row r="80" spans="1:18">
      <c r="A80" s="102" t="s">
        <v>437</v>
      </c>
      <c r="B80" s="102" t="s">
        <v>438</v>
      </c>
      <c r="D80" s="103" t="s">
        <v>306</v>
      </c>
      <c r="E80" s="107">
        <v>0</v>
      </c>
      <c r="F80" s="107">
        <v>2.8200118244762642</v>
      </c>
      <c r="G80" s="107">
        <v>-9.1278715296030377</v>
      </c>
      <c r="H80" s="107">
        <v>5.6395001556061386</v>
      </c>
      <c r="I80" s="107">
        <v>3.3986523908397195</v>
      </c>
      <c r="J80" s="107">
        <v>3.4972063592645037</v>
      </c>
      <c r="K80" s="115">
        <v>1</v>
      </c>
      <c r="L80" s="115">
        <v>2.8254632867507738E-2</v>
      </c>
      <c r="M80" s="115">
        <v>36.008902898912517</v>
      </c>
      <c r="N80" s="115">
        <v>9882.1448219465274</v>
      </c>
      <c r="O80" s="115">
        <v>68.071852244822992</v>
      </c>
      <c r="P80" s="115">
        <v>85.412520192911344</v>
      </c>
      <c r="Q80" s="111">
        <v>68.071852244822992</v>
      </c>
      <c r="R80" s="68">
        <v>85.412520192911344</v>
      </c>
    </row>
    <row r="81" spans="1:18">
      <c r="A81" s="102" t="s">
        <v>440</v>
      </c>
      <c r="B81" s="102" t="s">
        <v>441</v>
      </c>
      <c r="D81" s="103" t="s">
        <v>176</v>
      </c>
      <c r="F81" s="107">
        <v>-1.7842829228845294E-2</v>
      </c>
      <c r="G81" s="107">
        <v>-14.675671512313464</v>
      </c>
      <c r="H81" s="107">
        <v>0.23869999999999994</v>
      </c>
      <c r="I81" s="107">
        <v>-7.7972967140011798E-2</v>
      </c>
      <c r="J81" s="107">
        <v>-1.5344243011128968E-2</v>
      </c>
      <c r="K81" s="115">
        <v>1</v>
      </c>
      <c r="L81" s="115">
        <v>0.96370001967316588</v>
      </c>
      <c r="M81" s="115">
        <v>0.9613258522510042</v>
      </c>
      <c r="N81" s="115">
        <v>1.6806691001910812</v>
      </c>
      <c r="O81" s="115">
        <v>0.81060494414459516</v>
      </c>
      <c r="P81" s="115">
        <v>0.93634947742851116</v>
      </c>
      <c r="Q81" s="111">
        <v>0.81060494414459527</v>
      </c>
      <c r="R81" s="68">
        <v>0.93634947742851116</v>
      </c>
    </row>
    <row r="82" spans="1:18">
      <c r="A82" s="102" t="s">
        <v>442</v>
      </c>
      <c r="B82" s="102" t="s">
        <v>443</v>
      </c>
      <c r="D82" s="103" t="s">
        <v>176</v>
      </c>
      <c r="F82" s="107">
        <v>1.7527171707711544</v>
      </c>
      <c r="G82" s="107">
        <v>-5.8951115123134636</v>
      </c>
      <c r="H82" s="107">
        <v>2.0268600000000001</v>
      </c>
      <c r="I82" s="107">
        <v>0.25997889291375675</v>
      </c>
      <c r="J82" s="107">
        <v>0.2587938554837696</v>
      </c>
      <c r="K82" s="115">
        <v>1</v>
      </c>
      <c r="L82" s="115">
        <v>0.76912672093223255</v>
      </c>
      <c r="M82" s="115">
        <v>1.1208103931689364</v>
      </c>
      <c r="N82" s="115">
        <v>81.411131354736938</v>
      </c>
      <c r="O82" s="115">
        <v>1.3925239810060144</v>
      </c>
      <c r="P82" s="115">
        <v>1.3887294504387251</v>
      </c>
      <c r="Q82" s="111">
        <v>1.3925239810060146</v>
      </c>
      <c r="R82" s="68">
        <v>1.3887294504387251</v>
      </c>
    </row>
    <row r="83" spans="1:18">
      <c r="A83" s="102" t="s">
        <v>444</v>
      </c>
      <c r="B83" s="102" t="s">
        <v>445</v>
      </c>
      <c r="D83" s="103" t="s">
        <v>176</v>
      </c>
      <c r="F83" s="107">
        <v>3.3220771707711547</v>
      </c>
      <c r="G83" s="107">
        <v>-4.3557515123134634</v>
      </c>
      <c r="H83" s="107">
        <v>3.6118199999999989</v>
      </c>
      <c r="I83" s="107">
        <v>1.6283679201447347</v>
      </c>
      <c r="J83" s="107">
        <v>1.6105797570240485</v>
      </c>
      <c r="K83" s="115">
        <v>1</v>
      </c>
      <c r="L83" s="115">
        <v>0.27477030634183475</v>
      </c>
      <c r="M83" s="115">
        <v>5.1752116669996777</v>
      </c>
      <c r="N83" s="115">
        <v>1093.0569163853802</v>
      </c>
      <c r="O83" s="115">
        <v>11.355093032646725</v>
      </c>
      <c r="P83" s="115">
        <v>10.899398556284412</v>
      </c>
      <c r="Q83" s="111">
        <v>11.355093032646725</v>
      </c>
      <c r="R83" s="68">
        <v>10.899398556284414</v>
      </c>
    </row>
    <row r="84" spans="1:18">
      <c r="A84" s="102" t="s">
        <v>446</v>
      </c>
      <c r="B84" s="102" t="s">
        <v>447</v>
      </c>
      <c r="D84" s="103" t="s">
        <v>176</v>
      </c>
      <c r="F84" s="107">
        <v>0.60084717077115468</v>
      </c>
      <c r="G84" s="107">
        <v>-16.171981512313462</v>
      </c>
      <c r="H84" s="107">
        <v>0.86353999999999997</v>
      </c>
      <c r="I84" s="107">
        <v>-5.2645620646465392E-2</v>
      </c>
      <c r="J84" s="107">
        <v>2.5055349015053723E-3</v>
      </c>
      <c r="K84" s="115">
        <v>1</v>
      </c>
      <c r="L84" s="115">
        <v>0.93105729967596995</v>
      </c>
      <c r="M84" s="115">
        <v>0.9516556749200944</v>
      </c>
      <c r="N84" s="115">
        <v>6.8387092308017321</v>
      </c>
      <c r="O84" s="115">
        <v>0.82944676582098198</v>
      </c>
      <c r="P84" s="115">
        <v>0.94175877093497451</v>
      </c>
      <c r="Q84" s="111">
        <v>0.82944676582098198</v>
      </c>
      <c r="R84" s="68">
        <v>0.94175877093497451</v>
      </c>
    </row>
    <row r="85" spans="1:18">
      <c r="A85" s="102" t="s">
        <v>448</v>
      </c>
      <c r="B85" s="102" t="s">
        <v>449</v>
      </c>
      <c r="D85" s="103" t="s">
        <v>176</v>
      </c>
      <c r="F85" s="107">
        <v>-0.70695282922884517</v>
      </c>
      <c r="G85" s="107">
        <v>-9.3497815123134629</v>
      </c>
      <c r="H85" s="107">
        <v>-0.45726</v>
      </c>
      <c r="I85" s="107">
        <v>-8.4344314294292302E-2</v>
      </c>
      <c r="J85" s="107">
        <v>-1.9597345554307446E-2</v>
      </c>
      <c r="K85" s="115">
        <v>1</v>
      </c>
      <c r="L85" s="115">
        <v>0.98030992020395802</v>
      </c>
      <c r="M85" s="115">
        <v>0.97189015639706133</v>
      </c>
      <c r="N85" s="115">
        <v>0.34438305277702502</v>
      </c>
      <c r="O85" s="115">
        <v>0.81275089649944143</v>
      </c>
      <c r="P85" s="115">
        <v>0.94341858178092208</v>
      </c>
      <c r="Q85" s="111">
        <v>0.81275089649944143</v>
      </c>
      <c r="R85" s="68">
        <v>0.94341858178092208</v>
      </c>
    </row>
    <row r="86" spans="1:18">
      <c r="A86" s="102" t="s">
        <v>450</v>
      </c>
      <c r="B86" s="102" t="s">
        <v>451</v>
      </c>
      <c r="D86" s="103" t="s">
        <v>176</v>
      </c>
      <c r="F86" s="107">
        <v>0.58072717077115465</v>
      </c>
      <c r="G86" s="107">
        <v>-9.772101512313462</v>
      </c>
      <c r="H86" s="107">
        <v>0.84321999999999997</v>
      </c>
      <c r="I86" s="107">
        <v>-5.4135971776070352E-2</v>
      </c>
      <c r="J86" s="107">
        <v>1.4303878974166037E-3</v>
      </c>
      <c r="K86" s="115">
        <v>1</v>
      </c>
      <c r="L86" s="115">
        <v>0.93252661401243175</v>
      </c>
      <c r="M86" s="115">
        <v>0.9517849547902002</v>
      </c>
      <c r="N86" s="115">
        <v>6.5367423299347545</v>
      </c>
      <c r="O86" s="115">
        <v>0.82795244730192319</v>
      </c>
      <c r="P86" s="115">
        <v>0.94096128223364794</v>
      </c>
      <c r="Q86" s="111">
        <v>0.82795244730192319</v>
      </c>
      <c r="R86" s="68">
        <v>0.94096128223364794</v>
      </c>
    </row>
    <row r="87" spans="1:18">
      <c r="A87" s="102" t="s">
        <v>452</v>
      </c>
      <c r="B87" s="102" t="s">
        <v>453</v>
      </c>
      <c r="D87" s="103" t="s">
        <v>176</v>
      </c>
      <c r="F87" s="107">
        <v>6.5412771707711537</v>
      </c>
      <c r="G87" s="107">
        <v>-5.9865515123134632</v>
      </c>
      <c r="H87" s="107">
        <v>6.8630199999999997</v>
      </c>
      <c r="I87" s="107">
        <v>4.6391319103974498</v>
      </c>
      <c r="J87" s="107">
        <v>4.2592918731342024</v>
      </c>
      <c r="K87" s="115">
        <v>1</v>
      </c>
      <c r="L87" s="115">
        <v>2.8215444975029295E-3</v>
      </c>
      <c r="M87" s="115">
        <v>88.526426109837374</v>
      </c>
      <c r="N87" s="115">
        <v>19967.086966239076</v>
      </c>
      <c r="O87" s="115">
        <v>119.24127740829604</v>
      </c>
      <c r="P87" s="115">
        <v>49.72635002250999</v>
      </c>
      <c r="Q87" s="111">
        <v>119.24127740829604</v>
      </c>
      <c r="R87" s="68">
        <v>49.726350022509997</v>
      </c>
    </row>
    <row r="88" spans="1:18">
      <c r="A88" s="102" t="s">
        <v>454</v>
      </c>
      <c r="B88" s="102" t="s">
        <v>455</v>
      </c>
      <c r="D88" s="103" t="s">
        <v>176</v>
      </c>
      <c r="F88" s="107">
        <v>2.0746371707711551</v>
      </c>
      <c r="G88" s="107">
        <v>-6.1331915123134637</v>
      </c>
      <c r="H88" s="107">
        <v>2.3519799999999997</v>
      </c>
      <c r="I88" s="107">
        <v>0.47204291197982046</v>
      </c>
      <c r="J88" s="107">
        <v>0.45363558687719796</v>
      </c>
      <c r="K88" s="115">
        <v>1</v>
      </c>
      <c r="L88" s="115">
        <v>0.68730942052135091</v>
      </c>
      <c r="M88" s="115">
        <v>1.3584551236690243</v>
      </c>
      <c r="N88" s="115">
        <v>152.79677498845683</v>
      </c>
      <c r="O88" s="115">
        <v>2.014545588896671</v>
      </c>
      <c r="P88" s="115">
        <v>1.9309444265071789</v>
      </c>
      <c r="Q88" s="111">
        <v>2.014545588896671</v>
      </c>
      <c r="R88" s="68">
        <v>1.9309444265071789</v>
      </c>
    </row>
    <row r="89" spans="1:18">
      <c r="A89" s="102" t="s">
        <v>456</v>
      </c>
      <c r="B89" s="102" t="s">
        <v>457</v>
      </c>
      <c r="D89" s="103" t="s">
        <v>176</v>
      </c>
      <c r="F89" s="107">
        <v>1.8130771707711544</v>
      </c>
      <c r="G89" s="107">
        <v>-18.364751512313465</v>
      </c>
      <c r="H89" s="107">
        <v>2.0878200000000002</v>
      </c>
      <c r="I89" s="107">
        <v>0.29521463966104228</v>
      </c>
      <c r="J89" s="107">
        <v>0.29030408360380838</v>
      </c>
      <c r="K89" s="115">
        <v>1</v>
      </c>
      <c r="L89" s="115">
        <v>0.75524395437746805</v>
      </c>
      <c r="M89" s="115">
        <v>1.1536598785836714</v>
      </c>
      <c r="N89" s="115">
        <v>91.882797357493089</v>
      </c>
      <c r="O89" s="115">
        <v>1.4812516543942509</v>
      </c>
      <c r="P89" s="115">
        <v>1.4645975130685207</v>
      </c>
      <c r="Q89" s="111">
        <v>1.4812516543942509</v>
      </c>
      <c r="R89" s="68">
        <v>1.4645975130685207</v>
      </c>
    </row>
    <row r="90" spans="1:18">
      <c r="A90" s="102" t="s">
        <v>458</v>
      </c>
      <c r="B90" s="102" t="s">
        <v>459</v>
      </c>
      <c r="D90" s="103" t="s">
        <v>176</v>
      </c>
      <c r="F90" s="107">
        <v>1.1491171707711545</v>
      </c>
      <c r="G90" s="107">
        <v>-30.268711512313462</v>
      </c>
      <c r="H90" s="107">
        <v>1.41726</v>
      </c>
      <c r="I90" s="107">
        <v>2.5113799753956154E-2</v>
      </c>
      <c r="J90" s="107">
        <v>6.1248705413908158E-2</v>
      </c>
      <c r="K90" s="115">
        <v>1</v>
      </c>
      <c r="L90" s="115">
        <v>0.87580229670125165</v>
      </c>
      <c r="M90" s="115">
        <v>0.96778030496697032</v>
      </c>
      <c r="N90" s="115">
        <v>22.95927214691913</v>
      </c>
      <c r="O90" s="115">
        <v>0.93070471853657544</v>
      </c>
      <c r="P90" s="115">
        <v>1.0114555956791955</v>
      </c>
      <c r="Q90" s="111">
        <v>0.93070471853657555</v>
      </c>
      <c r="R90" s="68">
        <v>1.0114555956791957</v>
      </c>
    </row>
    <row r="91" spans="1:18">
      <c r="A91" s="102" t="s">
        <v>460</v>
      </c>
      <c r="B91" s="102" t="s">
        <v>461</v>
      </c>
      <c r="D91" s="103" t="s">
        <v>176</v>
      </c>
      <c r="F91" s="107">
        <v>5.4246171707711541</v>
      </c>
      <c r="G91" s="107">
        <v>-6.7832115123134633</v>
      </c>
      <c r="H91" s="107">
        <v>5.7352599999999994</v>
      </c>
      <c r="I91" s="107">
        <v>3.5877531235180431</v>
      </c>
      <c r="J91" s="107">
        <v>3.3824103498024978</v>
      </c>
      <c r="K91" s="115">
        <v>1</v>
      </c>
      <c r="L91" s="115">
        <v>1.5974990460726254E-2</v>
      </c>
      <c r="M91" s="115">
        <v>37.542601928528164</v>
      </c>
      <c r="N91" s="115">
        <v>8425.4023679974234</v>
      </c>
      <c r="O91" s="115">
        <v>59.990678511033884</v>
      </c>
      <c r="P91" s="115">
        <v>37.388754683332429</v>
      </c>
      <c r="Q91" s="111">
        <v>59.990678511033884</v>
      </c>
      <c r="R91" s="68">
        <v>37.388754683332436</v>
      </c>
    </row>
    <row r="92" spans="1:18">
      <c r="A92" s="102" t="s">
        <v>462</v>
      </c>
      <c r="B92" s="102" t="s">
        <v>463</v>
      </c>
      <c r="D92" s="103" t="s">
        <v>176</v>
      </c>
      <c r="F92" s="107">
        <v>3.1309371707711549</v>
      </c>
      <c r="G92" s="107">
        <v>-9.556891512313463</v>
      </c>
      <c r="H92" s="107">
        <v>3.4187799999999995</v>
      </c>
      <c r="I92" s="107">
        <v>1.4354157319734149</v>
      </c>
      <c r="J92" s="107">
        <v>1.4134498053298963</v>
      </c>
      <c r="K92" s="115">
        <v>1</v>
      </c>
      <c r="L92" s="115">
        <v>0.3353307561792509</v>
      </c>
      <c r="M92" s="115">
        <v>4.1718470850537859</v>
      </c>
      <c r="N92" s="115">
        <v>856.13534085721858</v>
      </c>
      <c r="O92" s="115">
        <v>8.8956596195639985</v>
      </c>
      <c r="P92" s="115">
        <v>8.4569201539806613</v>
      </c>
      <c r="Q92" s="111">
        <v>8.8956596195640003</v>
      </c>
      <c r="R92" s="68">
        <v>8.4569201539806613</v>
      </c>
    </row>
    <row r="93" spans="1:18">
      <c r="A93" s="102" t="s">
        <v>464</v>
      </c>
      <c r="B93" s="102" t="s">
        <v>465</v>
      </c>
      <c r="D93" s="103" t="s">
        <v>176</v>
      </c>
      <c r="F93" s="107">
        <v>3.9156171707711542</v>
      </c>
      <c r="G93" s="107">
        <v>-4.2522115123134636</v>
      </c>
      <c r="H93" s="107">
        <v>4.2112599999999993</v>
      </c>
      <c r="I93" s="107">
        <v>2.2368304962501209</v>
      </c>
      <c r="J93" s="107">
        <v>2.2340635740461319</v>
      </c>
      <c r="K93" s="115">
        <v>1</v>
      </c>
      <c r="L93" s="115">
        <v>0.12975582677942243</v>
      </c>
      <c r="M93" s="115">
        <v>9.3100629844634</v>
      </c>
      <c r="N93" s="115">
        <v>2049.2336459772055</v>
      </c>
      <c r="O93" s="115">
        <v>21.735116588301359</v>
      </c>
      <c r="P93" s="115">
        <v>21.597080741221166</v>
      </c>
      <c r="Q93" s="111">
        <v>21.735116588301359</v>
      </c>
      <c r="R93" s="68">
        <v>21.59708074122117</v>
      </c>
    </row>
    <row r="94" spans="1:18">
      <c r="A94" s="102" t="s">
        <v>466</v>
      </c>
      <c r="B94" s="102" t="s">
        <v>467</v>
      </c>
      <c r="D94" s="103" t="s">
        <v>306</v>
      </c>
      <c r="E94" s="107">
        <v>3.62</v>
      </c>
      <c r="F94" s="107">
        <v>-1.3931198900703679</v>
      </c>
      <c r="G94" s="107">
        <v>-19.644163581277006</v>
      </c>
      <c r="H94" s="107">
        <v>1.2002280830603111</v>
      </c>
      <c r="I94" s="107">
        <v>0.14266039670259134</v>
      </c>
      <c r="J94" s="107">
        <v>0.2860101656290327</v>
      </c>
      <c r="K94" s="115">
        <v>1</v>
      </c>
      <c r="L94" s="115">
        <v>0.98256298240400708</v>
      </c>
      <c r="M94" s="115">
        <v>1.018148164785621</v>
      </c>
      <c r="N94" s="115">
        <v>13.056551183469855</v>
      </c>
      <c r="O94" s="115">
        <v>1.3711390081479244</v>
      </c>
      <c r="P94" s="115">
        <v>1.9073537844193897</v>
      </c>
      <c r="Q94" s="111">
        <v>1.3711390081479244</v>
      </c>
      <c r="R94" s="68">
        <v>1.9073537844193897</v>
      </c>
    </row>
    <row r="95" spans="1:18">
      <c r="A95" s="102" t="s">
        <v>468</v>
      </c>
      <c r="B95" s="102" t="s">
        <v>469</v>
      </c>
      <c r="D95" s="103" t="s">
        <v>176</v>
      </c>
      <c r="F95" s="107">
        <v>4.7606571707711538</v>
      </c>
      <c r="G95" s="107">
        <v>-17.547171512313462</v>
      </c>
      <c r="H95" s="107">
        <v>5.0646999999999993</v>
      </c>
      <c r="I95" s="107">
        <v>3.034953284755399</v>
      </c>
      <c r="J95" s="107">
        <v>2.9875747277081421</v>
      </c>
      <c r="K95" s="115">
        <v>1</v>
      </c>
      <c r="L95" s="115">
        <v>3.7744113364745299E-2</v>
      </c>
      <c r="M95" s="115">
        <v>19.024192255853478</v>
      </c>
      <c r="N95" s="115">
        <v>4251.1787064171003</v>
      </c>
      <c r="O95" s="115">
        <v>39.697453302210938</v>
      </c>
      <c r="P95" s="115">
        <v>35.59459775514491</v>
      </c>
      <c r="Q95" s="111">
        <v>39.697453302210938</v>
      </c>
      <c r="R95" s="68">
        <v>35.59459775514491</v>
      </c>
    </row>
    <row r="96" spans="1:18">
      <c r="A96" s="102" t="s">
        <v>470</v>
      </c>
      <c r="B96" s="166">
        <v>354656</v>
      </c>
      <c r="D96" s="103" t="s">
        <v>176</v>
      </c>
      <c r="F96" s="107">
        <v>1.2337170771154734E-2</v>
      </c>
      <c r="G96" s="107">
        <v>-11.375491512313465</v>
      </c>
      <c r="H96" s="107">
        <v>0.26918000000000003</v>
      </c>
      <c r="I96" s="107">
        <v>-7.7391929118608094E-2</v>
      </c>
      <c r="J96" s="107">
        <v>-1.4948200712105831E-2</v>
      </c>
      <c r="K96" s="115">
        <v>1</v>
      </c>
      <c r="L96" s="115">
        <v>0.96260112216855209</v>
      </c>
      <c r="M96" s="115">
        <v>0.96076574696283001</v>
      </c>
      <c r="N96" s="115">
        <v>1.8007683451233465</v>
      </c>
      <c r="O96" s="115">
        <v>0.81074806099791286</v>
      </c>
      <c r="P96" s="115">
        <v>0.93611595443589846</v>
      </c>
      <c r="Q96" s="111">
        <v>0.81074806099791286</v>
      </c>
      <c r="R96" s="68">
        <v>0.93611595443589846</v>
      </c>
    </row>
    <row r="97" spans="1:18">
      <c r="A97" s="102" t="s">
        <v>472</v>
      </c>
      <c r="B97" s="102" t="s">
        <v>473</v>
      </c>
      <c r="D97" s="103" t="s">
        <v>176</v>
      </c>
      <c r="F97" s="107">
        <v>0.61090717077115464</v>
      </c>
      <c r="G97" s="107">
        <v>-11.171921512313462</v>
      </c>
      <c r="H97" s="107">
        <v>0.8736999999999997</v>
      </c>
      <c r="I97" s="107">
        <v>-5.1875414162617046E-2</v>
      </c>
      <c r="J97" s="107">
        <v>3.062134244767074E-3</v>
      </c>
      <c r="K97" s="115">
        <v>1</v>
      </c>
      <c r="L97" s="115">
        <v>0.93031008301464113</v>
      </c>
      <c r="M97" s="115">
        <v>0.95160091910976841</v>
      </c>
      <c r="N97" s="115">
        <v>6.9947771585675174</v>
      </c>
      <c r="O97" s="115">
        <v>0.83023008918085306</v>
      </c>
      <c r="P97" s="115">
        <v>0.9421846347243984</v>
      </c>
      <c r="Q97" s="111">
        <v>0.83023008918085306</v>
      </c>
      <c r="R97" s="68">
        <v>0.9421846347243984</v>
      </c>
    </row>
    <row r="98" spans="1:18">
      <c r="A98" s="102" t="s">
        <v>474</v>
      </c>
      <c r="B98" s="102" t="s">
        <v>475</v>
      </c>
      <c r="D98" s="103" t="s">
        <v>176</v>
      </c>
      <c r="F98" s="107">
        <v>4.2576571707711537</v>
      </c>
      <c r="G98" s="107">
        <v>-19.550171512313462</v>
      </c>
      <c r="H98" s="107">
        <v>4.5566999999999993</v>
      </c>
      <c r="I98" s="107">
        <v>2.5905266097533266</v>
      </c>
      <c r="J98" s="107">
        <v>2.5968537958221054</v>
      </c>
      <c r="K98" s="115">
        <v>1</v>
      </c>
      <c r="L98" s="115">
        <v>7.7127553730938686E-2</v>
      </c>
      <c r="M98" s="115">
        <v>12.148355513653819</v>
      </c>
      <c r="N98" s="115">
        <v>2697.5686532484228</v>
      </c>
      <c r="O98" s="115">
        <v>29.160778633102272</v>
      </c>
      <c r="P98" s="115">
        <v>29.588728450032498</v>
      </c>
      <c r="Q98" s="111">
        <v>29.160778633102272</v>
      </c>
      <c r="R98" s="68">
        <v>29.588728450032498</v>
      </c>
    </row>
    <row r="99" spans="1:18">
      <c r="A99" s="102" t="s">
        <v>476</v>
      </c>
      <c r="B99" s="102" t="s">
        <v>477</v>
      </c>
      <c r="D99" s="103" t="s">
        <v>176</v>
      </c>
      <c r="F99" s="107">
        <v>-0.9936628292288453</v>
      </c>
      <c r="G99" s="107">
        <v>-8.7114915123134633</v>
      </c>
      <c r="H99" s="107">
        <v>-0.74682000000000004</v>
      </c>
      <c r="I99" s="107">
        <v>-8.5117823283517982E-2</v>
      </c>
      <c r="J99" s="107">
        <v>-2.0093075144075035E-2</v>
      </c>
      <c r="K99" s="115">
        <v>1</v>
      </c>
      <c r="L99" s="115">
        <v>0.98396939846557507</v>
      </c>
      <c r="M99" s="115">
        <v>0.97477659657868299</v>
      </c>
      <c r="N99" s="115">
        <v>0.17746474129574127</v>
      </c>
      <c r="O99" s="115">
        <v>0.8143559184615653</v>
      </c>
      <c r="P99" s="115">
        <v>0.94588645218696288</v>
      </c>
      <c r="Q99" s="111">
        <v>0.8143559184615653</v>
      </c>
      <c r="R99" s="68">
        <v>0.94588645218696288</v>
      </c>
    </row>
    <row r="100" spans="1:18">
      <c r="A100" s="102" t="s">
        <v>478</v>
      </c>
      <c r="B100" s="102" t="s">
        <v>479</v>
      </c>
      <c r="D100" s="103" t="s">
        <v>176</v>
      </c>
      <c r="F100" s="107">
        <v>2.5172771707711545</v>
      </c>
      <c r="G100" s="107">
        <v>-11.860551512313464</v>
      </c>
      <c r="H100" s="107">
        <v>2.7990199999999996</v>
      </c>
      <c r="I100" s="107">
        <v>0.84250441567747714</v>
      </c>
      <c r="J100" s="107">
        <v>0.81422587091577481</v>
      </c>
      <c r="K100" s="115">
        <v>1</v>
      </c>
      <c r="L100" s="115">
        <v>0.54764876851690569</v>
      </c>
      <c r="M100" s="115">
        <v>2.0515052359939907</v>
      </c>
      <c r="N100" s="115">
        <v>337.86905701609146</v>
      </c>
      <c r="O100" s="115">
        <v>3.7345031954554644</v>
      </c>
      <c r="P100" s="115">
        <v>3.4990833733016609</v>
      </c>
      <c r="Q100" s="111">
        <v>3.7345031954554644</v>
      </c>
      <c r="R100" s="68">
        <v>3.4990833733016613</v>
      </c>
    </row>
    <row r="101" spans="1:18">
      <c r="A101" s="102" t="s">
        <v>480</v>
      </c>
      <c r="B101" s="102" t="s">
        <v>481</v>
      </c>
      <c r="D101" s="103" t="s">
        <v>176</v>
      </c>
      <c r="F101" s="107">
        <v>-0.59126282922884521</v>
      </c>
      <c r="G101" s="107">
        <v>-12.279091512313462</v>
      </c>
      <c r="H101" s="107">
        <v>-0.34041999999999994</v>
      </c>
      <c r="I101" s="107">
        <v>-8.3851340892650061E-2</v>
      </c>
      <c r="J101" s="107">
        <v>-1.9277220972529558E-2</v>
      </c>
      <c r="K101" s="115">
        <v>1</v>
      </c>
      <c r="L101" s="115">
        <v>0.97841505507298454</v>
      </c>
      <c r="M101" s="115">
        <v>0.97047894397019174</v>
      </c>
      <c r="N101" s="115">
        <v>0.44981488773993777</v>
      </c>
      <c r="O101" s="115">
        <v>0.81208686199808577</v>
      </c>
      <c r="P101" s="115">
        <v>0.94227269070717645</v>
      </c>
      <c r="Q101" s="111">
        <v>0.81208686199808577</v>
      </c>
      <c r="R101" s="68">
        <v>0.94227269070717645</v>
      </c>
    </row>
    <row r="102" spans="1:18">
      <c r="A102" s="102" t="s">
        <v>482</v>
      </c>
      <c r="B102" s="102" t="s">
        <v>483</v>
      </c>
      <c r="D102" s="103" t="s">
        <v>176</v>
      </c>
      <c r="F102" s="107">
        <v>-1.6576228292288453</v>
      </c>
      <c r="G102" s="107">
        <v>-28.48545151231346</v>
      </c>
      <c r="H102" s="107">
        <v>-1.4173799999999999</v>
      </c>
      <c r="I102" s="107">
        <v>-8.575271022195663E-2</v>
      </c>
      <c r="J102" s="107">
        <v>-2.048876223092955E-2</v>
      </c>
      <c r="K102" s="115">
        <v>1</v>
      </c>
      <c r="L102" s="115">
        <v>0.98870983280944991</v>
      </c>
      <c r="M102" s="115">
        <v>0.97885321185851581</v>
      </c>
      <c r="N102" s="115">
        <v>3.8075832477584441E-2</v>
      </c>
      <c r="O102" s="115">
        <v>0.81710279707736544</v>
      </c>
      <c r="P102" s="115">
        <v>0.94959986707474986</v>
      </c>
      <c r="Q102" s="111">
        <v>0.81710279707736544</v>
      </c>
      <c r="R102" s="68">
        <v>0.94959986707474986</v>
      </c>
    </row>
    <row r="103" spans="1:18">
      <c r="A103" s="102" t="s">
        <v>484</v>
      </c>
      <c r="B103" s="102" t="s">
        <v>485</v>
      </c>
      <c r="D103" s="103" t="s">
        <v>176</v>
      </c>
      <c r="F103" s="107">
        <v>-1.0188128292288452</v>
      </c>
      <c r="G103" s="107">
        <v>-14.581641512313464</v>
      </c>
      <c r="H103" s="107">
        <v>-0.77222000000000002</v>
      </c>
      <c r="I103" s="107">
        <v>-8.5163974954877333E-2</v>
      </c>
      <c r="J103" s="107">
        <v>-2.0122302778720215E-2</v>
      </c>
      <c r="K103" s="115">
        <v>1</v>
      </c>
      <c r="L103" s="115">
        <v>0.98423158074326123</v>
      </c>
      <c r="M103" s="115">
        <v>0.97499183418231561</v>
      </c>
      <c r="N103" s="115">
        <v>0.16742816248219192</v>
      </c>
      <c r="O103" s="115">
        <v>0.81448771079021876</v>
      </c>
      <c r="P103" s="115">
        <v>0.94607639789288189</v>
      </c>
      <c r="Q103" s="111">
        <v>0.81448771079021876</v>
      </c>
      <c r="R103" s="68">
        <v>0.946076397892882</v>
      </c>
    </row>
    <row r="104" spans="1:18">
      <c r="A104" s="102" t="s">
        <v>486</v>
      </c>
      <c r="B104" s="102" t="s">
        <v>487</v>
      </c>
      <c r="D104" s="103" t="s">
        <v>176</v>
      </c>
      <c r="F104" s="107">
        <v>0.34431717077115459</v>
      </c>
      <c r="G104" s="107">
        <v>-10.473511512313463</v>
      </c>
      <c r="H104" s="107">
        <v>0.60446</v>
      </c>
      <c r="I104" s="107">
        <v>-6.7456527615101999E-2</v>
      </c>
      <c r="J104" s="107">
        <v>-8.0567912229723461E-3</v>
      </c>
      <c r="K104" s="115">
        <v>1</v>
      </c>
      <c r="L104" s="115">
        <v>0.94748798018258296</v>
      </c>
      <c r="M104" s="115">
        <v>0.95473580686690729</v>
      </c>
      <c r="N104" s="115">
        <v>3.8345509410190259</v>
      </c>
      <c r="O104" s="115">
        <v>0.81620261905970226</v>
      </c>
      <c r="P104" s="115">
        <v>0.93583163143948767</v>
      </c>
      <c r="Q104" s="111">
        <v>0.81620261905970226</v>
      </c>
      <c r="R104" s="68">
        <v>0.93583163143948778</v>
      </c>
    </row>
    <row r="105" spans="1:18">
      <c r="A105" s="102" t="s">
        <v>488</v>
      </c>
      <c r="B105" s="102" t="s">
        <v>489</v>
      </c>
      <c r="D105" s="103" t="s">
        <v>176</v>
      </c>
      <c r="F105" s="107">
        <v>-1.5167828292288452</v>
      </c>
      <c r="G105" s="107">
        <v>-17.584611512313465</v>
      </c>
      <c r="H105" s="107">
        <v>-1.2751399999999997</v>
      </c>
      <c r="I105" s="107">
        <v>-8.5686521873403948E-2</v>
      </c>
      <c r="J105" s="107">
        <v>-2.0448451166126428E-2</v>
      </c>
      <c r="K105" s="115">
        <v>1</v>
      </c>
      <c r="L105" s="115">
        <v>0.98801061795521516</v>
      </c>
      <c r="M105" s="115">
        <v>0.97822620954138417</v>
      </c>
      <c r="N105" s="115">
        <v>5.2793579187625485E-2</v>
      </c>
      <c r="O105" s="115">
        <v>0.81664740147909642</v>
      </c>
      <c r="P105" s="115">
        <v>0.94901407857936559</v>
      </c>
      <c r="Q105" s="111">
        <v>0.81664740147909642</v>
      </c>
      <c r="R105" s="68">
        <v>0.94901407857936559</v>
      </c>
    </row>
    <row r="106" spans="1:18">
      <c r="A106" s="102" t="s">
        <v>490</v>
      </c>
      <c r="B106" s="102" t="s">
        <v>491</v>
      </c>
      <c r="D106" s="103" t="s">
        <v>176</v>
      </c>
      <c r="F106" s="107">
        <v>1.3503171707711548</v>
      </c>
      <c r="G106" s="107">
        <v>-9.7675115123134635</v>
      </c>
      <c r="H106" s="107">
        <v>1.6204599999999998</v>
      </c>
      <c r="I106" s="107">
        <v>8.1143601821592873E-2</v>
      </c>
      <c r="J106" s="107">
        <v>0.1060316477131962</v>
      </c>
      <c r="K106" s="115">
        <v>1</v>
      </c>
      <c r="L106" s="115">
        <v>0.84646851196551698</v>
      </c>
      <c r="M106" s="115">
        <v>0.99337706554230587</v>
      </c>
      <c r="N106" s="115">
        <v>35.360956461397343</v>
      </c>
      <c r="O106" s="115">
        <v>1.0214276390217973</v>
      </c>
      <c r="P106" s="115">
        <v>1.0816721580645303</v>
      </c>
      <c r="Q106" s="111">
        <v>1.0214276390217973</v>
      </c>
      <c r="R106" s="68">
        <v>1.0816721580645303</v>
      </c>
    </row>
    <row r="107" spans="1:18">
      <c r="A107" s="102" t="s">
        <v>492</v>
      </c>
      <c r="B107" s="102" t="s">
        <v>493</v>
      </c>
      <c r="D107" s="103" t="s">
        <v>176</v>
      </c>
      <c r="F107" s="107">
        <v>4.3884371707711542</v>
      </c>
      <c r="G107" s="107">
        <v>-15.749391512313462</v>
      </c>
      <c r="H107" s="107">
        <v>4.6887799999999995</v>
      </c>
      <c r="I107" s="107">
        <v>2.7260613387772654</v>
      </c>
      <c r="J107" s="107">
        <v>2.7358692531720137</v>
      </c>
      <c r="K107" s="115">
        <v>1</v>
      </c>
      <c r="L107" s="115">
        <v>6.2203047823072267E-2</v>
      </c>
      <c r="M107" s="115">
        <v>13.250499455722235</v>
      </c>
      <c r="N107" s="115">
        <v>2948.6267465612368</v>
      </c>
      <c r="O107" s="115">
        <v>32.129290805867832</v>
      </c>
      <c r="P107" s="115">
        <v>32.86313976221615</v>
      </c>
      <c r="Q107" s="111">
        <v>32.129290805867832</v>
      </c>
      <c r="R107" s="68">
        <v>32.863139762216157</v>
      </c>
    </row>
    <row r="108" spans="1:18">
      <c r="A108" s="102" t="s">
        <v>291</v>
      </c>
      <c r="B108" s="102" t="s">
        <v>494</v>
      </c>
      <c r="D108" s="103" t="s">
        <v>176</v>
      </c>
      <c r="F108" s="107">
        <v>2.3764371707711547</v>
      </c>
      <c r="G108" s="107">
        <v>-11.161391512313463</v>
      </c>
      <c r="H108" s="107">
        <v>2.6567799999999995</v>
      </c>
      <c r="I108" s="107">
        <v>0.717032144567608</v>
      </c>
      <c r="J108" s="107">
        <v>0.69013713823220491</v>
      </c>
      <c r="K108" s="115">
        <v>1</v>
      </c>
      <c r="L108" s="115">
        <v>0.59488213712401727</v>
      </c>
      <c r="M108" s="115">
        <v>1.7712845018531771</v>
      </c>
      <c r="N108" s="115">
        <v>265.16655366542892</v>
      </c>
      <c r="O108" s="115">
        <v>3.046287502355121</v>
      </c>
      <c r="P108" s="115">
        <v>2.8633595297467127</v>
      </c>
      <c r="Q108" s="111">
        <v>3.046287502355121</v>
      </c>
      <c r="R108" s="68">
        <v>2.8633595297467127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08"/>
  <sheetViews>
    <sheetView workbookViewId="0">
      <selection activeCell="W108" sqref="W108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313</v>
      </c>
      <c r="B2" s="102" t="s">
        <v>314</v>
      </c>
      <c r="D2" s="107" t="s">
        <v>176</v>
      </c>
      <c r="F2" s="107">
        <v>1.5615771707711545</v>
      </c>
      <c r="H2" s="107">
        <v>1.5615771707711545</v>
      </c>
      <c r="I2" s="107">
        <v>1.5615771707711545</v>
      </c>
      <c r="K2" s="107">
        <v>1.5615771707711545</v>
      </c>
      <c r="L2" s="107">
        <v>1.83382</v>
      </c>
      <c r="N2" s="107">
        <v>1.83382</v>
      </c>
      <c r="O2" s="107">
        <v>1.1307199999999999</v>
      </c>
      <c r="Q2" s="107">
        <v>1.1307199999999999</v>
      </c>
      <c r="R2" s="107">
        <v>-5.8862515123134633</v>
      </c>
      <c r="S2" s="107">
        <v>-5.8862515123134633</v>
      </c>
      <c r="T2" s="107">
        <v>-3.8082228292288449</v>
      </c>
      <c r="V2" s="107">
        <v>-3.8082228292288449</v>
      </c>
      <c r="W2" s="112">
        <v>1850.3844464859342</v>
      </c>
    </row>
    <row r="3" spans="1:23">
      <c r="A3" s="102" t="s">
        <v>315</v>
      </c>
      <c r="B3" s="102" t="s">
        <v>316</v>
      </c>
      <c r="D3" s="107" t="s">
        <v>176</v>
      </c>
      <c r="F3" s="107">
        <v>6.4205571707711533</v>
      </c>
      <c r="H3" s="107">
        <v>6.4205571707711533</v>
      </c>
      <c r="I3" s="107">
        <v>6.4205571707711533</v>
      </c>
      <c r="K3" s="107">
        <v>6.4205571707711533</v>
      </c>
      <c r="L3" s="107">
        <v>6.7410999999999994</v>
      </c>
      <c r="N3" s="107">
        <v>6.7410999999999994</v>
      </c>
      <c r="O3" s="107">
        <v>5.0210999999999988</v>
      </c>
      <c r="Q3" s="107">
        <v>5.0210999999999988</v>
      </c>
      <c r="R3" s="107">
        <v>-1.2172715123134639</v>
      </c>
      <c r="S3" s="107">
        <v>-1.2172715123134639</v>
      </c>
      <c r="T3" s="107">
        <v>-1.0744428292288448</v>
      </c>
      <c r="V3" s="107">
        <v>-1.0744428292288448</v>
      </c>
      <c r="W3" s="112">
        <v>3.1591035305222004E-2</v>
      </c>
    </row>
    <row r="4" spans="1:23">
      <c r="A4" s="102" t="s">
        <v>317</v>
      </c>
      <c r="B4" s="102" t="s">
        <v>318</v>
      </c>
      <c r="D4" s="107" t="s">
        <v>176</v>
      </c>
      <c r="F4" s="107">
        <v>2.6480571707711547</v>
      </c>
      <c r="H4" s="107">
        <v>2.6480571707711547</v>
      </c>
      <c r="I4" s="107">
        <v>2.6480571707711547</v>
      </c>
      <c r="K4" s="107">
        <v>2.6480571707711547</v>
      </c>
      <c r="L4" s="107">
        <v>2.9310999999999998</v>
      </c>
      <c r="N4" s="107">
        <v>2.9310999999999998</v>
      </c>
      <c r="O4" s="107">
        <v>2.3036000000000003</v>
      </c>
      <c r="Q4" s="107">
        <v>2.3036000000000003</v>
      </c>
      <c r="R4" s="107">
        <v>-12.859771512313463</v>
      </c>
      <c r="S4" s="107">
        <v>-12.859771512313463</v>
      </c>
      <c r="T4" s="107">
        <v>-3.1969428292288447</v>
      </c>
      <c r="V4" s="107">
        <v>-3.1969428292288447</v>
      </c>
      <c r="W4" s="112">
        <v>29.252824332318092</v>
      </c>
    </row>
    <row r="5" spans="1:23">
      <c r="A5" s="102" t="s">
        <v>307</v>
      </c>
      <c r="B5" s="102" t="s">
        <v>308</v>
      </c>
      <c r="D5" s="107" t="s">
        <v>176</v>
      </c>
      <c r="F5" s="107">
        <v>4.871317170771154</v>
      </c>
      <c r="H5" s="107">
        <v>4.871317170771154</v>
      </c>
      <c r="I5" s="107">
        <v>4.871317170771154</v>
      </c>
      <c r="K5" s="107">
        <v>4.871317170771154</v>
      </c>
      <c r="L5" s="107">
        <v>5.1764599999999996</v>
      </c>
      <c r="N5" s="107">
        <v>5.1764599999999996</v>
      </c>
      <c r="O5" s="107">
        <v>4.4420599999999997</v>
      </c>
      <c r="Q5" s="107">
        <v>4.4420599999999997</v>
      </c>
      <c r="R5" s="107">
        <v>-3.7165115123134638</v>
      </c>
      <c r="S5" s="107">
        <v>-3.7165115123134638</v>
      </c>
      <c r="T5" s="107">
        <v>-1.9460828292288448</v>
      </c>
      <c r="V5" s="107">
        <v>-1.9460828292288448</v>
      </c>
      <c r="W5" s="112">
        <v>1.4104451355628023</v>
      </c>
    </row>
    <row r="6" spans="1:23">
      <c r="A6" s="102" t="s">
        <v>319</v>
      </c>
      <c r="B6" s="102" t="s">
        <v>320</v>
      </c>
      <c r="D6" s="107" t="s">
        <v>176</v>
      </c>
      <c r="F6" s="107">
        <v>6.8330171707711536</v>
      </c>
      <c r="H6" s="107">
        <v>6.8330171707711536</v>
      </c>
      <c r="I6" s="107">
        <v>6.8330171707711536</v>
      </c>
      <c r="K6" s="107">
        <v>6.8330171707711536</v>
      </c>
      <c r="L6" s="107">
        <v>7.157659999999999</v>
      </c>
      <c r="N6" s="107">
        <v>7.157659999999999</v>
      </c>
      <c r="O6" s="107">
        <v>5.1752599999999989</v>
      </c>
      <c r="Q6" s="107">
        <v>5.1752599999999989</v>
      </c>
      <c r="R6" s="107">
        <v>-3.3548115123134634</v>
      </c>
      <c r="S6" s="107">
        <v>-3.3548115123134634</v>
      </c>
      <c r="T6" s="107">
        <v>-0.84238282922884455</v>
      </c>
      <c r="V6" s="107">
        <v>-0.84238282922884455</v>
      </c>
      <c r="W6" s="112">
        <v>7.9992380621431991E-3</v>
      </c>
    </row>
    <row r="7" spans="1:23">
      <c r="A7" s="102" t="s">
        <v>321</v>
      </c>
      <c r="B7" s="102" t="s">
        <v>322</v>
      </c>
      <c r="D7" s="107" t="s">
        <v>176</v>
      </c>
      <c r="F7" s="107">
        <v>6.4809171707711535</v>
      </c>
      <c r="H7" s="107">
        <v>6.4809171707711535</v>
      </c>
      <c r="I7" s="107">
        <v>6.4809171707711535</v>
      </c>
      <c r="K7" s="107">
        <v>6.4809171707711535</v>
      </c>
      <c r="L7" s="107">
        <v>6.8020599999999991</v>
      </c>
      <c r="N7" s="107">
        <v>6.8020599999999991</v>
      </c>
      <c r="O7" s="107">
        <v>5.0436599999999991</v>
      </c>
      <c r="Q7" s="107">
        <v>5.0436599999999991</v>
      </c>
      <c r="R7" s="107">
        <v>-3.4869115123134642</v>
      </c>
      <c r="S7" s="107">
        <v>-3.4869115123134642</v>
      </c>
      <c r="T7" s="107">
        <v>-1.0404828292288448</v>
      </c>
      <c r="V7" s="107">
        <v>-1.0404828292288448</v>
      </c>
      <c r="W7" s="112">
        <v>9.1862988284545144E-2</v>
      </c>
    </row>
    <row r="8" spans="1:23">
      <c r="A8" s="102" t="s">
        <v>323</v>
      </c>
      <c r="B8" s="102" t="s">
        <v>324</v>
      </c>
      <c r="D8" s="107" t="s">
        <v>176</v>
      </c>
      <c r="F8" s="107">
        <v>6.0382771707711536</v>
      </c>
      <c r="H8" s="107">
        <v>6.0382771707711536</v>
      </c>
      <c r="I8" s="107">
        <v>6.0382771707711536</v>
      </c>
      <c r="K8" s="107">
        <v>6.0382771707711536</v>
      </c>
      <c r="L8" s="107">
        <v>6.3550199999999997</v>
      </c>
      <c r="N8" s="107">
        <v>6.3550199999999997</v>
      </c>
      <c r="O8" s="107">
        <v>4.8782199999999998</v>
      </c>
      <c r="Q8" s="107">
        <v>4.8782199999999998</v>
      </c>
      <c r="R8" s="107">
        <v>-2.8595515123134634</v>
      </c>
      <c r="S8" s="107">
        <v>-2.8595515123134634</v>
      </c>
      <c r="T8" s="107">
        <v>-1.2895228292288443</v>
      </c>
      <c r="V8" s="107">
        <v>-1.2895228292288443</v>
      </c>
      <c r="W8" s="112">
        <v>0.10893719769856255</v>
      </c>
    </row>
    <row r="9" spans="1:23">
      <c r="A9" s="102" t="s">
        <v>325</v>
      </c>
      <c r="B9" s="102" t="s">
        <v>326</v>
      </c>
      <c r="D9" s="107" t="s">
        <v>176</v>
      </c>
      <c r="F9" s="107">
        <v>3.7144171707711546</v>
      </c>
      <c r="H9" s="107">
        <v>3.7144171707711546</v>
      </c>
      <c r="I9" s="107">
        <v>3.7144171707711546</v>
      </c>
      <c r="K9" s="107">
        <v>3.7144171707711546</v>
      </c>
      <c r="L9" s="107">
        <v>4.0080600000000004</v>
      </c>
      <c r="N9" s="107">
        <v>4.0080600000000004</v>
      </c>
      <c r="O9" s="107">
        <v>3.4547600000000003</v>
      </c>
      <c r="Q9" s="107">
        <v>3.4547600000000003</v>
      </c>
      <c r="R9" s="107">
        <v>-4.7234115123134632</v>
      </c>
      <c r="S9" s="107">
        <v>-4.7234115123134632</v>
      </c>
      <c r="T9" s="107">
        <v>-2.5969828292288444</v>
      </c>
      <c r="V9" s="107">
        <v>-2.5969828292288444</v>
      </c>
      <c r="W9" s="112">
        <v>59.167161342804597</v>
      </c>
    </row>
    <row r="10" spans="1:23">
      <c r="A10" s="102" t="s">
        <v>275</v>
      </c>
      <c r="B10" s="102" t="s">
        <v>276</v>
      </c>
      <c r="D10" s="107" t="s">
        <v>176</v>
      </c>
      <c r="F10" s="107">
        <v>4.9316771707711533</v>
      </c>
      <c r="H10" s="107">
        <v>4.9316771707711533</v>
      </c>
      <c r="I10" s="107">
        <v>4.9316771707711533</v>
      </c>
      <c r="K10" s="107">
        <v>4.9316771707711533</v>
      </c>
      <c r="L10" s="107">
        <v>5.2374199999999993</v>
      </c>
      <c r="N10" s="107">
        <v>5.2374199999999993</v>
      </c>
      <c r="O10" s="107">
        <v>4.4646199999999991</v>
      </c>
      <c r="Q10" s="107">
        <v>4.4646199999999991</v>
      </c>
      <c r="R10" s="107">
        <v>-5.5761515123134631</v>
      </c>
      <c r="S10" s="107">
        <v>-5.5761515123134631</v>
      </c>
      <c r="T10" s="107">
        <v>-1.912122829228845</v>
      </c>
      <c r="V10" s="107">
        <v>-1.912122829228845</v>
      </c>
      <c r="W10" s="112">
        <v>1.0579258779859311</v>
      </c>
    </row>
    <row r="11" spans="1:23">
      <c r="A11" s="102" t="s">
        <v>327</v>
      </c>
      <c r="B11" s="102" t="s">
        <v>328</v>
      </c>
      <c r="D11" s="107" t="s">
        <v>176</v>
      </c>
      <c r="F11" s="107">
        <v>5.0322771707711542</v>
      </c>
      <c r="H11" s="107">
        <v>5.0322771707711542</v>
      </c>
      <c r="I11" s="107">
        <v>5.0322771707711542</v>
      </c>
      <c r="K11" s="107">
        <v>5.0322771707711542</v>
      </c>
      <c r="L11" s="107">
        <v>5.3390199999999997</v>
      </c>
      <c r="N11" s="107">
        <v>5.3390199999999997</v>
      </c>
      <c r="O11" s="107">
        <v>4.5022199999999994</v>
      </c>
      <c r="Q11" s="107">
        <v>4.5022199999999994</v>
      </c>
      <c r="R11" s="107">
        <v>-3.8055515123134631</v>
      </c>
      <c r="S11" s="107">
        <v>-3.8055515123134631</v>
      </c>
      <c r="T11" s="107">
        <v>-1.8555228292288444</v>
      </c>
      <c r="V11" s="107">
        <v>-1.8555228292288444</v>
      </c>
      <c r="W11" s="112">
        <v>0.25499550794141806</v>
      </c>
    </row>
    <row r="12" spans="1:23">
      <c r="A12" s="102" t="s">
        <v>329</v>
      </c>
      <c r="B12" s="102" t="s">
        <v>330</v>
      </c>
      <c r="D12" s="107" t="s">
        <v>176</v>
      </c>
      <c r="F12" s="107">
        <v>3.9256771707711544</v>
      </c>
      <c r="H12" s="107">
        <v>3.9256771707711544</v>
      </c>
      <c r="I12" s="107">
        <v>3.9256771707711544</v>
      </c>
      <c r="K12" s="107">
        <v>3.9256771707711544</v>
      </c>
      <c r="L12" s="107">
        <v>4.2214199999999984</v>
      </c>
      <c r="N12" s="107">
        <v>4.2214199999999984</v>
      </c>
      <c r="O12" s="107">
        <v>3.68282</v>
      </c>
      <c r="Q12" s="107">
        <v>3.68282</v>
      </c>
      <c r="R12" s="107">
        <v>-4.8121515123134628</v>
      </c>
      <c r="S12" s="107">
        <v>-4.8121515123134628</v>
      </c>
      <c r="T12" s="107">
        <v>-2.4781228292288446</v>
      </c>
      <c r="V12" s="107">
        <v>-2.4781228292288446</v>
      </c>
      <c r="W12" s="112">
        <v>22.435349007952503</v>
      </c>
    </row>
    <row r="13" spans="1:23">
      <c r="A13" s="102" t="s">
        <v>277</v>
      </c>
      <c r="B13" s="102" t="s">
        <v>278</v>
      </c>
      <c r="D13" s="107" t="s">
        <v>176</v>
      </c>
      <c r="F13" s="107">
        <v>3.7345371707711545</v>
      </c>
      <c r="H13" s="107">
        <v>3.7345371707711545</v>
      </c>
      <c r="I13" s="107">
        <v>3.7345371707711545</v>
      </c>
      <c r="K13" s="107">
        <v>3.7345371707711545</v>
      </c>
      <c r="L13" s="107">
        <v>4.0283800000000003</v>
      </c>
      <c r="N13" s="107">
        <v>4.0283800000000003</v>
      </c>
      <c r="O13" s="107">
        <v>3.4764799999999996</v>
      </c>
      <c r="Q13" s="107">
        <v>3.4764799999999996</v>
      </c>
      <c r="R13" s="107">
        <v>-4.5132915123134634</v>
      </c>
      <c r="S13" s="107">
        <v>-4.5132915123134634</v>
      </c>
      <c r="T13" s="107">
        <v>-2.5856628292288448</v>
      </c>
      <c r="V13" s="107">
        <v>-2.5856628292288448</v>
      </c>
      <c r="W13" s="112">
        <v>0.50544941235184493</v>
      </c>
    </row>
    <row r="14" spans="1:23">
      <c r="A14" s="102" t="s">
        <v>331</v>
      </c>
      <c r="B14" s="102" t="s">
        <v>332</v>
      </c>
      <c r="D14" s="107" t="s">
        <v>176</v>
      </c>
      <c r="F14" s="107">
        <v>5.3441371707711536</v>
      </c>
      <c r="H14" s="107">
        <v>5.3441371707711536</v>
      </c>
      <c r="I14" s="107">
        <v>5.3441371707711536</v>
      </c>
      <c r="K14" s="107">
        <v>5.3441371707711536</v>
      </c>
      <c r="L14" s="107">
        <v>5.6539799999999989</v>
      </c>
      <c r="N14" s="107">
        <v>5.6539799999999989</v>
      </c>
      <c r="O14" s="107">
        <v>4.6187799999999992</v>
      </c>
      <c r="Q14" s="107">
        <v>4.6187799999999992</v>
      </c>
      <c r="R14" s="107">
        <v>-3.8036915123134634</v>
      </c>
      <c r="S14" s="107">
        <v>-3.8036915123134634</v>
      </c>
      <c r="T14" s="107">
        <v>-1.6800628292288449</v>
      </c>
      <c r="V14" s="107">
        <v>-1.6800628292288449</v>
      </c>
      <c r="W14" s="112">
        <v>6.31283025675239E-2</v>
      </c>
    </row>
    <row r="15" spans="1:23">
      <c r="A15" s="102" t="s">
        <v>333</v>
      </c>
      <c r="B15" s="102" t="s">
        <v>334</v>
      </c>
      <c r="D15" s="107" t="s">
        <v>176</v>
      </c>
      <c r="F15" s="107">
        <v>4.9819771707711542</v>
      </c>
      <c r="H15" s="107">
        <v>4.9819771707711542</v>
      </c>
      <c r="I15" s="107">
        <v>4.9819771707711542</v>
      </c>
      <c r="K15" s="107">
        <v>4.9819771707711542</v>
      </c>
      <c r="L15" s="107">
        <v>5.2882199999999999</v>
      </c>
      <c r="N15" s="107">
        <v>5.2882199999999999</v>
      </c>
      <c r="O15" s="107">
        <v>4.4834199999999997</v>
      </c>
      <c r="Q15" s="107">
        <v>4.4834199999999997</v>
      </c>
      <c r="R15" s="107">
        <v>-6.7958515123134635</v>
      </c>
      <c r="S15" s="107">
        <v>-6.7958515123134635</v>
      </c>
      <c r="T15" s="107">
        <v>-1.8838228292288444</v>
      </c>
      <c r="V15" s="107">
        <v>-1.8838228292288444</v>
      </c>
      <c r="W15" s="112">
        <v>2.1236019945258331</v>
      </c>
    </row>
    <row r="16" spans="1:23">
      <c r="A16" s="102" t="s">
        <v>335</v>
      </c>
      <c r="B16" s="102" t="s">
        <v>336</v>
      </c>
      <c r="D16" s="107" t="s">
        <v>176</v>
      </c>
      <c r="F16" s="107">
        <v>6.0181571707711532</v>
      </c>
      <c r="H16" s="107">
        <v>6.0181571707711532</v>
      </c>
      <c r="I16" s="107">
        <v>6.0181571707711532</v>
      </c>
      <c r="K16" s="107">
        <v>6.0181571707711532</v>
      </c>
      <c r="L16" s="107">
        <v>6.3346999999999989</v>
      </c>
      <c r="N16" s="107">
        <v>6.3346999999999989</v>
      </c>
      <c r="O16" s="107">
        <v>4.8706999999999994</v>
      </c>
      <c r="Q16" s="107">
        <v>4.8706999999999994</v>
      </c>
      <c r="R16" s="107">
        <v>-2.4596715123134634</v>
      </c>
      <c r="S16" s="107">
        <v>-2.4596715123134634</v>
      </c>
      <c r="T16" s="107">
        <v>-1.300842829228845</v>
      </c>
      <c r="V16" s="107">
        <v>-1.300842829228845</v>
      </c>
      <c r="W16" s="112">
        <v>0.17173114362207836</v>
      </c>
    </row>
    <row r="17" spans="1:23">
      <c r="A17" s="102" t="s">
        <v>337</v>
      </c>
      <c r="B17" s="102" t="s">
        <v>338</v>
      </c>
      <c r="D17" s="107" t="s">
        <v>176</v>
      </c>
      <c r="F17" s="107">
        <v>4.8914371707711544</v>
      </c>
      <c r="H17" s="107">
        <v>4.8914371707711544</v>
      </c>
      <c r="I17" s="107">
        <v>4.8914371707711544</v>
      </c>
      <c r="K17" s="107">
        <v>4.8914371707711544</v>
      </c>
      <c r="L17" s="107">
        <v>5.1967800000000004</v>
      </c>
      <c r="N17" s="107">
        <v>5.1967800000000004</v>
      </c>
      <c r="O17" s="107">
        <v>4.4495800000000001</v>
      </c>
      <c r="Q17" s="107">
        <v>4.4495800000000001</v>
      </c>
      <c r="R17" s="107">
        <v>-4.2963915123134635</v>
      </c>
      <c r="S17" s="107">
        <v>-4.2963915123134635</v>
      </c>
      <c r="T17" s="107">
        <v>-1.9347628292288441</v>
      </c>
      <c r="V17" s="107">
        <v>-1.9347628292288441</v>
      </c>
      <c r="W17" s="112">
        <v>0.27354209319441009</v>
      </c>
    </row>
    <row r="18" spans="1:23">
      <c r="A18" s="102" t="s">
        <v>279</v>
      </c>
      <c r="B18" s="102" t="s">
        <v>280</v>
      </c>
      <c r="D18" s="107" t="s">
        <v>176</v>
      </c>
      <c r="F18" s="107">
        <v>3.6238771707711543</v>
      </c>
      <c r="H18" s="107">
        <v>3.6238771707711543</v>
      </c>
      <c r="I18" s="107">
        <v>3.6238771707711543</v>
      </c>
      <c r="K18" s="107">
        <v>3.6238771707711543</v>
      </c>
      <c r="L18" s="107">
        <v>3.91662</v>
      </c>
      <c r="N18" s="107">
        <v>3.91662</v>
      </c>
      <c r="O18" s="107">
        <v>3.3570200000000003</v>
      </c>
      <c r="Q18" s="107">
        <v>3.3570200000000003</v>
      </c>
      <c r="R18" s="107">
        <v>-3.3239515123134638</v>
      </c>
      <c r="S18" s="107">
        <v>-3.3239515123134638</v>
      </c>
      <c r="T18" s="107">
        <v>-2.6479228292288446</v>
      </c>
      <c r="V18" s="107">
        <v>-2.6479228292288446</v>
      </c>
      <c r="W18" s="112">
        <v>5.5520512114136107</v>
      </c>
    </row>
    <row r="19" spans="1:23">
      <c r="A19" s="102" t="s">
        <v>339</v>
      </c>
      <c r="B19" s="102" t="s">
        <v>340</v>
      </c>
      <c r="D19" s="107" t="s">
        <v>176</v>
      </c>
      <c r="F19" s="107">
        <v>4.9920371707711544</v>
      </c>
      <c r="H19" s="107">
        <v>4.9920371707711544</v>
      </c>
      <c r="I19" s="107">
        <v>4.9920371707711544</v>
      </c>
      <c r="K19" s="107">
        <v>4.9920371707711544</v>
      </c>
      <c r="L19" s="107">
        <v>5.298379999999999</v>
      </c>
      <c r="N19" s="107">
        <v>5.298379999999999</v>
      </c>
      <c r="O19" s="107">
        <v>4.4871800000000004</v>
      </c>
      <c r="Q19" s="107">
        <v>4.4871800000000004</v>
      </c>
      <c r="R19" s="107">
        <v>-6.2457915123134633</v>
      </c>
      <c r="S19" s="107">
        <v>-6.2457915123134633</v>
      </c>
      <c r="T19" s="107">
        <v>-1.8781628292288446</v>
      </c>
      <c r="V19" s="107">
        <v>-1.8781628292288446</v>
      </c>
      <c r="W19" s="112">
        <v>0.10369682869906482</v>
      </c>
    </row>
    <row r="20" spans="1:23">
      <c r="A20" s="102" t="s">
        <v>281</v>
      </c>
      <c r="B20" s="102" t="s">
        <v>282</v>
      </c>
      <c r="D20" s="107" t="s">
        <v>176</v>
      </c>
      <c r="F20" s="107">
        <v>3.7345371707711545</v>
      </c>
      <c r="H20" s="107">
        <v>3.7345371707711545</v>
      </c>
      <c r="I20" s="107">
        <v>3.7345371707711545</v>
      </c>
      <c r="K20" s="107">
        <v>3.7345371707711545</v>
      </c>
      <c r="L20" s="107">
        <v>4.0283800000000003</v>
      </c>
      <c r="N20" s="107">
        <v>4.0283800000000003</v>
      </c>
      <c r="O20" s="107">
        <v>3.4764799999999996</v>
      </c>
      <c r="Q20" s="107">
        <v>3.4764799999999996</v>
      </c>
      <c r="R20" s="107">
        <v>-5.3332915123134637</v>
      </c>
      <c r="S20" s="107">
        <v>-5.3332915123134637</v>
      </c>
      <c r="T20" s="107">
        <v>-2.5856628292288448</v>
      </c>
      <c r="V20" s="107">
        <v>-2.5856628292288448</v>
      </c>
      <c r="W20" s="112">
        <v>15.857149159314954</v>
      </c>
    </row>
    <row r="21" spans="1:23">
      <c r="A21" s="102" t="s">
        <v>341</v>
      </c>
      <c r="B21" s="102" t="s">
        <v>342</v>
      </c>
      <c r="D21" s="107" t="s">
        <v>176</v>
      </c>
      <c r="F21" s="107">
        <v>5.2535971707711537</v>
      </c>
      <c r="H21" s="107">
        <v>5.2535971707711537</v>
      </c>
      <c r="I21" s="107">
        <v>5.2535971707711537</v>
      </c>
      <c r="K21" s="107">
        <v>5.2535971707711537</v>
      </c>
      <c r="L21" s="107">
        <v>5.5625399999999994</v>
      </c>
      <c r="N21" s="107">
        <v>5.5625399999999994</v>
      </c>
      <c r="O21" s="107">
        <v>4.5849399999999996</v>
      </c>
      <c r="Q21" s="107">
        <v>4.5849399999999996</v>
      </c>
      <c r="R21" s="107">
        <v>-2.9342315123134637</v>
      </c>
      <c r="S21" s="107">
        <v>-2.9342315123134637</v>
      </c>
      <c r="T21" s="107">
        <v>-1.7310028292288446</v>
      </c>
      <c r="V21" s="107">
        <v>-1.7310028292288446</v>
      </c>
      <c r="W21" s="112">
        <v>0.34935611367836872</v>
      </c>
    </row>
    <row r="22" spans="1:23">
      <c r="A22" s="102" t="s">
        <v>343</v>
      </c>
      <c r="B22" s="102" t="s">
        <v>344</v>
      </c>
      <c r="D22" s="107" t="s">
        <v>176</v>
      </c>
      <c r="F22" s="107">
        <v>2.1651771707711545</v>
      </c>
      <c r="H22" s="107">
        <v>2.1651771707711545</v>
      </c>
      <c r="I22" s="107">
        <v>2.1651771707711545</v>
      </c>
      <c r="K22" s="107">
        <v>2.1651771707711545</v>
      </c>
      <c r="L22" s="107">
        <v>2.4434200000000001</v>
      </c>
      <c r="N22" s="107">
        <v>2.4434200000000001</v>
      </c>
      <c r="O22" s="107">
        <v>1.7823200000000001</v>
      </c>
      <c r="Q22" s="107">
        <v>1.7823200000000001</v>
      </c>
      <c r="R22" s="107">
        <v>-4.4126515123134631</v>
      </c>
      <c r="S22" s="107">
        <v>-4.4126515123134631</v>
      </c>
      <c r="T22" s="107">
        <v>-3.4686228292288441</v>
      </c>
      <c r="V22" s="107">
        <v>-3.4686228292288441</v>
      </c>
      <c r="W22" s="102">
        <v>1070.2024552346159</v>
      </c>
    </row>
    <row r="23" spans="1:23">
      <c r="A23" s="102" t="s">
        <v>345</v>
      </c>
      <c r="B23" s="102" t="s">
        <v>346</v>
      </c>
      <c r="D23" s="107" t="s">
        <v>176</v>
      </c>
      <c r="F23" s="107">
        <v>1.7728371707711545</v>
      </c>
      <c r="H23" s="107">
        <v>1.7728371707711545</v>
      </c>
      <c r="I23" s="107">
        <v>1.7728371707711545</v>
      </c>
      <c r="K23" s="107">
        <v>1.7728371707711545</v>
      </c>
      <c r="L23" s="107">
        <v>2.0471799999999991</v>
      </c>
      <c r="N23" s="107">
        <v>2.0471799999999991</v>
      </c>
      <c r="O23" s="107">
        <v>1.3587799999999999</v>
      </c>
      <c r="Q23" s="107">
        <v>1.3587799999999999</v>
      </c>
      <c r="R23" s="107">
        <v>-5.884991512313464</v>
      </c>
      <c r="S23" s="107">
        <v>-5.884991512313464</v>
      </c>
      <c r="T23" s="107">
        <v>-3.6893628292288452</v>
      </c>
      <c r="V23" s="107">
        <v>-3.6893628292288452</v>
      </c>
      <c r="W23" s="102">
        <v>3675.812187950256</v>
      </c>
    </row>
    <row r="24" spans="1:23">
      <c r="A24" s="102" t="s">
        <v>347</v>
      </c>
      <c r="B24" s="102" t="s">
        <v>348</v>
      </c>
      <c r="D24" s="107" t="s">
        <v>176</v>
      </c>
      <c r="F24" s="107">
        <v>3.1409971707711546</v>
      </c>
      <c r="H24" s="107">
        <v>3.1409971707711546</v>
      </c>
      <c r="I24" s="107">
        <v>3.1409971707711546</v>
      </c>
      <c r="K24" s="107">
        <v>3.1409971707711546</v>
      </c>
      <c r="L24" s="107">
        <v>3.4289400000000003</v>
      </c>
      <c r="N24" s="107">
        <v>3.4289400000000003</v>
      </c>
      <c r="O24" s="107">
        <v>2.8357400000000004</v>
      </c>
      <c r="Q24" s="107">
        <v>2.8357400000000004</v>
      </c>
      <c r="R24" s="107">
        <v>-5.3368315123134638</v>
      </c>
      <c r="S24" s="107">
        <v>-5.3368315123134638</v>
      </c>
      <c r="T24" s="107">
        <v>-2.9196028292288441</v>
      </c>
      <c r="V24" s="107">
        <v>-2.9196028292288441</v>
      </c>
      <c r="W24" s="102">
        <v>278.93467131273979</v>
      </c>
    </row>
    <row r="25" spans="1:23">
      <c r="A25" s="102" t="s">
        <v>349</v>
      </c>
      <c r="B25" s="102" t="s">
        <v>350</v>
      </c>
      <c r="D25" s="107" t="s">
        <v>176</v>
      </c>
      <c r="F25" s="107">
        <v>4.1972971707711535</v>
      </c>
      <c r="H25" s="107">
        <v>4.1972971707711535</v>
      </c>
      <c r="I25" s="107">
        <v>4.1972971707711535</v>
      </c>
      <c r="K25" s="107">
        <v>4.1972971707711535</v>
      </c>
      <c r="L25" s="107">
        <v>4.4957399999999987</v>
      </c>
      <c r="N25" s="107">
        <v>4.4957399999999987</v>
      </c>
      <c r="O25" s="107">
        <v>3.9760399999999998</v>
      </c>
      <c r="Q25" s="107">
        <v>3.9760399999999998</v>
      </c>
      <c r="R25" s="107">
        <v>-2.1505315123134641</v>
      </c>
      <c r="S25" s="107">
        <v>-2.1505315123134641</v>
      </c>
      <c r="T25" s="107">
        <v>-2.3253028292288445</v>
      </c>
      <c r="V25" s="107">
        <v>-2.3253028292288445</v>
      </c>
      <c r="W25" s="102">
        <v>9.8793918232111935</v>
      </c>
    </row>
    <row r="26" spans="1:23">
      <c r="A26" s="102" t="s">
        <v>351</v>
      </c>
      <c r="B26" s="102" t="s">
        <v>352</v>
      </c>
      <c r="D26" s="107" t="s">
        <v>176</v>
      </c>
      <c r="F26" s="107">
        <v>5.1932371707711544</v>
      </c>
      <c r="H26" s="107">
        <v>5.1932371707711544</v>
      </c>
      <c r="I26" s="107">
        <v>5.1932371707711544</v>
      </c>
      <c r="K26" s="107">
        <v>5.1932371707711544</v>
      </c>
      <c r="L26" s="107">
        <v>5.5015799999999997</v>
      </c>
      <c r="N26" s="107">
        <v>5.5015799999999997</v>
      </c>
      <c r="O26" s="107">
        <v>4.5623800000000001</v>
      </c>
      <c r="Q26" s="107">
        <v>4.5623800000000001</v>
      </c>
      <c r="R26" s="107">
        <v>-3.0645915123134637</v>
      </c>
      <c r="S26" s="107">
        <v>-3.0645915123134637</v>
      </c>
      <c r="T26" s="107">
        <v>-1.7649628292288444</v>
      </c>
      <c r="V26" s="107">
        <v>-1.7649628292288444</v>
      </c>
      <c r="W26" s="102">
        <v>1.1459125511288397</v>
      </c>
    </row>
    <row r="27" spans="1:23">
      <c r="A27" s="102" t="s">
        <v>353</v>
      </c>
      <c r="B27" s="102" t="s">
        <v>354</v>
      </c>
      <c r="D27" s="107" t="s">
        <v>176</v>
      </c>
      <c r="F27" s="107">
        <v>6.3702571707711542</v>
      </c>
      <c r="H27" s="107">
        <v>6.3702571707711542</v>
      </c>
      <c r="I27" s="107">
        <v>6.3702571707711542</v>
      </c>
      <c r="K27" s="107">
        <v>6.3702571707711542</v>
      </c>
      <c r="L27" s="107">
        <v>6.6902999999999997</v>
      </c>
      <c r="N27" s="107">
        <v>6.6902999999999997</v>
      </c>
      <c r="O27" s="107">
        <v>5.0023</v>
      </c>
      <c r="Q27" s="107">
        <v>5.0023</v>
      </c>
      <c r="R27" s="107">
        <v>-1.4175715123134636</v>
      </c>
      <c r="S27" s="107">
        <v>-1.4175715123134636</v>
      </c>
      <c r="T27" s="107">
        <v>-1.1027428292288444</v>
      </c>
      <c r="V27" s="107">
        <v>-1.1027428292288444</v>
      </c>
      <c r="W27" s="102">
        <v>0.18291856987130101</v>
      </c>
    </row>
    <row r="28" spans="1:23">
      <c r="A28" s="102" t="s">
        <v>355</v>
      </c>
      <c r="B28" s="102" t="s">
        <v>356</v>
      </c>
      <c r="D28" s="107" t="s">
        <v>176</v>
      </c>
      <c r="F28" s="107">
        <v>5.615757170771154</v>
      </c>
      <c r="H28" s="107">
        <v>5.615757170771154</v>
      </c>
      <c r="I28" s="107">
        <v>5.615757170771154</v>
      </c>
      <c r="K28" s="107">
        <v>5.615757170771154</v>
      </c>
      <c r="L28" s="107">
        <v>5.9283000000000001</v>
      </c>
      <c r="N28" s="107">
        <v>5.9283000000000001</v>
      </c>
      <c r="O28" s="107">
        <v>4.7202999999999999</v>
      </c>
      <c r="Q28" s="107">
        <v>4.7202999999999999</v>
      </c>
      <c r="R28" s="107">
        <v>-3.2320715123134636</v>
      </c>
      <c r="S28" s="107">
        <v>-3.2320715123134636</v>
      </c>
      <c r="T28" s="107">
        <v>-1.5272428292288447</v>
      </c>
      <c r="V28" s="107">
        <v>-1.5272428292288447</v>
      </c>
      <c r="W28" s="102">
        <v>1.518380788649516</v>
      </c>
    </row>
    <row r="29" spans="1:23">
      <c r="A29" s="102" t="s">
        <v>357</v>
      </c>
      <c r="B29" s="102" t="s">
        <v>358</v>
      </c>
      <c r="D29" s="107" t="s">
        <v>176</v>
      </c>
      <c r="F29" s="107">
        <v>5.3139571707711539</v>
      </c>
      <c r="H29" s="107">
        <v>5.3139571707711539</v>
      </c>
      <c r="I29" s="107">
        <v>5.3139571707711539</v>
      </c>
      <c r="K29" s="107">
        <v>5.3139571707711539</v>
      </c>
      <c r="L29" s="107">
        <v>5.6234999999999999</v>
      </c>
      <c r="N29" s="107">
        <v>5.6234999999999999</v>
      </c>
      <c r="O29" s="107">
        <v>4.607499999999999</v>
      </c>
      <c r="Q29" s="107">
        <v>4.607499999999999</v>
      </c>
      <c r="R29" s="107">
        <v>-1.1038715123134639</v>
      </c>
      <c r="S29" s="107">
        <v>-1.1038715123134639</v>
      </c>
      <c r="T29" s="107">
        <v>-1.6970428292288442</v>
      </c>
      <c r="V29" s="107">
        <v>-1.6970428292288442</v>
      </c>
      <c r="W29" s="102">
        <v>2.9683093124129782</v>
      </c>
    </row>
    <row r="30" spans="1:23">
      <c r="A30" s="102" t="s">
        <v>359</v>
      </c>
      <c r="B30" s="102" t="s">
        <v>360</v>
      </c>
      <c r="D30" s="107" t="s">
        <v>176</v>
      </c>
      <c r="F30" s="107">
        <v>5.615757170771154</v>
      </c>
      <c r="H30" s="107">
        <v>5.615757170771154</v>
      </c>
      <c r="I30" s="107">
        <v>5.615757170771154</v>
      </c>
      <c r="K30" s="107">
        <v>5.615757170771154</v>
      </c>
      <c r="L30" s="107">
        <v>5.9283000000000001</v>
      </c>
      <c r="N30" s="107">
        <v>5.9283000000000001</v>
      </c>
      <c r="O30" s="107">
        <v>4.7202999999999999</v>
      </c>
      <c r="Q30" s="107">
        <v>4.7202999999999999</v>
      </c>
      <c r="R30" s="107">
        <v>-3.2320715123134636</v>
      </c>
      <c r="S30" s="107">
        <v>-3.2320715123134636</v>
      </c>
      <c r="T30" s="107">
        <v>-1.5272428292288447</v>
      </c>
      <c r="V30" s="107">
        <v>-1.5272428292288447</v>
      </c>
      <c r="W30" s="102">
        <v>1.518380788649516</v>
      </c>
    </row>
    <row r="31" spans="1:23">
      <c r="A31" s="102" t="s">
        <v>283</v>
      </c>
      <c r="B31" s="102" t="s">
        <v>284</v>
      </c>
      <c r="D31" s="107" t="s">
        <v>176</v>
      </c>
      <c r="F31" s="107">
        <v>-0.18886282922884523</v>
      </c>
      <c r="H31" s="107">
        <v>-0.18886282922884523</v>
      </c>
      <c r="I31" s="107">
        <v>-0.18886282922884523</v>
      </c>
      <c r="K31" s="107">
        <v>-0.18886282922884523</v>
      </c>
      <c r="L31" s="107">
        <v>6.5979999999999983E-2</v>
      </c>
      <c r="N31" s="107">
        <v>6.5979999999999983E-2</v>
      </c>
      <c r="O31" s="107">
        <v>-0.75891999999999993</v>
      </c>
      <c r="Q31" s="107">
        <v>-0.75891999999999993</v>
      </c>
      <c r="R31" s="107">
        <v>-9.5266915123134623</v>
      </c>
      <c r="S31" s="107">
        <v>-9.5266915123134623</v>
      </c>
      <c r="T31" s="107">
        <v>-4.7930628292288455</v>
      </c>
      <c r="V31" s="107">
        <v>-4.7930628292288455</v>
      </c>
      <c r="W31" s="102">
        <v>28596.15968986983</v>
      </c>
    </row>
    <row r="32" spans="1:23">
      <c r="A32" s="102" t="s">
        <v>361</v>
      </c>
      <c r="B32" s="102" t="s">
        <v>362</v>
      </c>
      <c r="D32" s="107" t="s">
        <v>363</v>
      </c>
      <c r="E32" s="107">
        <v>5.34</v>
      </c>
      <c r="F32" s="107">
        <v>2.4669771707711545</v>
      </c>
      <c r="G32" s="107">
        <v>-1.0330228292288453</v>
      </c>
      <c r="H32" s="107">
        <v>2.4632121973832968</v>
      </c>
      <c r="I32" s="107">
        <v>2.4669771707711545</v>
      </c>
      <c r="J32" s="107">
        <v>-1.0330228292288453</v>
      </c>
      <c r="K32" s="107">
        <v>2.4632121973832968</v>
      </c>
      <c r="L32" s="107">
        <v>2.7482199999999999</v>
      </c>
      <c r="M32" s="107">
        <v>1.7482199999999997</v>
      </c>
      <c r="N32" s="107">
        <v>2.7448319205210736</v>
      </c>
      <c r="O32" s="107">
        <v>2.1081199999999995</v>
      </c>
      <c r="P32" s="107">
        <v>1.1081200000000002</v>
      </c>
      <c r="Q32" s="107">
        <v>2.1047319205210737</v>
      </c>
      <c r="R32" s="107">
        <v>-9.2608515123134616</v>
      </c>
      <c r="S32" s="107">
        <v>-9.2646176818460013</v>
      </c>
      <c r="T32" s="107">
        <v>-3.2988228292288446</v>
      </c>
      <c r="U32" s="107">
        <v>-6.798822829228846</v>
      </c>
      <c r="V32" s="107">
        <v>-3.3025878026167019</v>
      </c>
      <c r="W32" s="102">
        <v>319.61815231844884</v>
      </c>
    </row>
    <row r="33" spans="1:23">
      <c r="A33" s="102" t="s">
        <v>364</v>
      </c>
      <c r="B33" s="102" t="s">
        <v>365</v>
      </c>
      <c r="D33" s="107" t="s">
        <v>306</v>
      </c>
      <c r="E33" s="107">
        <v>4.1500000000000004</v>
      </c>
      <c r="F33" s="107">
        <v>0.58575717077115463</v>
      </c>
      <c r="G33" s="107">
        <v>-2.9142428292288449</v>
      </c>
      <c r="H33" s="107">
        <v>-2.4707110619648174</v>
      </c>
      <c r="I33" s="107">
        <v>0.58575717077115463</v>
      </c>
      <c r="J33" s="107">
        <v>-2.9142428292288449</v>
      </c>
      <c r="K33" s="107">
        <v>-2.4707110619648174</v>
      </c>
      <c r="L33" s="107">
        <v>0.84829999999999983</v>
      </c>
      <c r="M33" s="107">
        <v>-0.15170000000000008</v>
      </c>
      <c r="N33" s="107">
        <v>-0.14950877691100511</v>
      </c>
      <c r="O33" s="107">
        <v>7.7300000000000021E-2</v>
      </c>
      <c r="P33" s="107">
        <v>7.7300000000000021E-2</v>
      </c>
      <c r="Q33" s="107">
        <v>7.7300000000000021E-2</v>
      </c>
      <c r="R33" s="107">
        <v>-8.6220715123134628</v>
      </c>
      <c r="S33" s="107">
        <v>-11.872315665405687</v>
      </c>
      <c r="T33" s="107">
        <v>-4.357242829228845</v>
      </c>
      <c r="U33" s="107">
        <v>-7.8572428292288441</v>
      </c>
      <c r="V33" s="107">
        <v>-7.4137110619648166</v>
      </c>
      <c r="W33" s="102">
        <v>16246.023058549605</v>
      </c>
    </row>
    <row r="34" spans="1:23">
      <c r="A34" s="102" t="s">
        <v>285</v>
      </c>
      <c r="B34" s="102" t="s">
        <v>286</v>
      </c>
      <c r="D34" s="107" t="s">
        <v>306</v>
      </c>
      <c r="E34" s="107">
        <v>2.9</v>
      </c>
      <c r="F34" s="107">
        <v>2.7084171707711544</v>
      </c>
      <c r="G34" s="107">
        <v>-0.79158282922884515</v>
      </c>
      <c r="H34" s="107">
        <v>-0.75020387745085804</v>
      </c>
      <c r="I34" s="107">
        <v>2.7084171707711544</v>
      </c>
      <c r="J34" s="107">
        <v>-0.79158282922884515</v>
      </c>
      <c r="K34" s="107">
        <v>-0.75020387745085804</v>
      </c>
      <c r="L34" s="107">
        <v>2.9920599999999995</v>
      </c>
      <c r="M34" s="107">
        <v>1.9920599999999999</v>
      </c>
      <c r="N34" s="107">
        <v>1.9921835808834203</v>
      </c>
      <c r="O34" s="107">
        <v>2.3687600000000004</v>
      </c>
      <c r="P34" s="107">
        <v>2.3687600000000004</v>
      </c>
      <c r="Q34" s="107">
        <v>2.3687600000000004</v>
      </c>
      <c r="R34" s="107">
        <v>-6.6394115123134627</v>
      </c>
      <c r="S34" s="107">
        <v>-11.139425245693701</v>
      </c>
      <c r="T34" s="107">
        <v>-3.1629828292288442</v>
      </c>
      <c r="U34" s="107">
        <v>-6.6629828292288442</v>
      </c>
      <c r="V34" s="107">
        <v>-6.6216038774508572</v>
      </c>
      <c r="W34" s="102">
        <v>65711347.043996654</v>
      </c>
    </row>
    <row r="35" spans="1:23">
      <c r="A35" s="102" t="s">
        <v>287</v>
      </c>
      <c r="B35" s="102" t="s">
        <v>288</v>
      </c>
      <c r="D35" s="107" t="s">
        <v>306</v>
      </c>
      <c r="E35" s="107">
        <v>4.1500000000000004</v>
      </c>
      <c r="F35" s="107">
        <v>3.0806371707711548</v>
      </c>
      <c r="G35" s="107">
        <v>-0.4193628292288451</v>
      </c>
      <c r="H35" s="107">
        <v>2.4168938035182792E-2</v>
      </c>
      <c r="I35" s="107">
        <v>3.0806371707711548</v>
      </c>
      <c r="J35" s="107">
        <v>-0.4193628292288451</v>
      </c>
      <c r="K35" s="107">
        <v>2.4168938035182792E-2</v>
      </c>
      <c r="L35" s="107">
        <v>3.3679800000000002</v>
      </c>
      <c r="M35" s="107">
        <v>2.3679800000000002</v>
      </c>
      <c r="N35" s="107">
        <v>2.3701712230889953</v>
      </c>
      <c r="O35" s="107">
        <v>2.7705799999999998</v>
      </c>
      <c r="P35" s="107">
        <v>2.7705799999999998</v>
      </c>
      <c r="Q35" s="107">
        <v>2.7705799999999998</v>
      </c>
      <c r="R35" s="107">
        <v>-9.1971915123134647</v>
      </c>
      <c r="S35" s="107">
        <v>-12.447435665405685</v>
      </c>
      <c r="T35" s="107">
        <v>-2.9535628292288445</v>
      </c>
      <c r="U35" s="107">
        <v>-6.4535628292288445</v>
      </c>
      <c r="V35" s="107">
        <v>-6.010031061964817</v>
      </c>
      <c r="W35" s="102">
        <v>29871.255476848626</v>
      </c>
    </row>
    <row r="36" spans="1:23">
      <c r="A36" s="102" t="s">
        <v>366</v>
      </c>
      <c r="B36" s="102" t="s">
        <v>305</v>
      </c>
      <c r="D36" s="107" t="s">
        <v>306</v>
      </c>
      <c r="E36" s="107">
        <v>4.45</v>
      </c>
      <c r="F36" s="107">
        <v>3.6339371707711541</v>
      </c>
      <c r="G36" s="107">
        <v>0.13393717077115466</v>
      </c>
      <c r="H36" s="107">
        <v>0.79128339889788069</v>
      </c>
      <c r="I36" s="107">
        <v>3.6339371707711541</v>
      </c>
      <c r="J36" s="107">
        <v>0.13393717077115466</v>
      </c>
      <c r="K36" s="107">
        <v>0.79128339889788069</v>
      </c>
      <c r="L36" s="107">
        <v>3.9267799999999999</v>
      </c>
      <c r="M36" s="107">
        <v>2.9267799999999995</v>
      </c>
      <c r="N36" s="107">
        <v>2.9311387165398459</v>
      </c>
      <c r="O36" s="107">
        <v>3.3678799999999995</v>
      </c>
      <c r="P36" s="107">
        <v>3.3678799999999995</v>
      </c>
      <c r="Q36" s="107">
        <v>3.3678799999999995</v>
      </c>
      <c r="R36" s="107">
        <v>-5.7738915123134635</v>
      </c>
      <c r="S36" s="107">
        <v>-8.724378525568893</v>
      </c>
      <c r="T36" s="107">
        <v>-2.6422628292288444</v>
      </c>
      <c r="U36" s="107">
        <v>-6.1422628292288444</v>
      </c>
      <c r="V36" s="107">
        <v>-5.4849166011021184</v>
      </c>
      <c r="W36" s="102">
        <v>39724.008701257342</v>
      </c>
    </row>
    <row r="37" spans="1:23">
      <c r="A37" s="102" t="s">
        <v>289</v>
      </c>
      <c r="B37" s="102" t="s">
        <v>290</v>
      </c>
      <c r="D37" s="107" t="s">
        <v>306</v>
      </c>
      <c r="E37" s="107">
        <v>6.68</v>
      </c>
      <c r="F37" s="107">
        <v>3.2717771707711547</v>
      </c>
      <c r="G37" s="107">
        <v>-0.22822282922884518</v>
      </c>
      <c r="H37" s="107">
        <v>2.4767511163848455</v>
      </c>
      <c r="I37" s="107">
        <v>3.2717771707711547</v>
      </c>
      <c r="J37" s="107">
        <v>-0.22822282922884518</v>
      </c>
      <c r="K37" s="107">
        <v>2.4767511163848455</v>
      </c>
      <c r="L37" s="107">
        <v>3.5610200000000001</v>
      </c>
      <c r="M37" s="107">
        <v>2.5610200000000001</v>
      </c>
      <c r="N37" s="107">
        <v>2.9484888017118567</v>
      </c>
      <c r="O37" s="107">
        <v>2.9769200000000002</v>
      </c>
      <c r="P37" s="107">
        <v>2.9769200000000002</v>
      </c>
      <c r="Q37" s="107">
        <v>2.9769200000000002</v>
      </c>
      <c r="R37" s="107">
        <v>-14.856051512313464</v>
      </c>
      <c r="S37" s="107">
        <v>-15.651797718723627</v>
      </c>
      <c r="T37" s="107">
        <v>-2.8460228292288443</v>
      </c>
      <c r="U37" s="107">
        <v>-6.3460228292288452</v>
      </c>
      <c r="V37" s="107">
        <v>-3.6410488836151536</v>
      </c>
      <c r="W37" s="102">
        <v>625.03968782777258</v>
      </c>
    </row>
    <row r="38" spans="1:23">
      <c r="A38" s="102" t="s">
        <v>291</v>
      </c>
      <c r="B38" s="102" t="s">
        <v>292</v>
      </c>
      <c r="D38" s="107" t="s">
        <v>306</v>
      </c>
      <c r="E38" s="107">
        <v>4.9000000000000004</v>
      </c>
      <c r="F38" s="107">
        <v>2.5977571707711546</v>
      </c>
      <c r="G38" s="107">
        <v>-0.90224282922884524</v>
      </c>
      <c r="H38" s="107">
        <v>0.13777866309669651</v>
      </c>
      <c r="I38" s="107">
        <v>2.5977571707711546</v>
      </c>
      <c r="J38" s="107">
        <v>-0.90224282922884524</v>
      </c>
      <c r="K38" s="107">
        <v>0.13777866309669651</v>
      </c>
      <c r="L38" s="107">
        <v>2.8803000000000001</v>
      </c>
      <c r="M38" s="107">
        <v>1.8803000000000003</v>
      </c>
      <c r="N38" s="107">
        <v>1.892449729275355</v>
      </c>
      <c r="O38" s="107">
        <v>2.2493000000000003</v>
      </c>
      <c r="P38" s="107">
        <v>2.2493000000000003</v>
      </c>
      <c r="Q38" s="107">
        <v>2.2493000000000003</v>
      </c>
      <c r="R38" s="107">
        <v>-11.160071512313463</v>
      </c>
      <c r="S38" s="107">
        <v>-13.661442705146145</v>
      </c>
      <c r="T38" s="107">
        <v>-3.225242829228844</v>
      </c>
      <c r="U38" s="107">
        <v>-6.7252428292288444</v>
      </c>
      <c r="V38" s="107">
        <v>-5.685221336903302</v>
      </c>
      <c r="W38" s="102">
        <v>11919.446594505627</v>
      </c>
    </row>
    <row r="39" spans="1:23">
      <c r="A39" s="102" t="s">
        <v>367</v>
      </c>
      <c r="B39" s="102" t="s">
        <v>368</v>
      </c>
      <c r="D39" s="107" t="s">
        <v>176</v>
      </c>
      <c r="F39" s="107">
        <v>4.5192171707711548</v>
      </c>
      <c r="H39" s="107">
        <v>4.5192171707711548</v>
      </c>
      <c r="I39" s="107">
        <v>4.5192171707711548</v>
      </c>
      <c r="K39" s="107">
        <v>4.5192171707711548</v>
      </c>
      <c r="L39" s="107">
        <v>4.8208599999999997</v>
      </c>
      <c r="N39" s="107">
        <v>4.8208599999999997</v>
      </c>
      <c r="O39" s="107">
        <v>4.31046</v>
      </c>
      <c r="Q39" s="107">
        <v>4.31046</v>
      </c>
      <c r="R39" s="107">
        <v>-4.8086115123134636</v>
      </c>
      <c r="S39" s="107">
        <v>-4.8086115123134636</v>
      </c>
      <c r="T39" s="107">
        <v>-2.1441828292288445</v>
      </c>
      <c r="V39" s="107">
        <v>-2.1441828292288445</v>
      </c>
      <c r="W39" s="102">
        <v>13.790642658092064</v>
      </c>
    </row>
    <row r="40" spans="1:23">
      <c r="A40" s="102" t="s">
        <v>369</v>
      </c>
      <c r="B40" s="102" t="s">
        <v>370</v>
      </c>
      <c r="D40" s="107" t="s">
        <v>306</v>
      </c>
      <c r="E40" s="107">
        <v>5.15</v>
      </c>
      <c r="F40" s="107">
        <v>7.4667971707711542</v>
      </c>
      <c r="G40" s="107">
        <v>3.9667971707711547</v>
      </c>
      <c r="H40" s="107">
        <v>5.2381219923240776</v>
      </c>
      <c r="I40" s="107">
        <v>7.4667971707711542</v>
      </c>
      <c r="J40" s="107">
        <v>3.9667971707711547</v>
      </c>
      <c r="K40" s="107">
        <v>5.2381219923240776</v>
      </c>
      <c r="L40" s="107">
        <v>7.7977399999999992</v>
      </c>
      <c r="M40" s="107">
        <v>6.7977400000000001</v>
      </c>
      <c r="N40" s="107">
        <v>6.8190648215529235</v>
      </c>
      <c r="O40" s="107">
        <v>5.4121399999999991</v>
      </c>
      <c r="P40" s="107">
        <v>5.4121399999999991</v>
      </c>
      <c r="Q40" s="107">
        <v>5.4121399999999991</v>
      </c>
      <c r="R40" s="107">
        <v>-8.7410315123134641</v>
      </c>
      <c r="S40" s="107">
        <v>-10.99346688849468</v>
      </c>
      <c r="T40" s="107">
        <v>-0.4858028292288446</v>
      </c>
      <c r="U40" s="107">
        <v>-3.9858028292288448</v>
      </c>
      <c r="V40" s="107">
        <v>-2.714478007675921</v>
      </c>
      <c r="W40" s="102">
        <v>29799.020849604713</v>
      </c>
    </row>
    <row r="41" spans="1:23">
      <c r="A41" s="102" t="s">
        <v>371</v>
      </c>
      <c r="B41" s="102" t="s">
        <v>372</v>
      </c>
      <c r="D41" s="107" t="s">
        <v>176</v>
      </c>
      <c r="F41" s="107">
        <v>-1.3960628292288451</v>
      </c>
      <c r="H41" s="107">
        <v>-1.3960628292288451</v>
      </c>
      <c r="I41" s="107">
        <v>-1.3960628292288451</v>
      </c>
      <c r="K41" s="107">
        <v>-1.3960628292288451</v>
      </c>
      <c r="L41" s="107">
        <v>-1.1532199999999999</v>
      </c>
      <c r="N41" s="107">
        <v>-1.1532199999999999</v>
      </c>
      <c r="O41" s="107">
        <v>-2.0621200000000002</v>
      </c>
      <c r="Q41" s="107">
        <v>-2.0621200000000002</v>
      </c>
      <c r="R41" s="107">
        <v>-3.0038915123134635</v>
      </c>
      <c r="S41" s="107">
        <v>-3.0038915123134635</v>
      </c>
      <c r="T41" s="107">
        <v>-5.4722628292288444</v>
      </c>
      <c r="V41" s="107">
        <v>-5.4722628292288444</v>
      </c>
      <c r="W41" s="102">
        <v>1336193.6232389142</v>
      </c>
    </row>
    <row r="42" spans="1:23">
      <c r="A42" s="102" t="s">
        <v>293</v>
      </c>
      <c r="B42" s="102" t="s">
        <v>294</v>
      </c>
      <c r="D42" s="107" t="s">
        <v>176</v>
      </c>
      <c r="F42" s="107">
        <v>2.2557171707711543</v>
      </c>
      <c r="H42" s="107">
        <v>2.2557171707711543</v>
      </c>
      <c r="I42" s="107">
        <v>2.2557171707711543</v>
      </c>
      <c r="K42" s="107">
        <v>2.2557171707711543</v>
      </c>
      <c r="L42" s="107">
        <v>2.5348600000000001</v>
      </c>
      <c r="N42" s="107">
        <v>2.5348600000000001</v>
      </c>
      <c r="O42" s="107">
        <v>1.8800599999999998</v>
      </c>
      <c r="Q42" s="107">
        <v>1.8800599999999998</v>
      </c>
      <c r="R42" s="107">
        <v>-9.4321115123134636</v>
      </c>
      <c r="S42" s="107">
        <v>-9.4321115123134636</v>
      </c>
      <c r="T42" s="107">
        <v>-3.4176828292288444</v>
      </c>
      <c r="V42" s="107">
        <v>-3.4176828292288444</v>
      </c>
      <c r="W42" s="102">
        <v>183.96889389045501</v>
      </c>
    </row>
    <row r="43" spans="1:23">
      <c r="A43" s="102" t="s">
        <v>373</v>
      </c>
      <c r="B43" s="102" t="s">
        <v>374</v>
      </c>
      <c r="D43" s="107" t="s">
        <v>306</v>
      </c>
      <c r="E43" s="107">
        <v>4.7</v>
      </c>
      <c r="F43" s="107">
        <v>5.0322771707711542</v>
      </c>
      <c r="G43" s="107">
        <v>1.5322771707711547</v>
      </c>
      <c r="H43" s="107">
        <v>2.3953035368317406</v>
      </c>
      <c r="I43" s="107">
        <v>5.0322771707711542</v>
      </c>
      <c r="J43" s="107">
        <v>1.5322771707711547</v>
      </c>
      <c r="K43" s="107">
        <v>2.3953035368317406</v>
      </c>
      <c r="L43" s="107">
        <v>5.3390199999999997</v>
      </c>
      <c r="M43" s="107">
        <v>4.3390199999999997</v>
      </c>
      <c r="N43" s="107">
        <v>4.3467343311472426</v>
      </c>
      <c r="O43" s="107">
        <v>4.5022199999999994</v>
      </c>
      <c r="P43" s="107">
        <v>4.5022199999999994</v>
      </c>
      <c r="Q43" s="107">
        <v>4.5022199999999994</v>
      </c>
      <c r="R43" s="107">
        <v>-4.5655515123134629</v>
      </c>
      <c r="S43" s="107">
        <v>-7.2664171803962567</v>
      </c>
      <c r="T43" s="107">
        <v>-1.8555228292288444</v>
      </c>
      <c r="U43" s="107">
        <v>-5.3555228292288444</v>
      </c>
      <c r="V43" s="107">
        <v>-4.4924964631682576</v>
      </c>
      <c r="W43" s="102">
        <v>24881.037206357119</v>
      </c>
    </row>
    <row r="44" spans="1:23">
      <c r="A44" s="102" t="s">
        <v>375</v>
      </c>
      <c r="B44" s="102" t="s">
        <v>376</v>
      </c>
      <c r="D44" s="107" t="s">
        <v>176</v>
      </c>
      <c r="F44" s="107">
        <v>1.3100771707711547</v>
      </c>
      <c r="H44" s="107">
        <v>1.3100771707711547</v>
      </c>
      <c r="I44" s="107">
        <v>1.3100771707711547</v>
      </c>
      <c r="K44" s="107">
        <v>1.3100771707711547</v>
      </c>
      <c r="L44" s="107">
        <v>1.5798199999999998</v>
      </c>
      <c r="N44" s="107">
        <v>1.5798199999999998</v>
      </c>
      <c r="O44" s="107">
        <v>0.85922000000000009</v>
      </c>
      <c r="Q44" s="107">
        <v>0.85922000000000009</v>
      </c>
      <c r="R44" s="107">
        <v>-2.9077515123134638</v>
      </c>
      <c r="S44" s="107">
        <v>-2.9077515123134638</v>
      </c>
      <c r="T44" s="107">
        <v>-3.9497228292288447</v>
      </c>
      <c r="V44" s="107">
        <v>-3.9497228292288447</v>
      </c>
      <c r="W44" s="102">
        <v>107183.66964227398</v>
      </c>
    </row>
    <row r="45" spans="1:23">
      <c r="A45" s="102" t="s">
        <v>377</v>
      </c>
      <c r="B45" s="102" t="s">
        <v>378</v>
      </c>
      <c r="D45" s="107" t="s">
        <v>176</v>
      </c>
      <c r="F45" s="107">
        <v>2.3361971707711549</v>
      </c>
      <c r="H45" s="107">
        <v>2.3361971707711549</v>
      </c>
      <c r="I45" s="107">
        <v>2.3361971707711549</v>
      </c>
      <c r="K45" s="107">
        <v>2.3361971707711549</v>
      </c>
      <c r="L45" s="107">
        <v>2.6161399999999997</v>
      </c>
      <c r="N45" s="107">
        <v>2.6161399999999997</v>
      </c>
      <c r="O45" s="107">
        <v>1.9669399999999999</v>
      </c>
      <c r="Q45" s="107">
        <v>1.9669399999999999</v>
      </c>
      <c r="R45" s="107">
        <v>-4.8216315123134628</v>
      </c>
      <c r="S45" s="107">
        <v>-4.8216315123134628</v>
      </c>
      <c r="T45" s="107">
        <v>-3.3724028292288448</v>
      </c>
      <c r="V45" s="107">
        <v>-3.3724028292288448</v>
      </c>
      <c r="W45" s="102">
        <v>1318.0805096120966</v>
      </c>
    </row>
    <row r="46" spans="1:23">
      <c r="A46" s="102" t="s">
        <v>379</v>
      </c>
      <c r="B46" s="102" t="s">
        <v>380</v>
      </c>
      <c r="D46" s="107" t="s">
        <v>176</v>
      </c>
      <c r="F46" s="107">
        <v>2.2858971707711548</v>
      </c>
      <c r="H46" s="107">
        <v>2.2858971707711548</v>
      </c>
      <c r="I46" s="107">
        <v>2.2858971707711548</v>
      </c>
      <c r="K46" s="107">
        <v>2.2858971707711548</v>
      </c>
      <c r="L46" s="107">
        <v>2.5653399999999995</v>
      </c>
      <c r="N46" s="107">
        <v>2.5653399999999995</v>
      </c>
      <c r="O46" s="107">
        <v>1.9126400000000003</v>
      </c>
      <c r="Q46" s="107">
        <v>1.9126400000000003</v>
      </c>
      <c r="R46" s="107">
        <v>-4.3619315123134639</v>
      </c>
      <c r="S46" s="107">
        <v>-4.3619315123134639</v>
      </c>
      <c r="T46" s="107">
        <v>-3.4007028292288446</v>
      </c>
      <c r="V46" s="107">
        <v>-3.4007028292288446</v>
      </c>
      <c r="W46" s="102">
        <v>31206.284262852711</v>
      </c>
    </row>
    <row r="47" spans="1:23">
      <c r="A47" s="102" t="s">
        <v>381</v>
      </c>
      <c r="B47" s="102" t="s">
        <v>382</v>
      </c>
      <c r="D47" s="107" t="s">
        <v>176</v>
      </c>
      <c r="F47" s="107">
        <v>6.4205571707711533</v>
      </c>
      <c r="H47" s="107">
        <v>6.4205571707711533</v>
      </c>
      <c r="I47" s="107">
        <v>6.4205571707711533</v>
      </c>
      <c r="K47" s="107">
        <v>6.4205571707711533</v>
      </c>
      <c r="L47" s="107">
        <v>6.7410999999999994</v>
      </c>
      <c r="N47" s="107">
        <v>6.7410999999999994</v>
      </c>
      <c r="O47" s="107">
        <v>5.0210999999999988</v>
      </c>
      <c r="Q47" s="107">
        <v>5.0210999999999988</v>
      </c>
      <c r="R47" s="107">
        <v>-6.1472715123134636</v>
      </c>
      <c r="S47" s="107">
        <v>-6.1472715123134636</v>
      </c>
      <c r="T47" s="107">
        <v>-1.0744428292288448</v>
      </c>
      <c r="V47" s="107">
        <v>-1.0744428292288448</v>
      </c>
      <c r="W47" s="102">
        <v>0.10054381306720771</v>
      </c>
    </row>
    <row r="48" spans="1:23">
      <c r="A48" s="102" t="s">
        <v>383</v>
      </c>
      <c r="B48" s="102" t="s">
        <v>384</v>
      </c>
      <c r="D48" s="107" t="s">
        <v>176</v>
      </c>
      <c r="F48" s="107">
        <v>0.78695717077115468</v>
      </c>
      <c r="H48" s="107">
        <v>0.78695717077115468</v>
      </c>
      <c r="I48" s="107">
        <v>0.78695717077115468</v>
      </c>
      <c r="K48" s="107">
        <v>0.78695717077115468</v>
      </c>
      <c r="L48" s="107">
        <v>1.0515000000000001</v>
      </c>
      <c r="N48" s="107">
        <v>1.0515000000000001</v>
      </c>
      <c r="O48" s="107">
        <v>0.2945000000000001</v>
      </c>
      <c r="Q48" s="107">
        <v>0.2945000000000001</v>
      </c>
      <c r="R48" s="107">
        <v>-3.8408715123134631</v>
      </c>
      <c r="S48" s="107">
        <v>-3.8408715123134631</v>
      </c>
      <c r="T48" s="107">
        <v>-4.244042829228845</v>
      </c>
      <c r="V48" s="107">
        <v>-4.244042829228845</v>
      </c>
      <c r="W48" s="102">
        <v>46756.651048537649</v>
      </c>
    </row>
    <row r="49" spans="1:23">
      <c r="A49" s="102" t="s">
        <v>385</v>
      </c>
      <c r="B49" s="102" t="s">
        <v>386</v>
      </c>
      <c r="D49" s="107" t="s">
        <v>176</v>
      </c>
      <c r="F49" s="107">
        <v>1.0384571707711545</v>
      </c>
      <c r="H49" s="107">
        <v>1.0384571707711545</v>
      </c>
      <c r="I49" s="107">
        <v>1.0384571707711545</v>
      </c>
      <c r="K49" s="107">
        <v>1.0384571707711545</v>
      </c>
      <c r="L49" s="107">
        <v>1.3054999999999997</v>
      </c>
      <c r="N49" s="107">
        <v>1.3054999999999997</v>
      </c>
      <c r="O49" s="107">
        <v>0.56599999999999995</v>
      </c>
      <c r="Q49" s="107">
        <v>0.56599999999999995</v>
      </c>
      <c r="R49" s="107">
        <v>-3.5493715123134639</v>
      </c>
      <c r="S49" s="107">
        <v>-3.5493715123134639</v>
      </c>
      <c r="T49" s="107">
        <v>-4.1025428292288453</v>
      </c>
      <c r="V49" s="107">
        <v>-4.1025428292288453</v>
      </c>
      <c r="W49" s="102">
        <v>19106.744797933152</v>
      </c>
    </row>
    <row r="50" spans="1:23">
      <c r="A50" s="102" t="s">
        <v>387</v>
      </c>
      <c r="B50" s="102" t="s">
        <v>388</v>
      </c>
      <c r="D50" s="107" t="s">
        <v>176</v>
      </c>
      <c r="F50" s="107">
        <v>3.5936971707711542</v>
      </c>
      <c r="H50" s="107">
        <v>3.5936971707711542</v>
      </c>
      <c r="I50" s="107">
        <v>3.5936971707711542</v>
      </c>
      <c r="K50" s="107">
        <v>3.5936971707711542</v>
      </c>
      <c r="L50" s="107">
        <v>3.8861399999999993</v>
      </c>
      <c r="N50" s="107">
        <v>3.8861399999999993</v>
      </c>
      <c r="O50" s="107">
        <v>3.3244400000000001</v>
      </c>
      <c r="Q50" s="107">
        <v>3.3244400000000001</v>
      </c>
      <c r="R50" s="107">
        <v>-3.0141315123134635</v>
      </c>
      <c r="S50" s="107">
        <v>-3.0141315123134635</v>
      </c>
      <c r="T50" s="107">
        <v>-2.6649028292288444</v>
      </c>
      <c r="V50" s="107">
        <v>-2.6649028292288444</v>
      </c>
      <c r="W50" s="102">
        <v>1040.0935861567793</v>
      </c>
    </row>
    <row r="51" spans="1:23">
      <c r="A51" s="102" t="s">
        <v>295</v>
      </c>
      <c r="B51" s="102" t="s">
        <v>296</v>
      </c>
      <c r="D51" s="107" t="s">
        <v>176</v>
      </c>
      <c r="F51" s="107">
        <v>5.2577170771154709E-2</v>
      </c>
      <c r="H51" s="107">
        <v>5.2577170771154709E-2</v>
      </c>
      <c r="I51" s="107">
        <v>5.2577170771154709E-2</v>
      </c>
      <c r="K51" s="107">
        <v>5.2577170771154709E-2</v>
      </c>
      <c r="L51" s="107">
        <v>0.30981999999999998</v>
      </c>
      <c r="N51" s="107">
        <v>0.30981999999999998</v>
      </c>
      <c r="O51" s="107">
        <v>-0.49827999999999995</v>
      </c>
      <c r="Q51" s="107">
        <v>-0.49827999999999995</v>
      </c>
      <c r="R51" s="107">
        <v>-3.0952515123134638</v>
      </c>
      <c r="S51" s="107">
        <v>-3.0952515123134638</v>
      </c>
      <c r="T51" s="107">
        <v>-4.6572228292288447</v>
      </c>
      <c r="V51" s="107">
        <v>-4.6572228292288447</v>
      </c>
      <c r="W51" s="102">
        <v>1309115.2554362477</v>
      </c>
    </row>
    <row r="52" spans="1:23">
      <c r="A52" s="102" t="s">
        <v>389</v>
      </c>
      <c r="B52" s="102" t="s">
        <v>390</v>
      </c>
      <c r="D52" s="107" t="s">
        <v>176</v>
      </c>
      <c r="F52" s="107">
        <v>1.5515171707711544</v>
      </c>
      <c r="H52" s="107">
        <v>1.5515171707711544</v>
      </c>
      <c r="I52" s="107">
        <v>1.5515171707711544</v>
      </c>
      <c r="K52" s="107">
        <v>1.5515171707711544</v>
      </c>
      <c r="L52" s="107">
        <v>1.8236600000000001</v>
      </c>
      <c r="N52" s="107">
        <v>1.8236600000000001</v>
      </c>
      <c r="O52" s="107">
        <v>1.1198599999999999</v>
      </c>
      <c r="Q52" s="107">
        <v>1.1198599999999999</v>
      </c>
      <c r="R52" s="107">
        <v>-2.9763115123134636</v>
      </c>
      <c r="S52" s="107">
        <v>-2.9763115123134636</v>
      </c>
      <c r="T52" s="107">
        <v>-3.8138828292288443</v>
      </c>
      <c r="V52" s="107">
        <v>-3.8138828292288443</v>
      </c>
      <c r="W52" s="102">
        <v>7221.6146090326574</v>
      </c>
    </row>
    <row r="53" spans="1:23">
      <c r="A53" s="102" t="s">
        <v>391</v>
      </c>
      <c r="B53" s="102" t="s">
        <v>392</v>
      </c>
      <c r="D53" s="107" t="s">
        <v>176</v>
      </c>
      <c r="F53" s="107">
        <v>2.5876971707711545</v>
      </c>
      <c r="H53" s="107">
        <v>2.5876971707711545</v>
      </c>
      <c r="I53" s="107">
        <v>2.5876971707711545</v>
      </c>
      <c r="K53" s="107">
        <v>2.5876971707711545</v>
      </c>
      <c r="L53" s="107">
        <v>2.8701399999999997</v>
      </c>
      <c r="N53" s="107">
        <v>2.8701399999999997</v>
      </c>
      <c r="O53" s="107">
        <v>2.2384399999999998</v>
      </c>
      <c r="Q53" s="107">
        <v>2.2384399999999998</v>
      </c>
      <c r="R53" s="107">
        <v>-4.2401315123134635</v>
      </c>
      <c r="S53" s="107">
        <v>-4.2401315123134635</v>
      </c>
      <c r="T53" s="107">
        <v>-3.2309028292288442</v>
      </c>
      <c r="V53" s="107">
        <v>-3.2309028292288442</v>
      </c>
      <c r="W53" s="102">
        <v>184.34490920174389</v>
      </c>
    </row>
    <row r="54" spans="1:23">
      <c r="A54" s="102" t="s">
        <v>393</v>
      </c>
      <c r="B54" s="102" t="s">
        <v>394</v>
      </c>
      <c r="D54" s="107" t="s">
        <v>176</v>
      </c>
      <c r="F54" s="107">
        <v>6.2394771707711545</v>
      </c>
      <c r="H54" s="107">
        <v>6.2394771707711545</v>
      </c>
      <c r="I54" s="107">
        <v>6.2394771707711545</v>
      </c>
      <c r="K54" s="107">
        <v>6.2394771707711545</v>
      </c>
      <c r="L54" s="107">
        <v>6.5582200000000004</v>
      </c>
      <c r="N54" s="107">
        <v>6.5582200000000004</v>
      </c>
      <c r="O54" s="107">
        <v>4.9534200000000004</v>
      </c>
      <c r="Q54" s="107">
        <v>4.9534200000000004</v>
      </c>
      <c r="R54" s="107">
        <v>-2.6283515123134635</v>
      </c>
      <c r="S54" s="107">
        <v>-2.6283515123134635</v>
      </c>
      <c r="T54" s="107">
        <v>-1.1763228292288443</v>
      </c>
      <c r="V54" s="107">
        <v>-1.1763228292288443</v>
      </c>
      <c r="W54" s="102">
        <v>0.24525581707358116</v>
      </c>
    </row>
    <row r="55" spans="1:23">
      <c r="A55" s="102" t="s">
        <v>395</v>
      </c>
      <c r="B55" s="102" t="s">
        <v>396</v>
      </c>
      <c r="D55" s="107" t="s">
        <v>176</v>
      </c>
      <c r="F55" s="107">
        <v>3.2013571707711543</v>
      </c>
      <c r="H55" s="107">
        <v>3.2013571707711543</v>
      </c>
      <c r="I55" s="107">
        <v>3.2013571707711543</v>
      </c>
      <c r="K55" s="107">
        <v>3.2013571707711543</v>
      </c>
      <c r="L55" s="107">
        <v>3.4899</v>
      </c>
      <c r="N55" s="107">
        <v>3.4899</v>
      </c>
      <c r="O55" s="107">
        <v>2.9008999999999996</v>
      </c>
      <c r="Q55" s="107">
        <v>2.9008999999999996</v>
      </c>
      <c r="R55" s="107">
        <v>-1.966471512313464</v>
      </c>
      <c r="S55" s="107">
        <v>-1.966471512313464</v>
      </c>
      <c r="T55" s="107">
        <v>-2.885642829228845</v>
      </c>
      <c r="V55" s="107">
        <v>-2.885642829228845</v>
      </c>
      <c r="W55" s="102">
        <v>39.730695427060681</v>
      </c>
    </row>
    <row r="56" spans="1:23">
      <c r="A56" s="102" t="s">
        <v>397</v>
      </c>
      <c r="B56" s="102" t="s">
        <v>398</v>
      </c>
      <c r="D56" s="107" t="s">
        <v>176</v>
      </c>
      <c r="F56" s="107">
        <v>3.8954971707711543</v>
      </c>
      <c r="H56" s="107">
        <v>3.8954971707711543</v>
      </c>
      <c r="I56" s="107">
        <v>3.8954971707711543</v>
      </c>
      <c r="K56" s="107">
        <v>3.8954971707711543</v>
      </c>
      <c r="L56" s="107">
        <v>4.1909400000000003</v>
      </c>
      <c r="N56" s="107">
        <v>4.1909400000000003</v>
      </c>
      <c r="O56" s="107">
        <v>3.6502400000000002</v>
      </c>
      <c r="Q56" s="107">
        <v>3.6502400000000002</v>
      </c>
      <c r="R56" s="107">
        <v>-0.38233151231346396</v>
      </c>
      <c r="S56" s="107">
        <v>-0.38233151231346396</v>
      </c>
      <c r="T56" s="107">
        <v>-2.4951028292288444</v>
      </c>
      <c r="V56" s="107">
        <v>-2.4951028292288444</v>
      </c>
      <c r="W56" s="102">
        <v>57.743056302379898</v>
      </c>
    </row>
    <row r="57" spans="1:23">
      <c r="A57" s="102" t="s">
        <v>399</v>
      </c>
      <c r="B57" s="102" t="s">
        <v>400</v>
      </c>
      <c r="D57" s="107" t="s">
        <v>176</v>
      </c>
      <c r="F57" s="107">
        <v>3.3321371707711545</v>
      </c>
      <c r="H57" s="107">
        <v>3.3321371707711545</v>
      </c>
      <c r="I57" s="107">
        <v>3.3321371707711545</v>
      </c>
      <c r="K57" s="107">
        <v>3.3321371707711545</v>
      </c>
      <c r="L57" s="107">
        <v>3.6219799999999998</v>
      </c>
      <c r="N57" s="107">
        <v>3.6219799999999998</v>
      </c>
      <c r="O57" s="107">
        <v>3.0420799999999999</v>
      </c>
      <c r="Q57" s="107">
        <v>3.0420799999999999</v>
      </c>
      <c r="R57" s="107">
        <v>-0.5356915123134639</v>
      </c>
      <c r="S57" s="107">
        <v>-0.5356915123134639</v>
      </c>
      <c r="T57" s="107">
        <v>-2.8120628292288448</v>
      </c>
      <c r="V57" s="107">
        <v>-2.8120628292288448</v>
      </c>
      <c r="W57" s="102">
        <v>179.54973962807537</v>
      </c>
    </row>
    <row r="58" spans="1:23">
      <c r="A58" s="102" t="s">
        <v>297</v>
      </c>
      <c r="B58" s="102" t="s">
        <v>298</v>
      </c>
      <c r="D58" s="107" t="s">
        <v>176</v>
      </c>
      <c r="F58" s="107">
        <v>1.1390571707711545</v>
      </c>
      <c r="H58" s="107">
        <v>1.1390571707711545</v>
      </c>
      <c r="I58" s="107">
        <v>1.1390571707711545</v>
      </c>
      <c r="K58" s="107">
        <v>1.1390571707711545</v>
      </c>
      <c r="L58" s="107">
        <v>1.4070999999999998</v>
      </c>
      <c r="N58" s="107">
        <v>1.4070999999999998</v>
      </c>
      <c r="O58" s="107">
        <v>0.67460000000000009</v>
      </c>
      <c r="Q58" s="107">
        <v>0.67460000000000009</v>
      </c>
      <c r="R58" s="107">
        <v>-0.75877151231346396</v>
      </c>
      <c r="S58" s="107">
        <v>-0.75877151231346396</v>
      </c>
      <c r="T58" s="107">
        <v>-4.0459428292288449</v>
      </c>
      <c r="V58" s="107">
        <v>-4.0459428292288449</v>
      </c>
      <c r="W58" s="102">
        <v>19517.48955514398</v>
      </c>
    </row>
    <row r="59" spans="1:23">
      <c r="A59" s="102" t="s">
        <v>401</v>
      </c>
      <c r="B59" s="102" t="s">
        <v>402</v>
      </c>
      <c r="D59" s="107" t="s">
        <v>176</v>
      </c>
      <c r="F59" s="107">
        <v>3.3019571707711544</v>
      </c>
      <c r="H59" s="107">
        <v>3.3019571707711544</v>
      </c>
      <c r="I59" s="107">
        <v>3.3019571707711544</v>
      </c>
      <c r="K59" s="107">
        <v>3.3019571707711544</v>
      </c>
      <c r="L59" s="107">
        <v>3.591499999999999</v>
      </c>
      <c r="N59" s="107">
        <v>3.591499999999999</v>
      </c>
      <c r="O59" s="107">
        <v>3.0094999999999996</v>
      </c>
      <c r="Q59" s="107">
        <v>3.0094999999999996</v>
      </c>
      <c r="R59" s="107">
        <v>-7.5871512313464076E-2</v>
      </c>
      <c r="S59" s="107">
        <v>-7.5871512313464076E-2</v>
      </c>
      <c r="T59" s="107">
        <v>-2.8290428292288445</v>
      </c>
      <c r="V59" s="107">
        <v>-2.8290428292288445</v>
      </c>
      <c r="W59" s="102">
        <v>347.07425579949603</v>
      </c>
    </row>
    <row r="60" spans="1:23">
      <c r="A60" s="102" t="s">
        <v>299</v>
      </c>
      <c r="B60" s="102" t="s">
        <v>300</v>
      </c>
      <c r="D60" s="107" t="s">
        <v>176</v>
      </c>
      <c r="F60" s="107">
        <v>2.9699771707711542</v>
      </c>
      <c r="H60" s="107">
        <v>2.9699771707711542</v>
      </c>
      <c r="I60" s="107">
        <v>2.9699771707711542</v>
      </c>
      <c r="K60" s="107">
        <v>2.9699771707711542</v>
      </c>
      <c r="L60" s="107">
        <v>3.2562199999999999</v>
      </c>
      <c r="N60" s="107">
        <v>3.2562199999999999</v>
      </c>
      <c r="O60" s="107">
        <v>2.6511199999999997</v>
      </c>
      <c r="Q60" s="107">
        <v>2.6511199999999997</v>
      </c>
      <c r="R60" s="107">
        <v>1.392148487686536</v>
      </c>
      <c r="S60" s="107">
        <v>1.392148487686536</v>
      </c>
      <c r="T60" s="107">
        <v>-3.0158228292288443</v>
      </c>
      <c r="V60" s="107">
        <v>-3.0158228292288443</v>
      </c>
      <c r="W60" s="102">
        <v>411.58600559354056</v>
      </c>
    </row>
    <row r="61" spans="1:23">
      <c r="A61" s="102" t="s">
        <v>403</v>
      </c>
      <c r="B61" s="102" t="s">
        <v>404</v>
      </c>
      <c r="D61" s="107" t="s">
        <v>176</v>
      </c>
      <c r="F61" s="107">
        <v>2.8190771707711546</v>
      </c>
      <c r="H61" s="107">
        <v>2.8190771707711546</v>
      </c>
      <c r="I61" s="107">
        <v>2.8190771707711546</v>
      </c>
      <c r="K61" s="107">
        <v>2.8190771707711546</v>
      </c>
      <c r="L61" s="107">
        <v>3.1038199999999998</v>
      </c>
      <c r="N61" s="107">
        <v>3.1038199999999998</v>
      </c>
      <c r="O61" s="107">
        <v>2.4882200000000001</v>
      </c>
      <c r="Q61" s="107">
        <v>2.4882200000000001</v>
      </c>
      <c r="R61" s="107">
        <v>-44.758751512313466</v>
      </c>
      <c r="S61" s="107">
        <v>-44.758751512313466</v>
      </c>
      <c r="T61" s="107">
        <v>-3.1007228292288445</v>
      </c>
      <c r="V61" s="107">
        <v>-3.1007228292288445</v>
      </c>
      <c r="W61" s="102">
        <v>0.85419305261722644</v>
      </c>
    </row>
    <row r="62" spans="1:23">
      <c r="A62" s="102" t="s">
        <v>405</v>
      </c>
      <c r="B62" s="102" t="s">
        <v>406</v>
      </c>
      <c r="D62" s="107" t="s">
        <v>176</v>
      </c>
      <c r="F62" s="107">
        <v>5.3240171707711541</v>
      </c>
      <c r="H62" s="107">
        <v>5.3240171707711541</v>
      </c>
      <c r="I62" s="107">
        <v>5.3240171707711541</v>
      </c>
      <c r="K62" s="107">
        <v>5.3240171707711541</v>
      </c>
      <c r="L62" s="107">
        <v>5.6336599999999999</v>
      </c>
      <c r="N62" s="107">
        <v>5.6336599999999999</v>
      </c>
      <c r="O62" s="107">
        <v>4.6112599999999997</v>
      </c>
      <c r="Q62" s="107">
        <v>4.6112599999999997</v>
      </c>
      <c r="R62" s="107">
        <v>-6.5138115123134632</v>
      </c>
      <c r="S62" s="107">
        <v>-6.5138115123134632</v>
      </c>
      <c r="T62" s="107">
        <v>-1.6913828292288444</v>
      </c>
      <c r="V62" s="107">
        <v>-1.6913828292288444</v>
      </c>
      <c r="W62" s="102">
        <v>2.6973812942728226</v>
      </c>
    </row>
    <row r="63" spans="1:23">
      <c r="A63" s="102" t="s">
        <v>407</v>
      </c>
      <c r="B63" s="102" t="s">
        <v>408</v>
      </c>
      <c r="D63" s="107" t="s">
        <v>176</v>
      </c>
      <c r="F63" s="107">
        <v>6.7324171707711526</v>
      </c>
      <c r="H63" s="107">
        <v>6.7324171707711526</v>
      </c>
      <c r="I63" s="107">
        <v>6.7324171707711526</v>
      </c>
      <c r="K63" s="107">
        <v>6.7324171707711526</v>
      </c>
      <c r="L63" s="107">
        <v>7.0560599999999987</v>
      </c>
      <c r="N63" s="107">
        <v>7.0560599999999987</v>
      </c>
      <c r="O63" s="107">
        <v>5.1376599999999994</v>
      </c>
      <c r="Q63" s="107">
        <v>5.1376599999999994</v>
      </c>
      <c r="R63" s="107">
        <v>-3.0954115123134636</v>
      </c>
      <c r="S63" s="107">
        <v>-3.0954115123134636</v>
      </c>
      <c r="T63" s="107">
        <v>-0.89898282922884498</v>
      </c>
      <c r="V63" s="107">
        <v>-0.89898282922884498</v>
      </c>
      <c r="W63" s="102">
        <v>5.2853383196738928E-2</v>
      </c>
    </row>
    <row r="64" spans="1:23">
      <c r="A64" s="102" t="s">
        <v>409</v>
      </c>
      <c r="B64" s="102" t="s">
        <v>410</v>
      </c>
      <c r="D64" s="107" t="s">
        <v>176</v>
      </c>
      <c r="F64" s="107">
        <v>7.2454771707711529</v>
      </c>
      <c r="H64" s="107">
        <v>7.2454771707711529</v>
      </c>
      <c r="I64" s="107">
        <v>7.2454771707711529</v>
      </c>
      <c r="K64" s="107">
        <v>7.2454771707711529</v>
      </c>
      <c r="L64" s="107">
        <v>7.5742199999999995</v>
      </c>
      <c r="N64" s="107">
        <v>7.5742199999999995</v>
      </c>
      <c r="O64" s="107">
        <v>5.3294199999999998</v>
      </c>
      <c r="Q64" s="107">
        <v>5.3294199999999998</v>
      </c>
      <c r="R64" s="107">
        <v>-3.5423515123134632</v>
      </c>
      <c r="S64" s="107">
        <v>-3.5423515123134632</v>
      </c>
      <c r="T64" s="107">
        <v>-0.61032282922884451</v>
      </c>
      <c r="V64" s="107">
        <v>-0.61032282922884451</v>
      </c>
      <c r="W64" s="102">
        <v>1.7028117676669979E-2</v>
      </c>
    </row>
    <row r="65" spans="1:23">
      <c r="A65" s="102" t="s">
        <v>301</v>
      </c>
      <c r="B65" s="102" t="s">
        <v>302</v>
      </c>
      <c r="D65" s="107" t="s">
        <v>176</v>
      </c>
      <c r="F65" s="107">
        <v>7.8289571707711536</v>
      </c>
      <c r="H65" s="107">
        <v>7.8289571707711536</v>
      </c>
      <c r="I65" s="107">
        <v>7.8289571707711536</v>
      </c>
      <c r="K65" s="107">
        <v>7.8289571707711536</v>
      </c>
      <c r="L65" s="107">
        <v>8.1634999999999991</v>
      </c>
      <c r="N65" s="107">
        <v>8.1634999999999991</v>
      </c>
      <c r="O65" s="107">
        <v>5.5475000000000003</v>
      </c>
      <c r="Q65" s="107">
        <v>5.5475000000000003</v>
      </c>
      <c r="R65" s="107">
        <v>-3.8988715123134638</v>
      </c>
      <c r="S65" s="107">
        <v>-3.8988715123134638</v>
      </c>
      <c r="T65" s="107">
        <v>-0.28204282922884449</v>
      </c>
      <c r="V65" s="107">
        <v>-0.28204282922884449</v>
      </c>
      <c r="W65" s="102">
        <v>2.2966139430661884E-3</v>
      </c>
    </row>
    <row r="66" spans="1:23">
      <c r="A66" s="102" t="s">
        <v>303</v>
      </c>
      <c r="B66" s="102" t="s">
        <v>304</v>
      </c>
      <c r="D66" s="107" t="s">
        <v>176</v>
      </c>
      <c r="F66" s="107">
        <v>7.496977170771153</v>
      </c>
      <c r="H66" s="107">
        <v>7.496977170771153</v>
      </c>
      <c r="I66" s="107">
        <v>7.496977170771153</v>
      </c>
      <c r="K66" s="107">
        <v>7.496977170771153</v>
      </c>
      <c r="L66" s="107">
        <v>7.8282199999999991</v>
      </c>
      <c r="N66" s="107">
        <v>7.8282199999999991</v>
      </c>
      <c r="O66" s="107">
        <v>5.4234199999999992</v>
      </c>
      <c r="Q66" s="107">
        <v>5.4234199999999992</v>
      </c>
      <c r="R66" s="107">
        <v>-10.230851512313462</v>
      </c>
      <c r="S66" s="107">
        <v>-10.230851512313462</v>
      </c>
      <c r="T66" s="107">
        <v>-0.46882282922884444</v>
      </c>
      <c r="V66" s="107">
        <v>-0.46882282922884444</v>
      </c>
      <c r="W66" s="102">
        <v>0.49311764108623457</v>
      </c>
    </row>
    <row r="67" spans="1:23">
      <c r="A67" s="102" t="s">
        <v>411</v>
      </c>
      <c r="B67" s="102" t="s">
        <v>412</v>
      </c>
      <c r="D67" s="107" t="s">
        <v>176</v>
      </c>
      <c r="F67" s="107">
        <v>1.3905571707711546</v>
      </c>
      <c r="H67" s="107">
        <v>1.3905571707711546</v>
      </c>
      <c r="I67" s="107">
        <v>1.3905571707711546</v>
      </c>
      <c r="K67" s="107">
        <v>1.3905571707711546</v>
      </c>
      <c r="L67" s="107">
        <v>1.6610999999999998</v>
      </c>
      <c r="N67" s="107">
        <v>1.6610999999999998</v>
      </c>
      <c r="O67" s="107">
        <v>0.94609999999999994</v>
      </c>
      <c r="Q67" s="107">
        <v>0.94609999999999994</v>
      </c>
      <c r="R67" s="107">
        <v>-4.1972715123134634</v>
      </c>
      <c r="S67" s="107">
        <v>-4.1972715123134634</v>
      </c>
      <c r="T67" s="107">
        <v>-3.9044428292288451</v>
      </c>
      <c r="V67" s="107">
        <v>-3.9044428292288451</v>
      </c>
      <c r="W67" s="102">
        <v>656.38363707746964</v>
      </c>
    </row>
    <row r="68" spans="1:23">
      <c r="A68" s="102" t="s">
        <v>413</v>
      </c>
      <c r="B68" s="102" t="s">
        <v>414</v>
      </c>
      <c r="D68" s="107" t="s">
        <v>176</v>
      </c>
      <c r="F68" s="107">
        <v>1.6521171707711544</v>
      </c>
      <c r="H68" s="107">
        <v>1.6521171707711544</v>
      </c>
      <c r="I68" s="107">
        <v>1.6521171707711544</v>
      </c>
      <c r="K68" s="107">
        <v>1.6521171707711544</v>
      </c>
      <c r="L68" s="107">
        <v>1.9252599999999995</v>
      </c>
      <c r="N68" s="107">
        <v>1.9252599999999995</v>
      </c>
      <c r="O68" s="107">
        <v>1.2284599999999999</v>
      </c>
      <c r="Q68" s="107">
        <v>1.2284599999999999</v>
      </c>
      <c r="R68" s="107">
        <v>-3.8257115123134628</v>
      </c>
      <c r="S68" s="107">
        <v>-3.8257115123134628</v>
      </c>
      <c r="T68" s="107">
        <v>-3.7572828292288443</v>
      </c>
      <c r="V68" s="107">
        <v>-3.7572828292288443</v>
      </c>
      <c r="W68" s="102">
        <v>1644.8715734313262</v>
      </c>
    </row>
    <row r="69" spans="1:23">
      <c r="A69" s="102" t="s">
        <v>415</v>
      </c>
      <c r="B69" s="102" t="s">
        <v>416</v>
      </c>
      <c r="D69" s="107" t="s">
        <v>176</v>
      </c>
      <c r="F69" s="107">
        <v>5.9879771707711535</v>
      </c>
      <c r="H69" s="107">
        <v>5.9879771707711535</v>
      </c>
      <c r="I69" s="107">
        <v>5.9879771707711535</v>
      </c>
      <c r="K69" s="107">
        <v>5.9879771707711535</v>
      </c>
      <c r="L69" s="107">
        <v>6.304219999999999</v>
      </c>
      <c r="N69" s="107">
        <v>6.304219999999999</v>
      </c>
      <c r="O69" s="107">
        <v>4.8594200000000001</v>
      </c>
      <c r="Q69" s="107">
        <v>4.8594200000000001</v>
      </c>
      <c r="R69" s="107">
        <v>-2.0098515123134639</v>
      </c>
      <c r="S69" s="107">
        <v>-2.0098515123134639</v>
      </c>
      <c r="T69" s="107">
        <v>-1.3178228292288443</v>
      </c>
      <c r="V69" s="107">
        <v>-1.3178228292288443</v>
      </c>
      <c r="W69" s="102">
        <v>1569.5447877725217</v>
      </c>
    </row>
    <row r="70" spans="1:23">
      <c r="A70" s="102" t="s">
        <v>417</v>
      </c>
      <c r="B70" s="102" t="s">
        <v>418</v>
      </c>
      <c r="D70" s="107" t="s">
        <v>176</v>
      </c>
      <c r="F70" s="107">
        <v>4.1067571707711537</v>
      </c>
      <c r="H70" s="107">
        <v>4.1067571707711537</v>
      </c>
      <c r="I70" s="107">
        <v>4.1067571707711537</v>
      </c>
      <c r="K70" s="107">
        <v>4.1067571707711537</v>
      </c>
      <c r="L70" s="107">
        <v>4.4042999999999992</v>
      </c>
      <c r="N70" s="107">
        <v>4.4042999999999992</v>
      </c>
      <c r="O70" s="107">
        <v>3.8782999999999999</v>
      </c>
      <c r="Q70" s="107">
        <v>3.8782999999999999</v>
      </c>
      <c r="R70" s="107">
        <v>-2.861071512313464</v>
      </c>
      <c r="S70" s="107">
        <v>-2.861071512313464</v>
      </c>
      <c r="T70" s="107">
        <v>-2.3762428292288442</v>
      </c>
      <c r="V70" s="107">
        <v>-2.3762428292288442</v>
      </c>
      <c r="W70" s="102">
        <v>36.357038760564457</v>
      </c>
    </row>
    <row r="71" spans="1:23">
      <c r="A71" s="102" t="s">
        <v>419</v>
      </c>
      <c r="B71" s="102" t="s">
        <v>420</v>
      </c>
      <c r="D71" s="107" t="s">
        <v>176</v>
      </c>
      <c r="F71" s="107">
        <v>1.6118771707711546</v>
      </c>
      <c r="H71" s="107">
        <v>1.6118771707711546</v>
      </c>
      <c r="I71" s="107">
        <v>1.6118771707711546</v>
      </c>
      <c r="K71" s="107">
        <v>1.6118771707711546</v>
      </c>
      <c r="L71" s="107">
        <v>1.8846199999999995</v>
      </c>
      <c r="N71" s="107">
        <v>1.8846199999999995</v>
      </c>
      <c r="O71" s="107">
        <v>1.18502</v>
      </c>
      <c r="Q71" s="107">
        <v>1.18502</v>
      </c>
      <c r="R71" s="107">
        <v>-3.4359515123134639</v>
      </c>
      <c r="S71" s="107">
        <v>-3.4359515123134639</v>
      </c>
      <c r="T71" s="107">
        <v>-3.7799228292288447</v>
      </c>
      <c r="V71" s="107">
        <v>-3.7799228292288447</v>
      </c>
      <c r="W71" s="102">
        <v>573.80464244364225</v>
      </c>
    </row>
    <row r="72" spans="1:23">
      <c r="A72" s="102" t="s">
        <v>421</v>
      </c>
      <c r="B72" s="102" t="s">
        <v>422</v>
      </c>
      <c r="D72" s="107" t="s">
        <v>176</v>
      </c>
      <c r="F72" s="107">
        <v>4.0363371707711542</v>
      </c>
      <c r="H72" s="107">
        <v>4.0363371707711542</v>
      </c>
      <c r="I72" s="107">
        <v>4.0363371707711542</v>
      </c>
      <c r="K72" s="107">
        <v>4.0363371707711542</v>
      </c>
      <c r="L72" s="107">
        <v>4.3331799999999996</v>
      </c>
      <c r="N72" s="107">
        <v>4.3331799999999996</v>
      </c>
      <c r="O72" s="107">
        <v>3.8022800000000001</v>
      </c>
      <c r="Q72" s="107">
        <v>3.8022800000000001</v>
      </c>
      <c r="R72" s="107">
        <v>-2.3014915123134636</v>
      </c>
      <c r="S72" s="107">
        <v>-2.3014915123134636</v>
      </c>
      <c r="T72" s="107">
        <v>-2.4158628292288449</v>
      </c>
      <c r="V72" s="107">
        <v>-2.4158628292288449</v>
      </c>
      <c r="W72" s="102">
        <v>6267.5300697502407</v>
      </c>
    </row>
    <row r="73" spans="1:23">
      <c r="A73" s="102" t="s">
        <v>423</v>
      </c>
      <c r="B73" s="102" t="s">
        <v>424</v>
      </c>
      <c r="D73" s="107" t="s">
        <v>176</v>
      </c>
      <c r="F73" s="107">
        <v>2.8693771707711551</v>
      </c>
      <c r="H73" s="107">
        <v>2.8693771707711551</v>
      </c>
      <c r="I73" s="107">
        <v>2.8693771707711551</v>
      </c>
      <c r="K73" s="107">
        <v>2.8693771707711551</v>
      </c>
      <c r="L73" s="107">
        <v>3.15462</v>
      </c>
      <c r="N73" s="107">
        <v>3.15462</v>
      </c>
      <c r="O73" s="107">
        <v>2.5425200000000006</v>
      </c>
      <c r="Q73" s="107">
        <v>2.5425200000000006</v>
      </c>
      <c r="R73" s="107">
        <v>-3.2584515123134636</v>
      </c>
      <c r="S73" s="107">
        <v>-3.2584515123134636</v>
      </c>
      <c r="T73" s="107">
        <v>-3.0724228292288442</v>
      </c>
      <c r="V73" s="107">
        <v>-3.0724228292288442</v>
      </c>
      <c r="W73" s="102">
        <v>22.995807434861607</v>
      </c>
    </row>
    <row r="74" spans="1:23">
      <c r="A74" s="102" t="s">
        <v>425</v>
      </c>
      <c r="B74" s="102" t="s">
        <v>426</v>
      </c>
      <c r="D74" s="107" t="s">
        <v>176</v>
      </c>
      <c r="F74" s="107">
        <v>4.0866371707711542</v>
      </c>
      <c r="H74" s="107">
        <v>4.0866371707711542</v>
      </c>
      <c r="I74" s="107">
        <v>4.0866371707711542</v>
      </c>
      <c r="K74" s="107">
        <v>4.0866371707711542</v>
      </c>
      <c r="L74" s="107">
        <v>4.3839799999999993</v>
      </c>
      <c r="N74" s="107">
        <v>4.3839799999999993</v>
      </c>
      <c r="O74" s="107">
        <v>3.8565799999999997</v>
      </c>
      <c r="Q74" s="107">
        <v>3.8565799999999997</v>
      </c>
      <c r="R74" s="107">
        <v>-2.691191512313464</v>
      </c>
      <c r="S74" s="107">
        <v>-2.691191512313464</v>
      </c>
      <c r="T74" s="107">
        <v>-2.3875628292288447</v>
      </c>
      <c r="V74" s="107">
        <v>-2.3875628292288447</v>
      </c>
      <c r="W74" s="102">
        <v>0.30450731812980802</v>
      </c>
    </row>
    <row r="75" spans="1:23">
      <c r="A75" s="102" t="s">
        <v>427</v>
      </c>
      <c r="B75" s="102" t="s">
        <v>428</v>
      </c>
      <c r="D75" s="107" t="s">
        <v>306</v>
      </c>
      <c r="E75" s="107">
        <v>0</v>
      </c>
      <c r="F75" s="107">
        <v>5.8672571707711541</v>
      </c>
      <c r="G75" s="107">
        <v>2.3672571707711549</v>
      </c>
      <c r="H75" s="107">
        <v>2.3673118244762641</v>
      </c>
      <c r="I75" s="107">
        <v>5.8672571707711541</v>
      </c>
      <c r="J75" s="107">
        <v>2.3672571707711549</v>
      </c>
      <c r="K75" s="107">
        <v>2.3673118244762641</v>
      </c>
      <c r="L75" s="107">
        <v>6.1822999999999997</v>
      </c>
      <c r="M75" s="107">
        <v>5.1822999999999997</v>
      </c>
      <c r="N75" s="107">
        <v>5.1823001556061383</v>
      </c>
      <c r="O75" s="107">
        <v>4.8142999999999994</v>
      </c>
      <c r="P75" s="107">
        <v>4.8142999999999994</v>
      </c>
      <c r="Q75" s="107">
        <v>4.8142999999999994</v>
      </c>
      <c r="R75" s="107">
        <v>-1.4505715123134637</v>
      </c>
      <c r="S75" s="107">
        <v>-8.8505715296030374</v>
      </c>
      <c r="T75" s="107">
        <v>-1.3857428292288447</v>
      </c>
      <c r="U75" s="107">
        <v>-4.8857428292288443</v>
      </c>
      <c r="V75" s="107">
        <v>-4.8856881755237342</v>
      </c>
      <c r="W75" s="102">
        <v>2794337452.8186965</v>
      </c>
    </row>
    <row r="76" spans="1:23">
      <c r="A76" s="102" t="s">
        <v>429</v>
      </c>
      <c r="B76" s="102" t="s">
        <v>430</v>
      </c>
      <c r="D76" s="107" t="s">
        <v>306</v>
      </c>
      <c r="E76" s="107">
        <v>0</v>
      </c>
      <c r="F76" s="107">
        <v>5.8672571707711541</v>
      </c>
      <c r="G76" s="107">
        <v>2.3672571707711549</v>
      </c>
      <c r="H76" s="107">
        <v>2.3673118244762641</v>
      </c>
      <c r="I76" s="107">
        <v>5.8672571707711541</v>
      </c>
      <c r="J76" s="107">
        <v>2.3672571707711549</v>
      </c>
      <c r="K76" s="107">
        <v>2.3673118244762641</v>
      </c>
      <c r="L76" s="107">
        <v>6.1822999999999997</v>
      </c>
      <c r="M76" s="107">
        <v>5.1822999999999997</v>
      </c>
      <c r="N76" s="107">
        <v>5.1823001556061383</v>
      </c>
      <c r="O76" s="107">
        <v>4.8142999999999994</v>
      </c>
      <c r="P76" s="107">
        <v>4.8142999999999994</v>
      </c>
      <c r="Q76" s="107">
        <v>4.8142999999999994</v>
      </c>
      <c r="R76" s="107">
        <v>-3.0505715123134638</v>
      </c>
      <c r="S76" s="107">
        <v>-10.450571529603037</v>
      </c>
      <c r="T76" s="107">
        <v>-1.3857428292288447</v>
      </c>
      <c r="U76" s="107">
        <v>-4.8857428292288443</v>
      </c>
      <c r="V76" s="107">
        <v>-4.8856881755237342</v>
      </c>
      <c r="W76" s="102">
        <v>17327288404.432308</v>
      </c>
    </row>
    <row r="77" spans="1:23">
      <c r="A77" s="102" t="s">
        <v>431</v>
      </c>
      <c r="B77" s="102" t="s">
        <v>432</v>
      </c>
      <c r="D77" s="107" t="s">
        <v>176</v>
      </c>
      <c r="F77" s="107">
        <v>3.4327371707711545</v>
      </c>
      <c r="H77" s="107">
        <v>3.4327371707711545</v>
      </c>
      <c r="I77" s="107">
        <v>3.4327371707711545</v>
      </c>
      <c r="K77" s="107">
        <v>3.4327371707711545</v>
      </c>
      <c r="L77" s="107">
        <v>3.7235799999999992</v>
      </c>
      <c r="N77" s="107">
        <v>3.7235799999999992</v>
      </c>
      <c r="O77" s="107">
        <v>3.1506799999999995</v>
      </c>
      <c r="Q77" s="107">
        <v>3.1506799999999995</v>
      </c>
      <c r="R77" s="107">
        <v>-2.5850915123134635</v>
      </c>
      <c r="S77" s="107">
        <v>-2.5850915123134635</v>
      </c>
      <c r="T77" s="107">
        <v>-2.7554628292288448</v>
      </c>
      <c r="V77" s="107">
        <v>-2.7554628292288448</v>
      </c>
      <c r="W77" s="102">
        <v>147564.13085013296</v>
      </c>
    </row>
    <row r="78" spans="1:23">
      <c r="A78" s="102" t="s">
        <v>433</v>
      </c>
      <c r="B78" s="102" t="s">
        <v>434</v>
      </c>
      <c r="D78" s="107" t="s">
        <v>176</v>
      </c>
      <c r="F78" s="107">
        <v>2.2154771707711545</v>
      </c>
      <c r="H78" s="107">
        <v>2.2154771707711545</v>
      </c>
      <c r="I78" s="107">
        <v>2.2154771707711545</v>
      </c>
      <c r="K78" s="107">
        <v>2.2154771707711545</v>
      </c>
      <c r="L78" s="107">
        <v>2.4942199999999999</v>
      </c>
      <c r="N78" s="107">
        <v>2.4942199999999999</v>
      </c>
      <c r="O78" s="107">
        <v>1.8366200000000001</v>
      </c>
      <c r="Q78" s="107">
        <v>1.8366200000000001</v>
      </c>
      <c r="R78" s="107">
        <v>-3.1523515123134636</v>
      </c>
      <c r="S78" s="107">
        <v>-3.1523515123134636</v>
      </c>
      <c r="T78" s="107">
        <v>-3.4403228292288448</v>
      </c>
      <c r="V78" s="107">
        <v>-3.4403228292288448</v>
      </c>
      <c r="W78" s="102">
        <v>152.49824788031518</v>
      </c>
    </row>
    <row r="79" spans="1:23">
      <c r="A79" s="102" t="s">
        <v>435</v>
      </c>
      <c r="B79" s="102" t="s">
        <v>436</v>
      </c>
      <c r="D79" s="107" t="s">
        <v>176</v>
      </c>
      <c r="F79" s="107">
        <v>2.6078171707711544</v>
      </c>
      <c r="H79" s="107">
        <v>2.6078171707711544</v>
      </c>
      <c r="I79" s="107">
        <v>2.6078171707711544</v>
      </c>
      <c r="K79" s="107">
        <v>2.6078171707711544</v>
      </c>
      <c r="L79" s="107">
        <v>2.89046</v>
      </c>
      <c r="N79" s="107">
        <v>2.89046</v>
      </c>
      <c r="O79" s="107">
        <v>2.2601599999999999</v>
      </c>
      <c r="Q79" s="107">
        <v>2.2601599999999999</v>
      </c>
      <c r="R79" s="107">
        <v>-3.6300115123134638</v>
      </c>
      <c r="S79" s="107">
        <v>-3.6300115123134638</v>
      </c>
      <c r="T79" s="107">
        <v>-3.2195828292288442</v>
      </c>
      <c r="V79" s="107">
        <v>-3.2195828292288442</v>
      </c>
      <c r="W79" s="102">
        <v>307.79801476533692</v>
      </c>
    </row>
    <row r="80" spans="1:23">
      <c r="A80" s="102" t="s">
        <v>437</v>
      </c>
      <c r="B80" s="102" t="s">
        <v>438</v>
      </c>
      <c r="D80" s="107" t="s">
        <v>306</v>
      </c>
      <c r="E80" s="107">
        <v>0</v>
      </c>
      <c r="F80" s="107">
        <v>6.3199571707711542</v>
      </c>
      <c r="G80" s="107">
        <v>2.819957170771155</v>
      </c>
      <c r="H80" s="107">
        <v>2.8200118244762642</v>
      </c>
      <c r="I80" s="107">
        <v>6.3199571707711542</v>
      </c>
      <c r="J80" s="107">
        <v>2.819957170771155</v>
      </c>
      <c r="K80" s="107">
        <v>2.8200118244762642</v>
      </c>
      <c r="L80" s="107">
        <v>6.6395</v>
      </c>
      <c r="M80" s="107">
        <v>5.6395</v>
      </c>
      <c r="N80" s="107">
        <v>5.6395001556061386</v>
      </c>
      <c r="O80" s="107">
        <v>4.9834999999999994</v>
      </c>
      <c r="P80" s="107">
        <v>4.9834999999999994</v>
      </c>
      <c r="Q80" s="107">
        <v>4.9834999999999994</v>
      </c>
      <c r="R80" s="107">
        <v>-1.7278715123134638</v>
      </c>
      <c r="S80" s="107">
        <v>-9.1278715296030377</v>
      </c>
      <c r="T80" s="107">
        <v>-1.1310428292288444</v>
      </c>
      <c r="U80" s="107">
        <v>-4.6310428292288446</v>
      </c>
      <c r="V80" s="107">
        <v>-4.6309881755237345</v>
      </c>
      <c r="W80" s="102">
        <v>34934623961.093956</v>
      </c>
    </row>
    <row r="81" spans="1:23">
      <c r="A81" s="102" t="s">
        <v>440</v>
      </c>
      <c r="B81" s="102" t="s">
        <v>441</v>
      </c>
      <c r="D81" s="107" t="s">
        <v>176</v>
      </c>
      <c r="F81" s="107">
        <v>-1.7842829228845294E-2</v>
      </c>
      <c r="H81" s="107">
        <v>-1.7842829228845294E-2</v>
      </c>
      <c r="I81" s="107">
        <v>-1.7842829228845294E-2</v>
      </c>
      <c r="K81" s="107">
        <v>-1.7842829228845294E-2</v>
      </c>
      <c r="L81" s="107">
        <v>0.23869999999999994</v>
      </c>
      <c r="N81" s="107">
        <v>0.23869999999999994</v>
      </c>
      <c r="O81" s="107">
        <v>-0.57429999999999992</v>
      </c>
      <c r="Q81" s="107">
        <v>-0.57429999999999992</v>
      </c>
      <c r="R81" s="107">
        <v>-14.675671512313464</v>
      </c>
      <c r="S81" s="107">
        <v>-14.675671512313464</v>
      </c>
      <c r="T81" s="107">
        <v>-4.6968428292288449</v>
      </c>
      <c r="V81" s="107">
        <v>-4.6968428292288449</v>
      </c>
      <c r="W81" s="102">
        <v>131.29169344363464</v>
      </c>
    </row>
    <row r="82" spans="1:23">
      <c r="A82" s="102" t="s">
        <v>442</v>
      </c>
      <c r="B82" s="102" t="s">
        <v>443</v>
      </c>
      <c r="D82" s="107" t="s">
        <v>176</v>
      </c>
      <c r="F82" s="107">
        <v>1.7527171707711544</v>
      </c>
      <c r="H82" s="107">
        <v>1.7527171707711544</v>
      </c>
      <c r="I82" s="107">
        <v>1.7527171707711544</v>
      </c>
      <c r="K82" s="107">
        <v>1.7527171707711544</v>
      </c>
      <c r="L82" s="107">
        <v>2.0268600000000001</v>
      </c>
      <c r="N82" s="107">
        <v>2.0268600000000001</v>
      </c>
      <c r="O82" s="107">
        <v>1.3370600000000001</v>
      </c>
      <c r="Q82" s="107">
        <v>1.3370600000000001</v>
      </c>
      <c r="R82" s="107">
        <v>-5.8951115123134636</v>
      </c>
      <c r="S82" s="107">
        <v>-5.8951115123134636</v>
      </c>
      <c r="T82" s="107">
        <v>-3.7006828292288447</v>
      </c>
      <c r="V82" s="107">
        <v>-3.7006828292288447</v>
      </c>
      <c r="W82" s="102">
        <v>1067.9673129192126</v>
      </c>
    </row>
    <row r="83" spans="1:23">
      <c r="A83" s="102" t="s">
        <v>444</v>
      </c>
      <c r="B83" s="102" t="s">
        <v>445</v>
      </c>
      <c r="D83" s="107" t="s">
        <v>176</v>
      </c>
      <c r="F83" s="107">
        <v>3.3220771707711547</v>
      </c>
      <c r="H83" s="107">
        <v>3.3220771707711547</v>
      </c>
      <c r="I83" s="107">
        <v>3.3220771707711547</v>
      </c>
      <c r="K83" s="107">
        <v>3.3220771707711547</v>
      </c>
      <c r="L83" s="107">
        <v>3.6118199999999989</v>
      </c>
      <c r="N83" s="107">
        <v>3.6118199999999989</v>
      </c>
      <c r="O83" s="107">
        <v>3.0312199999999998</v>
      </c>
      <c r="Q83" s="107">
        <v>3.0312199999999998</v>
      </c>
      <c r="R83" s="107">
        <v>-4.3557515123134634</v>
      </c>
      <c r="S83" s="107">
        <v>-4.3557515123134634</v>
      </c>
      <c r="T83" s="107">
        <v>-2.8177228292288445</v>
      </c>
      <c r="V83" s="107">
        <v>-2.8177228292288445</v>
      </c>
      <c r="W83" s="102">
        <v>449.39380818936843</v>
      </c>
    </row>
    <row r="84" spans="1:23">
      <c r="A84" s="102" t="s">
        <v>446</v>
      </c>
      <c r="B84" s="102" t="s">
        <v>447</v>
      </c>
      <c r="D84" s="107" t="s">
        <v>176</v>
      </c>
      <c r="F84" s="107">
        <v>0.60084717077115468</v>
      </c>
      <c r="H84" s="107">
        <v>0.60084717077115468</v>
      </c>
      <c r="I84" s="107">
        <v>0.60084717077115468</v>
      </c>
      <c r="K84" s="107">
        <v>0.60084717077115468</v>
      </c>
      <c r="L84" s="107">
        <v>0.86353999999999997</v>
      </c>
      <c r="N84" s="107">
        <v>0.86353999999999997</v>
      </c>
      <c r="O84" s="107">
        <v>9.3590000000000062E-2</v>
      </c>
      <c r="Q84" s="107">
        <v>9.3590000000000062E-2</v>
      </c>
      <c r="R84" s="107">
        <v>-16.171981512313462</v>
      </c>
      <c r="S84" s="107">
        <v>-16.171981512313462</v>
      </c>
      <c r="T84" s="107">
        <v>-4.3487528292288449</v>
      </c>
      <c r="V84" s="107">
        <v>-4.3487528292288449</v>
      </c>
      <c r="W84" s="102">
        <v>576.61303556703831</v>
      </c>
    </row>
    <row r="85" spans="1:23">
      <c r="A85" s="102" t="s">
        <v>448</v>
      </c>
      <c r="B85" s="102" t="s">
        <v>449</v>
      </c>
      <c r="D85" s="107" t="s">
        <v>176</v>
      </c>
      <c r="F85" s="107">
        <v>-0.70695282922884517</v>
      </c>
      <c r="H85" s="107">
        <v>-0.70695282922884517</v>
      </c>
      <c r="I85" s="107">
        <v>-0.70695282922884517</v>
      </c>
      <c r="K85" s="107">
        <v>-0.70695282922884517</v>
      </c>
      <c r="L85" s="107">
        <v>-0.45726</v>
      </c>
      <c r="N85" s="107">
        <v>-0.45726</v>
      </c>
      <c r="O85" s="107">
        <v>-1.3182099999999999</v>
      </c>
      <c r="Q85" s="107">
        <v>-1.3182099999999999</v>
      </c>
      <c r="R85" s="107">
        <v>-9.3497815123134629</v>
      </c>
      <c r="S85" s="107">
        <v>-9.3497815123134629</v>
      </c>
      <c r="T85" s="107">
        <v>-5.0845528292288451</v>
      </c>
      <c r="V85" s="107">
        <v>-5.0845528292288451</v>
      </c>
      <c r="W85" s="102">
        <v>1158264.0752750696</v>
      </c>
    </row>
    <row r="86" spans="1:23">
      <c r="A86" s="102" t="s">
        <v>450</v>
      </c>
      <c r="B86" s="102" t="s">
        <v>451</v>
      </c>
      <c r="D86" s="107" t="s">
        <v>176</v>
      </c>
      <c r="F86" s="107">
        <v>0.58072717077115465</v>
      </c>
      <c r="H86" s="107">
        <v>0.58072717077115465</v>
      </c>
      <c r="I86" s="107">
        <v>0.58072717077115465</v>
      </c>
      <c r="K86" s="107">
        <v>0.58072717077115465</v>
      </c>
      <c r="L86" s="107">
        <v>0.84321999999999997</v>
      </c>
      <c r="N86" s="107">
        <v>0.84321999999999997</v>
      </c>
      <c r="O86" s="107">
        <v>7.1870000000000003E-2</v>
      </c>
      <c r="Q86" s="107">
        <v>7.1870000000000003E-2</v>
      </c>
      <c r="R86" s="107">
        <v>-9.772101512313462</v>
      </c>
      <c r="S86" s="107">
        <v>-9.772101512313462</v>
      </c>
      <c r="T86" s="107">
        <v>-4.3600728292288453</v>
      </c>
      <c r="V86" s="107">
        <v>-4.3600728292288453</v>
      </c>
      <c r="W86" s="102">
        <v>60122.403482899848</v>
      </c>
    </row>
    <row r="87" spans="1:23">
      <c r="A87" s="102" t="s">
        <v>452</v>
      </c>
      <c r="B87" s="102" t="s">
        <v>453</v>
      </c>
      <c r="D87" s="107" t="s">
        <v>176</v>
      </c>
      <c r="F87" s="107">
        <v>6.5412771707711537</v>
      </c>
      <c r="H87" s="107">
        <v>6.5412771707711537</v>
      </c>
      <c r="I87" s="107">
        <v>6.5412771707711537</v>
      </c>
      <c r="K87" s="107">
        <v>6.5412771707711537</v>
      </c>
      <c r="L87" s="107">
        <v>6.8630199999999997</v>
      </c>
      <c r="N87" s="107">
        <v>6.8630199999999997</v>
      </c>
      <c r="O87" s="107">
        <v>5.0662199999999995</v>
      </c>
      <c r="Q87" s="107">
        <v>5.0662199999999995</v>
      </c>
      <c r="R87" s="107">
        <v>-5.9865515123134632</v>
      </c>
      <c r="S87" s="107">
        <v>-5.9865515123134632</v>
      </c>
      <c r="T87" s="107">
        <v>-1.0065228292288448</v>
      </c>
      <c r="V87" s="107">
        <v>-1.0065228292288448</v>
      </c>
      <c r="W87" s="102">
        <v>1.7715670462431807E-2</v>
      </c>
    </row>
    <row r="88" spans="1:23">
      <c r="A88" s="102" t="s">
        <v>454</v>
      </c>
      <c r="B88" s="102" t="s">
        <v>455</v>
      </c>
      <c r="D88" s="107" t="s">
        <v>176</v>
      </c>
      <c r="F88" s="107">
        <v>2.0746371707711551</v>
      </c>
      <c r="H88" s="107">
        <v>2.0746371707711551</v>
      </c>
      <c r="I88" s="107">
        <v>2.0746371707711551</v>
      </c>
      <c r="K88" s="107">
        <v>2.0746371707711551</v>
      </c>
      <c r="L88" s="107">
        <v>2.3519799999999997</v>
      </c>
      <c r="N88" s="107">
        <v>2.3519799999999997</v>
      </c>
      <c r="O88" s="107">
        <v>1.6845800000000002</v>
      </c>
      <c r="Q88" s="107">
        <v>1.6845800000000002</v>
      </c>
      <c r="R88" s="107">
        <v>-6.1331915123134637</v>
      </c>
      <c r="S88" s="107">
        <v>-6.1331915123134637</v>
      </c>
      <c r="T88" s="107">
        <v>-3.5195628292288443</v>
      </c>
      <c r="V88" s="107">
        <v>-3.5195628292288443</v>
      </c>
      <c r="W88" s="102">
        <v>1167.7374285161602</v>
      </c>
    </row>
    <row r="89" spans="1:23">
      <c r="A89" s="102" t="s">
        <v>456</v>
      </c>
      <c r="B89" s="102" t="s">
        <v>457</v>
      </c>
      <c r="D89" s="107" t="s">
        <v>176</v>
      </c>
      <c r="F89" s="107">
        <v>1.8130771707711544</v>
      </c>
      <c r="H89" s="107">
        <v>1.8130771707711544</v>
      </c>
      <c r="I89" s="107">
        <v>1.8130771707711544</v>
      </c>
      <c r="K89" s="107">
        <v>1.8130771707711544</v>
      </c>
      <c r="L89" s="107">
        <v>2.0878200000000002</v>
      </c>
      <c r="N89" s="107">
        <v>2.0878200000000002</v>
      </c>
      <c r="O89" s="107">
        <v>1.4022200000000002</v>
      </c>
      <c r="Q89" s="107">
        <v>1.4022200000000002</v>
      </c>
      <c r="R89" s="107">
        <v>-18.364751512313465</v>
      </c>
      <c r="S89" s="107">
        <v>-18.364751512313465</v>
      </c>
      <c r="T89" s="107">
        <v>-3.6667228292288443</v>
      </c>
      <c r="V89" s="107">
        <v>-3.6667228292288443</v>
      </c>
      <c r="W89" s="102">
        <v>100.40335484097999</v>
      </c>
    </row>
    <row r="90" spans="1:23">
      <c r="A90" s="102" t="s">
        <v>458</v>
      </c>
      <c r="B90" s="102" t="s">
        <v>459</v>
      </c>
      <c r="D90" s="107" t="s">
        <v>176</v>
      </c>
      <c r="F90" s="107">
        <v>1.1491171707711545</v>
      </c>
      <c r="H90" s="107">
        <v>1.1491171707711545</v>
      </c>
      <c r="I90" s="107">
        <v>1.1491171707711545</v>
      </c>
      <c r="K90" s="107">
        <v>1.1491171707711545</v>
      </c>
      <c r="L90" s="107">
        <v>1.41726</v>
      </c>
      <c r="N90" s="107">
        <v>1.41726</v>
      </c>
      <c r="O90" s="107">
        <v>0.68546000000000007</v>
      </c>
      <c r="Q90" s="107">
        <v>0.68546000000000007</v>
      </c>
      <c r="R90" s="107">
        <v>-30.268711512313462</v>
      </c>
      <c r="S90" s="107">
        <v>-30.268711512313462</v>
      </c>
      <c r="T90" s="107">
        <v>-4.0402828292288442</v>
      </c>
      <c r="V90" s="107">
        <v>-4.0402828292288442</v>
      </c>
      <c r="W90" s="102">
        <v>76.413431494481472</v>
      </c>
    </row>
    <row r="91" spans="1:23">
      <c r="A91" s="102" t="s">
        <v>460</v>
      </c>
      <c r="B91" s="102" t="s">
        <v>461</v>
      </c>
      <c r="D91" s="107" t="s">
        <v>176</v>
      </c>
      <c r="F91" s="107">
        <v>5.4246171707711541</v>
      </c>
      <c r="H91" s="107">
        <v>5.4246171707711541</v>
      </c>
      <c r="I91" s="107">
        <v>5.4246171707711541</v>
      </c>
      <c r="K91" s="107">
        <v>5.4246171707711541</v>
      </c>
      <c r="L91" s="107">
        <v>5.7352599999999994</v>
      </c>
      <c r="N91" s="107">
        <v>5.7352599999999994</v>
      </c>
      <c r="O91" s="107">
        <v>4.64886</v>
      </c>
      <c r="Q91" s="107">
        <v>4.64886</v>
      </c>
      <c r="R91" s="107">
        <v>-6.7832115123134633</v>
      </c>
      <c r="S91" s="107">
        <v>-6.7832115123134633</v>
      </c>
      <c r="T91" s="107">
        <v>-1.6347828292288451</v>
      </c>
      <c r="V91" s="107">
        <v>-1.6347828292288451</v>
      </c>
      <c r="W91" s="102">
        <v>0.18200839174765743</v>
      </c>
    </row>
    <row r="92" spans="1:23">
      <c r="A92" s="102" t="s">
        <v>462</v>
      </c>
      <c r="B92" s="102" t="s">
        <v>463</v>
      </c>
      <c r="D92" s="107" t="s">
        <v>176</v>
      </c>
      <c r="F92" s="107">
        <v>3.1309371707711549</v>
      </c>
      <c r="H92" s="107">
        <v>3.1309371707711549</v>
      </c>
      <c r="I92" s="107">
        <v>3.1309371707711549</v>
      </c>
      <c r="K92" s="107">
        <v>3.1309371707711549</v>
      </c>
      <c r="L92" s="107">
        <v>3.4187799999999995</v>
      </c>
      <c r="N92" s="107">
        <v>3.4187799999999995</v>
      </c>
      <c r="O92" s="107">
        <v>2.8248799999999998</v>
      </c>
      <c r="Q92" s="107">
        <v>2.8248799999999998</v>
      </c>
      <c r="R92" s="107">
        <v>-9.556891512313463</v>
      </c>
      <c r="S92" s="107">
        <v>-9.556891512313463</v>
      </c>
      <c r="T92" s="107">
        <v>-2.9252628292288443</v>
      </c>
      <c r="V92" s="107">
        <v>-2.9252628292288443</v>
      </c>
      <c r="W92" s="102">
        <v>0.46966011438037109</v>
      </c>
    </row>
    <row r="93" spans="1:23">
      <c r="A93" s="102" t="s">
        <v>464</v>
      </c>
      <c r="B93" s="102" t="s">
        <v>465</v>
      </c>
      <c r="D93" s="107" t="s">
        <v>176</v>
      </c>
      <c r="F93" s="107">
        <v>3.9156171707711542</v>
      </c>
      <c r="H93" s="107">
        <v>3.9156171707711542</v>
      </c>
      <c r="I93" s="107">
        <v>3.9156171707711542</v>
      </c>
      <c r="K93" s="107">
        <v>3.9156171707711542</v>
      </c>
      <c r="L93" s="107">
        <v>4.2112599999999993</v>
      </c>
      <c r="N93" s="107">
        <v>4.2112599999999993</v>
      </c>
      <c r="O93" s="107">
        <v>3.6719599999999999</v>
      </c>
      <c r="Q93" s="107">
        <v>3.6719599999999999</v>
      </c>
      <c r="R93" s="107">
        <v>-4.2522115123134636</v>
      </c>
      <c r="S93" s="107">
        <v>-4.2522115123134636</v>
      </c>
      <c r="T93" s="107">
        <v>-2.4837828292288444</v>
      </c>
      <c r="V93" s="107">
        <v>-2.4837828292288444</v>
      </c>
      <c r="W93" s="102">
        <v>0.60688881019684437</v>
      </c>
    </row>
    <row r="94" spans="1:23">
      <c r="A94" s="102" t="s">
        <v>466</v>
      </c>
      <c r="B94" s="102" t="s">
        <v>467</v>
      </c>
      <c r="D94" s="107" t="s">
        <v>306</v>
      </c>
      <c r="E94" s="107">
        <v>3.62</v>
      </c>
      <c r="F94" s="107">
        <v>1.9237371707711546</v>
      </c>
      <c r="G94" s="107">
        <v>-1.5762628292288452</v>
      </c>
      <c r="H94" s="107">
        <v>-1.3931198900703679</v>
      </c>
      <c r="I94" s="107">
        <v>1.9237371707711546</v>
      </c>
      <c r="J94" s="107">
        <v>-1.5762628292288452</v>
      </c>
      <c r="K94" s="107">
        <v>-1.3931198900703679</v>
      </c>
      <c r="L94" s="107">
        <v>2.1995799999999992</v>
      </c>
      <c r="M94" s="107">
        <v>1.1995799999999996</v>
      </c>
      <c r="N94" s="107">
        <v>1.2002280830603111</v>
      </c>
      <c r="O94" s="107">
        <v>1.5216799999999999</v>
      </c>
      <c r="P94" s="107">
        <v>1.5216799999999999</v>
      </c>
      <c r="Q94" s="107">
        <v>1.5216799999999999</v>
      </c>
      <c r="R94" s="107">
        <v>-15.864091512313463</v>
      </c>
      <c r="S94" s="107">
        <v>-19.644163581277006</v>
      </c>
      <c r="T94" s="107">
        <v>-3.6044628292288445</v>
      </c>
      <c r="U94" s="107">
        <v>-7.1044628292288454</v>
      </c>
      <c r="V94" s="107">
        <v>-6.9213198900703672</v>
      </c>
      <c r="W94" s="102">
        <v>338589.32469973061</v>
      </c>
    </row>
    <row r="95" spans="1:23">
      <c r="A95" s="102" t="s">
        <v>468</v>
      </c>
      <c r="B95" s="102" t="s">
        <v>469</v>
      </c>
      <c r="D95" s="107" t="s">
        <v>176</v>
      </c>
      <c r="F95" s="107">
        <v>4.7606571707711538</v>
      </c>
      <c r="H95" s="107">
        <v>4.7606571707711538</v>
      </c>
      <c r="I95" s="107">
        <v>4.7606571707711538</v>
      </c>
      <c r="K95" s="107">
        <v>4.7606571707711538</v>
      </c>
      <c r="L95" s="107">
        <v>5.0646999999999993</v>
      </c>
      <c r="N95" s="107">
        <v>5.0646999999999993</v>
      </c>
      <c r="O95" s="107">
        <v>4.4006999999999996</v>
      </c>
      <c r="Q95" s="107">
        <v>4.4006999999999996</v>
      </c>
      <c r="R95" s="107">
        <v>-17.547171512313462</v>
      </c>
      <c r="S95" s="107">
        <v>-17.547171512313462</v>
      </c>
      <c r="T95" s="107">
        <v>-2.008342829228845</v>
      </c>
      <c r="V95" s="107">
        <v>-2.008342829228845</v>
      </c>
      <c r="W95" s="102">
        <v>4.9214222950215598</v>
      </c>
    </row>
    <row r="96" spans="1:23">
      <c r="A96" s="102" t="s">
        <v>470</v>
      </c>
      <c r="B96" s="166">
        <v>354656</v>
      </c>
      <c r="D96" s="107" t="s">
        <v>176</v>
      </c>
      <c r="F96" s="107">
        <v>1.2337170771154734E-2</v>
      </c>
      <c r="H96" s="107">
        <v>1.2337170771154734E-2</v>
      </c>
      <c r="I96" s="107">
        <v>1.2337170771154734E-2</v>
      </c>
      <c r="K96" s="107">
        <v>1.2337170771154734E-2</v>
      </c>
      <c r="L96" s="107">
        <v>0.26918000000000003</v>
      </c>
      <c r="N96" s="107">
        <v>0.26918000000000003</v>
      </c>
      <c r="O96" s="107">
        <v>-0.54171999999999987</v>
      </c>
      <c r="Q96" s="107">
        <v>-0.54171999999999987</v>
      </c>
      <c r="R96" s="107">
        <v>-11.375491512313465</v>
      </c>
      <c r="S96" s="107">
        <v>-11.375491512313465</v>
      </c>
      <c r="T96" s="107">
        <v>-4.6798628292288447</v>
      </c>
      <c r="V96" s="107">
        <v>-4.6798628292288447</v>
      </c>
      <c r="W96" s="102">
        <v>158750.86025550656</v>
      </c>
    </row>
    <row r="97" spans="1:23">
      <c r="A97" s="102" t="s">
        <v>472</v>
      </c>
      <c r="B97" s="102" t="s">
        <v>473</v>
      </c>
      <c r="D97" s="107" t="s">
        <v>176</v>
      </c>
      <c r="F97" s="107">
        <v>0.61090717077115464</v>
      </c>
      <c r="H97" s="107">
        <v>0.61090717077115464</v>
      </c>
      <c r="I97" s="107">
        <v>0.61090717077115464</v>
      </c>
      <c r="K97" s="107">
        <v>0.61090717077115464</v>
      </c>
      <c r="L97" s="107">
        <v>0.8736999999999997</v>
      </c>
      <c r="N97" s="107">
        <v>0.8736999999999997</v>
      </c>
      <c r="O97" s="107">
        <v>0.10445000000000002</v>
      </c>
      <c r="Q97" s="107">
        <v>0.10445000000000002</v>
      </c>
      <c r="R97" s="107">
        <v>-11.171921512313462</v>
      </c>
      <c r="S97" s="107">
        <v>-11.171921512313462</v>
      </c>
      <c r="T97" s="107">
        <v>-4.3430928292288451</v>
      </c>
      <c r="V97" s="107">
        <v>-4.3430928292288451</v>
      </c>
      <c r="W97" s="102">
        <v>274963.50156973099</v>
      </c>
    </row>
    <row r="98" spans="1:23">
      <c r="A98" s="102" t="s">
        <v>474</v>
      </c>
      <c r="B98" s="102" t="s">
        <v>475</v>
      </c>
      <c r="D98" s="107" t="s">
        <v>176</v>
      </c>
      <c r="F98" s="107">
        <v>4.2576571707711537</v>
      </c>
      <c r="H98" s="107">
        <v>4.2576571707711537</v>
      </c>
      <c r="I98" s="107">
        <v>4.2576571707711537</v>
      </c>
      <c r="K98" s="107">
        <v>4.2576571707711537</v>
      </c>
      <c r="L98" s="107">
        <v>4.5566999999999993</v>
      </c>
      <c r="N98" s="107">
        <v>4.5566999999999993</v>
      </c>
      <c r="O98" s="107">
        <v>4.041199999999999</v>
      </c>
      <c r="Q98" s="107">
        <v>4.041199999999999</v>
      </c>
      <c r="R98" s="107">
        <v>-19.550171512313462</v>
      </c>
      <c r="S98" s="107">
        <v>-19.550171512313462</v>
      </c>
      <c r="T98" s="107">
        <v>-2.2913428292288449</v>
      </c>
      <c r="V98" s="107">
        <v>-2.2913428292288449</v>
      </c>
      <c r="W98" s="102">
        <v>103.8594416539005</v>
      </c>
    </row>
    <row r="99" spans="1:23">
      <c r="A99" s="102" t="s">
        <v>476</v>
      </c>
      <c r="B99" s="102" t="s">
        <v>477</v>
      </c>
      <c r="D99" s="107" t="s">
        <v>176</v>
      </c>
      <c r="F99" s="107">
        <v>-0.9936628292288453</v>
      </c>
      <c r="H99" s="107">
        <v>-0.9936628292288453</v>
      </c>
      <c r="I99" s="107">
        <v>-0.9936628292288453</v>
      </c>
      <c r="K99" s="107">
        <v>-0.9936628292288453</v>
      </c>
      <c r="L99" s="107">
        <v>-0.74682000000000004</v>
      </c>
      <c r="N99" s="107">
        <v>-0.74682000000000004</v>
      </c>
      <c r="O99" s="107">
        <v>-1.6277199999999996</v>
      </c>
      <c r="Q99" s="107">
        <v>-1.6277199999999996</v>
      </c>
      <c r="R99" s="107">
        <v>-8.7114915123134633</v>
      </c>
      <c r="S99" s="107">
        <v>-8.7114915123134633</v>
      </c>
      <c r="T99" s="107">
        <v>-5.2458628292288445</v>
      </c>
      <c r="V99" s="107">
        <v>-5.2458628292288445</v>
      </c>
      <c r="W99" s="102">
        <v>1351343.0050164976</v>
      </c>
    </row>
    <row r="100" spans="1:23">
      <c r="A100" s="102" t="s">
        <v>478</v>
      </c>
      <c r="B100" s="102" t="s">
        <v>479</v>
      </c>
      <c r="D100" s="107" t="s">
        <v>176</v>
      </c>
      <c r="F100" s="107">
        <v>2.5172771707711545</v>
      </c>
      <c r="H100" s="107">
        <v>2.5172771707711545</v>
      </c>
      <c r="I100" s="107">
        <v>2.5172771707711545</v>
      </c>
      <c r="K100" s="107">
        <v>2.5172771707711545</v>
      </c>
      <c r="L100" s="107">
        <v>2.7990199999999996</v>
      </c>
      <c r="N100" s="107">
        <v>2.7990199999999996</v>
      </c>
      <c r="O100" s="107">
        <v>2.16242</v>
      </c>
      <c r="Q100" s="107">
        <v>2.16242</v>
      </c>
      <c r="R100" s="107">
        <v>-11.860551512313464</v>
      </c>
      <c r="S100" s="107">
        <v>-11.860551512313464</v>
      </c>
      <c r="T100" s="107">
        <v>-3.2705228292288444</v>
      </c>
      <c r="V100" s="107">
        <v>-3.2705228292288444</v>
      </c>
      <c r="W100" s="102">
        <v>221.42314372090217</v>
      </c>
    </row>
    <row r="101" spans="1:23">
      <c r="A101" s="102" t="s">
        <v>480</v>
      </c>
      <c r="B101" s="102" t="s">
        <v>481</v>
      </c>
      <c r="D101" s="107" t="s">
        <v>176</v>
      </c>
      <c r="F101" s="107">
        <v>-0.59126282922884521</v>
      </c>
      <c r="H101" s="107">
        <v>-0.59126282922884521</v>
      </c>
      <c r="I101" s="107">
        <v>-0.59126282922884521</v>
      </c>
      <c r="K101" s="107">
        <v>-0.59126282922884521</v>
      </c>
      <c r="L101" s="107">
        <v>-0.34041999999999994</v>
      </c>
      <c r="N101" s="107">
        <v>-0.34041999999999994</v>
      </c>
      <c r="O101" s="107">
        <v>-1.1933199999999997</v>
      </c>
      <c r="Q101" s="107">
        <v>-1.1933199999999997</v>
      </c>
      <c r="R101" s="107">
        <v>-12.279091512313462</v>
      </c>
      <c r="S101" s="107">
        <v>-12.279091512313462</v>
      </c>
      <c r="T101" s="107">
        <v>-5.0194628292288455</v>
      </c>
      <c r="V101" s="107">
        <v>-5.0194628292288455</v>
      </c>
      <c r="W101" s="102">
        <v>127.20758741335909</v>
      </c>
    </row>
    <row r="102" spans="1:23">
      <c r="A102" s="102" t="s">
        <v>482</v>
      </c>
      <c r="B102" s="102" t="s">
        <v>483</v>
      </c>
      <c r="D102" s="107" t="s">
        <v>176</v>
      </c>
      <c r="F102" s="107">
        <v>-1.6576228292288453</v>
      </c>
      <c r="H102" s="107">
        <v>-1.6576228292288453</v>
      </c>
      <c r="I102" s="107">
        <v>-1.6576228292288453</v>
      </c>
      <c r="K102" s="107">
        <v>-1.6576228292288453</v>
      </c>
      <c r="L102" s="107">
        <v>-1.4173799999999999</v>
      </c>
      <c r="N102" s="107">
        <v>-1.4173799999999999</v>
      </c>
      <c r="O102" s="107">
        <v>-2.3444799999999999</v>
      </c>
      <c r="Q102" s="107">
        <v>-2.3444799999999999</v>
      </c>
      <c r="R102" s="107">
        <v>-28.48545151231346</v>
      </c>
      <c r="S102" s="107">
        <v>-28.48545151231346</v>
      </c>
      <c r="T102" s="107">
        <v>-5.6194228292288448</v>
      </c>
      <c r="V102" s="107">
        <v>-5.6194228292288448</v>
      </c>
      <c r="W102" s="102">
        <v>673306.70627143362</v>
      </c>
    </row>
    <row r="103" spans="1:23">
      <c r="A103" s="102" t="s">
        <v>484</v>
      </c>
      <c r="B103" s="102" t="s">
        <v>485</v>
      </c>
      <c r="D103" s="107" t="s">
        <v>176</v>
      </c>
      <c r="F103" s="107">
        <v>-1.0188128292288452</v>
      </c>
      <c r="H103" s="107">
        <v>-1.0188128292288452</v>
      </c>
      <c r="I103" s="107">
        <v>-1.0188128292288452</v>
      </c>
      <c r="K103" s="107">
        <v>-1.0188128292288452</v>
      </c>
      <c r="L103" s="107">
        <v>-0.77222000000000002</v>
      </c>
      <c r="N103" s="107">
        <v>-0.77222000000000002</v>
      </c>
      <c r="O103" s="107">
        <v>-1.6548699999999998</v>
      </c>
      <c r="Q103" s="107">
        <v>-1.6548699999999998</v>
      </c>
      <c r="R103" s="107">
        <v>-14.581641512313464</v>
      </c>
      <c r="S103" s="107">
        <v>-14.581641512313464</v>
      </c>
      <c r="T103" s="107">
        <v>-5.2600128292288453</v>
      </c>
      <c r="V103" s="107">
        <v>-5.2600128292288453</v>
      </c>
      <c r="W103" s="102">
        <v>1375708.8510795245</v>
      </c>
    </row>
    <row r="104" spans="1:23">
      <c r="A104" s="102" t="s">
        <v>486</v>
      </c>
      <c r="B104" s="102" t="s">
        <v>487</v>
      </c>
      <c r="D104" s="107" t="s">
        <v>176</v>
      </c>
      <c r="F104" s="107">
        <v>0.34431717077115459</v>
      </c>
      <c r="H104" s="107">
        <v>0.34431717077115459</v>
      </c>
      <c r="I104" s="107">
        <v>0.34431717077115459</v>
      </c>
      <c r="K104" s="107">
        <v>0.34431717077115459</v>
      </c>
      <c r="L104" s="107">
        <v>0.60446</v>
      </c>
      <c r="N104" s="107">
        <v>0.60446</v>
      </c>
      <c r="O104" s="107">
        <v>-0.18333999999999986</v>
      </c>
      <c r="Q104" s="107">
        <v>-0.18333999999999986</v>
      </c>
      <c r="R104" s="107">
        <v>-10.473511512313463</v>
      </c>
      <c r="S104" s="107">
        <v>-10.473511512313463</v>
      </c>
      <c r="T104" s="107">
        <v>-4.4930828292288449</v>
      </c>
      <c r="V104" s="107">
        <v>-4.4930828292288449</v>
      </c>
      <c r="W104" s="102">
        <v>18565.61481910104</v>
      </c>
    </row>
    <row r="105" spans="1:23">
      <c r="A105" s="102" t="s">
        <v>488</v>
      </c>
      <c r="B105" s="102" t="s">
        <v>489</v>
      </c>
      <c r="D105" s="107" t="s">
        <v>176</v>
      </c>
      <c r="F105" s="107">
        <v>-1.5167828292288452</v>
      </c>
      <c r="H105" s="107">
        <v>-1.5167828292288452</v>
      </c>
      <c r="I105" s="107">
        <v>-1.5167828292288452</v>
      </c>
      <c r="K105" s="107">
        <v>-1.5167828292288452</v>
      </c>
      <c r="L105" s="107">
        <v>-1.2751399999999997</v>
      </c>
      <c r="N105" s="107">
        <v>-1.2751399999999997</v>
      </c>
      <c r="O105" s="107">
        <v>-2.1924399999999999</v>
      </c>
      <c r="Q105" s="107">
        <v>-2.1924399999999999</v>
      </c>
      <c r="R105" s="107">
        <v>-17.584611512313465</v>
      </c>
      <c r="S105" s="107">
        <v>-17.584611512313465</v>
      </c>
      <c r="T105" s="107">
        <v>-5.5401828292288453</v>
      </c>
      <c r="V105" s="107">
        <v>-5.5401828292288453</v>
      </c>
      <c r="W105" s="102">
        <v>353527.39848037547</v>
      </c>
    </row>
    <row r="106" spans="1:23">
      <c r="A106" s="102" t="s">
        <v>490</v>
      </c>
      <c r="B106" s="102" t="s">
        <v>491</v>
      </c>
      <c r="D106" s="107" t="s">
        <v>176</v>
      </c>
      <c r="F106" s="107">
        <v>1.3503171707711548</v>
      </c>
      <c r="H106" s="107">
        <v>1.3503171707711548</v>
      </c>
      <c r="I106" s="107">
        <v>1.3503171707711548</v>
      </c>
      <c r="K106" s="107">
        <v>1.3503171707711548</v>
      </c>
      <c r="L106" s="107">
        <v>1.6204599999999998</v>
      </c>
      <c r="N106" s="107">
        <v>1.6204599999999998</v>
      </c>
      <c r="O106" s="107">
        <v>0.90266000000000013</v>
      </c>
      <c r="Q106" s="107">
        <v>0.90266000000000013</v>
      </c>
      <c r="R106" s="107">
        <v>-9.7675115123134635</v>
      </c>
      <c r="S106" s="107">
        <v>-9.7675115123134635</v>
      </c>
      <c r="T106" s="107">
        <v>-3.9270828292288447</v>
      </c>
      <c r="V106" s="107">
        <v>-3.9270828292288447</v>
      </c>
      <c r="W106" s="102">
        <v>20281.116715330543</v>
      </c>
    </row>
    <row r="107" spans="1:23">
      <c r="A107" s="102" t="s">
        <v>492</v>
      </c>
      <c r="B107" s="102" t="s">
        <v>493</v>
      </c>
      <c r="D107" s="107" t="s">
        <v>176</v>
      </c>
      <c r="F107" s="107">
        <v>4.3884371707711542</v>
      </c>
      <c r="H107" s="107">
        <v>4.3884371707711542</v>
      </c>
      <c r="I107" s="107">
        <v>4.3884371707711542</v>
      </c>
      <c r="K107" s="107">
        <v>4.3884371707711542</v>
      </c>
      <c r="L107" s="107">
        <v>4.6887799999999995</v>
      </c>
      <c r="N107" s="107">
        <v>4.6887799999999995</v>
      </c>
      <c r="O107" s="107">
        <v>4.1823800000000011</v>
      </c>
      <c r="Q107" s="107">
        <v>4.1823800000000011</v>
      </c>
      <c r="R107" s="107">
        <v>-15.749391512313462</v>
      </c>
      <c r="S107" s="107">
        <v>-15.749391512313462</v>
      </c>
      <c r="T107" s="107">
        <v>-2.2177628292288443</v>
      </c>
      <c r="V107" s="107">
        <v>-2.2177628292288443</v>
      </c>
      <c r="W107" s="102">
        <v>2.8345468450236071</v>
      </c>
    </row>
    <row r="108" spans="1:23">
      <c r="A108" s="102" t="s">
        <v>291</v>
      </c>
      <c r="B108" s="102" t="s">
        <v>494</v>
      </c>
      <c r="D108" s="107" t="s">
        <v>176</v>
      </c>
      <c r="F108" s="107">
        <v>2.3764371707711547</v>
      </c>
      <c r="H108" s="107">
        <v>2.3764371707711547</v>
      </c>
      <c r="I108" s="107">
        <v>2.3764371707711547</v>
      </c>
      <c r="K108" s="107">
        <v>2.3764371707711547</v>
      </c>
      <c r="L108" s="107">
        <v>2.6567799999999995</v>
      </c>
      <c r="N108" s="107">
        <v>2.6567799999999995</v>
      </c>
      <c r="O108" s="107">
        <v>2.0103800000000001</v>
      </c>
      <c r="Q108" s="107">
        <v>2.0103800000000001</v>
      </c>
      <c r="R108" s="107">
        <v>-11.161391512313463</v>
      </c>
      <c r="S108" s="107">
        <v>-11.161391512313463</v>
      </c>
      <c r="T108" s="107">
        <v>-3.3497628292288444</v>
      </c>
      <c r="V108" s="107">
        <v>-3.3497628292288444</v>
      </c>
      <c r="W108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2024-10-28T23:22:56Z</dcterms:modified>
</cp:coreProperties>
</file>