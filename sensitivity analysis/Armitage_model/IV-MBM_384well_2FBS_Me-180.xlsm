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EBA2F620-E63F-4B8A-BC7B-3E2CC8D192BA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<sst xmlns="http://schemas.openxmlformats.org/spreadsheetml/2006/main" count="3131" uniqueCount="515">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</sst>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3.61</v>
      </c>
      <c r="K5" s="136">
        <v>3.8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1.444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0.72199999999999998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0.36099999999999999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7.5999999999999998E-2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6.08E-2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2.128E-2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1.1780000000000001E-2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8.7399999999999995E-3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4.5599999999999998E-3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7.5999999999999998E-2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8.5199999999999998E-3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1.9879999999999998E-2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0.1056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2.128E-2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2.128E-2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5.3200000000000003E-4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1.5108799999999998E-5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8.1098512881230613E-8</v>
      </c>
      <c r="J2" s="67" t="s">
        <v>231</v>
      </c>
      <c r="K2" s="68">
        <v>8.7022831337210205E-4</v>
      </c>
      <c r="L2" s="67" t="s">
        <v>231</v>
      </c>
      <c r="M2" s="68">
        <v>1.1367582439977208E-3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9.8969890711275167E-6</v>
      </c>
      <c r="J3" s="67" t="s">
        <v>231</v>
      </c>
      <c r="K3" s="68">
        <v>9.6950211728849805E-3</v>
      </c>
      <c r="L3" s="67" t="s">
        <v>231</v>
      </c>
      <c r="M3" s="68">
        <v>0.30381299476169027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9.132990104350878E-15</v>
      </c>
      <c r="J4" s="67" t="s">
        <v>231</v>
      </c>
      <c r="K4" s="68">
        <v>1.0186475505276319E-3</v>
      </c>
      <c r="L4" s="67" t="s">
        <v>231</v>
      </c>
      <c r="M4" s="68">
        <v>3.049248427429162E-3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2.050734263321127E-10</v>
      </c>
      <c r="J5" s="67" t="s">
        <v>231</v>
      </c>
      <c r="K5" s="68">
        <v>2.3000834577664312E-3</v>
      </c>
      <c r="L5" s="67" t="s">
        <v>231</v>
      </c>
      <c r="M5" s="68">
        <v>7.557020335408357E-2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8.9031234248348414E-7</v>
      </c>
      <c r="J6" s="67" t="s">
        <v>231</v>
      </c>
      <c r="K6" s="68">
        <v>3.9564218002214211E-3</v>
      </c>
      <c r="L6" s="67" t="s">
        <v>231</v>
      </c>
      <c r="M6" s="68">
        <v>0.16229786556454737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7.8525170050493223E-6</v>
      </c>
      <c r="J7" s="67" t="s">
        <v>231</v>
      </c>
      <c r="K7" s="68">
        <v>9.0815102470643422E-3</v>
      </c>
      <c r="L7" s="67" t="s">
        <v>231</v>
      </c>
      <c r="M7" s="68">
        <v>0.41867835174838064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1.7209727424887432E-8</v>
      </c>
      <c r="J8" s="67" t="s">
        <v>231</v>
      </c>
      <c r="K8" s="68">
        <v>5.18717307068251E-3</v>
      </c>
      <c r="L8" s="67" t="s">
        <v>231</v>
      </c>
      <c r="M8" s="68">
        <v>0.22768570724199752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6.4043839240928163E-7</v>
      </c>
      <c r="J9" s="67" t="s">
        <v>231</v>
      </c>
      <c r="K9" s="68">
        <v>2.0147726765396157E-3</v>
      </c>
      <c r="L9" s="67" t="s">
        <v>231</v>
      </c>
      <c r="M9" s="68">
        <v>6.0269824111837393E-2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9.6144082497585871E-4</v>
      </c>
      <c r="J10" s="67" t="s">
        <v>231</v>
      </c>
      <c r="K10" s="68">
        <v>8.1920154452109734E-2</v>
      </c>
      <c r="L10" s="67" t="s">
        <v>231</v>
      </c>
      <c r="M10" s="68">
        <v>3.1534898801144799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2.9595756691773119E-8</v>
      </c>
      <c r="J11" s="67" t="s">
        <v>231</v>
      </c>
      <c r="K11" s="68">
        <v>0.66669232619866936</v>
      </c>
      <c r="L11" s="67" t="s">
        <v>231</v>
      </c>
      <c r="M11" s="68">
        <v>29.818457553648749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2.3959717333273487E-8</v>
      </c>
      <c r="J12" s="67" t="s">
        <v>231</v>
      </c>
      <c r="K12" s="68">
        <v>7.9402666382466535E-4</v>
      </c>
      <c r="L12" s="67" t="s">
        <v>231</v>
      </c>
      <c r="M12" s="68">
        <v>6.1385437962660735E-5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1.1190793071560569E-3</v>
      </c>
      <c r="J13" s="67" t="s">
        <v>231</v>
      </c>
      <c r="K13" s="68">
        <v>6.1492627445551883E-3</v>
      </c>
      <c r="L13" s="67" t="s">
        <v>231</v>
      </c>
      <c r="M13" s="68">
        <v>0.21353929522679965</v>
      </c>
      <c r="N13" s="67" t="s">
        <v>231</v>
      </c>
      <c r="P13" s="109" t="s">
        <v>192</v>
      </c>
      <c r="Q13" s="103">
        <f>COUNTIF(J2:J50000,"Yes")</f>
        <v>9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8.4804863432424484E-8</v>
      </c>
      <c r="J14" s="67" t="s">
        <v>231</v>
      </c>
      <c r="K14" s="68">
        <v>3.0779383461901653E-2</v>
      </c>
      <c r="L14" s="67" t="s">
        <v>231</v>
      </c>
      <c r="M14" s="68">
        <v>1.520230251326961</v>
      </c>
      <c r="N14" s="67" t="s">
        <v>231</v>
      </c>
      <c r="P14" s="109" t="s">
        <v>229</v>
      </c>
      <c r="Q14" s="103">
        <f>COUNTIF(N2:N50000,"Yes")</f>
        <v>5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1.087641170793384E-6</v>
      </c>
      <c r="J15" s="67" t="s">
        <v>231</v>
      </c>
      <c r="K15" s="68">
        <v>1.4547954143668989E-3</v>
      </c>
      <c r="L15" s="67" t="s">
        <v>231</v>
      </c>
      <c r="M15" s="68">
        <v>2.9654025938509299E-2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1.0057016062479746E-4</v>
      </c>
      <c r="J16" s="67" t="s">
        <v>231</v>
      </c>
      <c r="K16" s="68">
        <v>6.9885062563302732E-3</v>
      </c>
      <c r="L16" s="67" t="s">
        <v>231</v>
      </c>
      <c r="M16" s="68">
        <v>0.24645001762734589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2.2251357046667348E-6</v>
      </c>
      <c r="J17" s="67" t="s">
        <v>231</v>
      </c>
      <c r="K17" s="68">
        <v>6.4383635785027499E-3</v>
      </c>
      <c r="L17" s="67" t="s">
        <v>231</v>
      </c>
      <c r="M17" s="68">
        <v>0.22494194694103581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1.1508195816940006E-2</v>
      </c>
      <c r="J18" s="67" t="s">
        <v>232</v>
      </c>
      <c r="K18" s="68">
        <v>0.41880503954760678</v>
      </c>
      <c r="L18" s="67" t="s">
        <v>231</v>
      </c>
      <c r="M18" s="68">
        <v>16.291604015803159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1.8130439006861884E-6</v>
      </c>
      <c r="J19" s="67" t="s">
        <v>231</v>
      </c>
      <c r="K19" s="68">
        <v>1.0545551331394829E-3</v>
      </c>
      <c r="L19" s="67" t="s">
        <v>231</v>
      </c>
      <c r="M19" s="68">
        <v>1.0248542687540897E-2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5.0816691870018102E-6</v>
      </c>
      <c r="J20" s="67" t="s">
        <v>231</v>
      </c>
      <c r="K20" s="68">
        <v>1.2188563917353294E-3</v>
      </c>
      <c r="L20" s="67" t="s">
        <v>231</v>
      </c>
      <c r="M20" s="68">
        <v>1.7656347168748095E-2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7.6809145194644488E-6</v>
      </c>
      <c r="J21" s="67" t="s">
        <v>231</v>
      </c>
      <c r="K21" s="68">
        <v>2.0876953186047639E-2</v>
      </c>
      <c r="L21" s="67" t="s">
        <v>231</v>
      </c>
      <c r="M21" s="68">
        <v>0.83587164443242556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4.0144781529275769E-8</v>
      </c>
      <c r="J22" s="67" t="s">
        <v>231</v>
      </c>
      <c r="K22" s="68">
        <v>8.2743195294124956E-4</v>
      </c>
      <c r="L22" s="67" t="s">
        <v>231</v>
      </c>
      <c r="M22" s="68">
        <v>1.8467171182859484E-3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1.1160554709545243E-5</v>
      </c>
      <c r="J23" s="67" t="s">
        <v>231</v>
      </c>
      <c r="K23" s="68">
        <v>1.9695846153637126E-3</v>
      </c>
      <c r="L23" s="67" t="s">
        <v>231</v>
      </c>
      <c r="M23" s="68">
        <v>5.0117328553884517E-2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2.0808918928108056E-4</v>
      </c>
      <c r="J24" s="67" t="s">
        <v>231</v>
      </c>
      <c r="K24" s="68">
        <v>1.0356548425316355E-2</v>
      </c>
      <c r="L24" s="67" t="s">
        <v>231</v>
      </c>
      <c r="M24" s="68">
        <v>0.37799918181488745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3.8529430465560348E-3</v>
      </c>
      <c r="J25" s="67" t="s">
        <v>231</v>
      </c>
      <c r="K25" s="68">
        <v>0.37670888295445165</v>
      </c>
      <c r="L25" s="67" t="s">
        <v>231</v>
      </c>
      <c r="M25" s="68">
        <v>14.640289422690419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2.9227703936236278E-4</v>
      </c>
      <c r="J26" s="67" t="s">
        <v>231</v>
      </c>
      <c r="K26" s="68">
        <v>1.9062178922827237E-2</v>
      </c>
      <c r="L26" s="67" t="s">
        <v>231</v>
      </c>
      <c r="M26" s="68">
        <v>0.72127277647674981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6.9611147482505573E-5</v>
      </c>
      <c r="J27" s="67" t="s">
        <v>231</v>
      </c>
      <c r="K27" s="68">
        <v>8.9767868501573218E-3</v>
      </c>
      <c r="L27" s="67" t="s">
        <v>231</v>
      </c>
      <c r="M27" s="68">
        <v>0.34384410842275093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2.7266580007803453E-5</v>
      </c>
      <c r="J28" s="67" t="s">
        <v>231</v>
      </c>
      <c r="K28" s="68">
        <v>3.6731799553439827E-3</v>
      </c>
      <c r="L28" s="67" t="s">
        <v>231</v>
      </c>
      <c r="M28" s="68">
        <v>0.13946913699909236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2.5870260836902684E-7</v>
      </c>
      <c r="J29" s="67" t="s">
        <v>231</v>
      </c>
      <c r="K29" s="68">
        <v>9.1288250838624053E-5</v>
      </c>
      <c r="L29" s="67" t="s">
        <v>231</v>
      </c>
      <c r="M29" s="68">
        <v>1.5179715745107707E-3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6.0281863619607794E-6</v>
      </c>
      <c r="J30" s="67" t="s">
        <v>231</v>
      </c>
      <c r="K30" s="68">
        <v>1.2981566862947564E-3</v>
      </c>
      <c r="L30" s="67" t="s">
        <v>231</v>
      </c>
      <c r="M30" s="68">
        <v>4.9254506320719538E-2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8.9781257895969145E-8</v>
      </c>
      <c r="J31" s="67" t="s">
        <v>231</v>
      </c>
      <c r="K31" s="68">
        <v>2.163581173886889E-5</v>
      </c>
      <c r="L31" s="67" t="s">
        <v>231</v>
      </c>
      <c r="M31" s="68">
        <v>8.1154309547553857E-4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9.9765846035302773E-5</v>
      </c>
      <c r="J32" s="67" t="s">
        <v>231</v>
      </c>
      <c r="K32" s="68">
        <v>5.3066177147132656E-3</v>
      </c>
      <c r="L32" s="67" t="s">
        <v>231</v>
      </c>
      <c r="M32" s="68">
        <v>0.18050726253795019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3.1273063509096159E-5</v>
      </c>
      <c r="J33" s="67" t="s">
        <v>231</v>
      </c>
      <c r="K33" s="68">
        <v>2.8885610917033576E-3</v>
      </c>
      <c r="L33" s="67" t="s">
        <v>231</v>
      </c>
      <c r="M33" s="68">
        <v>8.4774816226237629E-2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1.4995623348520778E-4</v>
      </c>
      <c r="J34" s="67" t="s">
        <v>231</v>
      </c>
      <c r="K34" s="68">
        <v>2.2829362356242333E-2</v>
      </c>
      <c r="L34" s="67" t="s">
        <v>231</v>
      </c>
      <c r="M34" s="68">
        <v>0.86216491796146322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1.4969938222293879E-3</v>
      </c>
      <c r="J35" s="67" t="s">
        <v>231</v>
      </c>
      <c r="K35" s="68">
        <v>6.2704700974230754E-2</v>
      </c>
      <c r="L35" s="67" t="s">
        <v>231</v>
      </c>
      <c r="M35" s="68">
        <v>2.4083019318612275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3.6262056270088831E-3</v>
      </c>
      <c r="J36" s="67" t="s">
        <v>231</v>
      </c>
      <c r="K36" s="68">
        <v>0.16532312709758712</v>
      </c>
      <c r="L36" s="67" t="s">
        <v>231</v>
      </c>
      <c r="M36" s="68">
        <v>6.3893996003736087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2.4570374236348273E-3</v>
      </c>
      <c r="J37" s="67" t="s">
        <v>231</v>
      </c>
      <c r="K37" s="68">
        <v>0.40273239674498279</v>
      </c>
      <c r="L37" s="67" t="s">
        <v>231</v>
      </c>
      <c r="M37" s="68">
        <v>15.662292361542066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1.2764857939581876E-3</v>
      </c>
      <c r="J38" s="67" t="s">
        <v>231</v>
      </c>
      <c r="K38" s="68">
        <v>0.24088177727548205</v>
      </c>
      <c r="L38" s="67" t="s">
        <v>231</v>
      </c>
      <c r="M38" s="68">
        <v>9.3309011174127665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7.2108487909382419E-4</v>
      </c>
      <c r="J39" s="67" t="s">
        <v>231</v>
      </c>
      <c r="K39" s="68">
        <v>0.16537405111543105</v>
      </c>
      <c r="L39" s="67" t="s">
        <v>231</v>
      </c>
      <c r="M39" s="68">
        <v>6.3956001074126361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1.2764857939581876E-3</v>
      </c>
      <c r="J40" s="67" t="s">
        <v>231</v>
      </c>
      <c r="K40" s="68">
        <v>0.24088177727548205</v>
      </c>
      <c r="L40" s="67" t="s">
        <v>231</v>
      </c>
      <c r="M40" s="68">
        <v>9.3309011174127665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8.7838404972763009E-9</v>
      </c>
      <c r="J41" s="67" t="s">
        <v>231</v>
      </c>
      <c r="K41" s="68">
        <v>9.693815192668067E-4</v>
      </c>
      <c r="L41" s="67" t="s">
        <v>231</v>
      </c>
      <c r="M41" s="68">
        <v>5.6891044577928101E-3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4.4783398442051411E-3</v>
      </c>
      <c r="J42" s="67" t="s">
        <v>231</v>
      </c>
      <c r="K42" s="68">
        <v>0.41215400408383562</v>
      </c>
      <c r="L42" s="67" t="s">
        <v>231</v>
      </c>
      <c r="M42" s="68">
        <v>16.032877339094899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2.4150689190793853E-3</v>
      </c>
      <c r="J43" s="67" t="s">
        <v>231</v>
      </c>
      <c r="K43" s="68">
        <v>1.138739726441803E-2</v>
      </c>
      <c r="L43" s="67" t="s">
        <v>231</v>
      </c>
      <c r="M43" s="68">
        <v>0.41807490701902977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6.8710198787053887E-3</v>
      </c>
      <c r="J44" s="67" t="s">
        <v>231</v>
      </c>
      <c r="K44" s="68">
        <v>0.12002696568776274</v>
      </c>
      <c r="L44" s="67" t="s">
        <v>231</v>
      </c>
      <c r="M44" s="68">
        <v>4.6303610084664371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1.2962113024919467E-2</v>
      </c>
      <c r="J45" s="67" t="s">
        <v>232</v>
      </c>
      <c r="K45" s="68">
        <v>0.5110910031988376</v>
      </c>
      <c r="L45" s="67" t="s">
        <v>231</v>
      </c>
      <c r="M45" s="68">
        <v>19.923859642886917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1.8151023844514642E-3</v>
      </c>
      <c r="J46" s="67" t="s">
        <v>231</v>
      </c>
      <c r="K46" s="68">
        <v>0.43263964345337824</v>
      </c>
      <c r="L46" s="67" t="s">
        <v>231</v>
      </c>
      <c r="M46" s="68">
        <v>16.835030319261502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3.3662314616463712E-3</v>
      </c>
      <c r="J47" s="142" t="s">
        <v>231</v>
      </c>
      <c r="K47" s="143">
        <v>0.33088099458132281</v>
      </c>
      <c r="L47" s="142" t="s">
        <v>231</v>
      </c>
      <c r="M47" s="143">
        <v>12.845758060877245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6.0013727157152226E-4</v>
      </c>
      <c r="J48" s="142" t="s">
        <v>231</v>
      </c>
      <c r="K48" s="143">
        <v>4.376468540428928E-2</v>
      </c>
      <c r="L48" s="142" t="s">
        <v>231</v>
      </c>
      <c r="M48" s="143">
        <v>1.6728545701147954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4.1173421930389142E-3</v>
      </c>
      <c r="J49" s="142" t="s">
        <v>231</v>
      </c>
      <c r="K49" s="143">
        <v>0.12782081574780865</v>
      </c>
      <c r="L49" s="142" t="s">
        <v>231</v>
      </c>
      <c r="M49" s="143">
        <v>4.9327511387901142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1.0060726688558067E-3</v>
      </c>
      <c r="J50" s="142" t="s">
        <v>231</v>
      </c>
      <c r="K50" s="143">
        <v>0.1414696386753333</v>
      </c>
      <c r="L50" s="142" t="s">
        <v>231</v>
      </c>
      <c r="M50" s="143">
        <v>5.4626032795356787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1.4962401256320955E-3</v>
      </c>
      <c r="J51" s="142" t="s">
        <v>231</v>
      </c>
      <c r="K51" s="143">
        <v>5.316138170561549E-2</v>
      </c>
      <c r="L51" s="142" t="s">
        <v>231</v>
      </c>
      <c r="M51" s="143">
        <v>2.036901463238467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2.837217278849755E-2</v>
      </c>
      <c r="J52" s="142" t="s">
        <v>232</v>
      </c>
      <c r="K52" s="143">
        <v>4.4621812959588308E-2</v>
      </c>
      <c r="L52" s="142" t="s">
        <v>231</v>
      </c>
      <c r="M52" s="143">
        <v>1.706054222760524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9.458753149116924E-3</v>
      </c>
      <c r="J53" s="142" t="s">
        <v>231</v>
      </c>
      <c r="K53" s="143">
        <v>0.19049238348079714</v>
      </c>
      <c r="L53" s="142" t="s">
        <v>231</v>
      </c>
      <c r="M53" s="143">
        <v>7.3682250278109347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4.8423132440769531E-3</v>
      </c>
      <c r="J54" s="67" t="s">
        <v>231</v>
      </c>
      <c r="K54" s="68">
        <v>0.13454255633004014</v>
      </c>
      <c r="L54" s="67" t="s">
        <v>231</v>
      </c>
      <c r="M54" s="68">
        <v>5.1936448814773701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3.5329336025198567E-3</v>
      </c>
      <c r="J55" s="67" t="s">
        <v>231</v>
      </c>
      <c r="K55" s="68">
        <v>0.32599557830209303</v>
      </c>
      <c r="L55" s="67" t="s">
        <v>231</v>
      </c>
      <c r="M55" s="68">
        <v>12.654759052571631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2.8908443843569274E-3</v>
      </c>
      <c r="J56" s="67" t="s">
        <v>231</v>
      </c>
      <c r="K56" s="68">
        <v>0.12261086743337195</v>
      </c>
      <c r="L56" s="67" t="s">
        <v>231</v>
      </c>
      <c r="M56" s="68">
        <v>4.730594635072074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4.1618611726083679E-3</v>
      </c>
      <c r="J57" s="67" t="s">
        <v>231</v>
      </c>
      <c r="K57" s="68">
        <v>3.9665796536940932E-2</v>
      </c>
      <c r="L57" s="67" t="s">
        <v>231</v>
      </c>
      <c r="M57" s="68">
        <v>1.5142930657711677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2.9419371112542721E-2</v>
      </c>
      <c r="J58" s="67" t="s">
        <v>232</v>
      </c>
      <c r="K58" s="68">
        <v>0.13591726050266822</v>
      </c>
      <c r="L58" s="67" t="s">
        <v>231</v>
      </c>
      <c r="M58" s="68">
        <v>5.247011814874484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2.9365079213839614E-3</v>
      </c>
      <c r="J59" s="67" t="s">
        <v>231</v>
      </c>
      <c r="K59" s="68">
        <v>4.4638523832357759E-2</v>
      </c>
      <c r="L59" s="67" t="s">
        <v>231</v>
      </c>
      <c r="M59" s="68">
        <v>1.7066931402128507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1.3664483840997678E-2</v>
      </c>
      <c r="J60" s="67" t="s">
        <v>232</v>
      </c>
      <c r="K60" s="68">
        <v>0.17494761272728659</v>
      </c>
      <c r="L60" s="67" t="s">
        <v>231</v>
      </c>
      <c r="M60" s="68">
        <v>6.7636117482884739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4.6358297273142306E-5</v>
      </c>
      <c r="J61" s="67" t="s">
        <v>231</v>
      </c>
      <c r="K61" s="68">
        <v>6.7419244684662857E-2</v>
      </c>
      <c r="L61" s="67" t="s">
        <v>231</v>
      </c>
      <c r="M61" s="68">
        <v>1.4599915379081281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2.2460336148737183E-4</v>
      </c>
      <c r="J62" s="67" t="s">
        <v>231</v>
      </c>
      <c r="K62" s="68">
        <v>2.166724665535899E-2</v>
      </c>
      <c r="L62" s="67" t="s">
        <v>231</v>
      </c>
      <c r="M62" s="68">
        <v>0.81712939433752529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1.7313384032193886E-6</v>
      </c>
      <c r="J63" s="67" t="s">
        <v>231</v>
      </c>
      <c r="K63" s="68">
        <v>6.5876436268997758E-3</v>
      </c>
      <c r="L63" s="67" t="s">
        <v>231</v>
      </c>
      <c r="M63" s="68">
        <v>0.11461595828970442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1.0606890658603717E-7</v>
      </c>
      <c r="J64" s="67" t="s">
        <v>231</v>
      </c>
      <c r="K64" s="68">
        <v>9.0527494666580257E-4</v>
      </c>
      <c r="L64" s="67" t="s">
        <v>231</v>
      </c>
      <c r="M64" s="68">
        <v>2.2714340811786928E-3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2.0095176666406429E-8</v>
      </c>
      <c r="J65" s="67" t="s">
        <v>231</v>
      </c>
      <c r="K65" s="68">
        <v>1.3527907510734254E-3</v>
      </c>
      <c r="L65" s="67" t="s">
        <v>231</v>
      </c>
      <c r="M65" s="68">
        <v>9.5547355619933546E-3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1.7389994789207727E-7</v>
      </c>
      <c r="J66" s="67" t="s">
        <v>231</v>
      </c>
      <c r="K66" s="68">
        <v>5.570832356179075E-2</v>
      </c>
      <c r="L66" s="67" t="s">
        <v>231</v>
      </c>
      <c r="M66" s="68">
        <v>1.0594820197165424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1.9793579699402758E-8</v>
      </c>
      <c r="J67" s="67" t="s">
        <v>231</v>
      </c>
      <c r="K67" s="68">
        <v>1.2691790898453098E-3</v>
      </c>
      <c r="L67" s="67" t="s">
        <v>231</v>
      </c>
      <c r="M67" s="68">
        <v>7.9535740176972704E-3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6.4255314242005662E-9</v>
      </c>
      <c r="J68" s="67" t="s">
        <v>231</v>
      </c>
      <c r="K68" s="68">
        <v>9.1371493824835741E-4</v>
      </c>
      <c r="L68" s="67" t="s">
        <v>231</v>
      </c>
      <c r="M68" s="68">
        <v>1.0546949279372783E-3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1.6288809594084918E-4</v>
      </c>
      <c r="J69" s="67" t="s">
        <v>231</v>
      </c>
      <c r="K69" s="68">
        <v>0.10998845277662511</v>
      </c>
      <c r="L69" s="67" t="s">
        <v>231</v>
      </c>
      <c r="M69" s="68">
        <v>4.2410168841866165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2.2839595189159013E-14</v>
      </c>
      <c r="J70" s="67" t="s">
        <v>231</v>
      </c>
      <c r="K70" s="68">
        <v>9.3320590182666867E-4</v>
      </c>
      <c r="L70" s="67" t="s">
        <v>231</v>
      </c>
      <c r="M70" s="68">
        <v>3.8081671286056208E-3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1.9827355417210503E-10</v>
      </c>
      <c r="J71" s="67" t="s">
        <v>231</v>
      </c>
      <c r="K71" s="68">
        <v>9.938763340273586E-4</v>
      </c>
      <c r="L71" s="67" t="s">
        <v>231</v>
      </c>
      <c r="M71" s="68">
        <v>6.9763045928507676E-3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2.623071488625486E-13</v>
      </c>
      <c r="J72" s="67" t="s">
        <v>231</v>
      </c>
      <c r="K72" s="68">
        <v>0.11844840626068542</v>
      </c>
      <c r="L72" s="67" t="s">
        <v>231</v>
      </c>
      <c r="M72" s="68">
        <v>5.9420126707135168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1.1754076162983453E-10</v>
      </c>
      <c r="J73" s="67" t="s">
        <v>231</v>
      </c>
      <c r="K73" s="68">
        <v>1.1678627517201275E-2</v>
      </c>
      <c r="L73" s="67" t="s">
        <v>231</v>
      </c>
      <c r="M73" s="68">
        <v>0.57426759963644669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1.8591103135101171E-11</v>
      </c>
      <c r="J74" s="67" t="s">
        <v>231</v>
      </c>
      <c r="K74" s="68">
        <v>9.8201728724032198E-4</v>
      </c>
      <c r="L74" s="67" t="s">
        <v>231</v>
      </c>
      <c r="M74" s="68">
        <v>6.3566805006207046E-3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6.968182510522468E-13</v>
      </c>
      <c r="J75" s="67" t="s">
        <v>231</v>
      </c>
      <c r="K75" s="68">
        <v>1.1266663916697783E-2</v>
      </c>
      <c r="L75" s="67" t="s">
        <v>231</v>
      </c>
      <c r="M75" s="68">
        <v>0.55204517249152063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1.6558840137325509E-8</v>
      </c>
      <c r="J76" s="67" t="s">
        <v>231</v>
      </c>
      <c r="K76" s="68">
        <v>2.8747397495211551E-3</v>
      </c>
      <c r="L76" s="67" t="s">
        <v>231</v>
      </c>
      <c r="M76" s="68">
        <v>0.10585793005431268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4.8827154480046832E-7</v>
      </c>
      <c r="J77" s="67" t="s">
        <v>231</v>
      </c>
      <c r="K77" s="68">
        <v>1.1566264888506383E-2</v>
      </c>
      <c r="L77" s="67" t="s">
        <v>231</v>
      </c>
      <c r="M77" s="68">
        <v>0.5681961064526948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2.6090249524406592E-12</v>
      </c>
      <c r="J78" s="67" t="s">
        <v>231</v>
      </c>
      <c r="K78" s="68">
        <v>9.9902118906336296E-2</v>
      </c>
      <c r="L78" s="67" t="s">
        <v>231</v>
      </c>
      <c r="M78" s="68">
        <v>5.011197958905222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1.4353502464970666E-15</v>
      </c>
      <c r="J79" s="67" t="s">
        <v>231</v>
      </c>
      <c r="K79" s="68">
        <v>9.9902068379704514E-2</v>
      </c>
      <c r="L79" s="67" t="s">
        <v>231</v>
      </c>
      <c r="M79" s="68">
        <v>5.0111963068008665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8.2248342945866956E-14</v>
      </c>
      <c r="J80" s="67" t="s">
        <v>231</v>
      </c>
      <c r="K80" s="68">
        <v>6.4208906516419065E-3</v>
      </c>
      <c r="L80" s="67" t="s">
        <v>231</v>
      </c>
      <c r="M80" s="68">
        <v>0.29346148064496824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8.4691147252809508E-11</v>
      </c>
      <c r="J81" s="67" t="s">
        <v>231</v>
      </c>
      <c r="K81" s="68">
        <v>1.3454628587939669E-3</v>
      </c>
      <c r="L81" s="67" t="s">
        <v>231</v>
      </c>
      <c r="M81" s="68">
        <v>2.5390590783331661E-2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2.1412719944786144E-15</v>
      </c>
      <c r="J82" s="67" t="s">
        <v>231</v>
      </c>
      <c r="K82" s="68">
        <v>2.019910236807922E-3</v>
      </c>
      <c r="L82" s="67" t="s">
        <v>231</v>
      </c>
      <c r="M82" s="68">
        <v>6.0828836362524306E-2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1.4954785734426135E-13</v>
      </c>
      <c r="J83" s="67" t="s">
        <v>231</v>
      </c>
      <c r="K83" s="68">
        <v>0.18680545343982202</v>
      </c>
      <c r="L83" s="67" t="s">
        <v>231</v>
      </c>
      <c r="M83" s="68">
        <v>9.3725459608111752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5.0901585880604505E-2</v>
      </c>
      <c r="J84" s="67" t="s">
        <v>232</v>
      </c>
      <c r="K84" s="68">
        <v>1.4678697911778888E-2</v>
      </c>
      <c r="L84" s="67" t="s">
        <v>231</v>
      </c>
      <c r="M84" s="68">
        <v>0.54603710872307376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1.1805748100686804E-5</v>
      </c>
      <c r="J85" s="67" t="s">
        <v>231</v>
      </c>
      <c r="K85" s="68">
        <v>1.1986786957706534</v>
      </c>
      <c r="L85" s="67" t="s">
        <v>232</v>
      </c>
      <c r="M85" s="68">
        <v>23.10809280206999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1.2394037424807317E-3</v>
      </c>
      <c r="J86" s="67" t="s">
        <v>231</v>
      </c>
      <c r="K86" s="68">
        <v>0.48923400892489682</v>
      </c>
      <c r="L86" s="67" t="s">
        <v>231</v>
      </c>
      <c r="M86" s="68">
        <v>19.061954802804024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9.53214714609523E-4</v>
      </c>
      <c r="J87" s="67" t="s">
        <v>231</v>
      </c>
      <c r="K87" s="68">
        <v>0.59310524705316647</v>
      </c>
      <c r="L87" s="67" t="s">
        <v>231</v>
      </c>
      <c r="M87" s="68">
        <v>23.169815007847994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1.5467409311523729E-3</v>
      </c>
      <c r="J88" s="67" t="s">
        <v>231</v>
      </c>
      <c r="K88" s="68">
        <v>0.68358456159741376</v>
      </c>
      <c r="L88" s="67" t="s">
        <v>231</v>
      </c>
      <c r="M88" s="68">
        <v>26.783431379429452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4.4603478408442162E-7</v>
      </c>
      <c r="J89" s="67" t="s">
        <v>231</v>
      </c>
      <c r="K89" s="68">
        <v>1.7632167401855743</v>
      </c>
      <c r="L89" s="67" t="s">
        <v>232</v>
      </c>
      <c r="M89" s="68">
        <v>34.187643130510168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1.9052800673412171E-5</v>
      </c>
      <c r="J90" s="67" t="s">
        <v>231</v>
      </c>
      <c r="K90" s="68">
        <v>8.7758393596669177E-4</v>
      </c>
      <c r="L90" s="67" t="s">
        <v>231</v>
      </c>
      <c r="M90" s="68">
        <v>1.4770554401683591E-3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3.5476144777409615E-5</v>
      </c>
      <c r="J91" s="67" t="s">
        <v>231</v>
      </c>
      <c r="K91" s="68">
        <v>2.8044959766019332E-3</v>
      </c>
      <c r="L91" s="67" t="s">
        <v>231</v>
      </c>
      <c r="M91" s="68">
        <v>8.1417421498559572E-2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5.7686633023326191E-5</v>
      </c>
      <c r="J92" s="67" t="s">
        <v>231</v>
      </c>
      <c r="K92" s="68">
        <v>2.8563965401122968E-2</v>
      </c>
      <c r="L92" s="67" t="s">
        <v>231</v>
      </c>
      <c r="M92" s="68">
        <v>1.084302886867671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1.2898064286832636E-8</v>
      </c>
      <c r="J93" s="67" t="s">
        <v>231</v>
      </c>
      <c r="K93" s="68">
        <v>8.7203097633010073E-4</v>
      </c>
      <c r="L93" s="67" t="s">
        <v>231</v>
      </c>
      <c r="M93" s="68">
        <v>6.2185989234017896E-4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2.1062798108944281E-18</v>
      </c>
      <c r="J94" s="67" t="s">
        <v>231</v>
      </c>
      <c r="K94" s="68">
        <v>8.678993825670529E-4</v>
      </c>
      <c r="L94" s="67" t="s">
        <v>231</v>
      </c>
      <c r="M94" s="68">
        <v>1.5090112216215875E-4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2.2758865208111297E-6</v>
      </c>
      <c r="J95" s="67" t="s">
        <v>231</v>
      </c>
      <c r="K95" s="68">
        <v>9.8797392851327978E-4</v>
      </c>
      <c r="L95" s="67" t="s">
        <v>231</v>
      </c>
      <c r="M95" s="68">
        <v>6.3834757539068818E-3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1.347525128030266E-2</v>
      </c>
      <c r="J96" s="67" t="s">
        <v>232</v>
      </c>
      <c r="K96" s="68">
        <v>0.44646320884004448</v>
      </c>
      <c r="L96" s="67" t="s">
        <v>231</v>
      </c>
      <c r="M96" s="68">
        <v>17.378357282868137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1.1122384862120075E-4</v>
      </c>
      <c r="J97" s="67" t="s">
        <v>231</v>
      </c>
      <c r="K97" s="68">
        <v>4.6024279668907811E-3</v>
      </c>
      <c r="L97" s="67" t="s">
        <v>231</v>
      </c>
      <c r="M97" s="68">
        <v>0.15271308878549011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2.8820792517202585E-5</v>
      </c>
      <c r="J98" s="67" t="s">
        <v>231</v>
      </c>
      <c r="K98" s="68">
        <v>3.0668265647438931E-3</v>
      </c>
      <c r="L98" s="67" t="s">
        <v>231</v>
      </c>
      <c r="M98" s="68">
        <v>9.1881285473984345E-2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1.7862042240285071E-6</v>
      </c>
      <c r="J99" s="67" t="s">
        <v>231</v>
      </c>
      <c r="K99" s="68">
        <v>1.3636727792113992E-3</v>
      </c>
      <c r="L99" s="67" t="s">
        <v>231</v>
      </c>
      <c r="M99" s="68">
        <v>2.2973742743850296E-2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9.8854098260958492E-3</v>
      </c>
      <c r="J100" s="67" t="s">
        <v>231</v>
      </c>
      <c r="K100" s="68">
        <v>0.20477251322223183</v>
      </c>
      <c r="L100" s="67" t="s">
        <v>231</v>
      </c>
      <c r="M100" s="68">
        <v>7.9240319404594874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3.383196943170675E-2</v>
      </c>
      <c r="J101" s="67" t="s">
        <v>232</v>
      </c>
      <c r="K101" s="68">
        <v>2.2537161868046555E-2</v>
      </c>
      <c r="L101" s="67" t="s">
        <v>231</v>
      </c>
      <c r="M101" s="68">
        <v>0.85083987834690078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1.7986341118448233E-2</v>
      </c>
      <c r="J102" s="67" t="s">
        <v>232</v>
      </c>
      <c r="K102" s="68">
        <v>5.2676277906710131E-2</v>
      </c>
      <c r="L102" s="67" t="s">
        <v>231</v>
      </c>
      <c r="M102" s="68">
        <v>2.018110605007696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1.7108972892804137E-9</v>
      </c>
      <c r="J103" s="67" t="s">
        <v>231</v>
      </c>
      <c r="K103" s="68">
        <v>1.1100226507874545E-3</v>
      </c>
      <c r="L103" s="67" t="s">
        <v>231</v>
      </c>
      <c r="M103" s="68">
        <v>1.304998550327402E-2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2.2002886114775718E-6</v>
      </c>
      <c r="J104" s="67" t="s">
        <v>231</v>
      </c>
      <c r="K104" s="68">
        <v>2.0422697179893951E-2</v>
      </c>
      <c r="L104" s="67" t="s">
        <v>231</v>
      </c>
      <c r="M104" s="68">
        <v>1.0066269515075565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9.6952037607948589E-8</v>
      </c>
      <c r="J105" s="67" t="s">
        <v>231</v>
      </c>
      <c r="K105" s="68">
        <v>8.820741868464611E-4</v>
      </c>
      <c r="L105" s="67" t="s">
        <v>231</v>
      </c>
      <c r="M105" s="68">
        <v>1.8023475976961076E-3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3.3259720138889903E-8</v>
      </c>
      <c r="J106" s="67" t="s">
        <v>231</v>
      </c>
      <c r="K106" s="68">
        <v>9.9711507756438398E-4</v>
      </c>
      <c r="L106" s="67" t="s">
        <v>231</v>
      </c>
      <c r="M106" s="68">
        <v>6.8649787870384846E-3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3.3632436738280421E-5</v>
      </c>
      <c r="J107" s="67" t="s">
        <v>231</v>
      </c>
      <c r="K107" s="68">
        <v>8.2800552105672567E-2</v>
      </c>
      <c r="L107" s="67" t="s">
        <v>231</v>
      </c>
      <c r="M107" s="68">
        <v>2.7569555926670906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2.6463775882519428E-10</v>
      </c>
      <c r="J108" s="67" t="s">
        <v>231</v>
      </c>
      <c r="K108" s="68">
        <v>8.640601504847483E-4</v>
      </c>
      <c r="L108" s="67" t="s">
        <v>231</v>
      </c>
      <c r="M108" s="68">
        <v>7.8103355814623243E-5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2.8813644264708533E-6</v>
      </c>
      <c r="J109" s="67" t="s">
        <v>231</v>
      </c>
      <c r="K109" s="68">
        <v>1.4858723757403956E-2</v>
      </c>
      <c r="L109" s="67" t="s">
        <v>231</v>
      </c>
      <c r="M109" s="68">
        <v>0.2717733885603093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5.8239348747364786E-6</v>
      </c>
      <c r="J110" s="67" t="s">
        <v>231</v>
      </c>
      <c r="K110" s="68">
        <v>8.6045285570795485E-4</v>
      </c>
      <c r="L110" s="67" t="s">
        <v>231</v>
      </c>
      <c r="M110" s="68">
        <v>2.219563861470854E-4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8.1163297694916266E-14</v>
      </c>
      <c r="J111" s="67" t="s">
        <v>231</v>
      </c>
      <c r="K111" s="68">
        <v>8.6011150196881687E-4</v>
      </c>
      <c r="L111" s="67" t="s">
        <v>231</v>
      </c>
      <c r="M111" s="68">
        <v>3.2328498056961458E-6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9.1568272785098047E-9</v>
      </c>
      <c r="J112" s="67" t="s">
        <v>231</v>
      </c>
      <c r="K112" s="68">
        <v>8.5758482007675812E-4</v>
      </c>
      <c r="L112" s="67" t="s">
        <v>231</v>
      </c>
      <c r="M112" s="68">
        <v>1.6758052136953841E-4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4.2150447620450694E-7</v>
      </c>
      <c r="J113" s="67" t="s">
        <v>231</v>
      </c>
      <c r="K113" s="68">
        <v>9.2266373115779414E-4</v>
      </c>
      <c r="L113" s="67" t="s">
        <v>231</v>
      </c>
      <c r="M113" s="68">
        <v>3.8377984414734922E-3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5.6961939505705081E-8</v>
      </c>
      <c r="J114" s="67" t="s">
        <v>231</v>
      </c>
      <c r="K114" s="68">
        <v>8.5784768916474341E-4</v>
      </c>
      <c r="L114" s="67" t="s">
        <v>231</v>
      </c>
      <c r="M114" s="68">
        <v>5.2089625911371996E-5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4.8500863778286097E-11</v>
      </c>
      <c r="J115" s="67" t="s">
        <v>231</v>
      </c>
      <c r="K115" s="68">
        <v>9.2677368333268957E-4</v>
      </c>
      <c r="L115" s="67" t="s">
        <v>231</v>
      </c>
      <c r="M115" s="68">
        <v>3.4720016609179742E-3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2.9788057216705935E-5</v>
      </c>
      <c r="J116" s="67" t="s">
        <v>231</v>
      </c>
      <c r="K116" s="68">
        <v>0.47279767970987757</v>
      </c>
      <c r="L116" s="67" t="s">
        <v>231</v>
      </c>
      <c r="M116" s="68">
        <v>9.1264502551762945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8.3109574583917778E-5</v>
      </c>
      <c r="J117" s="67" t="s">
        <v>231</v>
      </c>
      <c r="K117" s="68">
        <v>7.4572434354940546E-3</v>
      </c>
      <c r="L117" s="67" t="s">
        <v>231</v>
      </c>
      <c r="M117" s="68">
        <v>0.26477114977306282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0.97623885846522462</v>
      </c>
      <c r="F2" s="14">
        <v>0.97653567237092898</v>
      </c>
      <c r="G2" s="14">
        <v>2.9039999206778E-10</v>
      </c>
      <c r="H2" s="14">
        <v>0.17012498991986144</v>
      </c>
      <c r="I2" s="14">
        <v>0.63215748314164799</v>
      </c>
      <c r="J2" s="14">
        <v>0</v>
      </c>
      <c r="K2" s="14">
        <v>1.0240281315807973</v>
      </c>
      <c r="L2" s="14">
        <v>0.97653567237092898</v>
      </c>
      <c r="M2" s="14">
        <v>0.80124751918034731</v>
      </c>
      <c r="N2" s="14">
        <v>0.87022831337210205</v>
      </c>
      <c r="O2" s="14">
        <v>168.98963617372848</v>
      </c>
      <c r="P2" s="8">
        <v>0.87022831337210205</v>
      </c>
      <c r="Q2" s="54">
        <v>1.572625390684183E-2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0.61684550471010691</v>
      </c>
      <c r="F3" s="14">
        <v>0.58814566536334356</v>
      </c>
      <c r="G3" s="14">
        <v>2.7844623768562217E-10</v>
      </c>
      <c r="H3" s="14">
        <v>66.151850095750476</v>
      </c>
      <c r="I3" s="14">
        <v>148.79618724367859</v>
      </c>
      <c r="J3" s="14">
        <v>0</v>
      </c>
      <c r="K3" s="14">
        <v>1.7002590665736215</v>
      </c>
      <c r="L3" s="14">
        <v>0.58814566536334356</v>
      </c>
      <c r="M3" s="14">
        <v>0.4825735184306234</v>
      </c>
      <c r="N3" s="14">
        <v>9.6950211728849798</v>
      </c>
      <c r="O3" s="14">
        <v>2482.7979721641141</v>
      </c>
      <c r="P3" s="8">
        <v>9.6950211728849798</v>
      </c>
      <c r="Q3" s="54">
        <v>0.25514778530188587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0.99943750353960026</v>
      </c>
      <c r="F4" s="14">
        <v>0.99978518423403961</v>
      </c>
      <c r="G4" s="14">
        <v>1.5060354141314084E-19</v>
      </c>
      <c r="H4" s="14">
        <v>0.11945565031338505</v>
      </c>
      <c r="I4" s="14">
        <v>1.2180467408773421E-3</v>
      </c>
      <c r="J4" s="14">
        <v>0</v>
      </c>
      <c r="K4" s="14">
        <v>1.0002148619216886</v>
      </c>
      <c r="L4" s="14">
        <v>0.99978518423403973</v>
      </c>
      <c r="M4" s="14">
        <v>0.8203237436640296</v>
      </c>
      <c r="N4" s="14">
        <v>1.0186475505276318</v>
      </c>
      <c r="O4" s="14">
        <v>301.67247208875813</v>
      </c>
      <c r="P4" s="8">
        <v>1.0186475505276318</v>
      </c>
      <c r="Q4" s="54">
        <v>1.3888775375249634E-5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0.99846053742449914</v>
      </c>
      <c r="F5" s="14">
        <v>0.92291029344866127</v>
      </c>
      <c r="G5" s="14">
        <v>4.2241498115619039E-12</v>
      </c>
      <c r="H5" s="14">
        <v>215.73444401884635</v>
      </c>
      <c r="I5" s="14">
        <v>0.15854055381775259</v>
      </c>
      <c r="J5" s="14">
        <v>0</v>
      </c>
      <c r="K5" s="14">
        <v>1.083528927024181</v>
      </c>
      <c r="L5" s="14">
        <v>0.92291029344866127</v>
      </c>
      <c r="M5" s="14">
        <v>0.75724789577462659</v>
      </c>
      <c r="N5" s="14">
        <v>2.3000834577664313</v>
      </c>
      <c r="O5" s="14">
        <v>508.41044750469194</v>
      </c>
      <c r="P5" s="8">
        <v>2.3000834577664313</v>
      </c>
      <c r="Q5" s="54">
        <v>2.1317701216204757E-4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0.99610629424662123</v>
      </c>
      <c r="F6" s="14">
        <v>0.82518837273837198</v>
      </c>
      <c r="G6" s="14">
        <v>5.2351304761566976E-13</v>
      </c>
      <c r="H6" s="14">
        <v>486.55629967634081</v>
      </c>
      <c r="I6" s="14">
        <v>1.3064332987850593</v>
      </c>
      <c r="J6" s="14">
        <v>0</v>
      </c>
      <c r="K6" s="14">
        <v>1.2118445109466569</v>
      </c>
      <c r="L6" s="14">
        <v>0.82518837273837198</v>
      </c>
      <c r="M6" s="14">
        <v>0.67706705983183424</v>
      </c>
      <c r="N6" s="14">
        <v>3.9564218002214213</v>
      </c>
      <c r="O6" s="14">
        <v>911.00568371898441</v>
      </c>
      <c r="P6" s="8">
        <v>3.9564218002214218</v>
      </c>
      <c r="Q6" s="54">
        <v>1.2075002832676986E-3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0.97668263017791657</v>
      </c>
      <c r="F7" s="14">
        <v>0.53603267610487837</v>
      </c>
      <c r="G7" s="14">
        <v>8.9326101159352336E-9</v>
      </c>
      <c r="H7" s="14">
        <v>1250.464205935001</v>
      </c>
      <c r="I7" s="14">
        <v>23.568285140005464</v>
      </c>
      <c r="J7" s="14">
        <v>0</v>
      </c>
      <c r="K7" s="14">
        <v>1.8655579120037513</v>
      </c>
      <c r="L7" s="14">
        <v>0.53603267610487837</v>
      </c>
      <c r="M7" s="14">
        <v>0.43981481074405271</v>
      </c>
      <c r="N7" s="14">
        <v>9.0815102470643421</v>
      </c>
      <c r="O7" s="14">
        <v>1873.3339337644325</v>
      </c>
      <c r="P7" s="8">
        <v>9.0815102470643421</v>
      </c>
      <c r="Q7" s="54">
        <v>1.2477511644120967E-2</v>
      </c>
    </row>
    <row r="8" spans="1:20">
      <c r="A8" s="2" t="s">
        <v>289</v>
      </c>
      <c r="B8" s="16" t="s">
        <v>290</v>
      </c>
      <c r="D8" s="14">
        <v>1</v>
      </c>
      <c r="E8" s="14">
        <v>0.99611378063725597</v>
      </c>
      <c r="F8" s="14">
        <v>0.74710906602679283</v>
      </c>
      <c r="G8" s="14">
        <v>4.1415187593101849E-19</v>
      </c>
      <c r="H8" s="14">
        <v>708.44152054833296</v>
      </c>
      <c r="I8" s="14">
        <v>0.99744786941026919</v>
      </c>
      <c r="J8" s="14">
        <v>0</v>
      </c>
      <c r="K8" s="14">
        <v>1.3384926585325869</v>
      </c>
      <c r="L8" s="14">
        <v>0.74710906602679283</v>
      </c>
      <c r="M8" s="14">
        <v>0.61300298867498348</v>
      </c>
      <c r="N8" s="14">
        <v>5.1871730706825101</v>
      </c>
      <c r="O8" s="14">
        <v>1807.3148412872004</v>
      </c>
      <c r="P8" s="8">
        <v>5.187173070682511</v>
      </c>
      <c r="Q8" s="54">
        <v>7.6048422017007918E-4</v>
      </c>
    </row>
    <row r="9" spans="1:20">
      <c r="A9" s="2" t="s">
        <v>291</v>
      </c>
      <c r="B9" s="16" t="s">
        <v>292</v>
      </c>
      <c r="D9" s="14">
        <v>1</v>
      </c>
      <c r="E9" s="14">
        <v>0.99762487923886012</v>
      </c>
      <c r="F9" s="14">
        <v>0.93929463151339931</v>
      </c>
      <c r="G9" s="14">
        <v>8.1692827407464293E-15</v>
      </c>
      <c r="H9" s="14">
        <v>166.76382205772833</v>
      </c>
      <c r="I9" s="14">
        <v>0.58524188997002247</v>
      </c>
      <c r="J9" s="14">
        <v>0</v>
      </c>
      <c r="K9" s="14">
        <v>1.0646286760830215</v>
      </c>
      <c r="L9" s="14">
        <v>0.93929463151339943</v>
      </c>
      <c r="M9" s="14">
        <v>0.77069124515674414</v>
      </c>
      <c r="N9" s="14">
        <v>2.0147726765396157</v>
      </c>
      <c r="O9" s="14">
        <v>621.21485935745966</v>
      </c>
      <c r="P9" s="8">
        <v>2.0147726765396157</v>
      </c>
      <c r="Q9" s="54">
        <v>8.7970164512778093E-4</v>
      </c>
    </row>
    <row r="10" spans="1:20">
      <c r="A10" s="2" t="s">
        <v>367</v>
      </c>
      <c r="B10" s="16" t="s">
        <v>368</v>
      </c>
      <c r="D10" s="14">
        <v>1</v>
      </c>
      <c r="E10" s="14">
        <v>0.45000883028906291</v>
      </c>
      <c r="F10" s="14">
        <v>4.7635578264508531E-2</v>
      </c>
      <c r="G10" s="14">
        <v>7.4015031672894004E-7</v>
      </c>
      <c r="H10" s="14">
        <v>973.62438301196357</v>
      </c>
      <c r="I10" s="14">
        <v>1574.5215620909407</v>
      </c>
      <c r="J10" s="14">
        <v>0</v>
      </c>
      <c r="K10" s="14">
        <v>20.99271251515513</v>
      </c>
      <c r="L10" s="14">
        <v>4.7635578264508531E-2</v>
      </c>
      <c r="M10" s="14">
        <v>3.9084991966029256E-2</v>
      </c>
      <c r="N10" s="14">
        <v>81.920154452109728</v>
      </c>
      <c r="O10" s="14">
        <v>22801.655790200221</v>
      </c>
      <c r="P10" s="8">
        <v>81.920154452109728</v>
      </c>
      <c r="Q10" s="54">
        <v>0.3417815479593887</v>
      </c>
    </row>
    <row r="11" spans="1:20">
      <c r="A11" s="2" t="s">
        <v>369</v>
      </c>
      <c r="B11" s="16" t="s">
        <v>370</v>
      </c>
      <c r="D11" s="14">
        <v>1</v>
      </c>
      <c r="E11" s="14">
        <v>0.5457656386243761</v>
      </c>
      <c r="F11" s="14">
        <v>3.4479955043698971E-3</v>
      </c>
      <c r="G11" s="14">
        <v>3.7150340873775052E-13</v>
      </c>
      <c r="H11" s="14">
        <v>890.64921795595797</v>
      </c>
      <c r="I11" s="14">
        <v>6025.0780642355103</v>
      </c>
      <c r="J11" s="14">
        <v>0</v>
      </c>
      <c r="K11" s="14">
        <v>290.02357999963363</v>
      </c>
      <c r="L11" s="14">
        <v>3.4479955043698971E-3</v>
      </c>
      <c r="M11" s="14">
        <v>2.8290803113355007E-3</v>
      </c>
      <c r="N11" s="14">
        <v>666.69232619866943</v>
      </c>
      <c r="O11" s="14">
        <v>271277.10753023857</v>
      </c>
      <c r="P11" s="8">
        <v>666.69232619866943</v>
      </c>
      <c r="Q11" s="54">
        <v>6.7198979568035153E-2</v>
      </c>
    </row>
    <row r="12" spans="1:20">
      <c r="A12" s="2" t="s">
        <v>371</v>
      </c>
      <c r="B12" s="16" t="s">
        <v>372</v>
      </c>
      <c r="D12" s="14">
        <v>1</v>
      </c>
      <c r="E12" s="14">
        <v>0.92070845546631908</v>
      </c>
      <c r="F12" s="14">
        <v>0.92106366567590503</v>
      </c>
      <c r="G12" s="14">
        <v>8.2986118723086557E-4</v>
      </c>
      <c r="H12" s="14">
        <v>7.3299048845983763E-3</v>
      </c>
      <c r="I12" s="14">
        <v>3.3639371222208864E-2</v>
      </c>
      <c r="J12" s="14">
        <v>0</v>
      </c>
      <c r="K12" s="14">
        <v>1.0857012791468317</v>
      </c>
      <c r="L12" s="14">
        <v>0.92106366567590514</v>
      </c>
      <c r="M12" s="14">
        <v>0.75573273768708016</v>
      </c>
      <c r="N12" s="14">
        <v>0.79402666382466536</v>
      </c>
      <c r="O12" s="14">
        <v>111.31459800157984</v>
      </c>
      <c r="P12" s="8">
        <v>0.79402666382466536</v>
      </c>
      <c r="Q12" s="54">
        <v>2.8225904609801397E-3</v>
      </c>
    </row>
    <row r="13" spans="1:20">
      <c r="A13" s="2" t="s">
        <v>293</v>
      </c>
      <c r="B13" s="16" t="s">
        <v>294</v>
      </c>
      <c r="D13" s="14">
        <v>1</v>
      </c>
      <c r="E13" s="14">
        <v>0.64384519278036756</v>
      </c>
      <c r="F13" s="14">
        <v>0.62318616755417278</v>
      </c>
      <c r="G13" s="14">
        <v>2.3041263614767286E-10</v>
      </c>
      <c r="H13" s="14">
        <v>47.280036704767952</v>
      </c>
      <c r="I13" s="14">
        <v>112.28842125127652</v>
      </c>
      <c r="J13" s="14">
        <v>0</v>
      </c>
      <c r="K13" s="14">
        <v>1.604656926075098</v>
      </c>
      <c r="L13" s="14">
        <v>0.62318616755417289</v>
      </c>
      <c r="M13" s="14">
        <v>0.51132425047819885</v>
      </c>
      <c r="N13" s="14">
        <v>6.1492627445551884</v>
      </c>
      <c r="O13" s="14">
        <v>2031.4704402912523</v>
      </c>
      <c r="P13" s="8">
        <v>6.1492627445551893</v>
      </c>
      <c r="Q13" s="54">
        <v>0.23819628062411446</v>
      </c>
    </row>
    <row r="14" spans="1:20">
      <c r="A14" s="2" t="s">
        <v>373</v>
      </c>
      <c r="B14" s="16" t="s">
        <v>374</v>
      </c>
      <c r="D14" s="14">
        <v>1</v>
      </c>
      <c r="E14" s="14">
        <v>0.97654569914482359</v>
      </c>
      <c r="F14" s="14">
        <v>8.0042712803275642E-2</v>
      </c>
      <c r="G14" s="14">
        <v>8.6306749800800171E-9</v>
      </c>
      <c r="H14" s="14">
        <v>2544.1446462162789</v>
      </c>
      <c r="I14" s="14">
        <v>36.903628104518226</v>
      </c>
      <c r="J14" s="14">
        <v>0</v>
      </c>
      <c r="K14" s="14">
        <v>12.493329685835887</v>
      </c>
      <c r="L14" s="14">
        <v>8.0042712803275656E-2</v>
      </c>
      <c r="M14" s="14">
        <v>6.5675045855087669E-2</v>
      </c>
      <c r="N14" s="14">
        <v>30.779383461901656</v>
      </c>
      <c r="O14" s="14">
        <v>8197.7809912428856</v>
      </c>
      <c r="P14" s="8">
        <v>30.779383461901656</v>
      </c>
      <c r="Q14" s="54">
        <v>4.7782521625701086E-3</v>
      </c>
    </row>
    <row r="15" spans="1:20">
      <c r="A15" s="2" t="s">
        <v>375</v>
      </c>
      <c r="B15" s="16" t="s">
        <v>376</v>
      </c>
      <c r="D15" s="14">
        <v>1</v>
      </c>
      <c r="E15" s="14">
        <v>0.7825903276112155</v>
      </c>
      <c r="F15" s="14">
        <v>0.7803036943751952</v>
      </c>
      <c r="G15" s="14">
        <v>9.6496630947389057E-4</v>
      </c>
      <c r="H15" s="14">
        <v>5.6426571490839148</v>
      </c>
      <c r="I15" s="14">
        <v>15.934587813204391</v>
      </c>
      <c r="J15" s="14">
        <v>0</v>
      </c>
      <c r="K15" s="14">
        <v>1.2815523074009281</v>
      </c>
      <c r="L15" s="14">
        <v>0.7803036943751952</v>
      </c>
      <c r="M15" s="14">
        <v>0.64023918123484769</v>
      </c>
      <c r="N15" s="14">
        <v>1.4547954143668991</v>
      </c>
      <c r="O15" s="14">
        <v>217.34643490641471</v>
      </c>
      <c r="P15" s="8">
        <v>1.4547954143668991</v>
      </c>
      <c r="Q15" s="54">
        <v>8.7607408528591543E-2</v>
      </c>
    </row>
    <row r="16" spans="1:20">
      <c r="A16" s="2" t="s">
        <v>377</v>
      </c>
      <c r="B16" s="16" t="s">
        <v>378</v>
      </c>
      <c r="D16" s="14">
        <v>1</v>
      </c>
      <c r="E16" s="14">
        <v>0.62060129524966057</v>
      </c>
      <c r="F16" s="14">
        <v>0.59647034092919116</v>
      </c>
      <c r="G16" s="14">
        <v>8.9940923233749741E-6</v>
      </c>
      <c r="H16" s="14">
        <v>55.275013020645723</v>
      </c>
      <c r="I16" s="14">
        <v>129.35583518403266</v>
      </c>
      <c r="J16" s="14">
        <v>0</v>
      </c>
      <c r="K16" s="14">
        <v>1.6765292947209811</v>
      </c>
      <c r="L16" s="14">
        <v>0.59647034092919116</v>
      </c>
      <c r="M16" s="14">
        <v>0.48940391473240136</v>
      </c>
      <c r="N16" s="14">
        <v>6.9885062563302736</v>
      </c>
      <c r="O16" s="14">
        <v>1553.1256304068399</v>
      </c>
      <c r="P16" s="8">
        <v>6.9885062563302736</v>
      </c>
      <c r="Q16" s="54">
        <v>0.2530381620011859</v>
      </c>
    </row>
    <row r="17" spans="1:21">
      <c r="A17" s="2" t="s">
        <v>379</v>
      </c>
      <c r="B17" s="16" t="s">
        <v>380</v>
      </c>
      <c r="D17" s="14">
        <v>1</v>
      </c>
      <c r="E17" s="14">
        <v>0.6338318095303821</v>
      </c>
      <c r="F17" s="14">
        <v>0.61197044682124546</v>
      </c>
      <c r="G17" s="14">
        <v>2.6594935260202261E-5</v>
      </c>
      <c r="H17" s="14">
        <v>50.046124246007693</v>
      </c>
      <c r="I17" s="14">
        <v>118.20276087921317</v>
      </c>
      <c r="J17" s="14">
        <v>0</v>
      </c>
      <c r="K17" s="14">
        <v>1.634065836339474</v>
      </c>
      <c r="L17" s="14">
        <v>0.61197044682124546</v>
      </c>
      <c r="M17" s="14">
        <v>0.50212175161683192</v>
      </c>
      <c r="N17" s="14">
        <v>6.4383635785027504</v>
      </c>
      <c r="O17" s="14">
        <v>827.71602165231354</v>
      </c>
      <c r="P17" s="8">
        <v>6.4383635785027504</v>
      </c>
      <c r="Q17" s="54">
        <v>0.24323586988889448</v>
      </c>
    </row>
    <row r="18" spans="1:21">
      <c r="A18" s="2" t="s">
        <v>381</v>
      </c>
      <c r="B18" s="16" t="s">
        <v>382</v>
      </c>
      <c r="D18" s="14">
        <v>1</v>
      </c>
      <c r="E18" s="14">
        <v>0.4081183069889413</v>
      </c>
      <c r="F18" s="14">
        <v>2.9570852537995798E-3</v>
      </c>
      <c r="G18" s="14">
        <v>2.1066497360203605E-9</v>
      </c>
      <c r="H18" s="14">
        <v>310.43011484725167</v>
      </c>
      <c r="I18" s="14">
        <v>7787.9116557210536</v>
      </c>
      <c r="J18" s="14">
        <v>0</v>
      </c>
      <c r="K18" s="14">
        <v>338.17083856986972</v>
      </c>
      <c r="L18" s="14">
        <v>2.9570852537995802E-3</v>
      </c>
      <c r="M18" s="14">
        <v>2.4262884507425557E-3</v>
      </c>
      <c r="N18" s="14">
        <v>418.80503954760678</v>
      </c>
      <c r="O18" s="14">
        <v>163874.22392458306</v>
      </c>
      <c r="P18" s="8">
        <v>418.80503954760684</v>
      </c>
      <c r="Q18" s="54">
        <v>0.24912712510194757</v>
      </c>
    </row>
    <row r="19" spans="1:21">
      <c r="A19" s="2" t="s">
        <v>383</v>
      </c>
      <c r="B19" s="16" t="s">
        <v>384</v>
      </c>
      <c r="D19" s="14">
        <v>1</v>
      </c>
      <c r="E19" s="14">
        <v>0.91074089415437287</v>
      </c>
      <c r="F19" s="14">
        <v>0.91025299044414976</v>
      </c>
      <c r="G19" s="14">
        <v>1.3130782330565696E-4</v>
      </c>
      <c r="H19" s="14">
        <v>1.7933378485021885</v>
      </c>
      <c r="I19" s="14">
        <v>5.5733880894944843</v>
      </c>
      <c r="J19" s="14">
        <v>0</v>
      </c>
      <c r="K19" s="14">
        <v>1.0985956766942988</v>
      </c>
      <c r="L19" s="14">
        <v>0.91025299044414987</v>
      </c>
      <c r="M19" s="14">
        <v>0.74686257865942496</v>
      </c>
      <c r="N19" s="14">
        <v>1.0545551331394829</v>
      </c>
      <c r="O19" s="14">
        <v>98.210719549280029</v>
      </c>
      <c r="P19" s="8">
        <v>1.0545551331394829</v>
      </c>
      <c r="Q19" s="54">
        <v>5.1894255431669228E-2</v>
      </c>
    </row>
    <row r="20" spans="1:21">
      <c r="A20" s="2" t="s">
        <v>385</v>
      </c>
      <c r="B20" s="16" t="s">
        <v>386</v>
      </c>
      <c r="D20" s="14">
        <v>1</v>
      </c>
      <c r="E20" s="14">
        <v>0.87493138813293181</v>
      </c>
      <c r="F20" s="14">
        <v>0.87377750453171377</v>
      </c>
      <c r="G20" s="14">
        <v>2.4662059843938346E-4</v>
      </c>
      <c r="H20" s="14">
        <v>3.2166281593519215</v>
      </c>
      <c r="I20" s="14">
        <v>9.5468045262702184</v>
      </c>
      <c r="J20" s="14">
        <v>0</v>
      </c>
      <c r="K20" s="14">
        <v>1.1444561056031455</v>
      </c>
      <c r="L20" s="14">
        <v>0.87377750453171377</v>
      </c>
      <c r="M20" s="14">
        <v>0.7169344424682712</v>
      </c>
      <c r="N20" s="14">
        <v>1.2188563917353294</v>
      </c>
      <c r="O20" s="14">
        <v>135.43932224962981</v>
      </c>
      <c r="P20" s="8">
        <v>1.2188563917353294</v>
      </c>
      <c r="Q20" s="54">
        <v>6.9001420324806356E-2</v>
      </c>
    </row>
    <row r="21" spans="1:21">
      <c r="A21" s="2" t="s">
        <v>387</v>
      </c>
      <c r="B21" s="16" t="s">
        <v>388</v>
      </c>
      <c r="D21" s="14">
        <v>1</v>
      </c>
      <c r="E21" s="14">
        <v>0.72005304839991513</v>
      </c>
      <c r="F21" s="14">
        <v>0.40629702451872812</v>
      </c>
      <c r="G21" s="14">
        <v>7.8956763108123371E-5</v>
      </c>
      <c r="H21" s="14">
        <v>857.59776755095129</v>
      </c>
      <c r="I21" s="14">
        <v>320.45305731838522</v>
      </c>
      <c r="J21" s="14">
        <v>0</v>
      </c>
      <c r="K21" s="14">
        <v>2.4612535648877372</v>
      </c>
      <c r="L21" s="14">
        <v>0.40629702451872818</v>
      </c>
      <c r="M21" s="14">
        <v>0.33336670861761647</v>
      </c>
      <c r="N21" s="14">
        <v>20.87695318604764</v>
      </c>
      <c r="O21" s="14">
        <v>4122.1544065851067</v>
      </c>
      <c r="P21" s="8">
        <v>20.876953186047643</v>
      </c>
      <c r="Q21" s="54">
        <v>0.17667065508212901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0.90464501980948742</v>
      </c>
      <c r="F22" s="14">
        <v>0.90485788440306825</v>
      </c>
      <c r="G22" s="14">
        <v>7.2665599790267834E-4</v>
      </c>
      <c r="H22" s="14">
        <v>0.28727668121845307</v>
      </c>
      <c r="I22" s="14">
        <v>1.0213099093394677</v>
      </c>
      <c r="J22" s="14">
        <v>0</v>
      </c>
      <c r="K22" s="14">
        <v>1.105145920963817</v>
      </c>
      <c r="L22" s="14">
        <v>0.90485788440306836</v>
      </c>
      <c r="M22" s="14">
        <v>0.7424358941527176</v>
      </c>
      <c r="N22" s="14">
        <v>0.8274319529412496</v>
      </c>
      <c r="O22" s="14">
        <v>48.057247826827776</v>
      </c>
      <c r="P22" s="8">
        <v>0.8274319529412496</v>
      </c>
      <c r="Q22" s="54">
        <v>1.9923128941707068E-2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0.7564027587497808</v>
      </c>
      <c r="F23" s="14">
        <v>0.75219062002202663</v>
      </c>
      <c r="G23" s="14">
        <v>7.9435823296931604E-4</v>
      </c>
      <c r="H23" s="14">
        <v>9.9126075729887724</v>
      </c>
      <c r="I23" s="14">
        <v>26.782128173239958</v>
      </c>
      <c r="J23" s="14">
        <v>0</v>
      </c>
      <c r="K23" s="14">
        <v>1.3294502395825099</v>
      </c>
      <c r="L23" s="14">
        <v>0.75219062002202663</v>
      </c>
      <c r="M23" s="14">
        <v>0.6171724037280728</v>
      </c>
      <c r="N23" s="14">
        <v>1.9695846153637124</v>
      </c>
      <c r="O23" s="14">
        <v>211.04099153622181</v>
      </c>
      <c r="P23" s="8">
        <v>1.9695846153637127</v>
      </c>
      <c r="Q23" s="54">
        <v>0.1154635973556349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0.54809515972145961</v>
      </c>
      <c r="F24" s="14">
        <v>0.50974251785673919</v>
      </c>
      <c r="G24" s="14">
        <v>2.9323739144125233E-5</v>
      </c>
      <c r="H24" s="14">
        <v>88.265474409831114</v>
      </c>
      <c r="I24" s="14">
        <v>197.2640887243895</v>
      </c>
      <c r="J24" s="14">
        <v>0</v>
      </c>
      <c r="K24" s="14">
        <v>1.9617747489548154</v>
      </c>
      <c r="L24" s="14">
        <v>0.50974251785673919</v>
      </c>
      <c r="M24" s="14">
        <v>0.41824373590145447</v>
      </c>
      <c r="N24" s="14">
        <v>10.356548425316355</v>
      </c>
      <c r="O24" s="14">
        <v>1677.9679758697559</v>
      </c>
      <c r="P24" s="8">
        <v>10.356548425316356</v>
      </c>
      <c r="Q24" s="54">
        <v>0.29953531349547791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0.39906201145171522</v>
      </c>
      <c r="F25" s="14">
        <v>4.0488311196755361E-3</v>
      </c>
      <c r="G25" s="14">
        <v>9.5274822869743108E-6</v>
      </c>
      <c r="H25" s="14">
        <v>363.70532729823515</v>
      </c>
      <c r="I25" s="14">
        <v>7027.5967466250613</v>
      </c>
      <c r="J25" s="14">
        <v>0</v>
      </c>
      <c r="K25" s="14">
        <v>246.98486314740083</v>
      </c>
      <c r="L25" s="14">
        <v>4.0488311196755361E-3</v>
      </c>
      <c r="M25" s="14">
        <v>3.3220659336937776E-3</v>
      </c>
      <c r="N25" s="14">
        <v>376.70888295445167</v>
      </c>
      <c r="O25" s="14">
        <v>87920.086192739458</v>
      </c>
      <c r="P25" s="8">
        <v>376.70888295445167</v>
      </c>
      <c r="Q25" s="54">
        <v>0.26977818785221497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0.31284594511042407</v>
      </c>
      <c r="F26" s="14">
        <v>0.23345304374549586</v>
      </c>
      <c r="G26" s="14">
        <v>2.521900967653186E-3</v>
      </c>
      <c r="H26" s="14">
        <v>185.82303140070402</v>
      </c>
      <c r="I26" s="14">
        <v>371.15619293363801</v>
      </c>
      <c r="J26" s="14">
        <v>0</v>
      </c>
      <c r="K26" s="14">
        <v>4.2835166505268294</v>
      </c>
      <c r="L26" s="14">
        <v>0.23345304374549589</v>
      </c>
      <c r="M26" s="14">
        <v>0.19154822239317937</v>
      </c>
      <c r="N26" s="14">
        <v>19.062178922827236</v>
      </c>
      <c r="O26" s="14">
        <v>2443.1994725387667</v>
      </c>
      <c r="P26" s="8">
        <v>19.062178922827236</v>
      </c>
      <c r="Q26" s="54">
        <v>0.30377827481434544</v>
      </c>
    </row>
    <row r="27" spans="1:21">
      <c r="A27" s="2" t="s">
        <v>397</v>
      </c>
      <c r="B27" s="16" t="s">
        <v>398</v>
      </c>
      <c r="D27" s="14">
        <v>1</v>
      </c>
      <c r="E27" s="14">
        <v>6.3595709967672123E-2</v>
      </c>
      <c r="F27" s="14">
        <v>2.2152440938856932E-2</v>
      </c>
      <c r="G27" s="14">
        <v>9.1852308340513271E-3</v>
      </c>
      <c r="H27" s="14">
        <v>99.006016566587689</v>
      </c>
      <c r="I27" s="14">
        <v>174.14810704217311</v>
      </c>
      <c r="J27" s="14">
        <v>0</v>
      </c>
      <c r="K27" s="14">
        <v>45.141752223157035</v>
      </c>
      <c r="L27" s="14">
        <v>2.2152440938856936E-2</v>
      </c>
      <c r="M27" s="14">
        <v>1.8176077790332115E-2</v>
      </c>
      <c r="N27" s="14">
        <v>8.9767868501573211</v>
      </c>
      <c r="O27" s="14">
        <v>1628.8379739610459</v>
      </c>
      <c r="P27" s="8">
        <v>8.9767868501573229</v>
      </c>
      <c r="Q27" s="54">
        <v>7.0846558445311916E-2</v>
      </c>
    </row>
    <row r="28" spans="1:21">
      <c r="A28" s="2" t="s">
        <v>399</v>
      </c>
      <c r="B28" s="16" t="s">
        <v>400</v>
      </c>
      <c r="D28" s="14">
        <v>1</v>
      </c>
      <c r="E28" s="14">
        <v>4.8920122150624905E-2</v>
      </c>
      <c r="F28" s="14">
        <v>3.3304131571082959E-2</v>
      </c>
      <c r="G28" s="14">
        <v>9.7007787888567926E-3</v>
      </c>
      <c r="H28" s="14">
        <v>36.692568494095639</v>
      </c>
      <c r="I28" s="14">
        <v>71.55422534818436</v>
      </c>
      <c r="J28" s="14">
        <v>0</v>
      </c>
      <c r="K28" s="14">
        <v>30.026304630272115</v>
      </c>
      <c r="L28" s="14">
        <v>3.3304131571082959E-2</v>
      </c>
      <c r="M28" s="14">
        <v>2.7326039954073567E-2</v>
      </c>
      <c r="N28" s="14">
        <v>3.6731799553439828</v>
      </c>
      <c r="O28" s="14">
        <v>539.95745343556541</v>
      </c>
      <c r="P28" s="8">
        <v>3.6731799553439828</v>
      </c>
      <c r="Q28" s="54">
        <v>5.1337567203314005E-2</v>
      </c>
    </row>
    <row r="29" spans="1:21">
      <c r="A29" s="2" t="s">
        <v>297</v>
      </c>
      <c r="B29" s="16" t="s">
        <v>298</v>
      </c>
      <c r="D29" s="14">
        <v>1</v>
      </c>
      <c r="E29" s="14">
        <v>5.955843353566425E-2</v>
      </c>
      <c r="F29" s="14">
        <v>5.9451612583668725E-2</v>
      </c>
      <c r="G29" s="14">
        <v>1.0360772239732682E-2</v>
      </c>
      <c r="H29" s="14">
        <v>0.28103708944842759</v>
      </c>
      <c r="I29" s="14">
        <v>0.81888102877908664</v>
      </c>
      <c r="J29" s="14">
        <v>0</v>
      </c>
      <c r="K29" s="14">
        <v>16.820401609673052</v>
      </c>
      <c r="L29" s="14">
        <v>5.9451612583668725E-2</v>
      </c>
      <c r="M29" s="14">
        <v>4.8780048124900187E-2</v>
      </c>
      <c r="N29" s="14">
        <v>9.1288250838624047E-2</v>
      </c>
      <c r="O29" s="14">
        <v>7.7531111437243414</v>
      </c>
      <c r="P29" s="8">
        <v>9.128825083862406E-2</v>
      </c>
      <c r="Q29" s="54">
        <v>5.3483621887901543E-3</v>
      </c>
    </row>
    <row r="30" spans="1:21">
      <c r="A30" s="2" t="s">
        <v>401</v>
      </c>
      <c r="B30" s="16" t="s">
        <v>402</v>
      </c>
      <c r="D30" s="14">
        <v>1</v>
      </c>
      <c r="E30" s="14">
        <v>1.8109940092245307E-2</v>
      </c>
      <c r="F30" s="14">
        <v>1.2616705634675322E-2</v>
      </c>
      <c r="G30" s="14">
        <v>1.0594353458454844E-2</v>
      </c>
      <c r="H30" s="14">
        <v>12.895731152712257</v>
      </c>
      <c r="I30" s="14">
        <v>25.287339613798061</v>
      </c>
      <c r="J30" s="14">
        <v>0</v>
      </c>
      <c r="K30" s="14">
        <v>79.259992977218559</v>
      </c>
      <c r="L30" s="14">
        <v>1.2616705634675323E-2</v>
      </c>
      <c r="M30" s="14">
        <v>1.0352006973251102E-2</v>
      </c>
      <c r="N30" s="14">
        <v>1.2981566862947564</v>
      </c>
      <c r="O30" s="14">
        <v>215.27332328825946</v>
      </c>
      <c r="P30" s="8">
        <v>1.2981566862947564</v>
      </c>
      <c r="Q30" s="54">
        <v>1.8702649770554195E-2</v>
      </c>
    </row>
    <row r="31" spans="1:21">
      <c r="A31" s="2" t="s">
        <v>299</v>
      </c>
      <c r="B31" s="16" t="s">
        <v>300</v>
      </c>
      <c r="D31" s="14">
        <v>1</v>
      </c>
      <c r="E31" s="14">
        <v>5.3653810630078928E-4</v>
      </c>
      <c r="F31" s="14">
        <v>4.498747177327181E-4</v>
      </c>
      <c r="G31" s="14">
        <v>1.1097881285988827E-2</v>
      </c>
      <c r="H31" s="14">
        <v>0.20147055702351574</v>
      </c>
      <c r="I31" s="14">
        <v>0.41982544591785065</v>
      </c>
      <c r="J31" s="14">
        <v>0</v>
      </c>
      <c r="K31" s="14">
        <v>2222.8410723763436</v>
      </c>
      <c r="L31" s="14">
        <v>4.498747177327181E-4</v>
      </c>
      <c r="M31" s="14">
        <v>3.6912220589969524E-4</v>
      </c>
      <c r="N31" s="14">
        <v>2.1635811738868891E-2</v>
      </c>
      <c r="O31" s="14">
        <v>1.7771655762306906</v>
      </c>
      <c r="P31" s="8">
        <v>2.1635811738868891E-2</v>
      </c>
      <c r="Q31" s="54">
        <v>4.3377923443028944E-4</v>
      </c>
    </row>
    <row r="32" spans="1:21">
      <c r="A32" s="2" t="s">
        <v>343</v>
      </c>
      <c r="B32" s="16" t="s">
        <v>344</v>
      </c>
      <c r="D32" s="14">
        <v>1</v>
      </c>
      <c r="E32" s="14">
        <v>0.66746165305671457</v>
      </c>
      <c r="F32" s="14">
        <v>0.65024149436991296</v>
      </c>
      <c r="G32" s="14">
        <v>2.5143351553293932E-5</v>
      </c>
      <c r="H32" s="14">
        <v>39.390789015979323</v>
      </c>
      <c r="I32" s="14">
        <v>95.115621673280245</v>
      </c>
      <c r="J32" s="14">
        <v>0</v>
      </c>
      <c r="K32" s="14">
        <v>1.5378901664357865</v>
      </c>
      <c r="L32" s="14">
        <v>0.65024149436991296</v>
      </c>
      <c r="M32" s="14">
        <v>0.53352314613051355</v>
      </c>
      <c r="N32" s="14">
        <v>5.3066177147132656</v>
      </c>
      <c r="O32" s="14">
        <v>871.34662875591823</v>
      </c>
      <c r="P32" s="8">
        <v>5.3066177147132665</v>
      </c>
      <c r="Q32" s="54">
        <v>0.22103031915850138</v>
      </c>
    </row>
    <row r="33" spans="1:17">
      <c r="A33" s="2" t="s">
        <v>345</v>
      </c>
      <c r="B33" s="16" t="s">
        <v>346</v>
      </c>
      <c r="D33" s="14">
        <v>1</v>
      </c>
      <c r="E33" s="14">
        <v>0.76800709726461702</v>
      </c>
      <c r="F33" s="14">
        <v>0.76047835407037623</v>
      </c>
      <c r="G33" s="14">
        <v>9.910494952625567E-7</v>
      </c>
      <c r="H33" s="14">
        <v>17.372681474141835</v>
      </c>
      <c r="I33" s="14">
        <v>45.073784892881285</v>
      </c>
      <c r="J33" s="14">
        <v>0</v>
      </c>
      <c r="K33" s="14">
        <v>1.3149618192912533</v>
      </c>
      <c r="L33" s="14">
        <v>0.76047835407037634</v>
      </c>
      <c r="M33" s="14">
        <v>0.62397248951474371</v>
      </c>
      <c r="N33" s="14">
        <v>2.8885610917033575</v>
      </c>
      <c r="O33" s="14">
        <v>436.63489462187954</v>
      </c>
      <c r="P33" s="8">
        <v>2.888561091703358</v>
      </c>
      <c r="Q33" s="54">
        <v>0.15549772080151558</v>
      </c>
    </row>
    <row r="34" spans="1:17">
      <c r="A34" s="2" t="s">
        <v>347</v>
      </c>
      <c r="B34" s="16" t="s">
        <v>348</v>
      </c>
      <c r="D34" s="14">
        <v>1</v>
      </c>
      <c r="E34" s="14">
        <v>0.41526356187485713</v>
      </c>
      <c r="F34" s="14">
        <v>0.32110742443830403</v>
      </c>
      <c r="G34" s="14">
        <v>1.4784915094635152E-6</v>
      </c>
      <c r="H34" s="14">
        <v>219.9836213872475</v>
      </c>
      <c r="I34" s="14">
        <v>444.27054226334099</v>
      </c>
      <c r="J34" s="14">
        <v>0</v>
      </c>
      <c r="K34" s="14">
        <v>3.1142226055633753</v>
      </c>
      <c r="L34" s="14">
        <v>0.32110742443830409</v>
      </c>
      <c r="M34" s="14">
        <v>0.26346864175162849</v>
      </c>
      <c r="N34" s="14">
        <v>22.829362356242335</v>
      </c>
      <c r="O34" s="14">
        <v>4023.6751152877114</v>
      </c>
      <c r="P34" s="8">
        <v>22.829362356242335</v>
      </c>
      <c r="Q34" s="54">
        <v>0.38640925335314485</v>
      </c>
    </row>
    <row r="35" spans="1:17">
      <c r="A35" s="2" t="s">
        <v>349</v>
      </c>
      <c r="B35" s="16" t="s">
        <v>350</v>
      </c>
      <c r="D35" s="14">
        <v>1</v>
      </c>
      <c r="E35" s="14">
        <v>0.3789775450540902</v>
      </c>
      <c r="F35" s="14">
        <v>7.6907896654865762E-2</v>
      </c>
      <c r="G35" s="14">
        <v>5.4380027357274897E-4</v>
      </c>
      <c r="H35" s="14">
        <v>727.79812777105406</v>
      </c>
      <c r="I35" s="14">
        <v>1211.3457078602298</v>
      </c>
      <c r="J35" s="14">
        <v>0</v>
      </c>
      <c r="K35" s="14">
        <v>13.00256597170549</v>
      </c>
      <c r="L35" s="14">
        <v>7.6907896654865762E-2</v>
      </c>
      <c r="M35" s="14">
        <v>6.3102929205317362E-2</v>
      </c>
      <c r="N35" s="14">
        <v>62.704700974230754</v>
      </c>
      <c r="O35" s="14">
        <v>12058.113997344575</v>
      </c>
      <c r="P35" s="8">
        <v>62.704700974230761</v>
      </c>
      <c r="Q35" s="54">
        <v>0.36363703234909833</v>
      </c>
    </row>
    <row r="36" spans="1:17">
      <c r="A36" s="2" t="s">
        <v>351</v>
      </c>
      <c r="B36" s="16" t="s">
        <v>352</v>
      </c>
      <c r="D36" s="14">
        <v>1</v>
      </c>
      <c r="E36" s="14">
        <v>0.39808153036358118</v>
      </c>
      <c r="F36" s="14">
        <v>2.0131681471157542E-2</v>
      </c>
      <c r="G36" s="14">
        <v>1.734956290682298E-5</v>
      </c>
      <c r="H36" s="14">
        <v>734.95381783716982</v>
      </c>
      <c r="I36" s="14">
        <v>3141.3564673499604</v>
      </c>
      <c r="J36" s="14">
        <v>0</v>
      </c>
      <c r="K36" s="14">
        <v>49.672949645696015</v>
      </c>
      <c r="L36" s="14">
        <v>2.0131681471157542E-2</v>
      </c>
      <c r="M36" s="14">
        <v>1.6518044647084763E-2</v>
      </c>
      <c r="N36" s="14">
        <v>165.3231270975871</v>
      </c>
      <c r="O36" s="14">
        <v>36762.90377269045</v>
      </c>
      <c r="P36" s="8">
        <v>165.3231270975871</v>
      </c>
      <c r="Q36" s="54">
        <v>0.34587344611724963</v>
      </c>
    </row>
    <row r="37" spans="1:17">
      <c r="A37" s="2" t="s">
        <v>353</v>
      </c>
      <c r="B37" s="16" t="s">
        <v>354</v>
      </c>
      <c r="D37" s="14">
        <v>1</v>
      </c>
      <c r="E37" s="14">
        <v>0.40106294556962468</v>
      </c>
      <c r="F37" s="14">
        <v>3.1956214418141305E-3</v>
      </c>
      <c r="G37" s="14">
        <v>1.221754125509777E-4</v>
      </c>
      <c r="H37" s="14">
        <v>321.25901725703659</v>
      </c>
      <c r="I37" s="14">
        <v>7495.7051915041502</v>
      </c>
      <c r="J37" s="14">
        <v>0</v>
      </c>
      <c r="K37" s="14">
        <v>312.92817945053827</v>
      </c>
      <c r="L37" s="14">
        <v>3.1956214418141305E-3</v>
      </c>
      <c r="M37" s="14">
        <v>2.6220073930084942E-3</v>
      </c>
      <c r="N37" s="14">
        <v>402.73239674498279</v>
      </c>
      <c r="O37" s="14">
        <v>95201.911266546478</v>
      </c>
      <c r="P37" s="8">
        <v>402.73239674498279</v>
      </c>
      <c r="Q37" s="54">
        <v>0.25223915175690809</v>
      </c>
    </row>
    <row r="38" spans="1:17">
      <c r="A38" s="2" t="s">
        <v>355</v>
      </c>
      <c r="B38" s="16" t="s">
        <v>356</v>
      </c>
      <c r="D38" s="14">
        <v>1</v>
      </c>
      <c r="E38" s="14">
        <v>0.38701220289361288</v>
      </c>
      <c r="F38" s="14">
        <v>1.1005849939865874E-2</v>
      </c>
      <c r="G38" s="14">
        <v>6.4498865363514917E-6</v>
      </c>
      <c r="H38" s="14">
        <v>577.99434196053028</v>
      </c>
      <c r="I38" s="14">
        <v>4543.3977420761721</v>
      </c>
      <c r="J38" s="14">
        <v>0</v>
      </c>
      <c r="K38" s="14">
        <v>90.860769996304953</v>
      </c>
      <c r="L38" s="14">
        <v>1.1005849939865876E-2</v>
      </c>
      <c r="M38" s="14">
        <v>9.0302998756599511E-3</v>
      </c>
      <c r="N38" s="14">
        <v>240.88177727548205</v>
      </c>
      <c r="O38" s="14">
        <v>62243.851247984552</v>
      </c>
      <c r="P38" s="8">
        <v>240.88177727548205</v>
      </c>
      <c r="Q38" s="54">
        <v>0.32687428622010228</v>
      </c>
    </row>
    <row r="39" spans="1:17">
      <c r="A39" s="2" t="s">
        <v>357</v>
      </c>
      <c r="B39" s="16" t="s">
        <v>358</v>
      </c>
      <c r="D39" s="14">
        <v>1</v>
      </c>
      <c r="E39" s="14">
        <v>0.35125408646025302</v>
      </c>
      <c r="F39" s="14">
        <v>1.5218831237193486E-2</v>
      </c>
      <c r="G39" s="14">
        <v>1.1981461286229805E-3</v>
      </c>
      <c r="H39" s="14">
        <v>616.4265007016869</v>
      </c>
      <c r="I39" s="14">
        <v>3135.728634877566</v>
      </c>
      <c r="J39" s="14">
        <v>0</v>
      </c>
      <c r="K39" s="14">
        <v>65.708068143635614</v>
      </c>
      <c r="L39" s="14">
        <v>1.5218831237193487E-2</v>
      </c>
      <c r="M39" s="14">
        <v>1.2487051030117257E-2</v>
      </c>
      <c r="N39" s="14">
        <v>165.37405111543103</v>
      </c>
      <c r="O39" s="14">
        <v>39092.77194317674</v>
      </c>
      <c r="P39" s="8">
        <v>165.37405111543106</v>
      </c>
      <c r="Q39" s="54">
        <v>0.30573029256993195</v>
      </c>
    </row>
    <row r="40" spans="1:17">
      <c r="A40" s="2" t="s">
        <v>359</v>
      </c>
      <c r="B40" s="16" t="s">
        <v>360</v>
      </c>
      <c r="D40" s="14">
        <v>1</v>
      </c>
      <c r="E40" s="14">
        <v>0.38701220289361288</v>
      </c>
      <c r="F40" s="14">
        <v>1.1005849939865874E-2</v>
      </c>
      <c r="G40" s="14">
        <v>6.4498865363514917E-6</v>
      </c>
      <c r="H40" s="14">
        <v>577.99434196053028</v>
      </c>
      <c r="I40" s="14">
        <v>4543.3977420761721</v>
      </c>
      <c r="J40" s="14">
        <v>0</v>
      </c>
      <c r="K40" s="14">
        <v>90.860769996304953</v>
      </c>
      <c r="L40" s="14">
        <v>1.1005849939865876E-2</v>
      </c>
      <c r="M40" s="14">
        <v>9.0302998756599511E-3</v>
      </c>
      <c r="N40" s="14">
        <v>240.88177727548205</v>
      </c>
      <c r="O40" s="14">
        <v>62243.851247984552</v>
      </c>
      <c r="P40" s="8">
        <v>240.88177727548205</v>
      </c>
      <c r="Q40" s="54">
        <v>0.32687428622010228</v>
      </c>
    </row>
    <row r="41" spans="1:17">
      <c r="A41" s="2" t="s">
        <v>313</v>
      </c>
      <c r="B41" s="16" t="s">
        <v>314</v>
      </c>
      <c r="D41" s="14">
        <v>1</v>
      </c>
      <c r="E41" s="14">
        <v>0.99929694650620271</v>
      </c>
      <c r="F41" s="14">
        <v>0.99495361838623142</v>
      </c>
      <c r="G41" s="14">
        <v>6.4764007608766772E-10</v>
      </c>
      <c r="H41" s="14">
        <v>13.443824542023753</v>
      </c>
      <c r="I41" s="14">
        <v>2.9621360456285037E-2</v>
      </c>
      <c r="J41" s="14">
        <v>0</v>
      </c>
      <c r="K41" s="14">
        <v>1.0050719767439547</v>
      </c>
      <c r="L41" s="14">
        <v>0.99495361838623153</v>
      </c>
      <c r="M41" s="14">
        <v>0.81635944388590298</v>
      </c>
      <c r="N41" s="14">
        <v>0.96938151926680671</v>
      </c>
      <c r="O41" s="14">
        <v>178.4728315122118</v>
      </c>
      <c r="P41" s="8">
        <v>0.96938151926680671</v>
      </c>
      <c r="Q41" s="54">
        <v>1.2641686060972583E-4</v>
      </c>
    </row>
    <row r="42" spans="1:17">
      <c r="A42" s="2" t="s">
        <v>315</v>
      </c>
      <c r="B42" s="16" t="s">
        <v>316</v>
      </c>
      <c r="D42" s="14">
        <v>1</v>
      </c>
      <c r="E42" s="14">
        <v>0.40163698733689068</v>
      </c>
      <c r="F42" s="14">
        <v>2.9101238349167964E-3</v>
      </c>
      <c r="G42" s="14">
        <v>1.7645743323875505E-4</v>
      </c>
      <c r="H42" s="14">
        <v>305.50017965568395</v>
      </c>
      <c r="I42" s="14">
        <v>7664.2319677524711</v>
      </c>
      <c r="J42" s="14">
        <v>0</v>
      </c>
      <c r="K42" s="14">
        <v>343.62798861052283</v>
      </c>
      <c r="L42" s="14">
        <v>2.9101238349167964E-3</v>
      </c>
      <c r="M42" s="14">
        <v>2.3877566065492318E-3</v>
      </c>
      <c r="N42" s="14">
        <v>412.15400408383562</v>
      </c>
      <c r="O42" s="14">
        <v>150399.11763023247</v>
      </c>
      <c r="P42" s="8">
        <v>412.15400408383562</v>
      </c>
      <c r="Q42" s="54">
        <v>0.24517074161183902</v>
      </c>
    </row>
    <row r="43" spans="1:17">
      <c r="A43" s="2" t="s">
        <v>317</v>
      </c>
      <c r="B43" s="16" t="s">
        <v>318</v>
      </c>
      <c r="D43" s="14">
        <v>1</v>
      </c>
      <c r="E43" s="14">
        <v>0.53272257547574053</v>
      </c>
      <c r="F43" s="14">
        <v>0.48995263970583447</v>
      </c>
      <c r="G43" s="14">
        <v>6.7667882969977973E-14</v>
      </c>
      <c r="H43" s="14">
        <v>98.572121084948591</v>
      </c>
      <c r="I43" s="14">
        <v>217.87694274843733</v>
      </c>
      <c r="J43" s="14">
        <v>0</v>
      </c>
      <c r="K43" s="14">
        <v>2.0410135979681545</v>
      </c>
      <c r="L43" s="14">
        <v>0.48995263970583447</v>
      </c>
      <c r="M43" s="14">
        <v>0.40200614087863723</v>
      </c>
      <c r="N43" s="14">
        <v>11.387397264418031</v>
      </c>
      <c r="O43" s="14">
        <v>3613.4488999451291</v>
      </c>
      <c r="P43" s="8">
        <v>11.387397264418031</v>
      </c>
      <c r="Q43" s="54">
        <v>0.31132304719211173</v>
      </c>
    </row>
    <row r="44" spans="1:17">
      <c r="A44" s="2" t="s">
        <v>307</v>
      </c>
      <c r="B44" s="16" t="s">
        <v>308</v>
      </c>
      <c r="D44" s="14">
        <v>1</v>
      </c>
      <c r="E44" s="14">
        <v>0.41828176104585285</v>
      </c>
      <c r="F44" s="14">
        <v>3.0842874898120706E-2</v>
      </c>
      <c r="G44" s="14">
        <v>5.9243859049898309E-6</v>
      </c>
      <c r="H44" s="14">
        <v>853.52226051114724</v>
      </c>
      <c r="I44" s="14">
        <v>2293.3588893642191</v>
      </c>
      <c r="J44" s="14">
        <v>0</v>
      </c>
      <c r="K44" s="14">
        <v>32.422399121455797</v>
      </c>
      <c r="L44" s="14">
        <v>3.0842874898120709E-2</v>
      </c>
      <c r="M44" s="14">
        <v>2.5306578853908041E-2</v>
      </c>
      <c r="N44" s="14">
        <v>120.02696568776274</v>
      </c>
      <c r="O44" s="14">
        <v>42080.253900472737</v>
      </c>
      <c r="P44" s="8">
        <v>120.02696568776274</v>
      </c>
      <c r="Q44" s="54">
        <v>0.34919822147184554</v>
      </c>
    </row>
    <row r="45" spans="1:17">
      <c r="A45" s="2" t="s">
        <v>319</v>
      </c>
      <c r="B45" s="16" t="s">
        <v>320</v>
      </c>
      <c r="D45" s="14">
        <v>1</v>
      </c>
      <c r="E45" s="14">
        <v>0.43290530365151647</v>
      </c>
      <c r="F45" s="14">
        <v>1.3858412165143872E-3</v>
      </c>
      <c r="G45" s="14">
        <v>6.1221217384089328E-7</v>
      </c>
      <c r="H45" s="14">
        <v>207.47867871109386</v>
      </c>
      <c r="I45" s="14">
        <v>9434.7553782534378</v>
      </c>
      <c r="J45" s="14">
        <v>0</v>
      </c>
      <c r="K45" s="14">
        <v>721.58338782502108</v>
      </c>
      <c r="L45" s="14">
        <v>1.3858412165143872E-3</v>
      </c>
      <c r="M45" s="14">
        <v>1.1370827181500548E-3</v>
      </c>
      <c r="N45" s="14">
        <v>511.09100319883765</v>
      </c>
      <c r="O45" s="14">
        <v>181176.64972395595</v>
      </c>
      <c r="P45" s="8">
        <v>511.09100319883765</v>
      </c>
      <c r="Q45" s="54">
        <v>0.19921894889696293</v>
      </c>
    </row>
    <row r="46" spans="1:17">
      <c r="A46" s="2" t="s">
        <v>321</v>
      </c>
      <c r="B46" s="16" t="s">
        <v>322</v>
      </c>
      <c r="D46" s="14">
        <v>1</v>
      </c>
      <c r="E46" s="14">
        <v>0.41135839692771503</v>
      </c>
      <c r="F46" s="14">
        <v>2.6555464530949669E-3</v>
      </c>
      <c r="G46" s="14">
        <v>8.6545081364463802E-7</v>
      </c>
      <c r="H46" s="14">
        <v>293.6391125614104</v>
      </c>
      <c r="I46" s="14">
        <v>8036.5763249800711</v>
      </c>
      <c r="J46" s="14">
        <v>0</v>
      </c>
      <c r="K46" s="14">
        <v>376.57032842883513</v>
      </c>
      <c r="L46" s="14">
        <v>2.6555464530949673E-3</v>
      </c>
      <c r="M46" s="14">
        <v>2.1788758647644205E-3</v>
      </c>
      <c r="N46" s="14">
        <v>432.6396434533782</v>
      </c>
      <c r="O46" s="14">
        <v>153366.42720778805</v>
      </c>
      <c r="P46" s="8">
        <v>432.63964345337826</v>
      </c>
      <c r="Q46" s="54">
        <v>0.24191960997275549</v>
      </c>
    </row>
    <row r="47" spans="1:17">
      <c r="A47" s="2" t="s">
        <v>323</v>
      </c>
      <c r="B47" s="16" t="s">
        <v>324</v>
      </c>
      <c r="D47" s="14">
        <v>1</v>
      </c>
      <c r="E47" s="14">
        <v>0.3918331418563008</v>
      </c>
      <c r="F47" s="14">
        <v>5.6720459201517132E-3</v>
      </c>
      <c r="G47" s="14">
        <v>7.8376925952529569E-6</v>
      </c>
      <c r="H47" s="14">
        <v>428.50879310689015</v>
      </c>
      <c r="I47" s="14">
        <v>6194.6519305211159</v>
      </c>
      <c r="J47" s="14">
        <v>0</v>
      </c>
      <c r="K47" s="14">
        <v>176.30322710314948</v>
      </c>
      <c r="L47" s="14">
        <v>5.6720459201517132E-3</v>
      </c>
      <c r="M47" s="14">
        <v>4.6539136774844808E-3</v>
      </c>
      <c r="N47" s="14">
        <v>330.8809945813228</v>
      </c>
      <c r="O47" s="14">
        <v>105895.15350580656</v>
      </c>
      <c r="P47" s="8">
        <v>330.88099458132285</v>
      </c>
      <c r="Q47" s="54">
        <v>0.29121712426768231</v>
      </c>
    </row>
    <row r="48" spans="1:17">
      <c r="A48" s="2" t="s">
        <v>325</v>
      </c>
      <c r="B48" s="16" t="s">
        <v>326</v>
      </c>
      <c r="D48" s="14">
        <v>1</v>
      </c>
      <c r="E48" s="14">
        <v>0.36110283261321369</v>
      </c>
      <c r="F48" s="14">
        <v>0.16420946537496045</v>
      </c>
      <c r="G48" s="14">
        <v>3.1044643344313279E-6</v>
      </c>
      <c r="H48" s="14">
        <v>467.90553986417581</v>
      </c>
      <c r="I48" s="14">
        <v>850.77625027430065</v>
      </c>
      <c r="J48" s="14">
        <v>0</v>
      </c>
      <c r="K48" s="14">
        <v>6.089782934964024</v>
      </c>
      <c r="L48" s="14">
        <v>0.16420946537496045</v>
      </c>
      <c r="M48" s="14">
        <v>0.13473386634015505</v>
      </c>
      <c r="N48" s="14">
        <v>43.764685404289281</v>
      </c>
      <c r="O48" s="14">
        <v>13319.782002795444</v>
      </c>
      <c r="P48" s="8">
        <v>43.764685404289288</v>
      </c>
      <c r="Q48" s="54">
        <v>0.41535109324908365</v>
      </c>
    </row>
    <row r="49" spans="1:17">
      <c r="A49" s="2" t="s">
        <v>275</v>
      </c>
      <c r="B49" s="16" t="s">
        <v>276</v>
      </c>
      <c r="D49" s="14">
        <v>1</v>
      </c>
      <c r="E49" s="14">
        <v>0.41409645068624557</v>
      </c>
      <c r="F49" s="14">
        <v>2.85541479551875E-2</v>
      </c>
      <c r="G49" s="14">
        <v>7.5773560246028799E-8</v>
      </c>
      <c r="H49" s="14">
        <v>832.31784394990291</v>
      </c>
      <c r="I49" s="14">
        <v>2439.7558964411342</v>
      </c>
      <c r="J49" s="14">
        <v>0</v>
      </c>
      <c r="K49" s="14">
        <v>35.021181565963261</v>
      </c>
      <c r="L49" s="14">
        <v>2.85541479551875E-2</v>
      </c>
      <c r="M49" s="14">
        <v>2.3428678397231346E-2</v>
      </c>
      <c r="N49" s="14">
        <v>127.82081574780867</v>
      </c>
      <c r="O49" s="14">
        <v>47356.334026405631</v>
      </c>
      <c r="P49" s="8">
        <v>127.82081574780867</v>
      </c>
      <c r="Q49" s="54">
        <v>0.34957983760796113</v>
      </c>
    </row>
    <row r="50" spans="1:17">
      <c r="A50" s="2" t="s">
        <v>327</v>
      </c>
      <c r="B50" s="16" t="s">
        <v>328</v>
      </c>
      <c r="D50" s="14">
        <v>1</v>
      </c>
      <c r="E50" s="14">
        <v>0.4073112973866207</v>
      </c>
      <c r="F50" s="14">
        <v>2.5025321243425148E-2</v>
      </c>
      <c r="G50" s="14">
        <v>3.915868947218173E-6</v>
      </c>
      <c r="H50" s="14">
        <v>795.42577745687117</v>
      </c>
      <c r="I50" s="14">
        <v>2695.6085914211444</v>
      </c>
      <c r="J50" s="14">
        <v>0</v>
      </c>
      <c r="K50" s="14">
        <v>39.959527003583538</v>
      </c>
      <c r="L50" s="14">
        <v>2.5025321243425148E-2</v>
      </c>
      <c r="M50" s="14">
        <v>2.0533276080230332E-2</v>
      </c>
      <c r="N50" s="14">
        <v>141.4696386753333</v>
      </c>
      <c r="O50" s="14">
        <v>53887.200067821206</v>
      </c>
      <c r="P50" s="8">
        <v>141.4696386753333</v>
      </c>
      <c r="Q50" s="54">
        <v>0.34902523797717527</v>
      </c>
    </row>
    <row r="51" spans="1:17">
      <c r="A51" s="2" t="s">
        <v>329</v>
      </c>
      <c r="B51" s="16" t="s">
        <v>330</v>
      </c>
      <c r="D51" s="14">
        <v>1</v>
      </c>
      <c r="E51" s="14">
        <v>0.36881761468476609</v>
      </c>
      <c r="F51" s="14">
        <v>0.12233480108694884</v>
      </c>
      <c r="G51" s="14">
        <v>1.8853783158016838E-6</v>
      </c>
      <c r="H51" s="14">
        <v>589.34556564477032</v>
      </c>
      <c r="I51" s="14">
        <v>1030.9252836899213</v>
      </c>
      <c r="J51" s="14">
        <v>0</v>
      </c>
      <c r="K51" s="14">
        <v>8.1742888459781362</v>
      </c>
      <c r="L51" s="14">
        <v>0.12233480108694884</v>
      </c>
      <c r="M51" s="14">
        <v>0.10037570429184153</v>
      </c>
      <c r="N51" s="14">
        <v>53.16138170561549</v>
      </c>
      <c r="O51" s="14">
        <v>14587.48314002089</v>
      </c>
      <c r="P51" s="8">
        <v>53.16138170561549</v>
      </c>
      <c r="Q51" s="54">
        <v>0.40684332118461142</v>
      </c>
    </row>
    <row r="52" spans="1:17">
      <c r="A52" s="2" t="s">
        <v>277</v>
      </c>
      <c r="B52" s="16" t="s">
        <v>278</v>
      </c>
      <c r="D52" s="14">
        <v>1</v>
      </c>
      <c r="E52" s="14">
        <v>0.36114410859969359</v>
      </c>
      <c r="F52" s="14">
        <v>0.15981326712199581</v>
      </c>
      <c r="G52" s="14">
        <v>4.9014132189778594E-6</v>
      </c>
      <c r="H52" s="14">
        <v>478.73240999129376</v>
      </c>
      <c r="I52" s="14">
        <v>867.26136711620597</v>
      </c>
      <c r="J52" s="14">
        <v>0</v>
      </c>
      <c r="K52" s="14">
        <v>6.2573027759743818</v>
      </c>
      <c r="L52" s="14">
        <v>0.15981326712199584</v>
      </c>
      <c r="M52" s="14">
        <v>0.13112678567359756</v>
      </c>
      <c r="N52" s="14">
        <v>44.621812959588311</v>
      </c>
      <c r="O52" s="14">
        <v>18157.954347645271</v>
      </c>
      <c r="P52" s="8">
        <v>44.621812959588311</v>
      </c>
      <c r="Q52" s="54">
        <v>0.41490627280836573</v>
      </c>
    </row>
    <row r="53" spans="1:17">
      <c r="A53" s="2" t="s">
        <v>331</v>
      </c>
      <c r="B53" s="16" t="s">
        <v>332</v>
      </c>
      <c r="D53" s="14">
        <v>1</v>
      </c>
      <c r="E53" s="14">
        <v>0.39258325834251528</v>
      </c>
      <c r="F53" s="14">
        <v>1.6344923071165248E-2</v>
      </c>
      <c r="G53" s="14">
        <v>2.5685697795267283E-6</v>
      </c>
      <c r="H53" s="14">
        <v>679.45841372809969</v>
      </c>
      <c r="I53" s="14">
        <v>3610.1068128964607</v>
      </c>
      <c r="J53" s="14">
        <v>0</v>
      </c>
      <c r="K53" s="14">
        <v>61.181077185009279</v>
      </c>
      <c r="L53" s="14">
        <v>1.6344923071165248E-2</v>
      </c>
      <c r="M53" s="14">
        <v>1.3411009379891085E-2</v>
      </c>
      <c r="N53" s="14">
        <v>190.49238348079714</v>
      </c>
      <c r="O53" s="14">
        <v>72560.453791670443</v>
      </c>
      <c r="P53" s="8">
        <v>190.49238348079714</v>
      </c>
      <c r="Q53" s="54">
        <v>0.34144444509674171</v>
      </c>
    </row>
    <row r="54" spans="1:17">
      <c r="A54" s="2" t="s">
        <v>333</v>
      </c>
      <c r="B54" s="16" t="s">
        <v>334</v>
      </c>
      <c r="D54" s="14">
        <v>1</v>
      </c>
      <c r="E54" s="14">
        <v>0.41066636840408061</v>
      </c>
      <c r="F54" s="14">
        <v>2.6745594213588939E-2</v>
      </c>
      <c r="G54" s="14">
        <v>4.2795759560306568E-9</v>
      </c>
      <c r="H54" s="14">
        <v>814.0896834243589</v>
      </c>
      <c r="I54" s="14">
        <v>2565.8391178135121</v>
      </c>
      <c r="J54" s="14">
        <v>0</v>
      </c>
      <c r="K54" s="14">
        <v>37.389335679516087</v>
      </c>
      <c r="L54" s="14">
        <v>2.6745594213588939E-2</v>
      </c>
      <c r="M54" s="14">
        <v>2.1944760052249726E-2</v>
      </c>
      <c r="N54" s="14">
        <v>134.54255633004013</v>
      </c>
      <c r="O54" s="14">
        <v>51728.922057773838</v>
      </c>
      <c r="P54" s="8">
        <v>134.54255633004016</v>
      </c>
      <c r="Q54" s="54">
        <v>0.34948570936488893</v>
      </c>
    </row>
    <row r="55" spans="1:17">
      <c r="A55" s="2" t="s">
        <v>335</v>
      </c>
      <c r="B55" s="16" t="s">
        <v>336</v>
      </c>
      <c r="D55" s="14">
        <v>1</v>
      </c>
      <c r="E55" s="14">
        <v>0.39082411366274677</v>
      </c>
      <c r="F55" s="14">
        <v>5.8553637616002904E-3</v>
      </c>
      <c r="G55" s="14">
        <v>2.0318066071936121E-5</v>
      </c>
      <c r="H55" s="14">
        <v>434.76430512688768</v>
      </c>
      <c r="I55" s="14">
        <v>6105.3568273766105</v>
      </c>
      <c r="J55" s="14">
        <v>0</v>
      </c>
      <c r="K55" s="14">
        <v>170.78358249201185</v>
      </c>
      <c r="L55" s="14">
        <v>5.8553637616002904E-3</v>
      </c>
      <c r="M55" s="14">
        <v>4.8043259663930384E-3</v>
      </c>
      <c r="N55" s="14">
        <v>325.99557830209307</v>
      </c>
      <c r="O55" s="14">
        <v>121700.66929173737</v>
      </c>
      <c r="P55" s="8">
        <v>325.99557830209307</v>
      </c>
      <c r="Q55" s="54">
        <v>0.29289438859549422</v>
      </c>
    </row>
    <row r="56" spans="1:17">
      <c r="A56" s="2" t="s">
        <v>337</v>
      </c>
      <c r="B56" s="16" t="s">
        <v>338</v>
      </c>
      <c r="D56" s="14">
        <v>1</v>
      </c>
      <c r="E56" s="14">
        <v>0.41694501643036208</v>
      </c>
      <c r="F56" s="14">
        <v>3.0070159721937734E-2</v>
      </c>
      <c r="G56" s="14">
        <v>1.5196522681315566E-6</v>
      </c>
      <c r="H56" s="14">
        <v>846.67304752196003</v>
      </c>
      <c r="I56" s="14">
        <v>2341.9245847201032</v>
      </c>
      <c r="J56" s="14">
        <v>0</v>
      </c>
      <c r="K56" s="14">
        <v>33.255559971982734</v>
      </c>
      <c r="L56" s="14">
        <v>3.0070159721937734E-2</v>
      </c>
      <c r="M56" s="14">
        <v>2.4672566051849913E-2</v>
      </c>
      <c r="N56" s="14">
        <v>122.61086743337195</v>
      </c>
      <c r="O56" s="14">
        <v>47734.862909160365</v>
      </c>
      <c r="P56" s="8">
        <v>122.61086743337195</v>
      </c>
      <c r="Q56" s="54">
        <v>0.34944023253889278</v>
      </c>
    </row>
    <row r="57" spans="1:17">
      <c r="A57" s="2" t="s">
        <v>279</v>
      </c>
      <c r="B57" s="16" t="s">
        <v>280</v>
      </c>
      <c r="D57" s="14">
        <v>1</v>
      </c>
      <c r="E57" s="14">
        <v>0.35961229341635426</v>
      </c>
      <c r="F57" s="14">
        <v>0.18348050789507284</v>
      </c>
      <c r="G57" s="14">
        <v>8.7023875735119861E-5</v>
      </c>
      <c r="H57" s="14">
        <v>417.45525619117905</v>
      </c>
      <c r="I57" s="14">
        <v>771.73305853091529</v>
      </c>
      <c r="J57" s="14">
        <v>0</v>
      </c>
      <c r="K57" s="14">
        <v>5.4501702195628914</v>
      </c>
      <c r="L57" s="14">
        <v>0.18348050789507284</v>
      </c>
      <c r="M57" s="14">
        <v>0.15054575672790727</v>
      </c>
      <c r="N57" s="14">
        <v>39.665796536940931</v>
      </c>
      <c r="O57" s="14">
        <v>11536.003606838531</v>
      </c>
      <c r="P57" s="8">
        <v>39.665796536940931</v>
      </c>
      <c r="Q57" s="54">
        <v>0.41273101395663686</v>
      </c>
    </row>
    <row r="58" spans="1:17">
      <c r="A58" s="2" t="s">
        <v>339</v>
      </c>
      <c r="B58" s="16" t="s">
        <v>340</v>
      </c>
      <c r="D58" s="14">
        <v>1</v>
      </c>
      <c r="E58" s="14">
        <v>0.41000583700739468</v>
      </c>
      <c r="F58" s="14">
        <v>2.6395630613432471E-2</v>
      </c>
      <c r="G58" s="14">
        <v>1.4987891130840177E-8</v>
      </c>
      <c r="H58" s="14">
        <v>810.42353034768075</v>
      </c>
      <c r="I58" s="14">
        <v>2591.6074091861205</v>
      </c>
      <c r="J58" s="14">
        <v>0</v>
      </c>
      <c r="K58" s="14">
        <v>37.885058123639226</v>
      </c>
      <c r="L58" s="14">
        <v>2.6395630613432471E-2</v>
      </c>
      <c r="M58" s="14">
        <v>2.1657614918321345E-2</v>
      </c>
      <c r="N58" s="14">
        <v>135.91726050266823</v>
      </c>
      <c r="O58" s="14">
        <v>46979.801092747271</v>
      </c>
      <c r="P58" s="8">
        <v>135.91726050266823</v>
      </c>
      <c r="Q58" s="54">
        <v>0.34943726125911417</v>
      </c>
    </row>
    <row r="59" spans="1:17">
      <c r="A59" s="2" t="s">
        <v>281</v>
      </c>
      <c r="B59" s="16" t="s">
        <v>282</v>
      </c>
      <c r="D59" s="14">
        <v>1</v>
      </c>
      <c r="E59" s="14">
        <v>0.36127935709924947</v>
      </c>
      <c r="F59" s="14">
        <v>0.15987311720420033</v>
      </c>
      <c r="G59" s="14">
        <v>7.4213673730743021E-7</v>
      </c>
      <c r="H59" s="14">
        <v>478.91169531977704</v>
      </c>
      <c r="I59" s="14">
        <v>867.58615657235976</v>
      </c>
      <c r="J59" s="14">
        <v>0</v>
      </c>
      <c r="K59" s="14">
        <v>6.2549602928097965</v>
      </c>
      <c r="L59" s="14">
        <v>0.15987311720420036</v>
      </c>
      <c r="M59" s="14">
        <v>0.13117589266604637</v>
      </c>
      <c r="N59" s="14">
        <v>44.638523832357762</v>
      </c>
      <c r="O59" s="14">
        <v>13001.41645141252</v>
      </c>
      <c r="P59" s="8">
        <v>44.638523832357762</v>
      </c>
      <c r="Q59" s="54">
        <v>0.41506165524301547</v>
      </c>
    </row>
    <row r="60" spans="1:17">
      <c r="A60" s="2" t="s">
        <v>341</v>
      </c>
      <c r="B60" s="16" t="s">
        <v>342</v>
      </c>
      <c r="D60" s="14">
        <v>1</v>
      </c>
      <c r="E60" s="14">
        <v>0.39526808753228415</v>
      </c>
      <c r="F60" s="14">
        <v>1.8519901385545188E-2</v>
      </c>
      <c r="G60" s="14">
        <v>2.1548009458858041E-5</v>
      </c>
      <c r="H60" s="14">
        <v>712.16179213275234</v>
      </c>
      <c r="I60" s="14">
        <v>3320.7473947659878</v>
      </c>
      <c r="J60" s="14">
        <v>0</v>
      </c>
      <c r="K60" s="14">
        <v>53.995967860849483</v>
      </c>
      <c r="L60" s="14">
        <v>1.8519901385545191E-2</v>
      </c>
      <c r="M60" s="14">
        <v>1.5195579086839828E-2</v>
      </c>
      <c r="N60" s="14">
        <v>174.94761272728658</v>
      </c>
      <c r="O60" s="14">
        <v>58656.435595204639</v>
      </c>
      <c r="P60" s="8">
        <v>174.94761272728658</v>
      </c>
      <c r="Q60" s="54">
        <v>0.3440613116107139</v>
      </c>
    </row>
    <row r="61" spans="1:17">
      <c r="A61" s="2" t="s">
        <v>483</v>
      </c>
      <c r="B61" s="16" t="s">
        <v>484</v>
      </c>
      <c r="D61" s="14">
        <v>1</v>
      </c>
      <c r="E61" s="14">
        <v>0.60524995410504512</v>
      </c>
      <c r="F61" s="14">
        <v>0.50998232637344143</v>
      </c>
      <c r="G61" s="14">
        <v>1.5548308544761702E-15</v>
      </c>
      <c r="H61" s="14">
        <v>232.58272596465821</v>
      </c>
      <c r="I61" s="14">
        <v>358.80349837662493</v>
      </c>
      <c r="J61" s="14">
        <v>0</v>
      </c>
      <c r="K61" s="14">
        <v>1.9608522654326976</v>
      </c>
      <c r="L61" s="14">
        <v>0.50998232637344143</v>
      </c>
      <c r="M61" s="14">
        <v>0.4184404987894087</v>
      </c>
      <c r="N61" s="14">
        <v>67.419244684662857</v>
      </c>
      <c r="O61" s="14">
        <v>31413.997060818656</v>
      </c>
      <c r="P61" s="8">
        <v>67.419244684662857</v>
      </c>
      <c r="Q61" s="54">
        <v>0.24224603021273772</v>
      </c>
    </row>
    <row r="62" spans="1:17">
      <c r="A62" s="2" t="s">
        <v>485</v>
      </c>
      <c r="B62" s="16" t="s">
        <v>486</v>
      </c>
      <c r="D62" s="14">
        <v>1</v>
      </c>
      <c r="E62" s="14">
        <v>0.42295752375745305</v>
      </c>
      <c r="F62" s="14">
        <v>0.33418798637791053</v>
      </c>
      <c r="G62" s="14">
        <v>4.0824353997051734E-9</v>
      </c>
      <c r="H62" s="14">
        <v>207.15281224064771</v>
      </c>
      <c r="I62" s="14">
        <v>421.45188856322585</v>
      </c>
      <c r="J62" s="14">
        <v>0</v>
      </c>
      <c r="K62" s="14">
        <v>2.9923277938219113</v>
      </c>
      <c r="L62" s="14">
        <v>0.33418798637791053</v>
      </c>
      <c r="M62" s="14">
        <v>0.27420124282307562</v>
      </c>
      <c r="N62" s="14">
        <v>21.667246655358991</v>
      </c>
      <c r="O62" s="14">
        <v>7028.6381425319023</v>
      </c>
      <c r="P62" s="8">
        <v>21.667246655358991</v>
      </c>
      <c r="Q62" s="54">
        <v>0.38172271518182921</v>
      </c>
    </row>
    <row r="63" spans="1:17">
      <c r="A63" s="2" t="s">
        <v>487</v>
      </c>
      <c r="B63" s="16" t="s">
        <v>488</v>
      </c>
      <c r="D63" s="14">
        <v>1</v>
      </c>
      <c r="E63" s="14">
        <v>0.95537092683083735</v>
      </c>
      <c r="F63" s="14">
        <v>0.95202896742871934</v>
      </c>
      <c r="G63" s="14">
        <v>8.1719173470369155E-15</v>
      </c>
      <c r="H63" s="14">
        <v>9.3232101464543238</v>
      </c>
      <c r="I63" s="14">
        <v>11.390003075050814</v>
      </c>
      <c r="J63" s="14">
        <v>0</v>
      </c>
      <c r="K63" s="14">
        <v>1.0503882068849677</v>
      </c>
      <c r="L63" s="14">
        <v>0.95202896742871945</v>
      </c>
      <c r="M63" s="14">
        <v>0.78113976777526428</v>
      </c>
      <c r="N63" s="14">
        <v>6.5876436268997756</v>
      </c>
      <c r="O63" s="14">
        <v>2908.839919893865</v>
      </c>
      <c r="P63" s="8">
        <v>6.5876436268997765</v>
      </c>
      <c r="Q63" s="54">
        <v>2.7759001562268553E-2</v>
      </c>
    </row>
    <row r="64" spans="1:17">
      <c r="A64" s="2" t="s">
        <v>489</v>
      </c>
      <c r="B64" s="16" t="s">
        <v>490</v>
      </c>
      <c r="D64" s="14">
        <v>1</v>
      </c>
      <c r="E64" s="14">
        <v>0.99514489228082348</v>
      </c>
      <c r="F64" s="14">
        <v>0.99429228861616747</v>
      </c>
      <c r="G64" s="14">
        <v>1.4759385274998166E-16</v>
      </c>
      <c r="H64" s="14">
        <v>3.481721835704938</v>
      </c>
      <c r="I64" s="14">
        <v>0.40025157304652553</v>
      </c>
      <c r="J64" s="14">
        <v>0</v>
      </c>
      <c r="K64" s="14">
        <v>1.0057404763661362</v>
      </c>
      <c r="L64" s="14">
        <v>0.99429228861616747</v>
      </c>
      <c r="M64" s="14">
        <v>0.81581682280956547</v>
      </c>
      <c r="N64" s="14">
        <v>0.90527494666580266</v>
      </c>
      <c r="O64" s="14">
        <v>363.40452184005318</v>
      </c>
      <c r="P64" s="8">
        <v>0.90527494666580266</v>
      </c>
      <c r="Q64" s="54">
        <v>2.9521134770873884E-3</v>
      </c>
    </row>
    <row r="65" spans="1:17">
      <c r="A65" s="2" t="s">
        <v>491</v>
      </c>
      <c r="B65" s="16" t="s">
        <v>492</v>
      </c>
      <c r="D65" s="14">
        <v>1</v>
      </c>
      <c r="E65" s="14">
        <v>0.99734785346530985</v>
      </c>
      <c r="F65" s="14">
        <v>0.99757064473436208</v>
      </c>
      <c r="G65" s="14">
        <v>2.4373955851295067E-14</v>
      </c>
      <c r="H65" s="14">
        <v>0.45199077035273311</v>
      </c>
      <c r="I65" s="14">
        <v>0.18613785395063151</v>
      </c>
      <c r="J65" s="14">
        <v>0</v>
      </c>
      <c r="K65" s="14">
        <v>1.0024352714050488</v>
      </c>
      <c r="L65" s="14">
        <v>0.99757064473436219</v>
      </c>
      <c r="M65" s="14">
        <v>0.81850671400454411</v>
      </c>
      <c r="N65" s="14">
        <v>1.3527907510734254</v>
      </c>
      <c r="O65" s="14">
        <v>375.21004271772529</v>
      </c>
      <c r="P65" s="8">
        <v>1.3527907510734256</v>
      </c>
      <c r="Q65" s="54">
        <v>1.3044117507245729E-3</v>
      </c>
    </row>
    <row r="66" spans="1:17">
      <c r="A66" s="2" t="s">
        <v>493</v>
      </c>
      <c r="B66" s="16" t="s">
        <v>494</v>
      </c>
      <c r="D66" s="14">
        <v>1</v>
      </c>
      <c r="E66" s="14">
        <v>0.94968919119871331</v>
      </c>
      <c r="F66" s="14">
        <v>0.92543899614022507</v>
      </c>
      <c r="G66" s="14">
        <v>3.8194864117299042E-13</v>
      </c>
      <c r="H66" s="14">
        <v>68.239120949566171</v>
      </c>
      <c r="I66" s="14">
        <v>15.834628469688052</v>
      </c>
      <c r="J66" s="14">
        <v>0</v>
      </c>
      <c r="K66" s="14">
        <v>1.0805682537376857</v>
      </c>
      <c r="L66" s="14">
        <v>0.92543899614022518</v>
      </c>
      <c r="M66" s="14">
        <v>0.75932269633305471</v>
      </c>
      <c r="N66" s="14">
        <v>55.708323561790756</v>
      </c>
      <c r="O66" s="14">
        <v>18072.894329916158</v>
      </c>
      <c r="P66" s="8">
        <v>55.708323561790756</v>
      </c>
      <c r="Q66" s="54">
        <v>1.3954936926626157E-2</v>
      </c>
    </row>
    <row r="67" spans="1:17">
      <c r="A67" s="2" t="s">
        <v>495</v>
      </c>
      <c r="B67" s="16" t="s">
        <v>496</v>
      </c>
      <c r="D67" s="14">
        <v>1</v>
      </c>
      <c r="E67" s="14">
        <v>0.99715223690453469</v>
      </c>
      <c r="F67" s="14">
        <v>0.9973996600649806</v>
      </c>
      <c r="G67" s="14">
        <v>1.9037841392686812E-14</v>
      </c>
      <c r="H67" s="14">
        <v>0.38106491637831996</v>
      </c>
      <c r="I67" s="14">
        <v>0.19287481198474277</v>
      </c>
      <c r="J67" s="14">
        <v>0</v>
      </c>
      <c r="K67" s="14">
        <v>1.0026071193315325</v>
      </c>
      <c r="L67" s="14">
        <v>0.9973996600649806</v>
      </c>
      <c r="M67" s="14">
        <v>0.81836642108331659</v>
      </c>
      <c r="N67" s="14">
        <v>1.2691790898453097</v>
      </c>
      <c r="O67" s="14">
        <v>397.78611033931702</v>
      </c>
      <c r="P67" s="8">
        <v>1.2691790898453099</v>
      </c>
      <c r="Q67" s="54">
        <v>1.4664778771189715E-3</v>
      </c>
    </row>
    <row r="68" spans="1:17">
      <c r="A68" s="2" t="s">
        <v>497</v>
      </c>
      <c r="B68" s="16" t="s">
        <v>498</v>
      </c>
      <c r="D68" s="14">
        <v>1</v>
      </c>
      <c r="E68" s="14">
        <v>0.99863617624799939</v>
      </c>
      <c r="F68" s="14">
        <v>0.99900845539458705</v>
      </c>
      <c r="G68" s="14">
        <v>1.7215570777455982E-13</v>
      </c>
      <c r="H68" s="14">
        <v>4.5316434499643482E-2</v>
      </c>
      <c r="I68" s="14">
        <v>3.2373035499619458E-2</v>
      </c>
      <c r="J68" s="14">
        <v>0</v>
      </c>
      <c r="K68" s="14">
        <v>1.0009925287419326</v>
      </c>
      <c r="L68" s="14">
        <v>0.99900845539458716</v>
      </c>
      <c r="M68" s="14">
        <v>0.8196864376512587</v>
      </c>
      <c r="N68" s="14">
        <v>0.91371493824835737</v>
      </c>
      <c r="O68" s="14">
        <v>248.85940058132263</v>
      </c>
      <c r="P68" s="8">
        <v>0.91371493824835737</v>
      </c>
      <c r="Q68" s="54">
        <v>5.9246598781699999E-4</v>
      </c>
    </row>
    <row r="69" spans="1:17">
      <c r="A69" s="2" t="s">
        <v>499</v>
      </c>
      <c r="B69" s="16" t="s">
        <v>500</v>
      </c>
      <c r="D69" s="14">
        <v>1</v>
      </c>
      <c r="E69" s="14">
        <v>0.42510140342393793</v>
      </c>
      <c r="F69" s="14">
        <v>3.4303465871086236E-2</v>
      </c>
      <c r="G69" s="14">
        <v>3.8135416078828984E-13</v>
      </c>
      <c r="H69" s="14">
        <v>883.46632756981421</v>
      </c>
      <c r="I69" s="14">
        <v>2104.5399401006161</v>
      </c>
      <c r="J69" s="14">
        <v>0</v>
      </c>
      <c r="K69" s="14">
        <v>29.151573306267043</v>
      </c>
      <c r="L69" s="14">
        <v>3.4303465871086236E-2</v>
      </c>
      <c r="M69" s="14">
        <v>2.8145993747226258E-2</v>
      </c>
      <c r="N69" s="14">
        <v>109.98845277662511</v>
      </c>
      <c r="O69" s="14">
        <v>47249.939428310383</v>
      </c>
      <c r="P69" s="8">
        <v>109.98845277662512</v>
      </c>
      <c r="Q69" s="54">
        <v>0.34855969927358854</v>
      </c>
    </row>
    <row r="70" spans="1:17">
      <c r="A70" s="2" t="s">
        <v>501</v>
      </c>
      <c r="B70" s="16" t="s">
        <v>411</v>
      </c>
      <c r="D70" s="14">
        <v>1</v>
      </c>
      <c r="E70" s="14">
        <v>0.99944534643456828</v>
      </c>
      <c r="F70" s="14">
        <v>0.99673601940758594</v>
      </c>
      <c r="G70" s="14">
        <v>3.1718207831018612E-15</v>
      </c>
      <c r="H70" s="14">
        <v>8.804002410719713</v>
      </c>
      <c r="I70" s="14">
        <v>7.7470684347399179E-3</v>
      </c>
      <c r="J70" s="14">
        <v>0</v>
      </c>
      <c r="K70" s="14">
        <v>1.0032746690486354</v>
      </c>
      <c r="L70" s="14">
        <v>0.99673601940758594</v>
      </c>
      <c r="M70" s="14">
        <v>0.81782190392392429</v>
      </c>
      <c r="N70" s="14">
        <v>0.93320590182666874</v>
      </c>
      <c r="O70" s="14">
        <v>280.05509113818329</v>
      </c>
      <c r="P70" s="8">
        <v>0.93320590182666874</v>
      </c>
      <c r="Q70" s="54">
        <v>3.9276917127813927E-5</v>
      </c>
    </row>
    <row r="71" spans="1:17">
      <c r="A71" s="2" t="s">
        <v>502</v>
      </c>
      <c r="B71" s="16" t="s">
        <v>412</v>
      </c>
      <c r="D71" s="14">
        <v>1</v>
      </c>
      <c r="E71" s="14">
        <v>0.9993895657001769</v>
      </c>
      <c r="F71" s="14">
        <v>0.99385908625757946</v>
      </c>
      <c r="G71" s="14">
        <v>1.4846116559717476E-10</v>
      </c>
      <c r="H71" s="14">
        <v>16.818405238381118</v>
      </c>
      <c r="I71" s="14">
        <v>1.4151834527516406E-2</v>
      </c>
      <c r="J71" s="14">
        <v>0</v>
      </c>
      <c r="K71" s="14">
        <v>1.006178857573808</v>
      </c>
      <c r="L71" s="14">
        <v>0.99385908625757957</v>
      </c>
      <c r="M71" s="14">
        <v>0.81546138027434401</v>
      </c>
      <c r="N71" s="14">
        <v>0.99387633402735853</v>
      </c>
      <c r="O71" s="14">
        <v>326.14051901107769</v>
      </c>
      <c r="P71" s="8">
        <v>0.99387633402735864</v>
      </c>
      <c r="Q71" s="54">
        <v>5.5133141815579586E-5</v>
      </c>
    </row>
    <row r="72" spans="1:17">
      <c r="A72" s="2" t="s">
        <v>503</v>
      </c>
      <c r="B72" s="16" t="s">
        <v>413</v>
      </c>
      <c r="D72" s="14">
        <v>1</v>
      </c>
      <c r="E72" s="14">
        <v>0.93618815011890655</v>
      </c>
      <c r="F72" s="14">
        <v>3.5373455569138991E-2</v>
      </c>
      <c r="G72" s="14">
        <v>1.7331093021043715E-11</v>
      </c>
      <c r="H72" s="14">
        <v>2559.1602845109669</v>
      </c>
      <c r="I72" s="14">
        <v>10.882369351262749</v>
      </c>
      <c r="J72" s="14">
        <v>0</v>
      </c>
      <c r="K72" s="14">
        <v>28.269785462306771</v>
      </c>
      <c r="L72" s="14">
        <v>3.5373455569138991E-2</v>
      </c>
      <c r="M72" s="14">
        <v>2.9023920294478544E-2</v>
      </c>
      <c r="N72" s="14">
        <v>118.44840626068543</v>
      </c>
      <c r="O72" s="14">
        <v>54969.536377458891</v>
      </c>
      <c r="P72" s="8">
        <v>118.44840626068543</v>
      </c>
      <c r="Q72" s="54">
        <v>5.3817492866213546E-4</v>
      </c>
    </row>
    <row r="73" spans="1:17">
      <c r="A73" s="2" t="s">
        <v>504</v>
      </c>
      <c r="B73" s="16" t="s">
        <v>414</v>
      </c>
      <c r="D73" s="14">
        <v>1</v>
      </c>
      <c r="E73" s="14">
        <v>0.99325203419455732</v>
      </c>
      <c r="F73" s="14">
        <v>0.27150524744368115</v>
      </c>
      <c r="G73" s="14">
        <v>1.8737286339150376E-11</v>
      </c>
      <c r="H73" s="14">
        <v>2051.5316796772199</v>
      </c>
      <c r="I73" s="14">
        <v>1.0980047080651076</v>
      </c>
      <c r="J73" s="14">
        <v>0</v>
      </c>
      <c r="K73" s="14">
        <v>3.6831700654604544</v>
      </c>
      <c r="L73" s="14">
        <v>0.27150524744368115</v>
      </c>
      <c r="M73" s="14">
        <v>0.22277005552754039</v>
      </c>
      <c r="N73" s="14">
        <v>11.678627517201274</v>
      </c>
      <c r="O73" s="14">
        <v>3667.6729717770604</v>
      </c>
      <c r="P73" s="8">
        <v>11.678627517201274</v>
      </c>
      <c r="Q73" s="54">
        <v>3.6108063895671832E-4</v>
      </c>
    </row>
    <row r="74" spans="1:17">
      <c r="A74" s="2" t="s">
        <v>505</v>
      </c>
      <c r="B74" s="16" t="s">
        <v>415</v>
      </c>
      <c r="D74" s="14">
        <v>1</v>
      </c>
      <c r="E74" s="14">
        <v>0.99940022296331832</v>
      </c>
      <c r="F74" s="14">
        <v>0.99443018228875735</v>
      </c>
      <c r="G74" s="14">
        <v>1.8265129813795894E-11</v>
      </c>
      <c r="H74" s="14">
        <v>15.226297016950172</v>
      </c>
      <c r="I74" s="14">
        <v>1.2868273176884854E-2</v>
      </c>
      <c r="J74" s="14">
        <v>0</v>
      </c>
      <c r="K74" s="14">
        <v>1.0056010143401151</v>
      </c>
      <c r="L74" s="14">
        <v>0.99443018228875735</v>
      </c>
      <c r="M74" s="14">
        <v>0.81592996456792544</v>
      </c>
      <c r="N74" s="14">
        <v>0.98201728724032189</v>
      </c>
      <c r="O74" s="14">
        <v>210.19098016091849</v>
      </c>
      <c r="P74" s="8">
        <v>0.98201728724032189</v>
      </c>
      <c r="Q74" s="54">
        <v>5.2205982305441082E-5</v>
      </c>
    </row>
    <row r="75" spans="1:17">
      <c r="A75" s="2" t="s">
        <v>506</v>
      </c>
      <c r="B75" s="16" t="s">
        <v>416</v>
      </c>
      <c r="D75" s="14">
        <v>1</v>
      </c>
      <c r="E75" s="14">
        <v>0.99345320986539465</v>
      </c>
      <c r="F75" s="14">
        <v>0.30743869656764811</v>
      </c>
      <c r="G75" s="14">
        <v>7.6960343267328149E-11</v>
      </c>
      <c r="H75" s="14">
        <v>1950.0175958369771</v>
      </c>
      <c r="I75" s="14">
        <v>1.0572178930124534</v>
      </c>
      <c r="J75" s="14">
        <v>0</v>
      </c>
      <c r="K75" s="14">
        <v>3.252680977262608</v>
      </c>
      <c r="L75" s="14">
        <v>0.30743869656764811</v>
      </c>
      <c r="M75" s="14">
        <v>0.25225345053375531</v>
      </c>
      <c r="N75" s="14">
        <v>11.266663916697784</v>
      </c>
      <c r="O75" s="14">
        <v>4665.187527987051</v>
      </c>
      <c r="P75" s="8">
        <v>11.266663916697784</v>
      </c>
      <c r="Q75" s="54">
        <v>3.7321965303148869E-4</v>
      </c>
    </row>
    <row r="76" spans="1:17">
      <c r="A76" s="2" t="s">
        <v>507</v>
      </c>
      <c r="B76" s="16" t="s">
        <v>417</v>
      </c>
      <c r="D76" s="14">
        <v>1</v>
      </c>
      <c r="E76" s="14">
        <v>0.99811683577141452</v>
      </c>
      <c r="F76" s="14">
        <v>0.88932965860871571</v>
      </c>
      <c r="G76" s="14">
        <v>4.9046817142824621E-10</v>
      </c>
      <c r="H76" s="14">
        <v>310.15784894056992</v>
      </c>
      <c r="I76" s="14">
        <v>0.20883856738546727</v>
      </c>
      <c r="J76" s="14">
        <v>0</v>
      </c>
      <c r="K76" s="14">
        <v>1.12444242730465</v>
      </c>
      <c r="L76" s="14">
        <v>0.88932965860871571</v>
      </c>
      <c r="M76" s="14">
        <v>0.7296949848884513</v>
      </c>
      <c r="N76" s="14">
        <v>2.8747397495211553</v>
      </c>
      <c r="O76" s="14">
        <v>1230.8773185524731</v>
      </c>
      <c r="P76" s="8">
        <v>2.8747397495211553</v>
      </c>
      <c r="Q76" s="54">
        <v>2.3878701430068796E-4</v>
      </c>
    </row>
    <row r="77" spans="1:17">
      <c r="A77" s="2" t="s">
        <v>508</v>
      </c>
      <c r="B77" s="16" t="s">
        <v>418</v>
      </c>
      <c r="D77" s="14">
        <v>1</v>
      </c>
      <c r="E77" s="14">
        <v>0.99330471733105918</v>
      </c>
      <c r="F77" s="14">
        <v>0.28149950264786178</v>
      </c>
      <c r="G77" s="14">
        <v>5.7317294856124568E-10</v>
      </c>
      <c r="H77" s="14">
        <v>2023.2876557977577</v>
      </c>
      <c r="I77" s="14">
        <v>1.0901482480670974</v>
      </c>
      <c r="J77" s="14">
        <v>0</v>
      </c>
      <c r="K77" s="14">
        <v>3.5524041449229027</v>
      </c>
      <c r="L77" s="14">
        <v>0.28149950264786183</v>
      </c>
      <c r="M77" s="14">
        <v>0.23097034192257063</v>
      </c>
      <c r="N77" s="14">
        <v>11.566264888506383</v>
      </c>
      <c r="O77" s="14">
        <v>6109.0697888113009</v>
      </c>
      <c r="P77" s="8">
        <v>11.566264888506383</v>
      </c>
      <c r="Q77" s="54">
        <v>3.6583525981565441E-4</v>
      </c>
    </row>
    <row r="78" spans="1:17">
      <c r="A78" s="2" t="s">
        <v>509</v>
      </c>
      <c r="B78" s="16" t="s">
        <v>419</v>
      </c>
      <c r="D78" s="14">
        <v>1</v>
      </c>
      <c r="E78" s="14">
        <v>0.94609064047674152</v>
      </c>
      <c r="F78" s="14">
        <v>3.9500761940578777E-2</v>
      </c>
      <c r="G78" s="14">
        <v>7.015101172489308E-11</v>
      </c>
      <c r="H78" s="14">
        <v>2575.7604646492055</v>
      </c>
      <c r="I78" s="14">
        <v>9.2030429216075582</v>
      </c>
      <c r="J78" s="14">
        <v>0</v>
      </c>
      <c r="K78" s="14">
        <v>25.315967360434865</v>
      </c>
      <c r="L78" s="14">
        <v>3.9500761940578777E-2</v>
      </c>
      <c r="M78" s="14">
        <v>3.2410375172244883E-2</v>
      </c>
      <c r="N78" s="14">
        <v>99.902118906336298</v>
      </c>
      <c r="O78" s="14">
        <v>56353.786253875245</v>
      </c>
      <c r="P78" s="8">
        <v>99.902118906336298</v>
      </c>
      <c r="Q78" s="54">
        <v>5.1396251726015894E-4</v>
      </c>
    </row>
    <row r="79" spans="1:17">
      <c r="A79" s="2" t="s">
        <v>510</v>
      </c>
      <c r="B79" s="16" t="s">
        <v>420</v>
      </c>
      <c r="D79" s="14">
        <v>1</v>
      </c>
      <c r="E79" s="14">
        <v>0.94609079400224871</v>
      </c>
      <c r="F79" s="14">
        <v>3.9500770661227681E-2</v>
      </c>
      <c r="G79" s="14">
        <v>1.7621142223356631E-15</v>
      </c>
      <c r="H79" s="14">
        <v>2575.7610333041275</v>
      </c>
      <c r="I79" s="14">
        <v>9.2015885192462736</v>
      </c>
      <c r="J79" s="14">
        <v>0</v>
      </c>
      <c r="K79" s="14">
        <v>25.315961771387876</v>
      </c>
      <c r="L79" s="14">
        <v>3.9500770661227688E-2</v>
      </c>
      <c r="M79" s="14">
        <v>3.2410382327537318E-2</v>
      </c>
      <c r="N79" s="14">
        <v>99.902068379704517</v>
      </c>
      <c r="O79" s="14">
        <v>49964.021458741619</v>
      </c>
      <c r="P79" s="8">
        <v>99.902068379704531</v>
      </c>
      <c r="Q79" s="54">
        <v>5.1388129322316569E-4</v>
      </c>
    </row>
    <row r="80" spans="1:17">
      <c r="A80" s="2" t="s">
        <v>511</v>
      </c>
      <c r="B80" s="16" t="s">
        <v>421</v>
      </c>
      <c r="D80" s="14">
        <v>1</v>
      </c>
      <c r="E80" s="14">
        <v>0.99603676353838533</v>
      </c>
      <c r="F80" s="14">
        <v>0.66517362140165781</v>
      </c>
      <c r="G80" s="14">
        <v>8.6664948667740594E-11</v>
      </c>
      <c r="H80" s="14">
        <v>941.05502528576233</v>
      </c>
      <c r="I80" s="14">
        <v>0.56982433558212475</v>
      </c>
      <c r="J80" s="14">
        <v>0</v>
      </c>
      <c r="K80" s="14">
        <v>1.5033668922300225</v>
      </c>
      <c r="L80" s="14">
        <v>0.66517362140165792</v>
      </c>
      <c r="M80" s="14">
        <v>0.54577495636006035</v>
      </c>
      <c r="N80" s="14">
        <v>6.4208906516419066</v>
      </c>
      <c r="O80" s="14">
        <v>2337.5894506367526</v>
      </c>
      <c r="P80" s="8">
        <v>6.4208906516419075</v>
      </c>
      <c r="Q80" s="54">
        <v>3.6943751368953461E-4</v>
      </c>
    </row>
    <row r="81" spans="1:17">
      <c r="A81" s="2" t="s">
        <v>512</v>
      </c>
      <c r="B81" s="16" t="s">
        <v>422</v>
      </c>
      <c r="D81" s="14">
        <v>1</v>
      </c>
      <c r="E81" s="14">
        <v>0.99911830587086048</v>
      </c>
      <c r="F81" s="14">
        <v>0.97592562134282801</v>
      </c>
      <c r="G81" s="14">
        <v>3.44401620113072E-11</v>
      </c>
      <c r="H81" s="14">
        <v>66.994125093930776</v>
      </c>
      <c r="I81" s="14">
        <v>5.0694716003025324E-2</v>
      </c>
      <c r="J81" s="14">
        <v>0</v>
      </c>
      <c r="K81" s="14">
        <v>1.0246682514842131</v>
      </c>
      <c r="L81" s="14">
        <v>0.97592562134282812</v>
      </c>
      <c r="M81" s="14">
        <v>0.80074697231179048</v>
      </c>
      <c r="N81" s="14">
        <v>1.345462858793967</v>
      </c>
      <c r="O81" s="14">
        <v>355.26946786454698</v>
      </c>
      <c r="P81" s="8">
        <v>1.345462858793967</v>
      </c>
      <c r="Q81" s="54">
        <v>1.1198573233639378E-4</v>
      </c>
    </row>
    <row r="82" spans="1:17">
      <c r="A82" s="2" t="s">
        <v>513</v>
      </c>
      <c r="B82" s="16" t="s">
        <v>423</v>
      </c>
      <c r="D82" s="14">
        <v>1</v>
      </c>
      <c r="E82" s="14">
        <v>0.99866011393610299</v>
      </c>
      <c r="F82" s="14">
        <v>0.93888772568242274</v>
      </c>
      <c r="G82" s="14">
        <v>1.1030676526170817E-14</v>
      </c>
      <c r="H82" s="14">
        <v>170.91243492681943</v>
      </c>
      <c r="I82" s="14">
        <v>0.12034578968890697</v>
      </c>
      <c r="J82" s="14">
        <v>0</v>
      </c>
      <c r="K82" s="14">
        <v>1.0650900769558556</v>
      </c>
      <c r="L82" s="14">
        <v>0.93888772568242285</v>
      </c>
      <c r="M82" s="14">
        <v>0.77035737892242795</v>
      </c>
      <c r="N82" s="14">
        <v>2.019910236807922</v>
      </c>
      <c r="O82" s="14">
        <v>808.1862848492176</v>
      </c>
      <c r="P82" s="8">
        <v>2.019910236807922</v>
      </c>
      <c r="Q82" s="54">
        <v>1.7907332642264542E-4</v>
      </c>
    </row>
    <row r="83" spans="1:17">
      <c r="A83" s="2" t="s">
        <v>514</v>
      </c>
      <c r="B83" s="16" t="s">
        <v>424</v>
      </c>
      <c r="D83" s="14">
        <v>1</v>
      </c>
      <c r="E83" s="14">
        <v>0.89972610123024055</v>
      </c>
      <c r="F83" s="14">
        <v>2.5782290207966865E-2</v>
      </c>
      <c r="G83" s="14">
        <v>2.4179647122169614E-11</v>
      </c>
      <c r="H83" s="14">
        <v>2482.1126763495758</v>
      </c>
      <c r="I83" s="14">
        <v>17.035209038248428</v>
      </c>
      <c r="J83" s="14">
        <v>0</v>
      </c>
      <c r="K83" s="14">
        <v>38.786313858611152</v>
      </c>
      <c r="L83" s="14">
        <v>2.5782290207966869E-2</v>
      </c>
      <c r="M83" s="14">
        <v>2.1154369115636815E-2</v>
      </c>
      <c r="N83" s="14">
        <v>186.80545343982203</v>
      </c>
      <c r="O83" s="14">
        <v>96032.947504343712</v>
      </c>
      <c r="P83" s="8">
        <v>186.80545343982203</v>
      </c>
      <c r="Q83" s="54">
        <v>6.0304187043404365E-4</v>
      </c>
    </row>
    <row r="84" spans="1:17">
      <c r="A84" s="2" t="s">
        <v>403</v>
      </c>
      <c r="B84" s="16" t="s">
        <v>404</v>
      </c>
      <c r="D84" s="14">
        <v>1</v>
      </c>
      <c r="E84" s="14">
        <v>0.48709304033522532</v>
      </c>
      <c r="F84" s="14">
        <v>0.42993436339759916</v>
      </c>
      <c r="G84" s="14">
        <v>7.4929122414424436E-46</v>
      </c>
      <c r="H84" s="14">
        <v>132.31898426359922</v>
      </c>
      <c r="I84" s="14">
        <v>283.4518717512716</v>
      </c>
      <c r="J84" s="14">
        <v>0</v>
      </c>
      <c r="K84" s="14">
        <v>2.3259364338719064</v>
      </c>
      <c r="L84" s="14">
        <v>0.42993436339759916</v>
      </c>
      <c r="M84" s="14">
        <v>0.35276114516773011</v>
      </c>
      <c r="N84" s="14">
        <v>14.678697911778888</v>
      </c>
      <c r="O84" s="14">
        <v>17652.748895684406</v>
      </c>
      <c r="P84" s="8">
        <v>14.678697911778888</v>
      </c>
      <c r="Q84" s="54">
        <v>0.34094107735360307</v>
      </c>
    </row>
    <row r="85" spans="1:17">
      <c r="A85" s="2" t="s">
        <v>405</v>
      </c>
      <c r="B85" s="16" t="s">
        <v>406</v>
      </c>
      <c r="D85" s="14">
        <v>1</v>
      </c>
      <c r="E85" s="14">
        <v>0.32454349487837841</v>
      </c>
      <c r="F85" s="14">
        <v>0.12260613490772253</v>
      </c>
      <c r="G85" s="14">
        <v>3.7185987215744207E-10</v>
      </c>
      <c r="H85" s="14">
        <v>545.56124666960216</v>
      </c>
      <c r="I85" s="14">
        <v>264.07599258040636</v>
      </c>
      <c r="J85" s="14">
        <v>0</v>
      </c>
      <c r="K85" s="14">
        <v>8.1561987151184017</v>
      </c>
      <c r="L85" s="14">
        <v>0.12260613490772254</v>
      </c>
      <c r="M85" s="14">
        <v>0.10059833369178633</v>
      </c>
      <c r="N85" s="14">
        <v>1198.6786957706533</v>
      </c>
      <c r="O85" s="14">
        <v>382210.68893343059</v>
      </c>
      <c r="P85" s="8">
        <v>1198.6786957706536</v>
      </c>
      <c r="Q85" s="54">
        <v>2.5487598715365798E-2</v>
      </c>
    </row>
    <row r="86" spans="1:17">
      <c r="A86" s="2" t="s">
        <v>407</v>
      </c>
      <c r="B86" s="16" t="s">
        <v>408</v>
      </c>
      <c r="D86" s="14">
        <v>1</v>
      </c>
      <c r="E86" s="14">
        <v>0.4264071280571271</v>
      </c>
      <c r="F86" s="14">
        <v>1.6753572734973634E-3</v>
      </c>
      <c r="G86" s="14">
        <v>1.3449183625054518E-6</v>
      </c>
      <c r="H86" s="14">
        <v>230.02097261124314</v>
      </c>
      <c r="I86" s="14">
        <v>9047.4169710886708</v>
      </c>
      <c r="J86" s="14">
        <v>0</v>
      </c>
      <c r="K86" s="14">
        <v>596.88761067212067</v>
      </c>
      <c r="L86" s="14">
        <v>1.6753572734973636E-3</v>
      </c>
      <c r="M86" s="14">
        <v>1.3746306429045867E-3</v>
      </c>
      <c r="N86" s="14">
        <v>489.23400892489678</v>
      </c>
      <c r="O86" s="14">
        <v>237664.98919562562</v>
      </c>
      <c r="P86" s="8">
        <v>489.23400892489684</v>
      </c>
      <c r="Q86" s="54">
        <v>0.21140955216598664</v>
      </c>
    </row>
    <row r="87" spans="1:17">
      <c r="A87" s="2" t="s">
        <v>409</v>
      </c>
      <c r="B87" s="16" t="s">
        <v>410</v>
      </c>
      <c r="D87" s="14">
        <v>1</v>
      </c>
      <c r="E87" s="14">
        <v>0.46002462022072332</v>
      </c>
      <c r="F87" s="14">
        <v>6.1759328639527321E-4</v>
      </c>
      <c r="G87" s="14">
        <v>1.7715403719711767E-7</v>
      </c>
      <c r="H87" s="14">
        <v>131.86288286459478</v>
      </c>
      <c r="I87" s="14">
        <v>10868.753447100416</v>
      </c>
      <c r="J87" s="14">
        <v>0</v>
      </c>
      <c r="K87" s="14">
        <v>1619.1885858033404</v>
      </c>
      <c r="L87" s="14">
        <v>6.1759328639527332E-4</v>
      </c>
      <c r="M87" s="14">
        <v>5.0673529148732171E-4</v>
      </c>
      <c r="N87" s="14">
        <v>593.10524705316652</v>
      </c>
      <c r="O87" s="14">
        <v>334920.60195845261</v>
      </c>
      <c r="P87" s="8">
        <v>593.10524705316652</v>
      </c>
      <c r="Q87" s="54">
        <v>0.15148852502646001</v>
      </c>
    </row>
    <row r="88" spans="1:17">
      <c r="A88" s="2" t="s">
        <v>301</v>
      </c>
      <c r="B88" s="16" t="s">
        <v>302</v>
      </c>
      <c r="D88" s="14">
        <v>1</v>
      </c>
      <c r="E88" s="14">
        <v>0.49409162264339967</v>
      </c>
      <c r="F88" s="14">
        <v>1.8380876463654114E-4</v>
      </c>
      <c r="G88" s="14">
        <v>2.3200358931576279E-8</v>
      </c>
      <c r="H88" s="14">
        <v>64.843465340863972</v>
      </c>
      <c r="I88" s="14">
        <v>12397.193702348484</v>
      </c>
      <c r="J88" s="14">
        <v>0</v>
      </c>
      <c r="K88" s="14">
        <v>5440.4369779502895</v>
      </c>
      <c r="L88" s="14">
        <v>1.8380876463654116E-4</v>
      </c>
      <c r="M88" s="14">
        <v>1.50815091384282E-4</v>
      </c>
      <c r="N88" s="14">
        <v>683.58456159741377</v>
      </c>
      <c r="O88" s="14">
        <v>439941.35215286358</v>
      </c>
      <c r="P88" s="8">
        <v>683.58456159741377</v>
      </c>
      <c r="Q88" s="54">
        <v>9.6011529224268866E-2</v>
      </c>
    </row>
    <row r="89" spans="1:17">
      <c r="A89" s="2" t="s">
        <v>303</v>
      </c>
      <c r="B89" s="16" t="s">
        <v>304</v>
      </c>
      <c r="D89" s="14">
        <v>1</v>
      </c>
      <c r="E89" s="14">
        <v>4.7763343681717717E-2</v>
      </c>
      <c r="F89" s="14">
        <v>1.1374163542871374E-3</v>
      </c>
      <c r="G89" s="14">
        <v>1.6379239399464936E-15</v>
      </c>
      <c r="H89" s="14">
        <v>36.803408032508081</v>
      </c>
      <c r="I89" s="14">
        <v>886.24893830696033</v>
      </c>
      <c r="J89" s="14">
        <v>0</v>
      </c>
      <c r="K89" s="14">
        <v>879.18552975857153</v>
      </c>
      <c r="L89" s="14">
        <v>1.1374163542871374E-3</v>
      </c>
      <c r="M89" s="14">
        <v>9.3325011869259628E-4</v>
      </c>
      <c r="N89" s="14">
        <v>1763.2167401855743</v>
      </c>
      <c r="O89" s="14">
        <v>1137821.3946091528</v>
      </c>
      <c r="P89" s="8">
        <v>1763.2167401855743</v>
      </c>
      <c r="Q89" s="54">
        <v>9.5886116141012546E-3</v>
      </c>
    </row>
    <row r="90" spans="1:17">
      <c r="A90" s="2" t="s">
        <v>425</v>
      </c>
      <c r="B90" s="16" t="s">
        <v>426</v>
      </c>
      <c r="D90" s="14">
        <v>1</v>
      </c>
      <c r="E90" s="14">
        <v>0.97447948964920295</v>
      </c>
      <c r="F90" s="14">
        <v>0.97473739682558569</v>
      </c>
      <c r="G90" s="14">
        <v>1.775513922369126E-15</v>
      </c>
      <c r="H90" s="14">
        <v>0.25976918304977809</v>
      </c>
      <c r="I90" s="14">
        <v>0.80755950082934125</v>
      </c>
      <c r="J90" s="14">
        <v>0</v>
      </c>
      <c r="K90" s="14">
        <v>1.0259173427188559</v>
      </c>
      <c r="L90" s="14">
        <v>0.9747373968255858</v>
      </c>
      <c r="M90" s="14">
        <v>0.7997720340953931</v>
      </c>
      <c r="N90" s="14">
        <v>0.87758393596669171</v>
      </c>
      <c r="O90" s="14">
        <v>243.31892208612496</v>
      </c>
      <c r="P90" s="8">
        <v>0.87758393596669182</v>
      </c>
      <c r="Q90" s="54">
        <v>1.6911204095274524E-2</v>
      </c>
    </row>
    <row r="91" spans="1:17">
      <c r="A91" s="2" t="s">
        <v>427</v>
      </c>
      <c r="B91" s="16" t="s">
        <v>428</v>
      </c>
      <c r="D91" s="14">
        <v>1</v>
      </c>
      <c r="E91" s="14">
        <v>0.77254397039917244</v>
      </c>
      <c r="F91" s="14">
        <v>0.7653451670528082</v>
      </c>
      <c r="G91" s="14">
        <v>9.7441919786361511E-7</v>
      </c>
      <c r="H91" s="14">
        <v>16.630960960391562</v>
      </c>
      <c r="I91" s="14">
        <v>43.308636894313558</v>
      </c>
      <c r="J91" s="14">
        <v>0</v>
      </c>
      <c r="K91" s="14">
        <v>1.3066000061786511</v>
      </c>
      <c r="L91" s="14">
        <v>0.7653451670528082</v>
      </c>
      <c r="M91" s="14">
        <v>0.62796570956682918</v>
      </c>
      <c r="N91" s="14">
        <v>2.8044959766019333</v>
      </c>
      <c r="O91" s="14">
        <v>463.27469037487333</v>
      </c>
      <c r="P91" s="8">
        <v>2.8044959766019333</v>
      </c>
      <c r="Q91" s="54">
        <v>0.15246652950909056</v>
      </c>
    </row>
    <row r="92" spans="1:17">
      <c r="A92" s="2" t="s">
        <v>429</v>
      </c>
      <c r="B92" s="16" t="s">
        <v>430</v>
      </c>
      <c r="D92" s="14">
        <v>1</v>
      </c>
      <c r="E92" s="14">
        <v>0.38629907490132875</v>
      </c>
      <c r="F92" s="14">
        <v>0.26505171219417578</v>
      </c>
      <c r="G92" s="14">
        <v>1.1683665149789368E-5</v>
      </c>
      <c r="H92" s="14">
        <v>284.806970385775</v>
      </c>
      <c r="I92" s="14">
        <v>556.42647384483371</v>
      </c>
      <c r="J92" s="14">
        <v>0</v>
      </c>
      <c r="K92" s="14">
        <v>3.7728486706299944</v>
      </c>
      <c r="L92" s="14">
        <v>0.26505171219417578</v>
      </c>
      <c r="M92" s="14">
        <v>0.21747492985532121</v>
      </c>
      <c r="N92" s="14">
        <v>28.563965401122971</v>
      </c>
      <c r="O92" s="14">
        <v>5148.3691238984047</v>
      </c>
      <c r="P92" s="8">
        <v>28.563965401122971</v>
      </c>
      <c r="Q92" s="54">
        <v>0.40328102180821013</v>
      </c>
    </row>
    <row r="93" spans="1:17">
      <c r="A93" s="2" t="s">
        <v>431</v>
      </c>
      <c r="B93" s="16" t="s">
        <v>432</v>
      </c>
      <c r="D93" s="14">
        <v>1</v>
      </c>
      <c r="E93" s="14">
        <v>0.99938308306720602</v>
      </c>
      <c r="F93" s="14">
        <v>0.99933615385494301</v>
      </c>
      <c r="G93" s="14">
        <v>1.3392585237966858E-19</v>
      </c>
      <c r="H93" s="14">
        <v>1.2396571782819337</v>
      </c>
      <c r="I93" s="14">
        <v>9.1957072403517671E-3</v>
      </c>
      <c r="J93" s="14">
        <v>0</v>
      </c>
      <c r="K93" s="14">
        <v>1.0006642871295071</v>
      </c>
      <c r="L93" s="14">
        <v>0.99933615385494312</v>
      </c>
      <c r="M93" s="14">
        <v>0.81995531423798085</v>
      </c>
      <c r="N93" s="14">
        <v>0.87203097633010074</v>
      </c>
      <c r="O93" s="14">
        <v>339.12412638501286</v>
      </c>
      <c r="P93" s="8">
        <v>0.87203097633010074</v>
      </c>
      <c r="Q93" s="54">
        <v>1.0327260603577595E-4</v>
      </c>
    </row>
    <row r="94" spans="1:17">
      <c r="A94" s="2" t="s">
        <v>433</v>
      </c>
      <c r="B94" s="16" t="s">
        <v>434</v>
      </c>
      <c r="D94" s="14">
        <v>1</v>
      </c>
      <c r="E94" s="14">
        <v>0.99953442176981933</v>
      </c>
      <c r="F94" s="14">
        <v>0.99992253837647715</v>
      </c>
      <c r="G94" s="14">
        <v>2.8195827518062467E-20</v>
      </c>
      <c r="H94" s="14">
        <v>4.805696698980377E-3</v>
      </c>
      <c r="I94" s="14">
        <v>6.2088849850233378E-5</v>
      </c>
      <c r="J94" s="14">
        <v>0</v>
      </c>
      <c r="K94" s="14">
        <v>1.0000774676242907</v>
      </c>
      <c r="L94" s="14">
        <v>0.99992253837647715</v>
      </c>
      <c r="M94" s="14">
        <v>0.82043644273789951</v>
      </c>
      <c r="N94" s="14">
        <v>0.8678993825670529</v>
      </c>
      <c r="O94" s="14">
        <v>155.56228533131858</v>
      </c>
      <c r="P94" s="8">
        <v>0.86789938256705301</v>
      </c>
      <c r="Q94" s="54">
        <v>2.6026370920588016E-6</v>
      </c>
    </row>
    <row r="95" spans="1:17">
      <c r="A95" s="2" t="s">
        <v>435</v>
      </c>
      <c r="B95" s="16" t="s">
        <v>436</v>
      </c>
      <c r="D95" s="14">
        <v>1</v>
      </c>
      <c r="E95" s="14">
        <v>0.94151094386830969</v>
      </c>
      <c r="F95" s="14">
        <v>0.94137416553488673</v>
      </c>
      <c r="G95" s="14">
        <v>1.515033937685407E-10</v>
      </c>
      <c r="H95" s="14">
        <v>1.0630778413915349</v>
      </c>
      <c r="I95" s="14">
        <v>3.4139560631554531</v>
      </c>
      <c r="J95" s="14">
        <v>0</v>
      </c>
      <c r="K95" s="14">
        <v>1.0622768678082453</v>
      </c>
      <c r="L95" s="14">
        <v>0.94137416553488673</v>
      </c>
      <c r="M95" s="14">
        <v>0.77239750282137454</v>
      </c>
      <c r="N95" s="14">
        <v>0.9879739285132797</v>
      </c>
      <c r="O95" s="14">
        <v>257.95011299553215</v>
      </c>
      <c r="P95" s="8">
        <v>0.98797392851327981</v>
      </c>
      <c r="Q95" s="54">
        <v>3.9125322247330611E-2</v>
      </c>
    </row>
    <row r="96" spans="1:17">
      <c r="A96" s="2" t="s">
        <v>437</v>
      </c>
      <c r="B96" s="164" t="s">
        <v>438</v>
      </c>
      <c r="D96" s="14">
        <v>1</v>
      </c>
      <c r="E96" s="14">
        <v>0.41481543285818057</v>
      </c>
      <c r="F96" s="14">
        <v>2.3822576029551884E-3</v>
      </c>
      <c r="G96" s="14">
        <v>2.4571813442849575E-9</v>
      </c>
      <c r="H96" s="14">
        <v>277.46532809790665</v>
      </c>
      <c r="I96" s="14">
        <v>8284.4921820147865</v>
      </c>
      <c r="J96" s="14">
        <v>0</v>
      </c>
      <c r="K96" s="14">
        <v>419.7698849862</v>
      </c>
      <c r="L96" s="14">
        <v>2.3822576029551884E-3</v>
      </c>
      <c r="M96" s="14">
        <v>1.9546423632247323E-3</v>
      </c>
      <c r="N96" s="14">
        <v>446.46320884004444</v>
      </c>
      <c r="O96" s="14">
        <v>185862.6338401105</v>
      </c>
      <c r="P96" s="8">
        <v>446.4632088400445</v>
      </c>
      <c r="Q96" s="54">
        <v>0.23467449525250153</v>
      </c>
    </row>
    <row r="97" spans="1:17">
      <c r="A97" s="2" t="s">
        <v>439</v>
      </c>
      <c r="B97" s="16" t="s">
        <v>440</v>
      </c>
      <c r="D97" s="14">
        <v>1</v>
      </c>
      <c r="E97" s="14">
        <v>0.69339726542033508</v>
      </c>
      <c r="F97" s="14">
        <v>0.67904141255080064</v>
      </c>
      <c r="G97" s="14">
        <v>4.99694706748056E-7</v>
      </c>
      <c r="H97" s="14">
        <v>32.845529033095261</v>
      </c>
      <c r="I97" s="14">
        <v>80.636827336817646</v>
      </c>
      <c r="J97" s="14">
        <v>0</v>
      </c>
      <c r="K97" s="14">
        <v>1.472664231543003</v>
      </c>
      <c r="L97" s="14">
        <v>0.67904141255080064</v>
      </c>
      <c r="M97" s="14">
        <v>0.55715347899793188</v>
      </c>
      <c r="N97" s="14">
        <v>4.6024279668907804</v>
      </c>
      <c r="O97" s="14">
        <v>880.30639722719968</v>
      </c>
      <c r="P97" s="8">
        <v>4.6024279668907813</v>
      </c>
      <c r="Q97" s="54">
        <v>0.20527375750492832</v>
      </c>
    </row>
    <row r="98" spans="1:17">
      <c r="A98" s="2" t="s">
        <v>441</v>
      </c>
      <c r="B98" s="16" t="s">
        <v>442</v>
      </c>
      <c r="D98" s="14">
        <v>1</v>
      </c>
      <c r="E98" s="14">
        <v>0.75882711606415454</v>
      </c>
      <c r="F98" s="14">
        <v>0.75059741189181384</v>
      </c>
      <c r="G98" s="14">
        <v>3.240824775518263E-19</v>
      </c>
      <c r="H98" s="14">
        <v>18.95077880851262</v>
      </c>
      <c r="I98" s="14">
        <v>48.807238194881876</v>
      </c>
      <c r="J98" s="14">
        <v>0</v>
      </c>
      <c r="K98" s="14">
        <v>1.332272113062033</v>
      </c>
      <c r="L98" s="14">
        <v>0.75059741189181395</v>
      </c>
      <c r="M98" s="14">
        <v>0.61586517645723327</v>
      </c>
      <c r="N98" s="14">
        <v>3.0668265647438928</v>
      </c>
      <c r="O98" s="14">
        <v>1203.6067535993882</v>
      </c>
      <c r="P98" s="8">
        <v>3.0668265647438933</v>
      </c>
      <c r="Q98" s="54">
        <v>0.16169039923729608</v>
      </c>
    </row>
    <row r="99" spans="1:17">
      <c r="A99" s="2" t="s">
        <v>443</v>
      </c>
      <c r="B99" s="16" t="s">
        <v>444</v>
      </c>
      <c r="D99" s="14">
        <v>1</v>
      </c>
      <c r="E99" s="14">
        <v>0.8805924454076367</v>
      </c>
      <c r="F99" s="14">
        <v>0.87896534729689402</v>
      </c>
      <c r="G99" s="14">
        <v>4.7343486927182572E-31</v>
      </c>
      <c r="H99" s="14">
        <v>4.2602173192953483</v>
      </c>
      <c r="I99" s="14">
        <v>12.390502634527348</v>
      </c>
      <c r="J99" s="14">
        <v>0</v>
      </c>
      <c r="K99" s="14">
        <v>1.1377012792089325</v>
      </c>
      <c r="L99" s="14">
        <v>0.87896534729689402</v>
      </c>
      <c r="M99" s="14">
        <v>0.7211910674571016</v>
      </c>
      <c r="N99" s="14">
        <v>1.3636727792113992</v>
      </c>
      <c r="O99" s="14">
        <v>1064.9466201973501</v>
      </c>
      <c r="P99" s="8">
        <v>1.3636727792113992</v>
      </c>
      <c r="Q99" s="54">
        <v>8.0110404454830392E-2</v>
      </c>
    </row>
    <row r="100" spans="1:17">
      <c r="A100" s="2" t="s">
        <v>445</v>
      </c>
      <c r="B100" s="16" t="s">
        <v>446</v>
      </c>
      <c r="D100" s="14">
        <v>1</v>
      </c>
      <c r="E100" s="14">
        <v>0.39033541464798749</v>
      </c>
      <c r="F100" s="14">
        <v>1.4577606315316275E-2</v>
      </c>
      <c r="G100" s="14">
        <v>2.4014563943452769E-9</v>
      </c>
      <c r="H100" s="14">
        <v>649.45074217812146</v>
      </c>
      <c r="I100" s="14">
        <v>3875.2826878622864</v>
      </c>
      <c r="J100" s="14">
        <v>0</v>
      </c>
      <c r="K100" s="14">
        <v>68.598367823208989</v>
      </c>
      <c r="L100" s="14">
        <v>1.4577606315316275E-2</v>
      </c>
      <c r="M100" s="14">
        <v>1.1960925981717004E-2</v>
      </c>
      <c r="N100" s="14">
        <v>204.77251322223185</v>
      </c>
      <c r="O100" s="14">
        <v>62742.298051291829</v>
      </c>
      <c r="P100" s="8">
        <v>204.77251322223185</v>
      </c>
      <c r="Q100" s="54">
        <v>0.33798963972602913</v>
      </c>
    </row>
    <row r="101" spans="1:17">
      <c r="A101" s="2" t="s">
        <v>447</v>
      </c>
      <c r="B101" s="16" t="s">
        <v>448</v>
      </c>
      <c r="D101" s="14">
        <v>1</v>
      </c>
      <c r="E101" s="14">
        <v>0.41718752268152937</v>
      </c>
      <c r="F101" s="14">
        <v>0.32439028317502544</v>
      </c>
      <c r="G101" s="14">
        <v>8.9986285366648774E-11</v>
      </c>
      <c r="H101" s="14">
        <v>216.74437571947666</v>
      </c>
      <c r="I101" s="14">
        <v>438.53575424621562</v>
      </c>
      <c r="J101" s="14">
        <v>0</v>
      </c>
      <c r="K101" s="14">
        <v>3.0827063937067676</v>
      </c>
      <c r="L101" s="14">
        <v>0.3243902831750255</v>
      </c>
      <c r="M101" s="14">
        <v>0.26616222734510842</v>
      </c>
      <c r="N101" s="14">
        <v>22.537161868046557</v>
      </c>
      <c r="O101" s="14">
        <v>7590.9668603954406</v>
      </c>
      <c r="P101" s="8">
        <v>22.537161868046557</v>
      </c>
      <c r="Q101" s="54">
        <v>0.38530532189648536</v>
      </c>
    </row>
    <row r="102" spans="1:17">
      <c r="A102" s="2" t="s">
        <v>449</v>
      </c>
      <c r="B102" s="16" t="s">
        <v>450</v>
      </c>
      <c r="D102" s="14">
        <v>1</v>
      </c>
      <c r="E102" s="14">
        <v>0.36796110301924295</v>
      </c>
      <c r="F102" s="14">
        <v>0.12407519447766141</v>
      </c>
      <c r="G102" s="14">
        <v>6.9418216617857474E-6</v>
      </c>
      <c r="H102" s="14">
        <v>582.96833325049477</v>
      </c>
      <c r="I102" s="14">
        <v>1021.6499906458582</v>
      </c>
      <c r="J102" s="14">
        <v>0</v>
      </c>
      <c r="K102" s="14">
        <v>8.0596287131352486</v>
      </c>
      <c r="L102" s="14">
        <v>0.12407519447766141</v>
      </c>
      <c r="M102" s="14">
        <v>0.10180369706892119</v>
      </c>
      <c r="N102" s="14">
        <v>52.676277906710133</v>
      </c>
      <c r="O102" s="14">
        <v>24499.210091631812</v>
      </c>
      <c r="P102" s="8">
        <v>52.676277906710133</v>
      </c>
      <c r="Q102" s="54">
        <v>0.40728848839975801</v>
      </c>
    </row>
    <row r="103" spans="1:17">
      <c r="A103" s="2" t="s">
        <v>451</v>
      </c>
      <c r="B103" s="16" t="s">
        <v>452</v>
      </c>
      <c r="D103" s="14">
        <v>1</v>
      </c>
      <c r="E103" s="14">
        <v>0.99927989414826435</v>
      </c>
      <c r="F103" s="14">
        <v>0.98810739557525096</v>
      </c>
      <c r="G103" s="14">
        <v>5.3789232592814378E-21</v>
      </c>
      <c r="H103" s="14">
        <v>32.846125643583186</v>
      </c>
      <c r="I103" s="14">
        <v>2.9513517528805561E-2</v>
      </c>
      <c r="J103" s="14">
        <v>0</v>
      </c>
      <c r="K103" s="14">
        <v>1.0120357407281881</v>
      </c>
      <c r="L103" s="14">
        <v>0.98810739557525096</v>
      </c>
      <c r="M103" s="14">
        <v>0.81074211806949348</v>
      </c>
      <c r="N103" s="14">
        <v>1.1100226507874544</v>
      </c>
      <c r="O103" s="14">
        <v>367.12889152144271</v>
      </c>
      <c r="P103" s="8">
        <v>1.1100226507874547</v>
      </c>
      <c r="Q103" s="54">
        <v>8.746231602391496E-5</v>
      </c>
    </row>
    <row r="104" spans="1:17">
      <c r="A104" s="2" t="s">
        <v>453</v>
      </c>
      <c r="B104" s="16" t="s">
        <v>454</v>
      </c>
      <c r="D104" s="14">
        <v>1</v>
      </c>
      <c r="E104" s="14">
        <v>0.98293465702355209</v>
      </c>
      <c r="F104" s="14">
        <v>9.9678382723054834E-2</v>
      </c>
      <c r="G104" s="14">
        <v>1.1212538457412199E-21</v>
      </c>
      <c r="H104" s="14">
        <v>2507.8466861895417</v>
      </c>
      <c r="I104" s="14">
        <v>24.58828558656959</v>
      </c>
      <c r="J104" s="14">
        <v>0</v>
      </c>
      <c r="K104" s="14">
        <v>10.03226549911416</v>
      </c>
      <c r="L104" s="14">
        <v>9.9678382723054834E-2</v>
      </c>
      <c r="M104" s="14">
        <v>8.1786113024266499E-2</v>
      </c>
      <c r="N104" s="14">
        <v>20.422697179893952</v>
      </c>
      <c r="O104" s="14">
        <v>10088.812406867612</v>
      </c>
      <c r="P104" s="8">
        <v>20.422697179893952</v>
      </c>
      <c r="Q104" s="54">
        <v>4.1853159518024426E-3</v>
      </c>
    </row>
    <row r="105" spans="1:17">
      <c r="A105" s="2" t="s">
        <v>455</v>
      </c>
      <c r="B105" s="164">
        <v>354656</v>
      </c>
      <c r="D105" s="14">
        <v>1</v>
      </c>
      <c r="E105" s="14">
        <v>0.96950511851363663</v>
      </c>
      <c r="F105" s="14">
        <v>0.96974723953002429</v>
      </c>
      <c r="G105" s="14">
        <v>4.0847646561966001E-12</v>
      </c>
      <c r="H105" s="14">
        <v>0.27857269904329018</v>
      </c>
      <c r="I105" s="14">
        <v>0.99769023787746836</v>
      </c>
      <c r="J105" s="14">
        <v>0</v>
      </c>
      <c r="K105" s="14">
        <v>1.0311965419820501</v>
      </c>
      <c r="L105" s="14">
        <v>0.96974723953002429</v>
      </c>
      <c r="M105" s="14">
        <v>0.79567761003438497</v>
      </c>
      <c r="N105" s="14">
        <v>0.88207418684646111</v>
      </c>
      <c r="O105" s="14">
        <v>173.93620890425368</v>
      </c>
      <c r="P105" s="8">
        <v>0.88207418684646122</v>
      </c>
      <c r="Q105" s="54">
        <v>2.026729191464911E-2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0.93877718184824921</v>
      </c>
      <c r="F106" s="14">
        <v>0.93859750327631475</v>
      </c>
      <c r="G106" s="14">
        <v>6.0758017276123048E-12</v>
      </c>
      <c r="H106" s="14">
        <v>1.1526584287552677</v>
      </c>
      <c r="I106" s="14">
        <v>3.685002132587055</v>
      </c>
      <c r="J106" s="14">
        <v>0</v>
      </c>
      <c r="K106" s="14">
        <v>1.0654194119517157</v>
      </c>
      <c r="L106" s="14">
        <v>0.93859750327631486</v>
      </c>
      <c r="M106" s="14">
        <v>0.77011925143821636</v>
      </c>
      <c r="N106" s="14">
        <v>0.99711507756438389</v>
      </c>
      <c r="O106" s="14">
        <v>159.71789312426301</v>
      </c>
      <c r="P106" s="8">
        <v>0.99711507756438389</v>
      </c>
      <c r="Q106" s="54">
        <v>4.0967337858973503E-2</v>
      </c>
    </row>
    <row r="107" spans="1:17">
      <c r="A107" s="2" t="s">
        <v>459</v>
      </c>
      <c r="B107" s="16" t="s">
        <v>460</v>
      </c>
      <c r="D107" s="14">
        <v>1</v>
      </c>
      <c r="E107" s="14">
        <v>0.41356037927030392</v>
      </c>
      <c r="F107" s="14">
        <v>8.2952279685840513E-2</v>
      </c>
      <c r="G107" s="14">
        <v>2.0172734808176874E-21</v>
      </c>
      <c r="H107" s="14">
        <v>799.77057189445429</v>
      </c>
      <c r="I107" s="14">
        <v>1296.030518048193</v>
      </c>
      <c r="J107" s="14">
        <v>0</v>
      </c>
      <c r="K107" s="14">
        <v>12.055123786678694</v>
      </c>
      <c r="L107" s="14">
        <v>8.2952279685840527E-2</v>
      </c>
      <c r="M107" s="14">
        <v>6.8062345482232153E-2</v>
      </c>
      <c r="N107" s="14">
        <v>82.800552105672566</v>
      </c>
      <c r="O107" s="14">
        <v>44002.697405517567</v>
      </c>
      <c r="P107" s="8">
        <v>82.800552105672566</v>
      </c>
      <c r="Q107" s="54">
        <v>0.36611306573139785</v>
      </c>
    </row>
    <row r="108" spans="1:17">
      <c r="A108" s="2" t="s">
        <v>461</v>
      </c>
      <c r="B108" s="16" t="s">
        <v>462</v>
      </c>
      <c r="D108" s="14">
        <v>1</v>
      </c>
      <c r="E108" s="14">
        <v>0.99948494751681871</v>
      </c>
      <c r="F108" s="14">
        <v>0.99987383713614675</v>
      </c>
      <c r="G108" s="14">
        <v>1.2182097976389641E-11</v>
      </c>
      <c r="H108" s="14">
        <v>2.4892354424658463E-3</v>
      </c>
      <c r="I108" s="14">
        <v>6.6801955077451926E-4</v>
      </c>
      <c r="J108" s="14">
        <v>0</v>
      </c>
      <c r="K108" s="14">
        <v>1.0001261787829296</v>
      </c>
      <c r="L108" s="14">
        <v>0.99987383713614686</v>
      </c>
      <c r="M108" s="14">
        <v>0.82039648337020854</v>
      </c>
      <c r="N108" s="14">
        <v>0.86406015048474827</v>
      </c>
      <c r="O108" s="14">
        <v>111.60200903661008</v>
      </c>
      <c r="P108" s="8">
        <v>0.86406015048474827</v>
      </c>
      <c r="Q108" s="54">
        <v>3.7375686045982603E-5</v>
      </c>
    </row>
    <row r="109" spans="1:17">
      <c r="A109" s="2" t="s">
        <v>463</v>
      </c>
      <c r="B109" s="16" t="s">
        <v>464</v>
      </c>
      <c r="D109" s="14">
        <v>1</v>
      </c>
      <c r="E109" s="14">
        <v>0.9730278360039355</v>
      </c>
      <c r="F109" s="14">
        <v>0.96706849662904315</v>
      </c>
      <c r="G109" s="14">
        <v>3.2668673318905465E-14</v>
      </c>
      <c r="H109" s="14">
        <v>17.156385812103657</v>
      </c>
      <c r="I109" s="14">
        <v>7.8957519338846591</v>
      </c>
      <c r="J109" s="14">
        <v>0</v>
      </c>
      <c r="K109" s="14">
        <v>1.0340529171260853</v>
      </c>
      <c r="L109" s="14">
        <v>0.96706849662904326</v>
      </c>
      <c r="M109" s="14">
        <v>0.79347970148412994</v>
      </c>
      <c r="N109" s="14">
        <v>14.858723757403956</v>
      </c>
      <c r="O109" s="14">
        <v>4454.6453824697064</v>
      </c>
      <c r="P109" s="8">
        <v>14.858723757403958</v>
      </c>
      <c r="Q109" s="54">
        <v>1.2870442994075297E-2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0.99330853464402169</v>
      </c>
      <c r="F110" s="14">
        <v>0.99366921985457091</v>
      </c>
      <c r="G110" s="14">
        <v>2.3133877622999935E-13</v>
      </c>
      <c r="H110" s="14">
        <v>6.3668092301384635E-2</v>
      </c>
      <c r="I110" s="14">
        <v>0.11278464535859185</v>
      </c>
      <c r="J110" s="14">
        <v>0</v>
      </c>
      <c r="K110" s="14">
        <v>1.0063711142691485</v>
      </c>
      <c r="L110" s="14">
        <v>0.99366921985457091</v>
      </c>
      <c r="M110" s="14">
        <v>0.81530559489067544</v>
      </c>
      <c r="N110" s="14">
        <v>0.86045285570795482</v>
      </c>
      <c r="O110" s="14">
        <v>204.92545211540653</v>
      </c>
      <c r="P110" s="8">
        <v>0.86045285570795482</v>
      </c>
      <c r="Q110" s="54">
        <v>4.2077504807466878E-3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0.99953682288278611</v>
      </c>
      <c r="F111" s="14">
        <v>0.99992504075040545</v>
      </c>
      <c r="G111" s="14">
        <v>4.1112087744791217E-32</v>
      </c>
      <c r="H111" s="14">
        <v>4.5236338415637865E-3</v>
      </c>
      <c r="I111" s="14">
        <v>3.4603578106721254E-5</v>
      </c>
      <c r="J111" s="14">
        <v>0</v>
      </c>
      <c r="K111" s="14">
        <v>1.0000749648689047</v>
      </c>
      <c r="L111" s="14">
        <v>0.99992504075040556</v>
      </c>
      <c r="M111" s="14">
        <v>0.82043849593570772</v>
      </c>
      <c r="N111" s="14">
        <v>0.86011150196881681</v>
      </c>
      <c r="O111" s="14">
        <v>396.02113885150237</v>
      </c>
      <c r="P111" s="8">
        <v>0.86011150196881692</v>
      </c>
      <c r="Q111" s="54">
        <v>3.778513762401265E-6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0.99146905484915326</v>
      </c>
      <c r="F112" s="14">
        <v>0.99184438087430049</v>
      </c>
      <c r="G112" s="14">
        <v>2.5989745390036794E-15</v>
      </c>
      <c r="H112" s="14">
        <v>2.1957027067067893E-2</v>
      </c>
      <c r="I112" s="14">
        <v>9.4979681305192548E-2</v>
      </c>
      <c r="J112" s="14">
        <v>0</v>
      </c>
      <c r="K112" s="14">
        <v>1.008222680173386</v>
      </c>
      <c r="L112" s="14">
        <v>0.99184438087430049</v>
      </c>
      <c r="M112" s="14">
        <v>0.81380831450736357</v>
      </c>
      <c r="N112" s="14">
        <v>0.85758482007675818</v>
      </c>
      <c r="O112" s="14">
        <v>176.01928432075462</v>
      </c>
      <c r="P112" s="8">
        <v>0.85758482007675818</v>
      </c>
      <c r="Q112" s="54">
        <v>5.4504292677740379E-3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0.95409035000086306</v>
      </c>
      <c r="F113" s="14">
        <v>0.95416210016097502</v>
      </c>
      <c r="G113" s="14">
        <v>3.2070863240201727E-11</v>
      </c>
      <c r="H113" s="14">
        <v>0.62557900092783181</v>
      </c>
      <c r="I113" s="14">
        <v>2.1083336139048163</v>
      </c>
      <c r="J113" s="14">
        <v>0</v>
      </c>
      <c r="K113" s="14">
        <v>1.0480399502676658</v>
      </c>
      <c r="L113" s="14">
        <v>0.95416210016097514</v>
      </c>
      <c r="M113" s="14">
        <v>0.78289000318208013</v>
      </c>
      <c r="N113" s="14">
        <v>0.9226637311577941</v>
      </c>
      <c r="O113" s="14">
        <v>139.46984960181214</v>
      </c>
      <c r="P113" s="8">
        <v>0.9226637311577941</v>
      </c>
      <c r="Q113" s="54">
        <v>3.0657683255253688E-2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0.99535729644434867</v>
      </c>
      <c r="F114" s="14">
        <v>0.99574209398111124</v>
      </c>
      <c r="G114" s="14">
        <v>2.5509751396656897E-18</v>
      </c>
      <c r="H114" s="14">
        <v>6.3930318320977973E-3</v>
      </c>
      <c r="I114" s="14">
        <v>2.9822021979309488E-2</v>
      </c>
      <c r="J114" s="14">
        <v>0</v>
      </c>
      <c r="K114" s="14">
        <v>1.004276113307478</v>
      </c>
      <c r="L114" s="14">
        <v>0.99574209398111124</v>
      </c>
      <c r="M114" s="14">
        <v>0.81700638811150184</v>
      </c>
      <c r="N114" s="14">
        <v>0.85784768916474341</v>
      </c>
      <c r="O114" s="14">
        <v>291.11919179494731</v>
      </c>
      <c r="P114" s="8">
        <v>0.85784768916474341</v>
      </c>
      <c r="Q114" s="54">
        <v>2.8257717948853961E-3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0.99943783592552038</v>
      </c>
      <c r="F115" s="14">
        <v>0.9970226170417491</v>
      </c>
      <c r="G115" s="14">
        <v>1.3525676688264221E-14</v>
      </c>
      <c r="H115" s="14">
        <v>7.9682877741311771</v>
      </c>
      <c r="I115" s="14">
        <v>8.8371144341594932E-3</v>
      </c>
      <c r="J115" s="14">
        <v>0</v>
      </c>
      <c r="K115" s="14">
        <v>1.0029862742402824</v>
      </c>
      <c r="L115" s="14">
        <v>0.99702261704174922</v>
      </c>
      <c r="M115" s="14">
        <v>0.81805705728275524</v>
      </c>
      <c r="N115" s="14">
        <v>0.9267736833326895</v>
      </c>
      <c r="O115" s="14">
        <v>178.06102777870964</v>
      </c>
      <c r="P115" s="8">
        <v>0.92677368333268961</v>
      </c>
      <c r="Q115" s="54">
        <v>4.6656319767257725E-5</v>
      </c>
    </row>
    <row r="116" spans="1:17">
      <c r="A116" s="2" t="s">
        <v>477</v>
      </c>
      <c r="B116" s="16" t="s">
        <v>478</v>
      </c>
      <c r="D116" s="14">
        <v>1</v>
      </c>
      <c r="E116" s="14">
        <v>0.68801845470355261</v>
      </c>
      <c r="F116" s="14">
        <v>0.4233844270933928</v>
      </c>
      <c r="G116" s="14">
        <v>1.1762895508909593E-18</v>
      </c>
      <c r="H116" s="14">
        <v>734.81461507596384</v>
      </c>
      <c r="I116" s="14">
        <v>164.78699018133753</v>
      </c>
      <c r="J116" s="14">
        <v>0</v>
      </c>
      <c r="K116" s="14">
        <v>2.3619196550642467</v>
      </c>
      <c r="L116" s="14">
        <v>0.4233844270933928</v>
      </c>
      <c r="M116" s="14">
        <v>0.34738692243012881</v>
      </c>
      <c r="N116" s="14">
        <v>472.79767970987757</v>
      </c>
      <c r="O116" s="14">
        <v>214933.82519611035</v>
      </c>
      <c r="P116" s="8">
        <v>472.79767970987763</v>
      </c>
      <c r="Q116" s="54">
        <v>4.0805896291284879E-2</v>
      </c>
    </row>
    <row r="117" spans="1:17">
      <c r="A117" s="2" t="s">
        <v>291</v>
      </c>
      <c r="B117" s="16" t="s">
        <v>479</v>
      </c>
      <c r="D117" s="14">
        <v>1</v>
      </c>
      <c r="E117" s="14">
        <v>0.60964436429166957</v>
      </c>
      <c r="F117" s="14">
        <v>0.5835669143708283</v>
      </c>
      <c r="G117" s="14">
        <v>4.0243815478624881E-12</v>
      </c>
      <c r="H117" s="14">
        <v>59.768266705393835</v>
      </c>
      <c r="I117" s="14">
        <v>138.84422866088966</v>
      </c>
      <c r="J117" s="14">
        <v>0</v>
      </c>
      <c r="K117" s="14">
        <v>1.7135995468114369</v>
      </c>
      <c r="L117" s="14">
        <v>0.5835669143708283</v>
      </c>
      <c r="M117" s="14">
        <v>0.47881665324126466</v>
      </c>
      <c r="N117" s="14">
        <v>7.4572434354940542</v>
      </c>
      <c r="O117" s="14">
        <v>2299.2918684658816</v>
      </c>
      <c r="P117" s="8">
        <v>7.4572434354940551</v>
      </c>
      <c r="Q117" s="54">
        <v>0.26081215774095584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2.6135999286100201E-8</v>
      </c>
      <c r="E2" s="20">
        <v>0.97623885846522473</v>
      </c>
      <c r="F2" s="20">
        <v>5.9856776453404052E-5</v>
      </c>
      <c r="G2" s="20">
        <v>2.4021984359382619E-5</v>
      </c>
      <c r="H2" s="20">
        <v>0</v>
      </c>
      <c r="I2" s="20">
        <v>0.9761549797044119</v>
      </c>
      <c r="J2" s="20">
        <v>4.6296146271395826E-4</v>
      </c>
      <c r="K2" s="20">
        <v>2.3298153936061973E-2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2.5060161391705995E-8</v>
      </c>
      <c r="E3" s="20">
        <v>0.61684550471010691</v>
      </c>
      <c r="F3" s="20">
        <v>2.3274866937688852E-2</v>
      </c>
      <c r="G3" s="20">
        <v>5.6542551152597865E-3</v>
      </c>
      <c r="H3" s="20">
        <v>0</v>
      </c>
      <c r="I3" s="20">
        <v>0.58791638265715829</v>
      </c>
      <c r="J3" s="20">
        <v>5.1577512639748085E-3</v>
      </c>
      <c r="K3" s="20">
        <v>0.37799671896575682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1.3554318727182674E-17</v>
      </c>
      <c r="E4" s="20">
        <v>0.99943750353960026</v>
      </c>
      <c r="F4" s="20">
        <v>4.2029276006261398E-5</v>
      </c>
      <c r="G4" s="20">
        <v>4.6285776153339E-8</v>
      </c>
      <c r="H4" s="20">
        <v>0</v>
      </c>
      <c r="I4" s="20">
        <v>0.99939542797781789</v>
      </c>
      <c r="J4" s="20">
        <v>5.4192049688070009E-4</v>
      </c>
      <c r="K4" s="20">
        <v>2.0575963518888344E-5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3.8017348304057126E-10</v>
      </c>
      <c r="E5" s="20">
        <v>0.99846053742449925</v>
      </c>
      <c r="F5" s="20">
        <v>7.590400678359091E-2</v>
      </c>
      <c r="G5" s="20">
        <v>6.0245410450745984E-6</v>
      </c>
      <c r="H5" s="20">
        <v>0</v>
      </c>
      <c r="I5" s="20">
        <v>0.92255050609986322</v>
      </c>
      <c r="J5" s="20">
        <v>1.2236443995317413E-3</v>
      </c>
      <c r="K5" s="20">
        <v>3.1581779579562604E-4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4.7116174285410266E-11</v>
      </c>
      <c r="E6" s="20">
        <v>0.99610629424662123</v>
      </c>
      <c r="F6" s="20">
        <v>0.17118996847812376</v>
      </c>
      <c r="G6" s="20">
        <v>4.9644465353832252E-5</v>
      </c>
      <c r="H6" s="20">
        <v>0</v>
      </c>
      <c r="I6" s="20">
        <v>0.82486668130314367</v>
      </c>
      <c r="J6" s="20">
        <v>2.104816397717796E-3</v>
      </c>
      <c r="K6" s="20">
        <v>1.7888893085447389E-3</v>
      </c>
      <c r="L6" s="20">
        <v>0</v>
      </c>
    </row>
    <row r="7" spans="1:14">
      <c r="A7" s="2" t="s">
        <v>366</v>
      </c>
      <c r="B7" s="3" t="s">
        <v>305</v>
      </c>
      <c r="D7" s="20">
        <v>8.0393491043417093E-7</v>
      </c>
      <c r="E7" s="20">
        <v>0.97668263017791668</v>
      </c>
      <c r="F7" s="20">
        <v>0.43996332621617079</v>
      </c>
      <c r="G7" s="20">
        <v>8.9559483532020763E-4</v>
      </c>
      <c r="H7" s="20">
        <v>0</v>
      </c>
      <c r="I7" s="20">
        <v>0.53582370912642563</v>
      </c>
      <c r="J7" s="20">
        <v>4.8313634514382297E-3</v>
      </c>
      <c r="K7" s="20">
        <v>1.8485202435734767E-2</v>
      </c>
      <c r="L7" s="20">
        <v>0</v>
      </c>
    </row>
    <row r="8" spans="1:14">
      <c r="A8" s="2" t="s">
        <v>289</v>
      </c>
      <c r="B8" s="3" t="s">
        <v>290</v>
      </c>
      <c r="D8" s="20">
        <v>3.7273668833791658E-17</v>
      </c>
      <c r="E8" s="20">
        <v>0.99611378063725597</v>
      </c>
      <c r="F8" s="20">
        <v>0.24925806458972549</v>
      </c>
      <c r="G8" s="20">
        <v>3.7903019037590229E-5</v>
      </c>
      <c r="H8" s="20">
        <v>0</v>
      </c>
      <c r="I8" s="20">
        <v>0.74681781302849293</v>
      </c>
      <c r="J8" s="20">
        <v>2.7595760736030951E-3</v>
      </c>
      <c r="K8" s="20">
        <v>1.1266432891408583E-3</v>
      </c>
      <c r="L8" s="20">
        <v>0</v>
      </c>
    </row>
    <row r="9" spans="1:14">
      <c r="A9" s="2" t="s">
        <v>291</v>
      </c>
      <c r="B9" s="3" t="s">
        <v>292</v>
      </c>
      <c r="D9" s="20">
        <v>7.3523544666717855E-13</v>
      </c>
      <c r="E9" s="20">
        <v>0.99762487923886012</v>
      </c>
      <c r="F9" s="20">
        <v>5.8674183152791146E-2</v>
      </c>
      <c r="G9" s="20">
        <v>2.2239191818860856E-5</v>
      </c>
      <c r="H9" s="20">
        <v>0</v>
      </c>
      <c r="I9" s="20">
        <v>0.93892845689425009</v>
      </c>
      <c r="J9" s="20">
        <v>1.0718590639190754E-3</v>
      </c>
      <c r="K9" s="20">
        <v>1.3032616964856014E-3</v>
      </c>
      <c r="L9" s="20">
        <v>0</v>
      </c>
    </row>
    <row r="10" spans="1:14">
      <c r="A10" s="2" t="s">
        <v>367</v>
      </c>
      <c r="B10" s="3" t="s">
        <v>368</v>
      </c>
      <c r="D10" s="20">
        <v>6.661352850560459E-5</v>
      </c>
      <c r="E10" s="20">
        <v>0.45000883028906297</v>
      </c>
      <c r="F10" s="20">
        <v>0.3425600029189293</v>
      </c>
      <c r="G10" s="20">
        <v>5.9831819359455751E-2</v>
      </c>
      <c r="H10" s="20">
        <v>0</v>
      </c>
      <c r="I10" s="20">
        <v>4.7617008010677898E-2</v>
      </c>
      <c r="J10" s="20">
        <v>4.3581522168522367E-2</v>
      </c>
      <c r="K10" s="20">
        <v>0.50634303401390912</v>
      </c>
      <c r="L10" s="20">
        <v>0</v>
      </c>
    </row>
    <row r="11" spans="1:14">
      <c r="A11" s="2" t="s">
        <v>369</v>
      </c>
      <c r="B11" s="3" t="s">
        <v>370</v>
      </c>
      <c r="D11" s="20">
        <v>3.343530678639754E-11</v>
      </c>
      <c r="E11" s="20">
        <v>0.5457656386243761</v>
      </c>
      <c r="F11" s="20">
        <v>0.31336602084562426</v>
      </c>
      <c r="G11" s="20">
        <v>0.22895296644094942</v>
      </c>
      <c r="H11" s="20">
        <v>0</v>
      </c>
      <c r="I11" s="20">
        <v>3.4466513378024737E-3</v>
      </c>
      <c r="J11" s="20">
        <v>0.35468031753769208</v>
      </c>
      <c r="K11" s="20">
        <v>9.955404380449652E-2</v>
      </c>
      <c r="L11" s="20">
        <v>0</v>
      </c>
    </row>
    <row r="12" spans="1:14">
      <c r="A12" s="2" t="s">
        <v>371</v>
      </c>
      <c r="B12" s="3" t="s">
        <v>372</v>
      </c>
      <c r="D12" s="20">
        <v>7.4687506850777893E-2</v>
      </c>
      <c r="E12" s="20">
        <v>0.92070845546631908</v>
      </c>
      <c r="F12" s="20">
        <v>2.5789537345970929E-6</v>
      </c>
      <c r="G12" s="20">
        <v>1.2782961064439369E-6</v>
      </c>
      <c r="H12" s="20">
        <v>0</v>
      </c>
      <c r="I12" s="20">
        <v>0.92070459821647799</v>
      </c>
      <c r="J12" s="20">
        <v>4.2242218515472189E-4</v>
      </c>
      <c r="K12" s="20">
        <v>4.1816154977483552E-3</v>
      </c>
      <c r="L12" s="20">
        <v>0</v>
      </c>
    </row>
    <row r="13" spans="1:14">
      <c r="A13" s="2" t="s">
        <v>293</v>
      </c>
      <c r="B13" s="3" t="s">
        <v>294</v>
      </c>
      <c r="D13" s="20">
        <v>2.0737137253290555E-8</v>
      </c>
      <c r="E13" s="20">
        <v>0.64384519278036756</v>
      </c>
      <c r="F13" s="20">
        <v>1.6635008114205554E-2</v>
      </c>
      <c r="G13" s="20">
        <v>4.2669600075485072E-3</v>
      </c>
      <c r="H13" s="20">
        <v>0</v>
      </c>
      <c r="I13" s="20">
        <v>0.62294322465861351</v>
      </c>
      <c r="J13" s="20">
        <v>3.27140778010336E-3</v>
      </c>
      <c r="K13" s="20">
        <v>0.35288337870239184</v>
      </c>
      <c r="L13" s="20">
        <v>0</v>
      </c>
    </row>
    <row r="14" spans="1:14">
      <c r="A14" s="2" t="s">
        <v>373</v>
      </c>
      <c r="B14" s="3" t="s">
        <v>374</v>
      </c>
      <c r="D14" s="20">
        <v>7.7676074820720156E-7</v>
      </c>
      <c r="E14" s="20">
        <v>0.97654569914482359</v>
      </c>
      <c r="F14" s="20">
        <v>0.89513185232473547</v>
      </c>
      <c r="G14" s="20">
        <v>1.4023378679716926E-3</v>
      </c>
      <c r="H14" s="20">
        <v>0</v>
      </c>
      <c r="I14" s="20">
        <v>8.0011508952116422E-2</v>
      </c>
      <c r="J14" s="20">
        <v>1.6374632001731677E-2</v>
      </c>
      <c r="K14" s="20">
        <v>7.078892092696458E-3</v>
      </c>
      <c r="L14" s="20">
        <v>0</v>
      </c>
    </row>
    <row r="15" spans="1:14">
      <c r="A15" s="2" t="s">
        <v>375</v>
      </c>
      <c r="B15" s="3" t="s">
        <v>376</v>
      </c>
      <c r="D15" s="20">
        <v>8.6846967852650128E-2</v>
      </c>
      <c r="E15" s="20">
        <v>0.7825903276112155</v>
      </c>
      <c r="F15" s="20">
        <v>1.9853124913336846E-3</v>
      </c>
      <c r="G15" s="20">
        <v>6.0551433690176693E-4</v>
      </c>
      <c r="H15" s="20">
        <v>0</v>
      </c>
      <c r="I15" s="20">
        <v>0.77999950078298008</v>
      </c>
      <c r="J15" s="20">
        <v>7.7395116044319014E-4</v>
      </c>
      <c r="K15" s="20">
        <v>0.12978875337569118</v>
      </c>
      <c r="L15" s="20">
        <v>0</v>
      </c>
    </row>
    <row r="16" spans="1:14">
      <c r="A16" s="2" t="s">
        <v>377</v>
      </c>
      <c r="B16" s="3" t="s">
        <v>378</v>
      </c>
      <c r="D16" s="20">
        <v>8.0946830910374752E-4</v>
      </c>
      <c r="E16" s="20">
        <v>0.62060129524966057</v>
      </c>
      <c r="F16" s="20">
        <v>1.9447960581183994E-2</v>
      </c>
      <c r="G16" s="20">
        <v>4.9155217369932407E-3</v>
      </c>
      <c r="H16" s="20">
        <v>0</v>
      </c>
      <c r="I16" s="20">
        <v>0.59623781293148337</v>
      </c>
      <c r="J16" s="20">
        <v>3.7178853283677052E-3</v>
      </c>
      <c r="K16" s="20">
        <v>0.37487135111286796</v>
      </c>
      <c r="L16" s="20">
        <v>0</v>
      </c>
    </row>
    <row r="17" spans="1:12">
      <c r="A17" s="2" t="s">
        <v>379</v>
      </c>
      <c r="B17" s="3" t="s">
        <v>380</v>
      </c>
      <c r="D17" s="20">
        <v>2.393544173418203E-3</v>
      </c>
      <c r="E17" s="20">
        <v>0.6338318095303821</v>
      </c>
      <c r="F17" s="20">
        <v>1.7608228354715351E-2</v>
      </c>
      <c r="G17" s="20">
        <v>4.4917049134101002E-3</v>
      </c>
      <c r="H17" s="20">
        <v>0</v>
      </c>
      <c r="I17" s="20">
        <v>0.61173187626225667</v>
      </c>
      <c r="J17" s="20">
        <v>3.4252094237634625E-3</v>
      </c>
      <c r="K17" s="20">
        <v>0.36034943687243626</v>
      </c>
      <c r="L17" s="20">
        <v>0</v>
      </c>
    </row>
    <row r="18" spans="1:12">
      <c r="A18" s="2" t="s">
        <v>381</v>
      </c>
      <c r="B18" s="3" t="s">
        <v>382</v>
      </c>
      <c r="D18" s="20">
        <v>1.8959847624183244E-7</v>
      </c>
      <c r="E18" s="20">
        <v>0.40811830698894136</v>
      </c>
      <c r="F18" s="20">
        <v>0.10922173160785703</v>
      </c>
      <c r="G18" s="20">
        <v>0.29594064291740008</v>
      </c>
      <c r="H18" s="20">
        <v>0</v>
      </c>
      <c r="I18" s="20">
        <v>2.9559324636842387E-3</v>
      </c>
      <c r="J18" s="20">
        <v>0.22280428103932678</v>
      </c>
      <c r="K18" s="20">
        <v>0.36907722237325569</v>
      </c>
      <c r="L18" s="20">
        <v>0</v>
      </c>
    </row>
    <row r="19" spans="1:12">
      <c r="A19" s="2" t="s">
        <v>383</v>
      </c>
      <c r="B19" s="3" t="s">
        <v>384</v>
      </c>
      <c r="D19" s="20">
        <v>1.1817704097509124E-2</v>
      </c>
      <c r="E19" s="20">
        <v>0.91074089415437287</v>
      </c>
      <c r="F19" s="20">
        <v>6.3096798861700994E-4</v>
      </c>
      <c r="G19" s="20">
        <v>2.117887474007904E-4</v>
      </c>
      <c r="H19" s="20">
        <v>0</v>
      </c>
      <c r="I19" s="20">
        <v>0.90989813741835512</v>
      </c>
      <c r="J19" s="20">
        <v>5.6102333083020482E-4</v>
      </c>
      <c r="K19" s="20">
        <v>7.6880378417287745E-2</v>
      </c>
      <c r="L19" s="20">
        <v>0</v>
      </c>
    </row>
    <row r="20" spans="1:12">
      <c r="A20" s="2" t="s">
        <v>385</v>
      </c>
      <c r="B20" s="3" t="s">
        <v>386</v>
      </c>
      <c r="D20" s="20">
        <v>2.219585385954451E-2</v>
      </c>
      <c r="E20" s="20">
        <v>0.87493138813293181</v>
      </c>
      <c r="F20" s="20">
        <v>1.13173845158638E-3</v>
      </c>
      <c r="G20" s="20">
        <v>3.6277857199826832E-4</v>
      </c>
      <c r="H20" s="20">
        <v>0</v>
      </c>
      <c r="I20" s="20">
        <v>0.8734368711093472</v>
      </c>
      <c r="J20" s="20">
        <v>6.4843160040319514E-4</v>
      </c>
      <c r="K20" s="20">
        <v>0.10222432640712054</v>
      </c>
      <c r="L20" s="20">
        <v>0</v>
      </c>
    </row>
    <row r="21" spans="1:12">
      <c r="A21" s="2" t="s">
        <v>387</v>
      </c>
      <c r="B21" s="3" t="s">
        <v>388</v>
      </c>
      <c r="D21" s="20">
        <v>7.106108679731102E-3</v>
      </c>
      <c r="E21" s="20">
        <v>0.72005304839991513</v>
      </c>
      <c r="F21" s="20">
        <v>0.3017371985351267</v>
      </c>
      <c r="G21" s="20">
        <v>1.2177216178098638E-2</v>
      </c>
      <c r="H21" s="20">
        <v>0</v>
      </c>
      <c r="I21" s="20">
        <v>0.40613863368668979</v>
      </c>
      <c r="J21" s="20">
        <v>1.1106539094977344E-2</v>
      </c>
      <c r="K21" s="20">
        <v>0.26173430382537632</v>
      </c>
      <c r="L21" s="20">
        <v>0</v>
      </c>
    </row>
    <row r="22" spans="1:12">
      <c r="A22" s="2" t="s">
        <v>295</v>
      </c>
      <c r="B22" s="3" t="s">
        <v>296</v>
      </c>
      <c r="D22" s="20">
        <v>6.5399039811241039E-2</v>
      </c>
      <c r="E22" s="20">
        <v>0.90464501980948742</v>
      </c>
      <c r="F22" s="20">
        <v>1.0107542751990053E-4</v>
      </c>
      <c r="G22" s="20">
        <v>3.8809776554899778E-5</v>
      </c>
      <c r="H22" s="20">
        <v>0</v>
      </c>
      <c r="I22" s="20">
        <v>0.9045051346054126</v>
      </c>
      <c r="J22" s="20">
        <v>4.401937989647447E-4</v>
      </c>
      <c r="K22" s="20">
        <v>2.951574658030677E-2</v>
      </c>
      <c r="L22" s="20">
        <v>0</v>
      </c>
    </row>
    <row r="23" spans="1:12">
      <c r="A23" s="2" t="s">
        <v>389</v>
      </c>
      <c r="B23" s="3" t="s">
        <v>390</v>
      </c>
      <c r="D23" s="20">
        <v>7.1492240967238427E-2</v>
      </c>
      <c r="E23" s="20">
        <v>0.7564027587497808</v>
      </c>
      <c r="F23" s="20">
        <v>3.4876518484803698E-3</v>
      </c>
      <c r="G23" s="20">
        <v>1.0177208705831184E-3</v>
      </c>
      <c r="H23" s="20">
        <v>0</v>
      </c>
      <c r="I23" s="20">
        <v>0.75189738603071732</v>
      </c>
      <c r="J23" s="20">
        <v>1.0478190153734948E-3</v>
      </c>
      <c r="K23" s="20">
        <v>0.17105718126760727</v>
      </c>
      <c r="L23" s="20">
        <v>0</v>
      </c>
    </row>
    <row r="24" spans="1:12">
      <c r="A24" s="2" t="s">
        <v>391</v>
      </c>
      <c r="B24" s="3" t="s">
        <v>392</v>
      </c>
      <c r="D24" s="20">
        <v>2.6391365229712703E-3</v>
      </c>
      <c r="E24" s="20">
        <v>0.54809515972145972</v>
      </c>
      <c r="F24" s="20">
        <v>3.1055324516354982E-2</v>
      </c>
      <c r="G24" s="20">
        <v>7.4960353715268014E-3</v>
      </c>
      <c r="H24" s="20">
        <v>0</v>
      </c>
      <c r="I24" s="20">
        <v>0.50954379983357789</v>
      </c>
      <c r="J24" s="20">
        <v>5.5096837622683002E-3</v>
      </c>
      <c r="K24" s="20">
        <v>0.44375601999330061</v>
      </c>
      <c r="L24" s="20">
        <v>0</v>
      </c>
    </row>
    <row r="25" spans="1:12">
      <c r="A25" s="2" t="s">
        <v>393</v>
      </c>
      <c r="B25" s="3" t="s">
        <v>394</v>
      </c>
      <c r="D25" s="20">
        <v>8.5747340582768773E-4</v>
      </c>
      <c r="E25" s="20">
        <v>0.39906201145171522</v>
      </c>
      <c r="F25" s="20">
        <v>0.12796608235661106</v>
      </c>
      <c r="G25" s="20">
        <v>0.26704867637175234</v>
      </c>
      <c r="H25" s="20">
        <v>0</v>
      </c>
      <c r="I25" s="20">
        <v>4.0472527233518423E-3</v>
      </c>
      <c r="J25" s="20">
        <v>0.20040912573176828</v>
      </c>
      <c r="K25" s="20">
        <v>0.3996713894106888</v>
      </c>
      <c r="L25" s="20">
        <v>0</v>
      </c>
    </row>
    <row r="26" spans="1:12">
      <c r="A26" s="2" t="s">
        <v>395</v>
      </c>
      <c r="B26" s="3" t="s">
        <v>396</v>
      </c>
      <c r="D26" s="20">
        <v>0.22697108708878674</v>
      </c>
      <c r="E26" s="20">
        <v>0.31284594511042413</v>
      </c>
      <c r="F26" s="20">
        <v>6.5379975368023716E-2</v>
      </c>
      <c r="G26" s="20">
        <v>1.4103935331478246E-2</v>
      </c>
      <c r="H26" s="20">
        <v>0</v>
      </c>
      <c r="I26" s="20">
        <v>0.23336203441092215</v>
      </c>
      <c r="J26" s="20">
        <v>1.0141079186944089E-2</v>
      </c>
      <c r="K26" s="20">
        <v>0.45004188861384509</v>
      </c>
      <c r="L26" s="20">
        <v>0</v>
      </c>
    </row>
    <row r="27" spans="1:12">
      <c r="A27" s="2" t="s">
        <v>397</v>
      </c>
      <c r="B27" s="3" t="s">
        <v>398</v>
      </c>
      <c r="D27" s="20">
        <v>0.82667077506461928</v>
      </c>
      <c r="E27" s="20">
        <v>6.3595709967672123E-2</v>
      </c>
      <c r="F27" s="20">
        <v>3.4834276868788212E-2</v>
      </c>
      <c r="G27" s="20">
        <v>6.6176280676025784E-3</v>
      </c>
      <c r="H27" s="20">
        <v>0</v>
      </c>
      <c r="I27" s="20">
        <v>2.2143805031281331E-2</v>
      </c>
      <c r="J27" s="20">
        <v>4.7756506042836945E-3</v>
      </c>
      <c r="K27" s="20">
        <v>0.10495786436342507</v>
      </c>
      <c r="L27" s="20">
        <v>0</v>
      </c>
    </row>
    <row r="28" spans="1:12">
      <c r="A28" s="2" t="s">
        <v>399</v>
      </c>
      <c r="B28" s="3" t="s">
        <v>400</v>
      </c>
      <c r="D28" s="20">
        <v>0.8730700909971113</v>
      </c>
      <c r="E28" s="20">
        <v>4.8920122150624905E-2</v>
      </c>
      <c r="F28" s="20">
        <v>1.290991329896261E-2</v>
      </c>
      <c r="G28" s="20">
        <v>2.7190605632310054E-3</v>
      </c>
      <c r="H28" s="20">
        <v>0</v>
      </c>
      <c r="I28" s="20">
        <v>3.3291148288431292E-2</v>
      </c>
      <c r="J28" s="20">
        <v>1.9541317362429984E-3</v>
      </c>
      <c r="K28" s="20">
        <v>7.6055655116020748E-2</v>
      </c>
      <c r="L28" s="20">
        <v>0</v>
      </c>
    </row>
    <row r="29" spans="1:12">
      <c r="A29" s="2" t="s">
        <v>297</v>
      </c>
      <c r="B29" s="3" t="s">
        <v>298</v>
      </c>
      <c r="D29" s="20">
        <v>0.93246950157594122</v>
      </c>
      <c r="E29" s="20">
        <v>5.955843353566425E-2</v>
      </c>
      <c r="F29" s="20">
        <v>9.8880089551534782E-5</v>
      </c>
      <c r="G29" s="20">
        <v>3.111747909360529E-5</v>
      </c>
      <c r="H29" s="20">
        <v>0</v>
      </c>
      <c r="I29" s="20">
        <v>5.9428435967019112E-2</v>
      </c>
      <c r="J29" s="20">
        <v>4.8565349446147989E-5</v>
      </c>
      <c r="K29" s="20">
        <v>7.923499538948376E-3</v>
      </c>
      <c r="L29" s="20">
        <v>0</v>
      </c>
    </row>
    <row r="30" spans="1:12">
      <c r="A30" s="2" t="s">
        <v>401</v>
      </c>
      <c r="B30" s="3" t="s">
        <v>402</v>
      </c>
      <c r="D30" s="20">
        <v>0.95349181126093585</v>
      </c>
      <c r="E30" s="20">
        <v>1.810994009224531E-2</v>
      </c>
      <c r="F30" s="20">
        <v>4.5372340487702806E-3</v>
      </c>
      <c r="G30" s="20">
        <v>9.609189053243262E-4</v>
      </c>
      <c r="H30" s="20">
        <v>0</v>
      </c>
      <c r="I30" s="20">
        <v>1.2611787138150702E-2</v>
      </c>
      <c r="J30" s="20">
        <v>6.9061935710881036E-4</v>
      </c>
      <c r="K30" s="20">
        <v>2.770762928970992E-2</v>
      </c>
      <c r="L30" s="20">
        <v>0</v>
      </c>
    </row>
    <row r="31" spans="1:12">
      <c r="A31" s="2" t="s">
        <v>299</v>
      </c>
      <c r="B31" s="3" t="s">
        <v>300</v>
      </c>
      <c r="D31" s="20">
        <v>0.99880931573899434</v>
      </c>
      <c r="E31" s="20">
        <v>5.3653810630078928E-4</v>
      </c>
      <c r="F31" s="20">
        <v>7.0885400783153785E-5</v>
      </c>
      <c r="G31" s="20">
        <v>1.5953366944878323E-5</v>
      </c>
      <c r="H31" s="20">
        <v>0</v>
      </c>
      <c r="I31" s="20">
        <v>4.496993385727572E-4</v>
      </c>
      <c r="J31" s="20">
        <v>1.1510251845078249E-5</v>
      </c>
      <c r="K31" s="20">
        <v>6.4263590285968796E-4</v>
      </c>
      <c r="L31" s="20">
        <v>0</v>
      </c>
    </row>
    <row r="32" spans="1:12">
      <c r="A32" s="2" t="s">
        <v>343</v>
      </c>
      <c r="B32" s="3" t="s">
        <v>344</v>
      </c>
      <c r="D32" s="20">
        <v>2.2629016397964536E-3</v>
      </c>
      <c r="E32" s="20">
        <v>0.66746165305671457</v>
      </c>
      <c r="F32" s="20">
        <v>1.3859255207382166E-2</v>
      </c>
      <c r="G32" s="20">
        <v>3.6143936235846497E-3</v>
      </c>
      <c r="H32" s="20">
        <v>0</v>
      </c>
      <c r="I32" s="20">
        <v>0.64998800422574776</v>
      </c>
      <c r="J32" s="20">
        <v>2.8231206242274572E-3</v>
      </c>
      <c r="K32" s="20">
        <v>0.32745232467926133</v>
      </c>
      <c r="L32" s="20">
        <v>0</v>
      </c>
    </row>
    <row r="33" spans="1:12">
      <c r="A33" s="2" t="s">
        <v>345</v>
      </c>
      <c r="B33" s="3" t="s">
        <v>346</v>
      </c>
      <c r="D33" s="20">
        <v>8.9194454573630108E-5</v>
      </c>
      <c r="E33" s="20">
        <v>0.76800709726461713</v>
      </c>
      <c r="F33" s="20">
        <v>6.1124042498620634E-3</v>
      </c>
      <c r="G33" s="20">
        <v>1.7128038259294888E-3</v>
      </c>
      <c r="H33" s="20">
        <v>0</v>
      </c>
      <c r="I33" s="20">
        <v>0.76018188918882557</v>
      </c>
      <c r="J33" s="20">
        <v>1.536714500786186E-3</v>
      </c>
      <c r="K33" s="20">
        <v>0.23036699378002312</v>
      </c>
      <c r="L33" s="20">
        <v>0</v>
      </c>
    </row>
    <row r="34" spans="1:12">
      <c r="A34" s="2" t="s">
        <v>347</v>
      </c>
      <c r="B34" s="3" t="s">
        <v>348</v>
      </c>
      <c r="D34" s="20">
        <v>1.3306423585171634E-4</v>
      </c>
      <c r="E34" s="20">
        <v>0.41526356187485713</v>
      </c>
      <c r="F34" s="20">
        <v>7.7399037348889158E-2</v>
      </c>
      <c r="G34" s="20">
        <v>1.6882280606006956E-2</v>
      </c>
      <c r="H34" s="20">
        <v>0</v>
      </c>
      <c r="I34" s="20">
        <v>0.320982243919961</v>
      </c>
      <c r="J34" s="20">
        <v>1.2145220773520921E-2</v>
      </c>
      <c r="K34" s="20">
        <v>0.5724581531157702</v>
      </c>
      <c r="L34" s="20">
        <v>0</v>
      </c>
    </row>
    <row r="35" spans="1:12">
      <c r="A35" s="2" t="s">
        <v>349</v>
      </c>
      <c r="B35" s="3" t="s">
        <v>350</v>
      </c>
      <c r="D35" s="20">
        <v>4.8942024621547404E-2</v>
      </c>
      <c r="E35" s="20">
        <v>0.3789775450540902</v>
      </c>
      <c r="F35" s="20">
        <v>0.25606849327496767</v>
      </c>
      <c r="G35" s="20">
        <v>4.6031136898688728E-2</v>
      </c>
      <c r="H35" s="20">
        <v>0</v>
      </c>
      <c r="I35" s="20">
        <v>7.6877914880433829E-2</v>
      </c>
      <c r="J35" s="20">
        <v>3.335890091829076E-2</v>
      </c>
      <c r="K35" s="20">
        <v>0.53872152940607165</v>
      </c>
      <c r="L35" s="20">
        <v>0</v>
      </c>
    </row>
    <row r="36" spans="1:12">
      <c r="A36" s="2" t="s">
        <v>351</v>
      </c>
      <c r="B36" s="3" t="s">
        <v>352</v>
      </c>
      <c r="D36" s="20">
        <v>1.561460661614068E-3</v>
      </c>
      <c r="E36" s="20">
        <v>0.39808153036358118</v>
      </c>
      <c r="F36" s="20">
        <v>0.25858615126782986</v>
      </c>
      <c r="G36" s="20">
        <v>0.11937154575929851</v>
      </c>
      <c r="H36" s="20">
        <v>0</v>
      </c>
      <c r="I36" s="20">
        <v>2.0123833336452828E-2</v>
      </c>
      <c r="J36" s="20">
        <v>8.795190361591633E-2</v>
      </c>
      <c r="K36" s="20">
        <v>0.51240510535888839</v>
      </c>
      <c r="L36" s="20">
        <v>0</v>
      </c>
    </row>
    <row r="37" spans="1:12">
      <c r="A37" s="2" t="s">
        <v>353</v>
      </c>
      <c r="B37" s="3" t="s">
        <v>354</v>
      </c>
      <c r="D37" s="20">
        <v>1.0995787129587991E-2</v>
      </c>
      <c r="E37" s="20">
        <v>0.40106294556962474</v>
      </c>
      <c r="F37" s="20">
        <v>0.11303177263171577</v>
      </c>
      <c r="G37" s="20">
        <v>0.28483679727715772</v>
      </c>
      <c r="H37" s="20">
        <v>0</v>
      </c>
      <c r="I37" s="20">
        <v>3.1943756607512534E-3</v>
      </c>
      <c r="J37" s="20">
        <v>0.21425363506833081</v>
      </c>
      <c r="K37" s="20">
        <v>0.37368763223245643</v>
      </c>
      <c r="L37" s="20">
        <v>0</v>
      </c>
    </row>
    <row r="38" spans="1:12">
      <c r="A38" s="2" t="s">
        <v>355</v>
      </c>
      <c r="B38" s="3" t="s">
        <v>356</v>
      </c>
      <c r="D38" s="20">
        <v>5.8048978827163417E-4</v>
      </c>
      <c r="E38" s="20">
        <v>0.38701220289361288</v>
      </c>
      <c r="F38" s="20">
        <v>0.203361529275393</v>
      </c>
      <c r="G38" s="20">
        <v>0.17264911419889456</v>
      </c>
      <c r="H38" s="20">
        <v>0</v>
      </c>
      <c r="I38" s="20">
        <v>1.1001559419325319E-2</v>
      </c>
      <c r="J38" s="20">
        <v>0.12814910551055642</v>
      </c>
      <c r="K38" s="20">
        <v>0.48425820180755896</v>
      </c>
      <c r="L38" s="20">
        <v>0</v>
      </c>
    </row>
    <row r="39" spans="1:12">
      <c r="A39" s="2" t="s">
        <v>357</v>
      </c>
      <c r="B39" s="3" t="s">
        <v>358</v>
      </c>
      <c r="D39" s="20">
        <v>0.10783315157606822</v>
      </c>
      <c r="E39" s="20">
        <v>0.35125408646025302</v>
      </c>
      <c r="F39" s="20">
        <v>0.21688350000688156</v>
      </c>
      <c r="G39" s="20">
        <v>0.11915768812534751</v>
      </c>
      <c r="H39" s="20">
        <v>0</v>
      </c>
      <c r="I39" s="20">
        <v>1.521289832802398E-2</v>
      </c>
      <c r="J39" s="20">
        <v>8.7978995193409293E-2</v>
      </c>
      <c r="K39" s="20">
        <v>0.45293376677026964</v>
      </c>
      <c r="L39" s="20">
        <v>0</v>
      </c>
    </row>
    <row r="40" spans="1:12">
      <c r="A40" s="2" t="s">
        <v>359</v>
      </c>
      <c r="B40" s="3" t="s">
        <v>360</v>
      </c>
      <c r="D40" s="20">
        <v>5.8048978827163417E-4</v>
      </c>
      <c r="E40" s="20">
        <v>0.38701220289361288</v>
      </c>
      <c r="F40" s="20">
        <v>0.203361529275393</v>
      </c>
      <c r="G40" s="20">
        <v>0.17264911419889456</v>
      </c>
      <c r="H40" s="20">
        <v>0</v>
      </c>
      <c r="I40" s="20">
        <v>1.1001559419325319E-2</v>
      </c>
      <c r="J40" s="20">
        <v>0.12814910551055642</v>
      </c>
      <c r="K40" s="20">
        <v>0.48425820180755896</v>
      </c>
      <c r="L40" s="20">
        <v>0</v>
      </c>
    </row>
    <row r="41" spans="1:12">
      <c r="A41" s="2" t="s">
        <v>313</v>
      </c>
      <c r="B41" s="3" t="s">
        <v>314</v>
      </c>
      <c r="D41" s="20">
        <v>5.8287606847890091E-8</v>
      </c>
      <c r="E41" s="20">
        <v>0.99929694650620271</v>
      </c>
      <c r="F41" s="20">
        <v>4.7300752268656376E-3</v>
      </c>
      <c r="G41" s="20">
        <v>1.1256116973388314E-6</v>
      </c>
      <c r="H41" s="20">
        <v>0</v>
      </c>
      <c r="I41" s="20">
        <v>0.99456574566763978</v>
      </c>
      <c r="J41" s="20">
        <v>5.1571096824994101E-4</v>
      </c>
      <c r="K41" s="20">
        <v>1.8728423794033455E-4</v>
      </c>
      <c r="L41" s="20">
        <v>0</v>
      </c>
    </row>
    <row r="42" spans="1:12">
      <c r="A42" s="2" t="s">
        <v>315</v>
      </c>
      <c r="B42" s="3" t="s">
        <v>316</v>
      </c>
      <c r="D42" s="20">
        <v>1.5881168991487952E-2</v>
      </c>
      <c r="E42" s="20">
        <v>0.40163698733689074</v>
      </c>
      <c r="F42" s="20">
        <v>0.10748718321005583</v>
      </c>
      <c r="G42" s="20">
        <v>0.2912408147745939</v>
      </c>
      <c r="H42" s="20">
        <v>0</v>
      </c>
      <c r="I42" s="20">
        <v>2.9089893522409927E-3</v>
      </c>
      <c r="J42" s="20">
        <v>0.21926593017260051</v>
      </c>
      <c r="K42" s="20">
        <v>0.36321591349902077</v>
      </c>
      <c r="L42" s="20">
        <v>0</v>
      </c>
    </row>
    <row r="43" spans="1:12">
      <c r="A43" s="2" t="s">
        <v>317</v>
      </c>
      <c r="B43" s="3" t="s">
        <v>318</v>
      </c>
      <c r="D43" s="20">
        <v>6.0901094672980174E-12</v>
      </c>
      <c r="E43" s="20">
        <v>0.53272257547574053</v>
      </c>
      <c r="F43" s="20">
        <v>3.4681615082528316E-2</v>
      </c>
      <c r="G43" s="20">
        <v>8.2793238244406181E-3</v>
      </c>
      <c r="H43" s="20">
        <v>0</v>
      </c>
      <c r="I43" s="20">
        <v>0.48976163656877159</v>
      </c>
      <c r="J43" s="20">
        <v>6.0580953446703906E-3</v>
      </c>
      <c r="K43" s="20">
        <v>0.46121932917349889</v>
      </c>
      <c r="L43" s="20">
        <v>0</v>
      </c>
    </row>
    <row r="44" spans="1:12">
      <c r="A44" s="2" t="s">
        <v>307</v>
      </c>
      <c r="B44" s="3" t="s">
        <v>308</v>
      </c>
      <c r="D44" s="20">
        <v>5.3319473144908464E-4</v>
      </c>
      <c r="E44" s="20">
        <v>0.41828176104585285</v>
      </c>
      <c r="F44" s="20">
        <v>0.30030327213824209</v>
      </c>
      <c r="G44" s="20">
        <v>8.7147637795840324E-2</v>
      </c>
      <c r="H44" s="20">
        <v>0</v>
      </c>
      <c r="I44" s="20">
        <v>3.0830851111770426E-2</v>
      </c>
      <c r="J44" s="20">
        <v>6.385434574588976E-2</v>
      </c>
      <c r="K44" s="20">
        <v>0.51733069847680824</v>
      </c>
      <c r="L44" s="20">
        <v>0</v>
      </c>
    </row>
    <row r="45" spans="1:12">
      <c r="A45" s="2" t="s">
        <v>319</v>
      </c>
      <c r="B45" s="3" t="s">
        <v>320</v>
      </c>
      <c r="D45" s="20">
        <v>5.509909564568039E-5</v>
      </c>
      <c r="E45" s="20">
        <v>0.43290530365151647</v>
      </c>
      <c r="F45" s="20">
        <v>7.2999298317711278E-2</v>
      </c>
      <c r="G45" s="20">
        <v>0.35852070437363065</v>
      </c>
      <c r="H45" s="20">
        <v>0</v>
      </c>
      <c r="I45" s="20">
        <v>1.3853009601745411E-3</v>
      </c>
      <c r="J45" s="20">
        <v>0.27190041370178158</v>
      </c>
      <c r="K45" s="20">
        <v>0.29513918355105617</v>
      </c>
      <c r="L45" s="20">
        <v>0</v>
      </c>
    </row>
    <row r="46" spans="1:12">
      <c r="A46" s="2" t="s">
        <v>321</v>
      </c>
      <c r="B46" s="3" t="s">
        <v>322</v>
      </c>
      <c r="D46" s="20">
        <v>7.7890573228017409E-5</v>
      </c>
      <c r="E46" s="20">
        <v>0.41135839692771503</v>
      </c>
      <c r="F46" s="20">
        <v>0.10331398536360664</v>
      </c>
      <c r="G46" s="20">
        <v>0.30538990034924268</v>
      </c>
      <c r="H46" s="20">
        <v>0</v>
      </c>
      <c r="I46" s="20">
        <v>2.6545112148656925E-3</v>
      </c>
      <c r="J46" s="20">
        <v>0.23016429031719721</v>
      </c>
      <c r="K46" s="20">
        <v>0.35839942218185999</v>
      </c>
      <c r="L46" s="20">
        <v>0</v>
      </c>
    </row>
    <row r="47" spans="1:12">
      <c r="A47" s="2" t="s">
        <v>323</v>
      </c>
      <c r="B47" s="3" t="s">
        <v>324</v>
      </c>
      <c r="D47" s="20">
        <v>7.0539233357276609E-4</v>
      </c>
      <c r="E47" s="20">
        <v>0.3918331418563008</v>
      </c>
      <c r="F47" s="20">
        <v>0.15076653376672822</v>
      </c>
      <c r="G47" s="20">
        <v>0.23539677335980239</v>
      </c>
      <c r="H47" s="20">
        <v>0</v>
      </c>
      <c r="I47" s="20">
        <v>5.6698347297702012E-3</v>
      </c>
      <c r="J47" s="20">
        <v>0.17602868911726371</v>
      </c>
      <c r="K47" s="20">
        <v>0.43143277669286267</v>
      </c>
      <c r="L47" s="20">
        <v>0</v>
      </c>
    </row>
    <row r="48" spans="1:12">
      <c r="A48" s="2" t="s">
        <v>325</v>
      </c>
      <c r="B48" s="3" t="s">
        <v>326</v>
      </c>
      <c r="D48" s="20">
        <v>2.7940179009881946E-4</v>
      </c>
      <c r="E48" s="20">
        <v>0.36110283261321374</v>
      </c>
      <c r="F48" s="20">
        <v>0.16462788514581161</v>
      </c>
      <c r="G48" s="20">
        <v>3.2329497510423424E-2</v>
      </c>
      <c r="H48" s="20">
        <v>0</v>
      </c>
      <c r="I48" s="20">
        <v>0.16414544995697869</v>
      </c>
      <c r="J48" s="20">
        <v>2.3282812635081893E-2</v>
      </c>
      <c r="K48" s="20">
        <v>0.61533495296160545</v>
      </c>
      <c r="L48" s="20">
        <v>0</v>
      </c>
    </row>
    <row r="49" spans="1:12">
      <c r="A49" s="2" t="s">
        <v>275</v>
      </c>
      <c r="B49" s="3" t="s">
        <v>276</v>
      </c>
      <c r="D49" s="20">
        <v>6.8196204221425909E-6</v>
      </c>
      <c r="E49" s="20">
        <v>0.41409645068624562</v>
      </c>
      <c r="F49" s="20">
        <v>0.29284271021533387</v>
      </c>
      <c r="G49" s="20">
        <v>9.2710724064763078E-2</v>
      </c>
      <c r="H49" s="20">
        <v>0</v>
      </c>
      <c r="I49" s="20">
        <v>2.854301640614865E-2</v>
      </c>
      <c r="J49" s="20">
        <v>6.80006739778342E-2</v>
      </c>
      <c r="K49" s="20">
        <v>0.5178960557154979</v>
      </c>
      <c r="L49" s="20">
        <v>0</v>
      </c>
    </row>
    <row r="50" spans="1:12">
      <c r="A50" s="2" t="s">
        <v>327</v>
      </c>
      <c r="B50" s="3" t="s">
        <v>328</v>
      </c>
      <c r="D50" s="20">
        <v>3.5242820524963555E-4</v>
      </c>
      <c r="E50" s="20">
        <v>0.4073112973866207</v>
      </c>
      <c r="F50" s="20">
        <v>0.27986260554042564</v>
      </c>
      <c r="G50" s="20">
        <v>0.10243312647400347</v>
      </c>
      <c r="H50" s="20">
        <v>0</v>
      </c>
      <c r="I50" s="20">
        <v>2.5015565372191607E-2</v>
      </c>
      <c r="J50" s="20">
        <v>7.5261847775277294E-2</v>
      </c>
      <c r="K50" s="20">
        <v>0.5170744266328523</v>
      </c>
      <c r="L50" s="20">
        <v>0</v>
      </c>
    </row>
    <row r="51" spans="1:12">
      <c r="A51" s="2" t="s">
        <v>329</v>
      </c>
      <c r="B51" s="3" t="s">
        <v>330</v>
      </c>
      <c r="D51" s="20">
        <v>1.6968404842215151E-4</v>
      </c>
      <c r="E51" s="20">
        <v>0.36881761468476615</v>
      </c>
      <c r="F51" s="20">
        <v>0.20735534381645601</v>
      </c>
      <c r="G51" s="20">
        <v>3.9175160780217017E-2</v>
      </c>
      <c r="H51" s="20">
        <v>0</v>
      </c>
      <c r="I51" s="20">
        <v>0.12228711008809311</v>
      </c>
      <c r="J51" s="20">
        <v>2.8281855067387437E-2</v>
      </c>
      <c r="K51" s="20">
        <v>0.6027308461994243</v>
      </c>
      <c r="L51" s="20">
        <v>0</v>
      </c>
    </row>
    <row r="52" spans="1:12">
      <c r="A52" s="2" t="s">
        <v>277</v>
      </c>
      <c r="B52" s="3" t="s">
        <v>278</v>
      </c>
      <c r="D52" s="20">
        <v>4.4112718970800726E-4</v>
      </c>
      <c r="E52" s="20">
        <v>0.36114410859969359</v>
      </c>
      <c r="F52" s="20">
        <v>0.16843721113133681</v>
      </c>
      <c r="G52" s="20">
        <v>3.2955931950415823E-2</v>
      </c>
      <c r="H52" s="20">
        <v>0</v>
      </c>
      <c r="I52" s="20">
        <v>0.15975096551794099</v>
      </c>
      <c r="J52" s="20">
        <v>2.3738804494500977E-2</v>
      </c>
      <c r="K52" s="20">
        <v>0.61467595971609734</v>
      </c>
      <c r="L52" s="20">
        <v>0</v>
      </c>
    </row>
    <row r="53" spans="1:12">
      <c r="A53" s="2" t="s">
        <v>331</v>
      </c>
      <c r="B53" s="3" t="s">
        <v>332</v>
      </c>
      <c r="D53" s="20">
        <v>2.3117128015740551E-4</v>
      </c>
      <c r="E53" s="20">
        <v>0.39258325834251528</v>
      </c>
      <c r="F53" s="20">
        <v>0.23906064828609463</v>
      </c>
      <c r="G53" s="20">
        <v>0.13718405889006549</v>
      </c>
      <c r="H53" s="20">
        <v>0</v>
      </c>
      <c r="I53" s="20">
        <v>1.6338551166355183E-2</v>
      </c>
      <c r="J53" s="20">
        <v>0.10134194801178407</v>
      </c>
      <c r="K53" s="20">
        <v>0.50584362236554326</v>
      </c>
      <c r="L53" s="20">
        <v>0</v>
      </c>
    </row>
    <row r="54" spans="1:12">
      <c r="A54" s="2" t="s">
        <v>333</v>
      </c>
      <c r="B54" s="3" t="s">
        <v>334</v>
      </c>
      <c r="D54" s="20">
        <v>3.8516183604275905E-7</v>
      </c>
      <c r="E54" s="20">
        <v>0.41066636840408061</v>
      </c>
      <c r="F54" s="20">
        <v>0.28642931421602646</v>
      </c>
      <c r="G54" s="20">
        <v>9.7501886476913435E-2</v>
      </c>
      <c r="H54" s="20">
        <v>0</v>
      </c>
      <c r="I54" s="20">
        <v>2.6735167711140713E-2</v>
      </c>
      <c r="J54" s="20">
        <v>7.1576639967581346E-2</v>
      </c>
      <c r="K54" s="20">
        <v>0.51775660646650212</v>
      </c>
      <c r="L54" s="20">
        <v>0</v>
      </c>
    </row>
    <row r="55" spans="1:12">
      <c r="A55" s="2" t="s">
        <v>335</v>
      </c>
      <c r="B55" s="3" t="s">
        <v>336</v>
      </c>
      <c r="D55" s="20">
        <v>1.8286259464742505E-3</v>
      </c>
      <c r="E55" s="20">
        <v>0.39082411366274683</v>
      </c>
      <c r="F55" s="20">
        <v>0.15296747311584416</v>
      </c>
      <c r="G55" s="20">
        <v>0.23200355944031117</v>
      </c>
      <c r="H55" s="20">
        <v>0</v>
      </c>
      <c r="I55" s="20">
        <v>5.8530811065914679E-3</v>
      </c>
      <c r="J55" s="20">
        <v>0.17342964765671348</v>
      </c>
      <c r="K55" s="20">
        <v>0.43391761273406554</v>
      </c>
      <c r="L55" s="20">
        <v>0</v>
      </c>
    </row>
    <row r="56" spans="1:12">
      <c r="A56" s="2" t="s">
        <v>337</v>
      </c>
      <c r="B56" s="3" t="s">
        <v>338</v>
      </c>
      <c r="D56" s="20">
        <v>1.3676870413184008E-4</v>
      </c>
      <c r="E56" s="20">
        <v>0.41694501643036208</v>
      </c>
      <c r="F56" s="20">
        <v>0.29789344504012644</v>
      </c>
      <c r="G56" s="20">
        <v>8.8993134219363917E-2</v>
      </c>
      <c r="H56" s="20">
        <v>0</v>
      </c>
      <c r="I56" s="20">
        <v>3.0058437170871734E-2</v>
      </c>
      <c r="J56" s="20">
        <v>6.522898147455386E-2</v>
      </c>
      <c r="K56" s="20">
        <v>0.5176892333909523</v>
      </c>
      <c r="L56" s="20">
        <v>0</v>
      </c>
    </row>
    <row r="57" spans="1:12">
      <c r="A57" s="2" t="s">
        <v>279</v>
      </c>
      <c r="B57" s="3" t="s">
        <v>280</v>
      </c>
      <c r="D57" s="20">
        <v>7.8321488161607871E-3</v>
      </c>
      <c r="E57" s="20">
        <v>0.35961229341635426</v>
      </c>
      <c r="F57" s="20">
        <v>0.14687745733830446</v>
      </c>
      <c r="G57" s="20">
        <v>2.932585622417478E-2</v>
      </c>
      <c r="H57" s="20">
        <v>0</v>
      </c>
      <c r="I57" s="20">
        <v>0.18340897985387503</v>
      </c>
      <c r="J57" s="20">
        <v>2.1102203757652573E-2</v>
      </c>
      <c r="K57" s="20">
        <v>0.61145335400983247</v>
      </c>
      <c r="L57" s="20">
        <v>0</v>
      </c>
    </row>
    <row r="58" spans="1:12">
      <c r="A58" s="2" t="s">
        <v>339</v>
      </c>
      <c r="B58" s="3" t="s">
        <v>340</v>
      </c>
      <c r="D58" s="20">
        <v>1.3489102017756157E-6</v>
      </c>
      <c r="E58" s="20">
        <v>0.41000583700739468</v>
      </c>
      <c r="F58" s="20">
        <v>0.28513941491752798</v>
      </c>
      <c r="G58" s="20">
        <v>9.8481081549072577E-2</v>
      </c>
      <c r="H58" s="20">
        <v>0</v>
      </c>
      <c r="I58" s="20">
        <v>2.6385340540794135E-2</v>
      </c>
      <c r="J58" s="20">
        <v>7.2307982587419495E-2</v>
      </c>
      <c r="K58" s="20">
        <v>0.51768483149498401</v>
      </c>
      <c r="L58" s="20">
        <v>0</v>
      </c>
    </row>
    <row r="59" spans="1:12">
      <c r="A59" s="2" t="s">
        <v>281</v>
      </c>
      <c r="B59" s="3" t="s">
        <v>282</v>
      </c>
      <c r="D59" s="20">
        <v>6.6792306357668719E-5</v>
      </c>
      <c r="E59" s="20">
        <v>0.36127935709924947</v>
      </c>
      <c r="F59" s="20">
        <v>0.16850029088131036</v>
      </c>
      <c r="G59" s="20">
        <v>3.2968273949749667E-2</v>
      </c>
      <c r="H59" s="20">
        <v>0</v>
      </c>
      <c r="I59" s="20">
        <v>0.15981079226818945</v>
      </c>
      <c r="J59" s="20">
        <v>2.3747694678814324E-2</v>
      </c>
      <c r="K59" s="20">
        <v>0.61490615591557851</v>
      </c>
      <c r="L59" s="20">
        <v>0</v>
      </c>
    </row>
    <row r="60" spans="1:12">
      <c r="A60" s="2" t="s">
        <v>341</v>
      </c>
      <c r="B60" s="3" t="s">
        <v>342</v>
      </c>
      <c r="D60" s="20">
        <v>1.9393208512972235E-3</v>
      </c>
      <c r="E60" s="20">
        <v>0.39526808753228415</v>
      </c>
      <c r="F60" s="20">
        <v>0.25056700494398759</v>
      </c>
      <c r="G60" s="20">
        <v>0.12618840100110754</v>
      </c>
      <c r="H60" s="20">
        <v>0</v>
      </c>
      <c r="I60" s="20">
        <v>1.851268158718905E-2</v>
      </c>
      <c r="J60" s="20">
        <v>9.3072129970916462E-2</v>
      </c>
      <c r="K60" s="20">
        <v>0.50972046164550211</v>
      </c>
      <c r="L60" s="20">
        <v>0</v>
      </c>
    </row>
    <row r="61" spans="1:12">
      <c r="A61" s="2" t="s">
        <v>483</v>
      </c>
      <c r="B61" s="3" t="s">
        <v>484</v>
      </c>
      <c r="D61" s="20">
        <v>1.3993477690285531E-13</v>
      </c>
      <c r="E61" s="20">
        <v>0.60524995410504512</v>
      </c>
      <c r="F61" s="20">
        <v>8.1831906303405352E-2</v>
      </c>
      <c r="G61" s="20">
        <v>1.3634532938311749E-2</v>
      </c>
      <c r="H61" s="20">
        <v>0</v>
      </c>
      <c r="I61" s="20">
        <v>0.50978351486332807</v>
      </c>
      <c r="J61" s="20">
        <v>3.5867038172240635E-2</v>
      </c>
      <c r="K61" s="20">
        <v>0.35888300772257442</v>
      </c>
      <c r="L61" s="20">
        <v>0</v>
      </c>
    </row>
    <row r="62" spans="1:12">
      <c r="A62" s="2" t="s">
        <v>485</v>
      </c>
      <c r="B62" s="3" t="s">
        <v>486</v>
      </c>
      <c r="D62" s="20">
        <v>3.6741918597346558E-7</v>
      </c>
      <c r="E62" s="20">
        <v>0.42295752375745305</v>
      </c>
      <c r="F62" s="20">
        <v>7.2884645458749495E-2</v>
      </c>
      <c r="G62" s="20">
        <v>1.6015171765402583E-2</v>
      </c>
      <c r="H62" s="20">
        <v>0</v>
      </c>
      <c r="I62" s="20">
        <v>0.33405770653330097</v>
      </c>
      <c r="J62" s="20">
        <v>1.152697522065098E-2</v>
      </c>
      <c r="K62" s="20">
        <v>0.56551513360271</v>
      </c>
      <c r="L62" s="20">
        <v>0</v>
      </c>
    </row>
    <row r="63" spans="1:12">
      <c r="A63" s="2" t="s">
        <v>487</v>
      </c>
      <c r="B63" s="3" t="s">
        <v>488</v>
      </c>
      <c r="D63" s="20">
        <v>7.3547256123332229E-13</v>
      </c>
      <c r="E63" s="20">
        <v>0.95537092683083735</v>
      </c>
      <c r="F63" s="20">
        <v>3.2802782579284895E-3</v>
      </c>
      <c r="G63" s="20">
        <v>4.3282011685193085E-4</v>
      </c>
      <c r="H63" s="20">
        <v>0</v>
      </c>
      <c r="I63" s="20">
        <v>0.95165782845605695</v>
      </c>
      <c r="J63" s="20">
        <v>3.5046264095106804E-3</v>
      </c>
      <c r="K63" s="20">
        <v>4.1124446758916376E-2</v>
      </c>
      <c r="L63" s="20">
        <v>0</v>
      </c>
    </row>
    <row r="64" spans="1:12">
      <c r="A64" s="2" t="s">
        <v>489</v>
      </c>
      <c r="B64" s="3" t="s">
        <v>490</v>
      </c>
      <c r="D64" s="20">
        <v>1.3283446747498348E-14</v>
      </c>
      <c r="E64" s="20">
        <v>0.99514489228082359</v>
      </c>
      <c r="F64" s="20">
        <v>1.2250090106744253E-3</v>
      </c>
      <c r="G64" s="20">
        <v>1.520955977576797E-5</v>
      </c>
      <c r="H64" s="20">
        <v>0</v>
      </c>
      <c r="I64" s="20">
        <v>0.99390467371037339</v>
      </c>
      <c r="J64" s="20">
        <v>4.8160627162620697E-4</v>
      </c>
      <c r="K64" s="20">
        <v>4.3735014475368723E-3</v>
      </c>
      <c r="L64" s="20">
        <v>0</v>
      </c>
    </row>
    <row r="65" spans="1:12">
      <c r="A65" s="2" t="s">
        <v>491</v>
      </c>
      <c r="B65" s="3" t="s">
        <v>492</v>
      </c>
      <c r="D65" s="20">
        <v>2.1936560266165556E-12</v>
      </c>
      <c r="E65" s="20">
        <v>0.99734785346530985</v>
      </c>
      <c r="F65" s="20">
        <v>1.5902843264090563E-4</v>
      </c>
      <c r="G65" s="20">
        <v>7.073238450123997E-6</v>
      </c>
      <c r="H65" s="20">
        <v>0</v>
      </c>
      <c r="I65" s="20">
        <v>0.99718175179421886</v>
      </c>
      <c r="J65" s="20">
        <v>7.1968467957106235E-4</v>
      </c>
      <c r="K65" s="20">
        <v>1.9324618529252934E-3</v>
      </c>
      <c r="L65" s="20">
        <v>0</v>
      </c>
    </row>
    <row r="66" spans="1:12">
      <c r="A66" s="2" t="s">
        <v>493</v>
      </c>
      <c r="B66" s="3" t="s">
        <v>494</v>
      </c>
      <c r="D66" s="20">
        <v>3.4375377705569135E-11</v>
      </c>
      <c r="E66" s="20">
        <v>0.94968919119871331</v>
      </c>
      <c r="F66" s="20">
        <v>2.4009252314895362E-2</v>
      </c>
      <c r="G66" s="20">
        <v>6.01715881848146E-4</v>
      </c>
      <c r="H66" s="20">
        <v>0</v>
      </c>
      <c r="I66" s="20">
        <v>0.92507822300196985</v>
      </c>
      <c r="J66" s="20">
        <v>2.9636828134872679E-2</v>
      </c>
      <c r="K66" s="20">
        <v>2.0673980632038753E-2</v>
      </c>
      <c r="L66" s="20">
        <v>0</v>
      </c>
    </row>
    <row r="67" spans="1:12">
      <c r="A67" s="2" t="s">
        <v>495</v>
      </c>
      <c r="B67" s="3" t="s">
        <v>496</v>
      </c>
      <c r="D67" s="20">
        <v>1.713405725341813E-12</v>
      </c>
      <c r="E67" s="20">
        <v>0.99715223690453481</v>
      </c>
      <c r="F67" s="20">
        <v>1.3407388017854809E-4</v>
      </c>
      <c r="G67" s="20">
        <v>7.3292428554202251E-6</v>
      </c>
      <c r="H67" s="20">
        <v>0</v>
      </c>
      <c r="I67" s="20">
        <v>0.99701083378150079</v>
      </c>
      <c r="J67" s="20">
        <v>6.7520327579770475E-4</v>
      </c>
      <c r="K67" s="20">
        <v>2.1725598179540319E-3</v>
      </c>
      <c r="L67" s="20">
        <v>0</v>
      </c>
    </row>
    <row r="68" spans="1:12">
      <c r="A68" s="2" t="s">
        <v>497</v>
      </c>
      <c r="B68" s="3" t="s">
        <v>498</v>
      </c>
      <c r="D68" s="20">
        <v>1.5494013699710383E-11</v>
      </c>
      <c r="E68" s="20">
        <v>0.99863617624799939</v>
      </c>
      <c r="F68" s="20">
        <v>1.5944134314354562E-5</v>
      </c>
      <c r="G68" s="20">
        <v>1.2301753489855394E-6</v>
      </c>
      <c r="H68" s="20">
        <v>0</v>
      </c>
      <c r="I68" s="20">
        <v>0.99861900193833608</v>
      </c>
      <c r="J68" s="20">
        <v>4.8609634714812604E-4</v>
      </c>
      <c r="K68" s="20">
        <v>8.7772738935851854E-4</v>
      </c>
      <c r="L68" s="20">
        <v>0</v>
      </c>
    </row>
    <row r="69" spans="1:12">
      <c r="A69" s="2" t="s">
        <v>499</v>
      </c>
      <c r="B69" s="3" t="s">
        <v>500</v>
      </c>
      <c r="D69" s="20">
        <v>3.432187447094608E-11</v>
      </c>
      <c r="E69" s="20">
        <v>0.42510140342393793</v>
      </c>
      <c r="F69" s="20">
        <v>0.31083879269216347</v>
      </c>
      <c r="G69" s="20">
        <v>7.9972517723823411E-2</v>
      </c>
      <c r="H69" s="20">
        <v>0</v>
      </c>
      <c r="I69" s="20">
        <v>3.429009300795105E-2</v>
      </c>
      <c r="J69" s="20">
        <v>5.8513856877164552E-2</v>
      </c>
      <c r="K69" s="20">
        <v>0.51638473966457565</v>
      </c>
      <c r="L69" s="20">
        <v>0</v>
      </c>
    </row>
    <row r="70" spans="1:12">
      <c r="A70" s="2" t="s">
        <v>501</v>
      </c>
      <c r="B70" s="3" t="s">
        <v>411</v>
      </c>
      <c r="D70" s="20">
        <v>2.8546387047916749E-13</v>
      </c>
      <c r="E70" s="20">
        <v>0.99944534643456828</v>
      </c>
      <c r="F70" s="20">
        <v>3.0976002081876241E-3</v>
      </c>
      <c r="G70" s="20">
        <v>2.9438860052011691E-7</v>
      </c>
      <c r="H70" s="20">
        <v>0</v>
      </c>
      <c r="I70" s="20">
        <v>0.99634745183778017</v>
      </c>
      <c r="J70" s="20">
        <v>4.9646553977178768E-4</v>
      </c>
      <c r="K70" s="20">
        <v>5.8188025374539159E-5</v>
      </c>
      <c r="L70" s="20">
        <v>0</v>
      </c>
    </row>
    <row r="71" spans="1:12">
      <c r="A71" s="2" t="s">
        <v>502</v>
      </c>
      <c r="B71" s="3" t="s">
        <v>412</v>
      </c>
      <c r="D71" s="20">
        <v>1.3361504903745727E-8</v>
      </c>
      <c r="E71" s="20">
        <v>0.99938956570017701</v>
      </c>
      <c r="F71" s="20">
        <v>5.9173876990720126E-3</v>
      </c>
      <c r="G71" s="20">
        <v>5.3776971204562341E-7</v>
      </c>
      <c r="H71" s="20">
        <v>0</v>
      </c>
      <c r="I71" s="20">
        <v>0.99347164023139289</v>
      </c>
      <c r="J71" s="20">
        <v>5.2874220970255471E-4</v>
      </c>
      <c r="K71" s="20">
        <v>8.1678728615673451E-5</v>
      </c>
      <c r="L71" s="20">
        <v>0</v>
      </c>
    </row>
    <row r="72" spans="1:12">
      <c r="A72" s="2" t="s">
        <v>503</v>
      </c>
      <c r="B72" s="3" t="s">
        <v>413</v>
      </c>
      <c r="D72" s="20">
        <v>1.5597983718939341E-9</v>
      </c>
      <c r="E72" s="20">
        <v>0.93618815011890666</v>
      </c>
      <c r="F72" s="20">
        <v>0.90041495450233877</v>
      </c>
      <c r="G72" s="20">
        <v>4.1353003534798442E-4</v>
      </c>
      <c r="H72" s="20">
        <v>0</v>
      </c>
      <c r="I72" s="20">
        <v>3.5359665581219918E-2</v>
      </c>
      <c r="J72" s="20">
        <v>6.3014552130684631E-2</v>
      </c>
      <c r="K72" s="20">
        <v>7.9729619061057113E-4</v>
      </c>
      <c r="L72" s="20">
        <v>0</v>
      </c>
    </row>
    <row r="73" spans="1:12">
      <c r="A73" s="2" t="s">
        <v>504</v>
      </c>
      <c r="B73" s="3" t="s">
        <v>414</v>
      </c>
      <c r="D73" s="20">
        <v>1.6863557705235333E-9</v>
      </c>
      <c r="E73" s="20">
        <v>0.99325203419455732</v>
      </c>
      <c r="F73" s="20">
        <v>0.7218109061776331</v>
      </c>
      <c r="G73" s="20">
        <v>4.172417890647409E-5</v>
      </c>
      <c r="H73" s="20">
        <v>0</v>
      </c>
      <c r="I73" s="20">
        <v>0.27139940383801769</v>
      </c>
      <c r="J73" s="20">
        <v>6.2130298391510769E-3</v>
      </c>
      <c r="K73" s="20">
        <v>5.3493427993587899E-4</v>
      </c>
      <c r="L73" s="20">
        <v>0</v>
      </c>
    </row>
    <row r="74" spans="1:12">
      <c r="A74" s="2" t="s">
        <v>505</v>
      </c>
      <c r="B74" s="3" t="s">
        <v>415</v>
      </c>
      <c r="D74" s="20">
        <v>1.6438616832416304E-9</v>
      </c>
      <c r="E74" s="20">
        <v>0.99940022296331843</v>
      </c>
      <c r="F74" s="20">
        <v>5.3572203424437489E-3</v>
      </c>
      <c r="G74" s="20">
        <v>4.8899438072162447E-7</v>
      </c>
      <c r="H74" s="20">
        <v>0</v>
      </c>
      <c r="I74" s="20">
        <v>0.99404251362649398</v>
      </c>
      <c r="J74" s="20">
        <v>5.224331968118512E-4</v>
      </c>
      <c r="K74" s="20">
        <v>7.7342196008060862E-5</v>
      </c>
      <c r="L74" s="20">
        <v>0</v>
      </c>
    </row>
    <row r="75" spans="1:12">
      <c r="A75" s="2" t="s">
        <v>506</v>
      </c>
      <c r="B75" s="3" t="s">
        <v>416</v>
      </c>
      <c r="D75" s="20">
        <v>6.9264308940595316E-9</v>
      </c>
      <c r="E75" s="20">
        <v>0.99345320986539476</v>
      </c>
      <c r="F75" s="20">
        <v>0.68609419091928203</v>
      </c>
      <c r="G75" s="20">
        <v>4.0174279934473224E-5</v>
      </c>
      <c r="H75" s="20">
        <v>0</v>
      </c>
      <c r="I75" s="20">
        <v>0.3073188446661782</v>
      </c>
      <c r="J75" s="20">
        <v>5.9938652036832197E-3</v>
      </c>
      <c r="K75" s="20">
        <v>5.5291800449109435E-4</v>
      </c>
      <c r="L75" s="20">
        <v>0</v>
      </c>
    </row>
    <row r="76" spans="1:12">
      <c r="A76" s="2" t="s">
        <v>507</v>
      </c>
      <c r="B76" s="3" t="s">
        <v>417</v>
      </c>
      <c r="D76" s="20">
        <v>4.4142135428542151E-8</v>
      </c>
      <c r="E76" s="20">
        <v>0.99811683577141452</v>
      </c>
      <c r="F76" s="20">
        <v>0.10912593757125012</v>
      </c>
      <c r="G76" s="20">
        <v>7.9358655606477576E-6</v>
      </c>
      <c r="H76" s="20">
        <v>0</v>
      </c>
      <c r="I76" s="20">
        <v>0.88898296233460372</v>
      </c>
      <c r="J76" s="20">
        <v>1.5293615467452545E-3</v>
      </c>
      <c r="K76" s="20">
        <v>3.5375853970472294E-4</v>
      </c>
      <c r="L76" s="20">
        <v>0</v>
      </c>
    </row>
    <row r="77" spans="1:12">
      <c r="A77" s="2" t="s">
        <v>508</v>
      </c>
      <c r="B77" s="3" t="s">
        <v>418</v>
      </c>
      <c r="D77" s="20">
        <v>5.1585565370512103E-8</v>
      </c>
      <c r="E77" s="20">
        <v>0.99330471733105918</v>
      </c>
      <c r="F77" s="20">
        <v>0.71187352881588306</v>
      </c>
      <c r="G77" s="20">
        <v>4.1425633426549694E-5</v>
      </c>
      <c r="H77" s="20">
        <v>0</v>
      </c>
      <c r="I77" s="20">
        <v>0.28138976288174961</v>
      </c>
      <c r="J77" s="20">
        <v>6.1532529206853948E-3</v>
      </c>
      <c r="K77" s="20">
        <v>5.4197816268985836E-4</v>
      </c>
      <c r="L77" s="20">
        <v>0</v>
      </c>
    </row>
    <row r="78" spans="1:12">
      <c r="A78" s="2" t="s">
        <v>509</v>
      </c>
      <c r="B78" s="3" t="s">
        <v>419</v>
      </c>
      <c r="D78" s="20">
        <v>6.313591055240376E-9</v>
      </c>
      <c r="E78" s="20">
        <v>0.94609064047674152</v>
      </c>
      <c r="F78" s="20">
        <v>0.9062555618821766</v>
      </c>
      <c r="G78" s="20">
        <v>3.4971563102108723E-4</v>
      </c>
      <c r="H78" s="20">
        <v>0</v>
      </c>
      <c r="I78" s="20">
        <v>3.9485362963543859E-2</v>
      </c>
      <c r="J78" s="20">
        <v>5.3147927258170899E-2</v>
      </c>
      <c r="K78" s="20">
        <v>7.6142595149653167E-4</v>
      </c>
      <c r="L78" s="20">
        <v>0</v>
      </c>
    </row>
    <row r="79" spans="1:12">
      <c r="A79" s="2" t="s">
        <v>510</v>
      </c>
      <c r="B79" s="3" t="s">
        <v>420</v>
      </c>
      <c r="D79" s="20">
        <v>1.5859028001020964E-13</v>
      </c>
      <c r="E79" s="20">
        <v>0.94609079400224871</v>
      </c>
      <c r="F79" s="20">
        <v>0.90625576195772428</v>
      </c>
      <c r="G79" s="20">
        <v>3.4966036373135841E-4</v>
      </c>
      <c r="H79" s="20">
        <v>0</v>
      </c>
      <c r="I79" s="20">
        <v>3.9485371680793115E-2</v>
      </c>
      <c r="J79" s="20">
        <v>5.3147900378002794E-2</v>
      </c>
      <c r="K79" s="20">
        <v>7.6130561958987516E-4</v>
      </c>
      <c r="L79" s="20">
        <v>0</v>
      </c>
    </row>
    <row r="80" spans="1:12">
      <c r="A80" s="2" t="s">
        <v>511</v>
      </c>
      <c r="B80" s="3" t="s">
        <v>421</v>
      </c>
      <c r="D80" s="20">
        <v>7.7998453800966521E-9</v>
      </c>
      <c r="E80" s="20">
        <v>0.99603676353838544</v>
      </c>
      <c r="F80" s="20">
        <v>0.33110080009654264</v>
      </c>
      <c r="G80" s="20">
        <v>2.1653324752120741E-5</v>
      </c>
      <c r="H80" s="20">
        <v>0</v>
      </c>
      <c r="I80" s="20">
        <v>0.66491431011709068</v>
      </c>
      <c r="J80" s="20">
        <v>3.415913826673494E-3</v>
      </c>
      <c r="K80" s="20">
        <v>5.4731483509560684E-4</v>
      </c>
      <c r="L80" s="20">
        <v>0</v>
      </c>
    </row>
    <row r="81" spans="1:12">
      <c r="A81" s="2" t="s">
        <v>512</v>
      </c>
      <c r="B81" s="3" t="s">
        <v>422</v>
      </c>
      <c r="D81" s="20">
        <v>3.099614581017648E-9</v>
      </c>
      <c r="E81" s="20">
        <v>0.99911830587086048</v>
      </c>
      <c r="F81" s="20">
        <v>2.3571212973048608E-2</v>
      </c>
      <c r="G81" s="20">
        <v>1.9263992081149623E-6</v>
      </c>
      <c r="H81" s="20">
        <v>0</v>
      </c>
      <c r="I81" s="20">
        <v>0.97554516649860379</v>
      </c>
      <c r="J81" s="20">
        <v>7.1578624087839031E-4</v>
      </c>
      <c r="K81" s="20">
        <v>1.6590478864650929E-4</v>
      </c>
      <c r="L81" s="20">
        <v>0</v>
      </c>
    </row>
    <row r="82" spans="1:12">
      <c r="A82" s="2" t="s">
        <v>513</v>
      </c>
      <c r="B82" s="3" t="s">
        <v>423</v>
      </c>
      <c r="D82" s="20">
        <v>9.9276088735537346E-13</v>
      </c>
      <c r="E82" s="20">
        <v>0.9986601139361031</v>
      </c>
      <c r="F82" s="20">
        <v>6.0133831104652147E-2</v>
      </c>
      <c r="G82" s="20">
        <v>4.5731400081784654E-6</v>
      </c>
      <c r="H82" s="20">
        <v>0</v>
      </c>
      <c r="I82" s="20">
        <v>0.93852170969144277</v>
      </c>
      <c r="J82" s="20">
        <v>1.0745922459818144E-3</v>
      </c>
      <c r="K82" s="20">
        <v>2.6529381692243768E-4</v>
      </c>
      <c r="L82" s="20">
        <v>0</v>
      </c>
    </row>
    <row r="83" spans="1:12">
      <c r="A83" s="2" t="s">
        <v>514</v>
      </c>
      <c r="B83" s="3" t="s">
        <v>424</v>
      </c>
      <c r="D83" s="20">
        <v>2.1761682409952649E-9</v>
      </c>
      <c r="E83" s="20">
        <v>0.89972610123024055</v>
      </c>
      <c r="F83" s="20">
        <v>0.87330652404683495</v>
      </c>
      <c r="G83" s="20">
        <v>6.4733794345344026E-4</v>
      </c>
      <c r="H83" s="20">
        <v>0</v>
      </c>
      <c r="I83" s="20">
        <v>2.5772239239952196E-2</v>
      </c>
      <c r="J83" s="20">
        <v>9.9380501229985305E-2</v>
      </c>
      <c r="K83" s="20">
        <v>8.9339536360599065E-4</v>
      </c>
      <c r="L83" s="20">
        <v>0</v>
      </c>
    </row>
    <row r="84" spans="1:12">
      <c r="A84" s="2" t="s">
        <v>403</v>
      </c>
      <c r="B84" s="3" t="s">
        <v>404</v>
      </c>
      <c r="D84" s="20">
        <v>6.743621017298198E-44</v>
      </c>
      <c r="E84" s="20">
        <v>0.48709304033522532</v>
      </c>
      <c r="F84" s="20">
        <v>4.6555111423304756E-2</v>
      </c>
      <c r="G84" s="20">
        <v>1.077117112654832E-2</v>
      </c>
      <c r="H84" s="20">
        <v>0</v>
      </c>
      <c r="I84" s="20">
        <v>0.42976675778537227</v>
      </c>
      <c r="J84" s="20">
        <v>7.8090672890663675E-3</v>
      </c>
      <c r="K84" s="20">
        <v>0.50509789237570835</v>
      </c>
      <c r="L84" s="20">
        <v>0</v>
      </c>
    </row>
    <row r="85" spans="1:12">
      <c r="A85" s="2" t="s">
        <v>405</v>
      </c>
      <c r="B85" s="3" t="s">
        <v>406</v>
      </c>
      <c r="D85" s="20">
        <v>3.3467388494169777E-8</v>
      </c>
      <c r="E85" s="20">
        <v>0.32454349487837841</v>
      </c>
      <c r="F85" s="20">
        <v>0.19195026902823284</v>
      </c>
      <c r="G85" s="20">
        <v>1.0034887718055443E-2</v>
      </c>
      <c r="H85" s="20">
        <v>0</v>
      </c>
      <c r="I85" s="20">
        <v>0.12255833813209012</v>
      </c>
      <c r="J85" s="20">
        <v>0.63769706614998756</v>
      </c>
      <c r="K85" s="20">
        <v>3.7759405504245627E-2</v>
      </c>
      <c r="L85" s="20">
        <v>0</v>
      </c>
    </row>
    <row r="86" spans="1:12">
      <c r="A86" s="2" t="s">
        <v>407</v>
      </c>
      <c r="B86" s="3" t="s">
        <v>408</v>
      </c>
      <c r="D86" s="20">
        <v>1.2104265262549065E-4</v>
      </c>
      <c r="E86" s="20">
        <v>0.42640712805712716</v>
      </c>
      <c r="F86" s="20">
        <v>8.0930579003539796E-2</v>
      </c>
      <c r="G86" s="20">
        <v>0.3438018449013695</v>
      </c>
      <c r="H86" s="20">
        <v>0</v>
      </c>
      <c r="I86" s="20">
        <v>1.6747041522178635E-3</v>
      </c>
      <c r="J86" s="20">
        <v>0.26027249274804509</v>
      </c>
      <c r="K86" s="20">
        <v>0.31319933654220244</v>
      </c>
      <c r="L86" s="20">
        <v>0</v>
      </c>
    </row>
    <row r="87" spans="1:12">
      <c r="A87" s="2" t="s">
        <v>409</v>
      </c>
      <c r="B87" s="3" t="s">
        <v>410</v>
      </c>
      <c r="D87" s="20">
        <v>1.5943863347740588E-5</v>
      </c>
      <c r="E87" s="20">
        <v>0.46002462022072338</v>
      </c>
      <c r="F87" s="20">
        <v>4.639463670707903E-2</v>
      </c>
      <c r="G87" s="20">
        <v>0.41301263098981583</v>
      </c>
      <c r="H87" s="20">
        <v>0</v>
      </c>
      <c r="I87" s="20">
        <v>6.1735252382850493E-4</v>
      </c>
      <c r="J87" s="20">
        <v>0.3155319914322845</v>
      </c>
      <c r="K87" s="20">
        <v>0.22442744448364449</v>
      </c>
      <c r="L87" s="20">
        <v>0</v>
      </c>
    </row>
    <row r="88" spans="1:12">
      <c r="A88" s="2" t="s">
        <v>301</v>
      </c>
      <c r="B88" s="3" t="s">
        <v>302</v>
      </c>
      <c r="D88" s="20">
        <v>2.0880323038418645E-6</v>
      </c>
      <c r="E88" s="20">
        <v>0.49409162264339973</v>
      </c>
      <c r="F88" s="20">
        <v>2.2814524845529583E-2</v>
      </c>
      <c r="G88" s="20">
        <v>0.4710933606892424</v>
      </c>
      <c r="H88" s="20">
        <v>0</v>
      </c>
      <c r="I88" s="20">
        <v>1.8373710862773526E-4</v>
      </c>
      <c r="J88" s="20">
        <v>0.36366698676982406</v>
      </c>
      <c r="K88" s="20">
        <v>0.1422393025544724</v>
      </c>
      <c r="L88" s="20">
        <v>0</v>
      </c>
    </row>
    <row r="89" spans="1:12">
      <c r="A89" s="2" t="s">
        <v>303</v>
      </c>
      <c r="B89" s="3" t="s">
        <v>304</v>
      </c>
      <c r="D89" s="20">
        <v>1.474131545951844E-13</v>
      </c>
      <c r="E89" s="20">
        <v>4.7763343681717717E-2</v>
      </c>
      <c r="F89" s="20">
        <v>1.2948911082157644E-2</v>
      </c>
      <c r="G89" s="20">
        <v>3.3677459655664488E-2</v>
      </c>
      <c r="H89" s="20">
        <v>0</v>
      </c>
      <c r="I89" s="20">
        <v>1.1369729438955821E-3</v>
      </c>
      <c r="J89" s="20">
        <v>0.9380313057787254</v>
      </c>
      <c r="K89" s="20">
        <v>1.4205350539409266E-2</v>
      </c>
      <c r="L89" s="20">
        <v>0</v>
      </c>
    </row>
    <row r="90" spans="1:12">
      <c r="A90" s="2" t="s">
        <v>425</v>
      </c>
      <c r="B90" s="3" t="s">
        <v>426</v>
      </c>
      <c r="D90" s="20">
        <v>1.5979625301322131E-13</v>
      </c>
      <c r="E90" s="20">
        <v>0.97447948964920306</v>
      </c>
      <c r="F90" s="20">
        <v>9.1397189364233908E-5</v>
      </c>
      <c r="G90" s="20">
        <v>3.0687261031514965E-5</v>
      </c>
      <c r="H90" s="20">
        <v>0</v>
      </c>
      <c r="I90" s="20">
        <v>0.97435740519880731</v>
      </c>
      <c r="J90" s="20">
        <v>4.6687465393427992E-4</v>
      </c>
      <c r="K90" s="20">
        <v>2.5053635696702999E-2</v>
      </c>
      <c r="L90" s="20">
        <v>0</v>
      </c>
    </row>
    <row r="91" spans="1:12">
      <c r="A91" s="2" t="s">
        <v>427</v>
      </c>
      <c r="B91" s="3" t="s">
        <v>428</v>
      </c>
      <c r="D91" s="20">
        <v>8.7697727807725353E-5</v>
      </c>
      <c r="E91" s="20">
        <v>0.77254397039917244</v>
      </c>
      <c r="F91" s="20">
        <v>5.8514373043041671E-3</v>
      </c>
      <c r="G91" s="20">
        <v>1.6457282019839152E-3</v>
      </c>
      <c r="H91" s="20">
        <v>0</v>
      </c>
      <c r="I91" s="20">
        <v>0.76504680489288435</v>
      </c>
      <c r="J91" s="20">
        <v>1.4919918595522282E-3</v>
      </c>
      <c r="K91" s="20">
        <v>0.22587634001346751</v>
      </c>
      <c r="L91" s="20">
        <v>0</v>
      </c>
    </row>
    <row r="92" spans="1:12">
      <c r="A92" s="2" t="s">
        <v>429</v>
      </c>
      <c r="B92" s="3" t="s">
        <v>430</v>
      </c>
      <c r="D92" s="20">
        <v>1.051529863481043E-3</v>
      </c>
      <c r="E92" s="20">
        <v>0.38629907490132875</v>
      </c>
      <c r="F92" s="20">
        <v>0.1002064844605311</v>
      </c>
      <c r="G92" s="20">
        <v>2.1144206006103679E-2</v>
      </c>
      <c r="H92" s="20">
        <v>0</v>
      </c>
      <c r="I92" s="20">
        <v>0.26494838443469398</v>
      </c>
      <c r="J92" s="20">
        <v>1.5196029593397418E-2</v>
      </c>
      <c r="K92" s="20">
        <v>0.59745336564179274</v>
      </c>
      <c r="L92" s="20">
        <v>0</v>
      </c>
    </row>
    <row r="93" spans="1:12">
      <c r="A93" s="2" t="s">
        <v>431</v>
      </c>
      <c r="B93" s="3" t="s">
        <v>432</v>
      </c>
      <c r="D93" s="20">
        <v>1.2053326714170171E-17</v>
      </c>
      <c r="E93" s="20">
        <v>0.99938308306720602</v>
      </c>
      <c r="F93" s="20">
        <v>4.3616098160671561E-4</v>
      </c>
      <c r="G93" s="20">
        <v>3.4943687513336712E-7</v>
      </c>
      <c r="H93" s="20">
        <v>0</v>
      </c>
      <c r="I93" s="20">
        <v>0.99894657264872422</v>
      </c>
      <c r="J93" s="20">
        <v>4.6392047940761353E-4</v>
      </c>
      <c r="K93" s="20">
        <v>1.5299645338633474E-4</v>
      </c>
      <c r="L93" s="20">
        <v>0</v>
      </c>
    </row>
    <row r="94" spans="1:12">
      <c r="A94" s="2" t="s">
        <v>433</v>
      </c>
      <c r="B94" s="3" t="s">
        <v>434</v>
      </c>
      <c r="D94" s="20">
        <v>2.5376244766256218E-18</v>
      </c>
      <c r="E94" s="20">
        <v>0.99953442176981933</v>
      </c>
      <c r="F94" s="20">
        <v>1.6908363265692559E-6</v>
      </c>
      <c r="G94" s="20">
        <v>2.3593762943088682E-9</v>
      </c>
      <c r="H94" s="20">
        <v>0</v>
      </c>
      <c r="I94" s="20">
        <v>0.99953272857411646</v>
      </c>
      <c r="J94" s="20">
        <v>4.6172247152567215E-4</v>
      </c>
      <c r="K94" s="20">
        <v>3.855758654901928E-6</v>
      </c>
      <c r="L94" s="20">
        <v>0</v>
      </c>
    </row>
    <row r="95" spans="1:12">
      <c r="A95" s="2" t="s">
        <v>435</v>
      </c>
      <c r="B95" s="3" t="s">
        <v>436</v>
      </c>
      <c r="D95" s="20">
        <v>1.3635305439168662E-8</v>
      </c>
      <c r="E95" s="20">
        <v>0.9415109438683098</v>
      </c>
      <c r="F95" s="20">
        <v>3.7403330771519768E-4</v>
      </c>
      <c r="G95" s="20">
        <v>1.2973033039990721E-4</v>
      </c>
      <c r="H95" s="20">
        <v>0</v>
      </c>
      <c r="I95" s="20">
        <v>0.9410071802301947</v>
      </c>
      <c r="J95" s="20">
        <v>5.2560212996906471E-4</v>
      </c>
      <c r="K95" s="20">
        <v>5.7963440366415729E-2</v>
      </c>
      <c r="L95" s="20">
        <v>0</v>
      </c>
    </row>
    <row r="96" spans="1:12">
      <c r="A96" s="2" t="s">
        <v>437</v>
      </c>
      <c r="B96" s="163" t="s">
        <v>438</v>
      </c>
      <c r="D96" s="20">
        <v>2.2114632098564614E-7</v>
      </c>
      <c r="E96" s="20">
        <v>0.41481543285818062</v>
      </c>
      <c r="F96" s="20">
        <v>9.7623401037967489E-2</v>
      </c>
      <c r="G96" s="20">
        <v>0.31481070291656188</v>
      </c>
      <c r="H96" s="20">
        <v>0</v>
      </c>
      <c r="I96" s="20">
        <v>2.3813289036512526E-3</v>
      </c>
      <c r="J96" s="20">
        <v>0.23751842710290361</v>
      </c>
      <c r="K96" s="20">
        <v>0.34766591889259485</v>
      </c>
      <c r="L96" s="20">
        <v>0</v>
      </c>
    </row>
    <row r="97" spans="1:12">
      <c r="A97" s="2" t="s">
        <v>439</v>
      </c>
      <c r="B97" s="3" t="s">
        <v>440</v>
      </c>
      <c r="D97" s="20">
        <v>4.4972523607325035E-5</v>
      </c>
      <c r="E97" s="20">
        <v>0.69339726542033508</v>
      </c>
      <c r="F97" s="20">
        <v>1.1556370935004235E-2</v>
      </c>
      <c r="G97" s="20">
        <v>3.0641994387990705E-3</v>
      </c>
      <c r="H97" s="20">
        <v>0</v>
      </c>
      <c r="I97" s="20">
        <v>0.67877669504653182</v>
      </c>
      <c r="J97" s="20">
        <v>2.4484916783858949E-3</v>
      </c>
      <c r="K97" s="20">
        <v>0.3041092703776716</v>
      </c>
      <c r="L97" s="20">
        <v>0</v>
      </c>
    </row>
    <row r="98" spans="1:12">
      <c r="A98" s="2" t="s">
        <v>441</v>
      </c>
      <c r="B98" s="3" t="s">
        <v>442</v>
      </c>
      <c r="D98" s="20">
        <v>2.9167422979664362E-17</v>
      </c>
      <c r="E98" s="20">
        <v>0.75882711606415465</v>
      </c>
      <c r="F98" s="20">
        <v>6.6676420159870811E-3</v>
      </c>
      <c r="G98" s="20">
        <v>1.8546750514055112E-3</v>
      </c>
      <c r="H98" s="20">
        <v>0</v>
      </c>
      <c r="I98" s="20">
        <v>0.75030479899676206</v>
      </c>
      <c r="J98" s="20">
        <v>1.6315517324437508E-3</v>
      </c>
      <c r="K98" s="20">
        <v>0.23954133220340162</v>
      </c>
      <c r="L98" s="20">
        <v>0</v>
      </c>
    </row>
    <row r="99" spans="1:12">
      <c r="A99" s="2" t="s">
        <v>443</v>
      </c>
      <c r="B99" s="3" t="s">
        <v>444</v>
      </c>
      <c r="D99" s="20">
        <v>4.2609138234464308E-29</v>
      </c>
      <c r="E99" s="20">
        <v>0.8805924454076367</v>
      </c>
      <c r="F99" s="20">
        <v>1.4989148616208754E-3</v>
      </c>
      <c r="G99" s="20">
        <v>4.7083910011203923E-4</v>
      </c>
      <c r="H99" s="20">
        <v>0</v>
      </c>
      <c r="I99" s="20">
        <v>0.87862269144590377</v>
      </c>
      <c r="J99" s="20">
        <v>7.254739185404642E-4</v>
      </c>
      <c r="K99" s="20">
        <v>0.11868208067382281</v>
      </c>
      <c r="L99" s="20">
        <v>0</v>
      </c>
    </row>
    <row r="100" spans="1:12">
      <c r="A100" s="2" t="s">
        <v>445</v>
      </c>
      <c r="B100" s="3" t="s">
        <v>446</v>
      </c>
      <c r="D100" s="20">
        <v>2.1613107549107489E-7</v>
      </c>
      <c r="E100" s="20">
        <v>0.39033541464798749</v>
      </c>
      <c r="F100" s="20">
        <v>0.22850274912795029</v>
      </c>
      <c r="G100" s="20">
        <v>0.14726074213876689</v>
      </c>
      <c r="H100" s="20">
        <v>0</v>
      </c>
      <c r="I100" s="20">
        <v>1.4571923381270313E-2</v>
      </c>
      <c r="J100" s="20">
        <v>0.10893897703422732</v>
      </c>
      <c r="K100" s="20">
        <v>0.50072539218670986</v>
      </c>
      <c r="L100" s="20">
        <v>0</v>
      </c>
    </row>
    <row r="101" spans="1:12">
      <c r="A101" s="2" t="s">
        <v>447</v>
      </c>
      <c r="B101" s="3" t="s">
        <v>448</v>
      </c>
      <c r="D101" s="20">
        <v>8.0987656829983878E-9</v>
      </c>
      <c r="E101" s="20">
        <v>0.41718752268152942</v>
      </c>
      <c r="F101" s="20">
        <v>7.6259341153140675E-2</v>
      </c>
      <c r="G101" s="20">
        <v>1.6664358661356193E-2</v>
      </c>
      <c r="H101" s="20">
        <v>0</v>
      </c>
      <c r="I101" s="20">
        <v>0.32426382286703254</v>
      </c>
      <c r="J101" s="20">
        <v>1.1989770113800766E-2</v>
      </c>
      <c r="K101" s="20">
        <v>0.57082269910590422</v>
      </c>
      <c r="L101" s="20">
        <v>0</v>
      </c>
    </row>
    <row r="102" spans="1:12">
      <c r="A102" s="2" t="s">
        <v>449</v>
      </c>
      <c r="B102" s="3" t="s">
        <v>450</v>
      </c>
      <c r="D102" s="20">
        <v>6.2476394956071724E-4</v>
      </c>
      <c r="E102" s="20">
        <v>0.36796110301924295</v>
      </c>
      <c r="F102" s="20">
        <v>0.20511157837085409</v>
      </c>
      <c r="G102" s="20">
        <v>3.8822699644542616E-2</v>
      </c>
      <c r="H102" s="20">
        <v>0</v>
      </c>
      <c r="I102" s="20">
        <v>0.12402682500384625</v>
      </c>
      <c r="J102" s="20">
        <v>2.8023779846369785E-2</v>
      </c>
      <c r="K102" s="20">
        <v>0.6033903531848267</v>
      </c>
      <c r="L102" s="20">
        <v>0</v>
      </c>
    </row>
    <row r="103" spans="1:12">
      <c r="A103" s="2" t="s">
        <v>451</v>
      </c>
      <c r="B103" s="3" t="s">
        <v>452</v>
      </c>
      <c r="D103" s="20">
        <v>4.8410309333532934E-19</v>
      </c>
      <c r="E103" s="20">
        <v>0.99927989414826446</v>
      </c>
      <c r="F103" s="20">
        <v>1.155658084643831E-2</v>
      </c>
      <c r="G103" s="20">
        <v>1.1215136660946115E-6</v>
      </c>
      <c r="H103" s="20">
        <v>0</v>
      </c>
      <c r="I103" s="20">
        <v>0.98772219178816001</v>
      </c>
      <c r="J103" s="20">
        <v>5.9053205021892576E-4</v>
      </c>
      <c r="K103" s="20">
        <v>1.2957380151691104E-4</v>
      </c>
      <c r="L103" s="20">
        <v>0</v>
      </c>
    </row>
    <row r="104" spans="1:12">
      <c r="A104" s="2" t="s">
        <v>453</v>
      </c>
      <c r="B104" s="3" t="s">
        <v>454</v>
      </c>
      <c r="D104" s="20">
        <v>1.009128461167098E-19</v>
      </c>
      <c r="E104" s="20">
        <v>0.98293465702355209</v>
      </c>
      <c r="F104" s="20">
        <v>0.88236077806892832</v>
      </c>
      <c r="G104" s="20">
        <v>9.3435485228964433E-4</v>
      </c>
      <c r="H104" s="20">
        <v>0</v>
      </c>
      <c r="I104" s="20">
        <v>9.9639524102334093E-2</v>
      </c>
      <c r="J104" s="20">
        <v>1.0864874899703581E-2</v>
      </c>
      <c r="K104" s="20">
        <v>6.2004680767443598E-3</v>
      </c>
      <c r="L104" s="20">
        <v>0</v>
      </c>
    </row>
    <row r="105" spans="1:12">
      <c r="A105" s="2" t="s">
        <v>455</v>
      </c>
      <c r="B105" s="163">
        <v>354656</v>
      </c>
      <c r="D105" s="20">
        <v>3.6762881905769391E-10</v>
      </c>
      <c r="E105" s="20">
        <v>0.96950511851363674</v>
      </c>
      <c r="F105" s="20">
        <v>9.8013018431391231E-5</v>
      </c>
      <c r="G105" s="20">
        <v>3.7912229039343798E-5</v>
      </c>
      <c r="H105" s="20">
        <v>0</v>
      </c>
      <c r="I105" s="20">
        <v>0.969369193266166</v>
      </c>
      <c r="J105" s="20">
        <v>4.6926346740231725E-4</v>
      </c>
      <c r="K105" s="20">
        <v>3.0025617651332017E-2</v>
      </c>
      <c r="L105" s="20">
        <v>0</v>
      </c>
    </row>
    <row r="106" spans="1:12">
      <c r="A106" s="2" t="s">
        <v>457</v>
      </c>
      <c r="B106" s="3" t="s">
        <v>458</v>
      </c>
      <c r="D106" s="20">
        <v>5.4682215548510737E-10</v>
      </c>
      <c r="E106" s="20">
        <v>0.93877718184824921</v>
      </c>
      <c r="F106" s="20">
        <v>4.0555134157325339E-4</v>
      </c>
      <c r="G106" s="20">
        <v>1.4003008103830806E-4</v>
      </c>
      <c r="H106" s="20">
        <v>0</v>
      </c>
      <c r="I106" s="20">
        <v>0.93823160042563769</v>
      </c>
      <c r="J106" s="20">
        <v>5.3046522126425218E-4</v>
      </c>
      <c r="K106" s="20">
        <v>6.0692352383664445E-2</v>
      </c>
      <c r="L106" s="20">
        <v>0</v>
      </c>
    </row>
    <row r="107" spans="1:12">
      <c r="A107" s="2" t="s">
        <v>459</v>
      </c>
      <c r="B107" s="3" t="s">
        <v>460</v>
      </c>
      <c r="D107" s="20">
        <v>1.8155461327359183E-19</v>
      </c>
      <c r="E107" s="20">
        <v>0.41356037927030392</v>
      </c>
      <c r="F107" s="20">
        <v>0.2813912780153448</v>
      </c>
      <c r="G107" s="20">
        <v>4.924915968583133E-2</v>
      </c>
      <c r="H107" s="20">
        <v>0</v>
      </c>
      <c r="I107" s="20">
        <v>8.2919941569127797E-2</v>
      </c>
      <c r="J107" s="20">
        <v>4.4049893720217795E-2</v>
      </c>
      <c r="K107" s="20">
        <v>0.5423897270094783</v>
      </c>
      <c r="L107" s="20">
        <v>0</v>
      </c>
    </row>
    <row r="108" spans="1:12">
      <c r="A108" s="2" t="s">
        <v>461</v>
      </c>
      <c r="B108" s="3" t="s">
        <v>462</v>
      </c>
      <c r="D108" s="20">
        <v>1.0963888178750676E-9</v>
      </c>
      <c r="E108" s="20">
        <v>0.99948494751681871</v>
      </c>
      <c r="F108" s="20">
        <v>8.7581259807718345E-7</v>
      </c>
      <c r="G108" s="20">
        <v>2.5384742929431732E-8</v>
      </c>
      <c r="H108" s="20">
        <v>0</v>
      </c>
      <c r="I108" s="20">
        <v>0.99948404631947774</v>
      </c>
      <c r="J108" s="20">
        <v>4.59680000057886E-4</v>
      </c>
      <c r="K108" s="20">
        <v>5.5371386734789045E-5</v>
      </c>
      <c r="L108" s="20">
        <v>0</v>
      </c>
    </row>
    <row r="109" spans="1:12">
      <c r="A109" s="2" t="s">
        <v>463</v>
      </c>
      <c r="B109" s="3" t="s">
        <v>464</v>
      </c>
      <c r="D109" s="20">
        <v>2.9401805987014909E-12</v>
      </c>
      <c r="E109" s="20">
        <v>0.9730278360039355</v>
      </c>
      <c r="F109" s="20">
        <v>6.0363027841305508E-3</v>
      </c>
      <c r="G109" s="20">
        <v>3.0003857348761702E-4</v>
      </c>
      <c r="H109" s="20">
        <v>0</v>
      </c>
      <c r="I109" s="20">
        <v>0.96669149464631732</v>
      </c>
      <c r="J109" s="20">
        <v>7.9048410389389034E-3</v>
      </c>
      <c r="K109" s="20">
        <v>1.9067322954185624E-2</v>
      </c>
      <c r="L109" s="20">
        <v>0</v>
      </c>
    </row>
    <row r="110" spans="1:12">
      <c r="A110" s="2" t="s">
        <v>465</v>
      </c>
      <c r="B110" s="3" t="s">
        <v>466</v>
      </c>
      <c r="D110" s="20">
        <v>2.0820489860699939E-11</v>
      </c>
      <c r="E110" s="20">
        <v>0.99330853464402169</v>
      </c>
      <c r="F110" s="20">
        <v>2.2400981595319169E-5</v>
      </c>
      <c r="G110" s="20">
        <v>4.2858165236264906E-6</v>
      </c>
      <c r="H110" s="20">
        <v>0</v>
      </c>
      <c r="I110" s="20">
        <v>0.99328184784590279</v>
      </c>
      <c r="J110" s="20">
        <v>4.5776091923663189E-4</v>
      </c>
      <c r="K110" s="20">
        <v>6.2337044159210195E-3</v>
      </c>
      <c r="L110" s="20">
        <v>0</v>
      </c>
    </row>
    <row r="111" spans="1:12">
      <c r="A111" s="2" t="s">
        <v>467</v>
      </c>
      <c r="B111" s="3" t="s">
        <v>468</v>
      </c>
      <c r="D111" s="20">
        <v>3.7000878970312088E-30</v>
      </c>
      <c r="E111" s="20">
        <v>0.99953682288278622</v>
      </c>
      <c r="F111" s="20">
        <v>1.5915953308158028E-6</v>
      </c>
      <c r="G111" s="20">
        <v>1.3149359680554076E-9</v>
      </c>
      <c r="H111" s="20">
        <v>0</v>
      </c>
      <c r="I111" s="20">
        <v>0.99953522997251942</v>
      </c>
      <c r="J111" s="20">
        <v>4.5757931904741051E-4</v>
      </c>
      <c r="K111" s="20">
        <v>5.597798166520392E-6</v>
      </c>
      <c r="L111" s="20">
        <v>0</v>
      </c>
    </row>
    <row r="112" spans="1:12">
      <c r="A112" s="2" t="s">
        <v>469</v>
      </c>
      <c r="B112" s="3" t="s">
        <v>470</v>
      </c>
      <c r="D112" s="20">
        <v>2.339077085103311E-13</v>
      </c>
      <c r="E112" s="20">
        <v>0.99146905484915326</v>
      </c>
      <c r="F112" s="20">
        <v>7.725360403277168E-6</v>
      </c>
      <c r="G112" s="20">
        <v>3.6092278895973166E-6</v>
      </c>
      <c r="H112" s="20">
        <v>0</v>
      </c>
      <c r="I112" s="20">
        <v>0.99145772026086043</v>
      </c>
      <c r="J112" s="20">
        <v>4.5623512428083523E-4</v>
      </c>
      <c r="K112" s="20">
        <v>8.0747100263319094E-3</v>
      </c>
      <c r="L112" s="20">
        <v>0</v>
      </c>
    </row>
    <row r="113" spans="1:12">
      <c r="A113" s="2" t="s">
        <v>471</v>
      </c>
      <c r="B113" s="3" t="s">
        <v>472</v>
      </c>
      <c r="D113" s="20">
        <v>2.8863776916181551E-9</v>
      </c>
      <c r="E113" s="20">
        <v>0.95409035000086306</v>
      </c>
      <c r="F113" s="20">
        <v>2.2010371568644837E-4</v>
      </c>
      <c r="G113" s="20">
        <v>8.0116677328383027E-5</v>
      </c>
      <c r="H113" s="20">
        <v>0</v>
      </c>
      <c r="I113" s="20">
        <v>0.95379012960784826</v>
      </c>
      <c r="J113" s="20">
        <v>4.9085710497594637E-4</v>
      </c>
      <c r="K113" s="20">
        <v>4.541879000778324E-2</v>
      </c>
      <c r="L113" s="20">
        <v>0</v>
      </c>
    </row>
    <row r="114" spans="1:12">
      <c r="A114" s="2" t="s">
        <v>473</v>
      </c>
      <c r="B114" s="3" t="s">
        <v>474</v>
      </c>
      <c r="D114" s="20">
        <v>2.2958776256991207E-16</v>
      </c>
      <c r="E114" s="20">
        <v>0.99535729644434878</v>
      </c>
      <c r="F114" s="20">
        <v>2.2493243198052891E-6</v>
      </c>
      <c r="G114" s="20">
        <v>1.1332368352137605E-6</v>
      </c>
      <c r="H114" s="20">
        <v>0</v>
      </c>
      <c r="I114" s="20">
        <v>0.99535391388319372</v>
      </c>
      <c r="J114" s="20">
        <v>4.5637497063564343E-4</v>
      </c>
      <c r="K114" s="20">
        <v>4.186328585015402E-3</v>
      </c>
      <c r="L114" s="20">
        <v>0</v>
      </c>
    </row>
    <row r="115" spans="1:12">
      <c r="A115" s="2" t="s">
        <v>475</v>
      </c>
      <c r="B115" s="3" t="s">
        <v>476</v>
      </c>
      <c r="D115" s="20">
        <v>1.2173109019437796E-12</v>
      </c>
      <c r="E115" s="20">
        <v>0.99943783592552038</v>
      </c>
      <c r="F115" s="20">
        <v>2.8035623704503135E-3</v>
      </c>
      <c r="G115" s="20">
        <v>3.3581034849806075E-7</v>
      </c>
      <c r="H115" s="20">
        <v>0</v>
      </c>
      <c r="I115" s="20">
        <v>0.99663393774472153</v>
      </c>
      <c r="J115" s="20">
        <v>4.9304359953299083E-4</v>
      </c>
      <c r="K115" s="20">
        <v>6.9120473729270712E-5</v>
      </c>
      <c r="L115" s="20">
        <v>0</v>
      </c>
    </row>
    <row r="116" spans="1:12">
      <c r="A116" s="2" t="s">
        <v>477</v>
      </c>
      <c r="B116" s="3" t="s">
        <v>478</v>
      </c>
      <c r="D116" s="20">
        <v>1.0586605958018632E-16</v>
      </c>
      <c r="E116" s="20">
        <v>0.68801845470355272</v>
      </c>
      <c r="F116" s="20">
        <v>0.25853717416832717</v>
      </c>
      <c r="G116" s="20">
        <v>6.2619056268908256E-3</v>
      </c>
      <c r="H116" s="20">
        <v>0</v>
      </c>
      <c r="I116" s="20">
        <v>0.42321937490833472</v>
      </c>
      <c r="J116" s="20">
        <v>0.25152836560565484</v>
      </c>
      <c r="K116" s="20">
        <v>6.0453179690792419E-2</v>
      </c>
      <c r="L116" s="20">
        <v>0</v>
      </c>
    </row>
    <row r="117" spans="1:12">
      <c r="A117" s="2" t="s">
        <v>291</v>
      </c>
      <c r="B117" s="3" t="s">
        <v>479</v>
      </c>
      <c r="D117" s="20">
        <v>3.6219433930762389E-10</v>
      </c>
      <c r="E117" s="20">
        <v>0.60964436429166957</v>
      </c>
      <c r="F117" s="20">
        <v>2.1028866957625767E-2</v>
      </c>
      <c r="G117" s="20">
        <v>5.2760806891138066E-3</v>
      </c>
      <c r="H117" s="20">
        <v>0</v>
      </c>
      <c r="I117" s="20">
        <v>0.58333941664493005</v>
      </c>
      <c r="J117" s="20">
        <v>3.9672535076828363E-3</v>
      </c>
      <c r="K117" s="20">
        <v>0.38638838183845309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1.0454399714440081E-12</v>
      </c>
      <c r="E2" s="14">
        <v>3.9046199188176483E-5</v>
      </c>
      <c r="F2" s="14">
        <v>2.3942710581361623E-9</v>
      </c>
      <c r="G2" s="14">
        <v>9.6087937437530483E-10</v>
      </c>
      <c r="H2" s="14">
        <v>0</v>
      </c>
      <c r="I2" s="14">
        <v>1.8518458508558331E-8</v>
      </c>
      <c r="J2" s="14">
        <v>9.3192615744247904E-7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1.0024064556682399E-12</v>
      </c>
      <c r="E3" s="14">
        <v>2.3516655306286336E-5</v>
      </c>
      <c r="F3" s="14">
        <v>9.3099467750755413E-7</v>
      </c>
      <c r="G3" s="14">
        <v>2.2617020461039149E-7</v>
      </c>
      <c r="H3" s="14">
        <v>0</v>
      </c>
      <c r="I3" s="14">
        <v>2.0631005055899235E-7</v>
      </c>
      <c r="J3" s="14">
        <v>1.5119868758630275E-5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5.4217274908730697E-22</v>
      </c>
      <c r="E4" s="14">
        <v>3.9975817119112718E-5</v>
      </c>
      <c r="F4" s="14">
        <v>1.6811710402504562E-9</v>
      </c>
      <c r="G4" s="14">
        <v>1.85143104613356E-12</v>
      </c>
      <c r="H4" s="14">
        <v>0</v>
      </c>
      <c r="I4" s="14">
        <v>2.1676819875228005E-8</v>
      </c>
      <c r="J4" s="14">
        <v>8.2303854075553394E-10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1.5206939321622852E-14</v>
      </c>
      <c r="E5" s="14">
        <v>3.690202024399453E-5</v>
      </c>
      <c r="F5" s="14">
        <v>3.0361602713436368E-6</v>
      </c>
      <c r="G5" s="14">
        <v>2.4098164180298397E-10</v>
      </c>
      <c r="H5" s="14">
        <v>0</v>
      </c>
      <c r="I5" s="14">
        <v>4.8945775981269655E-8</v>
      </c>
      <c r="J5" s="14">
        <v>1.2632711831825042E-8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1.8846469714164109E-15</v>
      </c>
      <c r="E6" s="14">
        <v>3.2994667252125748E-5</v>
      </c>
      <c r="F6" s="14">
        <v>6.8475987391249518E-6</v>
      </c>
      <c r="G6" s="14">
        <v>1.9857786141532904E-9</v>
      </c>
      <c r="H6" s="14">
        <v>0</v>
      </c>
      <c r="I6" s="14">
        <v>8.4192655908711846E-8</v>
      </c>
      <c r="J6" s="14">
        <v>7.1555572341789565E-8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3.2157396417366836E-11</v>
      </c>
      <c r="E7" s="14">
        <v>2.1432948365057028E-5</v>
      </c>
      <c r="F7" s="14">
        <v>1.7598533048646835E-5</v>
      </c>
      <c r="G7" s="14">
        <v>3.582379341280831E-8</v>
      </c>
      <c r="H7" s="14">
        <v>0</v>
      </c>
      <c r="I7" s="14">
        <v>1.9325453805752919E-7</v>
      </c>
      <c r="J7" s="14">
        <v>7.3940809742939076E-7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1.4909467533516663E-21</v>
      </c>
      <c r="E8" s="14">
        <v>2.987271252113972E-5</v>
      </c>
      <c r="F8" s="14">
        <v>9.9703225835890211E-6</v>
      </c>
      <c r="G8" s="14">
        <v>1.5161207615036092E-9</v>
      </c>
      <c r="H8" s="14">
        <v>0</v>
      </c>
      <c r="I8" s="14">
        <v>1.1038304294412382E-7</v>
      </c>
      <c r="J8" s="14">
        <v>4.5065731565634333E-8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2.9409417866687145E-17</v>
      </c>
      <c r="E9" s="14">
        <v>3.7557138275770011E-5</v>
      </c>
      <c r="F9" s="14">
        <v>2.3469673261116461E-6</v>
      </c>
      <c r="G9" s="14">
        <v>8.8956767275443422E-10</v>
      </c>
      <c r="H9" s="14">
        <v>0</v>
      </c>
      <c r="I9" s="14">
        <v>4.2874362556763022E-8</v>
      </c>
      <c r="J9" s="14">
        <v>5.2130467859424064E-8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2.6645411402241838E-9</v>
      </c>
      <c r="E10" s="14">
        <v>1.9046803204271163E-6</v>
      </c>
      <c r="F10" s="14">
        <v>1.3702400116757172E-5</v>
      </c>
      <c r="G10" s="14">
        <v>2.3932727743782304E-6</v>
      </c>
      <c r="H10" s="14">
        <v>0</v>
      </c>
      <c r="I10" s="14">
        <v>1.7432608867408949E-6</v>
      </c>
      <c r="J10" s="14">
        <v>2.0253721360556369E-5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1.3374122714559019E-15</v>
      </c>
      <c r="E11" s="14">
        <v>1.3786605351209895E-7</v>
      </c>
      <c r="F11" s="14">
        <v>1.2534640833824972E-5</v>
      </c>
      <c r="G11" s="14">
        <v>9.1581186576379783E-6</v>
      </c>
      <c r="H11" s="14">
        <v>0</v>
      </c>
      <c r="I11" s="14">
        <v>1.4187212701507684E-5</v>
      </c>
      <c r="J11" s="14">
        <v>3.9821617521798614E-6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2.9875002740311159E-6</v>
      </c>
      <c r="E12" s="14">
        <v>3.6828183928659128E-5</v>
      </c>
      <c r="F12" s="14">
        <v>1.0315814938388372E-10</v>
      </c>
      <c r="G12" s="14">
        <v>5.113184425775748E-11</v>
      </c>
      <c r="H12" s="14">
        <v>0</v>
      </c>
      <c r="I12" s="14">
        <v>1.6896887406188876E-8</v>
      </c>
      <c r="J12" s="14">
        <v>1.6726461990993423E-7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8.2948549013162226E-13</v>
      </c>
      <c r="E13" s="14">
        <v>2.4917728986344544E-5</v>
      </c>
      <c r="F13" s="14">
        <v>6.6540032456822223E-7</v>
      </c>
      <c r="G13" s="14">
        <v>1.7067840030194031E-7</v>
      </c>
      <c r="H13" s="14">
        <v>0</v>
      </c>
      <c r="I13" s="14">
        <v>1.3085631120413442E-7</v>
      </c>
      <c r="J13" s="14">
        <v>1.4115335148095673E-5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3.1070429928288066E-11</v>
      </c>
      <c r="E14" s="14">
        <v>3.2004603580846568E-6</v>
      </c>
      <c r="F14" s="14">
        <v>3.5805274092989421E-5</v>
      </c>
      <c r="G14" s="14">
        <v>5.6093514718867707E-8</v>
      </c>
      <c r="H14" s="14">
        <v>0</v>
      </c>
      <c r="I14" s="14">
        <v>6.5498528006926712E-7</v>
      </c>
      <c r="J14" s="14">
        <v>2.8315568370785835E-7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3.4738787141060057E-6</v>
      </c>
      <c r="E15" s="14">
        <v>3.1199980031319204E-5</v>
      </c>
      <c r="F15" s="14">
        <v>7.9412499653347383E-8</v>
      </c>
      <c r="G15" s="14">
        <v>2.4220573476070678E-8</v>
      </c>
      <c r="H15" s="14">
        <v>0</v>
      </c>
      <c r="I15" s="14">
        <v>3.0958046417727612E-8</v>
      </c>
      <c r="J15" s="14">
        <v>5.1915501350276476E-6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3.2378732364149902E-8</v>
      </c>
      <c r="E16" s="14">
        <v>2.3849512517259337E-5</v>
      </c>
      <c r="F16" s="14">
        <v>7.7791842324735979E-7</v>
      </c>
      <c r="G16" s="14">
        <v>1.9662086947972966E-7</v>
      </c>
      <c r="H16" s="14">
        <v>0</v>
      </c>
      <c r="I16" s="14">
        <v>1.4871541313470821E-7</v>
      </c>
      <c r="J16" s="14">
        <v>1.4994854044514721E-5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9.5741766936728134E-8</v>
      </c>
      <c r="E17" s="14">
        <v>2.446927505049027E-5</v>
      </c>
      <c r="F17" s="14">
        <v>7.04329134188614E-7</v>
      </c>
      <c r="G17" s="14">
        <v>1.7966819653640404E-7</v>
      </c>
      <c r="H17" s="14">
        <v>0</v>
      </c>
      <c r="I17" s="14">
        <v>1.3700837695053851E-7</v>
      </c>
      <c r="J17" s="14">
        <v>1.4413977474897452E-5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7.5839390496732979E-12</v>
      </c>
      <c r="E18" s="14">
        <v>1.1823729854736956E-7</v>
      </c>
      <c r="F18" s="14">
        <v>4.3688692643142815E-6</v>
      </c>
      <c r="G18" s="14">
        <v>1.1837625716696003E-5</v>
      </c>
      <c r="H18" s="14">
        <v>0</v>
      </c>
      <c r="I18" s="14">
        <v>8.912171241573073E-6</v>
      </c>
      <c r="J18" s="14">
        <v>1.4763088894930228E-5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4.7270816390036506E-7</v>
      </c>
      <c r="E19" s="14">
        <v>3.6395925496734208E-5</v>
      </c>
      <c r="F19" s="14">
        <v>2.5238719544680402E-8</v>
      </c>
      <c r="G19" s="14">
        <v>8.4715498960316177E-9</v>
      </c>
      <c r="H19" s="14">
        <v>0</v>
      </c>
      <c r="I19" s="14">
        <v>2.2440933233208195E-8</v>
      </c>
      <c r="J19" s="14">
        <v>3.0752151366915101E-6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8.8783415438178052E-7</v>
      </c>
      <c r="E20" s="14">
        <v>3.4937474844373892E-5</v>
      </c>
      <c r="F20" s="14">
        <v>4.5269538063455208E-8</v>
      </c>
      <c r="G20" s="14">
        <v>1.4511142879930733E-8</v>
      </c>
      <c r="H20" s="14">
        <v>0</v>
      </c>
      <c r="I20" s="14">
        <v>2.5937264016127809E-8</v>
      </c>
      <c r="J20" s="14">
        <v>4.0889730562848223E-6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2.842443471892441E-7</v>
      </c>
      <c r="E21" s="14">
        <v>1.6245545347467594E-5</v>
      </c>
      <c r="F21" s="14">
        <v>1.206948794140507E-5</v>
      </c>
      <c r="G21" s="14">
        <v>4.8708864712394556E-7</v>
      </c>
      <c r="H21" s="14">
        <v>0</v>
      </c>
      <c r="I21" s="14">
        <v>4.4426156379909378E-7</v>
      </c>
      <c r="J21" s="14">
        <v>1.0469372153015054E-5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2.615961592449642E-6</v>
      </c>
      <c r="E22" s="14">
        <v>3.6180205384216506E-5</v>
      </c>
      <c r="F22" s="14">
        <v>4.0430171007960222E-9</v>
      </c>
      <c r="G22" s="14">
        <v>1.5523910621959913E-9</v>
      </c>
      <c r="H22" s="14">
        <v>0</v>
      </c>
      <c r="I22" s="14">
        <v>1.7607751958589788E-8</v>
      </c>
      <c r="J22" s="14">
        <v>1.1806298632122709E-6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2.8596896386895376E-6</v>
      </c>
      <c r="E23" s="14">
        <v>3.0075895441228696E-5</v>
      </c>
      <c r="F23" s="14">
        <v>1.3950607393921481E-7</v>
      </c>
      <c r="G23" s="14">
        <v>4.0708834823324744E-8</v>
      </c>
      <c r="H23" s="14">
        <v>0</v>
      </c>
      <c r="I23" s="14">
        <v>4.1912760614939801E-8</v>
      </c>
      <c r="J23" s="14">
        <v>6.8422872507042916E-6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1.0556546091885083E-7</v>
      </c>
      <c r="E24" s="14">
        <v>2.0381751993343118E-5</v>
      </c>
      <c r="F24" s="14">
        <v>1.2422129806541996E-6</v>
      </c>
      <c r="G24" s="14">
        <v>2.9984141486107205E-7</v>
      </c>
      <c r="H24" s="14">
        <v>0</v>
      </c>
      <c r="I24" s="14">
        <v>2.2038735049073203E-7</v>
      </c>
      <c r="J24" s="14">
        <v>1.7750240799732026E-5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3.4298936233107511E-8</v>
      </c>
      <c r="E25" s="14">
        <v>1.6189010893407371E-7</v>
      </c>
      <c r="F25" s="14">
        <v>5.118643294264443E-6</v>
      </c>
      <c r="G25" s="14">
        <v>1.0681947054870093E-5</v>
      </c>
      <c r="H25" s="14">
        <v>0</v>
      </c>
      <c r="I25" s="14">
        <v>8.0163650292707322E-6</v>
      </c>
      <c r="J25" s="14">
        <v>1.5986855576427555E-5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9.0788434835514698E-6</v>
      </c>
      <c r="E26" s="14">
        <v>9.3344813764368864E-6</v>
      </c>
      <c r="F26" s="14">
        <v>2.6151990147209487E-6</v>
      </c>
      <c r="G26" s="14">
        <v>5.6415741325912985E-7</v>
      </c>
      <c r="H26" s="14">
        <v>0</v>
      </c>
      <c r="I26" s="14">
        <v>4.0564316747776361E-7</v>
      </c>
      <c r="J26" s="14">
        <v>1.8001675544553805E-5</v>
      </c>
      <c r="K26" s="14">
        <v>0</v>
      </c>
    </row>
    <row r="27" spans="1:13">
      <c r="A27" s="2" t="s">
        <v>397</v>
      </c>
      <c r="B27" s="3" t="s">
        <v>398</v>
      </c>
      <c r="D27" s="14">
        <v>3.306683100258477E-5</v>
      </c>
      <c r="E27" s="14">
        <v>8.8575220125125336E-7</v>
      </c>
      <c r="F27" s="14">
        <v>1.3933710747515287E-6</v>
      </c>
      <c r="G27" s="14">
        <v>2.6470512270410316E-7</v>
      </c>
      <c r="H27" s="14">
        <v>0</v>
      </c>
      <c r="I27" s="14">
        <v>1.9102602417134779E-7</v>
      </c>
      <c r="J27" s="14">
        <v>4.1983145745370026E-6</v>
      </c>
      <c r="K27" s="14">
        <v>0</v>
      </c>
    </row>
    <row r="28" spans="1:13">
      <c r="A28" s="2" t="s">
        <v>399</v>
      </c>
      <c r="B28" s="3" t="s">
        <v>400</v>
      </c>
      <c r="D28" s="14">
        <v>3.4922803639884452E-5</v>
      </c>
      <c r="E28" s="14">
        <v>1.3316459315372518E-6</v>
      </c>
      <c r="F28" s="14">
        <v>5.1639653195850445E-7</v>
      </c>
      <c r="G28" s="14">
        <v>1.0876242252924023E-7</v>
      </c>
      <c r="H28" s="14">
        <v>0</v>
      </c>
      <c r="I28" s="14">
        <v>7.8165269449719949E-8</v>
      </c>
      <c r="J28" s="14">
        <v>3.04222620464083E-6</v>
      </c>
      <c r="K28" s="14">
        <v>0</v>
      </c>
    </row>
    <row r="29" spans="1:13">
      <c r="A29" s="2" t="s">
        <v>297</v>
      </c>
      <c r="B29" s="3" t="s">
        <v>298</v>
      </c>
      <c r="D29" s="14">
        <v>3.7298780063037657E-5</v>
      </c>
      <c r="E29" s="14">
        <v>2.3771374386807648E-6</v>
      </c>
      <c r="F29" s="14">
        <v>3.9552035820613915E-9</v>
      </c>
      <c r="G29" s="14">
        <v>1.2446991637442118E-9</v>
      </c>
      <c r="H29" s="14">
        <v>0</v>
      </c>
      <c r="I29" s="14">
        <v>1.9426139778459197E-9</v>
      </c>
      <c r="J29" s="14">
        <v>3.1693998155793511E-7</v>
      </c>
      <c r="K29" s="14">
        <v>0</v>
      </c>
    </row>
    <row r="30" spans="1:13">
      <c r="A30" s="2" t="s">
        <v>401</v>
      </c>
      <c r="B30" s="3" t="s">
        <v>402</v>
      </c>
      <c r="D30" s="14">
        <v>3.8139672450437437E-5</v>
      </c>
      <c r="E30" s="14">
        <v>5.0447148552602811E-7</v>
      </c>
      <c r="F30" s="14">
        <v>1.8148936195081124E-7</v>
      </c>
      <c r="G30" s="14">
        <v>3.8436756212973051E-8</v>
      </c>
      <c r="H30" s="14">
        <v>0</v>
      </c>
      <c r="I30" s="14">
        <v>2.7624774284352416E-8</v>
      </c>
      <c r="J30" s="14">
        <v>1.108305171588397E-6</v>
      </c>
      <c r="K30" s="14">
        <v>0</v>
      </c>
    </row>
    <row r="31" spans="1:13">
      <c r="A31" s="2" t="s">
        <v>299</v>
      </c>
      <c r="B31" s="3" t="s">
        <v>300</v>
      </c>
      <c r="D31" s="14">
        <v>3.9952372629559776E-5</v>
      </c>
      <c r="E31" s="14">
        <v>1.7987973542910291E-8</v>
      </c>
      <c r="F31" s="14">
        <v>2.8354160313261517E-9</v>
      </c>
      <c r="G31" s="14">
        <v>6.3813467779513303E-10</v>
      </c>
      <c r="H31" s="14">
        <v>0</v>
      </c>
      <c r="I31" s="14">
        <v>4.6041007380312997E-10</v>
      </c>
      <c r="J31" s="14">
        <v>2.5705436114387522E-8</v>
      </c>
      <c r="K31" s="14">
        <v>0</v>
      </c>
    </row>
    <row r="32" spans="1:13">
      <c r="A32" s="2" t="s">
        <v>343</v>
      </c>
      <c r="B32" s="3" t="s">
        <v>344</v>
      </c>
      <c r="D32" s="14">
        <v>9.0516065591858156E-8</v>
      </c>
      <c r="E32" s="14">
        <v>2.5999520169029913E-5</v>
      </c>
      <c r="F32" s="14">
        <v>5.5437020829528666E-7</v>
      </c>
      <c r="G32" s="14">
        <v>1.44575744943386E-7</v>
      </c>
      <c r="H32" s="14">
        <v>0</v>
      </c>
      <c r="I32" s="14">
        <v>1.1292482496909829E-7</v>
      </c>
      <c r="J32" s="14">
        <v>1.3098092987170454E-5</v>
      </c>
      <c r="K32" s="14">
        <v>0</v>
      </c>
    </row>
    <row r="33" spans="1:11">
      <c r="A33" s="2" t="s">
        <v>345</v>
      </c>
      <c r="B33" s="3" t="s">
        <v>346</v>
      </c>
      <c r="D33" s="14">
        <v>3.5677781829452043E-9</v>
      </c>
      <c r="E33" s="14">
        <v>3.0407275567553025E-5</v>
      </c>
      <c r="F33" s="14">
        <v>2.4449616999448256E-7</v>
      </c>
      <c r="G33" s="14">
        <v>6.8512153037179556E-8</v>
      </c>
      <c r="H33" s="14">
        <v>0</v>
      </c>
      <c r="I33" s="14">
        <v>6.1468580031447453E-8</v>
      </c>
      <c r="J33" s="14">
        <v>9.2146797512009264E-6</v>
      </c>
      <c r="K33" s="14">
        <v>0</v>
      </c>
    </row>
    <row r="34" spans="1:11">
      <c r="A34" s="2" t="s">
        <v>347</v>
      </c>
      <c r="B34" s="3" t="s">
        <v>348</v>
      </c>
      <c r="D34" s="14">
        <v>5.3225694340686544E-9</v>
      </c>
      <c r="E34" s="14">
        <v>1.2839289756798442E-5</v>
      </c>
      <c r="F34" s="14">
        <v>3.0959614939555667E-6</v>
      </c>
      <c r="G34" s="14">
        <v>6.7529122424027842E-7</v>
      </c>
      <c r="H34" s="14">
        <v>0</v>
      </c>
      <c r="I34" s="14">
        <v>4.8580883094083689E-7</v>
      </c>
      <c r="J34" s="14">
        <v>2.2898326124630807E-5</v>
      </c>
      <c r="K34" s="14">
        <v>0</v>
      </c>
    </row>
    <row r="35" spans="1:11">
      <c r="A35" s="2" t="s">
        <v>349</v>
      </c>
      <c r="B35" s="3" t="s">
        <v>350</v>
      </c>
      <c r="D35" s="14">
        <v>1.9576809848618962E-6</v>
      </c>
      <c r="E35" s="14">
        <v>3.0751165952173535E-6</v>
      </c>
      <c r="F35" s="14">
        <v>1.0242739730998708E-5</v>
      </c>
      <c r="G35" s="14">
        <v>1.8412454759475494E-6</v>
      </c>
      <c r="H35" s="14">
        <v>0</v>
      </c>
      <c r="I35" s="14">
        <v>1.3343560367316305E-6</v>
      </c>
      <c r="J35" s="14">
        <v>2.154886117624287E-5</v>
      </c>
      <c r="K35" s="14">
        <v>0</v>
      </c>
    </row>
    <row r="36" spans="1:11">
      <c r="A36" s="2" t="s">
        <v>351</v>
      </c>
      <c r="B36" s="3" t="s">
        <v>352</v>
      </c>
      <c r="D36" s="14">
        <v>6.2458426464562723E-8</v>
      </c>
      <c r="E36" s="14">
        <v>8.0495333345811325E-7</v>
      </c>
      <c r="F36" s="14">
        <v>1.0343446050713195E-5</v>
      </c>
      <c r="G36" s="14">
        <v>4.7748618303719403E-6</v>
      </c>
      <c r="H36" s="14">
        <v>0</v>
      </c>
      <c r="I36" s="14">
        <v>3.5180761446366534E-6</v>
      </c>
      <c r="J36" s="14">
        <v>2.0496204214355538E-5</v>
      </c>
      <c r="K36" s="14">
        <v>0</v>
      </c>
    </row>
    <row r="37" spans="1:11">
      <c r="A37" s="2" t="s">
        <v>353</v>
      </c>
      <c r="B37" s="3" t="s">
        <v>354</v>
      </c>
      <c r="D37" s="14">
        <v>4.3983148518351967E-7</v>
      </c>
      <c r="E37" s="14">
        <v>1.2777502643005015E-7</v>
      </c>
      <c r="F37" s="14">
        <v>4.5212709052686315E-6</v>
      </c>
      <c r="G37" s="14">
        <v>1.139347189108631E-5</v>
      </c>
      <c r="H37" s="14">
        <v>0</v>
      </c>
      <c r="I37" s="14">
        <v>8.5701454027332337E-6</v>
      </c>
      <c r="J37" s="14">
        <v>1.4947505289298259E-5</v>
      </c>
      <c r="K37" s="14">
        <v>0</v>
      </c>
    </row>
    <row r="38" spans="1:11">
      <c r="A38" s="2" t="s">
        <v>355</v>
      </c>
      <c r="B38" s="3" t="s">
        <v>356</v>
      </c>
      <c r="D38" s="14">
        <v>2.3219591530865367E-8</v>
      </c>
      <c r="E38" s="14">
        <v>4.4006237677301278E-7</v>
      </c>
      <c r="F38" s="14">
        <v>8.1344611710157214E-6</v>
      </c>
      <c r="G38" s="14">
        <v>6.905964567955783E-6</v>
      </c>
      <c r="H38" s="14">
        <v>0</v>
      </c>
      <c r="I38" s="14">
        <v>5.1259642204222577E-6</v>
      </c>
      <c r="J38" s="14">
        <v>1.9370328072302359E-5</v>
      </c>
      <c r="K38" s="14">
        <v>0</v>
      </c>
    </row>
    <row r="39" spans="1:11">
      <c r="A39" s="2" t="s">
        <v>357</v>
      </c>
      <c r="B39" s="3" t="s">
        <v>358</v>
      </c>
      <c r="D39" s="14">
        <v>4.3133260630427295E-6</v>
      </c>
      <c r="E39" s="14">
        <v>6.0851593312095923E-7</v>
      </c>
      <c r="F39" s="14">
        <v>8.6753400002752629E-6</v>
      </c>
      <c r="G39" s="14">
        <v>4.7663075250139012E-6</v>
      </c>
      <c r="H39" s="14">
        <v>0</v>
      </c>
      <c r="I39" s="14">
        <v>3.5191598077363724E-6</v>
      </c>
      <c r="J39" s="14">
        <v>1.8117350670810785E-5</v>
      </c>
      <c r="K39" s="14">
        <v>0</v>
      </c>
    </row>
    <row r="40" spans="1:11">
      <c r="A40" s="2" t="s">
        <v>359</v>
      </c>
      <c r="B40" s="3" t="s">
        <v>360</v>
      </c>
      <c r="D40" s="14">
        <v>2.3219591530865367E-8</v>
      </c>
      <c r="E40" s="14">
        <v>4.4006237677301278E-7</v>
      </c>
      <c r="F40" s="14">
        <v>8.1344611710157214E-6</v>
      </c>
      <c r="G40" s="14">
        <v>6.905964567955783E-6</v>
      </c>
      <c r="H40" s="14">
        <v>0</v>
      </c>
      <c r="I40" s="14">
        <v>5.1259642204222577E-6</v>
      </c>
      <c r="J40" s="14">
        <v>1.9370328072302359E-5</v>
      </c>
      <c r="K40" s="14">
        <v>0</v>
      </c>
    </row>
    <row r="41" spans="1:11">
      <c r="A41" s="2" t="s">
        <v>313</v>
      </c>
      <c r="B41" s="3" t="s">
        <v>314</v>
      </c>
      <c r="D41" s="14">
        <v>2.3315042739156037E-12</v>
      </c>
      <c r="E41" s="14">
        <v>3.9782629826705593E-5</v>
      </c>
      <c r="F41" s="14">
        <v>1.8920300907462552E-7</v>
      </c>
      <c r="G41" s="14">
        <v>4.5024467893553265E-11</v>
      </c>
      <c r="H41" s="14">
        <v>0</v>
      </c>
      <c r="I41" s="14">
        <v>2.0628438729997646E-8</v>
      </c>
      <c r="J41" s="14">
        <v>7.4913695176133828E-9</v>
      </c>
      <c r="K41" s="14">
        <v>0</v>
      </c>
    </row>
    <row r="42" spans="1:11">
      <c r="A42" s="2" t="s">
        <v>315</v>
      </c>
      <c r="B42" s="3" t="s">
        <v>316</v>
      </c>
      <c r="D42" s="14">
        <v>6.3524675965951814E-7</v>
      </c>
      <c r="E42" s="14">
        <v>1.1635957408963973E-7</v>
      </c>
      <c r="F42" s="14">
        <v>4.2994873284022338E-6</v>
      </c>
      <c r="G42" s="14">
        <v>1.1649632590983756E-5</v>
      </c>
      <c r="H42" s="14">
        <v>0</v>
      </c>
      <c r="I42" s="14">
        <v>8.7706372069040213E-6</v>
      </c>
      <c r="J42" s="14">
        <v>1.4528636539960832E-5</v>
      </c>
      <c r="K42" s="14">
        <v>0</v>
      </c>
    </row>
    <row r="43" spans="1:11">
      <c r="A43" s="2" t="s">
        <v>317</v>
      </c>
      <c r="B43" s="3" t="s">
        <v>318</v>
      </c>
      <c r="D43" s="14">
        <v>2.4360437869192071E-16</v>
      </c>
      <c r="E43" s="14">
        <v>1.9590465462750866E-5</v>
      </c>
      <c r="F43" s="14">
        <v>1.3872646033011328E-6</v>
      </c>
      <c r="G43" s="14">
        <v>3.3117295297762476E-7</v>
      </c>
      <c r="H43" s="14">
        <v>0</v>
      </c>
      <c r="I43" s="14">
        <v>2.4232381378681566E-7</v>
      </c>
      <c r="J43" s="14">
        <v>1.8448773166939956E-5</v>
      </c>
      <c r="K43" s="14">
        <v>0</v>
      </c>
    </row>
    <row r="44" spans="1:11">
      <c r="A44" s="2" t="s">
        <v>307</v>
      </c>
      <c r="B44" s="3" t="s">
        <v>308</v>
      </c>
      <c r="D44" s="14">
        <v>2.1327789257963387E-8</v>
      </c>
      <c r="E44" s="14">
        <v>1.2332340444708171E-6</v>
      </c>
      <c r="F44" s="14">
        <v>1.2012130885529685E-5</v>
      </c>
      <c r="G44" s="14">
        <v>3.4859055118336135E-6</v>
      </c>
      <c r="H44" s="14">
        <v>0</v>
      </c>
      <c r="I44" s="14">
        <v>2.5541738298355907E-6</v>
      </c>
      <c r="J44" s="14">
        <v>2.0693227939072331E-5</v>
      </c>
      <c r="K44" s="14">
        <v>0</v>
      </c>
    </row>
    <row r="45" spans="1:11">
      <c r="A45" s="2" t="s">
        <v>319</v>
      </c>
      <c r="B45" s="3" t="s">
        <v>320</v>
      </c>
      <c r="D45" s="14">
        <v>2.2039638258272157E-9</v>
      </c>
      <c r="E45" s="14">
        <v>5.5412038406981655E-8</v>
      </c>
      <c r="F45" s="14">
        <v>2.9199719327084514E-6</v>
      </c>
      <c r="G45" s="14">
        <v>1.4340828174945228E-5</v>
      </c>
      <c r="H45" s="14">
        <v>0</v>
      </c>
      <c r="I45" s="14">
        <v>1.0876016548071265E-5</v>
      </c>
      <c r="J45" s="14">
        <v>1.1805567342042249E-5</v>
      </c>
      <c r="K45" s="14">
        <v>0</v>
      </c>
    </row>
    <row r="46" spans="1:11">
      <c r="A46" s="2" t="s">
        <v>321</v>
      </c>
      <c r="B46" s="3" t="s">
        <v>322</v>
      </c>
      <c r="D46" s="14">
        <v>3.1156229291206967E-9</v>
      </c>
      <c r="E46" s="14">
        <v>1.0618044859462772E-7</v>
      </c>
      <c r="F46" s="14">
        <v>4.1325594145442665E-6</v>
      </c>
      <c r="G46" s="14">
        <v>1.2215596013969709E-5</v>
      </c>
      <c r="H46" s="14">
        <v>0</v>
      </c>
      <c r="I46" s="14">
        <v>9.206571612687889E-6</v>
      </c>
      <c r="J46" s="14">
        <v>1.4335976887274401E-5</v>
      </c>
      <c r="K46" s="14">
        <v>0</v>
      </c>
    </row>
    <row r="47" spans="1:11">
      <c r="A47" s="2" t="s">
        <v>323</v>
      </c>
      <c r="B47" s="3" t="s">
        <v>324</v>
      </c>
      <c r="D47" s="14">
        <v>2.8215693342910645E-8</v>
      </c>
      <c r="E47" s="14">
        <v>2.2679338919080806E-7</v>
      </c>
      <c r="F47" s="14">
        <v>6.0306613506691301E-6</v>
      </c>
      <c r="G47" s="14">
        <v>9.4158709343920955E-6</v>
      </c>
      <c r="H47" s="14">
        <v>0</v>
      </c>
      <c r="I47" s="14">
        <v>7.0411475646905491E-6</v>
      </c>
      <c r="J47" s="14">
        <v>1.7257311067714509E-5</v>
      </c>
      <c r="K47" s="14">
        <v>0</v>
      </c>
    </row>
    <row r="48" spans="1:11">
      <c r="A48" s="2" t="s">
        <v>325</v>
      </c>
      <c r="B48" s="3" t="s">
        <v>326</v>
      </c>
      <c r="D48" s="14">
        <v>1.117607160395278E-8</v>
      </c>
      <c r="E48" s="14">
        <v>6.5658179982791475E-6</v>
      </c>
      <c r="F48" s="14">
        <v>6.5851154058324654E-6</v>
      </c>
      <c r="G48" s="14">
        <v>1.293179900416937E-6</v>
      </c>
      <c r="H48" s="14">
        <v>0</v>
      </c>
      <c r="I48" s="14">
        <v>9.3131250540327591E-7</v>
      </c>
      <c r="J48" s="14">
        <v>2.461339811846422E-5</v>
      </c>
      <c r="K48" s="14">
        <v>0</v>
      </c>
    </row>
    <row r="49" spans="1:11">
      <c r="A49" s="2" t="s">
        <v>275</v>
      </c>
      <c r="B49" s="3" t="s">
        <v>276</v>
      </c>
      <c r="D49" s="14">
        <v>2.7278481688570364E-10</v>
      </c>
      <c r="E49" s="14">
        <v>1.1417206562459462E-6</v>
      </c>
      <c r="F49" s="14">
        <v>1.1713708408613355E-5</v>
      </c>
      <c r="G49" s="14">
        <v>3.7084289625905236E-6</v>
      </c>
      <c r="H49" s="14">
        <v>0</v>
      </c>
      <c r="I49" s="14">
        <v>2.720026959113368E-6</v>
      </c>
      <c r="J49" s="14">
        <v>2.0715842228619919E-5</v>
      </c>
      <c r="K49" s="14">
        <v>0</v>
      </c>
    </row>
    <row r="50" spans="1:11">
      <c r="A50" s="2" t="s">
        <v>327</v>
      </c>
      <c r="B50" s="3" t="s">
        <v>328</v>
      </c>
      <c r="D50" s="14">
        <v>1.4097128209985423E-8</v>
      </c>
      <c r="E50" s="14">
        <v>1.0006226148876644E-6</v>
      </c>
      <c r="F50" s="14">
        <v>1.1194504221617026E-5</v>
      </c>
      <c r="G50" s="14">
        <v>4.0973250589601396E-6</v>
      </c>
      <c r="H50" s="14">
        <v>0</v>
      </c>
      <c r="I50" s="14">
        <v>3.0104739110110925E-6</v>
      </c>
      <c r="J50" s="14">
        <v>2.0682977065314093E-5</v>
      </c>
      <c r="K50" s="14">
        <v>0</v>
      </c>
    </row>
    <row r="51" spans="1:11">
      <c r="A51" s="2" t="s">
        <v>329</v>
      </c>
      <c r="B51" s="3" t="s">
        <v>330</v>
      </c>
      <c r="D51" s="14">
        <v>6.7873619368860608E-9</v>
      </c>
      <c r="E51" s="14">
        <v>4.8914844035237247E-6</v>
      </c>
      <c r="F51" s="14">
        <v>8.2942137526582404E-6</v>
      </c>
      <c r="G51" s="14">
        <v>1.5670064312086807E-6</v>
      </c>
      <c r="H51" s="14">
        <v>0</v>
      </c>
      <c r="I51" s="14">
        <v>1.1312742026954976E-6</v>
      </c>
      <c r="J51" s="14">
        <v>2.4109233847976975E-5</v>
      </c>
      <c r="K51" s="14">
        <v>0</v>
      </c>
    </row>
    <row r="52" spans="1:11">
      <c r="A52" s="2" t="s">
        <v>277</v>
      </c>
      <c r="B52" s="3" t="s">
        <v>278</v>
      </c>
      <c r="D52" s="14">
        <v>1.7645087588320294E-8</v>
      </c>
      <c r="E52" s="14">
        <v>6.3900386207176408E-6</v>
      </c>
      <c r="F52" s="14">
        <v>6.7374884452534727E-6</v>
      </c>
      <c r="G52" s="14">
        <v>1.318237278016633E-6</v>
      </c>
      <c r="H52" s="14">
        <v>0</v>
      </c>
      <c r="I52" s="14">
        <v>9.4955217978003925E-7</v>
      </c>
      <c r="J52" s="14">
        <v>2.4587038388643898E-5</v>
      </c>
      <c r="K52" s="14">
        <v>0</v>
      </c>
    </row>
    <row r="53" spans="1:11">
      <c r="A53" s="2" t="s">
        <v>331</v>
      </c>
      <c r="B53" s="3" t="s">
        <v>332</v>
      </c>
      <c r="D53" s="14">
        <v>9.2468512062962215E-9</v>
      </c>
      <c r="E53" s="14">
        <v>6.535420466542074E-7</v>
      </c>
      <c r="F53" s="14">
        <v>9.5624259314437871E-6</v>
      </c>
      <c r="G53" s="14">
        <v>5.4873623556026208E-6</v>
      </c>
      <c r="H53" s="14">
        <v>0</v>
      </c>
      <c r="I53" s="14">
        <v>4.053677920471363E-6</v>
      </c>
      <c r="J53" s="14">
        <v>2.0233744894621734E-5</v>
      </c>
      <c r="K53" s="14">
        <v>0</v>
      </c>
    </row>
    <row r="54" spans="1:11">
      <c r="A54" s="2" t="s">
        <v>333</v>
      </c>
      <c r="B54" s="3" t="s">
        <v>334</v>
      </c>
      <c r="D54" s="14">
        <v>1.5406473441710364E-11</v>
      </c>
      <c r="E54" s="14">
        <v>1.0694067084456288E-6</v>
      </c>
      <c r="F54" s="14">
        <v>1.1457172568641059E-5</v>
      </c>
      <c r="G54" s="14">
        <v>3.9000754590765381E-6</v>
      </c>
      <c r="H54" s="14">
        <v>0</v>
      </c>
      <c r="I54" s="14">
        <v>2.8630655987032539E-6</v>
      </c>
      <c r="J54" s="14">
        <v>2.0710264258660086E-5</v>
      </c>
      <c r="K54" s="14">
        <v>0</v>
      </c>
    </row>
    <row r="55" spans="1:11">
      <c r="A55" s="2" t="s">
        <v>335</v>
      </c>
      <c r="B55" s="3" t="s">
        <v>336</v>
      </c>
      <c r="D55" s="14">
        <v>7.3145037858970023E-8</v>
      </c>
      <c r="E55" s="14">
        <v>2.3412324426365872E-7</v>
      </c>
      <c r="F55" s="14">
        <v>6.1186989246337673E-6</v>
      </c>
      <c r="G55" s="14">
        <v>9.2801423776124474E-6</v>
      </c>
      <c r="H55" s="14">
        <v>0</v>
      </c>
      <c r="I55" s="14">
        <v>6.9371859062685405E-6</v>
      </c>
      <c r="J55" s="14">
        <v>1.7356704509362623E-5</v>
      </c>
      <c r="K55" s="14">
        <v>0</v>
      </c>
    </row>
    <row r="56" spans="1:11">
      <c r="A56" s="2" t="s">
        <v>337</v>
      </c>
      <c r="B56" s="3" t="s">
        <v>338</v>
      </c>
      <c r="D56" s="14">
        <v>5.4707481652736044E-9</v>
      </c>
      <c r="E56" s="14">
        <v>1.2023374868348695E-6</v>
      </c>
      <c r="F56" s="14">
        <v>1.1915737801605059E-5</v>
      </c>
      <c r="G56" s="14">
        <v>3.5597253687745571E-6</v>
      </c>
      <c r="H56" s="14">
        <v>0</v>
      </c>
      <c r="I56" s="14">
        <v>2.6091592589821548E-6</v>
      </c>
      <c r="J56" s="14">
        <v>2.0707569335638093E-5</v>
      </c>
      <c r="K56" s="14">
        <v>0</v>
      </c>
    </row>
    <row r="57" spans="1:11">
      <c r="A57" s="2" t="s">
        <v>279</v>
      </c>
      <c r="B57" s="3" t="s">
        <v>280</v>
      </c>
      <c r="D57" s="14">
        <v>3.1328595264643151E-7</v>
      </c>
      <c r="E57" s="14">
        <v>7.3363591941550017E-6</v>
      </c>
      <c r="F57" s="14">
        <v>5.8750982935321784E-6</v>
      </c>
      <c r="G57" s="14">
        <v>1.1730342489669912E-6</v>
      </c>
      <c r="H57" s="14">
        <v>0</v>
      </c>
      <c r="I57" s="14">
        <v>8.4408815030610299E-7</v>
      </c>
      <c r="J57" s="14">
        <v>2.44581341603933E-5</v>
      </c>
      <c r="K57" s="14">
        <v>0</v>
      </c>
    </row>
    <row r="58" spans="1:11">
      <c r="A58" s="2" t="s">
        <v>339</v>
      </c>
      <c r="B58" s="3" t="s">
        <v>340</v>
      </c>
      <c r="D58" s="14">
        <v>5.3956408071024637E-11</v>
      </c>
      <c r="E58" s="14">
        <v>1.0554136216317655E-6</v>
      </c>
      <c r="F58" s="14">
        <v>1.1405576596701122E-5</v>
      </c>
      <c r="G58" s="14">
        <v>3.9392432619629033E-6</v>
      </c>
      <c r="H58" s="14">
        <v>0</v>
      </c>
      <c r="I58" s="14">
        <v>2.8923193034967798E-6</v>
      </c>
      <c r="J58" s="14">
        <v>2.0707393259799362E-5</v>
      </c>
      <c r="K58" s="14">
        <v>0</v>
      </c>
    </row>
    <row r="59" spans="1:11">
      <c r="A59" s="2" t="s">
        <v>281</v>
      </c>
      <c r="B59" s="3" t="s">
        <v>282</v>
      </c>
      <c r="D59" s="14">
        <v>2.6716922543067487E-9</v>
      </c>
      <c r="E59" s="14">
        <v>6.3924316907275788E-6</v>
      </c>
      <c r="F59" s="14">
        <v>6.7400116352524148E-6</v>
      </c>
      <c r="G59" s="14">
        <v>1.3187309579899868E-6</v>
      </c>
      <c r="H59" s="14">
        <v>0</v>
      </c>
      <c r="I59" s="14">
        <v>9.4990778715257306E-7</v>
      </c>
      <c r="J59" s="14">
        <v>2.4596246236623142E-5</v>
      </c>
      <c r="K59" s="14">
        <v>0</v>
      </c>
    </row>
    <row r="60" spans="1:11">
      <c r="A60" s="2" t="s">
        <v>341</v>
      </c>
      <c r="B60" s="3" t="s">
        <v>342</v>
      </c>
      <c r="D60" s="14">
        <v>7.7572834051888943E-8</v>
      </c>
      <c r="E60" s="14">
        <v>7.4050726348756204E-7</v>
      </c>
      <c r="F60" s="14">
        <v>1.0022680197759505E-5</v>
      </c>
      <c r="G60" s="14">
        <v>5.0475360400443022E-6</v>
      </c>
      <c r="H60" s="14">
        <v>0</v>
      </c>
      <c r="I60" s="14">
        <v>3.7228851988366588E-6</v>
      </c>
      <c r="J60" s="14">
        <v>2.0388818465820087E-5</v>
      </c>
      <c r="K60" s="14">
        <v>0</v>
      </c>
    </row>
    <row r="61" spans="1:11">
      <c r="A61" s="2" t="s">
        <v>483</v>
      </c>
      <c r="B61" s="3" t="s">
        <v>484</v>
      </c>
      <c r="D61" s="14">
        <v>5.5973910761142133E-18</v>
      </c>
      <c r="E61" s="14">
        <v>2.0391340594533122E-5</v>
      </c>
      <c r="F61" s="14">
        <v>3.2732762521362142E-6</v>
      </c>
      <c r="G61" s="14">
        <v>5.4538131753246999E-7</v>
      </c>
      <c r="H61" s="14">
        <v>0</v>
      </c>
      <c r="I61" s="14">
        <v>1.4346815268896257E-6</v>
      </c>
      <c r="J61" s="14">
        <v>1.4355320308902978E-5</v>
      </c>
      <c r="K61" s="14">
        <v>0</v>
      </c>
    </row>
    <row r="62" spans="1:11">
      <c r="A62" s="2" t="s">
        <v>485</v>
      </c>
      <c r="B62" s="3" t="s">
        <v>486</v>
      </c>
      <c r="D62" s="14">
        <v>1.4696767438938626E-11</v>
      </c>
      <c r="E62" s="14">
        <v>1.336230826133204E-5</v>
      </c>
      <c r="F62" s="14">
        <v>2.9153858183499801E-6</v>
      </c>
      <c r="G62" s="14">
        <v>6.4060687061610338E-7</v>
      </c>
      <c r="H62" s="14">
        <v>0</v>
      </c>
      <c r="I62" s="14">
        <v>4.6107900882603929E-7</v>
      </c>
      <c r="J62" s="14">
        <v>2.2620605344108401E-5</v>
      </c>
      <c r="K62" s="14">
        <v>0</v>
      </c>
    </row>
    <row r="63" spans="1:11">
      <c r="A63" s="2" t="s">
        <v>487</v>
      </c>
      <c r="B63" s="3" t="s">
        <v>488</v>
      </c>
      <c r="D63" s="14">
        <v>2.9418902449332899E-17</v>
      </c>
      <c r="E63" s="14">
        <v>3.8066313138242283E-5</v>
      </c>
      <c r="F63" s="14">
        <v>1.3121113031713958E-7</v>
      </c>
      <c r="G63" s="14">
        <v>1.7312804674077235E-8</v>
      </c>
      <c r="H63" s="14">
        <v>0</v>
      </c>
      <c r="I63" s="14">
        <v>1.4018505638042724E-7</v>
      </c>
      <c r="J63" s="14">
        <v>1.6449778703566552E-6</v>
      </c>
      <c r="K63" s="14">
        <v>0</v>
      </c>
    </row>
    <row r="64" spans="1:11">
      <c r="A64" s="2" t="s">
        <v>489</v>
      </c>
      <c r="B64" s="3" t="s">
        <v>490</v>
      </c>
      <c r="D64" s="14">
        <v>5.3133786989993395E-19</v>
      </c>
      <c r="E64" s="14">
        <v>3.9756186948414936E-5</v>
      </c>
      <c r="F64" s="14">
        <v>4.9000360426977024E-8</v>
      </c>
      <c r="G64" s="14">
        <v>6.0838239103071887E-10</v>
      </c>
      <c r="H64" s="14">
        <v>0</v>
      </c>
      <c r="I64" s="14">
        <v>1.9264250865048279E-8</v>
      </c>
      <c r="J64" s="14">
        <v>1.749400579014749E-7</v>
      </c>
      <c r="K64" s="14">
        <v>0</v>
      </c>
    </row>
    <row r="65" spans="1:11">
      <c r="A65" s="2" t="s">
        <v>491</v>
      </c>
      <c r="B65" s="3" t="s">
        <v>492</v>
      </c>
      <c r="D65" s="14">
        <v>8.7746241064662228E-17</v>
      </c>
      <c r="E65" s="14">
        <v>3.9887270071768761E-5</v>
      </c>
      <c r="F65" s="14">
        <v>6.3611373056362257E-9</v>
      </c>
      <c r="G65" s="14">
        <v>2.8292953800495988E-10</v>
      </c>
      <c r="H65" s="14">
        <v>0</v>
      </c>
      <c r="I65" s="14">
        <v>2.8787387182842497E-8</v>
      </c>
      <c r="J65" s="14">
        <v>7.7298474117011746E-8</v>
      </c>
      <c r="K65" s="14">
        <v>0</v>
      </c>
    </row>
    <row r="66" spans="1:11">
      <c r="A66" s="2" t="s">
        <v>493</v>
      </c>
      <c r="B66" s="3" t="s">
        <v>494</v>
      </c>
      <c r="D66" s="14">
        <v>1.3750151082227655E-15</v>
      </c>
      <c r="E66" s="14">
        <v>3.7003128920078793E-5</v>
      </c>
      <c r="F66" s="14">
        <v>9.603700925958145E-7</v>
      </c>
      <c r="G66" s="14">
        <v>2.4068635273925841E-8</v>
      </c>
      <c r="H66" s="14">
        <v>0</v>
      </c>
      <c r="I66" s="14">
        <v>1.1854731253949072E-6</v>
      </c>
      <c r="J66" s="14">
        <v>8.2695922528155013E-7</v>
      </c>
      <c r="K66" s="14">
        <v>0</v>
      </c>
    </row>
    <row r="67" spans="1:11">
      <c r="A67" s="2" t="s">
        <v>495</v>
      </c>
      <c r="B67" s="3" t="s">
        <v>496</v>
      </c>
      <c r="D67" s="14">
        <v>6.8536229013672531E-17</v>
      </c>
      <c r="E67" s="14">
        <v>3.9880433351260039E-5</v>
      </c>
      <c r="F67" s="14">
        <v>5.3629552071419249E-9</v>
      </c>
      <c r="G67" s="14">
        <v>2.9316971421680901E-10</v>
      </c>
      <c r="H67" s="14">
        <v>0</v>
      </c>
      <c r="I67" s="14">
        <v>2.7008131031908192E-8</v>
      </c>
      <c r="J67" s="14">
        <v>8.690239271816129E-8</v>
      </c>
      <c r="K67" s="14">
        <v>0</v>
      </c>
    </row>
    <row r="68" spans="1:11">
      <c r="A68" s="2" t="s">
        <v>497</v>
      </c>
      <c r="B68" s="3" t="s">
        <v>498</v>
      </c>
      <c r="D68" s="14">
        <v>6.1976054798841538E-16</v>
      </c>
      <c r="E68" s="14">
        <v>3.9944760077533447E-5</v>
      </c>
      <c r="F68" s="14">
        <v>6.3776537257418256E-10</v>
      </c>
      <c r="G68" s="14">
        <v>4.9207013959421581E-11</v>
      </c>
      <c r="H68" s="14">
        <v>0</v>
      </c>
      <c r="I68" s="14">
        <v>1.9443853885925042E-8</v>
      </c>
      <c r="J68" s="14">
        <v>3.5109095574340749E-8</v>
      </c>
      <c r="K68" s="14">
        <v>0</v>
      </c>
    </row>
    <row r="69" spans="1:11">
      <c r="A69" s="2" t="s">
        <v>499</v>
      </c>
      <c r="B69" s="3" t="s">
        <v>500</v>
      </c>
      <c r="D69" s="14">
        <v>1.3728749788378433E-15</v>
      </c>
      <c r="E69" s="14">
        <v>1.3716037203180421E-6</v>
      </c>
      <c r="F69" s="14">
        <v>1.2433551707686539E-5</v>
      </c>
      <c r="G69" s="14">
        <v>3.1989007089529371E-6</v>
      </c>
      <c r="H69" s="14">
        <v>0</v>
      </c>
      <c r="I69" s="14">
        <v>2.3405542750865824E-6</v>
      </c>
      <c r="J69" s="14">
        <v>2.0655389586583027E-5</v>
      </c>
      <c r="K69" s="14">
        <v>0</v>
      </c>
    </row>
    <row r="70" spans="1:11">
      <c r="A70" s="2" t="s">
        <v>501</v>
      </c>
      <c r="B70" s="3" t="s">
        <v>411</v>
      </c>
      <c r="D70" s="14">
        <v>1.1418554819166701E-17</v>
      </c>
      <c r="E70" s="14">
        <v>3.9853898073511207E-5</v>
      </c>
      <c r="F70" s="14">
        <v>1.2390400832750497E-7</v>
      </c>
      <c r="G70" s="14">
        <v>1.1775544020804676E-11</v>
      </c>
      <c r="H70" s="14">
        <v>0</v>
      </c>
      <c r="I70" s="14">
        <v>1.9858621590871507E-8</v>
      </c>
      <c r="J70" s="14">
        <v>2.3275210149815666E-9</v>
      </c>
      <c r="K70" s="14">
        <v>0</v>
      </c>
    </row>
    <row r="71" spans="1:11">
      <c r="A71" s="2" t="s">
        <v>502</v>
      </c>
      <c r="B71" s="3" t="s">
        <v>412</v>
      </c>
      <c r="D71" s="14">
        <v>5.3446019614982911E-13</v>
      </c>
      <c r="E71" s="14">
        <v>3.9738865609255719E-5</v>
      </c>
      <c r="F71" s="14">
        <v>2.3669550796288053E-7</v>
      </c>
      <c r="G71" s="14">
        <v>2.151078848182494E-11</v>
      </c>
      <c r="H71" s="14">
        <v>0</v>
      </c>
      <c r="I71" s="14">
        <v>2.1149688388102192E-8</v>
      </c>
      <c r="J71" s="14">
        <v>3.2671491446269387E-9</v>
      </c>
      <c r="K71" s="14">
        <v>0</v>
      </c>
    </row>
    <row r="72" spans="1:11">
      <c r="A72" s="2" t="s">
        <v>503</v>
      </c>
      <c r="B72" s="3" t="s">
        <v>413</v>
      </c>
      <c r="D72" s="14">
        <v>6.2391934875757372E-14</v>
      </c>
      <c r="E72" s="14">
        <v>1.4143866232487969E-6</v>
      </c>
      <c r="F72" s="14">
        <v>3.6016598180093555E-5</v>
      </c>
      <c r="G72" s="14">
        <v>1.6541201413919379E-8</v>
      </c>
      <c r="H72" s="14">
        <v>0</v>
      </c>
      <c r="I72" s="14">
        <v>2.5205820852273858E-6</v>
      </c>
      <c r="J72" s="14">
        <v>3.1891847624422848E-8</v>
      </c>
      <c r="K72" s="14">
        <v>0</v>
      </c>
    </row>
    <row r="73" spans="1:11">
      <c r="A73" s="2" t="s">
        <v>504</v>
      </c>
      <c r="B73" s="3" t="s">
        <v>414</v>
      </c>
      <c r="D73" s="14">
        <v>6.7454230820941342E-14</v>
      </c>
      <c r="E73" s="14">
        <v>1.0855976153520709E-5</v>
      </c>
      <c r="F73" s="14">
        <v>2.8872436247105328E-5</v>
      </c>
      <c r="G73" s="14">
        <v>1.6689671562589636E-9</v>
      </c>
      <c r="H73" s="14">
        <v>0</v>
      </c>
      <c r="I73" s="14">
        <v>2.485211935660431E-7</v>
      </c>
      <c r="J73" s="14">
        <v>2.1397371197435163E-8</v>
      </c>
      <c r="K73" s="14">
        <v>0</v>
      </c>
    </row>
    <row r="74" spans="1:11">
      <c r="A74" s="2" t="s">
        <v>505</v>
      </c>
      <c r="B74" s="3" t="s">
        <v>415</v>
      </c>
      <c r="D74" s="14">
        <v>6.5754467329665219E-14</v>
      </c>
      <c r="E74" s="14">
        <v>3.9761700545059761E-5</v>
      </c>
      <c r="F74" s="14">
        <v>2.1428881369774996E-7</v>
      </c>
      <c r="G74" s="14">
        <v>1.9559775228864979E-11</v>
      </c>
      <c r="H74" s="14">
        <v>0</v>
      </c>
      <c r="I74" s="14">
        <v>2.0897327872474048E-8</v>
      </c>
      <c r="J74" s="14">
        <v>3.0936878403224352E-9</v>
      </c>
      <c r="K74" s="14">
        <v>0</v>
      </c>
    </row>
    <row r="75" spans="1:11">
      <c r="A75" s="2" t="s">
        <v>506</v>
      </c>
      <c r="B75" s="3" t="s">
        <v>416</v>
      </c>
      <c r="D75" s="14">
        <v>2.7705723576238131E-13</v>
      </c>
      <c r="E75" s="14">
        <v>1.2292753786647128E-5</v>
      </c>
      <c r="F75" s="14">
        <v>2.7443767636771285E-5</v>
      </c>
      <c r="G75" s="14">
        <v>1.6069711973789292E-9</v>
      </c>
      <c r="H75" s="14">
        <v>0</v>
      </c>
      <c r="I75" s="14">
        <v>2.3975460814732883E-7</v>
      </c>
      <c r="J75" s="14">
        <v>2.2116720179643779E-8</v>
      </c>
      <c r="K75" s="14">
        <v>0</v>
      </c>
    </row>
    <row r="76" spans="1:11">
      <c r="A76" s="2" t="s">
        <v>507</v>
      </c>
      <c r="B76" s="3" t="s">
        <v>417</v>
      </c>
      <c r="D76" s="14">
        <v>1.7656854171416861E-12</v>
      </c>
      <c r="E76" s="14">
        <v>3.5559318493384155E-5</v>
      </c>
      <c r="F76" s="14">
        <v>4.3650375028500056E-6</v>
      </c>
      <c r="G76" s="14">
        <v>3.1743462242591028E-10</v>
      </c>
      <c r="H76" s="14">
        <v>0</v>
      </c>
      <c r="I76" s="14">
        <v>6.1174461869810186E-8</v>
      </c>
      <c r="J76" s="14">
        <v>1.4150341588188919E-8</v>
      </c>
      <c r="K76" s="14">
        <v>0</v>
      </c>
    </row>
    <row r="77" spans="1:11">
      <c r="A77" s="2" t="s">
        <v>508</v>
      </c>
      <c r="B77" s="3" t="s">
        <v>418</v>
      </c>
      <c r="D77" s="14">
        <v>2.0634226148204844E-12</v>
      </c>
      <c r="E77" s="14">
        <v>1.1255590515269985E-5</v>
      </c>
      <c r="F77" s="14">
        <v>2.8474941152635326E-5</v>
      </c>
      <c r="G77" s="14">
        <v>1.657025337061988E-9</v>
      </c>
      <c r="H77" s="14">
        <v>0</v>
      </c>
      <c r="I77" s="14">
        <v>2.4613011682741581E-7</v>
      </c>
      <c r="J77" s="14">
        <v>2.1679126507594336E-8</v>
      </c>
      <c r="K77" s="14">
        <v>0</v>
      </c>
    </row>
    <row r="78" spans="1:11">
      <c r="A78" s="2" t="s">
        <v>509</v>
      </c>
      <c r="B78" s="3" t="s">
        <v>419</v>
      </c>
      <c r="D78" s="14">
        <v>2.5254364220961505E-13</v>
      </c>
      <c r="E78" s="14">
        <v>1.5794145185417544E-6</v>
      </c>
      <c r="F78" s="14">
        <v>3.6250222475287067E-5</v>
      </c>
      <c r="G78" s="14">
        <v>1.3988625240843492E-8</v>
      </c>
      <c r="H78" s="14">
        <v>0</v>
      </c>
      <c r="I78" s="14">
        <v>2.1259170903268363E-6</v>
      </c>
      <c r="J78" s="14">
        <v>3.0457038059861272E-8</v>
      </c>
      <c r="K78" s="14">
        <v>0</v>
      </c>
    </row>
    <row r="79" spans="1:11">
      <c r="A79" s="2" t="s">
        <v>510</v>
      </c>
      <c r="B79" s="3" t="s">
        <v>420</v>
      </c>
      <c r="D79" s="14">
        <v>6.3436112004083865E-18</v>
      </c>
      <c r="E79" s="14">
        <v>1.5794148672317248E-6</v>
      </c>
      <c r="F79" s="14">
        <v>3.6250230478308978E-5</v>
      </c>
      <c r="G79" s="14">
        <v>1.3986414549254337E-8</v>
      </c>
      <c r="H79" s="14">
        <v>0</v>
      </c>
      <c r="I79" s="14">
        <v>2.1259160151201118E-6</v>
      </c>
      <c r="J79" s="14">
        <v>3.0452224783595009E-8</v>
      </c>
      <c r="K79" s="14">
        <v>0</v>
      </c>
    </row>
    <row r="80" spans="1:11">
      <c r="A80" s="2" t="s">
        <v>511</v>
      </c>
      <c r="B80" s="3" t="s">
        <v>421</v>
      </c>
      <c r="D80" s="14">
        <v>3.1199381520386611E-13</v>
      </c>
      <c r="E80" s="14">
        <v>2.659657240468363E-5</v>
      </c>
      <c r="F80" s="14">
        <v>1.3244032003861706E-5</v>
      </c>
      <c r="G80" s="14">
        <v>8.6613299008482972E-10</v>
      </c>
      <c r="H80" s="14">
        <v>0</v>
      </c>
      <c r="I80" s="14">
        <v>1.3663655306693977E-7</v>
      </c>
      <c r="J80" s="14">
        <v>2.1892593403824277E-8</v>
      </c>
      <c r="K80" s="14">
        <v>0</v>
      </c>
    </row>
    <row r="81" spans="1:11">
      <c r="A81" s="2" t="s">
        <v>512</v>
      </c>
      <c r="B81" s="3" t="s">
        <v>422</v>
      </c>
      <c r="D81" s="14">
        <v>1.2398458324070593E-13</v>
      </c>
      <c r="E81" s="14">
        <v>3.9021806659944155E-5</v>
      </c>
      <c r="F81" s="14">
        <v>9.4284851892194446E-7</v>
      </c>
      <c r="G81" s="14">
        <v>7.7055968324598496E-11</v>
      </c>
      <c r="H81" s="14">
        <v>0</v>
      </c>
      <c r="I81" s="14">
        <v>2.8631449635135616E-8</v>
      </c>
      <c r="J81" s="14">
        <v>6.6361915458603727E-9</v>
      </c>
      <c r="K81" s="14">
        <v>0</v>
      </c>
    </row>
    <row r="82" spans="1:11">
      <c r="A82" s="2" t="s">
        <v>513</v>
      </c>
      <c r="B82" s="3" t="s">
        <v>423</v>
      </c>
      <c r="D82" s="14">
        <v>3.9710435494214939E-17</v>
      </c>
      <c r="E82" s="14">
        <v>3.7540868387657711E-5</v>
      </c>
      <c r="F82" s="14">
        <v>2.405353244186086E-6</v>
      </c>
      <c r="G82" s="14">
        <v>1.8292560032713861E-10</v>
      </c>
      <c r="H82" s="14">
        <v>0</v>
      </c>
      <c r="I82" s="14">
        <v>4.2983689839272577E-8</v>
      </c>
      <c r="J82" s="14">
        <v>1.0611752676897507E-8</v>
      </c>
      <c r="K82" s="14">
        <v>0</v>
      </c>
    </row>
    <row r="83" spans="1:11">
      <c r="A83" s="2" t="s">
        <v>514</v>
      </c>
      <c r="B83" s="3" t="s">
        <v>424</v>
      </c>
      <c r="D83" s="14">
        <v>8.7046729639810605E-14</v>
      </c>
      <c r="E83" s="14">
        <v>1.030889569598088E-6</v>
      </c>
      <c r="F83" s="14">
        <v>3.4932260961873398E-5</v>
      </c>
      <c r="G83" s="14">
        <v>2.5893517738137612E-8</v>
      </c>
      <c r="H83" s="14">
        <v>0</v>
      </c>
      <c r="I83" s="14">
        <v>3.9752200491994126E-6</v>
      </c>
      <c r="J83" s="14">
        <v>3.5735814544239629E-8</v>
      </c>
      <c r="K83" s="14">
        <v>0</v>
      </c>
    </row>
    <row r="84" spans="1:11">
      <c r="A84" s="2" t="s">
        <v>403</v>
      </c>
      <c r="B84" s="3" t="s">
        <v>404</v>
      </c>
      <c r="D84" s="14">
        <v>2.6974484069192795E-48</v>
      </c>
      <c r="E84" s="14">
        <v>1.7190670311414891E-5</v>
      </c>
      <c r="F84" s="14">
        <v>1.8622044569321905E-6</v>
      </c>
      <c r="G84" s="14">
        <v>4.3084684506193284E-7</v>
      </c>
      <c r="H84" s="14">
        <v>0</v>
      </c>
      <c r="I84" s="14">
        <v>3.1236269156265476E-7</v>
      </c>
      <c r="J84" s="14">
        <v>2.0203915695028334E-5</v>
      </c>
      <c r="K84" s="14">
        <v>0</v>
      </c>
    </row>
    <row r="85" spans="1:11">
      <c r="A85" s="2" t="s">
        <v>405</v>
      </c>
      <c r="B85" s="3" t="s">
        <v>406</v>
      </c>
      <c r="D85" s="14">
        <v>1.3386955397667913E-12</v>
      </c>
      <c r="E85" s="14">
        <v>4.9023335252836053E-6</v>
      </c>
      <c r="F85" s="14">
        <v>7.6780107611293144E-6</v>
      </c>
      <c r="G85" s="14">
        <v>4.0139550872221776E-7</v>
      </c>
      <c r="H85" s="14">
        <v>0</v>
      </c>
      <c r="I85" s="14">
        <v>2.5507882645999504E-5</v>
      </c>
      <c r="J85" s="14">
        <v>1.5103762201698253E-6</v>
      </c>
      <c r="K85" s="14">
        <v>0</v>
      </c>
    </row>
    <row r="86" spans="1:11">
      <c r="A86" s="2" t="s">
        <v>407</v>
      </c>
      <c r="B86" s="3" t="s">
        <v>408</v>
      </c>
      <c r="D86" s="14">
        <v>4.8417061050196267E-9</v>
      </c>
      <c r="E86" s="14">
        <v>6.6988166088714549E-8</v>
      </c>
      <c r="F86" s="14">
        <v>3.237223160141592E-6</v>
      </c>
      <c r="G86" s="14">
        <v>1.375207379605478E-5</v>
      </c>
      <c r="H86" s="14">
        <v>0</v>
      </c>
      <c r="I86" s="14">
        <v>1.0410899709921804E-5</v>
      </c>
      <c r="J86" s="14">
        <v>1.2527973461688099E-5</v>
      </c>
      <c r="K86" s="14">
        <v>0</v>
      </c>
    </row>
    <row r="87" spans="1:11">
      <c r="A87" s="2" t="s">
        <v>409</v>
      </c>
      <c r="B87" s="3" t="s">
        <v>410</v>
      </c>
      <c r="D87" s="14">
        <v>6.3775453390962358E-10</v>
      </c>
      <c r="E87" s="14">
        <v>2.46941009531402E-8</v>
      </c>
      <c r="F87" s="14">
        <v>1.8557854682831613E-6</v>
      </c>
      <c r="G87" s="14">
        <v>1.6520505239592633E-5</v>
      </c>
      <c r="H87" s="14">
        <v>0</v>
      </c>
      <c r="I87" s="14">
        <v>1.2621279657291382E-5</v>
      </c>
      <c r="J87" s="14">
        <v>8.9770977793457814E-6</v>
      </c>
      <c r="K87" s="14">
        <v>0</v>
      </c>
    </row>
    <row r="88" spans="1:11">
      <c r="A88" s="2" t="s">
        <v>301</v>
      </c>
      <c r="B88" s="3" t="s">
        <v>302</v>
      </c>
      <c r="D88" s="14">
        <v>8.3521292153674592E-11</v>
      </c>
      <c r="E88" s="14">
        <v>7.3494843451094111E-9</v>
      </c>
      <c r="F88" s="14">
        <v>9.1258099382118345E-7</v>
      </c>
      <c r="G88" s="14">
        <v>1.8843734427569696E-5</v>
      </c>
      <c r="H88" s="14">
        <v>0</v>
      </c>
      <c r="I88" s="14">
        <v>1.4546679470792964E-5</v>
      </c>
      <c r="J88" s="14">
        <v>5.6895721021788971E-6</v>
      </c>
      <c r="K88" s="14">
        <v>0</v>
      </c>
    </row>
    <row r="89" spans="1:11">
      <c r="A89" s="2" t="s">
        <v>303</v>
      </c>
      <c r="B89" s="3" t="s">
        <v>304</v>
      </c>
      <c r="D89" s="14">
        <v>5.8965261838073764E-18</v>
      </c>
      <c r="E89" s="14">
        <v>4.5478917755823291E-8</v>
      </c>
      <c r="F89" s="14">
        <v>5.1795644328630585E-7</v>
      </c>
      <c r="G89" s="14">
        <v>1.3470983862265797E-6</v>
      </c>
      <c r="H89" s="14">
        <v>0</v>
      </c>
      <c r="I89" s="14">
        <v>3.7521252231149021E-5</v>
      </c>
      <c r="J89" s="14">
        <v>5.6821402157637072E-7</v>
      </c>
      <c r="K89" s="14">
        <v>0</v>
      </c>
    </row>
    <row r="90" spans="1:11">
      <c r="A90" s="2" t="s">
        <v>425</v>
      </c>
      <c r="B90" s="3" t="s">
        <v>426</v>
      </c>
      <c r="D90" s="14">
        <v>6.3918501205288532E-18</v>
      </c>
      <c r="E90" s="14">
        <v>3.8974296207952294E-5</v>
      </c>
      <c r="F90" s="14">
        <v>3.6558875745693569E-9</v>
      </c>
      <c r="G90" s="14">
        <v>1.2274904412605988E-9</v>
      </c>
      <c r="H90" s="14">
        <v>0</v>
      </c>
      <c r="I90" s="14">
        <v>1.86749861573712E-8</v>
      </c>
      <c r="J90" s="14">
        <v>1.0021454278681201E-6</v>
      </c>
      <c r="K90" s="14">
        <v>0</v>
      </c>
    </row>
    <row r="91" spans="1:11">
      <c r="A91" s="2" t="s">
        <v>427</v>
      </c>
      <c r="B91" s="3" t="s">
        <v>428</v>
      </c>
      <c r="D91" s="14">
        <v>3.5079091123090144E-9</v>
      </c>
      <c r="E91" s="14">
        <v>3.0601872195715378E-5</v>
      </c>
      <c r="F91" s="14">
        <v>2.340574921721667E-7</v>
      </c>
      <c r="G91" s="14">
        <v>6.5829128079356625E-8</v>
      </c>
      <c r="H91" s="14">
        <v>0</v>
      </c>
      <c r="I91" s="14">
        <v>5.9679674382089135E-8</v>
      </c>
      <c r="J91" s="14">
        <v>9.0350536005387015E-6</v>
      </c>
      <c r="K91" s="14">
        <v>0</v>
      </c>
    </row>
    <row r="92" spans="1:11">
      <c r="A92" s="2" t="s">
        <v>429</v>
      </c>
      <c r="B92" s="3" t="s">
        <v>430</v>
      </c>
      <c r="D92" s="14">
        <v>4.2061194539241726E-8</v>
      </c>
      <c r="E92" s="14">
        <v>1.059793537738776E-5</v>
      </c>
      <c r="F92" s="14">
        <v>4.0082593784212439E-6</v>
      </c>
      <c r="G92" s="14">
        <v>8.4576824024414719E-7</v>
      </c>
      <c r="H92" s="14">
        <v>0</v>
      </c>
      <c r="I92" s="14">
        <v>6.0784118373589674E-7</v>
      </c>
      <c r="J92" s="14">
        <v>2.3898134625671715E-5</v>
      </c>
      <c r="K92" s="14">
        <v>0</v>
      </c>
    </row>
    <row r="93" spans="1:11">
      <c r="A93" s="2" t="s">
        <v>431</v>
      </c>
      <c r="B93" s="3" t="s">
        <v>432</v>
      </c>
      <c r="D93" s="14">
        <v>4.8213306856680688E-22</v>
      </c>
      <c r="E93" s="14">
        <v>3.9957862905948976E-5</v>
      </c>
      <c r="F93" s="14">
        <v>1.7446439264268625E-8</v>
      </c>
      <c r="G93" s="14">
        <v>1.3977475005334688E-11</v>
      </c>
      <c r="H93" s="14">
        <v>0</v>
      </c>
      <c r="I93" s="14">
        <v>1.8556819176304545E-8</v>
      </c>
      <c r="J93" s="14">
        <v>6.1198581354533902E-9</v>
      </c>
      <c r="K93" s="14">
        <v>0</v>
      </c>
    </row>
    <row r="94" spans="1:11">
      <c r="A94" s="2" t="s">
        <v>433</v>
      </c>
      <c r="B94" s="3" t="s">
        <v>434</v>
      </c>
      <c r="D94" s="14">
        <v>1.0150497906502488E-22</v>
      </c>
      <c r="E94" s="14">
        <v>3.9981309142964661E-5</v>
      </c>
      <c r="F94" s="14">
        <v>6.7633453062770251E-11</v>
      </c>
      <c r="G94" s="14">
        <v>9.4375051772354741E-14</v>
      </c>
      <c r="H94" s="14">
        <v>0</v>
      </c>
      <c r="I94" s="14">
        <v>1.8468898861026886E-8</v>
      </c>
      <c r="J94" s="14">
        <v>1.5423034619607714E-10</v>
      </c>
      <c r="K94" s="14">
        <v>0</v>
      </c>
    </row>
    <row r="95" spans="1:11">
      <c r="A95" s="2" t="s">
        <v>435</v>
      </c>
      <c r="B95" s="3" t="s">
        <v>436</v>
      </c>
      <c r="D95" s="14">
        <v>5.4541221756674657E-13</v>
      </c>
      <c r="E95" s="14">
        <v>3.7640287209207791E-5</v>
      </c>
      <c r="F95" s="14">
        <v>1.4961332308607909E-8</v>
      </c>
      <c r="G95" s="14">
        <v>5.1892132159962895E-9</v>
      </c>
      <c r="H95" s="14">
        <v>0</v>
      </c>
      <c r="I95" s="14">
        <v>2.1024085198762592E-8</v>
      </c>
      <c r="J95" s="14">
        <v>2.3185376146566295E-6</v>
      </c>
      <c r="K95" s="14">
        <v>0</v>
      </c>
    </row>
    <row r="96" spans="1:11">
      <c r="A96" s="2" t="s">
        <v>437</v>
      </c>
      <c r="B96" s="163" t="s">
        <v>438</v>
      </c>
      <c r="D96" s="14">
        <v>8.8458528394258473E-12</v>
      </c>
      <c r="E96" s="14">
        <v>9.5253156146050115E-8</v>
      </c>
      <c r="F96" s="14">
        <v>3.9049360415187004E-6</v>
      </c>
      <c r="G96" s="14">
        <v>1.2592428116662476E-5</v>
      </c>
      <c r="H96" s="14">
        <v>0</v>
      </c>
      <c r="I96" s="14">
        <v>9.5007370841161449E-6</v>
      </c>
      <c r="J96" s="14">
        <v>1.3906636755703795E-5</v>
      </c>
      <c r="K96" s="14">
        <v>0</v>
      </c>
    </row>
    <row r="97" spans="1:11">
      <c r="A97" s="2" t="s">
        <v>439</v>
      </c>
      <c r="B97" s="3" t="s">
        <v>440</v>
      </c>
      <c r="D97" s="14">
        <v>1.7989009442930015E-9</v>
      </c>
      <c r="E97" s="14">
        <v>2.7151067801861278E-5</v>
      </c>
      <c r="F97" s="14">
        <v>4.6225483740016946E-7</v>
      </c>
      <c r="G97" s="14">
        <v>1.2256797755196284E-7</v>
      </c>
      <c r="H97" s="14">
        <v>0</v>
      </c>
      <c r="I97" s="14">
        <v>9.7939667135435802E-8</v>
      </c>
      <c r="J97" s="14">
        <v>1.2164370815106866E-5</v>
      </c>
      <c r="K97" s="14">
        <v>0</v>
      </c>
    </row>
    <row r="98" spans="1:11">
      <c r="A98" s="2" t="s">
        <v>441</v>
      </c>
      <c r="B98" s="3" t="s">
        <v>442</v>
      </c>
      <c r="D98" s="14">
        <v>1.1666969191865748E-21</v>
      </c>
      <c r="E98" s="14">
        <v>3.0012191959870484E-5</v>
      </c>
      <c r="F98" s="14">
        <v>2.6670568063948328E-7</v>
      </c>
      <c r="G98" s="14">
        <v>7.4187002056220457E-8</v>
      </c>
      <c r="H98" s="14">
        <v>0</v>
      </c>
      <c r="I98" s="14">
        <v>6.5262069297750032E-8</v>
      </c>
      <c r="J98" s="14">
        <v>9.5816532881360649E-6</v>
      </c>
      <c r="K98" s="14">
        <v>0</v>
      </c>
    </row>
    <row r="99" spans="1:11">
      <c r="A99" s="2" t="s">
        <v>443</v>
      </c>
      <c r="B99" s="3" t="s">
        <v>444</v>
      </c>
      <c r="D99" s="14">
        <v>1.7043655293785726E-33</v>
      </c>
      <c r="E99" s="14">
        <v>3.5144907657836153E-5</v>
      </c>
      <c r="F99" s="14">
        <v>5.9956594464835027E-8</v>
      </c>
      <c r="G99" s="14">
        <v>1.883356400448157E-8</v>
      </c>
      <c r="H99" s="14">
        <v>0</v>
      </c>
      <c r="I99" s="14">
        <v>2.9018956741618575E-8</v>
      </c>
      <c r="J99" s="14">
        <v>4.7472832269529131E-6</v>
      </c>
      <c r="K99" s="14">
        <v>0</v>
      </c>
    </row>
    <row r="100" spans="1:11">
      <c r="A100" s="2" t="s">
        <v>445</v>
      </c>
      <c r="B100" s="3" t="s">
        <v>446</v>
      </c>
      <c r="D100" s="14">
        <v>8.6452430196429976E-12</v>
      </c>
      <c r="E100" s="14">
        <v>5.8287693525081264E-7</v>
      </c>
      <c r="F100" s="14">
        <v>9.1401099651180124E-6</v>
      </c>
      <c r="G100" s="14">
        <v>5.890429685550676E-6</v>
      </c>
      <c r="H100" s="14">
        <v>0</v>
      </c>
      <c r="I100" s="14">
        <v>4.3575590813690935E-6</v>
      </c>
      <c r="J100" s="14">
        <v>2.0029015687468395E-5</v>
      </c>
      <c r="K100" s="14">
        <v>0</v>
      </c>
    </row>
    <row r="101" spans="1:11">
      <c r="A101" s="2" t="s">
        <v>447</v>
      </c>
      <c r="B101" s="3" t="s">
        <v>448</v>
      </c>
      <c r="D101" s="14">
        <v>3.2395062731993552E-13</v>
      </c>
      <c r="E101" s="14">
        <v>1.2970552914681303E-5</v>
      </c>
      <c r="F101" s="14">
        <v>3.0503736461256272E-6</v>
      </c>
      <c r="G101" s="14">
        <v>6.6657434645424768E-7</v>
      </c>
      <c r="H101" s="14">
        <v>0</v>
      </c>
      <c r="I101" s="14">
        <v>4.7959080455203067E-7</v>
      </c>
      <c r="J101" s="14">
        <v>2.2832907964236173E-5</v>
      </c>
      <c r="K101" s="14">
        <v>0</v>
      </c>
    </row>
    <row r="102" spans="1:11">
      <c r="A102" s="2" t="s">
        <v>449</v>
      </c>
      <c r="B102" s="3" t="s">
        <v>450</v>
      </c>
      <c r="D102" s="14">
        <v>2.4990557982428692E-8</v>
      </c>
      <c r="E102" s="14">
        <v>4.9610730001538501E-6</v>
      </c>
      <c r="F102" s="14">
        <v>8.2044631348341651E-6</v>
      </c>
      <c r="G102" s="14">
        <v>1.5529079857817047E-6</v>
      </c>
      <c r="H102" s="14">
        <v>0</v>
      </c>
      <c r="I102" s="14">
        <v>1.1209511938547916E-6</v>
      </c>
      <c r="J102" s="14">
        <v>2.4135614127393069E-5</v>
      </c>
      <c r="K102" s="14">
        <v>0</v>
      </c>
    </row>
    <row r="103" spans="1:11">
      <c r="A103" s="2" t="s">
        <v>451</v>
      </c>
      <c r="B103" s="3" t="s">
        <v>452</v>
      </c>
      <c r="D103" s="14">
        <v>1.9364123733413176E-23</v>
      </c>
      <c r="E103" s="14">
        <v>3.9508887671526401E-5</v>
      </c>
      <c r="F103" s="14">
        <v>4.6226323385753244E-7</v>
      </c>
      <c r="G103" s="14">
        <v>4.4860546643784459E-11</v>
      </c>
      <c r="H103" s="14">
        <v>0</v>
      </c>
      <c r="I103" s="14">
        <v>2.3621282008757031E-8</v>
      </c>
      <c r="J103" s="14">
        <v>5.1829520606764429E-9</v>
      </c>
      <c r="K103" s="14">
        <v>0</v>
      </c>
    </row>
    <row r="104" spans="1:11">
      <c r="A104" s="2" t="s">
        <v>453</v>
      </c>
      <c r="B104" s="3" t="s">
        <v>454</v>
      </c>
      <c r="D104" s="14">
        <v>4.0365138446683919E-24</v>
      </c>
      <c r="E104" s="14">
        <v>3.9855809640933638E-6</v>
      </c>
      <c r="F104" s="14">
        <v>3.5294431122757141E-5</v>
      </c>
      <c r="G104" s="14">
        <v>3.7374194091585778E-8</v>
      </c>
      <c r="H104" s="14">
        <v>0</v>
      </c>
      <c r="I104" s="14">
        <v>4.3459499598814328E-7</v>
      </c>
      <c r="J104" s="14">
        <v>2.4801872306977439E-7</v>
      </c>
      <c r="K104" s="14">
        <v>0</v>
      </c>
    </row>
    <row r="105" spans="1:11">
      <c r="A105" s="2" t="s">
        <v>455</v>
      </c>
      <c r="B105" s="163">
        <v>354656</v>
      </c>
      <c r="D105" s="14">
        <v>1.4705152762307759E-14</v>
      </c>
      <c r="E105" s="14">
        <v>3.8774767730646639E-5</v>
      </c>
      <c r="F105" s="14">
        <v>3.9205207372556501E-9</v>
      </c>
      <c r="G105" s="14">
        <v>1.516489161573752E-9</v>
      </c>
      <c r="H105" s="14">
        <v>0</v>
      </c>
      <c r="I105" s="14">
        <v>1.8770538696092693E-8</v>
      </c>
      <c r="J105" s="14">
        <v>1.2010247060532808E-6</v>
      </c>
      <c r="K105" s="14">
        <v>0</v>
      </c>
    </row>
    <row r="106" spans="1:11">
      <c r="A106" s="2" t="s">
        <v>457</v>
      </c>
      <c r="B106" s="3" t="s">
        <v>458</v>
      </c>
      <c r="D106" s="14">
        <v>2.1872886219404297E-14</v>
      </c>
      <c r="E106" s="14">
        <v>3.7529264017025513E-5</v>
      </c>
      <c r="F106" s="14">
        <v>1.6222053662930136E-8</v>
      </c>
      <c r="G106" s="14">
        <v>5.6012032415323236E-9</v>
      </c>
      <c r="H106" s="14">
        <v>0</v>
      </c>
      <c r="I106" s="14">
        <v>2.1218608850570088E-8</v>
      </c>
      <c r="J106" s="14">
        <v>2.4276940953465779E-6</v>
      </c>
      <c r="K106" s="14">
        <v>0</v>
      </c>
    </row>
    <row r="107" spans="1:11">
      <c r="A107" s="2" t="s">
        <v>459</v>
      </c>
      <c r="B107" s="3" t="s">
        <v>460</v>
      </c>
      <c r="D107" s="14">
        <v>7.2621845309436735E-24</v>
      </c>
      <c r="E107" s="14">
        <v>3.3167976627651121E-6</v>
      </c>
      <c r="F107" s="14">
        <v>1.1255651120613794E-5</v>
      </c>
      <c r="G107" s="14">
        <v>1.9699663874332535E-6</v>
      </c>
      <c r="H107" s="14">
        <v>0</v>
      </c>
      <c r="I107" s="14">
        <v>1.761995748808712E-6</v>
      </c>
      <c r="J107" s="14">
        <v>2.1695589080379133E-5</v>
      </c>
      <c r="K107" s="14">
        <v>0</v>
      </c>
    </row>
    <row r="108" spans="1:11">
      <c r="A108" s="2" t="s">
        <v>461</v>
      </c>
      <c r="B108" s="3" t="s">
        <v>462</v>
      </c>
      <c r="D108" s="14">
        <v>4.3855552715002706E-14</v>
      </c>
      <c r="E108" s="14">
        <v>3.9979361852779109E-5</v>
      </c>
      <c r="F108" s="14">
        <v>3.5032503923087343E-11</v>
      </c>
      <c r="G108" s="14">
        <v>1.0153897171772694E-12</v>
      </c>
      <c r="H108" s="14">
        <v>0</v>
      </c>
      <c r="I108" s="14">
        <v>1.8387200002315443E-8</v>
      </c>
      <c r="J108" s="14">
        <v>2.2148554693915622E-9</v>
      </c>
      <c r="K108" s="14">
        <v>0</v>
      </c>
    </row>
    <row r="109" spans="1:11">
      <c r="A109" s="2" t="s">
        <v>463</v>
      </c>
      <c r="B109" s="3" t="s">
        <v>464</v>
      </c>
      <c r="D109" s="14">
        <v>1.1760722394805966E-16</v>
      </c>
      <c r="E109" s="14">
        <v>3.8667659785852696E-5</v>
      </c>
      <c r="F109" s="14">
        <v>2.4145211136522204E-7</v>
      </c>
      <c r="G109" s="14">
        <v>1.2001542939504682E-8</v>
      </c>
      <c r="H109" s="14">
        <v>0</v>
      </c>
      <c r="I109" s="14">
        <v>3.1619364155755621E-7</v>
      </c>
      <c r="J109" s="14">
        <v>7.6269291816742501E-7</v>
      </c>
      <c r="K109" s="14">
        <v>0</v>
      </c>
    </row>
    <row r="110" spans="1:11">
      <c r="A110" s="2" t="s">
        <v>465</v>
      </c>
      <c r="B110" s="3" t="s">
        <v>466</v>
      </c>
      <c r="D110" s="14">
        <v>8.3281959442799761E-16</v>
      </c>
      <c r="E110" s="14">
        <v>3.9731273913836115E-5</v>
      </c>
      <c r="F110" s="14">
        <v>8.9603926381276687E-10</v>
      </c>
      <c r="G110" s="14">
        <v>1.7143266094505965E-10</v>
      </c>
      <c r="H110" s="14">
        <v>0</v>
      </c>
      <c r="I110" s="14">
        <v>1.8310436769465276E-8</v>
      </c>
      <c r="J110" s="14">
        <v>2.4934817663684076E-7</v>
      </c>
      <c r="K110" s="14">
        <v>0</v>
      </c>
    </row>
    <row r="111" spans="1:11">
      <c r="A111" s="2" t="s">
        <v>467</v>
      </c>
      <c r="B111" s="3" t="s">
        <v>468</v>
      </c>
      <c r="D111" s="14">
        <v>1.4800351588124839E-34</v>
      </c>
      <c r="E111" s="14">
        <v>3.9981409198900779E-5</v>
      </c>
      <c r="F111" s="14">
        <v>6.3663813232632114E-11</v>
      </c>
      <c r="G111" s="14">
        <v>5.2597438722216313E-14</v>
      </c>
      <c r="H111" s="14">
        <v>0</v>
      </c>
      <c r="I111" s="14">
        <v>1.8303172761896422E-8</v>
      </c>
      <c r="J111" s="14">
        <v>2.2391192666081571E-10</v>
      </c>
      <c r="K111" s="14">
        <v>0</v>
      </c>
    </row>
    <row r="112" spans="1:11">
      <c r="A112" s="2" t="s">
        <v>469</v>
      </c>
      <c r="B112" s="3" t="s">
        <v>470</v>
      </c>
      <c r="D112" s="14">
        <v>9.356308340413246E-18</v>
      </c>
      <c r="E112" s="14">
        <v>3.9658308810434417E-5</v>
      </c>
      <c r="F112" s="14">
        <v>3.0901441613108679E-10</v>
      </c>
      <c r="G112" s="14">
        <v>1.4436911558389268E-10</v>
      </c>
      <c r="H112" s="14">
        <v>0</v>
      </c>
      <c r="I112" s="14">
        <v>1.8249404971233411E-8</v>
      </c>
      <c r="J112" s="14">
        <v>3.2298840105327639E-7</v>
      </c>
      <c r="K112" s="14">
        <v>0</v>
      </c>
    </row>
    <row r="113" spans="1:11">
      <c r="A113" s="2" t="s">
        <v>471</v>
      </c>
      <c r="B113" s="3" t="s">
        <v>472</v>
      </c>
      <c r="D113" s="14">
        <v>1.1545510766472623E-13</v>
      </c>
      <c r="E113" s="14">
        <v>3.8151605184313938E-5</v>
      </c>
      <c r="F113" s="14">
        <v>8.8041486274579362E-9</v>
      </c>
      <c r="G113" s="14">
        <v>3.2046670931353213E-9</v>
      </c>
      <c r="H113" s="14">
        <v>0</v>
      </c>
      <c r="I113" s="14">
        <v>1.9634284199037857E-8</v>
      </c>
      <c r="J113" s="14">
        <v>1.8167516003113298E-6</v>
      </c>
      <c r="K113" s="14">
        <v>0</v>
      </c>
    </row>
    <row r="114" spans="1:11">
      <c r="A114" s="2" t="s">
        <v>473</v>
      </c>
      <c r="B114" s="3" t="s">
        <v>474</v>
      </c>
      <c r="D114" s="14">
        <v>9.1835105027964829E-21</v>
      </c>
      <c r="E114" s="14">
        <v>3.9814156555327752E-5</v>
      </c>
      <c r="F114" s="14">
        <v>8.9972972792211575E-11</v>
      </c>
      <c r="G114" s="14">
        <v>4.5329473408550424E-11</v>
      </c>
      <c r="H114" s="14">
        <v>0</v>
      </c>
      <c r="I114" s="14">
        <v>1.8254998825425739E-8</v>
      </c>
      <c r="J114" s="14">
        <v>1.6745314340061609E-7</v>
      </c>
      <c r="K114" s="14">
        <v>0</v>
      </c>
    </row>
    <row r="115" spans="1:11">
      <c r="A115" s="2" t="s">
        <v>475</v>
      </c>
      <c r="B115" s="3" t="s">
        <v>476</v>
      </c>
      <c r="D115" s="14">
        <v>4.8692436077751187E-17</v>
      </c>
      <c r="E115" s="14">
        <v>3.9865357509788868E-5</v>
      </c>
      <c r="F115" s="14">
        <v>1.1214249481801256E-7</v>
      </c>
      <c r="G115" s="14">
        <v>1.3432413939922433E-11</v>
      </c>
      <c r="H115" s="14">
        <v>0</v>
      </c>
      <c r="I115" s="14">
        <v>1.9721743981319632E-8</v>
      </c>
      <c r="J115" s="14">
        <v>2.7648189491708288E-9</v>
      </c>
      <c r="K115" s="14">
        <v>0</v>
      </c>
    </row>
    <row r="116" spans="1:11">
      <c r="A116" s="2" t="s">
        <v>477</v>
      </c>
      <c r="B116" s="3" t="s">
        <v>478</v>
      </c>
      <c r="D116" s="14">
        <v>4.2346423832074534E-21</v>
      </c>
      <c r="E116" s="14">
        <v>1.6928774996333389E-5</v>
      </c>
      <c r="F116" s="14">
        <v>1.0341486966733088E-5</v>
      </c>
      <c r="G116" s="14">
        <v>2.5047622507563308E-7</v>
      </c>
      <c r="H116" s="14">
        <v>0</v>
      </c>
      <c r="I116" s="14">
        <v>1.0061134624226195E-5</v>
      </c>
      <c r="J116" s="14">
        <v>2.4181271876316971E-6</v>
      </c>
      <c r="K116" s="14">
        <v>0</v>
      </c>
    </row>
    <row r="117" spans="1:11">
      <c r="A117" s="2" t="s">
        <v>291</v>
      </c>
      <c r="B117" s="3" t="s">
        <v>479</v>
      </c>
      <c r="D117" s="14">
        <v>1.4487773572304955E-14</v>
      </c>
      <c r="E117" s="14">
        <v>2.3333576665797205E-5</v>
      </c>
      <c r="F117" s="14">
        <v>8.4115467830503077E-7</v>
      </c>
      <c r="G117" s="14">
        <v>2.110432275645523E-7</v>
      </c>
      <c r="H117" s="14">
        <v>0</v>
      </c>
      <c r="I117" s="14">
        <v>1.5869014030731348E-7</v>
      </c>
      <c r="J117" s="14">
        <v>1.5455535273538127E-5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B574-AF2D-4B33-8908-1FD81E10FAD9}">
  <dimension ref="A1:D117"/>
  <sheetViews>
    <sheetView tabSelected="1" topLeftCell="A100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1.8518458508558331E-8</v>
      </c>
      <c r="B2">
        <f>'Mass Balance'!E2</f>
        <v>3.9046199188176483E-5</v>
      </c>
      <c r="C2">
        <f>SUM('Mass Balance'!E2:H2)</f>
        <v>3.904955433860899E-5</v>
      </c>
      <c r="D2">
        <f>Concentrations!F2/Concentrations!E2</f>
        <v>1.0003040382004165</v>
      </c>
    </row>
    <row r="3" spans="1:4">
      <c r="A3">
        <f>'Mass Balance'!I3</f>
        <v>2.0631005055899235E-7</v>
      </c>
      <c r="B3">
        <f>'Mass Balance'!E3</f>
        <v>2.3516655306286336E-5</v>
      </c>
      <c r="C3">
        <f>SUM('Mass Balance'!E3:H3)</f>
        <v>2.4673820188404284E-5</v>
      </c>
      <c r="D3">
        <f>Concentrations!F3/Concentrations!E3</f>
        <v>0.95347321310179423</v>
      </c>
    </row>
    <row r="4" spans="1:4">
      <c r="A4">
        <f>'Mass Balance'!I4</f>
        <v>2.1676819875228005E-8</v>
      </c>
      <c r="B4">
        <f>'Mass Balance'!E4</f>
        <v>3.9975817119112718E-5</v>
      </c>
      <c r="C4">
        <f>SUM('Mass Balance'!E4:H4)</f>
        <v>3.9977500141584012E-5</v>
      </c>
      <c r="D4">
        <f>Concentrations!F4/Concentrations!E4</f>
        <v>1.0003478763736682</v>
      </c>
    </row>
    <row r="5" spans="1:4">
      <c r="A5">
        <f>'Mass Balance'!I5</f>
        <v>4.8945775981269655E-8</v>
      </c>
      <c r="B5">
        <f>'Mass Balance'!E5</f>
        <v>3.690202024399453E-5</v>
      </c>
      <c r="C5">
        <f>SUM('Mass Balance'!E5:H5)</f>
        <v>3.9938421496979968E-5</v>
      </c>
      <c r="D5">
        <f>Concentrations!F5/Concentrations!E5</f>
        <v>0.92433326992500109</v>
      </c>
    </row>
    <row r="6" spans="1:4">
      <c r="A6">
        <f>'Mass Balance'!I6</f>
        <v>8.4192655908711846E-8</v>
      </c>
      <c r="B6">
        <f>'Mass Balance'!E6</f>
        <v>3.2994667252125748E-5</v>
      </c>
      <c r="C6">
        <f>SUM('Mass Balance'!E6:H6)</f>
        <v>3.9844251769864858E-5</v>
      </c>
      <c r="D6">
        <f>Concentrations!F6/Concentrations!E6</f>
        <v>0.82841397299118713</v>
      </c>
    </row>
    <row r="7" spans="1:4">
      <c r="A7">
        <f>'Mass Balance'!I7</f>
        <v>1.9325453805752919E-7</v>
      </c>
      <c r="B7">
        <f>'Mass Balance'!E7</f>
        <v>2.1432948365057028E-5</v>
      </c>
      <c r="C7">
        <f>SUM('Mass Balance'!E7:H7)</f>
        <v>3.9067305207116671E-5</v>
      </c>
      <c r="D7">
        <f>Concentrations!F7/Concentrations!E7</f>
        <v>0.5488299469472826</v>
      </c>
    </row>
    <row r="8" spans="1:4">
      <c r="A8">
        <f>'Mass Balance'!I8</f>
        <v>1.1038304294412382E-7</v>
      </c>
      <c r="B8">
        <f>'Mass Balance'!E8</f>
        <v>2.987271252113972E-5</v>
      </c>
      <c r="C8">
        <f>SUM('Mass Balance'!E8:H8)</f>
        <v>3.9844551225490241E-5</v>
      </c>
      <c r="D8">
        <f>Concentrations!F8/Concentrations!E8</f>
        <v>0.75002382313076288</v>
      </c>
    </row>
    <row r="9" spans="1:4">
      <c r="A9">
        <f>'Mass Balance'!I9</f>
        <v>4.2874362556763022E-8</v>
      </c>
      <c r="B9">
        <f>'Mass Balance'!E9</f>
        <v>3.7557138275770011E-5</v>
      </c>
      <c r="C9">
        <f>SUM('Mass Balance'!E9:H9)</f>
        <v>3.9904995169554412E-5</v>
      </c>
      <c r="D9">
        <f>Concentrations!F9/Concentrations!E9</f>
        <v>0.94153088105625038</v>
      </c>
    </row>
    <row r="10" spans="1:4">
      <c r="A10">
        <f>'Mass Balance'!I10</f>
        <v>1.7432608867408949E-6</v>
      </c>
      <c r="B10">
        <f>'Mass Balance'!E10</f>
        <v>1.9046803204271163E-6</v>
      </c>
      <c r="C10">
        <f>SUM('Mass Balance'!E10:H10)</f>
        <v>1.8000353211562521E-5</v>
      </c>
      <c r="D10">
        <f>Concentrations!F10/Concentrations!E10</f>
        <v>0.10585476341410867</v>
      </c>
    </row>
    <row r="11" spans="1:4">
      <c r="A11">
        <f>'Mass Balance'!I11</f>
        <v>1.4187212701507684E-5</v>
      </c>
      <c r="B11">
        <f>'Mass Balance'!E11</f>
        <v>1.3786605351209895E-7</v>
      </c>
      <c r="C11">
        <f>SUM('Mass Balance'!E11:H11)</f>
        <v>2.1830625544975051E-5</v>
      </c>
      <c r="D11">
        <f>Concentrations!F11/Concentrations!E11</f>
        <v>6.3177218577935871E-3</v>
      </c>
    </row>
    <row r="12" spans="1:4">
      <c r="A12">
        <f>'Mass Balance'!I12</f>
        <v>1.6896887406188876E-8</v>
      </c>
      <c r="B12">
        <f>'Mass Balance'!E12</f>
        <v>3.6828183928659128E-5</v>
      </c>
      <c r="C12">
        <f>SUM('Mass Balance'!E12:H12)</f>
        <v>3.6828338218652765E-5</v>
      </c>
      <c r="D12">
        <f>Concentrations!F12/Concentrations!E12</f>
        <v>1.0003858009638957</v>
      </c>
    </row>
    <row r="13" spans="1:4">
      <c r="A13">
        <f>'Mass Balance'!I13</f>
        <v>1.3085631120413442E-7</v>
      </c>
      <c r="B13">
        <f>'Mass Balance'!E13</f>
        <v>2.4917728986344544E-5</v>
      </c>
      <c r="C13">
        <f>SUM('Mass Balance'!E13:H13)</f>
        <v>2.5753807711214707E-5</v>
      </c>
      <c r="D13">
        <f>Concentrations!F13/Concentrations!E13</f>
        <v>0.96791305509794789</v>
      </c>
    </row>
    <row r="14" spans="1:4">
      <c r="A14">
        <f>'Mass Balance'!I14</f>
        <v>6.5498528006926712E-7</v>
      </c>
      <c r="B14">
        <f>'Mass Balance'!E14</f>
        <v>3.2004603580846568E-6</v>
      </c>
      <c r="C14">
        <f>SUM('Mass Balance'!E14:H14)</f>
        <v>3.9061827965792943E-5</v>
      </c>
      <c r="D14">
        <f>Concentrations!F14/Concentrations!E14</f>
        <v>8.1965148045166039E-2</v>
      </c>
    </row>
    <row r="15" spans="1:4">
      <c r="A15">
        <f>'Mass Balance'!I15</f>
        <v>3.0958046417727612E-8</v>
      </c>
      <c r="B15">
        <f>'Mass Balance'!E15</f>
        <v>3.1199980031319204E-5</v>
      </c>
      <c r="C15">
        <f>SUM('Mass Balance'!E15:H15)</f>
        <v>3.1303613104448621E-5</v>
      </c>
      <c r="D15">
        <f>Concentrations!F15/Concentrations!E15</f>
        <v>0.99707812228781301</v>
      </c>
    </row>
    <row r="16" spans="1:4">
      <c r="A16">
        <f>'Mass Balance'!I16</f>
        <v>1.4871541313470821E-7</v>
      </c>
      <c r="B16">
        <f>'Mass Balance'!E16</f>
        <v>2.3849512517259337E-5</v>
      </c>
      <c r="C16">
        <f>SUM('Mass Balance'!E16:H16)</f>
        <v>2.4824051809986424E-5</v>
      </c>
      <c r="D16">
        <f>Concentrations!F16/Concentrations!E16</f>
        <v>0.96111681605375665</v>
      </c>
    </row>
    <row r="17" spans="1:4">
      <c r="A17">
        <f>'Mass Balance'!I17</f>
        <v>1.3700837695053851E-7</v>
      </c>
      <c r="B17">
        <f>'Mass Balance'!E17</f>
        <v>2.446927505049027E-5</v>
      </c>
      <c r="C17">
        <f>SUM('Mass Balance'!E17:H17)</f>
        <v>2.5353272381215289E-5</v>
      </c>
      <c r="D17">
        <f>Concentrations!F17/Concentrations!E17</f>
        <v>0.96550920546992725</v>
      </c>
    </row>
    <row r="18" spans="1:4">
      <c r="A18">
        <f>'Mass Balance'!I18</f>
        <v>8.912171241573073E-6</v>
      </c>
      <c r="B18">
        <f>'Mass Balance'!E18</f>
        <v>1.1823729854736956E-7</v>
      </c>
      <c r="C18">
        <f>SUM('Mass Balance'!E18:H18)</f>
        <v>1.6324732279557655E-5</v>
      </c>
      <c r="D18">
        <f>Concentrations!F18/Concentrations!E18</f>
        <v>7.2456569655418752E-3</v>
      </c>
    </row>
    <row r="19" spans="1:4">
      <c r="A19">
        <f>'Mass Balance'!I19</f>
        <v>2.2440933233208195E-8</v>
      </c>
      <c r="B19">
        <f>'Mass Balance'!E19</f>
        <v>3.6395925496734208E-5</v>
      </c>
      <c r="C19">
        <f>SUM('Mass Balance'!E19:H19)</f>
        <v>3.6429635766174921E-5</v>
      </c>
      <c r="D19">
        <f>Concentrations!F19/Concentrations!E19</f>
        <v>0.999464278244938</v>
      </c>
    </row>
    <row r="20" spans="1:4">
      <c r="A20">
        <f>'Mass Balance'!I20</f>
        <v>2.5937264016127809E-8</v>
      </c>
      <c r="B20">
        <f>'Mass Balance'!E20</f>
        <v>3.4937474844373892E-5</v>
      </c>
      <c r="C20">
        <f>SUM('Mass Balance'!E20:H20)</f>
        <v>3.4997255525317279E-5</v>
      </c>
      <c r="D20">
        <f>Concentrations!F20/Concentrations!E20</f>
        <v>0.99868117247035748</v>
      </c>
    </row>
    <row r="21" spans="1:4">
      <c r="A21">
        <f>'Mass Balance'!I21</f>
        <v>4.4426156379909378E-7</v>
      </c>
      <c r="B21">
        <f>'Mass Balance'!E21</f>
        <v>1.6245545347467594E-5</v>
      </c>
      <c r="C21">
        <f>SUM('Mass Balance'!E21:H21)</f>
        <v>2.8802121935996612E-5</v>
      </c>
      <c r="D21">
        <f>Concentrations!F21/Concentrations!E21</f>
        <v>0.56425984921748717</v>
      </c>
    </row>
    <row r="22" spans="1:4">
      <c r="A22">
        <f>'Mass Balance'!I22</f>
        <v>1.7607751958589788E-8</v>
      </c>
      <c r="B22">
        <f>'Mass Balance'!E22</f>
        <v>3.6180205384216506E-5</v>
      </c>
      <c r="C22">
        <f>SUM('Mass Balance'!E22:H22)</f>
        <v>3.6185800792379497E-5</v>
      </c>
      <c r="D22">
        <f>Concentrations!F22/Concentrations!E22</f>
        <v>1.0002353017912216</v>
      </c>
    </row>
    <row r="23" spans="1:4">
      <c r="A23">
        <f>'Mass Balance'!I23</f>
        <v>4.1912760614939801E-8</v>
      </c>
      <c r="B23">
        <f>'Mass Balance'!E23</f>
        <v>3.0075895441228696E-5</v>
      </c>
      <c r="C23">
        <f>SUM('Mass Balance'!E23:H23)</f>
        <v>3.0256110349991236E-5</v>
      </c>
      <c r="D23">
        <f>Concentrations!F23/Concentrations!E23</f>
        <v>0.99443135462023402</v>
      </c>
    </row>
    <row r="24" spans="1:4">
      <c r="A24">
        <f>'Mass Balance'!I24</f>
        <v>2.2038735049073203E-7</v>
      </c>
      <c r="B24">
        <f>'Mass Balance'!E24</f>
        <v>2.0381751993343118E-5</v>
      </c>
      <c r="C24">
        <f>SUM('Mass Balance'!E24:H24)</f>
        <v>2.1923806388858391E-5</v>
      </c>
      <c r="D24">
        <f>Concentrations!F24/Concentrations!E24</f>
        <v>0.93002557825139132</v>
      </c>
    </row>
    <row r="25" spans="1:4">
      <c r="A25">
        <f>'Mass Balance'!I25</f>
        <v>8.0163650292707322E-6</v>
      </c>
      <c r="B25">
        <f>'Mass Balance'!E25</f>
        <v>1.6189010893407371E-7</v>
      </c>
      <c r="C25">
        <f>SUM('Mass Balance'!E25:H25)</f>
        <v>1.5962480458068608E-5</v>
      </c>
      <c r="D25">
        <f>Concentrations!F25/Concentrations!E25</f>
        <v>1.0145869572868194E-2</v>
      </c>
    </row>
    <row r="26" spans="1:4">
      <c r="A26">
        <f>'Mass Balance'!I26</f>
        <v>4.0564316747776361E-7</v>
      </c>
      <c r="B26">
        <f>'Mass Balance'!E26</f>
        <v>9.3344813764368864E-6</v>
      </c>
      <c r="C26">
        <f>SUM('Mass Balance'!E26:H26)</f>
        <v>1.2513837804416965E-5</v>
      </c>
      <c r="D26">
        <f>Concentrations!F26/Concentrations!E26</f>
        <v>0.74622365222951759</v>
      </c>
    </row>
    <row r="27" spans="1:4">
      <c r="A27">
        <f>'Mass Balance'!I27</f>
        <v>1.9102602417134779E-7</v>
      </c>
      <c r="B27">
        <f>'Mass Balance'!E27</f>
        <v>8.8575220125125336E-7</v>
      </c>
      <c r="C27">
        <f>SUM('Mass Balance'!E27:H27)</f>
        <v>2.5438283987068854E-6</v>
      </c>
      <c r="D27">
        <f>Concentrations!F27/Concentrations!E27</f>
        <v>0.3483323159709637</v>
      </c>
    </row>
    <row r="28" spans="1:4">
      <c r="A28">
        <f>'Mass Balance'!I28</f>
        <v>7.8165269449719949E-8</v>
      </c>
      <c r="B28">
        <f>'Mass Balance'!E28</f>
        <v>1.3316459315372518E-6</v>
      </c>
      <c r="C28">
        <f>SUM('Mass Balance'!E28:H28)</f>
        <v>1.9568048860249966E-6</v>
      </c>
      <c r="D28">
        <f>Concentrations!F28/Concentrations!E28</f>
        <v>0.68078594465769404</v>
      </c>
    </row>
    <row r="29" spans="1:4">
      <c r="A29">
        <f>'Mass Balance'!I29</f>
        <v>1.9426139778459197E-9</v>
      </c>
      <c r="B29">
        <f>'Mass Balance'!E29</f>
        <v>2.3771374386807648E-6</v>
      </c>
      <c r="C29">
        <f>SUM('Mass Balance'!E29:H29)</f>
        <v>2.3823373414265703E-6</v>
      </c>
      <c r="D29">
        <f>Concentrations!F29/Concentrations!E29</f>
        <v>0.99820645128398888</v>
      </c>
    </row>
    <row r="30" spans="1:4">
      <c r="A30">
        <f>'Mass Balance'!I30</f>
        <v>2.7624774284352416E-8</v>
      </c>
      <c r="B30">
        <f>'Mass Balance'!E30</f>
        <v>5.0447148552602811E-7</v>
      </c>
      <c r="C30">
        <f>SUM('Mass Balance'!E30:H30)</f>
        <v>7.243976036898124E-7</v>
      </c>
      <c r="D30">
        <f>Concentrations!F30/Concentrations!E30</f>
        <v>0.69667296359957631</v>
      </c>
    </row>
    <row r="31" spans="1:4">
      <c r="A31">
        <f>'Mass Balance'!I31</f>
        <v>4.6041007380312997E-10</v>
      </c>
      <c r="B31">
        <f>'Mass Balance'!E31</f>
        <v>1.7987973542910291E-8</v>
      </c>
      <c r="C31">
        <f>SUM('Mass Balance'!E31:H31)</f>
        <v>2.1461524252031577E-8</v>
      </c>
      <c r="D31">
        <f>Concentrations!F31/Concentrations!E31</f>
        <v>0.83847673156790337</v>
      </c>
    </row>
    <row r="32" spans="1:4">
      <c r="A32">
        <f>'Mass Balance'!I32</f>
        <v>1.1292482496909829E-7</v>
      </c>
      <c r="B32">
        <f>'Mass Balance'!E32</f>
        <v>2.5999520169029913E-5</v>
      </c>
      <c r="C32">
        <f>SUM('Mass Balance'!E32:H32)</f>
        <v>2.6698466122268585E-5</v>
      </c>
      <c r="D32">
        <f>Concentrations!F32/Concentrations!E32</f>
        <v>0.97420052731428097</v>
      </c>
    </row>
    <row r="33" spans="1:4">
      <c r="A33">
        <f>'Mass Balance'!I33</f>
        <v>6.1468580031447453E-8</v>
      </c>
      <c r="B33">
        <f>'Mass Balance'!E33</f>
        <v>3.0407275567553025E-5</v>
      </c>
      <c r="C33">
        <f>SUM('Mass Balance'!E33:H33)</f>
        <v>3.0720283890584683E-5</v>
      </c>
      <c r="D33">
        <f>Concentrations!F33/Concentrations!E33</f>
        <v>0.99019703955724414</v>
      </c>
    </row>
    <row r="34" spans="1:4">
      <c r="A34">
        <f>'Mass Balance'!I34</f>
        <v>4.8580883094083689E-7</v>
      </c>
      <c r="B34">
        <f>'Mass Balance'!E34</f>
        <v>1.2839289756798442E-5</v>
      </c>
      <c r="C34">
        <f>SUM('Mass Balance'!E34:H34)</f>
        <v>1.6610542474994289E-5</v>
      </c>
      <c r="D34">
        <f>Concentrations!F34/Concentrations!E34</f>
        <v>0.7732617400586479</v>
      </c>
    </row>
    <row r="35" spans="1:4">
      <c r="A35">
        <f>'Mass Balance'!I35</f>
        <v>1.3343560367316305E-6</v>
      </c>
      <c r="B35">
        <f>'Mass Balance'!E35</f>
        <v>3.0751165952173535E-6</v>
      </c>
      <c r="C35">
        <f>SUM('Mass Balance'!E35:H35)</f>
        <v>1.5159101802163609E-5</v>
      </c>
      <c r="D35">
        <f>Concentrations!F35/Concentrations!E35</f>
        <v>0.2029352336531943</v>
      </c>
    </row>
    <row r="36" spans="1:4">
      <c r="A36">
        <f>'Mass Balance'!I36</f>
        <v>3.5180761446366534E-6</v>
      </c>
      <c r="B36">
        <f>'Mass Balance'!E36</f>
        <v>8.0495333345811325E-7</v>
      </c>
      <c r="C36">
        <f>SUM('Mass Balance'!E36:H36)</f>
        <v>1.5923261214543248E-5</v>
      </c>
      <c r="D36">
        <f>Concentrations!F36/Concentrations!E36</f>
        <v>5.0571754617127311E-2</v>
      </c>
    </row>
    <row r="37" spans="1:4">
      <c r="A37">
        <f>'Mass Balance'!I37</f>
        <v>8.5701454027332337E-6</v>
      </c>
      <c r="B37">
        <f>'Mass Balance'!E37</f>
        <v>1.2777502643005015E-7</v>
      </c>
      <c r="C37">
        <f>SUM('Mass Balance'!E37:H37)</f>
        <v>1.604251782278499E-5</v>
      </c>
      <c r="D37">
        <f>Concentrations!F37/Concentrations!E37</f>
        <v>7.9678800475457279E-3</v>
      </c>
    </row>
    <row r="38" spans="1:4">
      <c r="A38">
        <f>'Mass Balance'!I38</f>
        <v>5.1259642204222577E-6</v>
      </c>
      <c r="B38">
        <f>'Mass Balance'!E38</f>
        <v>4.4006237677301278E-7</v>
      </c>
      <c r="C38">
        <f>SUM('Mass Balance'!E38:H38)</f>
        <v>1.5480488115744517E-5</v>
      </c>
      <c r="D38">
        <f>Concentrations!F38/Concentrations!E38</f>
        <v>2.8437992026032602E-2</v>
      </c>
    </row>
    <row r="39" spans="1:4">
      <c r="A39">
        <f>'Mass Balance'!I39</f>
        <v>3.5191598077363724E-6</v>
      </c>
      <c r="B39">
        <f>'Mass Balance'!E39</f>
        <v>6.0851593312095923E-7</v>
      </c>
      <c r="C39">
        <f>SUM('Mass Balance'!E39:H39)</f>
        <v>1.4050163458410123E-5</v>
      </c>
      <c r="D39">
        <f>Concentrations!F39/Concentrations!E39</f>
        <v>4.3327129345484806E-2</v>
      </c>
    </row>
    <row r="40" spans="1:4">
      <c r="A40">
        <f>'Mass Balance'!I40</f>
        <v>5.1259642204222577E-6</v>
      </c>
      <c r="B40">
        <f>'Mass Balance'!E40</f>
        <v>4.4006237677301278E-7</v>
      </c>
      <c r="C40">
        <f>SUM('Mass Balance'!E40:H40)</f>
        <v>1.5480488115744517E-5</v>
      </c>
      <c r="D40">
        <f>Concentrations!F40/Concentrations!E40</f>
        <v>2.8437992026032602E-2</v>
      </c>
    </row>
    <row r="41" spans="1:4">
      <c r="A41">
        <f>'Mass Balance'!I41</f>
        <v>2.0628438729997646E-8</v>
      </c>
      <c r="B41">
        <f>'Mass Balance'!E41</f>
        <v>3.9782629826705593E-5</v>
      </c>
      <c r="C41">
        <f>SUM('Mass Balance'!E41:H41)</f>
        <v>3.9971877860248111E-5</v>
      </c>
      <c r="D41">
        <f>Concentrations!F41/Concentrations!E41</f>
        <v>0.99565361613967029</v>
      </c>
    </row>
    <row r="42" spans="1:4">
      <c r="A42">
        <f>'Mass Balance'!I42</f>
        <v>8.7706372069040213E-6</v>
      </c>
      <c r="B42">
        <f>'Mass Balance'!E42</f>
        <v>1.1635957408963973E-7</v>
      </c>
      <c r="C42">
        <f>SUM('Mass Balance'!E42:H42)</f>
        <v>1.6065479493475628E-5</v>
      </c>
      <c r="D42">
        <f>Concentrations!F42/Concentrations!E42</f>
        <v>7.2456569655418761E-3</v>
      </c>
    </row>
    <row r="43" spans="1:4">
      <c r="A43">
        <f>'Mass Balance'!I43</f>
        <v>2.4232381378681566E-7</v>
      </c>
      <c r="B43">
        <f>'Mass Balance'!E43</f>
        <v>1.9590465462750866E-5</v>
      </c>
      <c r="C43">
        <f>SUM('Mass Balance'!E43:H43)</f>
        <v>2.1308903019029622E-5</v>
      </c>
      <c r="D43">
        <f>Concentrations!F43/Concentrations!E43</f>
        <v>0.91971442972599582</v>
      </c>
    </row>
    <row r="44" spans="1:4">
      <c r="A44">
        <f>'Mass Balance'!I44</f>
        <v>2.5541738298355907E-6</v>
      </c>
      <c r="B44">
        <f>'Mass Balance'!E44</f>
        <v>1.2332340444708171E-6</v>
      </c>
      <c r="C44">
        <f>SUM('Mass Balance'!E44:H44)</f>
        <v>1.6731270441834115E-5</v>
      </c>
      <c r="D44">
        <f>Concentrations!F44/Concentrations!E44</f>
        <v>7.3737078138436093E-2</v>
      </c>
    </row>
    <row r="45" spans="1:4">
      <c r="A45">
        <f>'Mass Balance'!I45</f>
        <v>1.0876016548071265E-5</v>
      </c>
      <c r="B45">
        <f>'Mass Balance'!E45</f>
        <v>5.5412038406981655E-8</v>
      </c>
      <c r="C45">
        <f>SUM('Mass Balance'!E45:H45)</f>
        <v>1.7316212146060662E-5</v>
      </c>
      <c r="D45">
        <f>Concentrations!F45/Concentrations!E45</f>
        <v>3.2012571914110171E-3</v>
      </c>
    </row>
    <row r="46" spans="1:4">
      <c r="A46">
        <f>'Mass Balance'!I46</f>
        <v>9.206571612687889E-6</v>
      </c>
      <c r="B46">
        <f>'Mass Balance'!E46</f>
        <v>1.0618044859462772E-7</v>
      </c>
      <c r="C46">
        <f>SUM('Mass Balance'!E46:H46)</f>
        <v>1.6454335877108602E-5</v>
      </c>
      <c r="D46">
        <f>Concentrations!F46/Concentrations!E46</f>
        <v>6.4555542634555877E-3</v>
      </c>
    </row>
    <row r="47" spans="1:4">
      <c r="A47">
        <f>'Mass Balance'!I47</f>
        <v>7.0411475646905491E-6</v>
      </c>
      <c r="B47">
        <f>'Mass Balance'!E47</f>
        <v>2.2679338919080806E-7</v>
      </c>
      <c r="C47">
        <f>SUM('Mass Balance'!E47:H47)</f>
        <v>1.5673325674252036E-5</v>
      </c>
      <c r="D47">
        <f>Concentrations!F47/Concentrations!E47</f>
        <v>1.4475666589305136E-2</v>
      </c>
    </row>
    <row r="48" spans="1:4">
      <c r="A48">
        <f>'Mass Balance'!I48</f>
        <v>9.3131250540327591E-7</v>
      </c>
      <c r="B48">
        <f>'Mass Balance'!E48</f>
        <v>6.5658179982791475E-6</v>
      </c>
      <c r="C48">
        <f>SUM('Mass Balance'!E48:H48)</f>
        <v>1.444411330452855E-5</v>
      </c>
      <c r="D48">
        <f>Concentrations!F48/Concentrations!E48</f>
        <v>0.45474432916135371</v>
      </c>
    </row>
    <row r="49" spans="1:4">
      <c r="A49">
        <f>'Mass Balance'!I49</f>
        <v>2.720026959113368E-6</v>
      </c>
      <c r="B49">
        <f>'Mass Balance'!E49</f>
        <v>1.1417206562459462E-6</v>
      </c>
      <c r="C49">
        <f>SUM('Mass Balance'!E49:H49)</f>
        <v>1.6563858027449825E-5</v>
      </c>
      <c r="D49">
        <f>Concentrations!F49/Concentrations!E49</f>
        <v>6.895530717026728E-2</v>
      </c>
    </row>
    <row r="50" spans="1:4">
      <c r="A50">
        <f>'Mass Balance'!I50</f>
        <v>3.0104739110110925E-6</v>
      </c>
      <c r="B50">
        <f>'Mass Balance'!E50</f>
        <v>1.0006226148876644E-6</v>
      </c>
      <c r="C50">
        <f>SUM('Mass Balance'!E50:H50)</f>
        <v>1.629245189546483E-5</v>
      </c>
      <c r="D50">
        <f>Concentrations!F50/Concentrations!E50</f>
        <v>6.1440282663387712E-2</v>
      </c>
    </row>
    <row r="51" spans="1:4">
      <c r="A51">
        <f>'Mass Balance'!I51</f>
        <v>1.1312742026954976E-6</v>
      </c>
      <c r="B51">
        <f>'Mass Balance'!E51</f>
        <v>4.8914844035237247E-6</v>
      </c>
      <c r="C51">
        <f>SUM('Mass Balance'!E51:H51)</f>
        <v>1.4752704587390647E-5</v>
      </c>
      <c r="D51">
        <f>Concentrations!F51/Concentrations!E51</f>
        <v>0.33169457264537167</v>
      </c>
    </row>
    <row r="52" spans="1:4">
      <c r="A52">
        <f>'Mass Balance'!I52</f>
        <v>9.4955217978003925E-7</v>
      </c>
      <c r="B52">
        <f>'Mass Balance'!E52</f>
        <v>6.3900386207176408E-6</v>
      </c>
      <c r="C52">
        <f>SUM('Mass Balance'!E52:H52)</f>
        <v>1.4445764343987747E-5</v>
      </c>
      <c r="D52">
        <f>Concentrations!F52/Concentrations!E52</f>
        <v>0.44251938025974874</v>
      </c>
    </row>
    <row r="53" spans="1:4">
      <c r="A53">
        <f>'Mass Balance'!I53</f>
        <v>4.053677920471363E-6</v>
      </c>
      <c r="B53">
        <f>'Mass Balance'!E53</f>
        <v>6.535420466542074E-7</v>
      </c>
      <c r="C53">
        <f>SUM('Mass Balance'!E53:H53)</f>
        <v>1.5703330333700615E-5</v>
      </c>
      <c r="D53">
        <f>Concentrations!F53/Concentrations!E53</f>
        <v>4.1634284508650317E-2</v>
      </c>
    </row>
    <row r="54" spans="1:4">
      <c r="A54">
        <f>'Mass Balance'!I54</f>
        <v>2.8630655987032539E-6</v>
      </c>
      <c r="B54">
        <f>'Mass Balance'!E54</f>
        <v>1.0694067084456288E-6</v>
      </c>
      <c r="C54">
        <f>SUM('Mass Balance'!E54:H54)</f>
        <v>1.6426654736163227E-5</v>
      </c>
      <c r="D54">
        <f>Concentrations!F54/Concentrations!E54</f>
        <v>6.512730593821664E-2</v>
      </c>
    </row>
    <row r="55" spans="1:4">
      <c r="A55">
        <f>'Mass Balance'!I55</f>
        <v>6.9371859062685405E-6</v>
      </c>
      <c r="B55">
        <f>'Mass Balance'!E55</f>
        <v>2.3412324426365872E-7</v>
      </c>
      <c r="C55">
        <f>SUM('Mass Balance'!E55:H55)</f>
        <v>1.5632964546509871E-5</v>
      </c>
      <c r="D55">
        <f>Concentrations!F55/Concentrations!E55</f>
        <v>1.4982094392090275E-2</v>
      </c>
    </row>
    <row r="56" spans="1:4">
      <c r="A56">
        <f>'Mass Balance'!I56</f>
        <v>2.6091592589821548E-6</v>
      </c>
      <c r="B56">
        <f>'Mass Balance'!E56</f>
        <v>1.2023374868348695E-6</v>
      </c>
      <c r="C56">
        <f>SUM('Mass Balance'!E56:H56)</f>
        <v>1.6677800657214485E-5</v>
      </c>
      <c r="D56">
        <f>Concentrations!F56/Concentrations!E56</f>
        <v>7.2120204192343509E-2</v>
      </c>
    </row>
    <row r="57" spans="1:4">
      <c r="A57">
        <f>'Mass Balance'!I57</f>
        <v>8.4408815030610299E-7</v>
      </c>
      <c r="B57">
        <f>'Mass Balance'!E57</f>
        <v>7.3363591941550017E-6</v>
      </c>
      <c r="C57">
        <f>SUM('Mass Balance'!E57:H57)</f>
        <v>1.4384491736654173E-5</v>
      </c>
      <c r="D57">
        <f>Concentrations!F57/Concentrations!E57</f>
        <v>0.51021756278682495</v>
      </c>
    </row>
    <row r="58" spans="1:4">
      <c r="A58">
        <f>'Mass Balance'!I58</f>
        <v>2.8923193034967798E-6</v>
      </c>
      <c r="B58">
        <f>'Mass Balance'!E58</f>
        <v>1.0554136216317655E-6</v>
      </c>
      <c r="C58">
        <f>SUM('Mass Balance'!E58:H58)</f>
        <v>1.6400233480295792E-5</v>
      </c>
      <c r="D58">
        <f>Concentrations!F58/Concentrations!E58</f>
        <v>6.4378670328433432E-2</v>
      </c>
    </row>
    <row r="59" spans="1:4">
      <c r="A59">
        <f>'Mass Balance'!I59</f>
        <v>9.4990778715257306E-7</v>
      </c>
      <c r="B59">
        <f>'Mass Balance'!E59</f>
        <v>6.3924316907275788E-6</v>
      </c>
      <c r="C59">
        <f>SUM('Mass Balance'!E59:H59)</f>
        <v>1.4451174283969981E-5</v>
      </c>
      <c r="D59">
        <f>Concentrations!F59/Concentrations!E59</f>
        <v>0.44251938025974874</v>
      </c>
    </row>
    <row r="60" spans="1:4">
      <c r="A60">
        <f>'Mass Balance'!I60</f>
        <v>3.7228851988366588E-6</v>
      </c>
      <c r="B60">
        <f>'Mass Balance'!E60</f>
        <v>7.4050726348756204E-7</v>
      </c>
      <c r="C60">
        <f>SUM('Mass Balance'!E60:H60)</f>
        <v>1.5810723501291368E-5</v>
      </c>
      <c r="D60">
        <f>Concentrations!F60/Concentrations!E60</f>
        <v>4.685402634239362E-2</v>
      </c>
    </row>
    <row r="61" spans="1:4">
      <c r="A61">
        <f>'Mass Balance'!I61</f>
        <v>1.4346815268896257E-6</v>
      </c>
      <c r="B61">
        <f>'Mass Balance'!E61</f>
        <v>2.0391340594533122E-5</v>
      </c>
      <c r="C61">
        <f>SUM('Mass Balance'!E61:H61)</f>
        <v>2.4209998164201807E-5</v>
      </c>
      <c r="D61">
        <f>Concentrations!F61/Concentrations!E61</f>
        <v>0.84259787698378019</v>
      </c>
    </row>
    <row r="62" spans="1:4">
      <c r="A62">
        <f>'Mass Balance'!I62</f>
        <v>4.6107900882603929E-7</v>
      </c>
      <c r="B62">
        <f>'Mass Balance'!E62</f>
        <v>1.336230826133204E-5</v>
      </c>
      <c r="C62">
        <f>SUM('Mass Balance'!E62:H62)</f>
        <v>1.6918300950298126E-5</v>
      </c>
      <c r="D62">
        <f>Concentrations!F62/Concentrations!E62</f>
        <v>0.79012186237772708</v>
      </c>
    </row>
    <row r="63" spans="1:4">
      <c r="A63">
        <f>'Mass Balance'!I63</f>
        <v>1.4018505638042724E-7</v>
      </c>
      <c r="B63">
        <f>'Mass Balance'!E63</f>
        <v>3.8066313138242283E-5</v>
      </c>
      <c r="C63">
        <f>SUM('Mass Balance'!E63:H63)</f>
        <v>3.82148370732335E-5</v>
      </c>
      <c r="D63">
        <f>Concentrations!F63/Concentrations!E63</f>
        <v>0.99650192474120602</v>
      </c>
    </row>
    <row r="64" spans="1:4">
      <c r="A64">
        <f>'Mass Balance'!I64</f>
        <v>1.9264250865048279E-8</v>
      </c>
      <c r="B64">
        <f>'Mass Balance'!E64</f>
        <v>3.9756186948414936E-5</v>
      </c>
      <c r="C64">
        <f>SUM('Mass Balance'!E64:H64)</f>
        <v>3.9805795691232943E-5</v>
      </c>
      <c r="D64">
        <f>Concentrations!F64/Concentrations!E64</f>
        <v>0.99914323665702398</v>
      </c>
    </row>
    <row r="65" spans="1:4">
      <c r="A65">
        <f>'Mass Balance'!I65</f>
        <v>2.8787387182842497E-8</v>
      </c>
      <c r="B65">
        <f>'Mass Balance'!E65</f>
        <v>3.9887270071768761E-5</v>
      </c>
      <c r="C65">
        <f>SUM('Mass Balance'!E65:H65)</f>
        <v>3.9893914138612401E-5</v>
      </c>
      <c r="D65">
        <f>Concentrations!F65/Concentrations!E65</f>
        <v>1.0002233837153989</v>
      </c>
    </row>
    <row r="66" spans="1:4">
      <c r="A66">
        <f>'Mass Balance'!I66</f>
        <v>1.1854731253949072E-6</v>
      </c>
      <c r="B66">
        <f>'Mass Balance'!E66</f>
        <v>3.7003128920078793E-5</v>
      </c>
      <c r="C66">
        <f>SUM('Mass Balance'!E66:H66)</f>
        <v>3.7987567647948538E-5</v>
      </c>
      <c r="D66">
        <f>Concentrations!F66/Concentrations!E66</f>
        <v>0.97446512471319247</v>
      </c>
    </row>
    <row r="67" spans="1:4">
      <c r="A67">
        <f>'Mass Balance'!I67</f>
        <v>2.7008131031908192E-8</v>
      </c>
      <c r="B67">
        <f>'Mass Balance'!E67</f>
        <v>3.9880433351260039E-5</v>
      </c>
      <c r="C67">
        <f>SUM('Mass Balance'!E67:H67)</f>
        <v>3.9886089476181398E-5</v>
      </c>
      <c r="D67">
        <f>Concentrations!F67/Concentrations!E67</f>
        <v>1.0002481297752628</v>
      </c>
    </row>
    <row r="68" spans="1:4">
      <c r="A68">
        <f>'Mass Balance'!I68</f>
        <v>1.9443853885925042E-8</v>
      </c>
      <c r="B68">
        <f>'Mass Balance'!E68</f>
        <v>3.9944760077533447E-5</v>
      </c>
      <c r="C68">
        <f>SUM('Mass Balance'!E68:H68)</f>
        <v>3.9945447049919982E-5</v>
      </c>
      <c r="D68">
        <f>Concentrations!F68/Concentrations!E68</f>
        <v>1.0003727875631208</v>
      </c>
    </row>
    <row r="69" spans="1:4">
      <c r="A69">
        <f>'Mass Balance'!I69</f>
        <v>2.3405542750865824E-6</v>
      </c>
      <c r="B69">
        <f>'Mass Balance'!E69</f>
        <v>1.3716037203180421E-6</v>
      </c>
      <c r="C69">
        <f>SUM('Mass Balance'!E69:H69)</f>
        <v>1.7004056136957518E-5</v>
      </c>
      <c r="D69">
        <f>Concentrations!F69/Concentrations!E69</f>
        <v>8.0694783867548553E-2</v>
      </c>
    </row>
    <row r="70" spans="1:4">
      <c r="A70">
        <f>'Mass Balance'!I70</f>
        <v>1.9858621590871507E-8</v>
      </c>
      <c r="B70">
        <f>'Mass Balance'!E70</f>
        <v>3.9853898073511207E-5</v>
      </c>
      <c r="C70">
        <f>SUM('Mass Balance'!E70:H70)</f>
        <v>3.9977813857382732E-5</v>
      </c>
      <c r="D70">
        <f>Concentrations!F70/Concentrations!E70</f>
        <v>0.99728916940116075</v>
      </c>
    </row>
    <row r="71" spans="1:4">
      <c r="A71">
        <f>'Mass Balance'!I71</f>
        <v>2.1149688388102192E-8</v>
      </c>
      <c r="B71">
        <f>'Mass Balance'!E71</f>
        <v>3.9738865609255719E-5</v>
      </c>
      <c r="C71">
        <f>SUM('Mass Balance'!E71:H71)</f>
        <v>3.9975582628007088E-5</v>
      </c>
      <c r="D71">
        <f>Concentrations!F71/Concentrations!E71</f>
        <v>0.99446614250097487</v>
      </c>
    </row>
    <row r="72" spans="1:4">
      <c r="A72">
        <f>'Mass Balance'!I72</f>
        <v>2.5205820852273858E-6</v>
      </c>
      <c r="B72">
        <f>'Mass Balance'!E72</f>
        <v>1.4143866232487969E-6</v>
      </c>
      <c r="C72">
        <f>SUM('Mass Balance'!E72:H72)</f>
        <v>3.7447526004756268E-5</v>
      </c>
      <c r="D72">
        <f>Concentrations!F72/Concentrations!E72</f>
        <v>3.7784558119696512E-2</v>
      </c>
    </row>
    <row r="73" spans="1:4">
      <c r="A73">
        <f>'Mass Balance'!I73</f>
        <v>2.485211935660431E-7</v>
      </c>
      <c r="B73">
        <f>'Mass Balance'!E73</f>
        <v>1.0855976153520709E-5</v>
      </c>
      <c r="C73">
        <f>SUM('Mass Balance'!E73:H73)</f>
        <v>3.9730081367782291E-5</v>
      </c>
      <c r="D73">
        <f>Concentrations!F73/Concentrations!E73</f>
        <v>0.27334980256430963</v>
      </c>
    </row>
    <row r="74" spans="1:4">
      <c r="A74">
        <f>'Mass Balance'!I74</f>
        <v>2.0897327872474048E-8</v>
      </c>
      <c r="B74">
        <f>'Mass Balance'!E74</f>
        <v>3.9761700545059761E-5</v>
      </c>
      <c r="C74">
        <f>SUM('Mass Balance'!E74:H74)</f>
        <v>3.997600891853274E-5</v>
      </c>
      <c r="D74">
        <f>Concentrations!F74/Concentrations!E74</f>
        <v>0.995026976620213</v>
      </c>
    </row>
    <row r="75" spans="1:4">
      <c r="A75">
        <f>'Mass Balance'!I75</f>
        <v>2.3975460814732883E-7</v>
      </c>
      <c r="B75">
        <f>'Mass Balance'!E75</f>
        <v>1.2292753786647128E-5</v>
      </c>
      <c r="C75">
        <f>SUM('Mass Balance'!E75:H75)</f>
        <v>3.9738128394615792E-5</v>
      </c>
      <c r="D75">
        <f>Concentrations!F75/Concentrations!E75</f>
        <v>0.30946469699293006</v>
      </c>
    </row>
    <row r="76" spans="1:4">
      <c r="A76">
        <f>'Mass Balance'!I76</f>
        <v>6.1174461869810186E-8</v>
      </c>
      <c r="B76">
        <f>'Mass Balance'!E76</f>
        <v>3.5559318493384155E-5</v>
      </c>
      <c r="C76">
        <f>SUM('Mass Balance'!E76:H76)</f>
        <v>3.9924673430856584E-5</v>
      </c>
      <c r="D76">
        <f>Concentrations!F76/Concentrations!E76</f>
        <v>0.89100757219607418</v>
      </c>
    </row>
    <row r="77" spans="1:4">
      <c r="A77">
        <f>'Mass Balance'!I77</f>
        <v>2.4613011682741581E-7</v>
      </c>
      <c r="B77">
        <f>'Mass Balance'!E77</f>
        <v>1.1255590515269985E-5</v>
      </c>
      <c r="C77">
        <f>SUM('Mass Balance'!E77:H77)</f>
        <v>3.9732188693242372E-5</v>
      </c>
      <c r="D77">
        <f>Concentrations!F77/Concentrations!E77</f>
        <v>0.28339692516937942</v>
      </c>
    </row>
    <row r="78" spans="1:4">
      <c r="A78">
        <f>'Mass Balance'!I78</f>
        <v>2.1259170903268363E-6</v>
      </c>
      <c r="B78">
        <f>'Mass Balance'!E78</f>
        <v>1.5794145185417544E-6</v>
      </c>
      <c r="C78">
        <f>SUM('Mass Balance'!E78:H78)</f>
        <v>3.7843625619069662E-5</v>
      </c>
      <c r="D78">
        <f>Concentrations!F78/Concentrations!E78</f>
        <v>4.1751561901800523E-2</v>
      </c>
    </row>
    <row r="79" spans="1:4">
      <c r="A79">
        <f>'Mass Balance'!I79</f>
        <v>2.1259160151201118E-6</v>
      </c>
      <c r="B79">
        <f>'Mass Balance'!E79</f>
        <v>1.5794148672317248E-6</v>
      </c>
      <c r="C79">
        <f>SUM('Mass Balance'!E79:H79)</f>
        <v>3.7843631760089958E-5</v>
      </c>
      <c r="D79">
        <f>Concentrations!F79/Concentrations!E79</f>
        <v>4.1751564344186816E-2</v>
      </c>
    </row>
    <row r="80" spans="1:4">
      <c r="A80">
        <f>'Mass Balance'!I80</f>
        <v>1.3663655306693977E-7</v>
      </c>
      <c r="B80">
        <f>'Mass Balance'!E80</f>
        <v>2.659657240468363E-5</v>
      </c>
      <c r="C80">
        <f>SUM('Mass Balance'!E80:H80)</f>
        <v>3.9841470541535417E-5</v>
      </c>
      <c r="D80">
        <f>Concentrations!F80/Concentrations!E80</f>
        <v>0.66782035136800777</v>
      </c>
    </row>
    <row r="81" spans="1:4">
      <c r="A81">
        <f>'Mass Balance'!I81</f>
        <v>2.8631449635135616E-8</v>
      </c>
      <c r="B81">
        <f>'Mass Balance'!E81</f>
        <v>3.9021806659944155E-5</v>
      </c>
      <c r="C81">
        <f>SUM('Mass Balance'!E81:H81)</f>
        <v>3.9964732234834424E-5</v>
      </c>
      <c r="D81">
        <f>Concentrations!F81/Concentrations!E81</f>
        <v>0.9767868485726352</v>
      </c>
    </row>
    <row r="82" spans="1:4">
      <c r="A82">
        <f>'Mass Balance'!I82</f>
        <v>4.2983689839272577E-8</v>
      </c>
      <c r="B82">
        <f>'Mass Balance'!E82</f>
        <v>3.7540868387657711E-5</v>
      </c>
      <c r="C82">
        <f>SUM('Mass Balance'!E82:H82)</f>
        <v>3.9946404557444124E-5</v>
      </c>
      <c r="D82">
        <f>Concentrations!F82/Concentrations!E82</f>
        <v>0.94014741610326824</v>
      </c>
    </row>
    <row r="83" spans="1:4">
      <c r="A83">
        <f>'Mass Balance'!I83</f>
        <v>3.9752200491994126E-6</v>
      </c>
      <c r="B83">
        <f>'Mass Balance'!E83</f>
        <v>1.030889569598088E-6</v>
      </c>
      <c r="C83">
        <f>SUM('Mass Balance'!E83:H83)</f>
        <v>3.5989044049209623E-5</v>
      </c>
      <c r="D83">
        <f>Concentrations!F83/Concentrations!E83</f>
        <v>2.8655709968526476E-2</v>
      </c>
    </row>
    <row r="84" spans="1:4">
      <c r="A84">
        <f>'Mass Balance'!I84</f>
        <v>3.1236269156265476E-7</v>
      </c>
      <c r="B84">
        <f>'Mass Balance'!E84</f>
        <v>1.7190670311414891E-5</v>
      </c>
      <c r="C84">
        <f>SUM('Mass Balance'!E84:H84)</f>
        <v>1.9483721613409014E-5</v>
      </c>
      <c r="D84">
        <f>Concentrations!F84/Concentrations!E84</f>
        <v>0.88265347232576219</v>
      </c>
    </row>
    <row r="85" spans="1:4">
      <c r="A85">
        <f>'Mass Balance'!I85</f>
        <v>2.5507882645999504E-5</v>
      </c>
      <c r="B85">
        <f>'Mass Balance'!E85</f>
        <v>4.9023335252836053E-6</v>
      </c>
      <c r="C85">
        <f>SUM('Mass Balance'!E85:H85)</f>
        <v>1.2981739795135137E-5</v>
      </c>
      <c r="D85">
        <f>Concentrations!F85/Concentrations!E85</f>
        <v>0.37778028782758</v>
      </c>
    </row>
    <row r="86" spans="1:4">
      <c r="A86">
        <f>'Mass Balance'!I86</f>
        <v>1.0410899709921804E-5</v>
      </c>
      <c r="B86">
        <f>'Mass Balance'!E86</f>
        <v>6.6988166088714549E-8</v>
      </c>
      <c r="C86">
        <f>SUM('Mass Balance'!E86:H86)</f>
        <v>1.7056285122285086E-5</v>
      </c>
      <c r="D86">
        <f>Concentrations!F86/Concentrations!E86</f>
        <v>3.9290086006088304E-3</v>
      </c>
    </row>
    <row r="87" spans="1:4">
      <c r="A87">
        <f>'Mass Balance'!I87</f>
        <v>1.2621279657291382E-5</v>
      </c>
      <c r="B87">
        <f>'Mass Balance'!E87</f>
        <v>2.46941009531402E-8</v>
      </c>
      <c r="C87">
        <f>SUM('Mass Balance'!E87:H87)</f>
        <v>1.8400984808828934E-5</v>
      </c>
      <c r="D87">
        <f>Concentrations!F87/Concentrations!E87</f>
        <v>1.3425222460896706E-3</v>
      </c>
    </row>
    <row r="88" spans="1:4">
      <c r="A88">
        <f>'Mass Balance'!I88</f>
        <v>1.4546679470792964E-5</v>
      </c>
      <c r="B88">
        <f>'Mass Balance'!E88</f>
        <v>7.3494843451094111E-9</v>
      </c>
      <c r="C88">
        <f>SUM('Mass Balance'!E88:H88)</f>
        <v>1.976366490573599E-5</v>
      </c>
      <c r="D88">
        <f>Concentrations!F88/Concentrations!E88</f>
        <v>3.7201352181030859E-4</v>
      </c>
    </row>
    <row r="89" spans="1:4">
      <c r="A89">
        <f>'Mass Balance'!I89</f>
        <v>3.7521252231149021E-5</v>
      </c>
      <c r="B89">
        <f>'Mass Balance'!E89</f>
        <v>4.5478917755823291E-8</v>
      </c>
      <c r="C89">
        <f>SUM('Mass Balance'!E89:H89)</f>
        <v>1.9105337472687088E-6</v>
      </c>
      <c r="D89">
        <f>Concentrations!F89/Concentrations!E89</f>
        <v>2.3813583108137887E-2</v>
      </c>
    </row>
    <row r="90" spans="1:4">
      <c r="A90">
        <f>'Mass Balance'!I90</f>
        <v>1.86749861573712E-8</v>
      </c>
      <c r="B90">
        <f>'Mass Balance'!E90</f>
        <v>3.8974296207952294E-5</v>
      </c>
      <c r="C90">
        <f>SUM('Mass Balance'!E90:H90)</f>
        <v>3.8979179585968127E-5</v>
      </c>
      <c r="D90">
        <f>Concentrations!F90/Concentrations!E90</f>
        <v>1.0002646614722241</v>
      </c>
    </row>
    <row r="91" spans="1:4">
      <c r="A91">
        <f>'Mass Balance'!I91</f>
        <v>5.9679674382089135E-8</v>
      </c>
      <c r="B91">
        <f>'Mass Balance'!E91</f>
        <v>3.0601872195715378E-5</v>
      </c>
      <c r="C91">
        <f>SUM('Mass Balance'!E91:H91)</f>
        <v>3.0901758815966904E-5</v>
      </c>
      <c r="D91">
        <f>Concentrations!F91/Concentrations!E91</f>
        <v>0.99068169111119375</v>
      </c>
    </row>
    <row r="92" spans="1:4">
      <c r="A92">
        <f>'Mass Balance'!I92</f>
        <v>6.0784118373589674E-7</v>
      </c>
      <c r="B92">
        <f>'Mass Balance'!E92</f>
        <v>1.059793537738776E-5</v>
      </c>
      <c r="C92">
        <f>SUM('Mass Balance'!E92:H92)</f>
        <v>1.5451962996053151E-5</v>
      </c>
      <c r="D92">
        <f>Concentrations!F92/Concentrations!E92</f>
        <v>0.68613084890735798</v>
      </c>
    </row>
    <row r="93" spans="1:4">
      <c r="A93">
        <f>'Mass Balance'!I93</f>
        <v>1.8556819176304545E-8</v>
      </c>
      <c r="B93">
        <f>'Mass Balance'!E93</f>
        <v>3.9957862905948976E-5</v>
      </c>
      <c r="C93">
        <f>SUM('Mass Balance'!E93:H93)</f>
        <v>3.9975323322688253E-5</v>
      </c>
      <c r="D93">
        <f>Concentrations!F93/Concentrations!E93</f>
        <v>0.99995304181843969</v>
      </c>
    </row>
    <row r="94" spans="1:4">
      <c r="A94">
        <f>'Mass Balance'!I94</f>
        <v>1.8468898861026886E-8</v>
      </c>
      <c r="B94">
        <f>'Mass Balance'!E94</f>
        <v>3.9981309142964661E-5</v>
      </c>
      <c r="C94">
        <f>SUM('Mass Balance'!E94:H94)</f>
        <v>3.9981376870792774E-5</v>
      </c>
      <c r="D94">
        <f>Concentrations!F94/Concentrations!E94</f>
        <v>1.0003882973894691</v>
      </c>
    </row>
    <row r="95" spans="1:4">
      <c r="A95">
        <f>'Mass Balance'!I95</f>
        <v>2.1024085198762592E-8</v>
      </c>
      <c r="B95">
        <f>'Mass Balance'!E95</f>
        <v>3.7640287209207791E-5</v>
      </c>
      <c r="C95">
        <f>SUM('Mass Balance'!E95:H95)</f>
        <v>3.7660437754732394E-5</v>
      </c>
      <c r="D95">
        <f>Concentrations!F95/Concentrations!E95</f>
        <v>0.99985472464838165</v>
      </c>
    </row>
    <row r="96" spans="1:4">
      <c r="A96">
        <f>'Mass Balance'!I96</f>
        <v>9.5007370841161449E-6</v>
      </c>
      <c r="B96">
        <f>'Mass Balance'!E96</f>
        <v>9.5253156146050115E-8</v>
      </c>
      <c r="C96">
        <f>SUM('Mass Balance'!E96:H96)</f>
        <v>1.6592617314327226E-5</v>
      </c>
      <c r="D96">
        <f>Concentrations!F96/Concentrations!E96</f>
        <v>5.742933879149207E-3</v>
      </c>
    </row>
    <row r="97" spans="1:4">
      <c r="A97">
        <f>'Mass Balance'!I97</f>
        <v>9.7939667135435802E-8</v>
      </c>
      <c r="B97">
        <f>'Mass Balance'!E97</f>
        <v>2.7151067801861278E-5</v>
      </c>
      <c r="C97">
        <f>SUM('Mass Balance'!E97:H97)</f>
        <v>2.773589061681341E-5</v>
      </c>
      <c r="D97">
        <f>Concentrations!F97/Concentrations!E97</f>
        <v>0.97929635205464505</v>
      </c>
    </row>
    <row r="98" spans="1:4">
      <c r="A98">
        <f>'Mass Balance'!I98</f>
        <v>6.5262069297750032E-8</v>
      </c>
      <c r="B98">
        <f>'Mass Balance'!E98</f>
        <v>3.0012191959870484E-5</v>
      </c>
      <c r="C98">
        <f>SUM('Mass Balance'!E98:H98)</f>
        <v>3.0353084642566189E-5</v>
      </c>
      <c r="D98">
        <f>Concentrations!F98/Concentrations!E98</f>
        <v>0.98915470467762656</v>
      </c>
    </row>
    <row r="99" spans="1:4">
      <c r="A99">
        <f>'Mass Balance'!I99</f>
        <v>2.9018956741618575E-8</v>
      </c>
      <c r="B99">
        <f>'Mass Balance'!E99</f>
        <v>3.5144907657836153E-5</v>
      </c>
      <c r="C99">
        <f>SUM('Mass Balance'!E99:H99)</f>
        <v>3.522369781630547E-5</v>
      </c>
      <c r="D99">
        <f>Concentrations!F99/Concentrations!E99</f>
        <v>0.9981522688285277</v>
      </c>
    </row>
    <row r="100" spans="1:4">
      <c r="A100">
        <f>'Mass Balance'!I100</f>
        <v>4.3575590813690935E-6</v>
      </c>
      <c r="B100">
        <f>'Mass Balance'!E100</f>
        <v>5.8287693525081264E-7</v>
      </c>
      <c r="C100">
        <f>SUM('Mass Balance'!E100:H100)</f>
        <v>1.5613416585919502E-5</v>
      </c>
      <c r="D100">
        <f>Concentrations!F100/Concentrations!E100</f>
        <v>3.7346358460614341E-2</v>
      </c>
    </row>
    <row r="101" spans="1:4">
      <c r="A101">
        <f>'Mass Balance'!I101</f>
        <v>4.7959080455203067E-7</v>
      </c>
      <c r="B101">
        <f>'Mass Balance'!E101</f>
        <v>1.2970552914681303E-5</v>
      </c>
      <c r="C101">
        <f>SUM('Mass Balance'!E101:H101)</f>
        <v>1.6687500907261177E-5</v>
      </c>
      <c r="D101">
        <f>Concentrations!F101/Concentrations!E101</f>
        <v>0.77756468144100499</v>
      </c>
    </row>
    <row r="102" spans="1:4">
      <c r="A102">
        <f>'Mass Balance'!I102</f>
        <v>1.1209511938547916E-6</v>
      </c>
      <c r="B102">
        <f>'Mass Balance'!E102</f>
        <v>4.9610730001538501E-6</v>
      </c>
      <c r="C102">
        <f>SUM('Mass Balance'!E102:H102)</f>
        <v>1.471844412076972E-5</v>
      </c>
      <c r="D102">
        <f>Concentrations!F102/Concentrations!E102</f>
        <v>0.33719649566104481</v>
      </c>
    </row>
    <row r="103" spans="1:4">
      <c r="A103">
        <f>'Mass Balance'!I103</f>
        <v>2.3621282008757031E-8</v>
      </c>
      <c r="B103">
        <f>'Mass Balance'!E103</f>
        <v>3.9508887671526401E-5</v>
      </c>
      <c r="C103">
        <f>SUM('Mass Balance'!E103:H103)</f>
        <v>3.997119576593058E-5</v>
      </c>
      <c r="D103">
        <f>Concentrations!F103/Concentrations!E103</f>
        <v>0.98881945024768436</v>
      </c>
    </row>
    <row r="104" spans="1:4">
      <c r="A104">
        <f>'Mass Balance'!I104</f>
        <v>4.3459499598814328E-7</v>
      </c>
      <c r="B104">
        <f>'Mass Balance'!E104</f>
        <v>3.9855809640933638E-6</v>
      </c>
      <c r="C104">
        <f>SUM('Mass Balance'!E104:H104)</f>
        <v>3.9317386280942091E-5</v>
      </c>
      <c r="D104">
        <f>Concentrations!F104/Concentrations!E104</f>
        <v>0.10140896143075606</v>
      </c>
    </row>
    <row r="105" spans="1:4">
      <c r="A105">
        <f>'Mass Balance'!I105</f>
        <v>1.8770538696092693E-8</v>
      </c>
      <c r="B105">
        <f>'Mass Balance'!E105</f>
        <v>3.8774767730646639E-5</v>
      </c>
      <c r="C105">
        <f>SUM('Mass Balance'!E105:H105)</f>
        <v>3.8780204740545472E-5</v>
      </c>
      <c r="D105">
        <f>Concentrations!F105/Concentrations!E105</f>
        <v>1.0002497367076915</v>
      </c>
    </row>
    <row r="106" spans="1:4">
      <c r="A106">
        <f>'Mass Balance'!I106</f>
        <v>2.1218608850570088E-8</v>
      </c>
      <c r="B106">
        <f>'Mass Balance'!E106</f>
        <v>3.7529264017025513E-5</v>
      </c>
      <c r="C106">
        <f>SUM('Mass Balance'!E106:H106)</f>
        <v>3.7551087273929972E-5</v>
      </c>
      <c r="D106">
        <f>Concentrations!F106/Concentrations!E106</f>
        <v>0.99980860360114343</v>
      </c>
    </row>
    <row r="107" spans="1:4">
      <c r="A107">
        <f>'Mass Balance'!I107</f>
        <v>1.761995748808712E-6</v>
      </c>
      <c r="B107">
        <f>'Mass Balance'!E107</f>
        <v>3.3167976627651121E-6</v>
      </c>
      <c r="C107">
        <f>SUM('Mass Balance'!E107:H107)</f>
        <v>1.654241517081216E-5</v>
      </c>
      <c r="D107">
        <f>Concentrations!F107/Concentrations!E107</f>
        <v>0.20058081925595375</v>
      </c>
    </row>
    <row r="108" spans="1:4">
      <c r="A108">
        <f>'Mass Balance'!I108</f>
        <v>1.8387200002315443E-8</v>
      </c>
      <c r="B108">
        <f>'Mass Balance'!E108</f>
        <v>3.9979361852779109E-5</v>
      </c>
      <c r="C108">
        <f>SUM('Mass Balance'!E108:H108)</f>
        <v>3.9979397900672749E-5</v>
      </c>
      <c r="D108">
        <f>Concentrations!F108/Concentrations!E108</f>
        <v>1.0003890900211097</v>
      </c>
    </row>
    <row r="109" spans="1:4">
      <c r="A109">
        <f>'Mass Balance'!I109</f>
        <v>3.1619364155755621E-7</v>
      </c>
      <c r="B109">
        <f>'Mass Balance'!E109</f>
        <v>3.8667659785852696E-5</v>
      </c>
      <c r="C109">
        <f>SUM('Mass Balance'!E109:H109)</f>
        <v>3.8921113440157423E-5</v>
      </c>
      <c r="D109">
        <f>Concentrations!F109/Concentrations!E109</f>
        <v>0.99387546876421706</v>
      </c>
    </row>
    <row r="110" spans="1:4">
      <c r="A110">
        <f>'Mass Balance'!I110</f>
        <v>1.8310436769465276E-8</v>
      </c>
      <c r="B110">
        <f>'Mass Balance'!E110</f>
        <v>3.9731273913836115E-5</v>
      </c>
      <c r="C110">
        <f>SUM('Mass Balance'!E110:H110)</f>
        <v>3.9732341385760872E-5</v>
      </c>
      <c r="D110">
        <f>Concentrations!F110/Concentrations!E110</f>
        <v>1.0003631149818706</v>
      </c>
    </row>
    <row r="111" spans="1:4">
      <c r="A111">
        <f>'Mass Balance'!I111</f>
        <v>1.8303172761896422E-8</v>
      </c>
      <c r="B111">
        <f>'Mass Balance'!E111</f>
        <v>3.9981409198900779E-5</v>
      </c>
      <c r="C111">
        <f>SUM('Mass Balance'!E111:H111)</f>
        <v>3.9981472915311453E-5</v>
      </c>
      <c r="D111">
        <f>Concentrations!F111/Concentrations!E111</f>
        <v>1.0003883977645762</v>
      </c>
    </row>
    <row r="112" spans="1:4">
      <c r="A112">
        <f>'Mass Balance'!I112</f>
        <v>1.8249404971233411E-8</v>
      </c>
      <c r="B112">
        <f>'Mass Balance'!E112</f>
        <v>3.9658308810434417E-5</v>
      </c>
      <c r="C112">
        <f>SUM('Mass Balance'!E112:H112)</f>
        <v>3.9658762193966137E-5</v>
      </c>
      <c r="D112">
        <f>Concentrations!F112/Concentrations!E112</f>
        <v>1.0003785554610218</v>
      </c>
    </row>
    <row r="113" spans="1:4">
      <c r="A113">
        <f>'Mass Balance'!I113</f>
        <v>1.9634284199037857E-8</v>
      </c>
      <c r="B113">
        <f>'Mass Balance'!E113</f>
        <v>3.8151605184313938E-5</v>
      </c>
      <c r="C113">
        <f>SUM('Mass Balance'!E113:H113)</f>
        <v>3.8163614000034532E-5</v>
      </c>
      <c r="D113">
        <f>Concentrations!F113/Concentrations!E113</f>
        <v>1.0000752026892545</v>
      </c>
    </row>
    <row r="114" spans="1:4">
      <c r="A114">
        <f>'Mass Balance'!I114</f>
        <v>1.8254998825425739E-8</v>
      </c>
      <c r="B114">
        <f>'Mass Balance'!E114</f>
        <v>3.9814156555327752E-5</v>
      </c>
      <c r="C114">
        <f>SUM('Mass Balance'!E114:H114)</f>
        <v>3.9814291857773953E-5</v>
      </c>
      <c r="D114">
        <f>Concentrations!F114/Concentrations!E114</f>
        <v>1.000386592370536</v>
      </c>
    </row>
    <row r="115" spans="1:4">
      <c r="A115">
        <f>'Mass Balance'!I115</f>
        <v>1.9721743981319632E-8</v>
      </c>
      <c r="B115">
        <f>'Mass Balance'!E115</f>
        <v>3.9865357509788868E-5</v>
      </c>
      <c r="C115">
        <f>SUM('Mass Balance'!E115:H115)</f>
        <v>3.9977513437020818E-5</v>
      </c>
      <c r="D115">
        <f>Concentrations!F115/Concentrations!E115</f>
        <v>0.99758342260323307</v>
      </c>
    </row>
    <row r="116" spans="1:4">
      <c r="A116">
        <f>'Mass Balance'!I116</f>
        <v>1.0061134624226195E-5</v>
      </c>
      <c r="B116">
        <f>'Mass Balance'!E116</f>
        <v>1.6928774996333389E-5</v>
      </c>
      <c r="C116">
        <f>SUM('Mass Balance'!E116:H116)</f>
        <v>2.7520738188142107E-5</v>
      </c>
      <c r="D116">
        <f>Concentrations!F116/Concentrations!E116</f>
        <v>0.61536783526514127</v>
      </c>
    </row>
    <row r="117" spans="1:4">
      <c r="A117">
        <f>'Mass Balance'!I117</f>
        <v>1.5869014030731348E-7</v>
      </c>
      <c r="B117">
        <f>'Mass Balance'!E117</f>
        <v>2.3333576665797205E-5</v>
      </c>
      <c r="C117">
        <f>SUM('Mass Balance'!E117:H117)</f>
        <v>2.4385774571666787E-5</v>
      </c>
      <c r="D117">
        <f>Concentrations!F117/Concentrations!E117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0.97010038982626356</v>
      </c>
      <c r="M2" s="115">
        <v>0.87022831337210205</v>
      </c>
      <c r="N2" s="115">
        <v>1.1367582439977209</v>
      </c>
      <c r="O2" s="115">
        <v>0.81113329248702948</v>
      </c>
      <c r="P2" s="115">
        <v>0.93879255021272801</v>
      </c>
      <c r="Q2" s="111">
        <v>0.81113329248702948</v>
      </c>
      <c r="R2" s="68">
        <v>0.93879255021272801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0.68151070329815078</v>
      </c>
      <c r="M3" s="115">
        <v>9.6950211728849798</v>
      </c>
      <c r="N3" s="115">
        <v>303.81299476169028</v>
      </c>
      <c r="O3" s="115">
        <v>3.0098836270545948</v>
      </c>
      <c r="P3" s="115">
        <v>2.7887265159135821</v>
      </c>
      <c r="Q3" s="111">
        <v>3.0098836270545952</v>
      </c>
      <c r="R3" s="68">
        <v>2.7887265159135821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1.0992833166789646</v>
      </c>
      <c r="M4" s="115">
        <v>1.0186475505276318</v>
      </c>
      <c r="N4" s="115">
        <v>3.0492484274291622</v>
      </c>
      <c r="O4" s="115">
        <v>0.82515797259762436</v>
      </c>
      <c r="P4" s="115">
        <v>0.95909906946323997</v>
      </c>
      <c r="Q4" s="111">
        <v>0.82515797259762436</v>
      </c>
      <c r="R4" s="68">
        <v>0.95909906946323997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0.92153636045830079</v>
      </c>
      <c r="M5" s="115">
        <v>2.3000834577664313</v>
      </c>
      <c r="N5" s="115">
        <v>75.570203354083574</v>
      </c>
      <c r="O5" s="115">
        <v>4.4105818760278268</v>
      </c>
      <c r="P5" s="115">
        <v>7.2105668507779628</v>
      </c>
      <c r="Q5" s="111">
        <v>4.4105818760278268</v>
      </c>
      <c r="R5" s="68">
        <v>7.2105668507779628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0.82505651807822422</v>
      </c>
      <c r="M6" s="115">
        <v>3.9564218002214213</v>
      </c>
      <c r="N6" s="115">
        <v>162.29786556454738</v>
      </c>
      <c r="O6" s="115">
        <v>8.8978576379676184</v>
      </c>
      <c r="P6" s="115">
        <v>15.054566579519967</v>
      </c>
      <c r="Q6" s="111">
        <v>8.8978576379676202</v>
      </c>
      <c r="R6" s="68">
        <v>15.054566579519969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0.53639120377032157</v>
      </c>
      <c r="M7" s="115">
        <v>9.0815102470643421</v>
      </c>
      <c r="N7" s="115">
        <v>418.67835174838063</v>
      </c>
      <c r="O7" s="115">
        <v>21.665081676980979</v>
      </c>
      <c r="P7" s="115">
        <v>37.182514063618491</v>
      </c>
      <c r="Q7" s="111">
        <v>21.665081676980979</v>
      </c>
      <c r="R7" s="68">
        <v>37.182514063618498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0.74733957612247959</v>
      </c>
      <c r="M8" s="115">
        <v>5.1871730706825101</v>
      </c>
      <c r="N8" s="115">
        <v>227.68570724199751</v>
      </c>
      <c r="O8" s="115">
        <v>12.555026525998741</v>
      </c>
      <c r="P8" s="115">
        <v>21.477363212387441</v>
      </c>
      <c r="Q8" s="111">
        <v>12.555026525998741</v>
      </c>
      <c r="R8" s="68">
        <v>21.477363212387445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0.93744749216801215</v>
      </c>
      <c r="M9" s="115">
        <v>2.0147726765396157</v>
      </c>
      <c r="N9" s="115">
        <v>60.269824111837387</v>
      </c>
      <c r="O9" s="115">
        <v>3.6021462890121856</v>
      </c>
      <c r="P9" s="115">
        <v>5.7914701004406961</v>
      </c>
      <c r="Q9" s="111">
        <v>3.6021462890121856</v>
      </c>
      <c r="R9" s="68">
        <v>5.7914701004406961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4.7608361479253777E-2</v>
      </c>
      <c r="M10" s="115">
        <v>81.920154452109728</v>
      </c>
      <c r="N10" s="115">
        <v>3153.48988011448</v>
      </c>
      <c r="O10" s="115">
        <v>34.16870219926647</v>
      </c>
      <c r="P10" s="115">
        <v>34.856832030774704</v>
      </c>
      <c r="Q10" s="111">
        <v>34.16870219926647</v>
      </c>
      <c r="R10" s="68">
        <v>34.856832030774704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3.4495272964989816E-3</v>
      </c>
      <c r="M11" s="115">
        <v>666.69232619866943</v>
      </c>
      <c r="N11" s="115">
        <v>29818.45755364875</v>
      </c>
      <c r="O11" s="115">
        <v>121.04355735499655</v>
      </c>
      <c r="P11" s="115">
        <v>55.561547671052296</v>
      </c>
      <c r="Q11" s="111">
        <v>121.04355735499655</v>
      </c>
      <c r="R11" s="68">
        <v>55.561547671052296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0.91501857865548719</v>
      </c>
      <c r="M12" s="115">
        <v>0.79402666382466536</v>
      </c>
      <c r="N12" s="115">
        <v>6.1385437962660744E-2</v>
      </c>
      <c r="O12" s="115">
        <v>0.7562804145125186</v>
      </c>
      <c r="P12" s="115">
        <v>0.87882458224239157</v>
      </c>
      <c r="Q12" s="111">
        <v>0.7562804145125186</v>
      </c>
      <c r="R12" s="68">
        <v>0.87882458224239157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0.62244794489420563</v>
      </c>
      <c r="M13" s="115">
        <v>6.1492627445551884</v>
      </c>
      <c r="N13" s="115">
        <v>213.53929522679965</v>
      </c>
      <c r="O13" s="115">
        <v>2.5658505296800085</v>
      </c>
      <c r="P13" s="115">
        <v>2.4253643583339075</v>
      </c>
      <c r="Q13" s="111">
        <v>2.5658505296800085</v>
      </c>
      <c r="R13" s="68">
        <v>2.4253643583339075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8.013924205109807E-2</v>
      </c>
      <c r="M14" s="115">
        <v>30.779383461901656</v>
      </c>
      <c r="N14" s="115">
        <v>1520.230251326961</v>
      </c>
      <c r="O14" s="115">
        <v>44.959794391097482</v>
      </c>
      <c r="P14" s="115">
        <v>75.32370146469718</v>
      </c>
      <c r="Q14" s="111">
        <v>44.959794391097482</v>
      </c>
      <c r="R14" s="68">
        <v>75.32370146469718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0.77756364224705865</v>
      </c>
      <c r="M15" s="115">
        <v>1.4547954143668991</v>
      </c>
      <c r="N15" s="115">
        <v>29.654025938509299</v>
      </c>
      <c r="O15" s="115">
        <v>0.91329688887588889</v>
      </c>
      <c r="P15" s="115">
        <v>0.97255846742914331</v>
      </c>
      <c r="Q15" s="111">
        <v>0.91329688887588889</v>
      </c>
      <c r="R15" s="68">
        <v>0.97255846742914331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0.59581605713724051</v>
      </c>
      <c r="M16" s="115">
        <v>6.9885062563302736</v>
      </c>
      <c r="N16" s="115">
        <v>246.45001762734589</v>
      </c>
      <c r="O16" s="115">
        <v>2.8701456661482787</v>
      </c>
      <c r="P16" s="115">
        <v>2.7020073084796223</v>
      </c>
      <c r="Q16" s="111">
        <v>2.8701456661482787</v>
      </c>
      <c r="R16" s="68">
        <v>2.7020073084796223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0.61126658427984293</v>
      </c>
      <c r="M17" s="115">
        <v>6.4383635785027504</v>
      </c>
      <c r="N17" s="115">
        <v>224.94194694103581</v>
      </c>
      <c r="O17" s="115">
        <v>2.6696164797207191</v>
      </c>
      <c r="P17" s="115">
        <v>2.5192326667903973</v>
      </c>
      <c r="Q17" s="111">
        <v>2.6696164797207191</v>
      </c>
      <c r="R17" s="68">
        <v>2.5192326667903973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2.9555909770042125E-3</v>
      </c>
      <c r="M18" s="115">
        <v>418.80503954760678</v>
      </c>
      <c r="N18" s="115">
        <v>16291.604015803159</v>
      </c>
      <c r="O18" s="115">
        <v>98.255849867473501</v>
      </c>
      <c r="P18" s="115">
        <v>42.088046836205855</v>
      </c>
      <c r="Q18" s="111">
        <v>98.255849867473501</v>
      </c>
      <c r="R18" s="68">
        <v>42.088046836205862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0.90548794793465004</v>
      </c>
      <c r="M19" s="115">
        <v>1.0545551331394829</v>
      </c>
      <c r="N19" s="115">
        <v>10.248542687540898</v>
      </c>
      <c r="O19" s="115">
        <v>0.83921307380733146</v>
      </c>
      <c r="P19" s="115">
        <v>0.94266223251875758</v>
      </c>
      <c r="Q19" s="111">
        <v>0.83921307380733146</v>
      </c>
      <c r="R19" s="68">
        <v>0.94266223251875769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0.86987589555122191</v>
      </c>
      <c r="M20" s="115">
        <v>1.2188563917353294</v>
      </c>
      <c r="N20" s="115">
        <v>17.656347168748095</v>
      </c>
      <c r="O20" s="115">
        <v>0.87766337439801179</v>
      </c>
      <c r="P20" s="115">
        <v>0.965306525414104</v>
      </c>
      <c r="Q20" s="111">
        <v>0.87766337439801179</v>
      </c>
      <c r="R20" s="68">
        <v>0.96530652541410411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0.4061670072692542</v>
      </c>
      <c r="M21" s="115">
        <v>20.87695318604764</v>
      </c>
      <c r="N21" s="115">
        <v>835.87164443242557</v>
      </c>
      <c r="O21" s="115">
        <v>17.780406302666691</v>
      </c>
      <c r="P21" s="115">
        <v>26.128725109980181</v>
      </c>
      <c r="Q21" s="111">
        <v>17.780406302666691</v>
      </c>
      <c r="R21" s="68">
        <v>26.128725109980181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0.89902970110450098</v>
      </c>
      <c r="M22" s="115">
        <v>0.8274319529412496</v>
      </c>
      <c r="N22" s="115">
        <v>1.8467171182859485</v>
      </c>
      <c r="O22" s="115">
        <v>0.75862846112297289</v>
      </c>
      <c r="P22" s="115">
        <v>0.87540065749014651</v>
      </c>
      <c r="Q22" s="111">
        <v>0.758628461122973</v>
      </c>
      <c r="R22" s="68">
        <v>0.87540065749014651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0.75016610372303771</v>
      </c>
      <c r="M23" s="115">
        <v>1.9695846153637124</v>
      </c>
      <c r="N23" s="115">
        <v>50.117328553884519</v>
      </c>
      <c r="O23" s="115">
        <v>1.0835819589326532</v>
      </c>
      <c r="P23" s="115">
        <v>1.1138725172750517</v>
      </c>
      <c r="Q23" s="111">
        <v>1.0835819589326532</v>
      </c>
      <c r="R23" s="68">
        <v>1.1138725172750517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0.50928565844978568</v>
      </c>
      <c r="M24" s="115">
        <v>10.356548425316355</v>
      </c>
      <c r="N24" s="115">
        <v>377.99918181488744</v>
      </c>
      <c r="O24" s="115">
        <v>4.1171443118350135</v>
      </c>
      <c r="P24" s="115">
        <v>3.8560830605745129</v>
      </c>
      <c r="Q24" s="111">
        <v>4.1171443118350135</v>
      </c>
      <c r="R24" s="68">
        <v>3.8560830605745129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4.0467610690473471E-3</v>
      </c>
      <c r="M25" s="115">
        <v>376.70888295445167</v>
      </c>
      <c r="N25" s="115">
        <v>14640.289422690419</v>
      </c>
      <c r="O25" s="115">
        <v>89.868039782149467</v>
      </c>
      <c r="P25" s="115">
        <v>40.355636424815927</v>
      </c>
      <c r="Q25" s="111">
        <v>89.868039782149467</v>
      </c>
      <c r="R25" s="68">
        <v>40.355636424815934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0.23329469731525335</v>
      </c>
      <c r="M26" s="115">
        <v>19.062178922827236</v>
      </c>
      <c r="N26" s="115">
        <v>721.27277647674975</v>
      </c>
      <c r="O26" s="115">
        <v>7.4892305149761969</v>
      </c>
      <c r="P26" s="115">
        <v>7.1440476872518985</v>
      </c>
      <c r="Q26" s="111">
        <v>7.4892305149761977</v>
      </c>
      <c r="R26" s="68">
        <v>7.1440476872518994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2.2139095226751615E-2</v>
      </c>
      <c r="M27" s="115">
        <v>8.9767868501573211</v>
      </c>
      <c r="N27" s="115">
        <v>343.84410842275094</v>
      </c>
      <c r="O27" s="115">
        <v>3.6432766000700156</v>
      </c>
      <c r="P27" s="115">
        <v>3.6157094823452254</v>
      </c>
      <c r="Q27" s="111">
        <v>3.6432766000700161</v>
      </c>
      <c r="R27" s="68">
        <v>3.6157094823452254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3.3282256033904466E-2</v>
      </c>
      <c r="M28" s="115">
        <v>3.6731799553439828</v>
      </c>
      <c r="N28" s="115">
        <v>139.46913699909234</v>
      </c>
      <c r="O28" s="115">
        <v>1.4490358508254821</v>
      </c>
      <c r="P28" s="115">
        <v>1.3916336279206198</v>
      </c>
      <c r="Q28" s="111">
        <v>1.4490358508254821</v>
      </c>
      <c r="R28" s="68">
        <v>1.3916336279206198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5.9206731594656746E-2</v>
      </c>
      <c r="M29" s="115">
        <v>9.1288250838624047E-2</v>
      </c>
      <c r="N29" s="115">
        <v>1.5179715745107707</v>
      </c>
      <c r="O29" s="115">
        <v>6.2656390227673359E-2</v>
      </c>
      <c r="P29" s="115">
        <v>6.8171611522280462E-2</v>
      </c>
      <c r="Q29" s="111">
        <v>6.2656390227673359E-2</v>
      </c>
      <c r="R29" s="68">
        <v>6.8171611522280462E-2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1.2608361546606517E-2</v>
      </c>
      <c r="M30" s="115">
        <v>1.2981566862947564</v>
      </c>
      <c r="N30" s="115">
        <v>49.254506320719543</v>
      </c>
      <c r="O30" s="115">
        <v>0.51156750591814659</v>
      </c>
      <c r="P30" s="115">
        <v>0.49051296559085794</v>
      </c>
      <c r="Q30" s="111">
        <v>0.51156750591814659</v>
      </c>
      <c r="R30" s="68">
        <v>0.490512965590858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4.4954551042045409E-4</v>
      </c>
      <c r="M31" s="115">
        <v>2.1635811738868891E-2</v>
      </c>
      <c r="N31" s="115">
        <v>0.8115430954755386</v>
      </c>
      <c r="O31" s="115">
        <v>8.4747526226765131E-3</v>
      </c>
      <c r="P31" s="115">
        <v>8.0017393504106665E-3</v>
      </c>
      <c r="Q31" s="111">
        <v>8.4747526226765148E-3</v>
      </c>
      <c r="R31" s="68">
        <v>8.0017393504106683E-3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0.64939610096999922</v>
      </c>
      <c r="M32" s="115">
        <v>5.3066177147132656</v>
      </c>
      <c r="N32" s="115">
        <v>180.5072625379502</v>
      </c>
      <c r="O32" s="115">
        <v>2.26248138537093</v>
      </c>
      <c r="P32" s="115">
        <v>2.151742963011535</v>
      </c>
      <c r="Q32" s="111">
        <v>2.26248138537093</v>
      </c>
      <c r="R32" s="68">
        <v>2.151742963011535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0.75891304114397673</v>
      </c>
      <c r="M33" s="115">
        <v>2.8885610917033575</v>
      </c>
      <c r="N33" s="115">
        <v>84.774816226237633</v>
      </c>
      <c r="O33" s="115">
        <v>1.4209121930800059</v>
      </c>
      <c r="P33" s="115">
        <v>1.4129353385550165</v>
      </c>
      <c r="Q33" s="111">
        <v>1.4209121930800059</v>
      </c>
      <c r="R33" s="68">
        <v>1.4129353385550165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0.32088584556567296</v>
      </c>
      <c r="M34" s="115">
        <v>22.829362356242335</v>
      </c>
      <c r="N34" s="115">
        <v>862.16491796146317</v>
      </c>
      <c r="O34" s="115">
        <v>8.9569874491973316</v>
      </c>
      <c r="P34" s="115">
        <v>8.5192426119665061</v>
      </c>
      <c r="Q34" s="111">
        <v>8.9569874491973316</v>
      </c>
      <c r="R34" s="68">
        <v>8.5192426119665061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7.6862857616376831E-2</v>
      </c>
      <c r="M35" s="115">
        <v>62.704700974230754</v>
      </c>
      <c r="N35" s="115">
        <v>2408.3019318612278</v>
      </c>
      <c r="O35" s="115">
        <v>25.94123727339003</v>
      </c>
      <c r="P35" s="115">
        <v>26.224664753595754</v>
      </c>
      <c r="Q35" s="111">
        <v>25.94123727339003</v>
      </c>
      <c r="R35" s="68">
        <v>26.224664753595754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2.0120681562026156E-2</v>
      </c>
      <c r="M36" s="115">
        <v>165.3231270975871</v>
      </c>
      <c r="N36" s="115">
        <v>6389.3996003736083</v>
      </c>
      <c r="O36" s="115">
        <v>49.00365879714878</v>
      </c>
      <c r="P36" s="115">
        <v>34.531597122699111</v>
      </c>
      <c r="Q36" s="111">
        <v>49.003658797148788</v>
      </c>
      <c r="R36" s="68">
        <v>34.531597122699118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3.1940013526601595E-3</v>
      </c>
      <c r="M37" s="115">
        <v>402.73239674498279</v>
      </c>
      <c r="N37" s="115">
        <v>15662.292361542066</v>
      </c>
      <c r="O37" s="115">
        <v>94.88945585726421</v>
      </c>
      <c r="P37" s="115">
        <v>41.146596709330481</v>
      </c>
      <c r="Q37" s="111">
        <v>94.88945585726421</v>
      </c>
      <c r="R37" s="68">
        <v>41.146596709330481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1.0999994941581388E-2</v>
      </c>
      <c r="M38" s="115">
        <v>240.88177727548205</v>
      </c>
      <c r="N38" s="115">
        <v>9330.9011174127681</v>
      </c>
      <c r="O38" s="115">
        <v>63.297827032742603</v>
      </c>
      <c r="P38" s="115">
        <v>35.933733959344544</v>
      </c>
      <c r="Q38" s="111">
        <v>63.29782703274261</v>
      </c>
      <c r="R38" s="68">
        <v>35.933733959344544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1.5210579120114032E-2</v>
      </c>
      <c r="M39" s="115">
        <v>165.37405111543103</v>
      </c>
      <c r="N39" s="115">
        <v>6395.6001074126361</v>
      </c>
      <c r="O39" s="115">
        <v>47.075319957799202</v>
      </c>
      <c r="P39" s="115">
        <v>31.080091458848269</v>
      </c>
      <c r="Q39" s="111">
        <v>47.075319957799209</v>
      </c>
      <c r="R39" s="68">
        <v>31.080091458848269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1.0999994941581388E-2</v>
      </c>
      <c r="M40" s="115">
        <v>240.88177727548205</v>
      </c>
      <c r="N40" s="115">
        <v>9330.9011174127681</v>
      </c>
      <c r="O40" s="115">
        <v>63.297827032742603</v>
      </c>
      <c r="P40" s="115">
        <v>35.933733959344544</v>
      </c>
      <c r="Q40" s="111">
        <v>63.29782703274261</v>
      </c>
      <c r="R40" s="68">
        <v>35.933733959344544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0.98912774954256777</v>
      </c>
      <c r="M41" s="115">
        <v>0.96938151926680671</v>
      </c>
      <c r="N41" s="115">
        <v>5.6891044577928103</v>
      </c>
      <c r="O41" s="115">
        <v>1.047999439185856</v>
      </c>
      <c r="P41" s="115">
        <v>1.3458149311831413</v>
      </c>
      <c r="Q41" s="111">
        <v>1.047999439185856</v>
      </c>
      <c r="R41" s="68">
        <v>1.3458149311831413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2.908653288704923E-3</v>
      </c>
      <c r="M42" s="115">
        <v>412.15400408383562</v>
      </c>
      <c r="N42" s="115">
        <v>16032.877339094899</v>
      </c>
      <c r="O42" s="115">
        <v>96.695450444635952</v>
      </c>
      <c r="P42" s="115">
        <v>41.41964730498043</v>
      </c>
      <c r="Q42" s="111">
        <v>96.695450444635952</v>
      </c>
      <c r="R42" s="68">
        <v>41.41964730498043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0.48953067847830978</v>
      </c>
      <c r="M43" s="115">
        <v>11.387397264418031</v>
      </c>
      <c r="N43" s="115">
        <v>418.07490701902975</v>
      </c>
      <c r="O43" s="115">
        <v>4.506023713721345</v>
      </c>
      <c r="P43" s="115">
        <v>4.2212292344903659</v>
      </c>
      <c r="Q43" s="111">
        <v>4.506023713721345</v>
      </c>
      <c r="R43" s="68">
        <v>4.2212292344903659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3.0825669491166146E-2</v>
      </c>
      <c r="M44" s="115">
        <v>120.02696568776274</v>
      </c>
      <c r="N44" s="115">
        <v>4630.3610084664369</v>
      </c>
      <c r="O44" s="115">
        <v>40.784677490893024</v>
      </c>
      <c r="P44" s="115">
        <v>34.389951949220247</v>
      </c>
      <c r="Q44" s="111">
        <v>40.784677490893024</v>
      </c>
      <c r="R44" s="68">
        <v>34.389951949220247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1.385159605332485E-3</v>
      </c>
      <c r="M45" s="115">
        <v>511.09100319883765</v>
      </c>
      <c r="N45" s="115">
        <v>19923.859642886917</v>
      </c>
      <c r="O45" s="115">
        <v>116.74571044455415</v>
      </c>
      <c r="P45" s="115">
        <v>46.246452843307139</v>
      </c>
      <c r="Q45" s="111">
        <v>116.74571044455416</v>
      </c>
      <c r="R45" s="68">
        <v>46.246452843307139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2.6542098049494789E-3</v>
      </c>
      <c r="M46" s="115">
        <v>432.6396434533782</v>
      </c>
      <c r="N46" s="115">
        <v>16835.030319261503</v>
      </c>
      <c r="O46" s="115">
        <v>101.01667883851867</v>
      </c>
      <c r="P46" s="115">
        <v>42.675732191965764</v>
      </c>
      <c r="Q46" s="111">
        <v>101.01667883851867</v>
      </c>
      <c r="R46" s="68">
        <v>42.675732191965771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5.6691083062329036E-3</v>
      </c>
      <c r="M47" s="115">
        <v>330.8809945813228</v>
      </c>
      <c r="N47" s="115">
        <v>12845.758060877244</v>
      </c>
      <c r="O47" s="115">
        <v>80.814309898048137</v>
      </c>
      <c r="P47" s="115">
        <v>38.656497853841039</v>
      </c>
      <c r="Q47" s="111">
        <v>80.814309898048137</v>
      </c>
      <c r="R47" s="68">
        <v>38.656497853841046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0.1641084028206862</v>
      </c>
      <c r="M48" s="115">
        <v>43.764685404289281</v>
      </c>
      <c r="N48" s="115">
        <v>1672.8545701147955</v>
      </c>
      <c r="O48" s="115">
        <v>17.57697855740809</v>
      </c>
      <c r="P48" s="115">
        <v>17.254418792350993</v>
      </c>
      <c r="Q48" s="111">
        <v>17.576978557408093</v>
      </c>
      <c r="R48" s="68">
        <v>17.254418792350993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2.853828191162712E-2</v>
      </c>
      <c r="M49" s="115">
        <v>127.82081574780867</v>
      </c>
      <c r="N49" s="115">
        <v>4932.7511387901141</v>
      </c>
      <c r="O49" s="115">
        <v>42.188637412428278</v>
      </c>
      <c r="P49" s="115">
        <v>34.391642751451108</v>
      </c>
      <c r="Q49" s="111">
        <v>42.188637412428278</v>
      </c>
      <c r="R49" s="68">
        <v>34.391642751451108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2.5011506094203891E-2</v>
      </c>
      <c r="M50" s="115">
        <v>141.4696386753333</v>
      </c>
      <c r="N50" s="115">
        <v>5462.6032795356787</v>
      </c>
      <c r="O50" s="115">
        <v>44.648358356679985</v>
      </c>
      <c r="P50" s="115">
        <v>34.400965153497118</v>
      </c>
      <c r="Q50" s="111">
        <v>44.648358356679985</v>
      </c>
      <c r="R50" s="68">
        <v>34.400965153497118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0.12226133445209027</v>
      </c>
      <c r="M51" s="115">
        <v>53.16138170561549</v>
      </c>
      <c r="N51" s="115">
        <v>2036.9014632384669</v>
      </c>
      <c r="O51" s="115">
        <v>21.615375085015842</v>
      </c>
      <c r="P51" s="115">
        <v>21.491263112583891</v>
      </c>
      <c r="Q51" s="111">
        <v>21.615375085015842</v>
      </c>
      <c r="R51" s="68">
        <v>21.491263112583894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0.15971516498007274</v>
      </c>
      <c r="M52" s="115">
        <v>44.621812959588311</v>
      </c>
      <c r="N52" s="115">
        <v>1706.054222760524</v>
      </c>
      <c r="O52" s="115">
        <v>17.941237770210169</v>
      </c>
      <c r="P52" s="115">
        <v>17.633204950952308</v>
      </c>
      <c r="Q52" s="111">
        <v>17.941237770210169</v>
      </c>
      <c r="R52" s="68">
        <v>17.633204950952308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1.6336077258888915E-2</v>
      </c>
      <c r="M53" s="115">
        <v>190.49238348079714</v>
      </c>
      <c r="N53" s="115">
        <v>7368.2250278109341</v>
      </c>
      <c r="O53" s="115">
        <v>53.723626638120038</v>
      </c>
      <c r="P53" s="115">
        <v>34.908446476059147</v>
      </c>
      <c r="Q53" s="111">
        <v>53.723626638120038</v>
      </c>
      <c r="R53" s="68">
        <v>34.908446476059154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2.6730781449605643E-2</v>
      </c>
      <c r="M54" s="115">
        <v>134.54255633004013</v>
      </c>
      <c r="N54" s="115">
        <v>5193.6448814773694</v>
      </c>
      <c r="O54" s="115">
        <v>43.399481285973977</v>
      </c>
      <c r="P54" s="115">
        <v>34.394609294687399</v>
      </c>
      <c r="Q54" s="111">
        <v>43.399481285973977</v>
      </c>
      <c r="R54" s="68">
        <v>34.394609294687406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5.8523273066119269E-3</v>
      </c>
      <c r="M55" s="115">
        <v>325.99557830209307</v>
      </c>
      <c r="N55" s="115">
        <v>12654.759052571631</v>
      </c>
      <c r="O55" s="115">
        <v>79.835694220443784</v>
      </c>
      <c r="P55" s="115">
        <v>38.455398912622172</v>
      </c>
      <c r="Q55" s="111">
        <v>79.835694220443784</v>
      </c>
      <c r="R55" s="68">
        <v>38.455398912622172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3.005340743799112E-2</v>
      </c>
      <c r="M56" s="115">
        <v>122.61086743337195</v>
      </c>
      <c r="N56" s="115">
        <v>4730.5946350720742</v>
      </c>
      <c r="O56" s="115">
        <v>41.253199201857214</v>
      </c>
      <c r="P56" s="115">
        <v>34.395803947418052</v>
      </c>
      <c r="Q56" s="111">
        <v>41.253199201857214</v>
      </c>
      <c r="R56" s="68">
        <v>34.395803947418052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0.18336616453297283</v>
      </c>
      <c r="M57" s="115">
        <v>39.665796536940931</v>
      </c>
      <c r="N57" s="115">
        <v>1514.2930657711677</v>
      </c>
      <c r="O57" s="115">
        <v>15.853714046078306</v>
      </c>
      <c r="P57" s="115">
        <v>15.479398618833047</v>
      </c>
      <c r="Q57" s="111">
        <v>15.853714046078307</v>
      </c>
      <c r="R57" s="68">
        <v>15.479398618833047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2.6381021167859654E-2</v>
      </c>
      <c r="M58" s="115">
        <v>135.91726050266823</v>
      </c>
      <c r="N58" s="115">
        <v>5247.0118148744841</v>
      </c>
      <c r="O58" s="115">
        <v>43.648014416865252</v>
      </c>
      <c r="P58" s="115">
        <v>34.396989425741722</v>
      </c>
      <c r="Q58" s="111">
        <v>43.648014416865259</v>
      </c>
      <c r="R58" s="68">
        <v>34.396989425741729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0.15977497832301671</v>
      </c>
      <c r="M59" s="115">
        <v>44.638523832357762</v>
      </c>
      <c r="N59" s="115">
        <v>1706.6931402128507</v>
      </c>
      <c r="O59" s="115">
        <v>17.947956765289458</v>
      </c>
      <c r="P59" s="115">
        <v>17.639808587714445</v>
      </c>
      <c r="Q59" s="111">
        <v>17.947956765289458</v>
      </c>
      <c r="R59" s="68">
        <v>17.639808587714445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1.8509820855866096E-2</v>
      </c>
      <c r="M60" s="115">
        <v>174.94761272728658</v>
      </c>
      <c r="N60" s="115">
        <v>6763.6117482884747</v>
      </c>
      <c r="O60" s="115">
        <v>50.784149834174784</v>
      </c>
      <c r="P60" s="115">
        <v>34.630291171960749</v>
      </c>
      <c r="Q60" s="111">
        <v>50.784149834174791</v>
      </c>
      <c r="R60" s="68">
        <v>34.630291171960749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1.0157522120654698</v>
      </c>
      <c r="M61" s="115">
        <v>67.419244684662857</v>
      </c>
      <c r="N61" s="115">
        <v>1459.9915379081281</v>
      </c>
      <c r="O61" s="115">
        <v>8.0759771752936</v>
      </c>
      <c r="P61" s="115">
        <v>8.1209049834671916</v>
      </c>
      <c r="Q61" s="111">
        <v>8.0759771752936</v>
      </c>
      <c r="R61" s="68">
        <v>8.1209049834671934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0.33395450030939422</v>
      </c>
      <c r="M62" s="115">
        <v>21.667246655358991</v>
      </c>
      <c r="N62" s="115">
        <v>817.12939433752535</v>
      </c>
      <c r="O62" s="115">
        <v>8.4950345290007299</v>
      </c>
      <c r="P62" s="115">
        <v>8.0648505255115754</v>
      </c>
      <c r="Q62" s="111">
        <v>8.4950345290007299</v>
      </c>
      <c r="R62" s="68">
        <v>8.0648505255115772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1.9343963601701299</v>
      </c>
      <c r="M63" s="115">
        <v>6.5876436268997756</v>
      </c>
      <c r="N63" s="115">
        <v>114.61595828970442</v>
      </c>
      <c r="O63" s="115">
        <v>1.0900144784118153</v>
      </c>
      <c r="P63" s="115">
        <v>1.2201413012028759</v>
      </c>
      <c r="Q63" s="111">
        <v>1.0900144784118155</v>
      </c>
      <c r="R63" s="68">
        <v>1.2201413012028759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0.98793241849910951</v>
      </c>
      <c r="M64" s="115">
        <v>0.90527494666580266</v>
      </c>
      <c r="N64" s="115">
        <v>2.2714340811786928</v>
      </c>
      <c r="O64" s="115">
        <v>0.88075092721935133</v>
      </c>
      <c r="P64" s="115">
        <v>1.0530146787618986</v>
      </c>
      <c r="Q64" s="111">
        <v>0.88075092721935133</v>
      </c>
      <c r="R64" s="68">
        <v>1.0530146787618988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1.2777967140301931</v>
      </c>
      <c r="M65" s="115">
        <v>1.3527907510734254</v>
      </c>
      <c r="N65" s="115">
        <v>9.5547355619933541</v>
      </c>
      <c r="O65" s="115">
        <v>0.83356222039725836</v>
      </c>
      <c r="P65" s="115">
        <v>0.96812113543996325</v>
      </c>
      <c r="Q65" s="111">
        <v>0.83356222039725847</v>
      </c>
      <c r="R65" s="68">
        <v>0.96812113543996325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2.3372985281910958</v>
      </c>
      <c r="M66" s="115">
        <v>55.708323561790756</v>
      </c>
      <c r="N66" s="115">
        <v>1059.4820197165425</v>
      </c>
      <c r="O66" s="115">
        <v>2.5307351132262204</v>
      </c>
      <c r="P66" s="115">
        <v>3.0857440951463944</v>
      </c>
      <c r="Q66" s="111">
        <v>2.5307351132262204</v>
      </c>
      <c r="R66" s="68">
        <v>3.0857440951463944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1.2359426358894821</v>
      </c>
      <c r="M67" s="115">
        <v>1.2691790898453097</v>
      </c>
      <c r="N67" s="115">
        <v>7.95357401769727</v>
      </c>
      <c r="O67" s="115">
        <v>0.83152519271557024</v>
      </c>
      <c r="P67" s="115">
        <v>0.96560832285420006</v>
      </c>
      <c r="Q67" s="111">
        <v>0.83152519271557035</v>
      </c>
      <c r="R67" s="68">
        <v>0.96560832285420017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1.0296725325942104</v>
      </c>
      <c r="M68" s="115">
        <v>0.91371493824835737</v>
      </c>
      <c r="N68" s="115">
        <v>1.0546949279372784</v>
      </c>
      <c r="O68" s="115">
        <v>0.82254922993164703</v>
      </c>
      <c r="P68" s="115">
        <v>0.95584165236543495</v>
      </c>
      <c r="Q68" s="111">
        <v>0.82254922993164714</v>
      </c>
      <c r="R68" s="68">
        <v>0.95584165236543495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3.4284224295444192E-2</v>
      </c>
      <c r="M69" s="115">
        <v>109.98845277662511</v>
      </c>
      <c r="N69" s="115">
        <v>4241.0168841866171</v>
      </c>
      <c r="O69" s="115">
        <v>39.017302961289523</v>
      </c>
      <c r="P69" s="115">
        <v>34.464052902348676</v>
      </c>
      <c r="Q69" s="111">
        <v>39.017302961289523</v>
      </c>
      <c r="R69" s="68">
        <v>34.464052902348676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0.99061267517178742</v>
      </c>
      <c r="M70" s="115">
        <v>0.93320590182666874</v>
      </c>
      <c r="N70" s="115">
        <v>3.8081671286056205</v>
      </c>
      <c r="O70" s="115">
        <v>0.97015387909613526</v>
      </c>
      <c r="P70" s="115">
        <v>1.2111490031142178</v>
      </c>
      <c r="Q70" s="111">
        <v>0.97015387909613526</v>
      </c>
      <c r="R70" s="68">
        <v>1.2111490031142178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0.98822386990102074</v>
      </c>
      <c r="M71" s="115">
        <v>0.99387633402735853</v>
      </c>
      <c r="N71" s="115">
        <v>6.9763045928507674</v>
      </c>
      <c r="O71" s="115">
        <v>1.1044202979976989</v>
      </c>
      <c r="P71" s="115">
        <v>1.4438673077640398</v>
      </c>
      <c r="Q71" s="111">
        <v>1.1044202979976991</v>
      </c>
      <c r="R71" s="68">
        <v>1.4438673077640398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3.5420590537282831E-2</v>
      </c>
      <c r="M72" s="115">
        <v>118.44840626068543</v>
      </c>
      <c r="N72" s="115">
        <v>5942.0126707135169</v>
      </c>
      <c r="O72" s="115">
        <v>56.715654105078578</v>
      </c>
      <c r="P72" s="115">
        <v>79.956638032802559</v>
      </c>
      <c r="Q72" s="111">
        <v>56.715654105078578</v>
      </c>
      <c r="R72" s="68">
        <v>79.956638032802559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0.27182297477678147</v>
      </c>
      <c r="M73" s="115">
        <v>11.678627517201274</v>
      </c>
      <c r="N73" s="115">
        <v>574.26759963644668</v>
      </c>
      <c r="O73" s="115">
        <v>34.569123478484272</v>
      </c>
      <c r="P73" s="115">
        <v>60.305399968130061</v>
      </c>
      <c r="Q73" s="111">
        <v>34.569123478484272</v>
      </c>
      <c r="R73" s="68">
        <v>60.305399968130068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0.98870419789555419</v>
      </c>
      <c r="M74" s="115">
        <v>0.98201728724032189</v>
      </c>
      <c r="N74" s="115">
        <v>6.3566805006207048</v>
      </c>
      <c r="O74" s="115">
        <v>1.0777730390824629</v>
      </c>
      <c r="P74" s="115">
        <v>1.3976456568189131</v>
      </c>
      <c r="Q74" s="111">
        <v>1.0777730390824631</v>
      </c>
      <c r="R74" s="68">
        <v>1.3976456568189131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0.30778971358975854</v>
      </c>
      <c r="M75" s="115">
        <v>11.266663916697784</v>
      </c>
      <c r="N75" s="115">
        <v>552.04517249152059</v>
      </c>
      <c r="O75" s="115">
        <v>32.91556630946382</v>
      </c>
      <c r="P75" s="115">
        <v>57.374475910435784</v>
      </c>
      <c r="Q75" s="111">
        <v>32.91556630946382</v>
      </c>
      <c r="R75" s="68">
        <v>57.374475910435791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0.88857961213428571</v>
      </c>
      <c r="M76" s="115">
        <v>2.8747397495211553</v>
      </c>
      <c r="N76" s="115">
        <v>105.85793005431267</v>
      </c>
      <c r="O76" s="115">
        <v>5.9739677068090389</v>
      </c>
      <c r="P76" s="115">
        <v>9.9458592640241701</v>
      </c>
      <c r="Q76" s="111">
        <v>5.9739677068090389</v>
      </c>
      <c r="R76" s="68">
        <v>9.9458592640241701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0.28182675317650357</v>
      </c>
      <c r="M77" s="115">
        <v>11.566264888506383</v>
      </c>
      <c r="N77" s="115">
        <v>568.19610645269483</v>
      </c>
      <c r="O77" s="115">
        <v>34.109366028557204</v>
      </c>
      <c r="P77" s="115">
        <v>59.490040317625414</v>
      </c>
      <c r="Q77" s="111">
        <v>34.109366028557204</v>
      </c>
      <c r="R77" s="68">
        <v>59.490040317625422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3.9553368567306381E-2</v>
      </c>
      <c r="M78" s="115">
        <v>99.902118906336298</v>
      </c>
      <c r="N78" s="115">
        <v>5011.1979589052216</v>
      </c>
      <c r="O78" s="115">
        <v>54.519122654646864</v>
      </c>
      <c r="P78" s="115">
        <v>79.547969247928236</v>
      </c>
      <c r="Q78" s="111">
        <v>54.519122654646864</v>
      </c>
      <c r="R78" s="68">
        <v>79.547969247928236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3.9553377356591049E-2</v>
      </c>
      <c r="M79" s="115">
        <v>99.902068379704517</v>
      </c>
      <c r="N79" s="115">
        <v>5011.1963068008663</v>
      </c>
      <c r="O79" s="115">
        <v>54.519120575587557</v>
      </c>
      <c r="P79" s="115">
        <v>79.547983877573245</v>
      </c>
      <c r="Q79" s="111">
        <v>54.519120575587557</v>
      </c>
      <c r="R79" s="68">
        <v>79.547983877573245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0.66557530425505951</v>
      </c>
      <c r="M80" s="115">
        <v>6.4208906516419066</v>
      </c>
      <c r="N80" s="115">
        <v>293.46148064496822</v>
      </c>
      <c r="O80" s="115">
        <v>16.381141838366538</v>
      </c>
      <c r="P80" s="115">
        <v>28.207942874271282</v>
      </c>
      <c r="Q80" s="111">
        <v>16.381141838366538</v>
      </c>
      <c r="R80" s="68">
        <v>28.207942874271282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0.97225979311106836</v>
      </c>
      <c r="M81" s="115">
        <v>1.345462858793967</v>
      </c>
      <c r="N81" s="115">
        <v>25.39059078333166</v>
      </c>
      <c r="O81" s="115">
        <v>1.9412971549727756</v>
      </c>
      <c r="P81" s="115">
        <v>2.8995315638563506</v>
      </c>
      <c r="Q81" s="111">
        <v>1.9412971549727758</v>
      </c>
      <c r="R81" s="68">
        <v>2.8995315638563506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0.93707197772412121</v>
      </c>
      <c r="M82" s="115">
        <v>2.019910236807922</v>
      </c>
      <c r="N82" s="115">
        <v>60.828836362524306</v>
      </c>
      <c r="O82" s="115">
        <v>3.6674561530840681</v>
      </c>
      <c r="P82" s="115">
        <v>5.9118282928987425</v>
      </c>
      <c r="Q82" s="111">
        <v>3.6674561530840681</v>
      </c>
      <c r="R82" s="68">
        <v>5.9118282928987433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2.5816675988552047E-2</v>
      </c>
      <c r="M83" s="115">
        <v>186.80545343982203</v>
      </c>
      <c r="N83" s="115">
        <v>9372.545960811176</v>
      </c>
      <c r="O83" s="115">
        <v>64.561545735900907</v>
      </c>
      <c r="P83" s="115">
        <v>81.00799026599141</v>
      </c>
      <c r="Q83" s="111">
        <v>64.561545735900921</v>
      </c>
      <c r="R83" s="68">
        <v>81.00799026599141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0.42959805797251827</v>
      </c>
      <c r="M84" s="115">
        <v>14.678697911778888</v>
      </c>
      <c r="N84" s="115">
        <v>546.03710872307386</v>
      </c>
      <c r="O84" s="115">
        <v>5.761937639485784</v>
      </c>
      <c r="P84" s="115">
        <v>5.4138369715521399</v>
      </c>
      <c r="Q84" s="111">
        <v>5.761937639485784</v>
      </c>
      <c r="R84" s="68">
        <v>5.4138369715521399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0.31761116826896924</v>
      </c>
      <c r="M85" s="115">
        <v>1198.6786957706533</v>
      </c>
      <c r="N85" s="115">
        <v>23108.09280206999</v>
      </c>
      <c r="O85" s="115">
        <v>22.946370736721814</v>
      </c>
      <c r="P85" s="115">
        <v>20.672723239400813</v>
      </c>
      <c r="Q85" s="111">
        <v>22.946370736721818</v>
      </c>
      <c r="R85" s="68">
        <v>20.672723239400813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1.6745277719777856E-3</v>
      </c>
      <c r="M86" s="115">
        <v>489.23400892489678</v>
      </c>
      <c r="N86" s="115">
        <v>19061.954802804023</v>
      </c>
      <c r="O86" s="115">
        <v>112.3533574923578</v>
      </c>
      <c r="P86" s="115">
        <v>45.213754164102845</v>
      </c>
      <c r="Q86" s="111">
        <v>112.3533574923578</v>
      </c>
      <c r="R86" s="68">
        <v>45.213754164102852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6.1729780387284952E-4</v>
      </c>
      <c r="M87" s="115">
        <v>593.10524705316652</v>
      </c>
      <c r="N87" s="115">
        <v>23169.815007847996</v>
      </c>
      <c r="O87" s="115">
        <v>133.25375238528633</v>
      </c>
      <c r="P87" s="115">
        <v>50.341360786796677</v>
      </c>
      <c r="Q87" s="111">
        <v>133.25375238528633</v>
      </c>
      <c r="R87" s="68">
        <v>50.341360786796677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1.8372428297284653E-4</v>
      </c>
      <c r="M88" s="115">
        <v>683.58456159741377</v>
      </c>
      <c r="N88" s="115">
        <v>26783.43137942945</v>
      </c>
      <c r="O88" s="115">
        <v>151.40508728077629</v>
      </c>
      <c r="P88" s="115">
        <v>55.223146727889784</v>
      </c>
      <c r="Q88" s="111">
        <v>151.40508728077631</v>
      </c>
      <c r="R88" s="68">
        <v>55.223146727889784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2.9045274287198253E-3</v>
      </c>
      <c r="M89" s="115">
        <v>1763.2167401855743</v>
      </c>
      <c r="N89" s="115">
        <v>34187.643130510165</v>
      </c>
      <c r="O89" s="115">
        <v>26.117422936217984</v>
      </c>
      <c r="P89" s="115">
        <v>9.0121053702228195</v>
      </c>
      <c r="Q89" s="111">
        <v>26.117422936217984</v>
      </c>
      <c r="R89" s="68">
        <v>9.0121053702228195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0.96837305372822802</v>
      </c>
      <c r="M90" s="115">
        <v>0.87758393596669171</v>
      </c>
      <c r="N90" s="115">
        <v>1.4770554401683591</v>
      </c>
      <c r="O90" s="115">
        <v>0.81188966744794067</v>
      </c>
      <c r="P90" s="115">
        <v>0.9389579177952535</v>
      </c>
      <c r="Q90" s="111">
        <v>0.81188966744794078</v>
      </c>
      <c r="R90" s="68">
        <v>0.93895791779525362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0.76373040099624911</v>
      </c>
      <c r="M91" s="115">
        <v>2.8044959766019333</v>
      </c>
      <c r="N91" s="115">
        <v>81.417421498559577</v>
      </c>
      <c r="O91" s="115">
        <v>1.3926315728791556</v>
      </c>
      <c r="P91" s="115">
        <v>1.3888367491315283</v>
      </c>
      <c r="Q91" s="111">
        <v>1.3926315728791556</v>
      </c>
      <c r="R91" s="68">
        <v>1.3888367491315283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0.26487722372171491</v>
      </c>
      <c r="M92" s="115">
        <v>28.563965401122971</v>
      </c>
      <c r="N92" s="115">
        <v>1084.3028868676708</v>
      </c>
      <c r="O92" s="115">
        <v>11.264152828075458</v>
      </c>
      <c r="P92" s="115">
        <v>10.81210789899411</v>
      </c>
      <c r="Q92" s="111">
        <v>11.264152828075458</v>
      </c>
      <c r="R92" s="68">
        <v>10.81210789899411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0.99265527213507043</v>
      </c>
      <c r="M93" s="115">
        <v>0.87203097633010074</v>
      </c>
      <c r="N93" s="115">
        <v>0.62185989234017902</v>
      </c>
      <c r="O93" s="115">
        <v>0.84283785020910795</v>
      </c>
      <c r="P93" s="115">
        <v>0.99118769601033996</v>
      </c>
      <c r="Q93" s="111">
        <v>0.84283785020910795</v>
      </c>
      <c r="R93" s="68">
        <v>0.99118769601034007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0.99873242632168824</v>
      </c>
      <c r="M94" s="115">
        <v>0.8678993825670529</v>
      </c>
      <c r="N94" s="115">
        <v>0.15090112216215876</v>
      </c>
      <c r="O94" s="115">
        <v>0.82193165957424619</v>
      </c>
      <c r="P94" s="115">
        <v>0.95534099542677953</v>
      </c>
      <c r="Q94" s="111">
        <v>0.8219316595742463</v>
      </c>
      <c r="R94" s="68">
        <v>0.95534099542677964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0.9453311850861994</v>
      </c>
      <c r="M95" s="115">
        <v>0.9879739285132797</v>
      </c>
      <c r="N95" s="115">
        <v>6.3834757539068816</v>
      </c>
      <c r="O95" s="115">
        <v>0.82240274076019981</v>
      </c>
      <c r="P95" s="115">
        <v>0.93550659871145092</v>
      </c>
      <c r="Q95" s="111">
        <v>0.82240274076019992</v>
      </c>
      <c r="R95" s="68">
        <v>0.93550659871145103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2.381063221493084E-3</v>
      </c>
      <c r="M96" s="115">
        <v>446.46320884004444</v>
      </c>
      <c r="N96" s="115">
        <v>17378.357282868135</v>
      </c>
      <c r="O96" s="115">
        <v>103.78166455481093</v>
      </c>
      <c r="P96" s="115">
        <v>43.279336566484986</v>
      </c>
      <c r="Q96" s="111">
        <v>103.78166455481093</v>
      </c>
      <c r="R96" s="68">
        <v>43.279336566484986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0.67806645718104197</v>
      </c>
      <c r="M97" s="115">
        <v>4.6024279668907804</v>
      </c>
      <c r="N97" s="115">
        <v>152.71308878549013</v>
      </c>
      <c r="O97" s="115">
        <v>2.0134422300656301</v>
      </c>
      <c r="P97" s="115">
        <v>1.9298868557095863</v>
      </c>
      <c r="Q97" s="111">
        <v>2.0134422300656301</v>
      </c>
      <c r="R97" s="68">
        <v>1.9298868557095863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0.74912692692806437</v>
      </c>
      <c r="M98" s="115">
        <v>3.0668265647438928</v>
      </c>
      <c r="N98" s="115">
        <v>91.881285473984349</v>
      </c>
      <c r="O98" s="115">
        <v>1.4812272811708294</v>
      </c>
      <c r="P98" s="115">
        <v>1.4645734138803088</v>
      </c>
      <c r="Q98" s="111">
        <v>1.4812272811708296</v>
      </c>
      <c r="R98" s="68">
        <v>1.4645734138803088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0.87537595981000571</v>
      </c>
      <c r="M99" s="115">
        <v>1.3636727792113992</v>
      </c>
      <c r="N99" s="115">
        <v>22.973742743850295</v>
      </c>
      <c r="O99" s="115">
        <v>0.93129131608887139</v>
      </c>
      <c r="P99" s="115">
        <v>1.0120930882854589</v>
      </c>
      <c r="Q99" s="111">
        <v>0.93129131608887139</v>
      </c>
      <c r="R99" s="68">
        <v>1.0120930882854589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1.4569756995017794E-2</v>
      </c>
      <c r="M100" s="115">
        <v>204.77251322223185</v>
      </c>
      <c r="N100" s="115">
        <v>7924.0319404594875</v>
      </c>
      <c r="O100" s="115">
        <v>56.420813142038234</v>
      </c>
      <c r="P100" s="115">
        <v>35.163862019227075</v>
      </c>
      <c r="Q100" s="111">
        <v>56.420813142038234</v>
      </c>
      <c r="R100" s="68">
        <v>35.163862019227075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0.32416575972330713</v>
      </c>
      <c r="M101" s="115">
        <v>22.537161868046557</v>
      </c>
      <c r="N101" s="115">
        <v>850.83987834690072</v>
      </c>
      <c r="O101" s="115">
        <v>8.8406372069010875</v>
      </c>
      <c r="P101" s="115">
        <v>8.4046114809345092</v>
      </c>
      <c r="Q101" s="111">
        <v>8.8406372069010875</v>
      </c>
      <c r="R101" s="68">
        <v>8.4046114809345092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0.12400060447987335</v>
      </c>
      <c r="M102" s="115">
        <v>52.676277906710133</v>
      </c>
      <c r="N102" s="115">
        <v>2018.110605007696</v>
      </c>
      <c r="O102" s="115">
        <v>21.405011270451091</v>
      </c>
      <c r="P102" s="115">
        <v>21.269071863341214</v>
      </c>
      <c r="Q102" s="111">
        <v>21.405011270451094</v>
      </c>
      <c r="R102" s="68">
        <v>21.269071863341217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0.98325975574919666</v>
      </c>
      <c r="M103" s="115">
        <v>1.1100226507874544</v>
      </c>
      <c r="N103" s="115">
        <v>13.049985503274019</v>
      </c>
      <c r="O103" s="115">
        <v>1.3722514923444782</v>
      </c>
      <c r="P103" s="115">
        <v>1.9090173655778642</v>
      </c>
      <c r="Q103" s="111">
        <v>1.3722514923444782</v>
      </c>
      <c r="R103" s="68">
        <v>1.9090173655778642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9.9796937788507858E-2</v>
      </c>
      <c r="M104" s="115">
        <v>20.422697179893952</v>
      </c>
      <c r="N104" s="115">
        <v>1006.6269515075566</v>
      </c>
      <c r="O104" s="115">
        <v>42.981226462751543</v>
      </c>
      <c r="P104" s="115">
        <v>73.794267379745804</v>
      </c>
      <c r="Q104" s="111">
        <v>42.98122646275155</v>
      </c>
      <c r="R104" s="68">
        <v>73.794267379745804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0.96347168141486872</v>
      </c>
      <c r="M105" s="115">
        <v>0.88207418684646111</v>
      </c>
      <c r="N105" s="115">
        <v>1.8023475976961076</v>
      </c>
      <c r="O105" s="115">
        <v>0.81145907747299661</v>
      </c>
      <c r="P105" s="115">
        <v>0.93693691707301341</v>
      </c>
      <c r="Q105" s="111">
        <v>0.81145907747299661</v>
      </c>
      <c r="R105" s="68">
        <v>0.93693691707301352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0.94123859089798112</v>
      </c>
      <c r="M106" s="115">
        <v>0.99711507756438389</v>
      </c>
      <c r="N106" s="115">
        <v>6.8649787870384849</v>
      </c>
      <c r="O106" s="115">
        <v>0.82415536810770973</v>
      </c>
      <c r="P106" s="115">
        <v>0.93598169602036996</v>
      </c>
      <c r="Q106" s="111">
        <v>0.82415536810770984</v>
      </c>
      <c r="R106" s="68">
        <v>0.93598169602036996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9.7132785125469884E-2</v>
      </c>
      <c r="M107" s="115">
        <v>82.800552105672566</v>
      </c>
      <c r="N107" s="115">
        <v>2756.9555926670905</v>
      </c>
      <c r="O107" s="115">
        <v>25.889085349153895</v>
      </c>
      <c r="P107" s="115">
        <v>26.050525169212836</v>
      </c>
      <c r="Q107" s="111">
        <v>25.889085349153895</v>
      </c>
      <c r="R107" s="68">
        <v>26.050525169212836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0.99596466243653181</v>
      </c>
      <c r="M108" s="115">
        <v>0.86406015048474827</v>
      </c>
      <c r="N108" s="115">
        <v>7.8103355814623243E-2</v>
      </c>
      <c r="O108" s="115">
        <v>0.82180918810839743</v>
      </c>
      <c r="P108" s="115">
        <v>0.95519909430485983</v>
      </c>
      <c r="Q108" s="111">
        <v>0.82180918810839754</v>
      </c>
      <c r="R108" s="68">
        <v>0.95519909430485994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2.2676152844537962</v>
      </c>
      <c r="M109" s="115">
        <v>14.858723757403956</v>
      </c>
      <c r="N109" s="115">
        <v>271.77338856030929</v>
      </c>
      <c r="O109" s="115">
        <v>1.2769990423994142</v>
      </c>
      <c r="P109" s="115">
        <v>1.4849499396216499</v>
      </c>
      <c r="Q109" s="111">
        <v>1.2769990423994142</v>
      </c>
      <c r="R109" s="68">
        <v>1.4849499396216501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0.98695348635299707</v>
      </c>
      <c r="M110" s="115">
        <v>0.86045285570795482</v>
      </c>
      <c r="N110" s="115">
        <v>0.2219563861470854</v>
      </c>
      <c r="O110" s="115">
        <v>0.81819747844734292</v>
      </c>
      <c r="P110" s="115">
        <v>0.95060736560065584</v>
      </c>
      <c r="Q110" s="111">
        <v>0.81819747844734292</v>
      </c>
      <c r="R110" s="68">
        <v>0.95060736560065595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0.99312615480637079</v>
      </c>
      <c r="M111" s="115">
        <v>0.86011150196881681</v>
      </c>
      <c r="N111" s="115">
        <v>3.2328498056961455E-3</v>
      </c>
      <c r="O111" s="115">
        <v>0.82184173839883878</v>
      </c>
      <c r="P111" s="115">
        <v>0.95528837981666914</v>
      </c>
      <c r="Q111" s="111">
        <v>0.82184173839883878</v>
      </c>
      <c r="R111" s="68">
        <v>0.95528837981666925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0.98513100512309704</v>
      </c>
      <c r="M112" s="115">
        <v>0.85758482007675818</v>
      </c>
      <c r="N112" s="115">
        <v>0.16758052136953841</v>
      </c>
      <c r="O112" s="115">
        <v>0.815228891004668</v>
      </c>
      <c r="P112" s="115">
        <v>0.94693732323059543</v>
      </c>
      <c r="Q112" s="111">
        <v>0.815228891004668</v>
      </c>
      <c r="R112" s="68">
        <v>0.94693732323059543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0.9483124014012253</v>
      </c>
      <c r="M113" s="115">
        <v>0.9226637311577941</v>
      </c>
      <c r="N113" s="115">
        <v>3.8377984414734923</v>
      </c>
      <c r="O113" s="115">
        <v>0.81689386515790341</v>
      </c>
      <c r="P113" s="115">
        <v>0.93662419194921875</v>
      </c>
      <c r="Q113" s="111">
        <v>0.81689386515790341</v>
      </c>
      <c r="R113" s="68">
        <v>0.93662419194921887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0.98898077006550433</v>
      </c>
      <c r="M114" s="115">
        <v>0.85784768916474341</v>
      </c>
      <c r="N114" s="115">
        <v>5.2089625911371999E-2</v>
      </c>
      <c r="O114" s="115">
        <v>0.81741093132620823</v>
      </c>
      <c r="P114" s="115">
        <v>0.94990576916160885</v>
      </c>
      <c r="Q114" s="111">
        <v>0.81741093132620823</v>
      </c>
      <c r="R114" s="68">
        <v>0.94990576916160885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0.99084383299005774</v>
      </c>
      <c r="M115" s="115">
        <v>0.9267736833326895</v>
      </c>
      <c r="N115" s="115">
        <v>3.4720016609179742</v>
      </c>
      <c r="O115" s="115">
        <v>0.9561347464718678</v>
      </c>
      <c r="P115" s="115">
        <v>1.1868635485464512</v>
      </c>
      <c r="Q115" s="111">
        <v>0.95613474647186791</v>
      </c>
      <c r="R115" s="68">
        <v>1.1868635485464512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1.0890122495276497</v>
      </c>
      <c r="M116" s="115">
        <v>472.79767970987757</v>
      </c>
      <c r="N116" s="115">
        <v>9126.4502551762944</v>
      </c>
      <c r="O116" s="115">
        <v>18.215924171285611</v>
      </c>
      <c r="P116" s="115">
        <v>23.687262859077645</v>
      </c>
      <c r="Q116" s="111">
        <v>18.215924171285611</v>
      </c>
      <c r="R116" s="68">
        <v>23.687262859077645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0.58294958277283837</v>
      </c>
      <c r="M117" s="115">
        <v>7.4572434354940542</v>
      </c>
      <c r="N117" s="115">
        <v>264.7711497730628</v>
      </c>
      <c r="O117" s="115">
        <v>3.0417450217177726</v>
      </c>
      <c r="P117" s="115">
        <v>2.8590898226978587</v>
      </c>
      <c r="Q117" s="111">
        <v>3.0417450217177731</v>
      </c>
      <c r="R117" s="68">
        <v>2.8590898226978592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2025-02-02T13:50:16Z</dcterms:modified>
</cp:coreProperties>
</file>