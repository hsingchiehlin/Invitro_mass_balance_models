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384well_1um\"/>
    </mc:Choice>
  </mc:AlternateContent>
  <xr:revisionPtr revIDLastSave="0" documentId="13_ncr:1_{3E349C17-8A84-46C2-9492-61847AC8EC70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D3" i="23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<sst xmlns="http://schemas.openxmlformats.org/spreadsheetml/2006/main" count="2915" uniqueCount="495">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</sst>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53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3.61</v>
      </c>
      <c r="K5" s="136">
        <v>3.8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1.444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0.72199999999999998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0.36099999999999999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7.5999999999999998E-2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6.08E-2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2.128E-2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1.1780000000000001E-2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7.6E-3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8.7399999999999995E-3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4.5599999999999998E-3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7.5999999999999998E-2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1.4073600000000002E-2</v>
      </c>
      <c r="C9" s="75" t="s">
        <v>99</v>
      </c>
      <c r="F9" s="76" t="s">
        <v>68</v>
      </c>
      <c r="G9" s="89">
        <v>8.5199999999999998E-3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1.5200000000000001E-3</v>
      </c>
      <c r="C10" s="75" t="s">
        <v>99</v>
      </c>
      <c r="F10" s="76" t="s">
        <v>69</v>
      </c>
      <c r="G10" s="90">
        <v>1.9879999999999998E-2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0.1056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2.128E-2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2.128E-2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5.3200000000000003E-4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1.5108799999999998E-5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1.4239416029829504E-5</v>
      </c>
      <c r="J2" s="67" t="s">
        <v>231</v>
      </c>
      <c r="K2" s="68">
        <v>2.1491754336172078E-3</v>
      </c>
      <c r="L2" s="67" t="s">
        <v>231</v>
      </c>
      <c r="M2" s="68">
        <v>5.5107786269511648E-2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4.4783398442051411E-3</v>
      </c>
      <c r="J3" s="67" t="s">
        <v>231</v>
      </c>
      <c r="K3" s="68">
        <v>0.41215400408383562</v>
      </c>
      <c r="L3" s="67" t="s">
        <v>231</v>
      </c>
      <c r="M3" s="68">
        <v>16.032877339094899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2.4150689190793853E-3</v>
      </c>
      <c r="J4" s="67" t="s">
        <v>231</v>
      </c>
      <c r="K4" s="68">
        <v>1.138739726441803E-2</v>
      </c>
      <c r="L4" s="67" t="s">
        <v>231</v>
      </c>
      <c r="M4" s="68">
        <v>0.41807490701902977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6.8710198787053887E-3</v>
      </c>
      <c r="J5" s="67" t="s">
        <v>231</v>
      </c>
      <c r="K5" s="68">
        <v>0.12002696568776274</v>
      </c>
      <c r="L5" s="67" t="s">
        <v>231</v>
      </c>
      <c r="M5" s="68">
        <v>4.6303610084664371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1.2962113024919467E-2</v>
      </c>
      <c r="J6" s="67" t="s">
        <v>232</v>
      </c>
      <c r="K6" s="68">
        <v>0.5110910031988376</v>
      </c>
      <c r="L6" s="67" t="s">
        <v>231</v>
      </c>
      <c r="M6" s="68">
        <v>19.923859642886917</v>
      </c>
      <c r="N6" s="67" t="s">
        <v>231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1.8151023844514642E-3</v>
      </c>
      <c r="J7" s="67" t="s">
        <v>231</v>
      </c>
      <c r="K7" s="68">
        <v>0.43263964345337824</v>
      </c>
      <c r="L7" s="67" t="s">
        <v>231</v>
      </c>
      <c r="M7" s="68">
        <v>16.835030319261502</v>
      </c>
      <c r="N7" s="67" t="s">
        <v>231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3.3662314616463712E-3</v>
      </c>
      <c r="J8" s="67" t="s">
        <v>231</v>
      </c>
      <c r="K8" s="68">
        <v>0.33088099458132281</v>
      </c>
      <c r="L8" s="67" t="s">
        <v>231</v>
      </c>
      <c r="M8" s="68">
        <v>12.845758060877245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6.0013727157152226E-4</v>
      </c>
      <c r="J9" s="67" t="s">
        <v>231</v>
      </c>
      <c r="K9" s="68">
        <v>4.376468540428928E-2</v>
      </c>
      <c r="L9" s="67" t="s">
        <v>231</v>
      </c>
      <c r="M9" s="68">
        <v>1.6728545701147954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4.1173421930389142E-3</v>
      </c>
      <c r="J10" s="67" t="s">
        <v>231</v>
      </c>
      <c r="K10" s="68">
        <v>0.12782081574780865</v>
      </c>
      <c r="L10" s="67" t="s">
        <v>231</v>
      </c>
      <c r="M10" s="68">
        <v>4.9327511387901142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1.0060726688558067E-3</v>
      </c>
      <c r="J11" s="67" t="s">
        <v>231</v>
      </c>
      <c r="K11" s="68">
        <v>0.1414696386753333</v>
      </c>
      <c r="L11" s="67" t="s">
        <v>231</v>
      </c>
      <c r="M11" s="68">
        <v>5.4626032795356787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1.4962401256320955E-3</v>
      </c>
      <c r="J12" s="67" t="s">
        <v>231</v>
      </c>
      <c r="K12" s="68">
        <v>5.316138170561549E-2</v>
      </c>
      <c r="L12" s="67" t="s">
        <v>231</v>
      </c>
      <c r="M12" s="68">
        <v>2.036901463238467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2.837217278849755E-2</v>
      </c>
      <c r="J13" s="67" t="s">
        <v>232</v>
      </c>
      <c r="K13" s="68">
        <v>4.4621812959588308E-2</v>
      </c>
      <c r="L13" s="67" t="s">
        <v>231</v>
      </c>
      <c r="M13" s="68">
        <v>1.706054222760524</v>
      </c>
      <c r="N13" s="67" t="s">
        <v>231</v>
      </c>
      <c r="P13" s="109" t="s">
        <v>192</v>
      </c>
      <c r="Q13" s="103">
        <f>COUNTIF(J2:J50000,"Yes")</f>
        <v>10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9.458753149116924E-3</v>
      </c>
      <c r="J14" s="67" t="s">
        <v>231</v>
      </c>
      <c r="K14" s="68">
        <v>0.19049238348079714</v>
      </c>
      <c r="L14" s="67" t="s">
        <v>231</v>
      </c>
      <c r="M14" s="68">
        <v>7.3682250278109347</v>
      </c>
      <c r="N14" s="67" t="s">
        <v>231</v>
      </c>
      <c r="P14" s="109" t="s">
        <v>229</v>
      </c>
      <c r="Q14" s="103">
        <f>COUNTIF(N2:N50000,"Yes")</f>
        <v>4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4.8423132440769531E-3</v>
      </c>
      <c r="J15" s="67" t="s">
        <v>231</v>
      </c>
      <c r="K15" s="68">
        <v>0.13454255633004014</v>
      </c>
      <c r="L15" s="67" t="s">
        <v>231</v>
      </c>
      <c r="M15" s="68">
        <v>5.1936448814773701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3.5329336025198567E-3</v>
      </c>
      <c r="J16" s="67" t="s">
        <v>231</v>
      </c>
      <c r="K16" s="68">
        <v>0.32599557830209303</v>
      </c>
      <c r="L16" s="67" t="s">
        <v>231</v>
      </c>
      <c r="M16" s="68">
        <v>12.654759052571631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2.8908443843569274E-3</v>
      </c>
      <c r="J17" s="67" t="s">
        <v>231</v>
      </c>
      <c r="K17" s="68">
        <v>0.12261086743337195</v>
      </c>
      <c r="L17" s="67" t="s">
        <v>231</v>
      </c>
      <c r="M17" s="68">
        <v>4.730594635072074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4.1618611726083679E-3</v>
      </c>
      <c r="J18" s="67" t="s">
        <v>231</v>
      </c>
      <c r="K18" s="68">
        <v>3.9665796536940932E-2</v>
      </c>
      <c r="L18" s="67" t="s">
        <v>231</v>
      </c>
      <c r="M18" s="68">
        <v>1.5142930657711677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2.9419371112542721E-2</v>
      </c>
      <c r="J19" s="67" t="s">
        <v>232</v>
      </c>
      <c r="K19" s="68">
        <v>0.13591726050266822</v>
      </c>
      <c r="L19" s="67" t="s">
        <v>231</v>
      </c>
      <c r="M19" s="68">
        <v>5.247011814874484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2.9365079213839614E-3</v>
      </c>
      <c r="J20" s="67" t="s">
        <v>231</v>
      </c>
      <c r="K20" s="68">
        <v>4.4638523832357759E-2</v>
      </c>
      <c r="L20" s="67" t="s">
        <v>231</v>
      </c>
      <c r="M20" s="68">
        <v>1.7066931402128507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1.3664483840997678E-2</v>
      </c>
      <c r="J21" s="67" t="s">
        <v>232</v>
      </c>
      <c r="K21" s="68">
        <v>0.17494761272728659</v>
      </c>
      <c r="L21" s="67" t="s">
        <v>231</v>
      </c>
      <c r="M21" s="68">
        <v>6.7636117482884739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9.9765846035302773E-5</v>
      </c>
      <c r="J22" s="67" t="s">
        <v>231</v>
      </c>
      <c r="K22" s="68">
        <v>5.3066177147132656E-3</v>
      </c>
      <c r="L22" s="67" t="s">
        <v>231</v>
      </c>
      <c r="M22" s="68">
        <v>0.18050726253795019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3.1273063509096159E-5</v>
      </c>
      <c r="J23" s="67" t="s">
        <v>231</v>
      </c>
      <c r="K23" s="68">
        <v>2.8885610917033576E-3</v>
      </c>
      <c r="L23" s="67" t="s">
        <v>231</v>
      </c>
      <c r="M23" s="68">
        <v>8.4774816226237629E-2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1.4995623348520778E-4</v>
      </c>
      <c r="J24" s="67" t="s">
        <v>231</v>
      </c>
      <c r="K24" s="68">
        <v>2.2829362356242333E-2</v>
      </c>
      <c r="L24" s="67" t="s">
        <v>231</v>
      </c>
      <c r="M24" s="68">
        <v>0.86216491796146322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1.4969938222293879E-3</v>
      </c>
      <c r="J25" s="67" t="s">
        <v>231</v>
      </c>
      <c r="K25" s="68">
        <v>6.2704700974230754E-2</v>
      </c>
      <c r="L25" s="67" t="s">
        <v>231</v>
      </c>
      <c r="M25" s="68">
        <v>2.4083019318612275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3.6262056270088831E-3</v>
      </c>
      <c r="J26" s="67" t="s">
        <v>231</v>
      </c>
      <c r="K26" s="68">
        <v>0.16532312709758712</v>
      </c>
      <c r="L26" s="67" t="s">
        <v>231</v>
      </c>
      <c r="M26" s="68">
        <v>6.3893996003736087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2.4570374236348273E-3</v>
      </c>
      <c r="J27" s="67" t="s">
        <v>231</v>
      </c>
      <c r="K27" s="68">
        <v>0.40273239674498279</v>
      </c>
      <c r="L27" s="67" t="s">
        <v>231</v>
      </c>
      <c r="M27" s="68">
        <v>15.662292361542066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1.2764857939581876E-3</v>
      </c>
      <c r="J28" s="67" t="s">
        <v>231</v>
      </c>
      <c r="K28" s="68">
        <v>0.24088177727548205</v>
      </c>
      <c r="L28" s="67" t="s">
        <v>231</v>
      </c>
      <c r="M28" s="68">
        <v>9.3309011174127665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7.2108487909382419E-4</v>
      </c>
      <c r="J29" s="67" t="s">
        <v>231</v>
      </c>
      <c r="K29" s="68">
        <v>0.16537405111543105</v>
      </c>
      <c r="L29" s="67" t="s">
        <v>231</v>
      </c>
      <c r="M29" s="68">
        <v>6.3956001074126361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1.2764857939581876E-3</v>
      </c>
      <c r="J30" s="67" t="s">
        <v>231</v>
      </c>
      <c r="K30" s="68">
        <v>0.24088177727548205</v>
      </c>
      <c r="L30" s="67" t="s">
        <v>231</v>
      </c>
      <c r="M30" s="68">
        <v>9.3309011174127665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8.1098512881230613E-8</v>
      </c>
      <c r="J31" s="67" t="s">
        <v>231</v>
      </c>
      <c r="K31" s="68">
        <v>8.7022831337210205E-4</v>
      </c>
      <c r="L31" s="67" t="s">
        <v>231</v>
      </c>
      <c r="M31" s="68">
        <v>1.1367582439977208E-3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1.0725778561854546E-5</v>
      </c>
      <c r="J32" s="67" t="s">
        <v>231</v>
      </c>
      <c r="K32" s="68">
        <v>8.6766373844739744E-3</v>
      </c>
      <c r="L32" s="67" t="s">
        <v>231</v>
      </c>
      <c r="M32" s="68">
        <v>0.30929398937265429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8.1324726283839808E-8</v>
      </c>
      <c r="J33" s="67" t="s">
        <v>231</v>
      </c>
      <c r="K33" s="68">
        <v>8.7144782892977293E-4</v>
      </c>
      <c r="L33" s="67" t="s">
        <v>231</v>
      </c>
      <c r="M33" s="68">
        <v>5.912505106406684E-4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3.2501200955485865E-10</v>
      </c>
      <c r="J34" s="67" t="s">
        <v>231</v>
      </c>
      <c r="K34" s="68">
        <v>2.3003171584244E-3</v>
      </c>
      <c r="L34" s="67" t="s">
        <v>231</v>
      </c>
      <c r="M34" s="68">
        <v>7.5579041946968795E-2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5.0119003863862571E-7</v>
      </c>
      <c r="J35" s="67" t="s">
        <v>231</v>
      </c>
      <c r="K35" s="68">
        <v>3.9382519272192435E-3</v>
      </c>
      <c r="L35" s="67" t="s">
        <v>231</v>
      </c>
      <c r="M35" s="68">
        <v>0.16162713251790364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9.0441102827606112E-7</v>
      </c>
      <c r="J36" s="67" t="s">
        <v>231</v>
      </c>
      <c r="K36" s="68">
        <v>8.2519304363345685E-3</v>
      </c>
      <c r="L36" s="67" t="s">
        <v>231</v>
      </c>
      <c r="M36" s="68">
        <v>0.38890922034050429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5.467457278874858E-6</v>
      </c>
      <c r="J37" s="67" t="s">
        <v>231</v>
      </c>
      <c r="K37" s="68">
        <v>1.2490989159276255E-2</v>
      </c>
      <c r="L37" s="67" t="s">
        <v>231</v>
      </c>
      <c r="M37" s="68">
        <v>0.4941604614989894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1.6030691987213955E-6</v>
      </c>
      <c r="J38" s="67" t="s">
        <v>231</v>
      </c>
      <c r="K38" s="68">
        <v>2.0446778528591123E-3</v>
      </c>
      <c r="L38" s="67" t="s">
        <v>231</v>
      </c>
      <c r="M38" s="68">
        <v>6.1409219756776386E-2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9.6144082497585871E-4</v>
      </c>
      <c r="J39" s="67" t="s">
        <v>231</v>
      </c>
      <c r="K39" s="68">
        <v>8.1920154452109734E-2</v>
      </c>
      <c r="L39" s="67" t="s">
        <v>231</v>
      </c>
      <c r="M39" s="68">
        <v>3.1534898801144799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5.0148838654688316E-9</v>
      </c>
      <c r="J40" s="67" t="s">
        <v>231</v>
      </c>
      <c r="K40" s="68">
        <v>0.69874468469199325</v>
      </c>
      <c r="L40" s="67" t="s">
        <v>231</v>
      </c>
      <c r="M40" s="68">
        <v>34.4467307784846</v>
      </c>
      <c r="N40" s="67" t="s">
        <v>232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2.6149446135479513E-8</v>
      </c>
      <c r="J41" s="67" t="s">
        <v>231</v>
      </c>
      <c r="K41" s="68">
        <v>7.8774158839701428E-4</v>
      </c>
      <c r="L41" s="67" t="s">
        <v>231</v>
      </c>
      <c r="M41" s="68">
        <v>6.4218146984699179E-5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1.1190793071560569E-3</v>
      </c>
      <c r="J42" s="67" t="s">
        <v>231</v>
      </c>
      <c r="K42" s="68">
        <v>6.1492627445551883E-3</v>
      </c>
      <c r="L42" s="67" t="s">
        <v>231</v>
      </c>
      <c r="M42" s="68">
        <v>0.21353929522679965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4.277363770702166E-8</v>
      </c>
      <c r="J43" s="67" t="s">
        <v>231</v>
      </c>
      <c r="K43" s="68">
        <v>3.0074602519008131E-2</v>
      </c>
      <c r="L43" s="67" t="s">
        <v>231</v>
      </c>
      <c r="M43" s="68">
        <v>1.4951278032591682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1.087641170793384E-6</v>
      </c>
      <c r="J44" s="67" t="s">
        <v>231</v>
      </c>
      <c r="K44" s="68">
        <v>1.4547954143668989E-3</v>
      </c>
      <c r="L44" s="67" t="s">
        <v>231</v>
      </c>
      <c r="M44" s="68">
        <v>2.9654025938509299E-2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1.0057016062479746E-4</v>
      </c>
      <c r="J45" s="67" t="s">
        <v>231</v>
      </c>
      <c r="K45" s="68">
        <v>6.9885062563302732E-3</v>
      </c>
      <c r="L45" s="67" t="s">
        <v>231</v>
      </c>
      <c r="M45" s="68">
        <v>0.24645001762734589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2.2251357046667348E-6</v>
      </c>
      <c r="J46" s="67" t="s">
        <v>231</v>
      </c>
      <c r="K46" s="68">
        <v>6.4383635785027499E-3</v>
      </c>
      <c r="L46" s="67" t="s">
        <v>231</v>
      </c>
      <c r="M46" s="68">
        <v>0.22494194694103581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1.1508195816940006E-2</v>
      </c>
      <c r="J47" s="142" t="s">
        <v>232</v>
      </c>
      <c r="K47" s="143">
        <v>0.41880503954760678</v>
      </c>
      <c r="L47" s="142" t="s">
        <v>231</v>
      </c>
      <c r="M47" s="143">
        <v>16.291604015803159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1.8130439006861884E-6</v>
      </c>
      <c r="J48" s="142" t="s">
        <v>231</v>
      </c>
      <c r="K48" s="143">
        <v>1.0545551331394829E-3</v>
      </c>
      <c r="L48" s="142" t="s">
        <v>231</v>
      </c>
      <c r="M48" s="143">
        <v>1.0248542687540897E-2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5.0816691870018102E-6</v>
      </c>
      <c r="J49" s="142" t="s">
        <v>231</v>
      </c>
      <c r="K49" s="143">
        <v>1.2188563917353294E-3</v>
      </c>
      <c r="L49" s="142" t="s">
        <v>231</v>
      </c>
      <c r="M49" s="143">
        <v>1.7656347168748095E-2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1.7799023581638992E-5</v>
      </c>
      <c r="J50" s="142" t="s">
        <v>231</v>
      </c>
      <c r="K50" s="143">
        <v>3.8110685623935714E-2</v>
      </c>
      <c r="L50" s="142" t="s">
        <v>231</v>
      </c>
      <c r="M50" s="143">
        <v>1.4542668170829298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4.0144781529275769E-8</v>
      </c>
      <c r="J51" s="142" t="s">
        <v>231</v>
      </c>
      <c r="K51" s="143">
        <v>8.2743195294124956E-4</v>
      </c>
      <c r="L51" s="142" t="s">
        <v>231</v>
      </c>
      <c r="M51" s="143">
        <v>1.8467171182859484E-3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1.1160554709545243E-5</v>
      </c>
      <c r="J52" s="142" t="s">
        <v>231</v>
      </c>
      <c r="K52" s="143">
        <v>1.9695846153637126E-3</v>
      </c>
      <c r="L52" s="142" t="s">
        <v>231</v>
      </c>
      <c r="M52" s="143">
        <v>5.0117328553884517E-2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2.0808918928108056E-4</v>
      </c>
      <c r="J53" s="142" t="s">
        <v>231</v>
      </c>
      <c r="K53" s="143">
        <v>1.0356548425316355E-2</v>
      </c>
      <c r="L53" s="142" t="s">
        <v>231</v>
      </c>
      <c r="M53" s="143">
        <v>0.37799918181488745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3.8529430465560348E-3</v>
      </c>
      <c r="J54" s="67" t="s">
        <v>231</v>
      </c>
      <c r="K54" s="68">
        <v>0.37670888295445165</v>
      </c>
      <c r="L54" s="67" t="s">
        <v>231</v>
      </c>
      <c r="M54" s="68">
        <v>14.640289422690419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2.9227703936236278E-4</v>
      </c>
      <c r="J55" s="67" t="s">
        <v>231</v>
      </c>
      <c r="K55" s="68">
        <v>1.9062178922827237E-2</v>
      </c>
      <c r="L55" s="67" t="s">
        <v>231</v>
      </c>
      <c r="M55" s="68">
        <v>0.72127277647674981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232</v>
      </c>
      <c r="H56" s="67" t="s">
        <v>231</v>
      </c>
      <c r="I56" s="68">
        <v>6.9611147482505573E-5</v>
      </c>
      <c r="J56" s="67" t="s">
        <v>231</v>
      </c>
      <c r="K56" s="68">
        <v>8.9767868501573218E-3</v>
      </c>
      <c r="L56" s="67" t="s">
        <v>231</v>
      </c>
      <c r="M56" s="68">
        <v>0.34384410842275093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2.7266580007803453E-5</v>
      </c>
      <c r="J57" s="67" t="s">
        <v>231</v>
      </c>
      <c r="K57" s="68">
        <v>3.6731799553439827E-3</v>
      </c>
      <c r="L57" s="67" t="s">
        <v>231</v>
      </c>
      <c r="M57" s="68">
        <v>0.13946913699909236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2.5870260836902684E-7</v>
      </c>
      <c r="J58" s="67" t="s">
        <v>231</v>
      </c>
      <c r="K58" s="68">
        <v>9.1288250838624053E-5</v>
      </c>
      <c r="L58" s="67" t="s">
        <v>231</v>
      </c>
      <c r="M58" s="68">
        <v>1.5179715745107707E-3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6.0281863619607794E-6</v>
      </c>
      <c r="J59" s="67" t="s">
        <v>231</v>
      </c>
      <c r="K59" s="68">
        <v>1.2981566862947564E-3</v>
      </c>
      <c r="L59" s="67" t="s">
        <v>231</v>
      </c>
      <c r="M59" s="68">
        <v>4.9254506320719538E-2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8.9781257895969145E-8</v>
      </c>
      <c r="J60" s="67" t="s">
        <v>231</v>
      </c>
      <c r="K60" s="68">
        <v>2.163581173886889E-5</v>
      </c>
      <c r="L60" s="67" t="s">
        <v>231</v>
      </c>
      <c r="M60" s="68">
        <v>8.1154309547553857E-4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5.0901585880604505E-2</v>
      </c>
      <c r="J61" s="67" t="s">
        <v>232</v>
      </c>
      <c r="K61" s="68">
        <v>1.4678697911778888E-2</v>
      </c>
      <c r="L61" s="67" t="s">
        <v>231</v>
      </c>
      <c r="M61" s="68">
        <v>0.54603710872307376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1.6356876856991935E-4</v>
      </c>
      <c r="J62" s="67" t="s">
        <v>231</v>
      </c>
      <c r="K62" s="68">
        <v>0.18707681403272405</v>
      </c>
      <c r="L62" s="67" t="s">
        <v>231</v>
      </c>
      <c r="M62" s="68">
        <v>7.235319266834491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1.2394037424807317E-3</v>
      </c>
      <c r="J63" s="67" t="s">
        <v>231</v>
      </c>
      <c r="K63" s="68">
        <v>0.48923400892489682</v>
      </c>
      <c r="L63" s="67" t="s">
        <v>231</v>
      </c>
      <c r="M63" s="68">
        <v>19.061954802804024</v>
      </c>
      <c r="N63" s="67" t="s">
        <v>231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9.53214714609523E-4</v>
      </c>
      <c r="J64" s="67" t="s">
        <v>231</v>
      </c>
      <c r="K64" s="68">
        <v>0.59310524705316647</v>
      </c>
      <c r="L64" s="67" t="s">
        <v>231</v>
      </c>
      <c r="M64" s="68">
        <v>23.169815007847994</v>
      </c>
      <c r="N64" s="67" t="s">
        <v>232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1.5467409311523729E-3</v>
      </c>
      <c r="J65" s="67" t="s">
        <v>231</v>
      </c>
      <c r="K65" s="68">
        <v>0.68358456159741376</v>
      </c>
      <c r="L65" s="67" t="s">
        <v>231</v>
      </c>
      <c r="M65" s="68">
        <v>26.783431379429452</v>
      </c>
      <c r="N65" s="67" t="s">
        <v>232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5.9126044413009494E-6</v>
      </c>
      <c r="J66" s="67" t="s">
        <v>231</v>
      </c>
      <c r="K66" s="68">
        <v>0.63595994750969753</v>
      </c>
      <c r="L66" s="67" t="s">
        <v>231</v>
      </c>
      <c r="M66" s="68">
        <v>24.875701664190697</v>
      </c>
      <c r="N66" s="67" t="s">
        <v>232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3.8257126212124469E-4</v>
      </c>
      <c r="J67" s="67" t="s">
        <v>231</v>
      </c>
      <c r="K67" s="68">
        <v>1.7325591298413643E-3</v>
      </c>
      <c r="L67" s="67" t="s">
        <v>231</v>
      </c>
      <c r="M67" s="68">
        <v>3.8344589636541637E-2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1.5568569955926007E-4</v>
      </c>
      <c r="J68" s="67" t="s">
        <v>231</v>
      </c>
      <c r="K68" s="68">
        <v>2.4040991355813121E-3</v>
      </c>
      <c r="L68" s="67" t="s">
        <v>231</v>
      </c>
      <c r="M68" s="68">
        <v>6.5700444694413176E-2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9.0672236017739638E-7</v>
      </c>
      <c r="J69" s="67" t="s">
        <v>231</v>
      </c>
      <c r="K69" s="68">
        <v>0.31811794487261746</v>
      </c>
      <c r="L69" s="67" t="s">
        <v>231</v>
      </c>
      <c r="M69" s="68">
        <v>12.347006148242354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7.9618652035494939E-4</v>
      </c>
      <c r="J70" s="67" t="s">
        <v>231</v>
      </c>
      <c r="K70" s="68">
        <v>6.0927325379663035E-2</v>
      </c>
      <c r="L70" s="67" t="s">
        <v>231</v>
      </c>
      <c r="M70" s="68">
        <v>2.3383231324603435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2.8984113162110864E-4</v>
      </c>
      <c r="J71" s="67" t="s">
        <v>231</v>
      </c>
      <c r="K71" s="68">
        <v>2.2399405206628546E-3</v>
      </c>
      <c r="L71" s="67" t="s">
        <v>231</v>
      </c>
      <c r="M71" s="68">
        <v>5.9572953493181882E-2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4.4868674558035983E-6</v>
      </c>
      <c r="J72" s="67" t="s">
        <v>231</v>
      </c>
      <c r="K72" s="68">
        <v>5.5710199317081564E-2</v>
      </c>
      <c r="L72" s="67" t="s">
        <v>231</v>
      </c>
      <c r="M72" s="68">
        <v>2.1367919147043608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7.5249502026076501E-3</v>
      </c>
      <c r="J73" s="67" t="s">
        <v>231</v>
      </c>
      <c r="K73" s="68">
        <v>1.5463028982859032E-2</v>
      </c>
      <c r="L73" s="67" t="s">
        <v>231</v>
      </c>
      <c r="M73" s="68">
        <v>0.57697375486480595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0.16393757023482636</v>
      </c>
      <c r="J74" s="67" t="s">
        <v>232</v>
      </c>
      <c r="K74" s="68">
        <v>5.9628773620485992E-2</v>
      </c>
      <c r="L74" s="67" t="s">
        <v>231</v>
      </c>
      <c r="M74" s="68">
        <v>2.2880961803458684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2.0724223003793163E-12</v>
      </c>
      <c r="J75" s="67" t="s">
        <v>231</v>
      </c>
      <c r="K75" s="68">
        <v>9.9902108503908058E-2</v>
      </c>
      <c r="L75" s="67" t="s">
        <v>231</v>
      </c>
      <c r="M75" s="68">
        <v>5.0111976187675928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1.1401389878624189E-12</v>
      </c>
      <c r="J76" s="67" t="s">
        <v>231</v>
      </c>
      <c r="K76" s="68">
        <v>9.9902108992338604E-2</v>
      </c>
      <c r="L76" s="67" t="s">
        <v>231</v>
      </c>
      <c r="M76" s="68">
        <v>5.0111976432677965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5.4705951805001986E-7</v>
      </c>
      <c r="J77" s="67" t="s">
        <v>231</v>
      </c>
      <c r="K77" s="68">
        <v>3.0834927758174899E-2</v>
      </c>
      <c r="L77" s="67" t="s">
        <v>231</v>
      </c>
      <c r="M77" s="68">
        <v>1.1733360599257796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1.058571080503003E-3</v>
      </c>
      <c r="J78" s="67" t="s">
        <v>231</v>
      </c>
      <c r="K78" s="68">
        <v>5.5417834423911669E-3</v>
      </c>
      <c r="L78" s="67" t="s">
        <v>231</v>
      </c>
      <c r="M78" s="68">
        <v>0.19077378981004897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2.2695704650340046E-5</v>
      </c>
      <c r="J79" s="67" t="s">
        <v>231</v>
      </c>
      <c r="K79" s="68">
        <v>1.0596980755846044E-2</v>
      </c>
      <c r="L79" s="67" t="s">
        <v>231</v>
      </c>
      <c r="M79" s="68">
        <v>0.38756584378364839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1.1879009453367497E-13</v>
      </c>
      <c r="J80" s="67" t="s">
        <v>231</v>
      </c>
      <c r="K80" s="68">
        <v>0.18680543779329567</v>
      </c>
      <c r="L80" s="67" t="s">
        <v>231</v>
      </c>
      <c r="M80" s="68">
        <v>9.3725455123504897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2.1985027021975383E-5</v>
      </c>
      <c r="J81" s="67" t="s">
        <v>231</v>
      </c>
      <c r="K81" s="68">
        <v>8.7985276340266062E-4</v>
      </c>
      <c r="L81" s="67" t="s">
        <v>231</v>
      </c>
      <c r="M81" s="68">
        <v>1.6821463368569738E-3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3.5476144777409615E-5</v>
      </c>
      <c r="J82" s="67" t="s">
        <v>231</v>
      </c>
      <c r="K82" s="68">
        <v>2.8044959766019332E-3</v>
      </c>
      <c r="L82" s="67" t="s">
        <v>231</v>
      </c>
      <c r="M82" s="68">
        <v>8.1417421498559572E-2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5.7686633023326191E-5</v>
      </c>
      <c r="J83" s="67" t="s">
        <v>231</v>
      </c>
      <c r="K83" s="68">
        <v>2.8563965401122968E-2</v>
      </c>
      <c r="L83" s="67" t="s">
        <v>231</v>
      </c>
      <c r="M83" s="68">
        <v>1.084302886867671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6.0738422386864714E-6</v>
      </c>
      <c r="J84" s="67" t="s">
        <v>231</v>
      </c>
      <c r="K84" s="68">
        <v>9.8760664911779449E-4</v>
      </c>
      <c r="L84" s="67" t="s">
        <v>231</v>
      </c>
      <c r="M84" s="68">
        <v>6.8442348237719641E-3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3.2979518964819556E-8</v>
      </c>
      <c r="J85" s="67" t="s">
        <v>231</v>
      </c>
      <c r="K85" s="68">
        <v>8.5888310469252717E-4</v>
      </c>
      <c r="L85" s="67" t="s">
        <v>231</v>
      </c>
      <c r="M85" s="68">
        <v>3.446947028151799E-4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2.3829804644423458E-6</v>
      </c>
      <c r="J86" s="67" t="s">
        <v>231</v>
      </c>
      <c r="K86" s="68">
        <v>9.8092532339799469E-4</v>
      </c>
      <c r="L86" s="67" t="s">
        <v>231</v>
      </c>
      <c r="M86" s="68">
        <v>6.5420483886198047E-3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1.347525128030266E-2</v>
      </c>
      <c r="J87" s="67" t="s">
        <v>232</v>
      </c>
      <c r="K87" s="68">
        <v>0.44646320884004448</v>
      </c>
      <c r="L87" s="67" t="s">
        <v>231</v>
      </c>
      <c r="M87" s="68">
        <v>17.378357282868137</v>
      </c>
      <c r="N87" s="67" t="s">
        <v>231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1.1122384862120075E-4</v>
      </c>
      <c r="J88" s="67" t="s">
        <v>231</v>
      </c>
      <c r="K88" s="68">
        <v>4.6024279668907811E-3</v>
      </c>
      <c r="L88" s="67" t="s">
        <v>231</v>
      </c>
      <c r="M88" s="68">
        <v>0.15271308878549011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2.8820792517202585E-5</v>
      </c>
      <c r="J89" s="67" t="s">
        <v>231</v>
      </c>
      <c r="K89" s="68">
        <v>3.0668265647438931E-3</v>
      </c>
      <c r="L89" s="67" t="s">
        <v>231</v>
      </c>
      <c r="M89" s="68">
        <v>9.1881285473984345E-2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1.7862042240285071E-6</v>
      </c>
      <c r="J90" s="67" t="s">
        <v>231</v>
      </c>
      <c r="K90" s="68">
        <v>1.3636727792113992E-3</v>
      </c>
      <c r="L90" s="67" t="s">
        <v>231</v>
      </c>
      <c r="M90" s="68">
        <v>2.2973742743850296E-2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9.8854098260958492E-3</v>
      </c>
      <c r="J91" s="67" t="s">
        <v>231</v>
      </c>
      <c r="K91" s="68">
        <v>0.20477251322223183</v>
      </c>
      <c r="L91" s="67" t="s">
        <v>231</v>
      </c>
      <c r="M91" s="68">
        <v>7.9240319404594874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3.383196943170675E-2</v>
      </c>
      <c r="J92" s="67" t="s">
        <v>232</v>
      </c>
      <c r="K92" s="68">
        <v>2.2537161868046555E-2</v>
      </c>
      <c r="L92" s="67" t="s">
        <v>231</v>
      </c>
      <c r="M92" s="68">
        <v>0.85083987834690078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1.7986341118448233E-2</v>
      </c>
      <c r="J93" s="67" t="s">
        <v>232</v>
      </c>
      <c r="K93" s="68">
        <v>5.2676277906710131E-2</v>
      </c>
      <c r="L93" s="67" t="s">
        <v>231</v>
      </c>
      <c r="M93" s="68">
        <v>2.018110605007696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7.1309755180707423E-9</v>
      </c>
      <c r="J94" s="67" t="s">
        <v>231</v>
      </c>
      <c r="K94" s="68">
        <v>1.1104578313770163E-3</v>
      </c>
      <c r="L94" s="67" t="s">
        <v>231</v>
      </c>
      <c r="M94" s="68">
        <v>1.3067464309456329E-2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1.9757016611661614E-4</v>
      </c>
      <c r="J95" s="67" t="s">
        <v>231</v>
      </c>
      <c r="K95" s="68">
        <v>0.10684754668645792</v>
      </c>
      <c r="L95" s="67" t="s">
        <v>231</v>
      </c>
      <c r="M95" s="68">
        <v>4.1192407206592545</v>
      </c>
      <c r="N95" s="67" t="s">
        <v>231</v>
      </c>
      <c r="O95" s="65"/>
      <c r="P95" s="102"/>
    </row>
    <row r="96" spans="1:16">
      <c r="A96" s="65" t="s">
        <v>470</v>
      </c>
      <c r="B96" s="165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9.6952037607948589E-8</v>
      </c>
      <c r="J96" s="67" t="s">
        <v>231</v>
      </c>
      <c r="K96" s="68">
        <v>8.820741868464611E-4</v>
      </c>
      <c r="L96" s="67" t="s">
        <v>231</v>
      </c>
      <c r="M96" s="68">
        <v>1.8023475976961076E-3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3.449985719084886E-8</v>
      </c>
      <c r="J97" s="67" t="s">
        <v>231</v>
      </c>
      <c r="K97" s="68">
        <v>9.9107004685050322E-4</v>
      </c>
      <c r="L97" s="67" t="s">
        <v>231</v>
      </c>
      <c r="M97" s="68">
        <v>7.0004154098858296E-3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3.44627008973177E-5</v>
      </c>
      <c r="J98" s="67" t="s">
        <v>231</v>
      </c>
      <c r="K98" s="68">
        <v>6.8804343386952696E-2</v>
      </c>
      <c r="L98" s="67" t="s">
        <v>231</v>
      </c>
      <c r="M98" s="68">
        <v>2.6437919047550538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4.1856718375550842E-8</v>
      </c>
      <c r="J99" s="67" t="s">
        <v>231</v>
      </c>
      <c r="K99" s="68">
        <v>8.5762422059171208E-4</v>
      </c>
      <c r="L99" s="67" t="s">
        <v>231</v>
      </c>
      <c r="M99" s="68">
        <v>1.7762617610275581E-4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6.5123268361181658E-5</v>
      </c>
      <c r="J100" s="67" t="s">
        <v>231</v>
      </c>
      <c r="K100" s="68">
        <v>9.3107559281079381E-3</v>
      </c>
      <c r="L100" s="67" t="s">
        <v>231</v>
      </c>
      <c r="M100" s="68">
        <v>0.33716385350610367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1.3053353551973964E-5</v>
      </c>
      <c r="J101" s="67" t="s">
        <v>231</v>
      </c>
      <c r="K101" s="68">
        <v>8.6003662169870825E-4</v>
      </c>
      <c r="L101" s="67" t="s">
        <v>231</v>
      </c>
      <c r="M101" s="68">
        <v>4.5022078137271489E-4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6.4322856582563671E-11</v>
      </c>
      <c r="J102" s="67" t="s">
        <v>231</v>
      </c>
      <c r="K102" s="68">
        <v>8.5802550503338035E-4</v>
      </c>
      <c r="L102" s="67" t="s">
        <v>231</v>
      </c>
      <c r="M102" s="68">
        <v>3.8110678683085411E-5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9.1568272785098047E-9</v>
      </c>
      <c r="J103" s="67" t="s">
        <v>231</v>
      </c>
      <c r="K103" s="68">
        <v>8.5758482007675812E-4</v>
      </c>
      <c r="L103" s="67" t="s">
        <v>231</v>
      </c>
      <c r="M103" s="68">
        <v>1.6758052136953841E-4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4.2150447620450694E-7</v>
      </c>
      <c r="J104" s="67" t="s">
        <v>231</v>
      </c>
      <c r="K104" s="68">
        <v>9.2266373115779414E-4</v>
      </c>
      <c r="L104" s="67" t="s">
        <v>231</v>
      </c>
      <c r="M104" s="68">
        <v>3.8377984414734922E-3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5.7860885959543292E-8</v>
      </c>
      <c r="J105" s="67" t="s">
        <v>231</v>
      </c>
      <c r="K105" s="68">
        <v>8.5781154471697096E-4</v>
      </c>
      <c r="L105" s="67" t="s">
        <v>231</v>
      </c>
      <c r="M105" s="68">
        <v>5.2841854336255086E-5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5.1923356748671788E-7</v>
      </c>
      <c r="J106" s="67" t="s">
        <v>231</v>
      </c>
      <c r="K106" s="68">
        <v>1.6639076216321844E-3</v>
      </c>
      <c r="L106" s="67" t="s">
        <v>231</v>
      </c>
      <c r="M106" s="68">
        <v>3.5378857346927257E-2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2.6633322180486988E-4</v>
      </c>
      <c r="J107" s="67" t="s">
        <v>231</v>
      </c>
      <c r="K107" s="68">
        <v>7.4997862251948696E-2</v>
      </c>
      <c r="L107" s="67" t="s">
        <v>231</v>
      </c>
      <c r="M107" s="68">
        <v>2.8844891841030509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8.3109574583917778E-5</v>
      </c>
      <c r="J108" s="67" t="s">
        <v>231</v>
      </c>
      <c r="K108" s="68">
        <v>7.4572434354940546E-3</v>
      </c>
      <c r="L108" s="67" t="s">
        <v>231</v>
      </c>
      <c r="M108" s="68">
        <v>0.26477114977306282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0.81261072485544916</v>
      </c>
      <c r="F2" s="14">
        <v>0.80796577627560506</v>
      </c>
      <c r="G2" s="14">
        <v>1.0498843283712067E-6</v>
      </c>
      <c r="H2" s="14">
        <v>10.91724270506916</v>
      </c>
      <c r="I2" s="14">
        <v>29.442191703051297</v>
      </c>
      <c r="J2" s="14">
        <v>0</v>
      </c>
      <c r="K2" s="14">
        <v>1.237676185505771</v>
      </c>
      <c r="L2" s="14">
        <v>0.80796577627560506</v>
      </c>
      <c r="M2" s="14">
        <v>0.66293591943413399</v>
      </c>
      <c r="N2" s="14">
        <v>2.1491754336172075</v>
      </c>
      <c r="O2" s="14">
        <v>395.68468908326417</v>
      </c>
      <c r="P2" s="8">
        <v>2.149175433617208</v>
      </c>
      <c r="Q2" s="54">
        <v>0.12565221135141127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0.40163698733689068</v>
      </c>
      <c r="F3" s="14">
        <v>2.9101238349167964E-3</v>
      </c>
      <c r="G3" s="14">
        <v>1.7645743323875505E-4</v>
      </c>
      <c r="H3" s="14">
        <v>305.50017965568395</v>
      </c>
      <c r="I3" s="14">
        <v>7664.2319677524711</v>
      </c>
      <c r="J3" s="14">
        <v>0</v>
      </c>
      <c r="K3" s="14">
        <v>343.62798861052283</v>
      </c>
      <c r="L3" s="14">
        <v>2.9101238349167964E-3</v>
      </c>
      <c r="M3" s="14">
        <v>2.3877566065492318E-3</v>
      </c>
      <c r="N3" s="14">
        <v>412.15400408383562</v>
      </c>
      <c r="O3" s="14">
        <v>150399.11763023247</v>
      </c>
      <c r="P3" s="8">
        <v>412.15400408383562</v>
      </c>
      <c r="Q3" s="54">
        <v>0.24517074161183902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0.53272257547574053</v>
      </c>
      <c r="F4" s="14">
        <v>0.48995263970583447</v>
      </c>
      <c r="G4" s="14">
        <v>6.7667882969977973E-14</v>
      </c>
      <c r="H4" s="14">
        <v>98.572121084948591</v>
      </c>
      <c r="I4" s="14">
        <v>217.87694274843733</v>
      </c>
      <c r="J4" s="14">
        <v>0</v>
      </c>
      <c r="K4" s="14">
        <v>2.0410135979681545</v>
      </c>
      <c r="L4" s="14">
        <v>0.48995263970583447</v>
      </c>
      <c r="M4" s="14">
        <v>0.40200614087863723</v>
      </c>
      <c r="N4" s="14">
        <v>11.387397264418031</v>
      </c>
      <c r="O4" s="14">
        <v>3613.4488999451291</v>
      </c>
      <c r="P4" s="8">
        <v>11.387397264418031</v>
      </c>
      <c r="Q4" s="54">
        <v>0.31132304719211173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0.41828176104585285</v>
      </c>
      <c r="F5" s="14">
        <v>3.0842874898120706E-2</v>
      </c>
      <c r="G5" s="14">
        <v>5.9243859049898309E-6</v>
      </c>
      <c r="H5" s="14">
        <v>853.52226051114724</v>
      </c>
      <c r="I5" s="14">
        <v>2293.3588893642191</v>
      </c>
      <c r="J5" s="14">
        <v>0</v>
      </c>
      <c r="K5" s="14">
        <v>32.422399121455797</v>
      </c>
      <c r="L5" s="14">
        <v>3.0842874898120709E-2</v>
      </c>
      <c r="M5" s="14">
        <v>2.5306578853908041E-2</v>
      </c>
      <c r="N5" s="14">
        <v>120.02696568776274</v>
      </c>
      <c r="O5" s="14">
        <v>42080.253900472737</v>
      </c>
      <c r="P5" s="8">
        <v>120.02696568776274</v>
      </c>
      <c r="Q5" s="54">
        <v>0.34919822147184554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0.43290530365151647</v>
      </c>
      <c r="F6" s="14">
        <v>1.3858412165143872E-3</v>
      </c>
      <c r="G6" s="14">
        <v>6.1221217384089328E-7</v>
      </c>
      <c r="H6" s="14">
        <v>207.47867871109386</v>
      </c>
      <c r="I6" s="14">
        <v>9434.7553782534378</v>
      </c>
      <c r="J6" s="14">
        <v>0</v>
      </c>
      <c r="K6" s="14">
        <v>721.58338782502108</v>
      </c>
      <c r="L6" s="14">
        <v>1.3858412165143872E-3</v>
      </c>
      <c r="M6" s="14">
        <v>1.1370827181500548E-3</v>
      </c>
      <c r="N6" s="14">
        <v>511.09100319883765</v>
      </c>
      <c r="O6" s="14">
        <v>181176.64972395595</v>
      </c>
      <c r="P6" s="8">
        <v>511.09100319883765</v>
      </c>
      <c r="Q6" s="54">
        <v>0.19921894889696293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0.41135839692771503</v>
      </c>
      <c r="F7" s="14">
        <v>2.6555464530949669E-3</v>
      </c>
      <c r="G7" s="14">
        <v>8.6545081364463802E-7</v>
      </c>
      <c r="H7" s="14">
        <v>293.6391125614104</v>
      </c>
      <c r="I7" s="14">
        <v>8036.5763249800711</v>
      </c>
      <c r="J7" s="14">
        <v>0</v>
      </c>
      <c r="K7" s="14">
        <v>376.57032842883513</v>
      </c>
      <c r="L7" s="14">
        <v>2.6555464530949673E-3</v>
      </c>
      <c r="M7" s="14">
        <v>2.1788758647644205E-3</v>
      </c>
      <c r="N7" s="14">
        <v>432.6396434533782</v>
      </c>
      <c r="O7" s="14">
        <v>153366.42720778805</v>
      </c>
      <c r="P7" s="8">
        <v>432.63964345337826</v>
      </c>
      <c r="Q7" s="54">
        <v>0.24191960997275549</v>
      </c>
    </row>
    <row r="8" spans="1:20">
      <c r="A8" s="2" t="s">
        <v>323</v>
      </c>
      <c r="B8" s="16" t="s">
        <v>324</v>
      </c>
      <c r="D8" s="14">
        <v>1</v>
      </c>
      <c r="E8" s="14">
        <v>0.3918331418563008</v>
      </c>
      <c r="F8" s="14">
        <v>5.6720459201517132E-3</v>
      </c>
      <c r="G8" s="14">
        <v>7.8376925952529569E-6</v>
      </c>
      <c r="H8" s="14">
        <v>428.50879310689015</v>
      </c>
      <c r="I8" s="14">
        <v>6194.6519305211159</v>
      </c>
      <c r="J8" s="14">
        <v>0</v>
      </c>
      <c r="K8" s="14">
        <v>176.30322710314948</v>
      </c>
      <c r="L8" s="14">
        <v>5.6720459201517132E-3</v>
      </c>
      <c r="M8" s="14">
        <v>4.6539136774844808E-3</v>
      </c>
      <c r="N8" s="14">
        <v>330.8809945813228</v>
      </c>
      <c r="O8" s="14">
        <v>105895.15350580656</v>
      </c>
      <c r="P8" s="8">
        <v>330.88099458132285</v>
      </c>
      <c r="Q8" s="54">
        <v>0.29121712426768231</v>
      </c>
    </row>
    <row r="9" spans="1:20">
      <c r="A9" s="2" t="s">
        <v>325</v>
      </c>
      <c r="B9" s="16" t="s">
        <v>326</v>
      </c>
      <c r="D9" s="14">
        <v>1</v>
      </c>
      <c r="E9" s="14">
        <v>0.36110283261321369</v>
      </c>
      <c r="F9" s="14">
        <v>0.16420946537496045</v>
      </c>
      <c r="G9" s="14">
        <v>3.1044643344313279E-6</v>
      </c>
      <c r="H9" s="14">
        <v>467.90553986417581</v>
      </c>
      <c r="I9" s="14">
        <v>850.77625027430065</v>
      </c>
      <c r="J9" s="14">
        <v>0</v>
      </c>
      <c r="K9" s="14">
        <v>6.089782934964024</v>
      </c>
      <c r="L9" s="14">
        <v>0.16420946537496045</v>
      </c>
      <c r="M9" s="14">
        <v>0.13473386634015505</v>
      </c>
      <c r="N9" s="14">
        <v>43.764685404289281</v>
      </c>
      <c r="O9" s="14">
        <v>13319.782002795444</v>
      </c>
      <c r="P9" s="8">
        <v>43.764685404289288</v>
      </c>
      <c r="Q9" s="54">
        <v>0.41535109324908365</v>
      </c>
    </row>
    <row r="10" spans="1:20">
      <c r="A10" s="2" t="s">
        <v>275</v>
      </c>
      <c r="B10" s="16" t="s">
        <v>276</v>
      </c>
      <c r="D10" s="14">
        <v>1</v>
      </c>
      <c r="E10" s="14">
        <v>0.41409645068624557</v>
      </c>
      <c r="F10" s="14">
        <v>2.85541479551875E-2</v>
      </c>
      <c r="G10" s="14">
        <v>7.5773560246028799E-8</v>
      </c>
      <c r="H10" s="14">
        <v>832.31784394990291</v>
      </c>
      <c r="I10" s="14">
        <v>2439.7558964411342</v>
      </c>
      <c r="J10" s="14">
        <v>0</v>
      </c>
      <c r="K10" s="14">
        <v>35.021181565963261</v>
      </c>
      <c r="L10" s="14">
        <v>2.85541479551875E-2</v>
      </c>
      <c r="M10" s="14">
        <v>2.3428678397231346E-2</v>
      </c>
      <c r="N10" s="14">
        <v>127.82081574780867</v>
      </c>
      <c r="O10" s="14">
        <v>47356.334026405631</v>
      </c>
      <c r="P10" s="8">
        <v>127.82081574780867</v>
      </c>
      <c r="Q10" s="54">
        <v>0.34957983760796113</v>
      </c>
    </row>
    <row r="11" spans="1:20">
      <c r="A11" s="2" t="s">
        <v>327</v>
      </c>
      <c r="B11" s="16" t="s">
        <v>328</v>
      </c>
      <c r="D11" s="14">
        <v>1</v>
      </c>
      <c r="E11" s="14">
        <v>0.4073112973866207</v>
      </c>
      <c r="F11" s="14">
        <v>2.5025321243425148E-2</v>
      </c>
      <c r="G11" s="14">
        <v>3.915868947218173E-6</v>
      </c>
      <c r="H11" s="14">
        <v>795.42577745687117</v>
      </c>
      <c r="I11" s="14">
        <v>2695.6085914211444</v>
      </c>
      <c r="J11" s="14">
        <v>0</v>
      </c>
      <c r="K11" s="14">
        <v>39.959527003583538</v>
      </c>
      <c r="L11" s="14">
        <v>2.5025321243425148E-2</v>
      </c>
      <c r="M11" s="14">
        <v>2.0533276080230332E-2</v>
      </c>
      <c r="N11" s="14">
        <v>141.4696386753333</v>
      </c>
      <c r="O11" s="14">
        <v>53887.200067821206</v>
      </c>
      <c r="P11" s="8">
        <v>141.4696386753333</v>
      </c>
      <c r="Q11" s="54">
        <v>0.34902523797717527</v>
      </c>
    </row>
    <row r="12" spans="1:20">
      <c r="A12" s="2" t="s">
        <v>329</v>
      </c>
      <c r="B12" s="16" t="s">
        <v>330</v>
      </c>
      <c r="D12" s="14">
        <v>1</v>
      </c>
      <c r="E12" s="14">
        <v>0.36881761468476609</v>
      </c>
      <c r="F12" s="14">
        <v>0.12233480108694884</v>
      </c>
      <c r="G12" s="14">
        <v>1.8853783158016838E-6</v>
      </c>
      <c r="H12" s="14">
        <v>589.34556564477032</v>
      </c>
      <c r="I12" s="14">
        <v>1030.9252836899213</v>
      </c>
      <c r="J12" s="14">
        <v>0</v>
      </c>
      <c r="K12" s="14">
        <v>8.1742888459781362</v>
      </c>
      <c r="L12" s="14">
        <v>0.12233480108694884</v>
      </c>
      <c r="M12" s="14">
        <v>0.10037570429184153</v>
      </c>
      <c r="N12" s="14">
        <v>53.16138170561549</v>
      </c>
      <c r="O12" s="14">
        <v>14587.48314002089</v>
      </c>
      <c r="P12" s="8">
        <v>53.16138170561549</v>
      </c>
      <c r="Q12" s="54">
        <v>0.40684332118461142</v>
      </c>
    </row>
    <row r="13" spans="1:20">
      <c r="A13" s="2" t="s">
        <v>277</v>
      </c>
      <c r="B13" s="16" t="s">
        <v>278</v>
      </c>
      <c r="D13" s="14">
        <v>1</v>
      </c>
      <c r="E13" s="14">
        <v>0.36114410859969359</v>
      </c>
      <c r="F13" s="14">
        <v>0.15981326712199581</v>
      </c>
      <c r="G13" s="14">
        <v>4.9014132189778594E-6</v>
      </c>
      <c r="H13" s="14">
        <v>478.73240999129376</v>
      </c>
      <c r="I13" s="14">
        <v>867.26136711620597</v>
      </c>
      <c r="J13" s="14">
        <v>0</v>
      </c>
      <c r="K13" s="14">
        <v>6.2573027759743818</v>
      </c>
      <c r="L13" s="14">
        <v>0.15981326712199584</v>
      </c>
      <c r="M13" s="14">
        <v>0.13112678567359756</v>
      </c>
      <c r="N13" s="14">
        <v>44.621812959588311</v>
      </c>
      <c r="O13" s="14">
        <v>18157.954347645271</v>
      </c>
      <c r="P13" s="8">
        <v>44.621812959588311</v>
      </c>
      <c r="Q13" s="54">
        <v>0.41490627280836573</v>
      </c>
    </row>
    <row r="14" spans="1:20">
      <c r="A14" s="2" t="s">
        <v>331</v>
      </c>
      <c r="B14" s="16" t="s">
        <v>332</v>
      </c>
      <c r="D14" s="14">
        <v>1</v>
      </c>
      <c r="E14" s="14">
        <v>0.39258325834251528</v>
      </c>
      <c r="F14" s="14">
        <v>1.6344923071165248E-2</v>
      </c>
      <c r="G14" s="14">
        <v>2.5685697795267283E-6</v>
      </c>
      <c r="H14" s="14">
        <v>679.45841372809969</v>
      </c>
      <c r="I14" s="14">
        <v>3610.1068128964607</v>
      </c>
      <c r="J14" s="14">
        <v>0</v>
      </c>
      <c r="K14" s="14">
        <v>61.181077185009279</v>
      </c>
      <c r="L14" s="14">
        <v>1.6344923071165248E-2</v>
      </c>
      <c r="M14" s="14">
        <v>1.3411009379891085E-2</v>
      </c>
      <c r="N14" s="14">
        <v>190.49238348079714</v>
      </c>
      <c r="O14" s="14">
        <v>72560.453791670443</v>
      </c>
      <c r="P14" s="8">
        <v>190.49238348079714</v>
      </c>
      <c r="Q14" s="54">
        <v>0.34144444509674171</v>
      </c>
    </row>
    <row r="15" spans="1:20">
      <c r="A15" s="2" t="s">
        <v>333</v>
      </c>
      <c r="B15" s="16" t="s">
        <v>334</v>
      </c>
      <c r="D15" s="14">
        <v>1</v>
      </c>
      <c r="E15" s="14">
        <v>0.41066636840408061</v>
      </c>
      <c r="F15" s="14">
        <v>2.6745594213588939E-2</v>
      </c>
      <c r="G15" s="14">
        <v>4.2795759560306568E-9</v>
      </c>
      <c r="H15" s="14">
        <v>814.0896834243589</v>
      </c>
      <c r="I15" s="14">
        <v>2565.8391178135121</v>
      </c>
      <c r="J15" s="14">
        <v>0</v>
      </c>
      <c r="K15" s="14">
        <v>37.389335679516087</v>
      </c>
      <c r="L15" s="14">
        <v>2.6745594213588939E-2</v>
      </c>
      <c r="M15" s="14">
        <v>2.1944760052249726E-2</v>
      </c>
      <c r="N15" s="14">
        <v>134.54255633004013</v>
      </c>
      <c r="O15" s="14">
        <v>51728.922057773838</v>
      </c>
      <c r="P15" s="8">
        <v>134.54255633004016</v>
      </c>
      <c r="Q15" s="54">
        <v>0.34948570936488893</v>
      </c>
    </row>
    <row r="16" spans="1:20">
      <c r="A16" s="2" t="s">
        <v>335</v>
      </c>
      <c r="B16" s="16" t="s">
        <v>336</v>
      </c>
      <c r="D16" s="14">
        <v>1</v>
      </c>
      <c r="E16" s="14">
        <v>0.39082411366274677</v>
      </c>
      <c r="F16" s="14">
        <v>5.8553637616002904E-3</v>
      </c>
      <c r="G16" s="14">
        <v>2.0318066071936121E-5</v>
      </c>
      <c r="H16" s="14">
        <v>434.76430512688768</v>
      </c>
      <c r="I16" s="14">
        <v>6105.3568273766105</v>
      </c>
      <c r="J16" s="14">
        <v>0</v>
      </c>
      <c r="K16" s="14">
        <v>170.78358249201185</v>
      </c>
      <c r="L16" s="14">
        <v>5.8553637616002904E-3</v>
      </c>
      <c r="M16" s="14">
        <v>4.8043259663930384E-3</v>
      </c>
      <c r="N16" s="14">
        <v>325.99557830209307</v>
      </c>
      <c r="O16" s="14">
        <v>121700.66929173737</v>
      </c>
      <c r="P16" s="8">
        <v>325.99557830209307</v>
      </c>
      <c r="Q16" s="54">
        <v>0.29289438859549422</v>
      </c>
    </row>
    <row r="17" spans="1:21">
      <c r="A17" s="2" t="s">
        <v>337</v>
      </c>
      <c r="B17" s="16" t="s">
        <v>338</v>
      </c>
      <c r="D17" s="14">
        <v>1</v>
      </c>
      <c r="E17" s="14">
        <v>0.41694501643036208</v>
      </c>
      <c r="F17" s="14">
        <v>3.0070159721937734E-2</v>
      </c>
      <c r="G17" s="14">
        <v>1.5196522681315566E-6</v>
      </c>
      <c r="H17" s="14">
        <v>846.67304752196003</v>
      </c>
      <c r="I17" s="14">
        <v>2341.9245847201032</v>
      </c>
      <c r="J17" s="14">
        <v>0</v>
      </c>
      <c r="K17" s="14">
        <v>33.255559971982734</v>
      </c>
      <c r="L17" s="14">
        <v>3.0070159721937734E-2</v>
      </c>
      <c r="M17" s="14">
        <v>2.4672566051849913E-2</v>
      </c>
      <c r="N17" s="14">
        <v>122.61086743337195</v>
      </c>
      <c r="O17" s="14">
        <v>47734.862909160365</v>
      </c>
      <c r="P17" s="8">
        <v>122.61086743337195</v>
      </c>
      <c r="Q17" s="54">
        <v>0.34944023253889278</v>
      </c>
    </row>
    <row r="18" spans="1:21">
      <c r="A18" s="2" t="s">
        <v>279</v>
      </c>
      <c r="B18" s="16" t="s">
        <v>280</v>
      </c>
      <c r="D18" s="14">
        <v>1</v>
      </c>
      <c r="E18" s="14">
        <v>0.35961229341635426</v>
      </c>
      <c r="F18" s="14">
        <v>0.18348050789507284</v>
      </c>
      <c r="G18" s="14">
        <v>8.7023875735119861E-5</v>
      </c>
      <c r="H18" s="14">
        <v>417.45525619117905</v>
      </c>
      <c r="I18" s="14">
        <v>771.73305853091529</v>
      </c>
      <c r="J18" s="14">
        <v>0</v>
      </c>
      <c r="K18" s="14">
        <v>5.4501702195628914</v>
      </c>
      <c r="L18" s="14">
        <v>0.18348050789507284</v>
      </c>
      <c r="M18" s="14">
        <v>0.15054575672790727</v>
      </c>
      <c r="N18" s="14">
        <v>39.665796536940931</v>
      </c>
      <c r="O18" s="14">
        <v>11536.003606838531</v>
      </c>
      <c r="P18" s="8">
        <v>39.665796536940931</v>
      </c>
      <c r="Q18" s="54">
        <v>0.41273101395663686</v>
      </c>
    </row>
    <row r="19" spans="1:21">
      <c r="A19" s="2" t="s">
        <v>339</v>
      </c>
      <c r="B19" s="16" t="s">
        <v>340</v>
      </c>
      <c r="D19" s="14">
        <v>1</v>
      </c>
      <c r="E19" s="14">
        <v>0.41000583700739468</v>
      </c>
      <c r="F19" s="14">
        <v>2.6395630613432471E-2</v>
      </c>
      <c r="G19" s="14">
        <v>1.4987891130840177E-8</v>
      </c>
      <c r="H19" s="14">
        <v>810.42353034768075</v>
      </c>
      <c r="I19" s="14">
        <v>2591.6074091861205</v>
      </c>
      <c r="J19" s="14">
        <v>0</v>
      </c>
      <c r="K19" s="14">
        <v>37.885058123639226</v>
      </c>
      <c r="L19" s="14">
        <v>2.6395630613432471E-2</v>
      </c>
      <c r="M19" s="14">
        <v>2.1657614918321345E-2</v>
      </c>
      <c r="N19" s="14">
        <v>135.91726050266823</v>
      </c>
      <c r="O19" s="14">
        <v>46979.801092747271</v>
      </c>
      <c r="P19" s="8">
        <v>135.91726050266823</v>
      </c>
      <c r="Q19" s="54">
        <v>0.34943726125911417</v>
      </c>
    </row>
    <row r="20" spans="1:21">
      <c r="A20" s="2" t="s">
        <v>281</v>
      </c>
      <c r="B20" s="16" t="s">
        <v>282</v>
      </c>
      <c r="D20" s="14">
        <v>1</v>
      </c>
      <c r="E20" s="14">
        <v>0.36127935709924947</v>
      </c>
      <c r="F20" s="14">
        <v>0.15987311720420033</v>
      </c>
      <c r="G20" s="14">
        <v>7.4213673730743021E-7</v>
      </c>
      <c r="H20" s="14">
        <v>478.91169531977704</v>
      </c>
      <c r="I20" s="14">
        <v>867.58615657235976</v>
      </c>
      <c r="J20" s="14">
        <v>0</v>
      </c>
      <c r="K20" s="14">
        <v>6.2549602928097965</v>
      </c>
      <c r="L20" s="14">
        <v>0.15987311720420036</v>
      </c>
      <c r="M20" s="14">
        <v>0.13117589266604637</v>
      </c>
      <c r="N20" s="14">
        <v>44.638523832357762</v>
      </c>
      <c r="O20" s="14">
        <v>13001.41645141252</v>
      </c>
      <c r="P20" s="8">
        <v>44.638523832357762</v>
      </c>
      <c r="Q20" s="54">
        <v>0.41506165524301547</v>
      </c>
    </row>
    <row r="21" spans="1:21">
      <c r="A21" s="2" t="s">
        <v>341</v>
      </c>
      <c r="B21" s="16" t="s">
        <v>342</v>
      </c>
      <c r="D21" s="14">
        <v>1</v>
      </c>
      <c r="E21" s="14">
        <v>0.39526808753228415</v>
      </c>
      <c r="F21" s="14">
        <v>1.8519901385545188E-2</v>
      </c>
      <c r="G21" s="14">
        <v>2.1548009458858041E-5</v>
      </c>
      <c r="H21" s="14">
        <v>712.16179213275234</v>
      </c>
      <c r="I21" s="14">
        <v>3320.7473947659878</v>
      </c>
      <c r="J21" s="14">
        <v>0</v>
      </c>
      <c r="K21" s="14">
        <v>53.995967860849483</v>
      </c>
      <c r="L21" s="14">
        <v>1.8519901385545191E-2</v>
      </c>
      <c r="M21" s="14">
        <v>1.5195579086839828E-2</v>
      </c>
      <c r="N21" s="14">
        <v>174.94761272728658</v>
      </c>
      <c r="O21" s="14">
        <v>58656.435595204639</v>
      </c>
      <c r="P21" s="8">
        <v>174.94761272728658</v>
      </c>
      <c r="Q21" s="54">
        <v>0.3440613116107139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0.66746165305671457</v>
      </c>
      <c r="F22" s="14">
        <v>0.65024149436991296</v>
      </c>
      <c r="G22" s="14">
        <v>2.5143351553293932E-5</v>
      </c>
      <c r="H22" s="14">
        <v>39.390789015979323</v>
      </c>
      <c r="I22" s="14">
        <v>95.115621673280245</v>
      </c>
      <c r="J22" s="14">
        <v>0</v>
      </c>
      <c r="K22" s="14">
        <v>1.5378901664357865</v>
      </c>
      <c r="L22" s="14">
        <v>0.65024149436991296</v>
      </c>
      <c r="M22" s="14">
        <v>0.53352314613051355</v>
      </c>
      <c r="N22" s="14">
        <v>5.3066177147132656</v>
      </c>
      <c r="O22" s="14">
        <v>871.34662875591823</v>
      </c>
      <c r="P22" s="8">
        <v>5.3066177147132665</v>
      </c>
      <c r="Q22" s="54">
        <v>0.22103031915850138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0.76800709726461702</v>
      </c>
      <c r="F23" s="14">
        <v>0.76047835407037623</v>
      </c>
      <c r="G23" s="14">
        <v>9.910494952625567E-7</v>
      </c>
      <c r="H23" s="14">
        <v>17.372681474141835</v>
      </c>
      <c r="I23" s="14">
        <v>45.073784892881285</v>
      </c>
      <c r="J23" s="14">
        <v>0</v>
      </c>
      <c r="K23" s="14">
        <v>1.3149618192912533</v>
      </c>
      <c r="L23" s="14">
        <v>0.76047835407037634</v>
      </c>
      <c r="M23" s="14">
        <v>0.62397248951474371</v>
      </c>
      <c r="N23" s="14">
        <v>2.8885610917033575</v>
      </c>
      <c r="O23" s="14">
        <v>436.63489462187954</v>
      </c>
      <c r="P23" s="8">
        <v>2.888561091703358</v>
      </c>
      <c r="Q23" s="54">
        <v>0.15549772080151558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0.41526356187485713</v>
      </c>
      <c r="F24" s="14">
        <v>0.32110742443830403</v>
      </c>
      <c r="G24" s="14">
        <v>1.4784915094635152E-6</v>
      </c>
      <c r="H24" s="14">
        <v>219.9836213872475</v>
      </c>
      <c r="I24" s="14">
        <v>444.27054226334099</v>
      </c>
      <c r="J24" s="14">
        <v>0</v>
      </c>
      <c r="K24" s="14">
        <v>3.1142226055633753</v>
      </c>
      <c r="L24" s="14">
        <v>0.32110742443830409</v>
      </c>
      <c r="M24" s="14">
        <v>0.26346864175162849</v>
      </c>
      <c r="N24" s="14">
        <v>22.829362356242335</v>
      </c>
      <c r="O24" s="14">
        <v>4023.6751152877114</v>
      </c>
      <c r="P24" s="8">
        <v>22.829362356242335</v>
      </c>
      <c r="Q24" s="54">
        <v>0.38640925335314485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0.3789775450540902</v>
      </c>
      <c r="F25" s="14">
        <v>7.6907896654865762E-2</v>
      </c>
      <c r="G25" s="14">
        <v>5.4380027357274897E-4</v>
      </c>
      <c r="H25" s="14">
        <v>727.79812777105406</v>
      </c>
      <c r="I25" s="14">
        <v>1211.3457078602298</v>
      </c>
      <c r="J25" s="14">
        <v>0</v>
      </c>
      <c r="K25" s="14">
        <v>13.00256597170549</v>
      </c>
      <c r="L25" s="14">
        <v>7.6907896654865762E-2</v>
      </c>
      <c r="M25" s="14">
        <v>6.3102929205317362E-2</v>
      </c>
      <c r="N25" s="14">
        <v>62.704700974230754</v>
      </c>
      <c r="O25" s="14">
        <v>12058.113997344575</v>
      </c>
      <c r="P25" s="8">
        <v>62.704700974230761</v>
      </c>
      <c r="Q25" s="54">
        <v>0.36363703234909833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0.39808153036358118</v>
      </c>
      <c r="F26" s="14">
        <v>2.0131681471157542E-2</v>
      </c>
      <c r="G26" s="14">
        <v>1.734956290682298E-5</v>
      </c>
      <c r="H26" s="14">
        <v>734.95381783716982</v>
      </c>
      <c r="I26" s="14">
        <v>3141.3564673499604</v>
      </c>
      <c r="J26" s="14">
        <v>0</v>
      </c>
      <c r="K26" s="14">
        <v>49.672949645696015</v>
      </c>
      <c r="L26" s="14">
        <v>2.0131681471157542E-2</v>
      </c>
      <c r="M26" s="14">
        <v>1.6518044647084763E-2</v>
      </c>
      <c r="N26" s="14">
        <v>165.3231270975871</v>
      </c>
      <c r="O26" s="14">
        <v>36762.90377269045</v>
      </c>
      <c r="P26" s="8">
        <v>165.3231270975871</v>
      </c>
      <c r="Q26" s="54">
        <v>0.34587344611724963</v>
      </c>
    </row>
    <row r="27" spans="1:21">
      <c r="A27" s="2" t="s">
        <v>353</v>
      </c>
      <c r="B27" s="16" t="s">
        <v>354</v>
      </c>
      <c r="D27" s="14">
        <v>1</v>
      </c>
      <c r="E27" s="14">
        <v>0.40106294556962468</v>
      </c>
      <c r="F27" s="14">
        <v>3.1956214418141305E-3</v>
      </c>
      <c r="G27" s="14">
        <v>1.221754125509777E-4</v>
      </c>
      <c r="H27" s="14">
        <v>321.25901725703659</v>
      </c>
      <c r="I27" s="14">
        <v>7495.7051915041502</v>
      </c>
      <c r="J27" s="14">
        <v>0</v>
      </c>
      <c r="K27" s="14">
        <v>312.92817945053827</v>
      </c>
      <c r="L27" s="14">
        <v>3.1956214418141305E-3</v>
      </c>
      <c r="M27" s="14">
        <v>2.6220073930084942E-3</v>
      </c>
      <c r="N27" s="14">
        <v>402.73239674498279</v>
      </c>
      <c r="O27" s="14">
        <v>95201.911266546478</v>
      </c>
      <c r="P27" s="8">
        <v>402.73239674498279</v>
      </c>
      <c r="Q27" s="54">
        <v>0.25223915175690809</v>
      </c>
    </row>
    <row r="28" spans="1:21">
      <c r="A28" s="2" t="s">
        <v>355</v>
      </c>
      <c r="B28" s="16" t="s">
        <v>356</v>
      </c>
      <c r="D28" s="14">
        <v>1</v>
      </c>
      <c r="E28" s="14">
        <v>0.38701220289361288</v>
      </c>
      <c r="F28" s="14">
        <v>1.1005849939865874E-2</v>
      </c>
      <c r="G28" s="14">
        <v>6.4498865363514917E-6</v>
      </c>
      <c r="H28" s="14">
        <v>577.99434196053028</v>
      </c>
      <c r="I28" s="14">
        <v>4543.3977420761721</v>
      </c>
      <c r="J28" s="14">
        <v>0</v>
      </c>
      <c r="K28" s="14">
        <v>90.860769996304953</v>
      </c>
      <c r="L28" s="14">
        <v>1.1005849939865876E-2</v>
      </c>
      <c r="M28" s="14">
        <v>9.0302998756599511E-3</v>
      </c>
      <c r="N28" s="14">
        <v>240.88177727548205</v>
      </c>
      <c r="O28" s="14">
        <v>62243.851247984552</v>
      </c>
      <c r="P28" s="8">
        <v>240.88177727548205</v>
      </c>
      <c r="Q28" s="54">
        <v>0.32687428622010228</v>
      </c>
    </row>
    <row r="29" spans="1:21">
      <c r="A29" s="2" t="s">
        <v>357</v>
      </c>
      <c r="B29" s="16" t="s">
        <v>358</v>
      </c>
      <c r="D29" s="14">
        <v>1</v>
      </c>
      <c r="E29" s="14">
        <v>0.35125408646025302</v>
      </c>
      <c r="F29" s="14">
        <v>1.5218831237193486E-2</v>
      </c>
      <c r="G29" s="14">
        <v>1.1981461286229805E-3</v>
      </c>
      <c r="H29" s="14">
        <v>616.4265007016869</v>
      </c>
      <c r="I29" s="14">
        <v>3135.728634877566</v>
      </c>
      <c r="J29" s="14">
        <v>0</v>
      </c>
      <c r="K29" s="14">
        <v>65.708068143635614</v>
      </c>
      <c r="L29" s="14">
        <v>1.5218831237193487E-2</v>
      </c>
      <c r="M29" s="14">
        <v>1.2487051030117257E-2</v>
      </c>
      <c r="N29" s="14">
        <v>165.37405111543103</v>
      </c>
      <c r="O29" s="14">
        <v>39092.77194317674</v>
      </c>
      <c r="P29" s="8">
        <v>165.37405111543106</v>
      </c>
      <c r="Q29" s="54">
        <v>0.30573029256993195</v>
      </c>
    </row>
    <row r="30" spans="1:21">
      <c r="A30" s="2" t="s">
        <v>359</v>
      </c>
      <c r="B30" s="16" t="s">
        <v>360</v>
      </c>
      <c r="D30" s="14">
        <v>1</v>
      </c>
      <c r="E30" s="14">
        <v>0.38701220289361288</v>
      </c>
      <c r="F30" s="14">
        <v>1.1005849939865874E-2</v>
      </c>
      <c r="G30" s="14">
        <v>6.4498865363514917E-6</v>
      </c>
      <c r="H30" s="14">
        <v>577.99434196053028</v>
      </c>
      <c r="I30" s="14">
        <v>4543.3977420761721</v>
      </c>
      <c r="J30" s="14">
        <v>0</v>
      </c>
      <c r="K30" s="14">
        <v>90.860769996304953</v>
      </c>
      <c r="L30" s="14">
        <v>1.1005849939865876E-2</v>
      </c>
      <c r="M30" s="14">
        <v>9.0302998756599511E-3</v>
      </c>
      <c r="N30" s="14">
        <v>240.88177727548205</v>
      </c>
      <c r="O30" s="14">
        <v>62243.851247984552</v>
      </c>
      <c r="P30" s="8">
        <v>240.88177727548205</v>
      </c>
      <c r="Q30" s="54">
        <v>0.32687428622010228</v>
      </c>
    </row>
    <row r="31" spans="1:21">
      <c r="A31" s="2" t="s">
        <v>283</v>
      </c>
      <c r="B31" s="16" t="s">
        <v>284</v>
      </c>
      <c r="D31" s="14">
        <v>1</v>
      </c>
      <c r="E31" s="14">
        <v>0.97623885846522462</v>
      </c>
      <c r="F31" s="14">
        <v>0.97653567237092898</v>
      </c>
      <c r="G31" s="14">
        <v>2.9039999206778E-10</v>
      </c>
      <c r="H31" s="14">
        <v>0.17012498991986144</v>
      </c>
      <c r="I31" s="14">
        <v>0.63215748314164799</v>
      </c>
      <c r="J31" s="14">
        <v>0</v>
      </c>
      <c r="K31" s="14">
        <v>1.0240281315807973</v>
      </c>
      <c r="L31" s="14">
        <v>0.97653567237092898</v>
      </c>
      <c r="M31" s="14">
        <v>0.80124751918034731</v>
      </c>
      <c r="N31" s="14">
        <v>0.87022831337210205</v>
      </c>
      <c r="O31" s="14">
        <v>168.98963617372848</v>
      </c>
      <c r="P31" s="8">
        <v>0.87022831337210205</v>
      </c>
      <c r="Q31" s="54">
        <v>1.572625390684183E-2</v>
      </c>
    </row>
    <row r="32" spans="1:21">
      <c r="A32" s="2" t="s">
        <v>361</v>
      </c>
      <c r="B32" s="16" t="s">
        <v>362</v>
      </c>
      <c r="D32" s="14">
        <v>1</v>
      </c>
      <c r="E32" s="14">
        <v>0.58575264266763916</v>
      </c>
      <c r="F32" s="14">
        <v>0.55498950662097424</v>
      </c>
      <c r="G32" s="14">
        <v>3.0176376525565461E-10</v>
      </c>
      <c r="H32" s="14">
        <v>70.634470251723911</v>
      </c>
      <c r="I32" s="14">
        <v>161.24897743577512</v>
      </c>
      <c r="J32" s="14">
        <v>0</v>
      </c>
      <c r="K32" s="14">
        <v>1.8018358690931828</v>
      </c>
      <c r="L32" s="14">
        <v>0.55498950662097435</v>
      </c>
      <c r="M32" s="14">
        <v>0.45536889018250942</v>
      </c>
      <c r="N32" s="14">
        <v>8.6766373844739739</v>
      </c>
      <c r="O32" s="14">
        <v>2222.0000677899397</v>
      </c>
      <c r="P32" s="8">
        <v>8.6766373844739739</v>
      </c>
      <c r="Q32" s="54">
        <v>0.27650116738243014</v>
      </c>
    </row>
    <row r="33" spans="1:17">
      <c r="A33" s="2" t="s">
        <v>364</v>
      </c>
      <c r="B33" s="16" t="s">
        <v>365</v>
      </c>
      <c r="D33" s="14">
        <v>1</v>
      </c>
      <c r="E33" s="14">
        <v>0.99947927523177515</v>
      </c>
      <c r="F33" s="14">
        <v>0.99944862052860561</v>
      </c>
      <c r="G33" s="14">
        <v>1.3410494966994289E-12</v>
      </c>
      <c r="H33" s="14">
        <v>1.1941543717086665</v>
      </c>
      <c r="I33" s="14">
        <v>3.3810330100263858E-3</v>
      </c>
      <c r="J33" s="14">
        <v>0</v>
      </c>
      <c r="K33" s="14">
        <v>1.0005516836584383</v>
      </c>
      <c r="L33" s="14">
        <v>0.99944862052860561</v>
      </c>
      <c r="M33" s="14">
        <v>0.820047593143721</v>
      </c>
      <c r="N33" s="14">
        <v>0.87144782892977291</v>
      </c>
      <c r="O33" s="14">
        <v>258.07927453755224</v>
      </c>
      <c r="P33" s="8">
        <v>0.87144782892977291</v>
      </c>
      <c r="Q33" s="54">
        <v>3.8552221714198866E-5</v>
      </c>
    </row>
    <row r="34" spans="1:17">
      <c r="A34" s="2" t="s">
        <v>285</v>
      </c>
      <c r="B34" s="16" t="s">
        <v>286</v>
      </c>
      <c r="D34" s="14">
        <v>1</v>
      </c>
      <c r="E34" s="14">
        <v>0.99844945709452337</v>
      </c>
      <c r="F34" s="14">
        <v>0.92289985828937071</v>
      </c>
      <c r="G34" s="14">
        <v>6.6946724569429372E-12</v>
      </c>
      <c r="H34" s="14">
        <v>215.73200475329287</v>
      </c>
      <c r="I34" s="14">
        <v>0.16404035551996371</v>
      </c>
      <c r="J34" s="14">
        <v>0</v>
      </c>
      <c r="K34" s="14">
        <v>1.0835411784042717</v>
      </c>
      <c r="L34" s="14">
        <v>0.92289985828937071</v>
      </c>
      <c r="M34" s="14">
        <v>0.75723933372642871</v>
      </c>
      <c r="N34" s="14">
        <v>2.3003171584244</v>
      </c>
      <c r="O34" s="14">
        <v>508.46210469812934</v>
      </c>
      <c r="P34" s="8">
        <v>2.3003171584244</v>
      </c>
      <c r="Q34" s="54">
        <v>2.2057216290504835E-4</v>
      </c>
    </row>
    <row r="35" spans="1:17">
      <c r="A35" s="2" t="s">
        <v>287</v>
      </c>
      <c r="B35" s="16" t="s">
        <v>288</v>
      </c>
      <c r="D35" s="14">
        <v>1</v>
      </c>
      <c r="E35" s="14">
        <v>0.99670951841270605</v>
      </c>
      <c r="F35" s="14">
        <v>0.82570176341470358</v>
      </c>
      <c r="G35" s="14">
        <v>2.9470502883339449E-13</v>
      </c>
      <c r="H35" s="14">
        <v>486.85901051912123</v>
      </c>
      <c r="I35" s="14">
        <v>0.87295558959000352</v>
      </c>
      <c r="J35" s="14">
        <v>0</v>
      </c>
      <c r="K35" s="14">
        <v>1.21109103105761</v>
      </c>
      <c r="L35" s="14">
        <v>0.82570176341470358</v>
      </c>
      <c r="M35" s="14">
        <v>0.67748829688176426</v>
      </c>
      <c r="N35" s="14">
        <v>3.9382519272192433</v>
      </c>
      <c r="O35" s="14">
        <v>906.82188876150292</v>
      </c>
      <c r="P35" s="8">
        <v>3.9382519272192433</v>
      </c>
      <c r="Q35" s="54">
        <v>8.068487864557061E-4</v>
      </c>
    </row>
    <row r="36" spans="1:17">
      <c r="A36" s="2" t="s">
        <v>366</v>
      </c>
      <c r="B36" s="16" t="s">
        <v>305</v>
      </c>
      <c r="D36" s="14">
        <v>1</v>
      </c>
      <c r="E36" s="14">
        <v>0.99296446734953125</v>
      </c>
      <c r="F36" s="14">
        <v>0.54539841071860762</v>
      </c>
      <c r="G36" s="14">
        <v>1.0288103922535075E-9</v>
      </c>
      <c r="H36" s="14">
        <v>1272.31271707775</v>
      </c>
      <c r="I36" s="14">
        <v>3.3728518611186646</v>
      </c>
      <c r="J36" s="14">
        <v>0</v>
      </c>
      <c r="K36" s="14">
        <v>1.8335220278372593</v>
      </c>
      <c r="L36" s="14">
        <v>0.54539841071860773</v>
      </c>
      <c r="M36" s="14">
        <v>0.44749939599461763</v>
      </c>
      <c r="N36" s="14">
        <v>8.2519304363345682</v>
      </c>
      <c r="O36" s="14">
        <v>1702.2082104070948</v>
      </c>
      <c r="P36" s="8">
        <v>8.25193043633457</v>
      </c>
      <c r="Q36" s="54">
        <v>1.7856538191472959E-3</v>
      </c>
    </row>
    <row r="37" spans="1:17">
      <c r="A37" s="2" t="s">
        <v>289</v>
      </c>
      <c r="B37" s="16" t="s">
        <v>290</v>
      </c>
      <c r="D37" s="14">
        <v>1</v>
      </c>
      <c r="E37" s="14">
        <v>0.79354530824017788</v>
      </c>
      <c r="F37" s="14">
        <v>0.59015862422362586</v>
      </c>
      <c r="G37" s="14">
        <v>1.3157429125485034E-16</v>
      </c>
      <c r="H37" s="14">
        <v>559.61424124212692</v>
      </c>
      <c r="I37" s="14">
        <v>176.89675831551133</v>
      </c>
      <c r="J37" s="14">
        <v>0</v>
      </c>
      <c r="K37" s="14">
        <v>1.6944596909272227</v>
      </c>
      <c r="L37" s="14">
        <v>0.59015862422362586</v>
      </c>
      <c r="M37" s="14">
        <v>0.48422515117548504</v>
      </c>
      <c r="N37" s="14">
        <v>12.490989159276255</v>
      </c>
      <c r="O37" s="14">
        <v>4352.1104428750332</v>
      </c>
      <c r="P37" s="8">
        <v>12.490989159276255</v>
      </c>
      <c r="Q37" s="54">
        <v>0.13487140273077586</v>
      </c>
    </row>
    <row r="38" spans="1:17">
      <c r="A38" s="2" t="s">
        <v>291</v>
      </c>
      <c r="B38" s="16" t="s">
        <v>292</v>
      </c>
      <c r="D38" s="14">
        <v>1</v>
      </c>
      <c r="E38" s="14">
        <v>0.99604424929823454</v>
      </c>
      <c r="F38" s="14">
        <v>0.93778124625790316</v>
      </c>
      <c r="G38" s="14">
        <v>2.0448376756538598E-14</v>
      </c>
      <c r="H38" s="14">
        <v>166.49513329811549</v>
      </c>
      <c r="I38" s="14">
        <v>1.2878942569365759</v>
      </c>
      <c r="J38" s="14">
        <v>0</v>
      </c>
      <c r="K38" s="14">
        <v>1.0663467668929965</v>
      </c>
      <c r="L38" s="14">
        <v>0.93778124625790327</v>
      </c>
      <c r="M38" s="14">
        <v>0.76944951255460958</v>
      </c>
      <c r="N38" s="14">
        <v>2.0446778528591123</v>
      </c>
      <c r="O38" s="14">
        <v>630.43552237205006</v>
      </c>
      <c r="P38" s="8">
        <v>2.0446778528591123</v>
      </c>
      <c r="Q38" s="54">
        <v>1.9358879054876955E-3</v>
      </c>
    </row>
    <row r="39" spans="1:17">
      <c r="A39" s="2" t="s">
        <v>367</v>
      </c>
      <c r="B39" s="16" t="s">
        <v>368</v>
      </c>
      <c r="D39" s="14">
        <v>1</v>
      </c>
      <c r="E39" s="14">
        <v>0.45000883028906291</v>
      </c>
      <c r="F39" s="14">
        <v>4.7635578264508531E-2</v>
      </c>
      <c r="G39" s="14">
        <v>7.4015031672894004E-7</v>
      </c>
      <c r="H39" s="14">
        <v>973.62438301196357</v>
      </c>
      <c r="I39" s="14">
        <v>1574.5215620909407</v>
      </c>
      <c r="J39" s="14">
        <v>0</v>
      </c>
      <c r="K39" s="14">
        <v>20.99271251515513</v>
      </c>
      <c r="L39" s="14">
        <v>4.7635578264508531E-2</v>
      </c>
      <c r="M39" s="14">
        <v>3.9084991966029256E-2</v>
      </c>
      <c r="N39" s="14">
        <v>81.920154452109728</v>
      </c>
      <c r="O39" s="14">
        <v>22801.655790200221</v>
      </c>
      <c r="P39" s="8">
        <v>81.920154452109728</v>
      </c>
      <c r="Q39" s="54">
        <v>0.3417815479593887</v>
      </c>
    </row>
    <row r="40" spans="1:17">
      <c r="A40" s="2" t="s">
        <v>369</v>
      </c>
      <c r="B40" s="16" t="s">
        <v>370</v>
      </c>
      <c r="D40" s="14">
        <v>1</v>
      </c>
      <c r="E40" s="14">
        <v>0.61053902765509438</v>
      </c>
      <c r="F40" s="14">
        <v>6.2009913177567613E-3</v>
      </c>
      <c r="G40" s="14">
        <v>6.2949782627571667E-14</v>
      </c>
      <c r="H40" s="14">
        <v>1601.7735698066194</v>
      </c>
      <c r="I40" s="14">
        <v>1072.9589718692644</v>
      </c>
      <c r="J40" s="14">
        <v>0</v>
      </c>
      <c r="K40" s="14">
        <v>161.26453799999109</v>
      </c>
      <c r="L40" s="14">
        <v>6.2009913177567613E-3</v>
      </c>
      <c r="M40" s="14">
        <v>5.0879133762194231E-3</v>
      </c>
      <c r="N40" s="14">
        <v>698.74468469199326</v>
      </c>
      <c r="O40" s="14">
        <v>284319.21220117202</v>
      </c>
      <c r="P40" s="8">
        <v>698.74468469199326</v>
      </c>
      <c r="Q40" s="54">
        <v>1.1966940056092248E-2</v>
      </c>
    </row>
    <row r="41" spans="1:17">
      <c r="A41" s="2" t="s">
        <v>371</v>
      </c>
      <c r="B41" s="16" t="s">
        <v>372</v>
      </c>
      <c r="D41" s="14">
        <v>1</v>
      </c>
      <c r="E41" s="14">
        <v>0.91350392898904409</v>
      </c>
      <c r="F41" s="14">
        <v>0.91385600475388129</v>
      </c>
      <c r="G41" s="14">
        <v>9.0570394105954951E-4</v>
      </c>
      <c r="H41" s="14">
        <v>7.9205943170691136E-3</v>
      </c>
      <c r="I41" s="14">
        <v>3.6712582934353047E-2</v>
      </c>
      <c r="J41" s="14">
        <v>0</v>
      </c>
      <c r="K41" s="14">
        <v>1.094264298530619</v>
      </c>
      <c r="L41" s="14">
        <v>0.91385600475388129</v>
      </c>
      <c r="M41" s="14">
        <v>0.74981885190055964</v>
      </c>
      <c r="N41" s="14">
        <v>0.78774158839701425</v>
      </c>
      <c r="O41" s="14">
        <v>110.43349327737742</v>
      </c>
      <c r="P41" s="8">
        <v>0.78774158839701436</v>
      </c>
      <c r="Q41" s="54">
        <v>3.080455508634292E-3</v>
      </c>
    </row>
    <row r="42" spans="1:17">
      <c r="A42" s="2" t="s">
        <v>293</v>
      </c>
      <c r="B42" s="16" t="s">
        <v>294</v>
      </c>
      <c r="D42" s="14">
        <v>1</v>
      </c>
      <c r="E42" s="14">
        <v>0.64384519278036756</v>
      </c>
      <c r="F42" s="14">
        <v>0.62318616755417278</v>
      </c>
      <c r="G42" s="14">
        <v>2.3041263614767286E-10</v>
      </c>
      <c r="H42" s="14">
        <v>47.280036704767952</v>
      </c>
      <c r="I42" s="14">
        <v>112.28842125127652</v>
      </c>
      <c r="J42" s="14">
        <v>0</v>
      </c>
      <c r="K42" s="14">
        <v>1.604656926075098</v>
      </c>
      <c r="L42" s="14">
        <v>0.62318616755417289</v>
      </c>
      <c r="M42" s="14">
        <v>0.51132425047819885</v>
      </c>
      <c r="N42" s="14">
        <v>6.1492627445551884</v>
      </c>
      <c r="O42" s="14">
        <v>2031.4704402912523</v>
      </c>
      <c r="P42" s="8">
        <v>6.1492627445551893</v>
      </c>
      <c r="Q42" s="54">
        <v>0.23819628062411446</v>
      </c>
    </row>
    <row r="43" spans="1:17">
      <c r="A43" s="2" t="s">
        <v>373</v>
      </c>
      <c r="B43" s="16" t="s">
        <v>374</v>
      </c>
      <c r="D43" s="14">
        <v>1</v>
      </c>
      <c r="E43" s="14">
        <v>0.980167993500907</v>
      </c>
      <c r="F43" s="14">
        <v>8.0392839782721229E-2</v>
      </c>
      <c r="G43" s="14">
        <v>4.3531154915326655E-9</v>
      </c>
      <c r="H43" s="14">
        <v>2555.2733754791366</v>
      </c>
      <c r="I43" s="14">
        <v>19.976569322820392</v>
      </c>
      <c r="J43" s="14">
        <v>0</v>
      </c>
      <c r="K43" s="14">
        <v>12.438918723392693</v>
      </c>
      <c r="L43" s="14">
        <v>8.0392839782721229E-2</v>
      </c>
      <c r="M43" s="14">
        <v>6.5962325041722766E-2</v>
      </c>
      <c r="N43" s="14">
        <v>30.074602519008128</v>
      </c>
      <c r="O43" s="14">
        <v>8010.0696349126247</v>
      </c>
      <c r="P43" s="8">
        <v>30.074602519008131</v>
      </c>
      <c r="Q43" s="54">
        <v>2.5865501705457411E-3</v>
      </c>
    </row>
    <row r="44" spans="1:17">
      <c r="A44" s="2" t="s">
        <v>375</v>
      </c>
      <c r="B44" s="16" t="s">
        <v>376</v>
      </c>
      <c r="D44" s="14">
        <v>1</v>
      </c>
      <c r="E44" s="14">
        <v>0.7825903276112155</v>
      </c>
      <c r="F44" s="14">
        <v>0.7803036943751952</v>
      </c>
      <c r="G44" s="14">
        <v>9.6496630947389057E-4</v>
      </c>
      <c r="H44" s="14">
        <v>5.6426571490839148</v>
      </c>
      <c r="I44" s="14">
        <v>15.934587813204391</v>
      </c>
      <c r="J44" s="14">
        <v>0</v>
      </c>
      <c r="K44" s="14">
        <v>1.2815523074009281</v>
      </c>
      <c r="L44" s="14">
        <v>0.7803036943751952</v>
      </c>
      <c r="M44" s="14">
        <v>0.64023918123484769</v>
      </c>
      <c r="N44" s="14">
        <v>1.4547954143668991</v>
      </c>
      <c r="O44" s="14">
        <v>217.34643490641471</v>
      </c>
      <c r="P44" s="8">
        <v>1.4547954143668991</v>
      </c>
      <c r="Q44" s="54">
        <v>8.7607408528591543E-2</v>
      </c>
    </row>
    <row r="45" spans="1:17">
      <c r="A45" s="2" t="s">
        <v>377</v>
      </c>
      <c r="B45" s="16" t="s">
        <v>378</v>
      </c>
      <c r="D45" s="14">
        <v>1</v>
      </c>
      <c r="E45" s="14">
        <v>0.62060129524966057</v>
      </c>
      <c r="F45" s="14">
        <v>0.59647034092919116</v>
      </c>
      <c r="G45" s="14">
        <v>8.9940923233749741E-6</v>
      </c>
      <c r="H45" s="14">
        <v>55.275013020645723</v>
      </c>
      <c r="I45" s="14">
        <v>129.35583518403266</v>
      </c>
      <c r="J45" s="14">
        <v>0</v>
      </c>
      <c r="K45" s="14">
        <v>1.6765292947209811</v>
      </c>
      <c r="L45" s="14">
        <v>0.59647034092919116</v>
      </c>
      <c r="M45" s="14">
        <v>0.48940391473240136</v>
      </c>
      <c r="N45" s="14">
        <v>6.9885062563302736</v>
      </c>
      <c r="O45" s="14">
        <v>1553.1256304068399</v>
      </c>
      <c r="P45" s="8">
        <v>6.9885062563302736</v>
      </c>
      <c r="Q45" s="54">
        <v>0.2530381620011859</v>
      </c>
    </row>
    <row r="46" spans="1:17">
      <c r="A46" s="2" t="s">
        <v>379</v>
      </c>
      <c r="B46" s="16" t="s">
        <v>380</v>
      </c>
      <c r="D46" s="14">
        <v>1</v>
      </c>
      <c r="E46" s="14">
        <v>0.6338318095303821</v>
      </c>
      <c r="F46" s="14">
        <v>0.61197044682124546</v>
      </c>
      <c r="G46" s="14">
        <v>2.6594935260202261E-5</v>
      </c>
      <c r="H46" s="14">
        <v>50.046124246007693</v>
      </c>
      <c r="I46" s="14">
        <v>118.20276087921317</v>
      </c>
      <c r="J46" s="14">
        <v>0</v>
      </c>
      <c r="K46" s="14">
        <v>1.634065836339474</v>
      </c>
      <c r="L46" s="14">
        <v>0.61197044682124546</v>
      </c>
      <c r="M46" s="14">
        <v>0.50212175161683192</v>
      </c>
      <c r="N46" s="14">
        <v>6.4383635785027504</v>
      </c>
      <c r="O46" s="14">
        <v>827.71602165231354</v>
      </c>
      <c r="P46" s="8">
        <v>6.4383635785027504</v>
      </c>
      <c r="Q46" s="54">
        <v>0.24323586988889448</v>
      </c>
    </row>
    <row r="47" spans="1:17">
      <c r="A47" s="2" t="s">
        <v>381</v>
      </c>
      <c r="B47" s="16" t="s">
        <v>382</v>
      </c>
      <c r="D47" s="14">
        <v>1</v>
      </c>
      <c r="E47" s="14">
        <v>0.4081183069889413</v>
      </c>
      <c r="F47" s="14">
        <v>2.9570852537995798E-3</v>
      </c>
      <c r="G47" s="14">
        <v>2.1066497360203605E-9</v>
      </c>
      <c r="H47" s="14">
        <v>310.43011484725167</v>
      </c>
      <c r="I47" s="14">
        <v>7787.9116557210536</v>
      </c>
      <c r="J47" s="14">
        <v>0</v>
      </c>
      <c r="K47" s="14">
        <v>338.17083856986972</v>
      </c>
      <c r="L47" s="14">
        <v>2.9570852537995802E-3</v>
      </c>
      <c r="M47" s="14">
        <v>2.4262884507425557E-3</v>
      </c>
      <c r="N47" s="14">
        <v>418.80503954760678</v>
      </c>
      <c r="O47" s="14">
        <v>163874.22392458306</v>
      </c>
      <c r="P47" s="8">
        <v>418.80503954760684</v>
      </c>
      <c r="Q47" s="54">
        <v>0.24912712510194757</v>
      </c>
    </row>
    <row r="48" spans="1:17">
      <c r="A48" s="2" t="s">
        <v>383</v>
      </c>
      <c r="B48" s="16" t="s">
        <v>384</v>
      </c>
      <c r="D48" s="14">
        <v>1</v>
      </c>
      <c r="E48" s="14">
        <v>0.91074089415437287</v>
      </c>
      <c r="F48" s="14">
        <v>0.91025299044414976</v>
      </c>
      <c r="G48" s="14">
        <v>1.3130782330565696E-4</v>
      </c>
      <c r="H48" s="14">
        <v>1.7933378485021885</v>
      </c>
      <c r="I48" s="14">
        <v>5.5733880894944843</v>
      </c>
      <c r="J48" s="14">
        <v>0</v>
      </c>
      <c r="K48" s="14">
        <v>1.0985956766942988</v>
      </c>
      <c r="L48" s="14">
        <v>0.91025299044414987</v>
      </c>
      <c r="M48" s="14">
        <v>0.74686257865942496</v>
      </c>
      <c r="N48" s="14">
        <v>1.0545551331394829</v>
      </c>
      <c r="O48" s="14">
        <v>98.210719549280029</v>
      </c>
      <c r="P48" s="8">
        <v>1.0545551331394829</v>
      </c>
      <c r="Q48" s="54">
        <v>5.1894255431669228E-2</v>
      </c>
    </row>
    <row r="49" spans="1:17">
      <c r="A49" s="2" t="s">
        <v>385</v>
      </c>
      <c r="B49" s="16" t="s">
        <v>386</v>
      </c>
      <c r="D49" s="14">
        <v>1</v>
      </c>
      <c r="E49" s="14">
        <v>0.87493138813293181</v>
      </c>
      <c r="F49" s="14">
        <v>0.87377750453171377</v>
      </c>
      <c r="G49" s="14">
        <v>2.4662059843938346E-4</v>
      </c>
      <c r="H49" s="14">
        <v>3.2166281593519215</v>
      </c>
      <c r="I49" s="14">
        <v>9.5468045262702184</v>
      </c>
      <c r="J49" s="14">
        <v>0</v>
      </c>
      <c r="K49" s="14">
        <v>1.1444561056031455</v>
      </c>
      <c r="L49" s="14">
        <v>0.87377750453171377</v>
      </c>
      <c r="M49" s="14">
        <v>0.7169344424682712</v>
      </c>
      <c r="N49" s="14">
        <v>1.2188563917353294</v>
      </c>
      <c r="O49" s="14">
        <v>135.43932224962981</v>
      </c>
      <c r="P49" s="8">
        <v>1.2188563917353294</v>
      </c>
      <c r="Q49" s="54">
        <v>6.9001420324806356E-2</v>
      </c>
    </row>
    <row r="50" spans="1:17">
      <c r="A50" s="2" t="s">
        <v>387</v>
      </c>
      <c r="B50" s="16" t="s">
        <v>388</v>
      </c>
      <c r="D50" s="14">
        <v>1</v>
      </c>
      <c r="E50" s="14">
        <v>0.35750241572140506</v>
      </c>
      <c r="F50" s="14">
        <v>0.18901840523455837</v>
      </c>
      <c r="G50" s="14">
        <v>1.8296692209371961E-4</v>
      </c>
      <c r="H50" s="14">
        <v>398.9735404713166</v>
      </c>
      <c r="I50" s="14">
        <v>741.65386690829746</v>
      </c>
      <c r="J50" s="14">
        <v>0</v>
      </c>
      <c r="K50" s="14">
        <v>5.2904900914758608</v>
      </c>
      <c r="L50" s="14">
        <v>0.18901840523455837</v>
      </c>
      <c r="M50" s="14">
        <v>0.15508960149495515</v>
      </c>
      <c r="N50" s="14">
        <v>38.110685623935716</v>
      </c>
      <c r="O50" s="14">
        <v>7524.9548764461069</v>
      </c>
      <c r="P50" s="8">
        <v>38.110685623935716</v>
      </c>
      <c r="Q50" s="54">
        <v>0.40888508166330284</v>
      </c>
    </row>
    <row r="51" spans="1:17">
      <c r="A51" s="2" t="s">
        <v>295</v>
      </c>
      <c r="B51" s="16" t="s">
        <v>296</v>
      </c>
      <c r="D51" s="14">
        <v>1</v>
      </c>
      <c r="E51" s="14">
        <v>0.90464501980948742</v>
      </c>
      <c r="F51" s="14">
        <v>0.90485788440306825</v>
      </c>
      <c r="G51" s="14">
        <v>7.2665599790267834E-4</v>
      </c>
      <c r="H51" s="14">
        <v>0.28727668121845307</v>
      </c>
      <c r="I51" s="14">
        <v>1.0213099093394677</v>
      </c>
      <c r="J51" s="14">
        <v>0</v>
      </c>
      <c r="K51" s="14">
        <v>1.105145920963817</v>
      </c>
      <c r="L51" s="14">
        <v>0.90485788440306836</v>
      </c>
      <c r="M51" s="14">
        <v>0.7424358941527176</v>
      </c>
      <c r="N51" s="14">
        <v>0.8274319529412496</v>
      </c>
      <c r="O51" s="14">
        <v>48.057247826827776</v>
      </c>
      <c r="P51" s="8">
        <v>0.8274319529412496</v>
      </c>
      <c r="Q51" s="54">
        <v>1.9923128941707068E-2</v>
      </c>
    </row>
    <row r="52" spans="1:17">
      <c r="A52" s="2" t="s">
        <v>389</v>
      </c>
      <c r="B52" s="16" t="s">
        <v>390</v>
      </c>
      <c r="D52" s="14">
        <v>1</v>
      </c>
      <c r="E52" s="14">
        <v>0.7564027587497808</v>
      </c>
      <c r="F52" s="14">
        <v>0.75219062002202663</v>
      </c>
      <c r="G52" s="14">
        <v>7.9435823296931604E-4</v>
      </c>
      <c r="H52" s="14">
        <v>9.9126075729887724</v>
      </c>
      <c r="I52" s="14">
        <v>26.782128173239958</v>
      </c>
      <c r="J52" s="14">
        <v>0</v>
      </c>
      <c r="K52" s="14">
        <v>1.3294502395825099</v>
      </c>
      <c r="L52" s="14">
        <v>0.75219062002202663</v>
      </c>
      <c r="M52" s="14">
        <v>0.6171724037280728</v>
      </c>
      <c r="N52" s="14">
        <v>1.9695846153637124</v>
      </c>
      <c r="O52" s="14">
        <v>211.04099153622181</v>
      </c>
      <c r="P52" s="8">
        <v>1.9695846153637127</v>
      </c>
      <c r="Q52" s="54">
        <v>0.1154635973556349</v>
      </c>
    </row>
    <row r="53" spans="1:17">
      <c r="A53" s="2" t="s">
        <v>391</v>
      </c>
      <c r="B53" s="16" t="s">
        <v>392</v>
      </c>
      <c r="D53" s="14">
        <v>1</v>
      </c>
      <c r="E53" s="14">
        <v>0.54809515972145961</v>
      </c>
      <c r="F53" s="14">
        <v>0.50974251785673919</v>
      </c>
      <c r="G53" s="14">
        <v>2.9323739144125233E-5</v>
      </c>
      <c r="H53" s="14">
        <v>88.265474409831114</v>
      </c>
      <c r="I53" s="14">
        <v>197.2640887243895</v>
      </c>
      <c r="J53" s="14">
        <v>0</v>
      </c>
      <c r="K53" s="14">
        <v>1.9617747489548154</v>
      </c>
      <c r="L53" s="14">
        <v>0.50974251785673919</v>
      </c>
      <c r="M53" s="14">
        <v>0.41824373590145447</v>
      </c>
      <c r="N53" s="14">
        <v>10.356548425316355</v>
      </c>
      <c r="O53" s="14">
        <v>1677.9679758697559</v>
      </c>
      <c r="P53" s="8">
        <v>10.356548425316356</v>
      </c>
      <c r="Q53" s="54">
        <v>0.29953531349547791</v>
      </c>
    </row>
    <row r="54" spans="1:17">
      <c r="A54" s="2" t="s">
        <v>393</v>
      </c>
      <c r="B54" s="16" t="s">
        <v>394</v>
      </c>
      <c r="D54" s="14">
        <v>1</v>
      </c>
      <c r="E54" s="14">
        <v>0.39906201145171522</v>
      </c>
      <c r="F54" s="14">
        <v>4.0488311196755361E-3</v>
      </c>
      <c r="G54" s="14">
        <v>9.5274822869743108E-6</v>
      </c>
      <c r="H54" s="14">
        <v>363.70532729823515</v>
      </c>
      <c r="I54" s="14">
        <v>7027.5967466250613</v>
      </c>
      <c r="J54" s="14">
        <v>0</v>
      </c>
      <c r="K54" s="14">
        <v>246.98486314740083</v>
      </c>
      <c r="L54" s="14">
        <v>4.0488311196755361E-3</v>
      </c>
      <c r="M54" s="14">
        <v>3.3220659336937776E-3</v>
      </c>
      <c r="N54" s="14">
        <v>376.70888295445167</v>
      </c>
      <c r="O54" s="14">
        <v>87920.086192739458</v>
      </c>
      <c r="P54" s="8">
        <v>376.70888295445167</v>
      </c>
      <c r="Q54" s="54">
        <v>0.26977818785221497</v>
      </c>
    </row>
    <row r="55" spans="1:17">
      <c r="A55" s="2" t="s">
        <v>395</v>
      </c>
      <c r="B55" s="16" t="s">
        <v>396</v>
      </c>
      <c r="D55" s="14">
        <v>1</v>
      </c>
      <c r="E55" s="14">
        <v>0.31284594511042407</v>
      </c>
      <c r="F55" s="14">
        <v>0.23345304374549586</v>
      </c>
      <c r="G55" s="14">
        <v>2.521900967653186E-3</v>
      </c>
      <c r="H55" s="14">
        <v>185.82303140070402</v>
      </c>
      <c r="I55" s="14">
        <v>371.15619293363801</v>
      </c>
      <c r="J55" s="14">
        <v>0</v>
      </c>
      <c r="K55" s="14">
        <v>4.2835166505268294</v>
      </c>
      <c r="L55" s="14">
        <v>0.23345304374549589</v>
      </c>
      <c r="M55" s="14">
        <v>0.19154822239317937</v>
      </c>
      <c r="N55" s="14">
        <v>19.062178922827236</v>
      </c>
      <c r="O55" s="14">
        <v>2443.1994725387667</v>
      </c>
      <c r="P55" s="8">
        <v>19.062178922827236</v>
      </c>
      <c r="Q55" s="54">
        <v>0.30377827481434544</v>
      </c>
    </row>
    <row r="56" spans="1:17">
      <c r="A56" s="2" t="s">
        <v>397</v>
      </c>
      <c r="B56" s="16" t="s">
        <v>398</v>
      </c>
      <c r="D56" s="14">
        <v>1</v>
      </c>
      <c r="E56" s="14">
        <v>6.3595709967672123E-2</v>
      </c>
      <c r="F56" s="14">
        <v>2.2152440938856932E-2</v>
      </c>
      <c r="G56" s="14">
        <v>9.1852308340513271E-3</v>
      </c>
      <c r="H56" s="14">
        <v>99.006016566587689</v>
      </c>
      <c r="I56" s="14">
        <v>174.14810704217311</v>
      </c>
      <c r="J56" s="14">
        <v>0</v>
      </c>
      <c r="K56" s="14">
        <v>45.141752223157035</v>
      </c>
      <c r="L56" s="14">
        <v>2.2152440938856936E-2</v>
      </c>
      <c r="M56" s="14">
        <v>1.8176077790332115E-2</v>
      </c>
      <c r="N56" s="14">
        <v>8.9767868501573211</v>
      </c>
      <c r="O56" s="14">
        <v>1628.8379739610459</v>
      </c>
      <c r="P56" s="8">
        <v>8.9767868501573229</v>
      </c>
      <c r="Q56" s="54">
        <v>7.0846558445311916E-2</v>
      </c>
    </row>
    <row r="57" spans="1:17">
      <c r="A57" s="2" t="s">
        <v>399</v>
      </c>
      <c r="B57" s="16" t="s">
        <v>400</v>
      </c>
      <c r="D57" s="14">
        <v>1</v>
      </c>
      <c r="E57" s="14">
        <v>4.8920122150624905E-2</v>
      </c>
      <c r="F57" s="14">
        <v>3.3304131571082959E-2</v>
      </c>
      <c r="G57" s="14">
        <v>9.7007787888567926E-3</v>
      </c>
      <c r="H57" s="14">
        <v>36.692568494095639</v>
      </c>
      <c r="I57" s="14">
        <v>71.55422534818436</v>
      </c>
      <c r="J57" s="14">
        <v>0</v>
      </c>
      <c r="K57" s="14">
        <v>30.026304630272115</v>
      </c>
      <c r="L57" s="14">
        <v>3.3304131571082959E-2</v>
      </c>
      <c r="M57" s="14">
        <v>2.7326039954073567E-2</v>
      </c>
      <c r="N57" s="14">
        <v>3.6731799553439828</v>
      </c>
      <c r="O57" s="14">
        <v>539.95745343556541</v>
      </c>
      <c r="P57" s="8">
        <v>3.6731799553439828</v>
      </c>
      <c r="Q57" s="54">
        <v>5.1337567203314005E-2</v>
      </c>
    </row>
    <row r="58" spans="1:17">
      <c r="A58" s="2" t="s">
        <v>297</v>
      </c>
      <c r="B58" s="16" t="s">
        <v>298</v>
      </c>
      <c r="D58" s="14">
        <v>1</v>
      </c>
      <c r="E58" s="14">
        <v>5.955843353566425E-2</v>
      </c>
      <c r="F58" s="14">
        <v>5.9451612583668725E-2</v>
      </c>
      <c r="G58" s="14">
        <v>1.0360772239732682E-2</v>
      </c>
      <c r="H58" s="14">
        <v>0.28103708944842759</v>
      </c>
      <c r="I58" s="14">
        <v>0.81888102877908664</v>
      </c>
      <c r="J58" s="14">
        <v>0</v>
      </c>
      <c r="K58" s="14">
        <v>16.820401609673052</v>
      </c>
      <c r="L58" s="14">
        <v>5.9451612583668725E-2</v>
      </c>
      <c r="M58" s="14">
        <v>4.8780048124900187E-2</v>
      </c>
      <c r="N58" s="14">
        <v>9.1288250838624047E-2</v>
      </c>
      <c r="O58" s="14">
        <v>7.7531111437243414</v>
      </c>
      <c r="P58" s="8">
        <v>9.128825083862406E-2</v>
      </c>
      <c r="Q58" s="54">
        <v>5.3483621887901543E-3</v>
      </c>
    </row>
    <row r="59" spans="1:17">
      <c r="A59" s="2" t="s">
        <v>401</v>
      </c>
      <c r="B59" s="16" t="s">
        <v>402</v>
      </c>
      <c r="D59" s="14">
        <v>1</v>
      </c>
      <c r="E59" s="14">
        <v>1.8109940092245307E-2</v>
      </c>
      <c r="F59" s="14">
        <v>1.2616705634675322E-2</v>
      </c>
      <c r="G59" s="14">
        <v>1.0594353458454844E-2</v>
      </c>
      <c r="H59" s="14">
        <v>12.895731152712257</v>
      </c>
      <c r="I59" s="14">
        <v>25.287339613798061</v>
      </c>
      <c r="J59" s="14">
        <v>0</v>
      </c>
      <c r="K59" s="14">
        <v>79.259992977218559</v>
      </c>
      <c r="L59" s="14">
        <v>1.2616705634675323E-2</v>
      </c>
      <c r="M59" s="14">
        <v>1.0352006973251102E-2</v>
      </c>
      <c r="N59" s="14">
        <v>1.2981566862947564</v>
      </c>
      <c r="O59" s="14">
        <v>215.27332328825946</v>
      </c>
      <c r="P59" s="8">
        <v>1.2981566862947564</v>
      </c>
      <c r="Q59" s="54">
        <v>1.8702649770554195E-2</v>
      </c>
    </row>
    <row r="60" spans="1:17">
      <c r="A60" s="2" t="s">
        <v>299</v>
      </c>
      <c r="B60" s="16" t="s">
        <v>300</v>
      </c>
      <c r="D60" s="14">
        <v>1</v>
      </c>
      <c r="E60" s="14">
        <v>5.3653810630078928E-4</v>
      </c>
      <c r="F60" s="14">
        <v>4.498747177327181E-4</v>
      </c>
      <c r="G60" s="14">
        <v>1.1097881285988827E-2</v>
      </c>
      <c r="H60" s="14">
        <v>0.20147055702351574</v>
      </c>
      <c r="I60" s="14">
        <v>0.41982544591785065</v>
      </c>
      <c r="J60" s="14">
        <v>0</v>
      </c>
      <c r="K60" s="14">
        <v>2222.8410723763436</v>
      </c>
      <c r="L60" s="14">
        <v>4.498747177327181E-4</v>
      </c>
      <c r="M60" s="14">
        <v>3.6912220589969524E-4</v>
      </c>
      <c r="N60" s="14">
        <v>2.1635811738868891E-2</v>
      </c>
      <c r="O60" s="14">
        <v>1.7771655762306906</v>
      </c>
      <c r="P60" s="8">
        <v>2.1635811738868891E-2</v>
      </c>
      <c r="Q60" s="54">
        <v>4.3377923443028944E-4</v>
      </c>
    </row>
    <row r="61" spans="1:17">
      <c r="A61" s="2" t="s">
        <v>403</v>
      </c>
      <c r="B61" s="16" t="s">
        <v>404</v>
      </c>
      <c r="D61" s="14">
        <v>1</v>
      </c>
      <c r="E61" s="14">
        <v>0.48709304033522532</v>
      </c>
      <c r="F61" s="14">
        <v>0.42993436339759916</v>
      </c>
      <c r="G61" s="14">
        <v>7.4929122414424436E-46</v>
      </c>
      <c r="H61" s="14">
        <v>132.31898426359922</v>
      </c>
      <c r="I61" s="14">
        <v>283.4518717512716</v>
      </c>
      <c r="J61" s="14">
        <v>0</v>
      </c>
      <c r="K61" s="14">
        <v>2.3259364338719064</v>
      </c>
      <c r="L61" s="14">
        <v>0.42993436339759916</v>
      </c>
      <c r="M61" s="14">
        <v>0.35276114516773011</v>
      </c>
      <c r="N61" s="14">
        <v>14.678697911778888</v>
      </c>
      <c r="O61" s="14">
        <v>17652.748895684406</v>
      </c>
      <c r="P61" s="8">
        <v>14.678697911778888</v>
      </c>
      <c r="Q61" s="54">
        <v>0.34094107735360307</v>
      </c>
    </row>
    <row r="62" spans="1:17">
      <c r="A62" s="2" t="s">
        <v>405</v>
      </c>
      <c r="B62" s="16" t="s">
        <v>406</v>
      </c>
      <c r="D62" s="14">
        <v>1</v>
      </c>
      <c r="E62" s="14">
        <v>0.39335425227658555</v>
      </c>
      <c r="F62" s="14">
        <v>1.6818904307499626E-2</v>
      </c>
      <c r="G62" s="14">
        <v>5.1521225805099065E-9</v>
      </c>
      <c r="H62" s="14">
        <v>687.15972881984521</v>
      </c>
      <c r="I62" s="14">
        <v>3546.6217279675479</v>
      </c>
      <c r="J62" s="14">
        <v>0</v>
      </c>
      <c r="K62" s="14">
        <v>59.456905260712823</v>
      </c>
      <c r="L62" s="14">
        <v>1.6818904307499626E-2</v>
      </c>
      <c r="M62" s="14">
        <v>1.3799910984303443E-2</v>
      </c>
      <c r="N62" s="14">
        <v>187.07681403272406</v>
      </c>
      <c r="O62" s="14">
        <v>59651.312922474397</v>
      </c>
      <c r="P62" s="8">
        <v>187.07681403272406</v>
      </c>
      <c r="Q62" s="54">
        <v>0.34230628280270686</v>
      </c>
    </row>
    <row r="63" spans="1:17">
      <c r="A63" s="2" t="s">
        <v>407</v>
      </c>
      <c r="B63" s="16" t="s">
        <v>408</v>
      </c>
      <c r="D63" s="14">
        <v>1</v>
      </c>
      <c r="E63" s="14">
        <v>0.4264071280571271</v>
      </c>
      <c r="F63" s="14">
        <v>1.6753572734973634E-3</v>
      </c>
      <c r="G63" s="14">
        <v>1.3449183625054518E-6</v>
      </c>
      <c r="H63" s="14">
        <v>230.02097261124314</v>
      </c>
      <c r="I63" s="14">
        <v>9047.4169710886708</v>
      </c>
      <c r="J63" s="14">
        <v>0</v>
      </c>
      <c r="K63" s="14">
        <v>596.88761067212067</v>
      </c>
      <c r="L63" s="14">
        <v>1.6753572734973636E-3</v>
      </c>
      <c r="M63" s="14">
        <v>1.3746306429045867E-3</v>
      </c>
      <c r="N63" s="14">
        <v>489.23400892489678</v>
      </c>
      <c r="O63" s="14">
        <v>237664.98919562562</v>
      </c>
      <c r="P63" s="8">
        <v>489.23400892489684</v>
      </c>
      <c r="Q63" s="54">
        <v>0.21140955216598664</v>
      </c>
    </row>
    <row r="64" spans="1:17">
      <c r="A64" s="2" t="s">
        <v>409</v>
      </c>
      <c r="B64" s="16" t="s">
        <v>410</v>
      </c>
      <c r="D64" s="14">
        <v>1</v>
      </c>
      <c r="E64" s="14">
        <v>0.46002462022072332</v>
      </c>
      <c r="F64" s="14">
        <v>6.1759328639527321E-4</v>
      </c>
      <c r="G64" s="14">
        <v>1.7715403719711767E-7</v>
      </c>
      <c r="H64" s="14">
        <v>131.86288286459478</v>
      </c>
      <c r="I64" s="14">
        <v>10868.753447100416</v>
      </c>
      <c r="J64" s="14">
        <v>0</v>
      </c>
      <c r="K64" s="14">
        <v>1619.1885858033404</v>
      </c>
      <c r="L64" s="14">
        <v>6.1759328639527332E-4</v>
      </c>
      <c r="M64" s="14">
        <v>5.0673529148732171E-4</v>
      </c>
      <c r="N64" s="14">
        <v>593.10524705316652</v>
      </c>
      <c r="O64" s="14">
        <v>334920.60195845261</v>
      </c>
      <c r="P64" s="8">
        <v>593.10524705316652</v>
      </c>
      <c r="Q64" s="54">
        <v>0.15148852502646001</v>
      </c>
    </row>
    <row r="65" spans="1:17">
      <c r="A65" s="2" t="s">
        <v>301</v>
      </c>
      <c r="B65" s="16" t="s">
        <v>302</v>
      </c>
      <c r="D65" s="14">
        <v>1</v>
      </c>
      <c r="E65" s="14">
        <v>0.49409162264339967</v>
      </c>
      <c r="F65" s="14">
        <v>1.8380876463654114E-4</v>
      </c>
      <c r="G65" s="14">
        <v>2.3200358931576279E-8</v>
      </c>
      <c r="H65" s="14">
        <v>64.843465340863972</v>
      </c>
      <c r="I65" s="14">
        <v>12397.193702348484</v>
      </c>
      <c r="J65" s="14">
        <v>0</v>
      </c>
      <c r="K65" s="14">
        <v>5440.4369779502895</v>
      </c>
      <c r="L65" s="14">
        <v>1.8380876463654116E-4</v>
      </c>
      <c r="M65" s="14">
        <v>1.50815091384282E-4</v>
      </c>
      <c r="N65" s="14">
        <v>683.58456159741377</v>
      </c>
      <c r="O65" s="14">
        <v>439941.35215286358</v>
      </c>
      <c r="P65" s="8">
        <v>683.58456159741377</v>
      </c>
      <c r="Q65" s="54">
        <v>9.6011529224268866E-2</v>
      </c>
    </row>
    <row r="66" spans="1:17">
      <c r="A66" s="2" t="s">
        <v>303</v>
      </c>
      <c r="B66" s="16" t="s">
        <v>304</v>
      </c>
      <c r="D66" s="14">
        <v>1</v>
      </c>
      <c r="E66" s="14">
        <v>0.47570536850998063</v>
      </c>
      <c r="F66" s="14">
        <v>3.6944971821556433E-4</v>
      </c>
      <c r="G66" s="14">
        <v>2.1712199827015745E-14</v>
      </c>
      <c r="H66" s="14">
        <v>97.943436905002855</v>
      </c>
      <c r="I66" s="14">
        <v>11601.99063098387</v>
      </c>
      <c r="J66" s="14">
        <v>0</v>
      </c>
      <c r="K66" s="14">
        <v>2706.728279101098</v>
      </c>
      <c r="L66" s="14">
        <v>3.6944971821556433E-4</v>
      </c>
      <c r="M66" s="14">
        <v>3.0313349379587054E-4</v>
      </c>
      <c r="N66" s="14">
        <v>635.95994750969749</v>
      </c>
      <c r="O66" s="14">
        <v>410391.31372748286</v>
      </c>
      <c r="P66" s="8">
        <v>635.95994750969749</v>
      </c>
      <c r="Q66" s="54">
        <v>0.12552565910371169</v>
      </c>
    </row>
    <row r="67" spans="1:17">
      <c r="A67" s="2" t="s">
        <v>411</v>
      </c>
      <c r="B67" s="16" t="s">
        <v>412</v>
      </c>
      <c r="D67" s="14">
        <v>1</v>
      </c>
      <c r="E67" s="14">
        <v>0.83982191131091533</v>
      </c>
      <c r="F67" s="14">
        <v>0.83676613286391388</v>
      </c>
      <c r="G67" s="14">
        <v>5.3129115037452396E-5</v>
      </c>
      <c r="H67" s="14">
        <v>7.3910151810516993</v>
      </c>
      <c r="I67" s="14">
        <v>20.566541445683377</v>
      </c>
      <c r="J67" s="14">
        <v>0</v>
      </c>
      <c r="K67" s="14">
        <v>1.195077048084394</v>
      </c>
      <c r="L67" s="14">
        <v>0.83676613286391388</v>
      </c>
      <c r="M67" s="14">
        <v>0.68656661201484137</v>
      </c>
      <c r="N67" s="14">
        <v>1.7325591298413643</v>
      </c>
      <c r="O67" s="14">
        <v>519.94099486539346</v>
      </c>
      <c r="P67" s="8">
        <v>1.7325591298413643</v>
      </c>
      <c r="Q67" s="54">
        <v>0.10427045414308081</v>
      </c>
    </row>
    <row r="68" spans="1:17">
      <c r="A68" s="2" t="s">
        <v>413</v>
      </c>
      <c r="B68" s="16" t="s">
        <v>414</v>
      </c>
      <c r="D68" s="14">
        <v>1</v>
      </c>
      <c r="E68" s="14">
        <v>0.78605715198360249</v>
      </c>
      <c r="F68" s="14">
        <v>0.78038391465731172</v>
      </c>
      <c r="G68" s="14">
        <v>1.1657268423864818E-4</v>
      </c>
      <c r="H68" s="14">
        <v>13.205909267925458</v>
      </c>
      <c r="I68" s="14">
        <v>35.02881775668078</v>
      </c>
      <c r="J68" s="14">
        <v>0</v>
      </c>
      <c r="K68" s="14">
        <v>1.2814205690530254</v>
      </c>
      <c r="L68" s="14">
        <v>0.78038391465731172</v>
      </c>
      <c r="M68" s="14">
        <v>0.64030500197632434</v>
      </c>
      <c r="N68" s="14">
        <v>2.4040991355813119</v>
      </c>
      <c r="O68" s="14">
        <v>788.9051313410074</v>
      </c>
      <c r="P68" s="8">
        <v>2.4040991355813119</v>
      </c>
      <c r="Q68" s="54">
        <v>0.13646631984398314</v>
      </c>
    </row>
    <row r="69" spans="1:17">
      <c r="A69" s="2" t="s">
        <v>415</v>
      </c>
      <c r="B69" s="16" t="s">
        <v>416</v>
      </c>
      <c r="D69" s="14">
        <v>1</v>
      </c>
      <c r="E69" s="14">
        <v>0.38863741901806653</v>
      </c>
      <c r="F69" s="14">
        <v>6.1283232428205395E-3</v>
      </c>
      <c r="G69" s="14">
        <v>5.9908735376210829E-5</v>
      </c>
      <c r="H69" s="14">
        <v>443.36526362311304</v>
      </c>
      <c r="I69" s="14">
        <v>5960.9960654637607</v>
      </c>
      <c r="J69" s="14">
        <v>0</v>
      </c>
      <c r="K69" s="14">
        <v>163.17677125982561</v>
      </c>
      <c r="L69" s="14">
        <v>6.1283232428205403E-3</v>
      </c>
      <c r="M69" s="14">
        <v>5.0282892207342529E-3</v>
      </c>
      <c r="N69" s="14">
        <v>318.11794487261744</v>
      </c>
      <c r="O69" s="14">
        <v>147632.1758564843</v>
      </c>
      <c r="P69" s="8">
        <v>318.1179448726175</v>
      </c>
      <c r="Q69" s="54">
        <v>0.29479413248494329</v>
      </c>
    </row>
    <row r="70" spans="1:17">
      <c r="A70" s="2" t="s">
        <v>417</v>
      </c>
      <c r="B70" s="16" t="s">
        <v>418</v>
      </c>
      <c r="D70" s="14">
        <v>1</v>
      </c>
      <c r="E70" s="14">
        <v>0.38197074524896507</v>
      </c>
      <c r="F70" s="14">
        <v>9.2173170454334777E-2</v>
      </c>
      <c r="G70" s="14">
        <v>1.2692086221326504E-4</v>
      </c>
      <c r="H70" s="14">
        <v>696.47338673474701</v>
      </c>
      <c r="I70" s="14">
        <v>1178.5871367012314</v>
      </c>
      <c r="J70" s="14">
        <v>0</v>
      </c>
      <c r="K70" s="14">
        <v>10.849144008726796</v>
      </c>
      <c r="L70" s="14">
        <v>9.2173170454334791E-2</v>
      </c>
      <c r="M70" s="14">
        <v>7.562808635778169E-2</v>
      </c>
      <c r="N70" s="14">
        <v>60.927325379663031</v>
      </c>
      <c r="O70" s="14">
        <v>19134.226535483176</v>
      </c>
      <c r="P70" s="8">
        <v>60.927325379663039</v>
      </c>
      <c r="Q70" s="54">
        <v>0.38758030203365573</v>
      </c>
    </row>
    <row r="71" spans="1:17">
      <c r="A71" s="2" t="s">
        <v>419</v>
      </c>
      <c r="B71" s="16" t="s">
        <v>420</v>
      </c>
      <c r="D71" s="14">
        <v>1</v>
      </c>
      <c r="E71" s="14">
        <v>0.78210562099378467</v>
      </c>
      <c r="F71" s="14">
        <v>0.77701451548921185</v>
      </c>
      <c r="G71" s="14">
        <v>2.8475910525404343E-4</v>
      </c>
      <c r="H71" s="14">
        <v>11.897319701309037</v>
      </c>
      <c r="I71" s="14">
        <v>31.791154725856767</v>
      </c>
      <c r="J71" s="14">
        <v>0</v>
      </c>
      <c r="K71" s="14">
        <v>1.2869772443960013</v>
      </c>
      <c r="L71" s="14">
        <v>0.77701451548921197</v>
      </c>
      <c r="M71" s="14">
        <v>0.63754040995889838</v>
      </c>
      <c r="N71" s="14">
        <v>2.2399405206628544</v>
      </c>
      <c r="O71" s="14">
        <v>479.43686904267736</v>
      </c>
      <c r="P71" s="8">
        <v>2.2399405206628544</v>
      </c>
      <c r="Q71" s="54">
        <v>0.12897522754404211</v>
      </c>
    </row>
    <row r="72" spans="1:17">
      <c r="A72" s="2" t="s">
        <v>421</v>
      </c>
      <c r="B72" s="16" t="s">
        <v>422</v>
      </c>
      <c r="D72" s="14">
        <v>1</v>
      </c>
      <c r="E72" s="14">
        <v>0.36158501332112408</v>
      </c>
      <c r="F72" s="14">
        <v>9.9216118272454662E-2</v>
      </c>
      <c r="G72" s="14">
        <v>4.9555369577677314E-4</v>
      </c>
      <c r="H72" s="14">
        <v>629.30652055818155</v>
      </c>
      <c r="I72" s="14">
        <v>1078.7465070270036</v>
      </c>
      <c r="J72" s="14">
        <v>0</v>
      </c>
      <c r="K72" s="14">
        <v>10.079007498095494</v>
      </c>
      <c r="L72" s="14">
        <v>9.9216118272454662E-2</v>
      </c>
      <c r="M72" s="14">
        <v>8.140682504254905E-2</v>
      </c>
      <c r="N72" s="14">
        <v>55.710199317081567</v>
      </c>
      <c r="O72" s="14">
        <v>23067.922231223962</v>
      </c>
      <c r="P72" s="8">
        <v>55.710199317081567</v>
      </c>
      <c r="Q72" s="54">
        <v>0.38081969641503838</v>
      </c>
    </row>
    <row r="73" spans="1:17">
      <c r="A73" s="2" t="s">
        <v>423</v>
      </c>
      <c r="B73" s="16" t="s">
        <v>424</v>
      </c>
      <c r="D73" s="14">
        <v>1</v>
      </c>
      <c r="E73" s="14">
        <v>0.46494552878945788</v>
      </c>
      <c r="F73" s="14">
        <v>0.40414392838379232</v>
      </c>
      <c r="G73" s="14">
        <v>2.2288690121732735E-4</v>
      </c>
      <c r="H73" s="14">
        <v>140.94707207449508</v>
      </c>
      <c r="I73" s="14">
        <v>299.16668515832549</v>
      </c>
      <c r="J73" s="14">
        <v>0</v>
      </c>
      <c r="K73" s="14">
        <v>2.4743660111364023</v>
      </c>
      <c r="L73" s="14">
        <v>0.40414392838379232</v>
      </c>
      <c r="M73" s="14">
        <v>0.33160009323890161</v>
      </c>
      <c r="N73" s="14">
        <v>15.463028982859031</v>
      </c>
      <c r="O73" s="14">
        <v>6620.8051195907519</v>
      </c>
      <c r="P73" s="8">
        <v>15.463028982859033</v>
      </c>
      <c r="Q73" s="54">
        <v>0.34206861511041853</v>
      </c>
    </row>
    <row r="74" spans="1:17">
      <c r="A74" s="2" t="s">
        <v>425</v>
      </c>
      <c r="B74" s="16" t="s">
        <v>426</v>
      </c>
      <c r="D74" s="14">
        <v>1</v>
      </c>
      <c r="E74" s="14">
        <v>0.37733312059872737</v>
      </c>
      <c r="F74" s="14">
        <v>9.4513593572123175E-2</v>
      </c>
      <c r="G74" s="14">
        <v>1.9244328593807418E-4</v>
      </c>
      <c r="H74" s="14">
        <v>679.31980476277283</v>
      </c>
      <c r="I74" s="14">
        <v>1153.8024236365345</v>
      </c>
      <c r="J74" s="14">
        <v>0</v>
      </c>
      <c r="K74" s="14">
        <v>10.580488607037267</v>
      </c>
      <c r="L74" s="14">
        <v>9.4513593572123175E-2</v>
      </c>
      <c r="M74" s="14">
        <v>7.7548403525927068E-2</v>
      </c>
      <c r="N74" s="14">
        <v>59.628773620485987</v>
      </c>
      <c r="O74" s="14">
        <v>31494.725650868288</v>
      </c>
      <c r="P74" s="8">
        <v>59.628773620485994</v>
      </c>
      <c r="Q74" s="54">
        <v>0.38719652136800436</v>
      </c>
    </row>
    <row r="75" spans="1:17">
      <c r="A75" s="2" t="s">
        <v>427</v>
      </c>
      <c r="B75" s="16" t="s">
        <v>428</v>
      </c>
      <c r="D75" s="14">
        <v>1</v>
      </c>
      <c r="E75" s="14">
        <v>0.94609067208300535</v>
      </c>
      <c r="F75" s="14">
        <v>3.9500763735914969E-2</v>
      </c>
      <c r="G75" s="14">
        <v>5.5722932414593665E-11</v>
      </c>
      <c r="H75" s="14">
        <v>2575.7605817192511</v>
      </c>
      <c r="I75" s="14">
        <v>9.2027434927302991</v>
      </c>
      <c r="J75" s="14">
        <v>0</v>
      </c>
      <c r="K75" s="14">
        <v>25.315966209807176</v>
      </c>
      <c r="L75" s="14">
        <v>3.9500763735914969E-2</v>
      </c>
      <c r="M75" s="14">
        <v>3.2410376645318234E-2</v>
      </c>
      <c r="N75" s="14">
        <v>99.902108503908053</v>
      </c>
      <c r="O75" s="14">
        <v>56353.780385969498</v>
      </c>
      <c r="P75" s="8">
        <v>99.902108503908053</v>
      </c>
      <c r="Q75" s="54">
        <v>5.1394579504981973E-4</v>
      </c>
    </row>
    <row r="76" spans="1:17">
      <c r="A76" s="2" t="s">
        <v>429</v>
      </c>
      <c r="B76" s="16" t="s">
        <v>430</v>
      </c>
      <c r="D76" s="14">
        <v>1</v>
      </c>
      <c r="E76" s="14">
        <v>0.94609067670852898</v>
      </c>
      <c r="F76" s="14">
        <v>3.9500763929037813E-2</v>
      </c>
      <c r="G76" s="14">
        <v>1.3996967854046775E-12</v>
      </c>
      <c r="H76" s="14">
        <v>2575.7605943123799</v>
      </c>
      <c r="I76" s="14">
        <v>9.202743537723352</v>
      </c>
      <c r="J76" s="14">
        <v>0</v>
      </c>
      <c r="K76" s="14">
        <v>25.315966086035104</v>
      </c>
      <c r="L76" s="14">
        <v>3.9500763929037813E-2</v>
      </c>
      <c r="M76" s="14">
        <v>3.2410376803775523E-2</v>
      </c>
      <c r="N76" s="14">
        <v>99.902108992338597</v>
      </c>
      <c r="O76" s="14">
        <v>49964.041770338306</v>
      </c>
      <c r="P76" s="8">
        <v>99.902108992338597</v>
      </c>
      <c r="Q76" s="54">
        <v>5.1394579756254761E-4</v>
      </c>
    </row>
    <row r="77" spans="1:17">
      <c r="A77" s="2" t="s">
        <v>431</v>
      </c>
      <c r="B77" s="16" t="s">
        <v>432</v>
      </c>
      <c r="D77" s="14">
        <v>1</v>
      </c>
      <c r="E77" s="14">
        <v>0.35484944135910268</v>
      </c>
      <c r="F77" s="14">
        <v>0.22173917020365819</v>
      </c>
      <c r="G77" s="14">
        <v>5.7643574754093338E-4</v>
      </c>
      <c r="H77" s="14">
        <v>313.70570586238739</v>
      </c>
      <c r="I77" s="14">
        <v>600.59206323511216</v>
      </c>
      <c r="J77" s="14">
        <v>0</v>
      </c>
      <c r="K77" s="14">
        <v>4.5098031127362006</v>
      </c>
      <c r="L77" s="14">
        <v>0.22173917020365821</v>
      </c>
      <c r="M77" s="14">
        <v>0.18193698915210157</v>
      </c>
      <c r="N77" s="14">
        <v>30.834927758174899</v>
      </c>
      <c r="O77" s="14">
        <v>11225.763799641154</v>
      </c>
      <c r="P77" s="8">
        <v>30.834927758174903</v>
      </c>
      <c r="Q77" s="54">
        <v>0.38938533286153337</v>
      </c>
    </row>
    <row r="78" spans="1:17">
      <c r="A78" s="2" t="s">
        <v>433</v>
      </c>
      <c r="B78" s="16" t="s">
        <v>434</v>
      </c>
      <c r="D78" s="14">
        <v>1</v>
      </c>
      <c r="E78" s="14">
        <v>0.62970564747699487</v>
      </c>
      <c r="F78" s="14">
        <v>0.61136237467706889</v>
      </c>
      <c r="G78" s="14">
        <v>4.3047426673982763E-4</v>
      </c>
      <c r="H78" s="14">
        <v>41.968041940001804</v>
      </c>
      <c r="I78" s="14">
        <v>100.40974820789229</v>
      </c>
      <c r="J78" s="14">
        <v>0</v>
      </c>
      <c r="K78" s="14">
        <v>1.6356911079590326</v>
      </c>
      <c r="L78" s="14">
        <v>0.61136237467706889</v>
      </c>
      <c r="M78" s="14">
        <v>0.50162282842253503</v>
      </c>
      <c r="N78" s="14">
        <v>5.541783442391166</v>
      </c>
      <c r="O78" s="14">
        <v>1463.3079179633876</v>
      </c>
      <c r="P78" s="8">
        <v>5.5417834423911669</v>
      </c>
      <c r="Q78" s="54">
        <v>0.22180732181442134</v>
      </c>
    </row>
    <row r="79" spans="1:17">
      <c r="A79" s="2" t="s">
        <v>435</v>
      </c>
      <c r="B79" s="16" t="s">
        <v>436</v>
      </c>
      <c r="D79" s="14">
        <v>1</v>
      </c>
      <c r="E79" s="14">
        <v>0.53818485235310931</v>
      </c>
      <c r="F79" s="14">
        <v>0.49875297090444298</v>
      </c>
      <c r="G79" s="14">
        <v>1.1691600935189467E-4</v>
      </c>
      <c r="H79" s="14">
        <v>90.791563626316716</v>
      </c>
      <c r="I79" s="14">
        <v>202.16346212001002</v>
      </c>
      <c r="J79" s="14">
        <v>0</v>
      </c>
      <c r="K79" s="14">
        <v>2.0050005881400388</v>
      </c>
      <c r="L79" s="14">
        <v>0.49875297090444304</v>
      </c>
      <c r="M79" s="14">
        <v>0.40922681262709548</v>
      </c>
      <c r="N79" s="14">
        <v>10.596980755846044</v>
      </c>
      <c r="O79" s="14">
        <v>4239.9579702215615</v>
      </c>
      <c r="P79" s="8">
        <v>10.596980755846046</v>
      </c>
      <c r="Q79" s="54">
        <v>0.30081720130409934</v>
      </c>
    </row>
    <row r="80" spans="1:17">
      <c r="A80" s="2" t="s">
        <v>437</v>
      </c>
      <c r="B80" s="16" t="s">
        <v>438</v>
      </c>
      <c r="D80" s="14">
        <v>1</v>
      </c>
      <c r="E80" s="14">
        <v>0.89972613905125975</v>
      </c>
      <c r="F80" s="14">
        <v>2.5782291896135942E-2</v>
      </c>
      <c r="G80" s="14">
        <v>1.920657787039601E-11</v>
      </c>
      <c r="H80" s="14">
        <v>2482.1128388729912</v>
      </c>
      <c r="I80" s="14">
        <v>17.034655124300066</v>
      </c>
      <c r="J80" s="14">
        <v>0</v>
      </c>
      <c r="K80" s="14">
        <v>38.786311318966668</v>
      </c>
      <c r="L80" s="14">
        <v>2.5782291896135942E-2</v>
      </c>
      <c r="M80" s="14">
        <v>2.1154370500779542E-2</v>
      </c>
      <c r="N80" s="14">
        <v>186.80543779329565</v>
      </c>
      <c r="O80" s="14">
        <v>96032.939460777445</v>
      </c>
      <c r="P80" s="8">
        <v>186.80543779329568</v>
      </c>
      <c r="Q80" s="54">
        <v>6.030222620275528E-4</v>
      </c>
    </row>
    <row r="81" spans="1:17">
      <c r="A81" s="2" t="s">
        <v>440</v>
      </c>
      <c r="B81" s="16" t="s">
        <v>441</v>
      </c>
      <c r="D81" s="14">
        <v>1</v>
      </c>
      <c r="E81" s="14">
        <v>0.97062397650113641</v>
      </c>
      <c r="F81" s="14">
        <v>0.97087601942854007</v>
      </c>
      <c r="G81" s="14">
        <v>2.0487655453012202E-15</v>
      </c>
      <c r="H81" s="14">
        <v>0.2587401193705306</v>
      </c>
      <c r="I81" s="14">
        <v>0.93179622134199003</v>
      </c>
      <c r="J81" s="14">
        <v>0</v>
      </c>
      <c r="K81" s="14">
        <v>1.0299976309937107</v>
      </c>
      <c r="L81" s="14">
        <v>0.97087601942854007</v>
      </c>
      <c r="M81" s="14">
        <v>0.79660377394111714</v>
      </c>
      <c r="N81" s="14">
        <v>0.87985276340266061</v>
      </c>
      <c r="O81" s="14">
        <v>243.94797718102168</v>
      </c>
      <c r="P81" s="8">
        <v>0.87985276340266061</v>
      </c>
      <c r="Q81" s="54">
        <v>1.9512860734270568E-2</v>
      </c>
    </row>
    <row r="82" spans="1:17">
      <c r="A82" s="2" t="s">
        <v>442</v>
      </c>
      <c r="B82" s="16" t="s">
        <v>443</v>
      </c>
      <c r="D82" s="14">
        <v>1</v>
      </c>
      <c r="E82" s="14">
        <v>0.77254397039917244</v>
      </c>
      <c r="F82" s="14">
        <v>0.7653451670528082</v>
      </c>
      <c r="G82" s="14">
        <v>9.7441919786361511E-7</v>
      </c>
      <c r="H82" s="14">
        <v>16.630960960391562</v>
      </c>
      <c r="I82" s="14">
        <v>43.308636894313558</v>
      </c>
      <c r="J82" s="14">
        <v>0</v>
      </c>
      <c r="K82" s="14">
        <v>1.3066000061786511</v>
      </c>
      <c r="L82" s="14">
        <v>0.7653451670528082</v>
      </c>
      <c r="M82" s="14">
        <v>0.62796570956682918</v>
      </c>
      <c r="N82" s="14">
        <v>2.8044959766019333</v>
      </c>
      <c r="O82" s="14">
        <v>463.27469037487333</v>
      </c>
      <c r="P82" s="8">
        <v>2.8044959766019333</v>
      </c>
      <c r="Q82" s="54">
        <v>0.15246652950909056</v>
      </c>
    </row>
    <row r="83" spans="1:17">
      <c r="A83" s="2" t="s">
        <v>444</v>
      </c>
      <c r="B83" s="16" t="s">
        <v>445</v>
      </c>
      <c r="D83" s="14">
        <v>1</v>
      </c>
      <c r="E83" s="14">
        <v>0.38629907490132875</v>
      </c>
      <c r="F83" s="14">
        <v>0.26505171219417578</v>
      </c>
      <c r="G83" s="14">
        <v>1.1683665149789368E-5</v>
      </c>
      <c r="H83" s="14">
        <v>284.806970385775</v>
      </c>
      <c r="I83" s="14">
        <v>556.42647384483371</v>
      </c>
      <c r="J83" s="14">
        <v>0</v>
      </c>
      <c r="K83" s="14">
        <v>3.7728486706299944</v>
      </c>
      <c r="L83" s="14">
        <v>0.26505171219417578</v>
      </c>
      <c r="M83" s="14">
        <v>0.21747492985532121</v>
      </c>
      <c r="N83" s="14">
        <v>28.563965401122971</v>
      </c>
      <c r="O83" s="14">
        <v>5148.3691238984047</v>
      </c>
      <c r="P83" s="8">
        <v>28.563965401122971</v>
      </c>
      <c r="Q83" s="54">
        <v>0.40328102180821013</v>
      </c>
    </row>
    <row r="84" spans="1:17">
      <c r="A84" s="2" t="s">
        <v>446</v>
      </c>
      <c r="B84" s="16" t="s">
        <v>447</v>
      </c>
      <c r="D84" s="14">
        <v>1</v>
      </c>
      <c r="E84" s="14">
        <v>0.93728348450500132</v>
      </c>
      <c r="F84" s="14">
        <v>0.93709776406855894</v>
      </c>
      <c r="G84" s="14">
        <v>6.306717666666839E-17</v>
      </c>
      <c r="H84" s="14">
        <v>1.1624516590322027</v>
      </c>
      <c r="I84" s="14">
        <v>3.7379378177103515</v>
      </c>
      <c r="J84" s="14">
        <v>0</v>
      </c>
      <c r="K84" s="14">
        <v>1.0671245182128501</v>
      </c>
      <c r="L84" s="14">
        <v>0.93709776406855894</v>
      </c>
      <c r="M84" s="14">
        <v>0.76888871541825266</v>
      </c>
      <c r="N84" s="14">
        <v>0.9876066491177945</v>
      </c>
      <c r="O84" s="14">
        <v>384.07034977541906</v>
      </c>
      <c r="P84" s="8">
        <v>0.9876066491177945</v>
      </c>
      <c r="Q84" s="54">
        <v>4.1978998411422067E-2</v>
      </c>
    </row>
    <row r="85" spans="1:17">
      <c r="A85" s="2" t="s">
        <v>448</v>
      </c>
      <c r="B85" s="16" t="s">
        <v>449</v>
      </c>
      <c r="D85" s="14">
        <v>1</v>
      </c>
      <c r="E85" s="14">
        <v>0.98749716902180684</v>
      </c>
      <c r="F85" s="14">
        <v>0.9878582003209343</v>
      </c>
      <c r="G85" s="14">
        <v>4.4148209727455357E-10</v>
      </c>
      <c r="H85" s="14">
        <v>4.7477146553323989E-2</v>
      </c>
      <c r="I85" s="14">
        <v>0.19397322216770574</v>
      </c>
      <c r="J85" s="14">
        <v>0</v>
      </c>
      <c r="K85" s="14">
        <v>1.01229103496344</v>
      </c>
      <c r="L85" s="14">
        <v>0.98785820032093441</v>
      </c>
      <c r="M85" s="14">
        <v>0.81053765336332662</v>
      </c>
      <c r="N85" s="14">
        <v>0.85888310469252727</v>
      </c>
      <c r="O85" s="14">
        <v>153.94620768508858</v>
      </c>
      <c r="P85" s="8">
        <v>0.85888310469252727</v>
      </c>
      <c r="Q85" s="54">
        <v>8.1309591673477347E-3</v>
      </c>
    </row>
    <row r="86" spans="1:17">
      <c r="A86" s="2" t="s">
        <v>450</v>
      </c>
      <c r="B86" s="16" t="s">
        <v>451</v>
      </c>
      <c r="D86" s="14">
        <v>1</v>
      </c>
      <c r="E86" s="14">
        <v>0.93878813169954956</v>
      </c>
      <c r="F86" s="14">
        <v>0.93862853312824235</v>
      </c>
      <c r="G86" s="14">
        <v>1.5863252598309566E-10</v>
      </c>
      <c r="H86" s="14">
        <v>1.1075510472693362</v>
      </c>
      <c r="I86" s="14">
        <v>3.5745462681751508</v>
      </c>
      <c r="J86" s="14">
        <v>0</v>
      </c>
      <c r="K86" s="14">
        <v>1.0653841905564281</v>
      </c>
      <c r="L86" s="14">
        <v>0.93862853312824235</v>
      </c>
      <c r="M86" s="14">
        <v>0.77014471143172292</v>
      </c>
      <c r="N86" s="14">
        <v>0.98092532339799476</v>
      </c>
      <c r="O86" s="14">
        <v>256.10979268598243</v>
      </c>
      <c r="P86" s="8">
        <v>0.98092532339799487</v>
      </c>
      <c r="Q86" s="54">
        <v>4.0965751182245838E-2</v>
      </c>
    </row>
    <row r="87" spans="1:17">
      <c r="A87" s="2" t="s">
        <v>452</v>
      </c>
      <c r="B87" s="16" t="s">
        <v>453</v>
      </c>
      <c r="D87" s="14">
        <v>1</v>
      </c>
      <c r="E87" s="14">
        <v>0.41481543285818057</v>
      </c>
      <c r="F87" s="14">
        <v>2.3822576029551884E-3</v>
      </c>
      <c r="G87" s="14">
        <v>2.4571813442849575E-9</v>
      </c>
      <c r="H87" s="14">
        <v>277.46532809790665</v>
      </c>
      <c r="I87" s="14">
        <v>8284.4921820147865</v>
      </c>
      <c r="J87" s="14">
        <v>0</v>
      </c>
      <c r="K87" s="14">
        <v>419.7698849862</v>
      </c>
      <c r="L87" s="14">
        <v>2.3822576029551884E-3</v>
      </c>
      <c r="M87" s="14">
        <v>1.9546423632247323E-3</v>
      </c>
      <c r="N87" s="14">
        <v>446.46320884004444</v>
      </c>
      <c r="O87" s="14">
        <v>185862.6338401105</v>
      </c>
      <c r="P87" s="8">
        <v>446.4632088400445</v>
      </c>
      <c r="Q87" s="54">
        <v>0.23467449525250153</v>
      </c>
    </row>
    <row r="88" spans="1:17">
      <c r="A88" s="2" t="s">
        <v>454</v>
      </c>
      <c r="B88" s="16" t="s">
        <v>455</v>
      </c>
      <c r="D88" s="14">
        <v>1</v>
      </c>
      <c r="E88" s="14">
        <v>0.69339726542033508</v>
      </c>
      <c r="F88" s="14">
        <v>0.67904141255080064</v>
      </c>
      <c r="G88" s="14">
        <v>4.99694706748056E-7</v>
      </c>
      <c r="H88" s="14">
        <v>32.845529033095261</v>
      </c>
      <c r="I88" s="14">
        <v>80.636827336817646</v>
      </c>
      <c r="J88" s="14">
        <v>0</v>
      </c>
      <c r="K88" s="14">
        <v>1.472664231543003</v>
      </c>
      <c r="L88" s="14">
        <v>0.67904141255080064</v>
      </c>
      <c r="M88" s="14">
        <v>0.55715347899793188</v>
      </c>
      <c r="N88" s="14">
        <v>4.6024279668907804</v>
      </c>
      <c r="O88" s="14">
        <v>880.30639722719968</v>
      </c>
      <c r="P88" s="8">
        <v>4.6024279668907813</v>
      </c>
      <c r="Q88" s="54">
        <v>0.20527375750492832</v>
      </c>
    </row>
    <row r="89" spans="1:17">
      <c r="A89" s="2" t="s">
        <v>456</v>
      </c>
      <c r="B89" s="16" t="s">
        <v>457</v>
      </c>
      <c r="D89" s="14">
        <v>1</v>
      </c>
      <c r="E89" s="14">
        <v>0.75882711606415454</v>
      </c>
      <c r="F89" s="14">
        <v>0.75059741189181384</v>
      </c>
      <c r="G89" s="14">
        <v>3.240824775518263E-19</v>
      </c>
      <c r="H89" s="14">
        <v>18.95077880851262</v>
      </c>
      <c r="I89" s="14">
        <v>48.807238194881876</v>
      </c>
      <c r="J89" s="14">
        <v>0</v>
      </c>
      <c r="K89" s="14">
        <v>1.332272113062033</v>
      </c>
      <c r="L89" s="14">
        <v>0.75059741189181395</v>
      </c>
      <c r="M89" s="14">
        <v>0.61586517645723327</v>
      </c>
      <c r="N89" s="14">
        <v>3.0668265647438928</v>
      </c>
      <c r="O89" s="14">
        <v>1203.6067535993882</v>
      </c>
      <c r="P89" s="8">
        <v>3.0668265647438933</v>
      </c>
      <c r="Q89" s="54">
        <v>0.16169039923729608</v>
      </c>
    </row>
    <row r="90" spans="1:17">
      <c r="A90" s="2" t="s">
        <v>458</v>
      </c>
      <c r="B90" s="16" t="s">
        <v>459</v>
      </c>
      <c r="D90" s="14">
        <v>1</v>
      </c>
      <c r="E90" s="14">
        <v>0.8805924454076367</v>
      </c>
      <c r="F90" s="14">
        <v>0.87896534729689402</v>
      </c>
      <c r="G90" s="14">
        <v>4.7343486927182572E-31</v>
      </c>
      <c r="H90" s="14">
        <v>4.2602173192953483</v>
      </c>
      <c r="I90" s="14">
        <v>12.390502634527348</v>
      </c>
      <c r="J90" s="14">
        <v>0</v>
      </c>
      <c r="K90" s="14">
        <v>1.1377012792089325</v>
      </c>
      <c r="L90" s="14">
        <v>0.87896534729689402</v>
      </c>
      <c r="M90" s="14">
        <v>0.7211910674571016</v>
      </c>
      <c r="N90" s="14">
        <v>1.3636727792113992</v>
      </c>
      <c r="O90" s="14">
        <v>1064.9466201973501</v>
      </c>
      <c r="P90" s="8">
        <v>1.3636727792113992</v>
      </c>
      <c r="Q90" s="54">
        <v>8.0110404454830392E-2</v>
      </c>
    </row>
    <row r="91" spans="1:17">
      <c r="A91" s="2" t="s">
        <v>460</v>
      </c>
      <c r="B91" s="16" t="s">
        <v>461</v>
      </c>
      <c r="D91" s="14">
        <v>1</v>
      </c>
      <c r="E91" s="14">
        <v>0.39033541464798749</v>
      </c>
      <c r="F91" s="14">
        <v>1.4577606315316275E-2</v>
      </c>
      <c r="G91" s="14">
        <v>2.4014563943452769E-9</v>
      </c>
      <c r="H91" s="14">
        <v>649.45074217812146</v>
      </c>
      <c r="I91" s="14">
        <v>3875.2826878622864</v>
      </c>
      <c r="J91" s="14">
        <v>0</v>
      </c>
      <c r="K91" s="14">
        <v>68.598367823208989</v>
      </c>
      <c r="L91" s="14">
        <v>1.4577606315316275E-2</v>
      </c>
      <c r="M91" s="14">
        <v>1.1960925981717004E-2</v>
      </c>
      <c r="N91" s="14">
        <v>204.77251322223185</v>
      </c>
      <c r="O91" s="14">
        <v>62742.298051291829</v>
      </c>
      <c r="P91" s="8">
        <v>204.77251322223185</v>
      </c>
      <c r="Q91" s="54">
        <v>0.33798963972602913</v>
      </c>
    </row>
    <row r="92" spans="1:17">
      <c r="A92" s="2" t="s">
        <v>462</v>
      </c>
      <c r="B92" s="16" t="s">
        <v>463</v>
      </c>
      <c r="D92" s="14">
        <v>1</v>
      </c>
      <c r="E92" s="14">
        <v>0.41718752268152937</v>
      </c>
      <c r="F92" s="14">
        <v>0.32439028317502544</v>
      </c>
      <c r="G92" s="14">
        <v>8.9986285366648774E-11</v>
      </c>
      <c r="H92" s="14">
        <v>216.74437571947666</v>
      </c>
      <c r="I92" s="14">
        <v>438.53575424621562</v>
      </c>
      <c r="J92" s="14">
        <v>0</v>
      </c>
      <c r="K92" s="14">
        <v>3.0827063937067676</v>
      </c>
      <c r="L92" s="14">
        <v>0.3243902831750255</v>
      </c>
      <c r="M92" s="14">
        <v>0.26616222734510842</v>
      </c>
      <c r="N92" s="14">
        <v>22.537161868046557</v>
      </c>
      <c r="O92" s="14">
        <v>7590.9668603954406</v>
      </c>
      <c r="P92" s="8">
        <v>22.537161868046557</v>
      </c>
      <c r="Q92" s="54">
        <v>0.38530532189648536</v>
      </c>
    </row>
    <row r="93" spans="1:17">
      <c r="A93" s="2" t="s">
        <v>464</v>
      </c>
      <c r="B93" s="16" t="s">
        <v>465</v>
      </c>
      <c r="D93" s="14">
        <v>1</v>
      </c>
      <c r="E93" s="14">
        <v>0.36796110301924295</v>
      </c>
      <c r="F93" s="14">
        <v>0.12407519447766141</v>
      </c>
      <c r="G93" s="14">
        <v>6.9418216617857474E-6</v>
      </c>
      <c r="H93" s="14">
        <v>582.96833325049477</v>
      </c>
      <c r="I93" s="14">
        <v>1021.6499906458582</v>
      </c>
      <c r="J93" s="14">
        <v>0</v>
      </c>
      <c r="K93" s="14">
        <v>8.0596287131352486</v>
      </c>
      <c r="L93" s="14">
        <v>0.12407519447766141</v>
      </c>
      <c r="M93" s="14">
        <v>0.10180369706892119</v>
      </c>
      <c r="N93" s="14">
        <v>52.676277906710133</v>
      </c>
      <c r="O93" s="14">
        <v>24499.210091631812</v>
      </c>
      <c r="P93" s="8">
        <v>52.676277906710133</v>
      </c>
      <c r="Q93" s="54">
        <v>0.40728848839975801</v>
      </c>
    </row>
    <row r="94" spans="1:17">
      <c r="A94" s="2" t="s">
        <v>466</v>
      </c>
      <c r="B94" s="16" t="s">
        <v>467</v>
      </c>
      <c r="D94" s="14">
        <v>1</v>
      </c>
      <c r="E94" s="14">
        <v>0.99923378364562909</v>
      </c>
      <c r="F94" s="14">
        <v>0.98806140790039387</v>
      </c>
      <c r="G94" s="14">
        <v>2.2419212606064602E-20</v>
      </c>
      <c r="H94" s="14">
        <v>32.844596946446444</v>
      </c>
      <c r="I94" s="14">
        <v>3.996354877147866E-2</v>
      </c>
      <c r="J94" s="14">
        <v>0</v>
      </c>
      <c r="K94" s="14">
        <v>1.0120828442484919</v>
      </c>
      <c r="L94" s="14">
        <v>0.98806140790039398</v>
      </c>
      <c r="M94" s="14">
        <v>0.81070438518227328</v>
      </c>
      <c r="N94" s="14">
        <v>1.1104578313770164</v>
      </c>
      <c r="O94" s="14">
        <v>367.27282314963441</v>
      </c>
      <c r="P94" s="8">
        <v>1.1104578313770164</v>
      </c>
      <c r="Q94" s="54">
        <v>1.1843063195285839E-4</v>
      </c>
    </row>
    <row r="95" spans="1:17">
      <c r="A95" s="2" t="s">
        <v>468</v>
      </c>
      <c r="B95" s="16" t="s">
        <v>469</v>
      </c>
      <c r="D95" s="14">
        <v>1</v>
      </c>
      <c r="E95" s="14">
        <v>0.42736989364959327</v>
      </c>
      <c r="F95" s="14">
        <v>3.5490913030839802E-2</v>
      </c>
      <c r="G95" s="14">
        <v>1.0068056863377791E-19</v>
      </c>
      <c r="H95" s="14">
        <v>892.92950189135104</v>
      </c>
      <c r="I95" s="14">
        <v>2045.3815908114855</v>
      </c>
      <c r="J95" s="14">
        <v>0</v>
      </c>
      <c r="K95" s="14">
        <v>28.176226380286433</v>
      </c>
      <c r="L95" s="14">
        <v>3.5490913030839802E-2</v>
      </c>
      <c r="M95" s="14">
        <v>2.9120294141804056E-2</v>
      </c>
      <c r="N95" s="14">
        <v>106.84754668645792</v>
      </c>
      <c r="O95" s="14">
        <v>52782.68806311021</v>
      </c>
      <c r="P95" s="8">
        <v>106.84754668645792</v>
      </c>
      <c r="Q95" s="54">
        <v>0.34815636777141751</v>
      </c>
    </row>
    <row r="96" spans="1:17">
      <c r="A96" s="2" t="s">
        <v>470</v>
      </c>
      <c r="B96" s="164">
        <v>354656</v>
      </c>
      <c r="D96" s="14">
        <v>1</v>
      </c>
      <c r="E96" s="14">
        <v>0.96950511851363663</v>
      </c>
      <c r="F96" s="14">
        <v>0.96974723953002429</v>
      </c>
      <c r="G96" s="14">
        <v>4.0847646561966001E-12</v>
      </c>
      <c r="H96" s="14">
        <v>0.27857269904329018</v>
      </c>
      <c r="I96" s="14">
        <v>0.99769023787746836</v>
      </c>
      <c r="J96" s="14">
        <v>0</v>
      </c>
      <c r="K96" s="14">
        <v>1.0311965419820501</v>
      </c>
      <c r="L96" s="14">
        <v>0.96974723953002429</v>
      </c>
      <c r="M96" s="14">
        <v>0.79567761003438497</v>
      </c>
      <c r="N96" s="14">
        <v>0.88207418684646111</v>
      </c>
      <c r="O96" s="14">
        <v>173.93620890425368</v>
      </c>
      <c r="P96" s="8">
        <v>0.88207418684646122</v>
      </c>
      <c r="Q96" s="54">
        <v>2.026729191464911E-2</v>
      </c>
    </row>
    <row r="97" spans="1:17">
      <c r="A97" s="2" t="s">
        <v>472</v>
      </c>
      <c r="B97" s="16" t="s">
        <v>473</v>
      </c>
      <c r="D97" s="14">
        <v>1</v>
      </c>
      <c r="E97" s="14">
        <v>0.93651818768070616</v>
      </c>
      <c r="F97" s="14">
        <v>0.93631894795654269</v>
      </c>
      <c r="G97" s="14">
        <v>6.3023468341647188E-12</v>
      </c>
      <c r="H97" s="14">
        <v>1.1908959330672881</v>
      </c>
      <c r="I97" s="14">
        <v>3.8223546774849271</v>
      </c>
      <c r="J97" s="14">
        <v>0</v>
      </c>
      <c r="K97" s="14">
        <v>1.0680121364439299</v>
      </c>
      <c r="L97" s="14">
        <v>0.9363189479565428</v>
      </c>
      <c r="M97" s="14">
        <v>0.76824969679834332</v>
      </c>
      <c r="N97" s="14">
        <v>0.99107004685050315</v>
      </c>
      <c r="O97" s="14">
        <v>158.7496001045136</v>
      </c>
      <c r="P97" s="8">
        <v>0.99107004685050315</v>
      </c>
      <c r="Q97" s="54">
        <v>4.2494329678831835E-2</v>
      </c>
    </row>
    <row r="98" spans="1:17">
      <c r="A98" s="2" t="s">
        <v>474</v>
      </c>
      <c r="B98" s="16" t="s">
        <v>475</v>
      </c>
      <c r="D98" s="14">
        <v>1</v>
      </c>
      <c r="E98" s="14">
        <v>0.40764456009777378</v>
      </c>
      <c r="F98" s="14">
        <v>7.3371478139940105E-2</v>
      </c>
      <c r="G98" s="14">
        <v>2.0670727232315731E-21</v>
      </c>
      <c r="H98" s="14">
        <v>806.72825579638527</v>
      </c>
      <c r="I98" s="14">
        <v>1327.9583046176715</v>
      </c>
      <c r="J98" s="14">
        <v>0</v>
      </c>
      <c r="K98" s="14">
        <v>13.629274281386534</v>
      </c>
      <c r="L98" s="14">
        <v>7.3371478139940105E-2</v>
      </c>
      <c r="M98" s="14">
        <v>6.0201297813820859E-2</v>
      </c>
      <c r="N98" s="14">
        <v>68.804343386952709</v>
      </c>
      <c r="O98" s="14">
        <v>36564.692206128275</v>
      </c>
      <c r="P98" s="8">
        <v>68.804343386952709</v>
      </c>
      <c r="Q98" s="54">
        <v>0.37513228222374806</v>
      </c>
    </row>
    <row r="99" spans="1:17">
      <c r="A99" s="2" t="s">
        <v>476</v>
      </c>
      <c r="B99" s="16" t="s">
        <v>477</v>
      </c>
      <c r="D99" s="14">
        <v>1</v>
      </c>
      <c r="E99" s="14">
        <v>0.99120367969751821</v>
      </c>
      <c r="F99" s="14">
        <v>0.99157819163621697</v>
      </c>
      <c r="G99" s="14">
        <v>1.9267947494897123E-9</v>
      </c>
      <c r="H99" s="14">
        <v>2.3367215646605429E-2</v>
      </c>
      <c r="I99" s="14">
        <v>0.10061532567622528</v>
      </c>
      <c r="J99" s="14">
        <v>0</v>
      </c>
      <c r="K99" s="14">
        <v>1.0084933376256351</v>
      </c>
      <c r="L99" s="14">
        <v>0.99157819163621697</v>
      </c>
      <c r="M99" s="14">
        <v>0.81358990623751604</v>
      </c>
      <c r="N99" s="14">
        <v>0.85762422059171206</v>
      </c>
      <c r="O99" s="14">
        <v>110.77074433162552</v>
      </c>
      <c r="P99" s="8">
        <v>0.85762422059171206</v>
      </c>
      <c r="Q99" s="54">
        <v>5.6294262937795578E-3</v>
      </c>
    </row>
    <row r="100" spans="1:17">
      <c r="A100" s="2" t="s">
        <v>478</v>
      </c>
      <c r="B100" s="16" t="s">
        <v>479</v>
      </c>
      <c r="D100" s="14">
        <v>1</v>
      </c>
      <c r="E100" s="14">
        <v>0.56945374585224562</v>
      </c>
      <c r="F100" s="14">
        <v>0.53557587848321708</v>
      </c>
      <c r="G100" s="14">
        <v>7.3836227032088545E-13</v>
      </c>
      <c r="H100" s="14">
        <v>77.846843705316203</v>
      </c>
      <c r="I100" s="14">
        <v>176.23744158468327</v>
      </c>
      <c r="J100" s="14">
        <v>0</v>
      </c>
      <c r="K100" s="14">
        <v>1.8671490636061869</v>
      </c>
      <c r="L100" s="14">
        <v>0.53557587848321719</v>
      </c>
      <c r="M100" s="14">
        <v>0.43944000829547969</v>
      </c>
      <c r="N100" s="14">
        <v>9.3107559281079375</v>
      </c>
      <c r="O100" s="14">
        <v>2791.3646272467599</v>
      </c>
      <c r="P100" s="8">
        <v>9.3107559281079393</v>
      </c>
      <c r="Q100" s="54">
        <v>0.28727522905109498</v>
      </c>
    </row>
    <row r="101" spans="1:17">
      <c r="A101" s="2" t="s">
        <v>480</v>
      </c>
      <c r="B101" s="16" t="s">
        <v>481</v>
      </c>
      <c r="D101" s="14">
        <v>1</v>
      </c>
      <c r="E101" s="14">
        <v>0.98557623865628252</v>
      </c>
      <c r="F101" s="14">
        <v>0.98592876454099154</v>
      </c>
      <c r="G101" s="14">
        <v>5.1850628507376795E-13</v>
      </c>
      <c r="H101" s="14">
        <v>6.3172132465341979E-2</v>
      </c>
      <c r="I101" s="14">
        <v>0.25268688876283124</v>
      </c>
      <c r="J101" s="14">
        <v>0</v>
      </c>
      <c r="K101" s="14">
        <v>1.0142720609896794</v>
      </c>
      <c r="L101" s="14">
        <v>0.98592876454099165</v>
      </c>
      <c r="M101" s="14">
        <v>0.80895455130588367</v>
      </c>
      <c r="N101" s="14">
        <v>0.8600366216987082</v>
      </c>
      <c r="O101" s="14">
        <v>204.82632182376435</v>
      </c>
      <c r="P101" s="8">
        <v>0.86003662169870831</v>
      </c>
      <c r="Q101" s="54">
        <v>9.4271997246581848E-3</v>
      </c>
    </row>
    <row r="102" spans="1:17">
      <c r="A102" s="2" t="s">
        <v>482</v>
      </c>
      <c r="B102" s="16" t="s">
        <v>483</v>
      </c>
      <c r="D102" s="14">
        <v>1</v>
      </c>
      <c r="E102" s="14">
        <v>0.99599784599712327</v>
      </c>
      <c r="F102" s="14">
        <v>0.99638385743170588</v>
      </c>
      <c r="G102" s="14">
        <v>3.2581807281391614E-29</v>
      </c>
      <c r="H102" s="14">
        <v>4.5076136240006486E-3</v>
      </c>
      <c r="I102" s="14">
        <v>2.1918147923659374E-2</v>
      </c>
      <c r="J102" s="14">
        <v>0</v>
      </c>
      <c r="K102" s="14">
        <v>1.003629266513425</v>
      </c>
      <c r="L102" s="14">
        <v>0.99638385743170599</v>
      </c>
      <c r="M102" s="14">
        <v>0.81753295502271472</v>
      </c>
      <c r="N102" s="14">
        <v>0.85802550503338038</v>
      </c>
      <c r="O102" s="14">
        <v>395.06068328251934</v>
      </c>
      <c r="P102" s="8">
        <v>0.85802550503338038</v>
      </c>
      <c r="Q102" s="54">
        <v>2.3933369930841737E-3</v>
      </c>
    </row>
    <row r="103" spans="1:17">
      <c r="A103" s="2" t="s">
        <v>484</v>
      </c>
      <c r="B103" s="16" t="s">
        <v>485</v>
      </c>
      <c r="D103" s="14">
        <v>1</v>
      </c>
      <c r="E103" s="14">
        <v>0.99146905484915326</v>
      </c>
      <c r="F103" s="14">
        <v>0.99184438087430049</v>
      </c>
      <c r="G103" s="14">
        <v>2.5989745390036794E-15</v>
      </c>
      <c r="H103" s="14">
        <v>2.1957027067067893E-2</v>
      </c>
      <c r="I103" s="14">
        <v>9.4979681305192548E-2</v>
      </c>
      <c r="J103" s="14">
        <v>0</v>
      </c>
      <c r="K103" s="14">
        <v>1.008222680173386</v>
      </c>
      <c r="L103" s="14">
        <v>0.99184438087430049</v>
      </c>
      <c r="M103" s="14">
        <v>0.81380831450736357</v>
      </c>
      <c r="N103" s="14">
        <v>0.85758482007675818</v>
      </c>
      <c r="O103" s="14">
        <v>176.01928432075462</v>
      </c>
      <c r="P103" s="8">
        <v>0.85758482007675818</v>
      </c>
      <c r="Q103" s="54">
        <v>5.4504292677740379E-3</v>
      </c>
    </row>
    <row r="104" spans="1:17">
      <c r="A104" s="2" t="s">
        <v>486</v>
      </c>
      <c r="B104" s="16" t="s">
        <v>487</v>
      </c>
      <c r="D104" s="14">
        <v>1</v>
      </c>
      <c r="E104" s="14">
        <v>0.95409035000086306</v>
      </c>
      <c r="F104" s="14">
        <v>0.95416210016097502</v>
      </c>
      <c r="G104" s="14">
        <v>3.2070863240201727E-11</v>
      </c>
      <c r="H104" s="14">
        <v>0.62557900092783181</v>
      </c>
      <c r="I104" s="14">
        <v>2.1083336139048163</v>
      </c>
      <c r="J104" s="14">
        <v>0</v>
      </c>
      <c r="K104" s="14">
        <v>1.0480399502676658</v>
      </c>
      <c r="L104" s="14">
        <v>0.95416210016097514</v>
      </c>
      <c r="M104" s="14">
        <v>0.78289000318208013</v>
      </c>
      <c r="N104" s="14">
        <v>0.9226637311577941</v>
      </c>
      <c r="O104" s="14">
        <v>139.46984960181214</v>
      </c>
      <c r="P104" s="8">
        <v>0.9226637311577941</v>
      </c>
      <c r="Q104" s="54">
        <v>3.0657683255253688E-2</v>
      </c>
    </row>
    <row r="105" spans="1:17">
      <c r="A105" s="2" t="s">
        <v>488</v>
      </c>
      <c r="B105" s="16" t="s">
        <v>489</v>
      </c>
      <c r="D105" s="14">
        <v>1</v>
      </c>
      <c r="E105" s="14">
        <v>0.99529127032299014</v>
      </c>
      <c r="F105" s="14">
        <v>0.99567602437398461</v>
      </c>
      <c r="G105" s="14">
        <v>2.5912334257340952E-18</v>
      </c>
      <c r="H105" s="14">
        <v>6.3926076408297493E-3</v>
      </c>
      <c r="I105" s="14">
        <v>3.0292507237560294E-2</v>
      </c>
      <c r="J105" s="14">
        <v>0</v>
      </c>
      <c r="K105" s="14">
        <v>1.0043427535866738</v>
      </c>
      <c r="L105" s="14">
        <v>0.99567602437398472</v>
      </c>
      <c r="M105" s="14">
        <v>0.81695217799885445</v>
      </c>
      <c r="N105" s="14">
        <v>0.85781154471697096</v>
      </c>
      <c r="O105" s="14">
        <v>291.10692581515127</v>
      </c>
      <c r="P105" s="8">
        <v>0.85781154471697096</v>
      </c>
      <c r="Q105" s="54">
        <v>2.8703524062737482E-3</v>
      </c>
    </row>
    <row r="106" spans="1:17">
      <c r="A106" s="2" t="s">
        <v>490</v>
      </c>
      <c r="B106" s="16" t="s">
        <v>491</v>
      </c>
      <c r="D106" s="14">
        <v>1</v>
      </c>
      <c r="E106" s="14">
        <v>0.85055639265217931</v>
      </c>
      <c r="F106" s="14">
        <v>0.84778124000312538</v>
      </c>
      <c r="G106" s="14">
        <v>1.4480124295566804E-10</v>
      </c>
      <c r="H106" s="14">
        <v>6.7755382620089568</v>
      </c>
      <c r="I106" s="14">
        <v>18.993323830302874</v>
      </c>
      <c r="J106" s="14">
        <v>0</v>
      </c>
      <c r="K106" s="14">
        <v>1.1795495734209847</v>
      </c>
      <c r="L106" s="14">
        <v>0.84778124000312549</v>
      </c>
      <c r="M106" s="14">
        <v>0.69560450742256441</v>
      </c>
      <c r="N106" s="14">
        <v>1.6639076216321844</v>
      </c>
      <c r="O106" s="14">
        <v>319.68657134419158</v>
      </c>
      <c r="P106" s="8">
        <v>1.6639076216321844</v>
      </c>
      <c r="Q106" s="54">
        <v>0.10027691693617526</v>
      </c>
    </row>
    <row r="107" spans="1:17">
      <c r="A107" s="2" t="s">
        <v>492</v>
      </c>
      <c r="B107" s="16" t="s">
        <v>493</v>
      </c>
      <c r="D107" s="14">
        <v>1</v>
      </c>
      <c r="E107" s="14">
        <v>0.43016649240190691</v>
      </c>
      <c r="F107" s="14">
        <v>5.9059384265308455E-2</v>
      </c>
      <c r="G107" s="14">
        <v>1.0517133883054785E-17</v>
      </c>
      <c r="H107" s="14">
        <v>898.81210927748634</v>
      </c>
      <c r="I107" s="14">
        <v>1444.528403125516</v>
      </c>
      <c r="J107" s="14">
        <v>0</v>
      </c>
      <c r="K107" s="14">
        <v>16.932110153871022</v>
      </c>
      <c r="L107" s="14">
        <v>5.9059384265308462E-2</v>
      </c>
      <c r="M107" s="14">
        <v>4.8458224789685589E-2</v>
      </c>
      <c r="N107" s="14">
        <v>74.997862251948703</v>
      </c>
      <c r="O107" s="14">
        <v>34094.028179735884</v>
      </c>
      <c r="P107" s="8">
        <v>74.997862251948703</v>
      </c>
      <c r="Q107" s="54">
        <v>0.3577058852940373</v>
      </c>
    </row>
    <row r="108" spans="1:17">
      <c r="A108" s="2" t="s">
        <v>291</v>
      </c>
      <c r="B108" s="16" t="s">
        <v>494</v>
      </c>
      <c r="D108" s="14">
        <v>1</v>
      </c>
      <c r="E108" s="14">
        <v>0.60964436429166957</v>
      </c>
      <c r="F108" s="14">
        <v>0.5835669143708283</v>
      </c>
      <c r="G108" s="14">
        <v>4.0243815478624881E-12</v>
      </c>
      <c r="H108" s="14">
        <v>59.768266705393835</v>
      </c>
      <c r="I108" s="14">
        <v>138.84422866088966</v>
      </c>
      <c r="J108" s="14">
        <v>0</v>
      </c>
      <c r="K108" s="14">
        <v>1.7135995468114369</v>
      </c>
      <c r="L108" s="14">
        <v>0.5835669143708283</v>
      </c>
      <c r="M108" s="14">
        <v>0.47881665324126466</v>
      </c>
      <c r="N108" s="14">
        <v>7.4572434354940542</v>
      </c>
      <c r="O108" s="14">
        <v>2299.2918684658816</v>
      </c>
      <c r="P108" s="8">
        <v>7.4572434354940551</v>
      </c>
      <c r="Q108" s="54">
        <v>0.26081215774095584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9.4489589553408597E-5</v>
      </c>
      <c r="E2" s="20">
        <v>0.81261072485544916</v>
      </c>
      <c r="F2" s="20">
        <v>3.841122673351534E-3</v>
      </c>
      <c r="G2" s="20">
        <v>1.1188032847159494E-3</v>
      </c>
      <c r="H2" s="20">
        <v>0</v>
      </c>
      <c r="I2" s="20">
        <v>0.80765079889738167</v>
      </c>
      <c r="J2" s="20">
        <v>1.1433613306843543E-3</v>
      </c>
      <c r="K2" s="20">
        <v>0.18615142422431299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1.5881168991487952E-2</v>
      </c>
      <c r="E3" s="20">
        <v>0.40163698733689074</v>
      </c>
      <c r="F3" s="20">
        <v>0.10748718321005583</v>
      </c>
      <c r="G3" s="20">
        <v>0.2912408147745939</v>
      </c>
      <c r="H3" s="20">
        <v>0</v>
      </c>
      <c r="I3" s="20">
        <v>2.9089893522409927E-3</v>
      </c>
      <c r="J3" s="20">
        <v>0.21926593017260051</v>
      </c>
      <c r="K3" s="20">
        <v>0.36321591349902077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6.0901094672980174E-12</v>
      </c>
      <c r="E4" s="20">
        <v>0.53272257547574053</v>
      </c>
      <c r="F4" s="20">
        <v>3.4681615082528316E-2</v>
      </c>
      <c r="G4" s="20">
        <v>8.2793238244406181E-3</v>
      </c>
      <c r="H4" s="20">
        <v>0</v>
      </c>
      <c r="I4" s="20">
        <v>0.48976163656877159</v>
      </c>
      <c r="J4" s="20">
        <v>6.0580953446703906E-3</v>
      </c>
      <c r="K4" s="20">
        <v>0.46121932917349889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5.3319473144908464E-4</v>
      </c>
      <c r="E5" s="20">
        <v>0.41828176104585285</v>
      </c>
      <c r="F5" s="20">
        <v>0.30030327213824209</v>
      </c>
      <c r="G5" s="20">
        <v>8.7147637795840324E-2</v>
      </c>
      <c r="H5" s="20">
        <v>0</v>
      </c>
      <c r="I5" s="20">
        <v>3.0830851111770426E-2</v>
      </c>
      <c r="J5" s="20">
        <v>6.385434574588976E-2</v>
      </c>
      <c r="K5" s="20">
        <v>0.51733069847680824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5.509909564568039E-5</v>
      </c>
      <c r="E6" s="20">
        <v>0.43290530365151647</v>
      </c>
      <c r="F6" s="20">
        <v>7.2999298317711278E-2</v>
      </c>
      <c r="G6" s="20">
        <v>0.35852070437363065</v>
      </c>
      <c r="H6" s="20">
        <v>0</v>
      </c>
      <c r="I6" s="20">
        <v>1.3853009601745411E-3</v>
      </c>
      <c r="J6" s="20">
        <v>0.27190041370178158</v>
      </c>
      <c r="K6" s="20">
        <v>0.29513918355105617</v>
      </c>
      <c r="L6" s="20">
        <v>0</v>
      </c>
    </row>
    <row r="7" spans="1:14">
      <c r="A7" s="2" t="s">
        <v>321</v>
      </c>
      <c r="B7" s="3" t="s">
        <v>322</v>
      </c>
      <c r="D7" s="20">
        <v>7.7890573228017409E-5</v>
      </c>
      <c r="E7" s="20">
        <v>0.41135839692771503</v>
      </c>
      <c r="F7" s="20">
        <v>0.10331398536360664</v>
      </c>
      <c r="G7" s="20">
        <v>0.30538990034924268</v>
      </c>
      <c r="H7" s="20">
        <v>0</v>
      </c>
      <c r="I7" s="20">
        <v>2.6545112148656925E-3</v>
      </c>
      <c r="J7" s="20">
        <v>0.23016429031719721</v>
      </c>
      <c r="K7" s="20">
        <v>0.35839942218185999</v>
      </c>
      <c r="L7" s="20">
        <v>0</v>
      </c>
    </row>
    <row r="8" spans="1:14">
      <c r="A8" s="2" t="s">
        <v>323</v>
      </c>
      <c r="B8" s="3" t="s">
        <v>324</v>
      </c>
      <c r="D8" s="20">
        <v>7.0539233357276609E-4</v>
      </c>
      <c r="E8" s="20">
        <v>0.3918331418563008</v>
      </c>
      <c r="F8" s="20">
        <v>0.15076653376672822</v>
      </c>
      <c r="G8" s="20">
        <v>0.23539677335980239</v>
      </c>
      <c r="H8" s="20">
        <v>0</v>
      </c>
      <c r="I8" s="20">
        <v>5.6698347297702012E-3</v>
      </c>
      <c r="J8" s="20">
        <v>0.17602868911726371</v>
      </c>
      <c r="K8" s="20">
        <v>0.43143277669286267</v>
      </c>
      <c r="L8" s="20">
        <v>0</v>
      </c>
    </row>
    <row r="9" spans="1:14">
      <c r="A9" s="2" t="s">
        <v>325</v>
      </c>
      <c r="B9" s="3" t="s">
        <v>326</v>
      </c>
      <c r="D9" s="20">
        <v>2.7940179009881946E-4</v>
      </c>
      <c r="E9" s="20">
        <v>0.36110283261321374</v>
      </c>
      <c r="F9" s="20">
        <v>0.16462788514581161</v>
      </c>
      <c r="G9" s="20">
        <v>3.2329497510423424E-2</v>
      </c>
      <c r="H9" s="20">
        <v>0</v>
      </c>
      <c r="I9" s="20">
        <v>0.16414544995697869</v>
      </c>
      <c r="J9" s="20">
        <v>2.3282812635081893E-2</v>
      </c>
      <c r="K9" s="20">
        <v>0.61533495296160545</v>
      </c>
      <c r="L9" s="20">
        <v>0</v>
      </c>
    </row>
    <row r="10" spans="1:14">
      <c r="A10" s="2" t="s">
        <v>275</v>
      </c>
      <c r="B10" s="3" t="s">
        <v>276</v>
      </c>
      <c r="D10" s="20">
        <v>6.8196204221425909E-6</v>
      </c>
      <c r="E10" s="20">
        <v>0.41409645068624562</v>
      </c>
      <c r="F10" s="20">
        <v>0.29284271021533387</v>
      </c>
      <c r="G10" s="20">
        <v>9.2710724064763078E-2</v>
      </c>
      <c r="H10" s="20">
        <v>0</v>
      </c>
      <c r="I10" s="20">
        <v>2.854301640614865E-2</v>
      </c>
      <c r="J10" s="20">
        <v>6.80006739778342E-2</v>
      </c>
      <c r="K10" s="20">
        <v>0.5178960557154979</v>
      </c>
      <c r="L10" s="20">
        <v>0</v>
      </c>
    </row>
    <row r="11" spans="1:14">
      <c r="A11" s="2" t="s">
        <v>327</v>
      </c>
      <c r="B11" s="3" t="s">
        <v>328</v>
      </c>
      <c r="D11" s="20">
        <v>3.5242820524963555E-4</v>
      </c>
      <c r="E11" s="20">
        <v>0.4073112973866207</v>
      </c>
      <c r="F11" s="20">
        <v>0.27986260554042564</v>
      </c>
      <c r="G11" s="20">
        <v>0.10243312647400347</v>
      </c>
      <c r="H11" s="20">
        <v>0</v>
      </c>
      <c r="I11" s="20">
        <v>2.5015565372191607E-2</v>
      </c>
      <c r="J11" s="20">
        <v>7.5261847775277294E-2</v>
      </c>
      <c r="K11" s="20">
        <v>0.5170744266328523</v>
      </c>
      <c r="L11" s="20">
        <v>0</v>
      </c>
    </row>
    <row r="12" spans="1:14">
      <c r="A12" s="2" t="s">
        <v>329</v>
      </c>
      <c r="B12" s="3" t="s">
        <v>330</v>
      </c>
      <c r="D12" s="20">
        <v>1.6968404842215151E-4</v>
      </c>
      <c r="E12" s="20">
        <v>0.36881761468476615</v>
      </c>
      <c r="F12" s="20">
        <v>0.20735534381645601</v>
      </c>
      <c r="G12" s="20">
        <v>3.9175160780217017E-2</v>
      </c>
      <c r="H12" s="20">
        <v>0</v>
      </c>
      <c r="I12" s="20">
        <v>0.12228711008809311</v>
      </c>
      <c r="J12" s="20">
        <v>2.8281855067387437E-2</v>
      </c>
      <c r="K12" s="20">
        <v>0.6027308461994243</v>
      </c>
      <c r="L12" s="20">
        <v>0</v>
      </c>
    </row>
    <row r="13" spans="1:14">
      <c r="A13" s="2" t="s">
        <v>277</v>
      </c>
      <c r="B13" s="3" t="s">
        <v>278</v>
      </c>
      <c r="D13" s="20">
        <v>4.4112718970800726E-4</v>
      </c>
      <c r="E13" s="20">
        <v>0.36114410859969359</v>
      </c>
      <c r="F13" s="20">
        <v>0.16843721113133681</v>
      </c>
      <c r="G13" s="20">
        <v>3.2955931950415823E-2</v>
      </c>
      <c r="H13" s="20">
        <v>0</v>
      </c>
      <c r="I13" s="20">
        <v>0.15975096551794099</v>
      </c>
      <c r="J13" s="20">
        <v>2.3738804494500977E-2</v>
      </c>
      <c r="K13" s="20">
        <v>0.61467595971609734</v>
      </c>
      <c r="L13" s="20">
        <v>0</v>
      </c>
    </row>
    <row r="14" spans="1:14">
      <c r="A14" s="2" t="s">
        <v>331</v>
      </c>
      <c r="B14" s="3" t="s">
        <v>332</v>
      </c>
      <c r="D14" s="20">
        <v>2.3117128015740551E-4</v>
      </c>
      <c r="E14" s="20">
        <v>0.39258325834251528</v>
      </c>
      <c r="F14" s="20">
        <v>0.23906064828609463</v>
      </c>
      <c r="G14" s="20">
        <v>0.13718405889006549</v>
      </c>
      <c r="H14" s="20">
        <v>0</v>
      </c>
      <c r="I14" s="20">
        <v>1.6338551166355183E-2</v>
      </c>
      <c r="J14" s="20">
        <v>0.10134194801178407</v>
      </c>
      <c r="K14" s="20">
        <v>0.50584362236554326</v>
      </c>
      <c r="L14" s="20">
        <v>0</v>
      </c>
    </row>
    <row r="15" spans="1:14">
      <c r="A15" s="2" t="s">
        <v>333</v>
      </c>
      <c r="B15" s="3" t="s">
        <v>334</v>
      </c>
      <c r="D15" s="20">
        <v>3.8516183604275905E-7</v>
      </c>
      <c r="E15" s="20">
        <v>0.41066636840408061</v>
      </c>
      <c r="F15" s="20">
        <v>0.28642931421602646</v>
      </c>
      <c r="G15" s="20">
        <v>9.7501886476913435E-2</v>
      </c>
      <c r="H15" s="20">
        <v>0</v>
      </c>
      <c r="I15" s="20">
        <v>2.6735167711140713E-2</v>
      </c>
      <c r="J15" s="20">
        <v>7.1576639967581346E-2</v>
      </c>
      <c r="K15" s="20">
        <v>0.51775660646650212</v>
      </c>
      <c r="L15" s="20">
        <v>0</v>
      </c>
    </row>
    <row r="16" spans="1:14">
      <c r="A16" s="2" t="s">
        <v>335</v>
      </c>
      <c r="B16" s="3" t="s">
        <v>336</v>
      </c>
      <c r="D16" s="20">
        <v>1.8286259464742505E-3</v>
      </c>
      <c r="E16" s="20">
        <v>0.39082411366274683</v>
      </c>
      <c r="F16" s="20">
        <v>0.15296747311584416</v>
      </c>
      <c r="G16" s="20">
        <v>0.23200355944031117</v>
      </c>
      <c r="H16" s="20">
        <v>0</v>
      </c>
      <c r="I16" s="20">
        <v>5.8530811065914679E-3</v>
      </c>
      <c r="J16" s="20">
        <v>0.17342964765671348</v>
      </c>
      <c r="K16" s="20">
        <v>0.43391761273406554</v>
      </c>
      <c r="L16" s="20">
        <v>0</v>
      </c>
    </row>
    <row r="17" spans="1:12">
      <c r="A17" s="2" t="s">
        <v>337</v>
      </c>
      <c r="B17" s="3" t="s">
        <v>338</v>
      </c>
      <c r="D17" s="20">
        <v>1.3676870413184008E-4</v>
      </c>
      <c r="E17" s="20">
        <v>0.41694501643036208</v>
      </c>
      <c r="F17" s="20">
        <v>0.29789344504012644</v>
      </c>
      <c r="G17" s="20">
        <v>8.8993134219363917E-2</v>
      </c>
      <c r="H17" s="20">
        <v>0</v>
      </c>
      <c r="I17" s="20">
        <v>3.0058437170871734E-2</v>
      </c>
      <c r="J17" s="20">
        <v>6.522898147455386E-2</v>
      </c>
      <c r="K17" s="20">
        <v>0.5176892333909523</v>
      </c>
      <c r="L17" s="20">
        <v>0</v>
      </c>
    </row>
    <row r="18" spans="1:12">
      <c r="A18" s="2" t="s">
        <v>279</v>
      </c>
      <c r="B18" s="3" t="s">
        <v>280</v>
      </c>
      <c r="D18" s="20">
        <v>7.8321488161607871E-3</v>
      </c>
      <c r="E18" s="20">
        <v>0.35961229341635426</v>
      </c>
      <c r="F18" s="20">
        <v>0.14687745733830446</v>
      </c>
      <c r="G18" s="20">
        <v>2.932585622417478E-2</v>
      </c>
      <c r="H18" s="20">
        <v>0</v>
      </c>
      <c r="I18" s="20">
        <v>0.18340897985387503</v>
      </c>
      <c r="J18" s="20">
        <v>2.1102203757652573E-2</v>
      </c>
      <c r="K18" s="20">
        <v>0.61145335400983247</v>
      </c>
      <c r="L18" s="20">
        <v>0</v>
      </c>
    </row>
    <row r="19" spans="1:12">
      <c r="A19" s="2" t="s">
        <v>339</v>
      </c>
      <c r="B19" s="3" t="s">
        <v>340</v>
      </c>
      <c r="D19" s="20">
        <v>1.3489102017756157E-6</v>
      </c>
      <c r="E19" s="20">
        <v>0.41000583700739468</v>
      </c>
      <c r="F19" s="20">
        <v>0.28513941491752798</v>
      </c>
      <c r="G19" s="20">
        <v>9.8481081549072577E-2</v>
      </c>
      <c r="H19" s="20">
        <v>0</v>
      </c>
      <c r="I19" s="20">
        <v>2.6385340540794135E-2</v>
      </c>
      <c r="J19" s="20">
        <v>7.2307982587419495E-2</v>
      </c>
      <c r="K19" s="20">
        <v>0.51768483149498401</v>
      </c>
      <c r="L19" s="20">
        <v>0</v>
      </c>
    </row>
    <row r="20" spans="1:12">
      <c r="A20" s="2" t="s">
        <v>281</v>
      </c>
      <c r="B20" s="3" t="s">
        <v>282</v>
      </c>
      <c r="D20" s="20">
        <v>6.6792306357668719E-5</v>
      </c>
      <c r="E20" s="20">
        <v>0.36127935709924947</v>
      </c>
      <c r="F20" s="20">
        <v>0.16850029088131036</v>
      </c>
      <c r="G20" s="20">
        <v>3.2968273949749667E-2</v>
      </c>
      <c r="H20" s="20">
        <v>0</v>
      </c>
      <c r="I20" s="20">
        <v>0.15981079226818945</v>
      </c>
      <c r="J20" s="20">
        <v>2.3747694678814324E-2</v>
      </c>
      <c r="K20" s="20">
        <v>0.61490615591557851</v>
      </c>
      <c r="L20" s="20">
        <v>0</v>
      </c>
    </row>
    <row r="21" spans="1:12">
      <c r="A21" s="2" t="s">
        <v>341</v>
      </c>
      <c r="B21" s="3" t="s">
        <v>342</v>
      </c>
      <c r="D21" s="20">
        <v>1.9393208512972235E-3</v>
      </c>
      <c r="E21" s="20">
        <v>0.39526808753228415</v>
      </c>
      <c r="F21" s="20">
        <v>0.25056700494398759</v>
      </c>
      <c r="G21" s="20">
        <v>0.12618840100110754</v>
      </c>
      <c r="H21" s="20">
        <v>0</v>
      </c>
      <c r="I21" s="20">
        <v>1.851268158718905E-2</v>
      </c>
      <c r="J21" s="20">
        <v>9.3072129970916462E-2</v>
      </c>
      <c r="K21" s="20">
        <v>0.50972046164550211</v>
      </c>
      <c r="L21" s="20">
        <v>0</v>
      </c>
    </row>
    <row r="22" spans="1:12">
      <c r="A22" s="2" t="s">
        <v>343</v>
      </c>
      <c r="B22" s="3" t="s">
        <v>344</v>
      </c>
      <c r="D22" s="20">
        <v>2.2629016397964536E-3</v>
      </c>
      <c r="E22" s="20">
        <v>0.66746165305671457</v>
      </c>
      <c r="F22" s="20">
        <v>1.3859255207382166E-2</v>
      </c>
      <c r="G22" s="20">
        <v>3.6143936235846497E-3</v>
      </c>
      <c r="H22" s="20">
        <v>0</v>
      </c>
      <c r="I22" s="20">
        <v>0.64998800422574776</v>
      </c>
      <c r="J22" s="20">
        <v>2.8231206242274572E-3</v>
      </c>
      <c r="K22" s="20">
        <v>0.32745232467926133</v>
      </c>
      <c r="L22" s="20">
        <v>0</v>
      </c>
    </row>
    <row r="23" spans="1:12">
      <c r="A23" s="2" t="s">
        <v>345</v>
      </c>
      <c r="B23" s="3" t="s">
        <v>346</v>
      </c>
      <c r="D23" s="20">
        <v>8.9194454573630108E-5</v>
      </c>
      <c r="E23" s="20">
        <v>0.76800709726461713</v>
      </c>
      <c r="F23" s="20">
        <v>6.1124042498620634E-3</v>
      </c>
      <c r="G23" s="20">
        <v>1.7128038259294888E-3</v>
      </c>
      <c r="H23" s="20">
        <v>0</v>
      </c>
      <c r="I23" s="20">
        <v>0.76018188918882557</v>
      </c>
      <c r="J23" s="20">
        <v>1.536714500786186E-3</v>
      </c>
      <c r="K23" s="20">
        <v>0.23036699378002312</v>
      </c>
      <c r="L23" s="20">
        <v>0</v>
      </c>
    </row>
    <row r="24" spans="1:12">
      <c r="A24" s="2" t="s">
        <v>347</v>
      </c>
      <c r="B24" s="3" t="s">
        <v>348</v>
      </c>
      <c r="D24" s="20">
        <v>1.3306423585171634E-4</v>
      </c>
      <c r="E24" s="20">
        <v>0.41526356187485713</v>
      </c>
      <c r="F24" s="20">
        <v>7.7399037348889158E-2</v>
      </c>
      <c r="G24" s="20">
        <v>1.6882280606006956E-2</v>
      </c>
      <c r="H24" s="20">
        <v>0</v>
      </c>
      <c r="I24" s="20">
        <v>0.320982243919961</v>
      </c>
      <c r="J24" s="20">
        <v>1.2145220773520921E-2</v>
      </c>
      <c r="K24" s="20">
        <v>0.5724581531157702</v>
      </c>
      <c r="L24" s="20">
        <v>0</v>
      </c>
    </row>
    <row r="25" spans="1:12">
      <c r="A25" s="2" t="s">
        <v>349</v>
      </c>
      <c r="B25" s="3" t="s">
        <v>350</v>
      </c>
      <c r="D25" s="20">
        <v>4.8942024621547404E-2</v>
      </c>
      <c r="E25" s="20">
        <v>0.3789775450540902</v>
      </c>
      <c r="F25" s="20">
        <v>0.25606849327496767</v>
      </c>
      <c r="G25" s="20">
        <v>4.6031136898688728E-2</v>
      </c>
      <c r="H25" s="20">
        <v>0</v>
      </c>
      <c r="I25" s="20">
        <v>7.6877914880433829E-2</v>
      </c>
      <c r="J25" s="20">
        <v>3.335890091829076E-2</v>
      </c>
      <c r="K25" s="20">
        <v>0.53872152940607165</v>
      </c>
      <c r="L25" s="20">
        <v>0</v>
      </c>
    </row>
    <row r="26" spans="1:12">
      <c r="A26" s="2" t="s">
        <v>351</v>
      </c>
      <c r="B26" s="3" t="s">
        <v>352</v>
      </c>
      <c r="D26" s="20">
        <v>1.561460661614068E-3</v>
      </c>
      <c r="E26" s="20">
        <v>0.39808153036358118</v>
      </c>
      <c r="F26" s="20">
        <v>0.25858615126782986</v>
      </c>
      <c r="G26" s="20">
        <v>0.11937154575929851</v>
      </c>
      <c r="H26" s="20">
        <v>0</v>
      </c>
      <c r="I26" s="20">
        <v>2.0123833336452828E-2</v>
      </c>
      <c r="J26" s="20">
        <v>8.795190361591633E-2</v>
      </c>
      <c r="K26" s="20">
        <v>0.51240510535888839</v>
      </c>
      <c r="L26" s="20">
        <v>0</v>
      </c>
    </row>
    <row r="27" spans="1:12">
      <c r="A27" s="2" t="s">
        <v>353</v>
      </c>
      <c r="B27" s="3" t="s">
        <v>354</v>
      </c>
      <c r="D27" s="20">
        <v>1.0995787129587991E-2</v>
      </c>
      <c r="E27" s="20">
        <v>0.40106294556962474</v>
      </c>
      <c r="F27" s="20">
        <v>0.11303177263171577</v>
      </c>
      <c r="G27" s="20">
        <v>0.28483679727715772</v>
      </c>
      <c r="H27" s="20">
        <v>0</v>
      </c>
      <c r="I27" s="20">
        <v>3.1943756607512534E-3</v>
      </c>
      <c r="J27" s="20">
        <v>0.21425363506833081</v>
      </c>
      <c r="K27" s="20">
        <v>0.37368763223245643</v>
      </c>
      <c r="L27" s="20">
        <v>0</v>
      </c>
    </row>
    <row r="28" spans="1:12">
      <c r="A28" s="2" t="s">
        <v>355</v>
      </c>
      <c r="B28" s="3" t="s">
        <v>356</v>
      </c>
      <c r="D28" s="20">
        <v>5.8048978827163417E-4</v>
      </c>
      <c r="E28" s="20">
        <v>0.38701220289361288</v>
      </c>
      <c r="F28" s="20">
        <v>0.203361529275393</v>
      </c>
      <c r="G28" s="20">
        <v>0.17264911419889456</v>
      </c>
      <c r="H28" s="20">
        <v>0</v>
      </c>
      <c r="I28" s="20">
        <v>1.1001559419325319E-2</v>
      </c>
      <c r="J28" s="20">
        <v>0.12814910551055642</v>
      </c>
      <c r="K28" s="20">
        <v>0.48425820180755896</v>
      </c>
      <c r="L28" s="20">
        <v>0</v>
      </c>
    </row>
    <row r="29" spans="1:12">
      <c r="A29" s="2" t="s">
        <v>357</v>
      </c>
      <c r="B29" s="3" t="s">
        <v>358</v>
      </c>
      <c r="D29" s="20">
        <v>0.10783315157606822</v>
      </c>
      <c r="E29" s="20">
        <v>0.35125408646025302</v>
      </c>
      <c r="F29" s="20">
        <v>0.21688350000688156</v>
      </c>
      <c r="G29" s="20">
        <v>0.11915768812534751</v>
      </c>
      <c r="H29" s="20">
        <v>0</v>
      </c>
      <c r="I29" s="20">
        <v>1.521289832802398E-2</v>
      </c>
      <c r="J29" s="20">
        <v>8.7978995193409293E-2</v>
      </c>
      <c r="K29" s="20">
        <v>0.45293376677026964</v>
      </c>
      <c r="L29" s="20">
        <v>0</v>
      </c>
    </row>
    <row r="30" spans="1:12">
      <c r="A30" s="2" t="s">
        <v>359</v>
      </c>
      <c r="B30" s="3" t="s">
        <v>360</v>
      </c>
      <c r="D30" s="20">
        <v>5.8048978827163417E-4</v>
      </c>
      <c r="E30" s="20">
        <v>0.38701220289361288</v>
      </c>
      <c r="F30" s="20">
        <v>0.203361529275393</v>
      </c>
      <c r="G30" s="20">
        <v>0.17264911419889456</v>
      </c>
      <c r="H30" s="20">
        <v>0</v>
      </c>
      <c r="I30" s="20">
        <v>1.1001559419325319E-2</v>
      </c>
      <c r="J30" s="20">
        <v>0.12814910551055642</v>
      </c>
      <c r="K30" s="20">
        <v>0.48425820180755896</v>
      </c>
      <c r="L30" s="20">
        <v>0</v>
      </c>
    </row>
    <row r="31" spans="1:12">
      <c r="A31" s="2" t="s">
        <v>283</v>
      </c>
      <c r="B31" s="3" t="s">
        <v>284</v>
      </c>
      <c r="D31" s="20">
        <v>2.6135999286100201E-8</v>
      </c>
      <c r="E31" s="20">
        <v>0.97623885846522473</v>
      </c>
      <c r="F31" s="20">
        <v>5.9856776453404052E-5</v>
      </c>
      <c r="G31" s="20">
        <v>2.4021984359382619E-5</v>
      </c>
      <c r="H31" s="20">
        <v>0</v>
      </c>
      <c r="I31" s="20">
        <v>0.9761549797044119</v>
      </c>
      <c r="J31" s="20">
        <v>4.6296146271395826E-4</v>
      </c>
      <c r="K31" s="20">
        <v>2.3298153936061973E-2</v>
      </c>
      <c r="L31" s="20">
        <v>0</v>
      </c>
    </row>
    <row r="32" spans="1:12">
      <c r="A32" s="2" t="s">
        <v>361</v>
      </c>
      <c r="B32" s="3" t="s">
        <v>362</v>
      </c>
      <c r="D32" s="20">
        <v>2.7158738873008908E-8</v>
      </c>
      <c r="E32" s="20">
        <v>0.58575264266763916</v>
      </c>
      <c r="F32" s="20">
        <v>2.4852032013366547E-2</v>
      </c>
      <c r="G32" s="20">
        <v>6.1274611425594554E-3</v>
      </c>
      <c r="H32" s="20">
        <v>0</v>
      </c>
      <c r="I32" s="20">
        <v>0.55477314951171319</v>
      </c>
      <c r="J32" s="20">
        <v>4.6159710885401535E-3</v>
      </c>
      <c r="K32" s="20">
        <v>0.40963135908508169</v>
      </c>
      <c r="L32" s="20">
        <v>0</v>
      </c>
    </row>
    <row r="33" spans="1:12">
      <c r="A33" s="2" t="s">
        <v>364</v>
      </c>
      <c r="B33" s="3" t="s">
        <v>365</v>
      </c>
      <c r="D33" s="20">
        <v>1.206944547029486E-10</v>
      </c>
      <c r="E33" s="20">
        <v>0.99947927523177515</v>
      </c>
      <c r="F33" s="20">
        <v>4.201512741419772E-4</v>
      </c>
      <c r="G33" s="20">
        <v>1.2847925438100264E-7</v>
      </c>
      <c r="H33" s="20">
        <v>0</v>
      </c>
      <c r="I33" s="20">
        <v>0.99905899547837884</v>
      </c>
      <c r="J33" s="20">
        <v>4.6361024499063909E-4</v>
      </c>
      <c r="K33" s="20">
        <v>5.7114402539553877E-5</v>
      </c>
      <c r="L33" s="20">
        <v>0</v>
      </c>
    </row>
    <row r="34" spans="1:12">
      <c r="A34" s="2" t="s">
        <v>285</v>
      </c>
      <c r="B34" s="3" t="s">
        <v>286</v>
      </c>
      <c r="D34" s="20">
        <v>6.0252052112486425E-10</v>
      </c>
      <c r="E34" s="20">
        <v>0.99844945709452348</v>
      </c>
      <c r="F34" s="20">
        <v>7.5903148552398575E-2</v>
      </c>
      <c r="G34" s="20">
        <v>6.2335335097586214E-6</v>
      </c>
      <c r="H34" s="20">
        <v>0</v>
      </c>
      <c r="I34" s="20">
        <v>0.92254007500861512</v>
      </c>
      <c r="J34" s="20">
        <v>1.2237687282817807E-3</v>
      </c>
      <c r="K34" s="20">
        <v>3.2677357467414571E-4</v>
      </c>
      <c r="L34" s="20">
        <v>0</v>
      </c>
    </row>
    <row r="35" spans="1:12">
      <c r="A35" s="2" t="s">
        <v>287</v>
      </c>
      <c r="B35" s="3" t="s">
        <v>288</v>
      </c>
      <c r="D35" s="20">
        <v>2.6523452595005502E-11</v>
      </c>
      <c r="E35" s="20">
        <v>0.99670951841270616</v>
      </c>
      <c r="F35" s="20">
        <v>0.17129647426104763</v>
      </c>
      <c r="G35" s="20">
        <v>3.317231240442013E-5</v>
      </c>
      <c r="H35" s="20">
        <v>0</v>
      </c>
      <c r="I35" s="20">
        <v>0.8253798718392541</v>
      </c>
      <c r="J35" s="20">
        <v>2.095150025280637E-3</v>
      </c>
      <c r="K35" s="20">
        <v>1.1953315354899349E-3</v>
      </c>
      <c r="L35" s="20">
        <v>0</v>
      </c>
    </row>
    <row r="36" spans="1:12">
      <c r="A36" s="2" t="s">
        <v>366</v>
      </c>
      <c r="B36" s="3" t="s">
        <v>305</v>
      </c>
      <c r="D36" s="20">
        <v>9.2592935302815671E-8</v>
      </c>
      <c r="E36" s="20">
        <v>0.99296446734953125</v>
      </c>
      <c r="F36" s="20">
        <v>0.44765050637663562</v>
      </c>
      <c r="G36" s="20">
        <v>1.2816837072250926E-4</v>
      </c>
      <c r="H36" s="20">
        <v>0</v>
      </c>
      <c r="I36" s="20">
        <v>0.54518579260217315</v>
      </c>
      <c r="J36" s="20">
        <v>4.3900269921299901E-3</v>
      </c>
      <c r="K36" s="20">
        <v>2.6454130654034015E-3</v>
      </c>
      <c r="L36" s="20">
        <v>0</v>
      </c>
    </row>
    <row r="37" spans="1:12">
      <c r="A37" s="2" t="s">
        <v>289</v>
      </c>
      <c r="B37" s="3" t="s">
        <v>290</v>
      </c>
      <c r="D37" s="20">
        <v>1.1841686212936529E-14</v>
      </c>
      <c r="E37" s="20">
        <v>0.79354530824017788</v>
      </c>
      <c r="F37" s="20">
        <v>0.19689467463862995</v>
      </c>
      <c r="G37" s="20">
        <v>6.7220768159894301E-3</v>
      </c>
      <c r="H37" s="20">
        <v>0</v>
      </c>
      <c r="I37" s="20">
        <v>0.58992855678555856</v>
      </c>
      <c r="J37" s="20">
        <v>6.6452062327349666E-3</v>
      </c>
      <c r="K37" s="20">
        <v>0.19980948552707534</v>
      </c>
      <c r="L37" s="20">
        <v>0</v>
      </c>
    </row>
    <row r="38" spans="1:12">
      <c r="A38" s="2" t="s">
        <v>291</v>
      </c>
      <c r="B38" s="3" t="s">
        <v>292</v>
      </c>
      <c r="D38" s="20">
        <v>1.8403539080884735E-12</v>
      </c>
      <c r="E38" s="20">
        <v>0.99604424929823454</v>
      </c>
      <c r="F38" s="20">
        <v>5.857964769960896E-2</v>
      </c>
      <c r="G38" s="20">
        <v>4.8939981763589885E-5</v>
      </c>
      <c r="H38" s="20">
        <v>0</v>
      </c>
      <c r="I38" s="20">
        <v>0.93741566161686196</v>
      </c>
      <c r="J38" s="20">
        <v>1.0877686177210477E-3</v>
      </c>
      <c r="K38" s="20">
        <v>2.8679820822039934E-3</v>
      </c>
      <c r="L38" s="20">
        <v>0</v>
      </c>
    </row>
    <row r="39" spans="1:12">
      <c r="A39" s="2" t="s">
        <v>367</v>
      </c>
      <c r="B39" s="3" t="s">
        <v>368</v>
      </c>
      <c r="D39" s="20">
        <v>6.661352850560459E-5</v>
      </c>
      <c r="E39" s="20">
        <v>0.45000883028906297</v>
      </c>
      <c r="F39" s="20">
        <v>0.3425600029189293</v>
      </c>
      <c r="G39" s="20">
        <v>5.9831819359455751E-2</v>
      </c>
      <c r="H39" s="20">
        <v>0</v>
      </c>
      <c r="I39" s="20">
        <v>4.7617008010677898E-2</v>
      </c>
      <c r="J39" s="20">
        <v>4.3581522168522367E-2</v>
      </c>
      <c r="K39" s="20">
        <v>0.50634303401390912</v>
      </c>
      <c r="L39" s="20">
        <v>0</v>
      </c>
    </row>
    <row r="40" spans="1:12">
      <c r="A40" s="2" t="s">
        <v>369</v>
      </c>
      <c r="B40" s="3" t="s">
        <v>370</v>
      </c>
      <c r="D40" s="20">
        <v>5.6654804364814487E-12</v>
      </c>
      <c r="E40" s="20">
        <v>0.61053902765509449</v>
      </c>
      <c r="F40" s="20">
        <v>0.56356801280076096</v>
      </c>
      <c r="G40" s="20">
        <v>4.0772440931032043E-2</v>
      </c>
      <c r="H40" s="20">
        <v>0</v>
      </c>
      <c r="I40" s="20">
        <v>6.1985739233014472E-3</v>
      </c>
      <c r="J40" s="20">
        <v>0.37173217225614036</v>
      </c>
      <c r="K40" s="20">
        <v>1.7728800083099627E-2</v>
      </c>
      <c r="L40" s="20">
        <v>0</v>
      </c>
    </row>
    <row r="41" spans="1:12">
      <c r="A41" s="2" t="s">
        <v>371</v>
      </c>
      <c r="B41" s="3" t="s">
        <v>372</v>
      </c>
      <c r="D41" s="20">
        <v>8.1513354695359447E-2</v>
      </c>
      <c r="E41" s="20">
        <v>0.91350392898904409</v>
      </c>
      <c r="F41" s="20">
        <v>2.7867819045175974E-6</v>
      </c>
      <c r="G41" s="20">
        <v>1.3950781515054159E-6</v>
      </c>
      <c r="H41" s="20">
        <v>0</v>
      </c>
      <c r="I41" s="20">
        <v>0.91349974712898807</v>
      </c>
      <c r="J41" s="20">
        <v>4.1907852502721151E-4</v>
      </c>
      <c r="K41" s="20">
        <v>4.5636377905693215E-3</v>
      </c>
      <c r="L41" s="20">
        <v>0</v>
      </c>
    </row>
    <row r="42" spans="1:12">
      <c r="A42" s="2" t="s">
        <v>293</v>
      </c>
      <c r="B42" s="3" t="s">
        <v>294</v>
      </c>
      <c r="D42" s="20">
        <v>2.0737137253290555E-8</v>
      </c>
      <c r="E42" s="20">
        <v>0.64384519278036756</v>
      </c>
      <c r="F42" s="20">
        <v>1.6635008114205554E-2</v>
      </c>
      <c r="G42" s="20">
        <v>4.2669600075485072E-3</v>
      </c>
      <c r="H42" s="20">
        <v>0</v>
      </c>
      <c r="I42" s="20">
        <v>0.62294322465861351</v>
      </c>
      <c r="J42" s="20">
        <v>3.27140778010336E-3</v>
      </c>
      <c r="K42" s="20">
        <v>0.35288337870239184</v>
      </c>
      <c r="L42" s="20">
        <v>0</v>
      </c>
    </row>
    <row r="43" spans="1:12">
      <c r="A43" s="2" t="s">
        <v>373</v>
      </c>
      <c r="B43" s="3" t="s">
        <v>374</v>
      </c>
      <c r="D43" s="20">
        <v>3.9178039423793984E-7</v>
      </c>
      <c r="E43" s="20">
        <v>0.980167993500907</v>
      </c>
      <c r="F43" s="20">
        <v>0.89904738442857945</v>
      </c>
      <c r="G43" s="20">
        <v>7.5910963426717502E-4</v>
      </c>
      <c r="H43" s="20">
        <v>0</v>
      </c>
      <c r="I43" s="20">
        <v>8.0361499438060341E-2</v>
      </c>
      <c r="J43" s="20">
        <v>1.5999688540112324E-2</v>
      </c>
      <c r="K43" s="20">
        <v>3.8319261785862836E-3</v>
      </c>
      <c r="L43" s="20">
        <v>0</v>
      </c>
    </row>
    <row r="44" spans="1:12">
      <c r="A44" s="2" t="s">
        <v>375</v>
      </c>
      <c r="B44" s="3" t="s">
        <v>376</v>
      </c>
      <c r="D44" s="20">
        <v>8.6846967852650128E-2</v>
      </c>
      <c r="E44" s="20">
        <v>0.7825903276112155</v>
      </c>
      <c r="F44" s="20">
        <v>1.9853124913336846E-3</v>
      </c>
      <c r="G44" s="20">
        <v>6.0551433690176693E-4</v>
      </c>
      <c r="H44" s="20">
        <v>0</v>
      </c>
      <c r="I44" s="20">
        <v>0.77999950078298008</v>
      </c>
      <c r="J44" s="20">
        <v>7.7395116044319014E-4</v>
      </c>
      <c r="K44" s="20">
        <v>0.12978875337569118</v>
      </c>
      <c r="L44" s="20">
        <v>0</v>
      </c>
    </row>
    <row r="45" spans="1:12">
      <c r="A45" s="2" t="s">
        <v>377</v>
      </c>
      <c r="B45" s="3" t="s">
        <v>378</v>
      </c>
      <c r="D45" s="20">
        <v>8.0946830910374752E-4</v>
      </c>
      <c r="E45" s="20">
        <v>0.62060129524966057</v>
      </c>
      <c r="F45" s="20">
        <v>1.9447960581183994E-2</v>
      </c>
      <c r="G45" s="20">
        <v>4.9155217369932407E-3</v>
      </c>
      <c r="H45" s="20">
        <v>0</v>
      </c>
      <c r="I45" s="20">
        <v>0.59623781293148337</v>
      </c>
      <c r="J45" s="20">
        <v>3.7178853283677052E-3</v>
      </c>
      <c r="K45" s="20">
        <v>0.37487135111286796</v>
      </c>
      <c r="L45" s="20">
        <v>0</v>
      </c>
    </row>
    <row r="46" spans="1:12">
      <c r="A46" s="2" t="s">
        <v>379</v>
      </c>
      <c r="B46" s="3" t="s">
        <v>380</v>
      </c>
      <c r="D46" s="20">
        <v>2.393544173418203E-3</v>
      </c>
      <c r="E46" s="20">
        <v>0.6338318095303821</v>
      </c>
      <c r="F46" s="20">
        <v>1.7608228354715351E-2</v>
      </c>
      <c r="G46" s="20">
        <v>4.4917049134101002E-3</v>
      </c>
      <c r="H46" s="20">
        <v>0</v>
      </c>
      <c r="I46" s="20">
        <v>0.61173187626225667</v>
      </c>
      <c r="J46" s="20">
        <v>3.4252094237634625E-3</v>
      </c>
      <c r="K46" s="20">
        <v>0.36034943687243626</v>
      </c>
      <c r="L46" s="20">
        <v>0</v>
      </c>
    </row>
    <row r="47" spans="1:12">
      <c r="A47" s="2" t="s">
        <v>381</v>
      </c>
      <c r="B47" s="3" t="s">
        <v>382</v>
      </c>
      <c r="D47" s="20">
        <v>1.8959847624183244E-7</v>
      </c>
      <c r="E47" s="20">
        <v>0.40811830698894136</v>
      </c>
      <c r="F47" s="20">
        <v>0.10922173160785703</v>
      </c>
      <c r="G47" s="20">
        <v>0.29594064291740008</v>
      </c>
      <c r="H47" s="20">
        <v>0</v>
      </c>
      <c r="I47" s="20">
        <v>2.9559324636842387E-3</v>
      </c>
      <c r="J47" s="20">
        <v>0.22280428103932678</v>
      </c>
      <c r="K47" s="20">
        <v>0.36907722237325569</v>
      </c>
      <c r="L47" s="20">
        <v>0</v>
      </c>
    </row>
    <row r="48" spans="1:12">
      <c r="A48" s="2" t="s">
        <v>383</v>
      </c>
      <c r="B48" s="3" t="s">
        <v>384</v>
      </c>
      <c r="D48" s="20">
        <v>1.1817704097509124E-2</v>
      </c>
      <c r="E48" s="20">
        <v>0.91074089415437287</v>
      </c>
      <c r="F48" s="20">
        <v>6.3096798861700994E-4</v>
      </c>
      <c r="G48" s="20">
        <v>2.117887474007904E-4</v>
      </c>
      <c r="H48" s="20">
        <v>0</v>
      </c>
      <c r="I48" s="20">
        <v>0.90989813741835512</v>
      </c>
      <c r="J48" s="20">
        <v>5.6102333083020482E-4</v>
      </c>
      <c r="K48" s="20">
        <v>7.6880378417287745E-2</v>
      </c>
      <c r="L48" s="20">
        <v>0</v>
      </c>
    </row>
    <row r="49" spans="1:12">
      <c r="A49" s="2" t="s">
        <v>385</v>
      </c>
      <c r="B49" s="3" t="s">
        <v>386</v>
      </c>
      <c r="D49" s="20">
        <v>2.219585385954451E-2</v>
      </c>
      <c r="E49" s="20">
        <v>0.87493138813293181</v>
      </c>
      <c r="F49" s="20">
        <v>1.13173845158638E-3</v>
      </c>
      <c r="G49" s="20">
        <v>3.6277857199826832E-4</v>
      </c>
      <c r="H49" s="20">
        <v>0</v>
      </c>
      <c r="I49" s="20">
        <v>0.8734368711093472</v>
      </c>
      <c r="J49" s="20">
        <v>6.4843160040319514E-4</v>
      </c>
      <c r="K49" s="20">
        <v>0.10222432640712054</v>
      </c>
      <c r="L49" s="20">
        <v>0</v>
      </c>
    </row>
    <row r="50" spans="1:12">
      <c r="A50" s="2" t="s">
        <v>387</v>
      </c>
      <c r="B50" s="3" t="s">
        <v>388</v>
      </c>
      <c r="D50" s="20">
        <v>1.6467022988434762E-2</v>
      </c>
      <c r="E50" s="20">
        <v>0.35750241572140512</v>
      </c>
      <c r="F50" s="20">
        <v>0.14037485047942805</v>
      </c>
      <c r="G50" s="20">
        <v>2.8182846942515303E-2</v>
      </c>
      <c r="H50" s="20">
        <v>0</v>
      </c>
      <c r="I50" s="20">
        <v>0.18894471829946174</v>
      </c>
      <c r="J50" s="20">
        <v>2.02748847519338E-2</v>
      </c>
      <c r="K50" s="20">
        <v>0.60575567653822637</v>
      </c>
      <c r="L50" s="20">
        <v>0</v>
      </c>
    </row>
    <row r="51" spans="1:12">
      <c r="A51" s="2" t="s">
        <v>295</v>
      </c>
      <c r="B51" s="3" t="s">
        <v>296</v>
      </c>
      <c r="D51" s="20">
        <v>6.5399039811241039E-2</v>
      </c>
      <c r="E51" s="20">
        <v>0.90464501980948742</v>
      </c>
      <c r="F51" s="20">
        <v>1.0107542751990053E-4</v>
      </c>
      <c r="G51" s="20">
        <v>3.8809776554899778E-5</v>
      </c>
      <c r="H51" s="20">
        <v>0</v>
      </c>
      <c r="I51" s="20">
        <v>0.9045051346054126</v>
      </c>
      <c r="J51" s="20">
        <v>4.401937989647447E-4</v>
      </c>
      <c r="K51" s="20">
        <v>2.951574658030677E-2</v>
      </c>
      <c r="L51" s="20">
        <v>0</v>
      </c>
    </row>
    <row r="52" spans="1:12">
      <c r="A52" s="2" t="s">
        <v>389</v>
      </c>
      <c r="B52" s="3" t="s">
        <v>390</v>
      </c>
      <c r="D52" s="20">
        <v>7.1492240967238427E-2</v>
      </c>
      <c r="E52" s="20">
        <v>0.7564027587497808</v>
      </c>
      <c r="F52" s="20">
        <v>3.4876518484803698E-3</v>
      </c>
      <c r="G52" s="20">
        <v>1.0177208705831184E-3</v>
      </c>
      <c r="H52" s="20">
        <v>0</v>
      </c>
      <c r="I52" s="20">
        <v>0.75189738603071732</v>
      </c>
      <c r="J52" s="20">
        <v>1.0478190153734948E-3</v>
      </c>
      <c r="K52" s="20">
        <v>0.17105718126760727</v>
      </c>
      <c r="L52" s="20">
        <v>0</v>
      </c>
    </row>
    <row r="53" spans="1:12">
      <c r="A53" s="2" t="s">
        <v>391</v>
      </c>
      <c r="B53" s="3" t="s">
        <v>392</v>
      </c>
      <c r="D53" s="20">
        <v>2.6391365229712703E-3</v>
      </c>
      <c r="E53" s="20">
        <v>0.54809515972145972</v>
      </c>
      <c r="F53" s="20">
        <v>3.1055324516354982E-2</v>
      </c>
      <c r="G53" s="20">
        <v>7.4960353715268014E-3</v>
      </c>
      <c r="H53" s="20">
        <v>0</v>
      </c>
      <c r="I53" s="20">
        <v>0.50954379983357789</v>
      </c>
      <c r="J53" s="20">
        <v>5.5096837622683002E-3</v>
      </c>
      <c r="K53" s="20">
        <v>0.44375601999330061</v>
      </c>
      <c r="L53" s="20">
        <v>0</v>
      </c>
    </row>
    <row r="54" spans="1:12">
      <c r="A54" s="2" t="s">
        <v>393</v>
      </c>
      <c r="B54" s="3" t="s">
        <v>394</v>
      </c>
      <c r="D54" s="20">
        <v>8.5747340582768773E-4</v>
      </c>
      <c r="E54" s="20">
        <v>0.39906201145171522</v>
      </c>
      <c r="F54" s="20">
        <v>0.12796608235661106</v>
      </c>
      <c r="G54" s="20">
        <v>0.26704867637175234</v>
      </c>
      <c r="H54" s="20">
        <v>0</v>
      </c>
      <c r="I54" s="20">
        <v>4.0472527233518423E-3</v>
      </c>
      <c r="J54" s="20">
        <v>0.20040912573176828</v>
      </c>
      <c r="K54" s="20">
        <v>0.3996713894106888</v>
      </c>
      <c r="L54" s="20">
        <v>0</v>
      </c>
    </row>
    <row r="55" spans="1:12">
      <c r="A55" s="2" t="s">
        <v>395</v>
      </c>
      <c r="B55" s="3" t="s">
        <v>396</v>
      </c>
      <c r="D55" s="20">
        <v>0.22697108708878674</v>
      </c>
      <c r="E55" s="20">
        <v>0.31284594511042413</v>
      </c>
      <c r="F55" s="20">
        <v>6.5379975368023716E-2</v>
      </c>
      <c r="G55" s="20">
        <v>1.4103935331478246E-2</v>
      </c>
      <c r="H55" s="20">
        <v>0</v>
      </c>
      <c r="I55" s="20">
        <v>0.23336203441092215</v>
      </c>
      <c r="J55" s="20">
        <v>1.0141079186944089E-2</v>
      </c>
      <c r="K55" s="20">
        <v>0.45004188861384509</v>
      </c>
      <c r="L55" s="20">
        <v>0</v>
      </c>
    </row>
    <row r="56" spans="1:12">
      <c r="A56" s="2" t="s">
        <v>397</v>
      </c>
      <c r="B56" s="3" t="s">
        <v>398</v>
      </c>
      <c r="D56" s="20">
        <v>0.82667077506461928</v>
      </c>
      <c r="E56" s="20">
        <v>6.3595709967672123E-2</v>
      </c>
      <c r="F56" s="20">
        <v>3.4834276868788212E-2</v>
      </c>
      <c r="G56" s="20">
        <v>6.6176280676025784E-3</v>
      </c>
      <c r="H56" s="20">
        <v>0</v>
      </c>
      <c r="I56" s="20">
        <v>2.2143805031281331E-2</v>
      </c>
      <c r="J56" s="20">
        <v>4.7756506042836945E-3</v>
      </c>
      <c r="K56" s="20">
        <v>0.10495786436342507</v>
      </c>
      <c r="L56" s="20">
        <v>0</v>
      </c>
    </row>
    <row r="57" spans="1:12">
      <c r="A57" s="2" t="s">
        <v>399</v>
      </c>
      <c r="B57" s="3" t="s">
        <v>400</v>
      </c>
      <c r="D57" s="20">
        <v>0.8730700909971113</v>
      </c>
      <c r="E57" s="20">
        <v>4.8920122150624905E-2</v>
      </c>
      <c r="F57" s="20">
        <v>1.290991329896261E-2</v>
      </c>
      <c r="G57" s="20">
        <v>2.7190605632310054E-3</v>
      </c>
      <c r="H57" s="20">
        <v>0</v>
      </c>
      <c r="I57" s="20">
        <v>3.3291148288431292E-2</v>
      </c>
      <c r="J57" s="20">
        <v>1.9541317362429984E-3</v>
      </c>
      <c r="K57" s="20">
        <v>7.6055655116020748E-2</v>
      </c>
      <c r="L57" s="20">
        <v>0</v>
      </c>
    </row>
    <row r="58" spans="1:12">
      <c r="A58" s="2" t="s">
        <v>297</v>
      </c>
      <c r="B58" s="3" t="s">
        <v>298</v>
      </c>
      <c r="D58" s="20">
        <v>0.93246950157594122</v>
      </c>
      <c r="E58" s="20">
        <v>5.955843353566425E-2</v>
      </c>
      <c r="F58" s="20">
        <v>9.8880089551534782E-5</v>
      </c>
      <c r="G58" s="20">
        <v>3.111747909360529E-5</v>
      </c>
      <c r="H58" s="20">
        <v>0</v>
      </c>
      <c r="I58" s="20">
        <v>5.9428435967019112E-2</v>
      </c>
      <c r="J58" s="20">
        <v>4.8565349446147989E-5</v>
      </c>
      <c r="K58" s="20">
        <v>7.923499538948376E-3</v>
      </c>
      <c r="L58" s="20">
        <v>0</v>
      </c>
    </row>
    <row r="59" spans="1:12">
      <c r="A59" s="2" t="s">
        <v>401</v>
      </c>
      <c r="B59" s="3" t="s">
        <v>402</v>
      </c>
      <c r="D59" s="20">
        <v>0.95349181126093585</v>
      </c>
      <c r="E59" s="20">
        <v>1.810994009224531E-2</v>
      </c>
      <c r="F59" s="20">
        <v>4.5372340487702806E-3</v>
      </c>
      <c r="G59" s="20">
        <v>9.609189053243262E-4</v>
      </c>
      <c r="H59" s="20">
        <v>0</v>
      </c>
      <c r="I59" s="20">
        <v>1.2611787138150702E-2</v>
      </c>
      <c r="J59" s="20">
        <v>6.9061935710881036E-4</v>
      </c>
      <c r="K59" s="20">
        <v>2.770762928970992E-2</v>
      </c>
      <c r="L59" s="20">
        <v>0</v>
      </c>
    </row>
    <row r="60" spans="1:12">
      <c r="A60" s="2" t="s">
        <v>299</v>
      </c>
      <c r="B60" s="3" t="s">
        <v>300</v>
      </c>
      <c r="D60" s="20">
        <v>0.99880931573899434</v>
      </c>
      <c r="E60" s="20">
        <v>5.3653810630078928E-4</v>
      </c>
      <c r="F60" s="20">
        <v>7.0885400783153785E-5</v>
      </c>
      <c r="G60" s="20">
        <v>1.5953366944878323E-5</v>
      </c>
      <c r="H60" s="20">
        <v>0</v>
      </c>
      <c r="I60" s="20">
        <v>4.496993385727572E-4</v>
      </c>
      <c r="J60" s="20">
        <v>1.1510251845078249E-5</v>
      </c>
      <c r="K60" s="20">
        <v>6.4263590285968796E-4</v>
      </c>
      <c r="L60" s="20">
        <v>0</v>
      </c>
    </row>
    <row r="61" spans="1:12">
      <c r="A61" s="2" t="s">
        <v>403</v>
      </c>
      <c r="B61" s="3" t="s">
        <v>404</v>
      </c>
      <c r="D61" s="20">
        <v>6.743621017298198E-44</v>
      </c>
      <c r="E61" s="20">
        <v>0.48709304033522532</v>
      </c>
      <c r="F61" s="20">
        <v>4.6555111423304756E-2</v>
      </c>
      <c r="G61" s="20">
        <v>1.077117112654832E-2</v>
      </c>
      <c r="H61" s="20">
        <v>0</v>
      </c>
      <c r="I61" s="20">
        <v>0.42976675778537227</v>
      </c>
      <c r="J61" s="20">
        <v>7.8090672890663675E-3</v>
      </c>
      <c r="K61" s="20">
        <v>0.50509789237570835</v>
      </c>
      <c r="L61" s="20">
        <v>0</v>
      </c>
    </row>
    <row r="62" spans="1:12">
      <c r="A62" s="2" t="s">
        <v>405</v>
      </c>
      <c r="B62" s="3" t="s">
        <v>406</v>
      </c>
      <c r="D62" s="20">
        <v>4.6369103224589158E-7</v>
      </c>
      <c r="E62" s="20">
        <v>0.39335425227658555</v>
      </c>
      <c r="F62" s="20">
        <v>0.24177027898797435</v>
      </c>
      <c r="G62" s="20">
        <v>0.13477162566276682</v>
      </c>
      <c r="H62" s="20">
        <v>0</v>
      </c>
      <c r="I62" s="20">
        <v>1.6812347625844389E-2</v>
      </c>
      <c r="J62" s="20">
        <v>9.9524865065409182E-2</v>
      </c>
      <c r="K62" s="20">
        <v>0.50712041896697313</v>
      </c>
      <c r="L62" s="20">
        <v>0</v>
      </c>
    </row>
    <row r="63" spans="1:12">
      <c r="A63" s="2" t="s">
        <v>407</v>
      </c>
      <c r="B63" s="3" t="s">
        <v>408</v>
      </c>
      <c r="D63" s="20">
        <v>1.2104265262549065E-4</v>
      </c>
      <c r="E63" s="20">
        <v>0.42640712805712716</v>
      </c>
      <c r="F63" s="20">
        <v>8.0930579003539796E-2</v>
      </c>
      <c r="G63" s="20">
        <v>0.3438018449013695</v>
      </c>
      <c r="H63" s="20">
        <v>0</v>
      </c>
      <c r="I63" s="20">
        <v>1.6747041522178635E-3</v>
      </c>
      <c r="J63" s="20">
        <v>0.26027249274804509</v>
      </c>
      <c r="K63" s="20">
        <v>0.31319933654220244</v>
      </c>
      <c r="L63" s="20">
        <v>0</v>
      </c>
    </row>
    <row r="64" spans="1:12">
      <c r="A64" s="2" t="s">
        <v>409</v>
      </c>
      <c r="B64" s="3" t="s">
        <v>410</v>
      </c>
      <c r="D64" s="20">
        <v>1.5943863347740588E-5</v>
      </c>
      <c r="E64" s="20">
        <v>0.46002462022072338</v>
      </c>
      <c r="F64" s="20">
        <v>4.639463670707903E-2</v>
      </c>
      <c r="G64" s="20">
        <v>0.41301263098981583</v>
      </c>
      <c r="H64" s="20">
        <v>0</v>
      </c>
      <c r="I64" s="20">
        <v>6.1735252382850493E-4</v>
      </c>
      <c r="J64" s="20">
        <v>0.3155319914322845</v>
      </c>
      <c r="K64" s="20">
        <v>0.22442744448364449</v>
      </c>
      <c r="L64" s="20">
        <v>0</v>
      </c>
    </row>
    <row r="65" spans="1:12">
      <c r="A65" s="2" t="s">
        <v>301</v>
      </c>
      <c r="B65" s="3" t="s">
        <v>302</v>
      </c>
      <c r="D65" s="20">
        <v>2.0880323038418645E-6</v>
      </c>
      <c r="E65" s="20">
        <v>0.49409162264339973</v>
      </c>
      <c r="F65" s="20">
        <v>2.2814524845529583E-2</v>
      </c>
      <c r="G65" s="20">
        <v>0.4710933606892424</v>
      </c>
      <c r="H65" s="20">
        <v>0</v>
      </c>
      <c r="I65" s="20">
        <v>1.8373710862773526E-4</v>
      </c>
      <c r="J65" s="20">
        <v>0.36366698676982406</v>
      </c>
      <c r="K65" s="20">
        <v>0.1422393025544724</v>
      </c>
      <c r="L65" s="20">
        <v>0</v>
      </c>
    </row>
    <row r="66" spans="1:12">
      <c r="A66" s="2" t="s">
        <v>303</v>
      </c>
      <c r="B66" s="3" t="s">
        <v>304</v>
      </c>
      <c r="D66" s="20">
        <v>1.9540979844314168E-12</v>
      </c>
      <c r="E66" s="20">
        <v>0.47570536850998069</v>
      </c>
      <c r="F66" s="20">
        <v>3.4460418840656204E-2</v>
      </c>
      <c r="G66" s="20">
        <v>0.44087564397738704</v>
      </c>
      <c r="H66" s="20">
        <v>0</v>
      </c>
      <c r="I66" s="20">
        <v>3.6930569193741519E-4</v>
      </c>
      <c r="J66" s="20">
        <v>0.33833069207515903</v>
      </c>
      <c r="K66" s="20">
        <v>0.1859639394129062</v>
      </c>
      <c r="L66" s="20">
        <v>0</v>
      </c>
    </row>
    <row r="67" spans="1:12">
      <c r="A67" s="2" t="s">
        <v>411</v>
      </c>
      <c r="B67" s="3" t="s">
        <v>412</v>
      </c>
      <c r="D67" s="20">
        <v>4.7816203533707149E-3</v>
      </c>
      <c r="E67" s="20">
        <v>0.83982191131091533</v>
      </c>
      <c r="F67" s="20">
        <v>2.6004547813012302E-3</v>
      </c>
      <c r="G67" s="20">
        <v>7.8152857493596828E-4</v>
      </c>
      <c r="H67" s="20">
        <v>0</v>
      </c>
      <c r="I67" s="20">
        <v>0.83643992795467814</v>
      </c>
      <c r="J67" s="20">
        <v>9.2172145707560568E-4</v>
      </c>
      <c r="K67" s="20">
        <v>0.15447474687863821</v>
      </c>
      <c r="L67" s="20">
        <v>0</v>
      </c>
    </row>
    <row r="68" spans="1:12">
      <c r="A68" s="2" t="s">
        <v>413</v>
      </c>
      <c r="B68" s="3" t="s">
        <v>414</v>
      </c>
      <c r="D68" s="20">
        <v>1.0491541581478334E-2</v>
      </c>
      <c r="E68" s="20">
        <v>0.7860571519836026</v>
      </c>
      <c r="F68" s="20">
        <v>4.646367116826893E-3</v>
      </c>
      <c r="G68" s="20">
        <v>1.3310950747538698E-3</v>
      </c>
      <c r="H68" s="20">
        <v>0</v>
      </c>
      <c r="I68" s="20">
        <v>0.7800796897920218</v>
      </c>
      <c r="J68" s="20">
        <v>1.2789807401292577E-3</v>
      </c>
      <c r="K68" s="20">
        <v>0.20217232569478982</v>
      </c>
      <c r="L68" s="20">
        <v>0</v>
      </c>
    </row>
    <row r="69" spans="1:12">
      <c r="A69" s="2" t="s">
        <v>415</v>
      </c>
      <c r="B69" s="3" t="s">
        <v>416</v>
      </c>
      <c r="D69" s="20">
        <v>5.391786183858974E-3</v>
      </c>
      <c r="E69" s="20">
        <v>0.38863741901806653</v>
      </c>
      <c r="F69" s="20">
        <v>0.15599363435315611</v>
      </c>
      <c r="G69" s="20">
        <v>0.22651785048762288</v>
      </c>
      <c r="H69" s="20">
        <v>0</v>
      </c>
      <c r="I69" s="20">
        <v>6.1259341772875592E-3</v>
      </c>
      <c r="J69" s="20">
        <v>0.16923874667223246</v>
      </c>
      <c r="K69" s="20">
        <v>0.43673204812584193</v>
      </c>
      <c r="L69" s="20">
        <v>0</v>
      </c>
    </row>
    <row r="70" spans="1:12">
      <c r="A70" s="2" t="s">
        <v>417</v>
      </c>
      <c r="B70" s="3" t="s">
        <v>418</v>
      </c>
      <c r="D70" s="20">
        <v>1.1422877599193854E-2</v>
      </c>
      <c r="E70" s="20">
        <v>0.38197074524896507</v>
      </c>
      <c r="F70" s="20">
        <v>0.24504719638875344</v>
      </c>
      <c r="G70" s="20">
        <v>4.4786311194646787E-2</v>
      </c>
      <c r="H70" s="20">
        <v>0</v>
      </c>
      <c r="I70" s="20">
        <v>9.2137237665564864E-2</v>
      </c>
      <c r="J70" s="20">
        <v>3.241333710198073E-2</v>
      </c>
      <c r="K70" s="20">
        <v>0.57419304004986038</v>
      </c>
      <c r="L70" s="20">
        <v>0</v>
      </c>
    </row>
    <row r="71" spans="1:12">
      <c r="A71" s="2" t="s">
        <v>419</v>
      </c>
      <c r="B71" s="3" t="s">
        <v>420</v>
      </c>
      <c r="D71" s="20">
        <v>2.5628319472863908E-2</v>
      </c>
      <c r="E71" s="20">
        <v>0.78210562099378467</v>
      </c>
      <c r="F71" s="20">
        <v>4.1859529637085719E-3</v>
      </c>
      <c r="G71" s="20">
        <v>1.2080638795825571E-3</v>
      </c>
      <c r="H71" s="20">
        <v>0</v>
      </c>
      <c r="I71" s="20">
        <v>0.77671160415049356</v>
      </c>
      <c r="J71" s="20">
        <v>1.1916483569926384E-3</v>
      </c>
      <c r="K71" s="20">
        <v>0.19107441117635868</v>
      </c>
      <c r="L71" s="20">
        <v>0</v>
      </c>
    </row>
    <row r="72" spans="1:12">
      <c r="A72" s="2" t="s">
        <v>421</v>
      </c>
      <c r="B72" s="3" t="s">
        <v>422</v>
      </c>
      <c r="D72" s="20">
        <v>4.4599832619909581E-2</v>
      </c>
      <c r="E72" s="20">
        <v>0.36158501332112414</v>
      </c>
      <c r="F72" s="20">
        <v>0.22141520619319063</v>
      </c>
      <c r="G72" s="20">
        <v>4.0992367267026139E-2</v>
      </c>
      <c r="H72" s="20">
        <v>0</v>
      </c>
      <c r="I72" s="20">
        <v>9.9177439860907338E-2</v>
      </c>
      <c r="J72" s="20">
        <v>2.9637826036687388E-2</v>
      </c>
      <c r="K72" s="20">
        <v>0.56417732802227905</v>
      </c>
      <c r="L72" s="20">
        <v>0</v>
      </c>
    </row>
    <row r="73" spans="1:12">
      <c r="A73" s="2" t="s">
        <v>423</v>
      </c>
      <c r="B73" s="3" t="s">
        <v>424</v>
      </c>
      <c r="D73" s="20">
        <v>2.0059821109559457E-2</v>
      </c>
      <c r="E73" s="20">
        <v>0.46494552878945794</v>
      </c>
      <c r="F73" s="20">
        <v>4.9590817838690349E-2</v>
      </c>
      <c r="G73" s="20">
        <v>1.1368334036016368E-2</v>
      </c>
      <c r="H73" s="20">
        <v>0</v>
      </c>
      <c r="I73" s="20">
        <v>0.4039863769147512</v>
      </c>
      <c r="J73" s="20">
        <v>8.2263314188810045E-3</v>
      </c>
      <c r="K73" s="20">
        <v>0.50676831868210148</v>
      </c>
      <c r="L73" s="20">
        <v>0</v>
      </c>
    </row>
    <row r="74" spans="1:12">
      <c r="A74" s="2" t="s">
        <v>425</v>
      </c>
      <c r="B74" s="3" t="s">
        <v>426</v>
      </c>
      <c r="D74" s="20">
        <v>1.7319895734426671E-2</v>
      </c>
      <c r="E74" s="20">
        <v>0.37733312059872737</v>
      </c>
      <c r="F74" s="20">
        <v>0.23901188010773403</v>
      </c>
      <c r="G74" s="20">
        <v>4.384449209818831E-2</v>
      </c>
      <c r="H74" s="20">
        <v>0</v>
      </c>
      <c r="I74" s="20">
        <v>9.4476748392805024E-2</v>
      </c>
      <c r="J74" s="20">
        <v>3.172250756609854E-2</v>
      </c>
      <c r="K74" s="20">
        <v>0.57362447610074729</v>
      </c>
      <c r="L74" s="20">
        <v>0</v>
      </c>
    </row>
    <row r="75" spans="1:12">
      <c r="A75" s="2" t="s">
        <v>427</v>
      </c>
      <c r="B75" s="3" t="s">
        <v>428</v>
      </c>
      <c r="D75" s="20">
        <v>5.015063917313429E-9</v>
      </c>
      <c r="E75" s="20">
        <v>0.94609067208300546</v>
      </c>
      <c r="F75" s="20">
        <v>0.90625560307210151</v>
      </c>
      <c r="G75" s="20">
        <v>3.4970425272375132E-4</v>
      </c>
      <c r="H75" s="20">
        <v>0</v>
      </c>
      <c r="I75" s="20">
        <v>3.948536475818016E-2</v>
      </c>
      <c r="J75" s="20">
        <v>5.3147921724079075E-2</v>
      </c>
      <c r="K75" s="20">
        <v>7.6140117785158479E-4</v>
      </c>
      <c r="L75" s="20">
        <v>0</v>
      </c>
    </row>
    <row r="76" spans="1:12">
      <c r="A76" s="2" t="s">
        <v>429</v>
      </c>
      <c r="B76" s="3" t="s">
        <v>430</v>
      </c>
      <c r="D76" s="20">
        <v>1.2597271068642095E-10</v>
      </c>
      <c r="E76" s="20">
        <v>0.94609067670852887</v>
      </c>
      <c r="F76" s="20">
        <v>0.90625560750286771</v>
      </c>
      <c r="G76" s="20">
        <v>3.4970425443348741E-4</v>
      </c>
      <c r="H76" s="20">
        <v>0</v>
      </c>
      <c r="I76" s="20">
        <v>3.9485364951227717E-2</v>
      </c>
      <c r="J76" s="20">
        <v>5.3147921983924123E-2</v>
      </c>
      <c r="K76" s="20">
        <v>7.6140118157414459E-4</v>
      </c>
      <c r="L76" s="20">
        <v>0</v>
      </c>
    </row>
    <row r="77" spans="1:12">
      <c r="A77" s="2" t="s">
        <v>431</v>
      </c>
      <c r="B77" s="3" t="s">
        <v>432</v>
      </c>
      <c r="D77" s="20">
        <v>5.1879217278683998E-2</v>
      </c>
      <c r="E77" s="20">
        <v>0.35484944135910268</v>
      </c>
      <c r="F77" s="20">
        <v>0.11037421555062239</v>
      </c>
      <c r="G77" s="20">
        <v>2.2822498402934266E-2</v>
      </c>
      <c r="H77" s="20">
        <v>0</v>
      </c>
      <c r="I77" s="20">
        <v>0.22165272740554601</v>
      </c>
      <c r="J77" s="20">
        <v>1.6404181567349047E-2</v>
      </c>
      <c r="K77" s="20">
        <v>0.57686715979486425</v>
      </c>
      <c r="L77" s="20">
        <v>0</v>
      </c>
    </row>
    <row r="78" spans="1:12">
      <c r="A78" s="2" t="s">
        <v>433</v>
      </c>
      <c r="B78" s="3" t="s">
        <v>434</v>
      </c>
      <c r="D78" s="20">
        <v>3.8742684006584482E-2</v>
      </c>
      <c r="E78" s="20">
        <v>0.62970564747699498</v>
      </c>
      <c r="F78" s="20">
        <v>1.4766035876170236E-2</v>
      </c>
      <c r="G78" s="20">
        <v>3.8155704318999072E-3</v>
      </c>
      <c r="H78" s="20">
        <v>0</v>
      </c>
      <c r="I78" s="20">
        <v>0.61112404116892483</v>
      </c>
      <c r="J78" s="20">
        <v>2.9482287913521004E-3</v>
      </c>
      <c r="K78" s="20">
        <v>0.32860343972506861</v>
      </c>
      <c r="L78" s="20">
        <v>0</v>
      </c>
    </row>
    <row r="79" spans="1:12">
      <c r="A79" s="2" t="s">
        <v>435</v>
      </c>
      <c r="B79" s="3" t="s">
        <v>436</v>
      </c>
      <c r="D79" s="20">
        <v>1.0522440841670517E-2</v>
      </c>
      <c r="E79" s="20">
        <v>0.53818485235310931</v>
      </c>
      <c r="F79" s="20">
        <v>3.1944103746283273E-2</v>
      </c>
      <c r="G79" s="20">
        <v>7.6822115605603815E-3</v>
      </c>
      <c r="H79" s="20">
        <v>0</v>
      </c>
      <c r="I79" s="20">
        <v>0.49855853704626568</v>
      </c>
      <c r="J79" s="20">
        <v>5.6375937621100953E-3</v>
      </c>
      <c r="K79" s="20">
        <v>0.44565511304311023</v>
      </c>
      <c r="L79" s="20">
        <v>0</v>
      </c>
    </row>
    <row r="80" spans="1:12">
      <c r="A80" s="2" t="s">
        <v>437</v>
      </c>
      <c r="B80" s="3" t="s">
        <v>438</v>
      </c>
      <c r="D80" s="20">
        <v>1.7285920083356406E-9</v>
      </c>
      <c r="E80" s="20">
        <v>0.89972613905125975</v>
      </c>
      <c r="F80" s="20">
        <v>0.87330658122907323</v>
      </c>
      <c r="G80" s="20">
        <v>6.4731689472340257E-4</v>
      </c>
      <c r="H80" s="20">
        <v>0</v>
      </c>
      <c r="I80" s="20">
        <v>2.5772240927463153E-2</v>
      </c>
      <c r="J80" s="20">
        <v>9.9380492906033277E-2</v>
      </c>
      <c r="K80" s="20">
        <v>8.9336631411489321E-4</v>
      </c>
      <c r="L80" s="20">
        <v>0</v>
      </c>
    </row>
    <row r="81" spans="1:12">
      <c r="A81" s="2" t="s">
        <v>440</v>
      </c>
      <c r="B81" s="3" t="s">
        <v>441</v>
      </c>
      <c r="D81" s="20">
        <v>1.8438889907710977E-13</v>
      </c>
      <c r="E81" s="20">
        <v>0.97062397650113641</v>
      </c>
      <c r="F81" s="20">
        <v>9.1035123599327481E-5</v>
      </c>
      <c r="G81" s="20">
        <v>3.5408256410995623E-5</v>
      </c>
      <c r="H81" s="20">
        <v>0</v>
      </c>
      <c r="I81" s="20">
        <v>0.97049753312112608</v>
      </c>
      <c r="J81" s="20">
        <v>4.6808167013021539E-4</v>
      </c>
      <c r="K81" s="20">
        <v>2.8907941828548986E-2</v>
      </c>
      <c r="L81" s="20">
        <v>0</v>
      </c>
    </row>
    <row r="82" spans="1:12">
      <c r="A82" s="2" t="s">
        <v>442</v>
      </c>
      <c r="B82" s="3" t="s">
        <v>443</v>
      </c>
      <c r="D82" s="20">
        <v>8.7697727807725353E-5</v>
      </c>
      <c r="E82" s="20">
        <v>0.77254397039917244</v>
      </c>
      <c r="F82" s="20">
        <v>5.8514373043041671E-3</v>
      </c>
      <c r="G82" s="20">
        <v>1.6457282019839152E-3</v>
      </c>
      <c r="H82" s="20">
        <v>0</v>
      </c>
      <c r="I82" s="20">
        <v>0.76504680489288435</v>
      </c>
      <c r="J82" s="20">
        <v>1.4919918595522282E-3</v>
      </c>
      <c r="K82" s="20">
        <v>0.22587634001346751</v>
      </c>
      <c r="L82" s="20">
        <v>0</v>
      </c>
    </row>
    <row r="83" spans="1:12">
      <c r="A83" s="2" t="s">
        <v>444</v>
      </c>
      <c r="B83" s="3" t="s">
        <v>445</v>
      </c>
      <c r="D83" s="20">
        <v>1.051529863481043E-3</v>
      </c>
      <c r="E83" s="20">
        <v>0.38629907490132875</v>
      </c>
      <c r="F83" s="20">
        <v>0.1002064844605311</v>
      </c>
      <c r="G83" s="20">
        <v>2.1144206006103679E-2</v>
      </c>
      <c r="H83" s="20">
        <v>0</v>
      </c>
      <c r="I83" s="20">
        <v>0.26494838443469398</v>
      </c>
      <c r="J83" s="20">
        <v>1.5196029593397418E-2</v>
      </c>
      <c r="K83" s="20">
        <v>0.59745336564179274</v>
      </c>
      <c r="L83" s="20">
        <v>0</v>
      </c>
    </row>
    <row r="84" spans="1:12">
      <c r="A84" s="2" t="s">
        <v>446</v>
      </c>
      <c r="B84" s="3" t="s">
        <v>447</v>
      </c>
      <c r="D84" s="20">
        <v>5.6760459000001542E-15</v>
      </c>
      <c r="E84" s="20">
        <v>0.93728348450500143</v>
      </c>
      <c r="F84" s="20">
        <v>4.0899699171389027E-4</v>
      </c>
      <c r="G84" s="20">
        <v>1.4204163707299335E-4</v>
      </c>
      <c r="H84" s="20">
        <v>0</v>
      </c>
      <c r="I84" s="20">
        <v>0.93673244587621451</v>
      </c>
      <c r="J84" s="20">
        <v>5.2540673733066654E-4</v>
      </c>
      <c r="K84" s="20">
        <v>6.2191108757662324E-2</v>
      </c>
      <c r="L84" s="20">
        <v>0</v>
      </c>
    </row>
    <row r="85" spans="1:12">
      <c r="A85" s="2" t="s">
        <v>448</v>
      </c>
      <c r="B85" s="3" t="s">
        <v>449</v>
      </c>
      <c r="D85" s="20">
        <v>3.9733388754709817E-8</v>
      </c>
      <c r="E85" s="20">
        <v>0.98749716902180695</v>
      </c>
      <c r="F85" s="20">
        <v>1.6704359243321514E-5</v>
      </c>
      <c r="G85" s="20">
        <v>7.370982442372818E-6</v>
      </c>
      <c r="H85" s="20">
        <v>0</v>
      </c>
      <c r="I85" s="20">
        <v>0.98747309368012126</v>
      </c>
      <c r="J85" s="20">
        <v>4.5692581169642444E-4</v>
      </c>
      <c r="K85" s="20">
        <v>1.2045865433107757E-2</v>
      </c>
      <c r="L85" s="20">
        <v>0</v>
      </c>
    </row>
    <row r="86" spans="1:12">
      <c r="A86" s="2" t="s">
        <v>450</v>
      </c>
      <c r="B86" s="3" t="s">
        <v>451</v>
      </c>
      <c r="D86" s="20">
        <v>1.4276927338478607E-8</v>
      </c>
      <c r="E86" s="20">
        <v>0.93878813169954967</v>
      </c>
      <c r="F86" s="20">
        <v>3.8968076047124321E-4</v>
      </c>
      <c r="G86" s="20">
        <v>1.3583275819065572E-4</v>
      </c>
      <c r="H86" s="20">
        <v>0</v>
      </c>
      <c r="I86" s="20">
        <v>0.93826261818088774</v>
      </c>
      <c r="J86" s="20">
        <v>5.2185227204773314E-4</v>
      </c>
      <c r="K86" s="20">
        <v>6.069000175147532E-2</v>
      </c>
      <c r="L86" s="20">
        <v>0</v>
      </c>
    </row>
    <row r="87" spans="1:12">
      <c r="A87" s="2" t="s">
        <v>452</v>
      </c>
      <c r="B87" s="3" t="s">
        <v>453</v>
      </c>
      <c r="D87" s="20">
        <v>2.2114632098564614E-7</v>
      </c>
      <c r="E87" s="20">
        <v>0.41481543285818062</v>
      </c>
      <c r="F87" s="20">
        <v>9.7623401037967489E-2</v>
      </c>
      <c r="G87" s="20">
        <v>0.31481070291656188</v>
      </c>
      <c r="H87" s="20">
        <v>0</v>
      </c>
      <c r="I87" s="20">
        <v>2.3813289036512526E-3</v>
      </c>
      <c r="J87" s="20">
        <v>0.23751842710290361</v>
      </c>
      <c r="K87" s="20">
        <v>0.34766591889259485</v>
      </c>
      <c r="L87" s="20">
        <v>0</v>
      </c>
    </row>
    <row r="88" spans="1:12">
      <c r="A88" s="2" t="s">
        <v>454</v>
      </c>
      <c r="B88" s="3" t="s">
        <v>455</v>
      </c>
      <c r="D88" s="20">
        <v>4.4972523607325035E-5</v>
      </c>
      <c r="E88" s="20">
        <v>0.69339726542033508</v>
      </c>
      <c r="F88" s="20">
        <v>1.1556370935004235E-2</v>
      </c>
      <c r="G88" s="20">
        <v>3.0641994387990705E-3</v>
      </c>
      <c r="H88" s="20">
        <v>0</v>
      </c>
      <c r="I88" s="20">
        <v>0.67877669504653182</v>
      </c>
      <c r="J88" s="20">
        <v>2.4484916783858949E-3</v>
      </c>
      <c r="K88" s="20">
        <v>0.3041092703776716</v>
      </c>
      <c r="L88" s="20">
        <v>0</v>
      </c>
    </row>
    <row r="89" spans="1:12">
      <c r="A89" s="2" t="s">
        <v>456</v>
      </c>
      <c r="B89" s="3" t="s">
        <v>457</v>
      </c>
      <c r="D89" s="20">
        <v>2.9167422979664362E-17</v>
      </c>
      <c r="E89" s="20">
        <v>0.75882711606415465</v>
      </c>
      <c r="F89" s="20">
        <v>6.6676420159870811E-3</v>
      </c>
      <c r="G89" s="20">
        <v>1.8546750514055112E-3</v>
      </c>
      <c r="H89" s="20">
        <v>0</v>
      </c>
      <c r="I89" s="20">
        <v>0.75030479899676206</v>
      </c>
      <c r="J89" s="20">
        <v>1.6315517324437508E-3</v>
      </c>
      <c r="K89" s="20">
        <v>0.23954133220340162</v>
      </c>
      <c r="L89" s="20">
        <v>0</v>
      </c>
    </row>
    <row r="90" spans="1:12">
      <c r="A90" s="2" t="s">
        <v>458</v>
      </c>
      <c r="B90" s="3" t="s">
        <v>459</v>
      </c>
      <c r="D90" s="20">
        <v>4.2609138234464308E-29</v>
      </c>
      <c r="E90" s="20">
        <v>0.8805924454076367</v>
      </c>
      <c r="F90" s="20">
        <v>1.4989148616208754E-3</v>
      </c>
      <c r="G90" s="20">
        <v>4.7083910011203923E-4</v>
      </c>
      <c r="H90" s="20">
        <v>0</v>
      </c>
      <c r="I90" s="20">
        <v>0.87862269144590377</v>
      </c>
      <c r="J90" s="20">
        <v>7.254739185404642E-4</v>
      </c>
      <c r="K90" s="20">
        <v>0.11868208067382281</v>
      </c>
      <c r="L90" s="20">
        <v>0</v>
      </c>
    </row>
    <row r="91" spans="1:12">
      <c r="A91" s="2" t="s">
        <v>460</v>
      </c>
      <c r="B91" s="3" t="s">
        <v>461</v>
      </c>
      <c r="D91" s="20">
        <v>2.1613107549107489E-7</v>
      </c>
      <c r="E91" s="20">
        <v>0.39033541464798749</v>
      </c>
      <c r="F91" s="20">
        <v>0.22850274912795029</v>
      </c>
      <c r="G91" s="20">
        <v>0.14726074213876689</v>
      </c>
      <c r="H91" s="20">
        <v>0</v>
      </c>
      <c r="I91" s="20">
        <v>1.4571923381270313E-2</v>
      </c>
      <c r="J91" s="20">
        <v>0.10893897703422732</v>
      </c>
      <c r="K91" s="20">
        <v>0.50072539218670986</v>
      </c>
      <c r="L91" s="20">
        <v>0</v>
      </c>
    </row>
    <row r="92" spans="1:12">
      <c r="A92" s="2" t="s">
        <v>462</v>
      </c>
      <c r="B92" s="3" t="s">
        <v>463</v>
      </c>
      <c r="D92" s="20">
        <v>8.0987656829983878E-9</v>
      </c>
      <c r="E92" s="20">
        <v>0.41718752268152942</v>
      </c>
      <c r="F92" s="20">
        <v>7.6259341153140675E-2</v>
      </c>
      <c r="G92" s="20">
        <v>1.6664358661356193E-2</v>
      </c>
      <c r="H92" s="20">
        <v>0</v>
      </c>
      <c r="I92" s="20">
        <v>0.32426382286703254</v>
      </c>
      <c r="J92" s="20">
        <v>1.1989770113800766E-2</v>
      </c>
      <c r="K92" s="20">
        <v>0.57082269910590422</v>
      </c>
      <c r="L92" s="20">
        <v>0</v>
      </c>
    </row>
    <row r="93" spans="1:12">
      <c r="A93" s="2" t="s">
        <v>464</v>
      </c>
      <c r="B93" s="3" t="s">
        <v>465</v>
      </c>
      <c r="D93" s="20">
        <v>6.2476394956071724E-4</v>
      </c>
      <c r="E93" s="20">
        <v>0.36796110301924295</v>
      </c>
      <c r="F93" s="20">
        <v>0.20511157837085409</v>
      </c>
      <c r="G93" s="20">
        <v>3.8822699644542616E-2</v>
      </c>
      <c r="H93" s="20">
        <v>0</v>
      </c>
      <c r="I93" s="20">
        <v>0.12402682500384625</v>
      </c>
      <c r="J93" s="20">
        <v>2.8023779846369785E-2</v>
      </c>
      <c r="K93" s="20">
        <v>0.6033903531848267</v>
      </c>
      <c r="L93" s="20">
        <v>0</v>
      </c>
    </row>
    <row r="94" spans="1:12">
      <c r="A94" s="2" t="s">
        <v>466</v>
      </c>
      <c r="B94" s="3" t="s">
        <v>467</v>
      </c>
      <c r="D94" s="20">
        <v>2.0177291345458143E-18</v>
      </c>
      <c r="E94" s="20">
        <v>0.9992337836456292</v>
      </c>
      <c r="F94" s="20">
        <v>1.1556042989637716E-2</v>
      </c>
      <c r="G94" s="20">
        <v>1.5186148533161891E-6</v>
      </c>
      <c r="H94" s="20">
        <v>0</v>
      </c>
      <c r="I94" s="20">
        <v>0.98767622204113814</v>
      </c>
      <c r="J94" s="20">
        <v>5.9076356629257263E-4</v>
      </c>
      <c r="K94" s="20">
        <v>1.7545278807830871E-4</v>
      </c>
      <c r="L94" s="20">
        <v>0</v>
      </c>
    </row>
    <row r="95" spans="1:12">
      <c r="A95" s="2" t="s">
        <v>468</v>
      </c>
      <c r="B95" s="3" t="s">
        <v>469</v>
      </c>
      <c r="D95" s="20">
        <v>9.0612511770400106E-18</v>
      </c>
      <c r="E95" s="20">
        <v>0.42736989364959327</v>
      </c>
      <c r="F95" s="20">
        <v>0.31416831594545297</v>
      </c>
      <c r="G95" s="20">
        <v>7.7724500450836453E-2</v>
      </c>
      <c r="H95" s="20">
        <v>0</v>
      </c>
      <c r="I95" s="20">
        <v>3.547707725330386E-2</v>
      </c>
      <c r="J95" s="20">
        <v>5.6842894837195602E-2</v>
      </c>
      <c r="K95" s="20">
        <v>0.51578721151321116</v>
      </c>
      <c r="L95" s="20">
        <v>0</v>
      </c>
    </row>
    <row r="96" spans="1:12">
      <c r="A96" s="2" t="s">
        <v>470</v>
      </c>
      <c r="B96" s="163">
        <v>354656</v>
      </c>
      <c r="D96" s="20">
        <v>3.6762881905769391E-10</v>
      </c>
      <c r="E96" s="20">
        <v>0.96950511851363674</v>
      </c>
      <c r="F96" s="20">
        <v>9.8013018431391231E-5</v>
      </c>
      <c r="G96" s="20">
        <v>3.7912229039343798E-5</v>
      </c>
      <c r="H96" s="20">
        <v>0</v>
      </c>
      <c r="I96" s="20">
        <v>0.969369193266166</v>
      </c>
      <c r="J96" s="20">
        <v>4.6926346740231725E-4</v>
      </c>
      <c r="K96" s="20">
        <v>3.0025617651332017E-2</v>
      </c>
      <c r="L96" s="20">
        <v>0</v>
      </c>
    </row>
    <row r="97" spans="1:12">
      <c r="A97" s="2" t="s">
        <v>472</v>
      </c>
      <c r="B97" s="3" t="s">
        <v>473</v>
      </c>
      <c r="D97" s="20">
        <v>5.6721121507482457E-10</v>
      </c>
      <c r="E97" s="20">
        <v>0.93651818768070616</v>
      </c>
      <c r="F97" s="20">
        <v>4.1900482509039472E-4</v>
      </c>
      <c r="G97" s="20">
        <v>1.4524947774442723E-4</v>
      </c>
      <c r="H97" s="20">
        <v>0</v>
      </c>
      <c r="I97" s="20">
        <v>0.93595393337787136</v>
      </c>
      <c r="J97" s="20">
        <v>5.272492649244676E-4</v>
      </c>
      <c r="K97" s="20">
        <v>6.2954562487158278E-2</v>
      </c>
      <c r="L97" s="20">
        <v>0</v>
      </c>
    </row>
    <row r="98" spans="1:12">
      <c r="A98" s="2" t="s">
        <v>474</v>
      </c>
      <c r="B98" s="3" t="s">
        <v>475</v>
      </c>
      <c r="D98" s="20">
        <v>1.8603654509084155E-19</v>
      </c>
      <c r="E98" s="20">
        <v>0.40764456009777378</v>
      </c>
      <c r="F98" s="20">
        <v>0.28383926951940025</v>
      </c>
      <c r="G98" s="20">
        <v>5.0462415575471514E-2</v>
      </c>
      <c r="H98" s="20">
        <v>0</v>
      </c>
      <c r="I98" s="20">
        <v>7.3342875002902028E-2</v>
      </c>
      <c r="J98" s="20">
        <v>3.6603910681858837E-2</v>
      </c>
      <c r="K98" s="20">
        <v>0.55575152922036752</v>
      </c>
      <c r="L98" s="20">
        <v>0</v>
      </c>
    </row>
    <row r="99" spans="1:12">
      <c r="A99" s="2" t="s">
        <v>476</v>
      </c>
      <c r="B99" s="3" t="s">
        <v>477</v>
      </c>
      <c r="D99" s="20">
        <v>1.7341152745407406E-7</v>
      </c>
      <c r="E99" s="20">
        <v>0.99120367969751833</v>
      </c>
      <c r="F99" s="20">
        <v>8.2215211531016541E-6</v>
      </c>
      <c r="G99" s="20">
        <v>3.8233823756965607E-6</v>
      </c>
      <c r="H99" s="20">
        <v>0</v>
      </c>
      <c r="I99" s="20">
        <v>0.99119163479398953</v>
      </c>
      <c r="J99" s="20">
        <v>4.5625608535479072E-4</v>
      </c>
      <c r="K99" s="20">
        <v>8.339890805599345E-3</v>
      </c>
      <c r="L99" s="20">
        <v>0</v>
      </c>
    </row>
    <row r="100" spans="1:12">
      <c r="A100" s="2" t="s">
        <v>478</v>
      </c>
      <c r="B100" s="3" t="s">
        <v>479</v>
      </c>
      <c r="D100" s="20">
        <v>6.6452604328879675E-11</v>
      </c>
      <c r="E100" s="20">
        <v>0.56945374585224573</v>
      </c>
      <c r="F100" s="20">
        <v>2.7389633489278458E-2</v>
      </c>
      <c r="G100" s="20">
        <v>6.6970227802179644E-3</v>
      </c>
      <c r="H100" s="20">
        <v>0</v>
      </c>
      <c r="I100" s="20">
        <v>0.53536708958274926</v>
      </c>
      <c r="J100" s="20">
        <v>4.9533221537534228E-3</v>
      </c>
      <c r="K100" s="20">
        <v>0.42559293192754816</v>
      </c>
      <c r="L100" s="20">
        <v>0</v>
      </c>
    </row>
    <row r="101" spans="1:12">
      <c r="A101" s="2" t="s">
        <v>480</v>
      </c>
      <c r="B101" s="3" t="s">
        <v>481</v>
      </c>
      <c r="D101" s="20">
        <v>4.666556565663911E-11</v>
      </c>
      <c r="E101" s="20">
        <v>0.98557623865628263</v>
      </c>
      <c r="F101" s="20">
        <v>2.2226483086605922E-5</v>
      </c>
      <c r="G101" s="20">
        <v>9.6021017729875871E-6</v>
      </c>
      <c r="H101" s="20">
        <v>0</v>
      </c>
      <c r="I101" s="20">
        <v>0.98554441007142302</v>
      </c>
      <c r="J101" s="20">
        <v>4.5753948274371271E-4</v>
      </c>
      <c r="K101" s="20">
        <v>1.396622181430842E-2</v>
      </c>
      <c r="L101" s="20">
        <v>0</v>
      </c>
    </row>
    <row r="102" spans="1:12">
      <c r="A102" s="2" t="s">
        <v>482</v>
      </c>
      <c r="B102" s="3" t="s">
        <v>483</v>
      </c>
      <c r="D102" s="20">
        <v>2.9323626553252451E-27</v>
      </c>
      <c r="E102" s="20">
        <v>0.99599784599712338</v>
      </c>
      <c r="F102" s="20">
        <v>1.5859587774683885E-6</v>
      </c>
      <c r="G102" s="20">
        <v>8.3288962109905621E-7</v>
      </c>
      <c r="H102" s="20">
        <v>0</v>
      </c>
      <c r="I102" s="20">
        <v>0.9959954271487248</v>
      </c>
      <c r="J102" s="20">
        <v>4.5646956867775824E-4</v>
      </c>
      <c r="K102" s="20">
        <v>3.5456844341987758E-3</v>
      </c>
      <c r="L102" s="20">
        <v>0</v>
      </c>
    </row>
    <row r="103" spans="1:12">
      <c r="A103" s="2" t="s">
        <v>484</v>
      </c>
      <c r="B103" s="3" t="s">
        <v>485</v>
      </c>
      <c r="D103" s="20">
        <v>2.339077085103311E-13</v>
      </c>
      <c r="E103" s="20">
        <v>0.99146905484915326</v>
      </c>
      <c r="F103" s="20">
        <v>7.725360403277168E-6</v>
      </c>
      <c r="G103" s="20">
        <v>3.6092278895973166E-6</v>
      </c>
      <c r="H103" s="20">
        <v>0</v>
      </c>
      <c r="I103" s="20">
        <v>0.99145772026086043</v>
      </c>
      <c r="J103" s="20">
        <v>4.5623512428083523E-4</v>
      </c>
      <c r="K103" s="20">
        <v>8.0747100263319094E-3</v>
      </c>
      <c r="L103" s="20">
        <v>0</v>
      </c>
    </row>
    <row r="104" spans="1:12">
      <c r="A104" s="2" t="s">
        <v>486</v>
      </c>
      <c r="B104" s="3" t="s">
        <v>487</v>
      </c>
      <c r="D104" s="20">
        <v>2.8863776916181551E-9</v>
      </c>
      <c r="E104" s="20">
        <v>0.95409035000086306</v>
      </c>
      <c r="F104" s="20">
        <v>2.2010371568644837E-4</v>
      </c>
      <c r="G104" s="20">
        <v>8.0116677328383027E-5</v>
      </c>
      <c r="H104" s="20">
        <v>0</v>
      </c>
      <c r="I104" s="20">
        <v>0.95379012960784826</v>
      </c>
      <c r="J104" s="20">
        <v>4.9085710497594637E-4</v>
      </c>
      <c r="K104" s="20">
        <v>4.541879000778324E-2</v>
      </c>
      <c r="L104" s="20">
        <v>0</v>
      </c>
    </row>
    <row r="105" spans="1:12">
      <c r="A105" s="2" t="s">
        <v>488</v>
      </c>
      <c r="B105" s="3" t="s">
        <v>489</v>
      </c>
      <c r="D105" s="20">
        <v>2.3321100831606853E-16</v>
      </c>
      <c r="E105" s="20">
        <v>0.99529127032299014</v>
      </c>
      <c r="F105" s="20">
        <v>2.2491750723495389E-6</v>
      </c>
      <c r="G105" s="20">
        <v>1.1511152750272911E-6</v>
      </c>
      <c r="H105" s="20">
        <v>0</v>
      </c>
      <c r="I105" s="20">
        <v>0.99528787003264274</v>
      </c>
      <c r="J105" s="20">
        <v>4.5635574178942847E-4</v>
      </c>
      <c r="K105" s="20">
        <v>4.2523739352203676E-3</v>
      </c>
      <c r="L105" s="20">
        <v>0</v>
      </c>
    </row>
    <row r="106" spans="1:12">
      <c r="A106" s="2" t="s">
        <v>490</v>
      </c>
      <c r="B106" s="3" t="s">
        <v>491</v>
      </c>
      <c r="D106" s="20">
        <v>1.3032111866010121E-8</v>
      </c>
      <c r="E106" s="20">
        <v>0.85055639265217931</v>
      </c>
      <c r="F106" s="20">
        <v>2.3839053821052315E-3</v>
      </c>
      <c r="G106" s="20">
        <v>7.2174630555150922E-4</v>
      </c>
      <c r="H106" s="20">
        <v>0</v>
      </c>
      <c r="I106" s="20">
        <v>0.84745074096452255</v>
      </c>
      <c r="J106" s="20">
        <v>8.8519885470832193E-4</v>
      </c>
      <c r="K106" s="20">
        <v>0.14855839546100039</v>
      </c>
      <c r="L106" s="20">
        <v>0</v>
      </c>
    </row>
    <row r="107" spans="1:12">
      <c r="A107" s="2" t="s">
        <v>492</v>
      </c>
      <c r="B107" s="3" t="s">
        <v>493</v>
      </c>
      <c r="D107" s="20">
        <v>9.4654204947493065E-16</v>
      </c>
      <c r="E107" s="20">
        <v>0.43016649240190691</v>
      </c>
      <c r="F107" s="20">
        <v>0.31623805252819082</v>
      </c>
      <c r="G107" s="20">
        <v>5.4892079318769604E-2</v>
      </c>
      <c r="H107" s="20">
        <v>0</v>
      </c>
      <c r="I107" s="20">
        <v>5.9036360554946467E-2</v>
      </c>
      <c r="J107" s="20">
        <v>3.9898862718036707E-2</v>
      </c>
      <c r="K107" s="20">
        <v>0.52993464488005537</v>
      </c>
      <c r="L107" s="20">
        <v>0</v>
      </c>
    </row>
    <row r="108" spans="1:12">
      <c r="A108" s="2" t="s">
        <v>291</v>
      </c>
      <c r="B108" s="3" t="s">
        <v>494</v>
      </c>
      <c r="D108" s="20">
        <v>3.6219433930762389E-10</v>
      </c>
      <c r="E108" s="20">
        <v>0.60964436429166957</v>
      </c>
      <c r="F108" s="20">
        <v>2.1028866957625767E-2</v>
      </c>
      <c r="G108" s="20">
        <v>5.2760806891138066E-3</v>
      </c>
      <c r="H108" s="20">
        <v>0</v>
      </c>
      <c r="I108" s="20">
        <v>0.58333941664493005</v>
      </c>
      <c r="J108" s="20">
        <v>3.9672535076828363E-3</v>
      </c>
      <c r="K108" s="20">
        <v>0.38638838183845309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3.7795835821363442E-9</v>
      </c>
      <c r="E2" s="14">
        <v>3.2306031955895272E-5</v>
      </c>
      <c r="F2" s="14">
        <v>1.5364490693406137E-7</v>
      </c>
      <c r="G2" s="14">
        <v>4.4752131388637981E-8</v>
      </c>
      <c r="H2" s="14">
        <v>0</v>
      </c>
      <c r="I2" s="14">
        <v>4.5734453227374176E-8</v>
      </c>
      <c r="J2" s="14">
        <v>7.4460569689725212E-6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6.3524675965951814E-7</v>
      </c>
      <c r="E3" s="14">
        <v>1.1635957408963973E-7</v>
      </c>
      <c r="F3" s="14">
        <v>4.2994873284022338E-6</v>
      </c>
      <c r="G3" s="14">
        <v>1.1649632590983756E-5</v>
      </c>
      <c r="H3" s="14">
        <v>0</v>
      </c>
      <c r="I3" s="14">
        <v>8.7706372069040213E-6</v>
      </c>
      <c r="J3" s="14">
        <v>1.4528636539960832E-5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2.4360437869192071E-16</v>
      </c>
      <c r="E4" s="14">
        <v>1.9590465462750866E-5</v>
      </c>
      <c r="F4" s="14">
        <v>1.3872646033011328E-6</v>
      </c>
      <c r="G4" s="14">
        <v>3.3117295297762476E-7</v>
      </c>
      <c r="H4" s="14">
        <v>0</v>
      </c>
      <c r="I4" s="14">
        <v>2.4232381378681566E-7</v>
      </c>
      <c r="J4" s="14">
        <v>1.8448773166939956E-5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2.1327789257963387E-8</v>
      </c>
      <c r="E5" s="14">
        <v>1.2332340444708171E-6</v>
      </c>
      <c r="F5" s="14">
        <v>1.2012130885529685E-5</v>
      </c>
      <c r="G5" s="14">
        <v>3.4859055118336135E-6</v>
      </c>
      <c r="H5" s="14">
        <v>0</v>
      </c>
      <c r="I5" s="14">
        <v>2.5541738298355907E-6</v>
      </c>
      <c r="J5" s="14">
        <v>2.0693227939072331E-5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2.2039638258272157E-9</v>
      </c>
      <c r="E6" s="14">
        <v>5.5412038406981655E-8</v>
      </c>
      <c r="F6" s="14">
        <v>2.9199719327084514E-6</v>
      </c>
      <c r="G6" s="14">
        <v>1.4340828174945228E-5</v>
      </c>
      <c r="H6" s="14">
        <v>0</v>
      </c>
      <c r="I6" s="14">
        <v>1.0876016548071265E-5</v>
      </c>
      <c r="J6" s="14">
        <v>1.1805567342042249E-5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3.1156229291206967E-9</v>
      </c>
      <c r="E7" s="14">
        <v>1.0618044859462772E-7</v>
      </c>
      <c r="F7" s="14">
        <v>4.1325594145442665E-6</v>
      </c>
      <c r="G7" s="14">
        <v>1.2215596013969709E-5</v>
      </c>
      <c r="H7" s="14">
        <v>0</v>
      </c>
      <c r="I7" s="14">
        <v>9.206571612687889E-6</v>
      </c>
      <c r="J7" s="14">
        <v>1.4335976887274401E-5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2.8215693342910645E-8</v>
      </c>
      <c r="E8" s="14">
        <v>2.2679338919080806E-7</v>
      </c>
      <c r="F8" s="14">
        <v>6.0306613506691301E-6</v>
      </c>
      <c r="G8" s="14">
        <v>9.4158709343920955E-6</v>
      </c>
      <c r="H8" s="14">
        <v>0</v>
      </c>
      <c r="I8" s="14">
        <v>7.0411475646905491E-6</v>
      </c>
      <c r="J8" s="14">
        <v>1.7257311067714509E-5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1.117607160395278E-8</v>
      </c>
      <c r="E9" s="14">
        <v>6.5658179982791475E-6</v>
      </c>
      <c r="F9" s="14">
        <v>6.5851154058324654E-6</v>
      </c>
      <c r="G9" s="14">
        <v>1.293179900416937E-6</v>
      </c>
      <c r="H9" s="14">
        <v>0</v>
      </c>
      <c r="I9" s="14">
        <v>9.3131250540327591E-7</v>
      </c>
      <c r="J9" s="14">
        <v>2.461339811846422E-5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2.7278481688570364E-10</v>
      </c>
      <c r="E10" s="14">
        <v>1.1417206562459462E-6</v>
      </c>
      <c r="F10" s="14">
        <v>1.1713708408613355E-5</v>
      </c>
      <c r="G10" s="14">
        <v>3.7084289625905236E-6</v>
      </c>
      <c r="H10" s="14">
        <v>0</v>
      </c>
      <c r="I10" s="14">
        <v>2.720026959113368E-6</v>
      </c>
      <c r="J10" s="14">
        <v>2.0715842228619919E-5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1.4097128209985423E-8</v>
      </c>
      <c r="E11" s="14">
        <v>1.0006226148876644E-6</v>
      </c>
      <c r="F11" s="14">
        <v>1.1194504221617026E-5</v>
      </c>
      <c r="G11" s="14">
        <v>4.0973250589601396E-6</v>
      </c>
      <c r="H11" s="14">
        <v>0</v>
      </c>
      <c r="I11" s="14">
        <v>3.0104739110110925E-6</v>
      </c>
      <c r="J11" s="14">
        <v>2.0682977065314093E-5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6.7873619368860608E-9</v>
      </c>
      <c r="E12" s="14">
        <v>4.8914844035237247E-6</v>
      </c>
      <c r="F12" s="14">
        <v>8.2942137526582404E-6</v>
      </c>
      <c r="G12" s="14">
        <v>1.5670064312086807E-6</v>
      </c>
      <c r="H12" s="14">
        <v>0</v>
      </c>
      <c r="I12" s="14">
        <v>1.1312742026954976E-6</v>
      </c>
      <c r="J12" s="14">
        <v>2.4109233847976975E-5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1.7645087588320294E-8</v>
      </c>
      <c r="E13" s="14">
        <v>6.3900386207176408E-6</v>
      </c>
      <c r="F13" s="14">
        <v>6.7374884452534727E-6</v>
      </c>
      <c r="G13" s="14">
        <v>1.318237278016633E-6</v>
      </c>
      <c r="H13" s="14">
        <v>0</v>
      </c>
      <c r="I13" s="14">
        <v>9.4955217978003925E-7</v>
      </c>
      <c r="J13" s="14">
        <v>2.4587038388643898E-5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9.2468512062962215E-9</v>
      </c>
      <c r="E14" s="14">
        <v>6.535420466542074E-7</v>
      </c>
      <c r="F14" s="14">
        <v>9.5624259314437871E-6</v>
      </c>
      <c r="G14" s="14">
        <v>5.4873623556026208E-6</v>
      </c>
      <c r="H14" s="14">
        <v>0</v>
      </c>
      <c r="I14" s="14">
        <v>4.053677920471363E-6</v>
      </c>
      <c r="J14" s="14">
        <v>2.0233744894621734E-5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1.5406473441710364E-11</v>
      </c>
      <c r="E15" s="14">
        <v>1.0694067084456288E-6</v>
      </c>
      <c r="F15" s="14">
        <v>1.1457172568641059E-5</v>
      </c>
      <c r="G15" s="14">
        <v>3.9000754590765381E-6</v>
      </c>
      <c r="H15" s="14">
        <v>0</v>
      </c>
      <c r="I15" s="14">
        <v>2.8630655987032539E-6</v>
      </c>
      <c r="J15" s="14">
        <v>2.0710264258660086E-5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7.3145037858970023E-8</v>
      </c>
      <c r="E16" s="14">
        <v>2.3412324426365872E-7</v>
      </c>
      <c r="F16" s="14">
        <v>6.1186989246337673E-6</v>
      </c>
      <c r="G16" s="14">
        <v>9.2801423776124474E-6</v>
      </c>
      <c r="H16" s="14">
        <v>0</v>
      </c>
      <c r="I16" s="14">
        <v>6.9371859062685405E-6</v>
      </c>
      <c r="J16" s="14">
        <v>1.7356704509362623E-5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5.4707481652736044E-9</v>
      </c>
      <c r="E17" s="14">
        <v>1.2023374868348695E-6</v>
      </c>
      <c r="F17" s="14">
        <v>1.1915737801605059E-5</v>
      </c>
      <c r="G17" s="14">
        <v>3.5597253687745571E-6</v>
      </c>
      <c r="H17" s="14">
        <v>0</v>
      </c>
      <c r="I17" s="14">
        <v>2.6091592589821548E-6</v>
      </c>
      <c r="J17" s="14">
        <v>2.0707569335638093E-5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3.1328595264643151E-7</v>
      </c>
      <c r="E18" s="14">
        <v>7.3363591941550017E-6</v>
      </c>
      <c r="F18" s="14">
        <v>5.8750982935321784E-6</v>
      </c>
      <c r="G18" s="14">
        <v>1.1730342489669912E-6</v>
      </c>
      <c r="H18" s="14">
        <v>0</v>
      </c>
      <c r="I18" s="14">
        <v>8.4408815030610299E-7</v>
      </c>
      <c r="J18" s="14">
        <v>2.44581341603933E-5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5.3956408071024637E-11</v>
      </c>
      <c r="E19" s="14">
        <v>1.0554136216317655E-6</v>
      </c>
      <c r="F19" s="14">
        <v>1.1405576596701122E-5</v>
      </c>
      <c r="G19" s="14">
        <v>3.9392432619629033E-6</v>
      </c>
      <c r="H19" s="14">
        <v>0</v>
      </c>
      <c r="I19" s="14">
        <v>2.8923193034967798E-6</v>
      </c>
      <c r="J19" s="14">
        <v>2.0707393259799362E-5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2.6716922543067487E-9</v>
      </c>
      <c r="E20" s="14">
        <v>6.3924316907275788E-6</v>
      </c>
      <c r="F20" s="14">
        <v>6.7400116352524148E-6</v>
      </c>
      <c r="G20" s="14">
        <v>1.3187309579899868E-6</v>
      </c>
      <c r="H20" s="14">
        <v>0</v>
      </c>
      <c r="I20" s="14">
        <v>9.4990778715257306E-7</v>
      </c>
      <c r="J20" s="14">
        <v>2.4596246236623142E-5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7.7572834051888943E-8</v>
      </c>
      <c r="E21" s="14">
        <v>7.4050726348756204E-7</v>
      </c>
      <c r="F21" s="14">
        <v>1.0022680197759505E-5</v>
      </c>
      <c r="G21" s="14">
        <v>5.0475360400443022E-6</v>
      </c>
      <c r="H21" s="14">
        <v>0</v>
      </c>
      <c r="I21" s="14">
        <v>3.7228851988366588E-6</v>
      </c>
      <c r="J21" s="14">
        <v>2.0388818465820087E-5</v>
      </c>
      <c r="K21" s="14">
        <v>0</v>
      </c>
      <c r="L21" s="21"/>
      <c r="M21" s="12"/>
    </row>
    <row r="22" spans="1:13">
      <c r="A22" s="2" t="s">
        <v>343</v>
      </c>
      <c r="B22" s="3" t="s">
        <v>344</v>
      </c>
      <c r="D22" s="14">
        <v>9.0516065591858156E-8</v>
      </c>
      <c r="E22" s="14">
        <v>2.5999520169029913E-5</v>
      </c>
      <c r="F22" s="14">
        <v>5.5437020829528666E-7</v>
      </c>
      <c r="G22" s="14">
        <v>1.44575744943386E-7</v>
      </c>
      <c r="H22" s="14">
        <v>0</v>
      </c>
      <c r="I22" s="14">
        <v>1.1292482496909829E-7</v>
      </c>
      <c r="J22" s="14">
        <v>1.3098092987170454E-5</v>
      </c>
      <c r="K22" s="14">
        <v>0</v>
      </c>
      <c r="L22" s="21"/>
      <c r="M22" s="12"/>
    </row>
    <row r="23" spans="1:13">
      <c r="A23" s="2" t="s">
        <v>345</v>
      </c>
      <c r="B23" s="3" t="s">
        <v>346</v>
      </c>
      <c r="D23" s="14">
        <v>3.5677781829452043E-9</v>
      </c>
      <c r="E23" s="14">
        <v>3.0407275567553025E-5</v>
      </c>
      <c r="F23" s="14">
        <v>2.4449616999448256E-7</v>
      </c>
      <c r="G23" s="14">
        <v>6.8512153037179556E-8</v>
      </c>
      <c r="H23" s="14">
        <v>0</v>
      </c>
      <c r="I23" s="14">
        <v>6.1468580031447453E-8</v>
      </c>
      <c r="J23" s="14">
        <v>9.2146797512009264E-6</v>
      </c>
      <c r="K23" s="14">
        <v>0</v>
      </c>
      <c r="L23" s="21"/>
    </row>
    <row r="24" spans="1:13">
      <c r="A24" s="2" t="s">
        <v>347</v>
      </c>
      <c r="B24" s="3" t="s">
        <v>348</v>
      </c>
      <c r="D24" s="14">
        <v>5.3225694340686544E-9</v>
      </c>
      <c r="E24" s="14">
        <v>1.2839289756798442E-5</v>
      </c>
      <c r="F24" s="14">
        <v>3.0959614939555667E-6</v>
      </c>
      <c r="G24" s="14">
        <v>6.7529122424027842E-7</v>
      </c>
      <c r="H24" s="14">
        <v>0</v>
      </c>
      <c r="I24" s="14">
        <v>4.8580883094083689E-7</v>
      </c>
      <c r="J24" s="14">
        <v>2.2898326124630807E-5</v>
      </c>
      <c r="K24" s="14">
        <v>0</v>
      </c>
      <c r="L24" s="21"/>
    </row>
    <row r="25" spans="1:13">
      <c r="A25" s="2" t="s">
        <v>349</v>
      </c>
      <c r="B25" s="3" t="s">
        <v>350</v>
      </c>
      <c r="D25" s="14">
        <v>1.9576809848618962E-6</v>
      </c>
      <c r="E25" s="14">
        <v>3.0751165952173535E-6</v>
      </c>
      <c r="F25" s="14">
        <v>1.0242739730998708E-5</v>
      </c>
      <c r="G25" s="14">
        <v>1.8412454759475494E-6</v>
      </c>
      <c r="H25" s="14">
        <v>0</v>
      </c>
      <c r="I25" s="14">
        <v>1.3343560367316305E-6</v>
      </c>
      <c r="J25" s="14">
        <v>2.154886117624287E-5</v>
      </c>
      <c r="K25" s="14">
        <v>0</v>
      </c>
      <c r="L25" s="21"/>
    </row>
    <row r="26" spans="1:13">
      <c r="A26" s="2" t="s">
        <v>351</v>
      </c>
      <c r="B26" s="3" t="s">
        <v>352</v>
      </c>
      <c r="D26" s="14">
        <v>6.2458426464562723E-8</v>
      </c>
      <c r="E26" s="14">
        <v>8.0495333345811325E-7</v>
      </c>
      <c r="F26" s="14">
        <v>1.0343446050713195E-5</v>
      </c>
      <c r="G26" s="14">
        <v>4.7748618303719403E-6</v>
      </c>
      <c r="H26" s="14">
        <v>0</v>
      </c>
      <c r="I26" s="14">
        <v>3.5180761446366534E-6</v>
      </c>
      <c r="J26" s="14">
        <v>2.0496204214355538E-5</v>
      </c>
      <c r="K26" s="14">
        <v>0</v>
      </c>
    </row>
    <row r="27" spans="1:13">
      <c r="A27" s="2" t="s">
        <v>353</v>
      </c>
      <c r="B27" s="3" t="s">
        <v>354</v>
      </c>
      <c r="D27" s="14">
        <v>4.3983148518351967E-7</v>
      </c>
      <c r="E27" s="14">
        <v>1.2777502643005015E-7</v>
      </c>
      <c r="F27" s="14">
        <v>4.5212709052686315E-6</v>
      </c>
      <c r="G27" s="14">
        <v>1.139347189108631E-5</v>
      </c>
      <c r="H27" s="14">
        <v>0</v>
      </c>
      <c r="I27" s="14">
        <v>8.5701454027332337E-6</v>
      </c>
      <c r="J27" s="14">
        <v>1.4947505289298259E-5</v>
      </c>
      <c r="K27" s="14">
        <v>0</v>
      </c>
    </row>
    <row r="28" spans="1:13">
      <c r="A28" s="2" t="s">
        <v>355</v>
      </c>
      <c r="B28" s="3" t="s">
        <v>356</v>
      </c>
      <c r="D28" s="14">
        <v>2.3219591530865367E-8</v>
      </c>
      <c r="E28" s="14">
        <v>4.4006237677301278E-7</v>
      </c>
      <c r="F28" s="14">
        <v>8.1344611710157214E-6</v>
      </c>
      <c r="G28" s="14">
        <v>6.905964567955783E-6</v>
      </c>
      <c r="H28" s="14">
        <v>0</v>
      </c>
      <c r="I28" s="14">
        <v>5.1259642204222577E-6</v>
      </c>
      <c r="J28" s="14">
        <v>1.9370328072302359E-5</v>
      </c>
      <c r="K28" s="14">
        <v>0</v>
      </c>
    </row>
    <row r="29" spans="1:13">
      <c r="A29" s="2" t="s">
        <v>357</v>
      </c>
      <c r="B29" s="3" t="s">
        <v>358</v>
      </c>
      <c r="D29" s="14">
        <v>4.3133260630427295E-6</v>
      </c>
      <c r="E29" s="14">
        <v>6.0851593312095923E-7</v>
      </c>
      <c r="F29" s="14">
        <v>8.6753400002752629E-6</v>
      </c>
      <c r="G29" s="14">
        <v>4.7663075250139012E-6</v>
      </c>
      <c r="H29" s="14">
        <v>0</v>
      </c>
      <c r="I29" s="14">
        <v>3.5191598077363724E-6</v>
      </c>
      <c r="J29" s="14">
        <v>1.8117350670810785E-5</v>
      </c>
      <c r="K29" s="14">
        <v>0</v>
      </c>
    </row>
    <row r="30" spans="1:13">
      <c r="A30" s="2" t="s">
        <v>359</v>
      </c>
      <c r="B30" s="3" t="s">
        <v>360</v>
      </c>
      <c r="D30" s="14">
        <v>2.3219591530865367E-8</v>
      </c>
      <c r="E30" s="14">
        <v>4.4006237677301278E-7</v>
      </c>
      <c r="F30" s="14">
        <v>8.1344611710157214E-6</v>
      </c>
      <c r="G30" s="14">
        <v>6.905964567955783E-6</v>
      </c>
      <c r="H30" s="14">
        <v>0</v>
      </c>
      <c r="I30" s="14">
        <v>5.1259642204222577E-6</v>
      </c>
      <c r="J30" s="14">
        <v>1.9370328072302359E-5</v>
      </c>
      <c r="K30" s="14">
        <v>0</v>
      </c>
    </row>
    <row r="31" spans="1:13">
      <c r="A31" s="2" t="s">
        <v>283</v>
      </c>
      <c r="B31" s="3" t="s">
        <v>284</v>
      </c>
      <c r="D31" s="14">
        <v>1.0454399714440081E-12</v>
      </c>
      <c r="E31" s="14">
        <v>3.9046199188176483E-5</v>
      </c>
      <c r="F31" s="14">
        <v>2.3942710581361623E-9</v>
      </c>
      <c r="G31" s="14">
        <v>9.6087937437530483E-10</v>
      </c>
      <c r="H31" s="14">
        <v>0</v>
      </c>
      <c r="I31" s="14">
        <v>1.8518458508558331E-8</v>
      </c>
      <c r="J31" s="14">
        <v>9.3192615744247904E-7</v>
      </c>
      <c r="K31" s="14">
        <v>0</v>
      </c>
    </row>
    <row r="32" spans="1:13">
      <c r="A32" s="2" t="s">
        <v>361</v>
      </c>
      <c r="B32" s="3" t="s">
        <v>362</v>
      </c>
      <c r="D32" s="14">
        <v>1.0863495549203565E-12</v>
      </c>
      <c r="E32" s="14">
        <v>2.2190925980468527E-5</v>
      </c>
      <c r="F32" s="14">
        <v>9.9408128053466181E-7</v>
      </c>
      <c r="G32" s="14">
        <v>2.4509844570237821E-7</v>
      </c>
      <c r="H32" s="14">
        <v>0</v>
      </c>
      <c r="I32" s="14">
        <v>1.8463884354160618E-7</v>
      </c>
      <c r="J32" s="14">
        <v>1.6385254363403268E-5</v>
      </c>
      <c r="K32" s="14">
        <v>0</v>
      </c>
    </row>
    <row r="33" spans="1:11">
      <c r="A33" s="2" t="s">
        <v>364</v>
      </c>
      <c r="B33" s="3" t="s">
        <v>365</v>
      </c>
      <c r="D33" s="14">
        <v>4.8277781881179444E-15</v>
      </c>
      <c r="E33" s="14">
        <v>3.9962359819135162E-5</v>
      </c>
      <c r="F33" s="14">
        <v>1.680605096567909E-8</v>
      </c>
      <c r="G33" s="14">
        <v>5.1391701752401064E-12</v>
      </c>
      <c r="H33" s="14">
        <v>0</v>
      </c>
      <c r="I33" s="14">
        <v>1.8544409799625567E-8</v>
      </c>
      <c r="J33" s="14">
        <v>2.2845761015821554E-9</v>
      </c>
      <c r="K33" s="14">
        <v>0</v>
      </c>
    </row>
    <row r="34" spans="1:11">
      <c r="A34" s="2" t="s">
        <v>285</v>
      </c>
      <c r="B34" s="3" t="s">
        <v>286</v>
      </c>
      <c r="D34" s="14">
        <v>2.4100820844994575E-14</v>
      </c>
      <c r="E34" s="14">
        <v>3.6901603000344608E-5</v>
      </c>
      <c r="F34" s="14">
        <v>3.0361259420959429E-6</v>
      </c>
      <c r="G34" s="14">
        <v>2.4934134039034489E-10</v>
      </c>
      <c r="H34" s="14">
        <v>0</v>
      </c>
      <c r="I34" s="14">
        <v>4.8950749131271229E-8</v>
      </c>
      <c r="J34" s="14">
        <v>1.3070942986965831E-8</v>
      </c>
      <c r="K34" s="14">
        <v>0</v>
      </c>
    </row>
    <row r="35" spans="1:11">
      <c r="A35" s="2" t="s">
        <v>287</v>
      </c>
      <c r="B35" s="3" t="s">
        <v>288</v>
      </c>
      <c r="D35" s="14">
        <v>1.0609381038002203E-15</v>
      </c>
      <c r="E35" s="14">
        <v>3.3015194873570163E-5</v>
      </c>
      <c r="F35" s="14">
        <v>6.851858970441906E-6</v>
      </c>
      <c r="G35" s="14">
        <v>1.3268924961768055E-9</v>
      </c>
      <c r="H35" s="14">
        <v>0</v>
      </c>
      <c r="I35" s="14">
        <v>8.3806001011225496E-8</v>
      </c>
      <c r="J35" s="14">
        <v>4.7813261419597398E-8</v>
      </c>
      <c r="K35" s="14">
        <v>0</v>
      </c>
    </row>
    <row r="36" spans="1:11">
      <c r="A36" s="2" t="s">
        <v>366</v>
      </c>
      <c r="B36" s="3" t="s">
        <v>305</v>
      </c>
      <c r="D36" s="14">
        <v>3.7037174121126275E-12</v>
      </c>
      <c r="E36" s="14">
        <v>2.1807431704086927E-5</v>
      </c>
      <c r="F36" s="14">
        <v>1.7906020255065424E-5</v>
      </c>
      <c r="G36" s="14">
        <v>5.1267348289003704E-9</v>
      </c>
      <c r="H36" s="14">
        <v>0</v>
      </c>
      <c r="I36" s="14">
        <v>1.7560107968519963E-7</v>
      </c>
      <c r="J36" s="14">
        <v>1.0581652261613607E-7</v>
      </c>
      <c r="K36" s="14">
        <v>0</v>
      </c>
    </row>
    <row r="37" spans="1:11">
      <c r="A37" s="2" t="s">
        <v>289</v>
      </c>
      <c r="B37" s="3" t="s">
        <v>290</v>
      </c>
      <c r="D37" s="14">
        <v>4.736674485174612E-19</v>
      </c>
      <c r="E37" s="14">
        <v>2.3597142271422343E-5</v>
      </c>
      <c r="F37" s="14">
        <v>7.8757869855451993E-6</v>
      </c>
      <c r="G37" s="14">
        <v>2.6888307263957725E-7</v>
      </c>
      <c r="H37" s="14">
        <v>0</v>
      </c>
      <c r="I37" s="14">
        <v>2.6580824930939871E-7</v>
      </c>
      <c r="J37" s="14">
        <v>7.9923794210830149E-6</v>
      </c>
      <c r="K37" s="14">
        <v>0</v>
      </c>
    </row>
    <row r="38" spans="1:11">
      <c r="A38" s="2" t="s">
        <v>291</v>
      </c>
      <c r="B38" s="3" t="s">
        <v>292</v>
      </c>
      <c r="D38" s="14">
        <v>7.361415632353895E-17</v>
      </c>
      <c r="E38" s="14">
        <v>3.7496626464674483E-5</v>
      </c>
      <c r="F38" s="14">
        <v>2.3431859079843587E-6</v>
      </c>
      <c r="G38" s="14">
        <v>1.9575992705435956E-9</v>
      </c>
      <c r="H38" s="14">
        <v>0</v>
      </c>
      <c r="I38" s="14">
        <v>4.3510744708841907E-8</v>
      </c>
      <c r="J38" s="14">
        <v>1.1471928328815975E-7</v>
      </c>
      <c r="K38" s="14">
        <v>0</v>
      </c>
    </row>
    <row r="39" spans="1:11">
      <c r="A39" s="2" t="s">
        <v>367</v>
      </c>
      <c r="B39" s="3" t="s">
        <v>368</v>
      </c>
      <c r="D39" s="14">
        <v>2.6645411402241838E-9</v>
      </c>
      <c r="E39" s="14">
        <v>1.9046803204271163E-6</v>
      </c>
      <c r="F39" s="14">
        <v>1.3702400116757172E-5</v>
      </c>
      <c r="G39" s="14">
        <v>2.3932727743782304E-6</v>
      </c>
      <c r="H39" s="14">
        <v>0</v>
      </c>
      <c r="I39" s="14">
        <v>1.7432608867408949E-6</v>
      </c>
      <c r="J39" s="14">
        <v>2.0253721360556369E-5</v>
      </c>
      <c r="K39" s="14">
        <v>0</v>
      </c>
    </row>
    <row r="40" spans="1:11">
      <c r="A40" s="2" t="s">
        <v>369</v>
      </c>
      <c r="B40" s="3" t="s">
        <v>370</v>
      </c>
      <c r="D40" s="14">
        <v>2.2661921745925796E-16</v>
      </c>
      <c r="E40" s="14">
        <v>2.4794295693205791E-7</v>
      </c>
      <c r="F40" s="14">
        <v>2.2542720512030442E-5</v>
      </c>
      <c r="G40" s="14">
        <v>1.6308976372412817E-6</v>
      </c>
      <c r="H40" s="14">
        <v>0</v>
      </c>
      <c r="I40" s="14">
        <v>1.4869286890245616E-5</v>
      </c>
      <c r="J40" s="14">
        <v>7.0915200332398521E-7</v>
      </c>
      <c r="K40" s="14">
        <v>0</v>
      </c>
    </row>
    <row r="41" spans="1:11">
      <c r="A41" s="2" t="s">
        <v>371</v>
      </c>
      <c r="B41" s="3" t="s">
        <v>372</v>
      </c>
      <c r="D41" s="14">
        <v>3.2605341878143785E-6</v>
      </c>
      <c r="E41" s="14">
        <v>3.6539989885159529E-5</v>
      </c>
      <c r="F41" s="14">
        <v>1.114712761807039E-10</v>
      </c>
      <c r="G41" s="14">
        <v>5.5803126060216641E-11</v>
      </c>
      <c r="H41" s="14">
        <v>0</v>
      </c>
      <c r="I41" s="14">
        <v>1.6763141001088462E-8</v>
      </c>
      <c r="J41" s="14">
        <v>1.825455116227729E-7</v>
      </c>
      <c r="K41" s="14">
        <v>0</v>
      </c>
    </row>
    <row r="42" spans="1:11">
      <c r="A42" s="2" t="s">
        <v>293</v>
      </c>
      <c r="B42" s="3" t="s">
        <v>294</v>
      </c>
      <c r="D42" s="14">
        <v>8.2948549013162226E-13</v>
      </c>
      <c r="E42" s="14">
        <v>2.4917728986344544E-5</v>
      </c>
      <c r="F42" s="14">
        <v>6.6540032456822223E-7</v>
      </c>
      <c r="G42" s="14">
        <v>1.7067840030194031E-7</v>
      </c>
      <c r="H42" s="14">
        <v>0</v>
      </c>
      <c r="I42" s="14">
        <v>1.3085631120413442E-7</v>
      </c>
      <c r="J42" s="14">
        <v>1.4115335148095673E-5</v>
      </c>
      <c r="K42" s="14">
        <v>0</v>
      </c>
    </row>
    <row r="43" spans="1:11">
      <c r="A43" s="2" t="s">
        <v>373</v>
      </c>
      <c r="B43" s="3" t="s">
        <v>374</v>
      </c>
      <c r="D43" s="14">
        <v>1.5671215769517596E-11</v>
      </c>
      <c r="E43" s="14">
        <v>3.2144599775224138E-6</v>
      </c>
      <c r="F43" s="14">
        <v>3.5961895377143187E-5</v>
      </c>
      <c r="G43" s="14">
        <v>3.0364385370687002E-8</v>
      </c>
      <c r="H43" s="14">
        <v>0</v>
      </c>
      <c r="I43" s="14">
        <v>6.3998754160449303E-7</v>
      </c>
      <c r="J43" s="14">
        <v>1.5327704714345134E-7</v>
      </c>
      <c r="K43" s="14">
        <v>0</v>
      </c>
    </row>
    <row r="44" spans="1:11">
      <c r="A44" s="2" t="s">
        <v>375</v>
      </c>
      <c r="B44" s="3" t="s">
        <v>376</v>
      </c>
      <c r="D44" s="14">
        <v>3.4738787141060057E-6</v>
      </c>
      <c r="E44" s="14">
        <v>3.1199980031319204E-5</v>
      </c>
      <c r="F44" s="14">
        <v>7.9412499653347383E-8</v>
      </c>
      <c r="G44" s="14">
        <v>2.4220573476070678E-8</v>
      </c>
      <c r="H44" s="14">
        <v>0</v>
      </c>
      <c r="I44" s="14">
        <v>3.0958046417727612E-8</v>
      </c>
      <c r="J44" s="14">
        <v>5.1915501350276476E-6</v>
      </c>
      <c r="K44" s="14">
        <v>0</v>
      </c>
    </row>
    <row r="45" spans="1:11">
      <c r="A45" s="2" t="s">
        <v>377</v>
      </c>
      <c r="B45" s="3" t="s">
        <v>378</v>
      </c>
      <c r="D45" s="14">
        <v>3.2378732364149902E-8</v>
      </c>
      <c r="E45" s="14">
        <v>2.3849512517259337E-5</v>
      </c>
      <c r="F45" s="14">
        <v>7.7791842324735979E-7</v>
      </c>
      <c r="G45" s="14">
        <v>1.9662086947972966E-7</v>
      </c>
      <c r="H45" s="14">
        <v>0</v>
      </c>
      <c r="I45" s="14">
        <v>1.4871541313470821E-7</v>
      </c>
      <c r="J45" s="14">
        <v>1.4994854044514721E-5</v>
      </c>
      <c r="K45" s="14">
        <v>0</v>
      </c>
    </row>
    <row r="46" spans="1:11">
      <c r="A46" s="2" t="s">
        <v>379</v>
      </c>
      <c r="B46" s="3" t="s">
        <v>380</v>
      </c>
      <c r="D46" s="14">
        <v>9.5741766936728134E-8</v>
      </c>
      <c r="E46" s="14">
        <v>2.446927505049027E-5</v>
      </c>
      <c r="F46" s="14">
        <v>7.04329134188614E-7</v>
      </c>
      <c r="G46" s="14">
        <v>1.7966819653640404E-7</v>
      </c>
      <c r="H46" s="14">
        <v>0</v>
      </c>
      <c r="I46" s="14">
        <v>1.3700837695053851E-7</v>
      </c>
      <c r="J46" s="14">
        <v>1.4413977474897452E-5</v>
      </c>
      <c r="K46" s="14">
        <v>0</v>
      </c>
    </row>
    <row r="47" spans="1:11">
      <c r="A47" s="2" t="s">
        <v>381</v>
      </c>
      <c r="B47" s="3" t="s">
        <v>382</v>
      </c>
      <c r="D47" s="14">
        <v>7.5839390496732979E-12</v>
      </c>
      <c r="E47" s="14">
        <v>1.1823729854736956E-7</v>
      </c>
      <c r="F47" s="14">
        <v>4.3688692643142815E-6</v>
      </c>
      <c r="G47" s="14">
        <v>1.1837625716696003E-5</v>
      </c>
      <c r="H47" s="14">
        <v>0</v>
      </c>
      <c r="I47" s="14">
        <v>8.912171241573073E-6</v>
      </c>
      <c r="J47" s="14">
        <v>1.4763088894930228E-5</v>
      </c>
      <c r="K47" s="14">
        <v>0</v>
      </c>
    </row>
    <row r="48" spans="1:11">
      <c r="A48" s="2" t="s">
        <v>383</v>
      </c>
      <c r="B48" s="3" t="s">
        <v>384</v>
      </c>
      <c r="D48" s="14">
        <v>4.7270816390036506E-7</v>
      </c>
      <c r="E48" s="14">
        <v>3.6395925496734208E-5</v>
      </c>
      <c r="F48" s="14">
        <v>2.5238719544680402E-8</v>
      </c>
      <c r="G48" s="14">
        <v>8.4715498960316177E-9</v>
      </c>
      <c r="H48" s="14">
        <v>0</v>
      </c>
      <c r="I48" s="14">
        <v>2.2440933233208195E-8</v>
      </c>
      <c r="J48" s="14">
        <v>3.0752151366915101E-6</v>
      </c>
      <c r="K48" s="14">
        <v>0</v>
      </c>
    </row>
    <row r="49" spans="1:11">
      <c r="A49" s="2" t="s">
        <v>385</v>
      </c>
      <c r="B49" s="3" t="s">
        <v>386</v>
      </c>
      <c r="D49" s="14">
        <v>8.8783415438178052E-7</v>
      </c>
      <c r="E49" s="14">
        <v>3.4937474844373892E-5</v>
      </c>
      <c r="F49" s="14">
        <v>4.5269538063455208E-8</v>
      </c>
      <c r="G49" s="14">
        <v>1.4511142879930733E-8</v>
      </c>
      <c r="H49" s="14">
        <v>0</v>
      </c>
      <c r="I49" s="14">
        <v>2.5937264016127809E-8</v>
      </c>
      <c r="J49" s="14">
        <v>4.0889730562848223E-6</v>
      </c>
      <c r="K49" s="14">
        <v>0</v>
      </c>
    </row>
    <row r="50" spans="1:11">
      <c r="A50" s="2" t="s">
        <v>387</v>
      </c>
      <c r="B50" s="3" t="s">
        <v>388</v>
      </c>
      <c r="D50" s="14">
        <v>6.5868091953739059E-7</v>
      </c>
      <c r="E50" s="14">
        <v>7.5577887319784702E-6</v>
      </c>
      <c r="F50" s="14">
        <v>5.6149940191771222E-6</v>
      </c>
      <c r="G50" s="14">
        <v>1.1273138777006121E-6</v>
      </c>
      <c r="H50" s="14">
        <v>0</v>
      </c>
      <c r="I50" s="14">
        <v>8.1099539007735206E-7</v>
      </c>
      <c r="J50" s="14">
        <v>2.4230227061529061E-5</v>
      </c>
      <c r="K50" s="14">
        <v>0</v>
      </c>
    </row>
    <row r="51" spans="1:11">
      <c r="A51" s="2" t="s">
        <v>295</v>
      </c>
      <c r="B51" s="3" t="s">
        <v>296</v>
      </c>
      <c r="D51" s="14">
        <v>2.615961592449642E-6</v>
      </c>
      <c r="E51" s="14">
        <v>3.6180205384216506E-5</v>
      </c>
      <c r="F51" s="14">
        <v>4.0430171007960222E-9</v>
      </c>
      <c r="G51" s="14">
        <v>1.5523910621959913E-9</v>
      </c>
      <c r="H51" s="14">
        <v>0</v>
      </c>
      <c r="I51" s="14">
        <v>1.7607751958589788E-8</v>
      </c>
      <c r="J51" s="14">
        <v>1.1806298632122709E-6</v>
      </c>
      <c r="K51" s="14">
        <v>0</v>
      </c>
    </row>
    <row r="52" spans="1:11">
      <c r="A52" s="2" t="s">
        <v>389</v>
      </c>
      <c r="B52" s="3" t="s">
        <v>390</v>
      </c>
      <c r="D52" s="14">
        <v>2.8596896386895376E-6</v>
      </c>
      <c r="E52" s="14">
        <v>3.0075895441228696E-5</v>
      </c>
      <c r="F52" s="14">
        <v>1.3950607393921481E-7</v>
      </c>
      <c r="G52" s="14">
        <v>4.0708834823324744E-8</v>
      </c>
      <c r="H52" s="14">
        <v>0</v>
      </c>
      <c r="I52" s="14">
        <v>4.1912760614939801E-8</v>
      </c>
      <c r="J52" s="14">
        <v>6.8422872507042916E-6</v>
      </c>
      <c r="K52" s="14">
        <v>0</v>
      </c>
    </row>
    <row r="53" spans="1:11">
      <c r="A53" s="2" t="s">
        <v>391</v>
      </c>
      <c r="B53" s="3" t="s">
        <v>392</v>
      </c>
      <c r="D53" s="14">
        <v>1.0556546091885083E-7</v>
      </c>
      <c r="E53" s="14">
        <v>2.0381751993343118E-5</v>
      </c>
      <c r="F53" s="14">
        <v>1.2422129806541996E-6</v>
      </c>
      <c r="G53" s="14">
        <v>2.9984141486107205E-7</v>
      </c>
      <c r="H53" s="14">
        <v>0</v>
      </c>
      <c r="I53" s="14">
        <v>2.2038735049073203E-7</v>
      </c>
      <c r="J53" s="14">
        <v>1.7750240799732026E-5</v>
      </c>
      <c r="K53" s="14">
        <v>0</v>
      </c>
    </row>
    <row r="54" spans="1:11">
      <c r="A54" s="2" t="s">
        <v>393</v>
      </c>
      <c r="B54" s="3" t="s">
        <v>394</v>
      </c>
      <c r="D54" s="14">
        <v>3.4298936233107511E-8</v>
      </c>
      <c r="E54" s="14">
        <v>1.6189010893407371E-7</v>
      </c>
      <c r="F54" s="14">
        <v>5.118643294264443E-6</v>
      </c>
      <c r="G54" s="14">
        <v>1.0681947054870093E-5</v>
      </c>
      <c r="H54" s="14">
        <v>0</v>
      </c>
      <c r="I54" s="14">
        <v>8.0163650292707322E-6</v>
      </c>
      <c r="J54" s="14">
        <v>1.5986855576427555E-5</v>
      </c>
      <c r="K54" s="14">
        <v>0</v>
      </c>
    </row>
    <row r="55" spans="1:11">
      <c r="A55" s="2" t="s">
        <v>395</v>
      </c>
      <c r="B55" s="3" t="s">
        <v>396</v>
      </c>
      <c r="D55" s="14">
        <v>9.0788434835514698E-6</v>
      </c>
      <c r="E55" s="14">
        <v>9.3344813764368864E-6</v>
      </c>
      <c r="F55" s="14">
        <v>2.6151990147209487E-6</v>
      </c>
      <c r="G55" s="14">
        <v>5.6415741325912985E-7</v>
      </c>
      <c r="H55" s="14">
        <v>0</v>
      </c>
      <c r="I55" s="14">
        <v>4.0564316747776361E-7</v>
      </c>
      <c r="J55" s="14">
        <v>1.8001675544553805E-5</v>
      </c>
      <c r="K55" s="14">
        <v>0</v>
      </c>
    </row>
    <row r="56" spans="1:11">
      <c r="A56" s="2" t="s">
        <v>397</v>
      </c>
      <c r="B56" s="3" t="s">
        <v>398</v>
      </c>
      <c r="D56" s="14">
        <v>3.306683100258477E-5</v>
      </c>
      <c r="E56" s="14">
        <v>8.8575220125125336E-7</v>
      </c>
      <c r="F56" s="14">
        <v>1.3933710747515287E-6</v>
      </c>
      <c r="G56" s="14">
        <v>2.6470512270410316E-7</v>
      </c>
      <c r="H56" s="14">
        <v>0</v>
      </c>
      <c r="I56" s="14">
        <v>1.9102602417134779E-7</v>
      </c>
      <c r="J56" s="14">
        <v>4.1983145745370026E-6</v>
      </c>
      <c r="K56" s="14">
        <v>0</v>
      </c>
    </row>
    <row r="57" spans="1:11">
      <c r="A57" s="2" t="s">
        <v>399</v>
      </c>
      <c r="B57" s="3" t="s">
        <v>400</v>
      </c>
      <c r="D57" s="14">
        <v>3.4922803639884452E-5</v>
      </c>
      <c r="E57" s="14">
        <v>1.3316459315372518E-6</v>
      </c>
      <c r="F57" s="14">
        <v>5.1639653195850445E-7</v>
      </c>
      <c r="G57" s="14">
        <v>1.0876242252924023E-7</v>
      </c>
      <c r="H57" s="14">
        <v>0</v>
      </c>
      <c r="I57" s="14">
        <v>7.8165269449719949E-8</v>
      </c>
      <c r="J57" s="14">
        <v>3.04222620464083E-6</v>
      </c>
      <c r="K57" s="14">
        <v>0</v>
      </c>
    </row>
    <row r="58" spans="1:11">
      <c r="A58" s="2" t="s">
        <v>297</v>
      </c>
      <c r="B58" s="3" t="s">
        <v>298</v>
      </c>
      <c r="D58" s="14">
        <v>3.7298780063037657E-5</v>
      </c>
      <c r="E58" s="14">
        <v>2.3771374386807648E-6</v>
      </c>
      <c r="F58" s="14">
        <v>3.9552035820613915E-9</v>
      </c>
      <c r="G58" s="14">
        <v>1.2446991637442118E-9</v>
      </c>
      <c r="H58" s="14">
        <v>0</v>
      </c>
      <c r="I58" s="14">
        <v>1.9426139778459197E-9</v>
      </c>
      <c r="J58" s="14">
        <v>3.1693998155793511E-7</v>
      </c>
      <c r="K58" s="14">
        <v>0</v>
      </c>
    </row>
    <row r="59" spans="1:11">
      <c r="A59" s="2" t="s">
        <v>401</v>
      </c>
      <c r="B59" s="3" t="s">
        <v>402</v>
      </c>
      <c r="D59" s="14">
        <v>3.8139672450437437E-5</v>
      </c>
      <c r="E59" s="14">
        <v>5.0447148552602811E-7</v>
      </c>
      <c r="F59" s="14">
        <v>1.8148936195081124E-7</v>
      </c>
      <c r="G59" s="14">
        <v>3.8436756212973051E-8</v>
      </c>
      <c r="H59" s="14">
        <v>0</v>
      </c>
      <c r="I59" s="14">
        <v>2.7624774284352416E-8</v>
      </c>
      <c r="J59" s="14">
        <v>1.108305171588397E-6</v>
      </c>
      <c r="K59" s="14">
        <v>0</v>
      </c>
    </row>
    <row r="60" spans="1:11">
      <c r="A60" s="2" t="s">
        <v>299</v>
      </c>
      <c r="B60" s="3" t="s">
        <v>300</v>
      </c>
      <c r="D60" s="14">
        <v>3.9952372629559776E-5</v>
      </c>
      <c r="E60" s="14">
        <v>1.7987973542910291E-8</v>
      </c>
      <c r="F60" s="14">
        <v>2.8354160313261517E-9</v>
      </c>
      <c r="G60" s="14">
        <v>6.3813467779513303E-10</v>
      </c>
      <c r="H60" s="14">
        <v>0</v>
      </c>
      <c r="I60" s="14">
        <v>4.6041007380312997E-10</v>
      </c>
      <c r="J60" s="14">
        <v>2.5705436114387522E-8</v>
      </c>
      <c r="K60" s="14">
        <v>0</v>
      </c>
    </row>
    <row r="61" spans="1:11">
      <c r="A61" s="2" t="s">
        <v>403</v>
      </c>
      <c r="B61" s="3" t="s">
        <v>404</v>
      </c>
      <c r="D61" s="14">
        <v>2.6974484069192795E-48</v>
      </c>
      <c r="E61" s="14">
        <v>1.7190670311414891E-5</v>
      </c>
      <c r="F61" s="14">
        <v>1.8622044569321905E-6</v>
      </c>
      <c r="G61" s="14">
        <v>4.3084684506193284E-7</v>
      </c>
      <c r="H61" s="14">
        <v>0</v>
      </c>
      <c r="I61" s="14">
        <v>3.1236269156265476E-7</v>
      </c>
      <c r="J61" s="14">
        <v>2.0203915695028334E-5</v>
      </c>
      <c r="K61" s="14">
        <v>0</v>
      </c>
    </row>
    <row r="62" spans="1:11">
      <c r="A62" s="2" t="s">
        <v>405</v>
      </c>
      <c r="B62" s="3" t="s">
        <v>406</v>
      </c>
      <c r="D62" s="14">
        <v>1.8547641289835665E-11</v>
      </c>
      <c r="E62" s="14">
        <v>6.7249390503377558E-7</v>
      </c>
      <c r="F62" s="14">
        <v>9.6708111595189747E-6</v>
      </c>
      <c r="G62" s="14">
        <v>5.3908650265106739E-6</v>
      </c>
      <c r="H62" s="14">
        <v>0</v>
      </c>
      <c r="I62" s="14">
        <v>3.9809946026163674E-6</v>
      </c>
      <c r="J62" s="14">
        <v>2.0284816758678927E-5</v>
      </c>
      <c r="K62" s="14">
        <v>0</v>
      </c>
    </row>
    <row r="63" spans="1:11">
      <c r="A63" s="2" t="s">
        <v>407</v>
      </c>
      <c r="B63" s="3" t="s">
        <v>408</v>
      </c>
      <c r="D63" s="14">
        <v>4.8417061050196267E-9</v>
      </c>
      <c r="E63" s="14">
        <v>6.6988166088714549E-8</v>
      </c>
      <c r="F63" s="14">
        <v>3.237223160141592E-6</v>
      </c>
      <c r="G63" s="14">
        <v>1.375207379605478E-5</v>
      </c>
      <c r="H63" s="14">
        <v>0</v>
      </c>
      <c r="I63" s="14">
        <v>1.0410899709921804E-5</v>
      </c>
      <c r="J63" s="14">
        <v>1.2527973461688099E-5</v>
      </c>
      <c r="K63" s="14">
        <v>0</v>
      </c>
    </row>
    <row r="64" spans="1:11">
      <c r="A64" s="2" t="s">
        <v>409</v>
      </c>
      <c r="B64" s="3" t="s">
        <v>410</v>
      </c>
      <c r="D64" s="14">
        <v>6.3775453390962358E-10</v>
      </c>
      <c r="E64" s="14">
        <v>2.46941009531402E-8</v>
      </c>
      <c r="F64" s="14">
        <v>1.8557854682831613E-6</v>
      </c>
      <c r="G64" s="14">
        <v>1.6520505239592633E-5</v>
      </c>
      <c r="H64" s="14">
        <v>0</v>
      </c>
      <c r="I64" s="14">
        <v>1.2621279657291382E-5</v>
      </c>
      <c r="J64" s="14">
        <v>8.9770977793457814E-6</v>
      </c>
      <c r="K64" s="14">
        <v>0</v>
      </c>
    </row>
    <row r="65" spans="1:11">
      <c r="A65" s="2" t="s">
        <v>301</v>
      </c>
      <c r="B65" s="3" t="s">
        <v>302</v>
      </c>
      <c r="D65" s="14">
        <v>8.3521292153674592E-11</v>
      </c>
      <c r="E65" s="14">
        <v>7.3494843451094111E-9</v>
      </c>
      <c r="F65" s="14">
        <v>9.1258099382118345E-7</v>
      </c>
      <c r="G65" s="14">
        <v>1.8843734427569696E-5</v>
      </c>
      <c r="H65" s="14">
        <v>0</v>
      </c>
      <c r="I65" s="14">
        <v>1.4546679470792964E-5</v>
      </c>
      <c r="J65" s="14">
        <v>5.6895721021788971E-6</v>
      </c>
      <c r="K65" s="14">
        <v>0</v>
      </c>
    </row>
    <row r="66" spans="1:11">
      <c r="A66" s="2" t="s">
        <v>303</v>
      </c>
      <c r="B66" s="3" t="s">
        <v>304</v>
      </c>
      <c r="D66" s="14">
        <v>7.8163919377256678E-17</v>
      </c>
      <c r="E66" s="14">
        <v>1.4772227677496609E-8</v>
      </c>
      <c r="F66" s="14">
        <v>1.3784167536262484E-6</v>
      </c>
      <c r="G66" s="14">
        <v>1.7635025759095482E-5</v>
      </c>
      <c r="H66" s="14">
        <v>0</v>
      </c>
      <c r="I66" s="14">
        <v>1.3533227683006362E-5</v>
      </c>
      <c r="J66" s="14">
        <v>7.4385575765162484E-6</v>
      </c>
      <c r="K66" s="14">
        <v>0</v>
      </c>
    </row>
    <row r="67" spans="1:11">
      <c r="A67" s="2" t="s">
        <v>411</v>
      </c>
      <c r="B67" s="3" t="s">
        <v>412</v>
      </c>
      <c r="D67" s="14">
        <v>1.9126481413482861E-7</v>
      </c>
      <c r="E67" s="14">
        <v>3.3457597118187132E-5</v>
      </c>
      <c r="F67" s="14">
        <v>1.0401819125204922E-7</v>
      </c>
      <c r="G67" s="14">
        <v>3.1261142997438732E-8</v>
      </c>
      <c r="H67" s="14">
        <v>0</v>
      </c>
      <c r="I67" s="14">
        <v>3.6868858283024232E-8</v>
      </c>
      <c r="J67" s="14">
        <v>6.1789898751455298E-6</v>
      </c>
      <c r="K67" s="14">
        <v>0</v>
      </c>
    </row>
    <row r="68" spans="1:11">
      <c r="A68" s="2" t="s">
        <v>413</v>
      </c>
      <c r="B68" s="3" t="s">
        <v>414</v>
      </c>
      <c r="D68" s="14">
        <v>4.1966166325913346E-7</v>
      </c>
      <c r="E68" s="14">
        <v>3.1203187591680877E-5</v>
      </c>
      <c r="F68" s="14">
        <v>1.8585468467307574E-7</v>
      </c>
      <c r="G68" s="14">
        <v>5.3243802990154794E-8</v>
      </c>
      <c r="H68" s="14">
        <v>0</v>
      </c>
      <c r="I68" s="14">
        <v>5.1159229605170311E-8</v>
      </c>
      <c r="J68" s="14">
        <v>8.0868930277915945E-6</v>
      </c>
      <c r="K68" s="14">
        <v>0</v>
      </c>
    </row>
    <row r="69" spans="1:11">
      <c r="A69" s="2" t="s">
        <v>415</v>
      </c>
      <c r="B69" s="3" t="s">
        <v>416</v>
      </c>
      <c r="D69" s="14">
        <v>2.1567144735435899E-7</v>
      </c>
      <c r="E69" s="14">
        <v>2.4503736709150238E-7</v>
      </c>
      <c r="F69" s="14">
        <v>6.2397453741262446E-6</v>
      </c>
      <c r="G69" s="14">
        <v>9.0607140195049168E-6</v>
      </c>
      <c r="H69" s="14">
        <v>0</v>
      </c>
      <c r="I69" s="14">
        <v>6.7695498668892995E-6</v>
      </c>
      <c r="J69" s="14">
        <v>1.7469281925033677E-5</v>
      </c>
      <c r="K69" s="14">
        <v>0</v>
      </c>
    </row>
    <row r="70" spans="1:11">
      <c r="A70" s="2" t="s">
        <v>417</v>
      </c>
      <c r="B70" s="3" t="s">
        <v>418</v>
      </c>
      <c r="D70" s="14">
        <v>4.5691510396775422E-7</v>
      </c>
      <c r="E70" s="14">
        <v>3.685489506622595E-6</v>
      </c>
      <c r="F70" s="14">
        <v>9.8018878555501375E-6</v>
      </c>
      <c r="G70" s="14">
        <v>1.7914524477858718E-6</v>
      </c>
      <c r="H70" s="14">
        <v>0</v>
      </c>
      <c r="I70" s="14">
        <v>1.2965334840792293E-6</v>
      </c>
      <c r="J70" s="14">
        <v>2.2967721601994418E-5</v>
      </c>
      <c r="K70" s="14">
        <v>0</v>
      </c>
    </row>
    <row r="71" spans="1:11">
      <c r="A71" s="2" t="s">
        <v>419</v>
      </c>
      <c r="B71" s="3" t="s">
        <v>420</v>
      </c>
      <c r="D71" s="14">
        <v>1.0251327789145563E-6</v>
      </c>
      <c r="E71" s="14">
        <v>3.1068464166019742E-5</v>
      </c>
      <c r="F71" s="14">
        <v>1.674381185483429E-7</v>
      </c>
      <c r="G71" s="14">
        <v>4.8322555183302293E-8</v>
      </c>
      <c r="H71" s="14">
        <v>0</v>
      </c>
      <c r="I71" s="14">
        <v>4.7665934279705543E-8</v>
      </c>
      <c r="J71" s="14">
        <v>7.6429764470543475E-6</v>
      </c>
      <c r="K71" s="14">
        <v>0</v>
      </c>
    </row>
    <row r="72" spans="1:11">
      <c r="A72" s="2" t="s">
        <v>421</v>
      </c>
      <c r="B72" s="3" t="s">
        <v>422</v>
      </c>
      <c r="D72" s="14">
        <v>1.7839933047963834E-6</v>
      </c>
      <c r="E72" s="14">
        <v>3.967097594436294E-6</v>
      </c>
      <c r="F72" s="14">
        <v>8.8566082477276259E-6</v>
      </c>
      <c r="G72" s="14">
        <v>1.6396946906810458E-6</v>
      </c>
      <c r="H72" s="14">
        <v>0</v>
      </c>
      <c r="I72" s="14">
        <v>1.1855130414674956E-6</v>
      </c>
      <c r="J72" s="14">
        <v>2.2567093120891165E-5</v>
      </c>
      <c r="K72" s="14">
        <v>0</v>
      </c>
    </row>
    <row r="73" spans="1:11">
      <c r="A73" s="2" t="s">
        <v>423</v>
      </c>
      <c r="B73" s="3" t="s">
        <v>424</v>
      </c>
      <c r="D73" s="14">
        <v>8.0239284438237833E-7</v>
      </c>
      <c r="E73" s="14">
        <v>1.6159455076590051E-5</v>
      </c>
      <c r="F73" s="14">
        <v>1.9836327135476143E-6</v>
      </c>
      <c r="G73" s="14">
        <v>4.5473336144065477E-7</v>
      </c>
      <c r="H73" s="14">
        <v>0</v>
      </c>
      <c r="I73" s="14">
        <v>3.290532567552402E-7</v>
      </c>
      <c r="J73" s="14">
        <v>2.0270732747284064E-5</v>
      </c>
      <c r="K73" s="14">
        <v>0</v>
      </c>
    </row>
    <row r="74" spans="1:11">
      <c r="A74" s="2" t="s">
        <v>425</v>
      </c>
      <c r="B74" s="3" t="s">
        <v>426</v>
      </c>
      <c r="D74" s="14">
        <v>6.9279582937706695E-7</v>
      </c>
      <c r="E74" s="14">
        <v>3.7790699357122012E-6</v>
      </c>
      <c r="F74" s="14">
        <v>9.5604752043093623E-6</v>
      </c>
      <c r="G74" s="14">
        <v>1.7537796839275326E-6</v>
      </c>
      <c r="H74" s="14">
        <v>0</v>
      </c>
      <c r="I74" s="14">
        <v>1.2689003026439418E-6</v>
      </c>
      <c r="J74" s="14">
        <v>2.2944979044029891E-5</v>
      </c>
      <c r="K74" s="14">
        <v>0</v>
      </c>
    </row>
    <row r="75" spans="1:11">
      <c r="A75" s="2" t="s">
        <v>427</v>
      </c>
      <c r="B75" s="3" t="s">
        <v>428</v>
      </c>
      <c r="D75" s="14">
        <v>2.0060255669253719E-13</v>
      </c>
      <c r="E75" s="14">
        <v>1.5794145903272066E-6</v>
      </c>
      <c r="F75" s="14">
        <v>3.6250224122884063E-5</v>
      </c>
      <c r="G75" s="14">
        <v>1.3988170108950055E-8</v>
      </c>
      <c r="H75" s="14">
        <v>0</v>
      </c>
      <c r="I75" s="14">
        <v>2.1259168689631633E-6</v>
      </c>
      <c r="J75" s="14">
        <v>3.0456047114063392E-8</v>
      </c>
      <c r="K75" s="14">
        <v>0</v>
      </c>
    </row>
    <row r="76" spans="1:11">
      <c r="A76" s="2" t="s">
        <v>429</v>
      </c>
      <c r="B76" s="3" t="s">
        <v>430</v>
      </c>
      <c r="D76" s="14">
        <v>5.0389084274568386E-15</v>
      </c>
      <c r="E76" s="14">
        <v>1.5794145980491089E-6</v>
      </c>
      <c r="F76" s="14">
        <v>3.6250224300114716E-5</v>
      </c>
      <c r="G76" s="14">
        <v>1.3988170177339497E-8</v>
      </c>
      <c r="H76" s="14">
        <v>0</v>
      </c>
      <c r="I76" s="14">
        <v>2.1259168793569653E-6</v>
      </c>
      <c r="J76" s="14">
        <v>3.0456047262965789E-8</v>
      </c>
      <c r="K76" s="14">
        <v>0</v>
      </c>
    </row>
    <row r="77" spans="1:11">
      <c r="A77" s="2" t="s">
        <v>431</v>
      </c>
      <c r="B77" s="3" t="s">
        <v>432</v>
      </c>
      <c r="D77" s="14">
        <v>2.0751686911473601E-6</v>
      </c>
      <c r="E77" s="14">
        <v>8.866109096221841E-6</v>
      </c>
      <c r="F77" s="14">
        <v>4.414968622024896E-6</v>
      </c>
      <c r="G77" s="14">
        <v>9.1289993611737066E-7</v>
      </c>
      <c r="H77" s="14">
        <v>0</v>
      </c>
      <c r="I77" s="14">
        <v>6.5616726269396192E-7</v>
      </c>
      <c r="J77" s="14">
        <v>2.3074686391794574E-5</v>
      </c>
      <c r="K77" s="14">
        <v>0</v>
      </c>
    </row>
    <row r="78" spans="1:11">
      <c r="A78" s="2" t="s">
        <v>433</v>
      </c>
      <c r="B78" s="3" t="s">
        <v>434</v>
      </c>
      <c r="D78" s="14">
        <v>1.5497073602633796E-6</v>
      </c>
      <c r="E78" s="14">
        <v>2.4444961646756995E-5</v>
      </c>
      <c r="F78" s="14">
        <v>5.9064143504680955E-7</v>
      </c>
      <c r="G78" s="14">
        <v>1.5262281727599632E-7</v>
      </c>
      <c r="H78" s="14">
        <v>0</v>
      </c>
      <c r="I78" s="14">
        <v>1.1792915165408402E-7</v>
      </c>
      <c r="J78" s="14">
        <v>1.3144137589002747E-5</v>
      </c>
      <c r="K78" s="14">
        <v>0</v>
      </c>
    </row>
    <row r="79" spans="1:11">
      <c r="A79" s="2" t="s">
        <v>435</v>
      </c>
      <c r="B79" s="3" t="s">
        <v>436</v>
      </c>
      <c r="D79" s="14">
        <v>4.2089763366682077E-7</v>
      </c>
      <c r="E79" s="14">
        <v>1.9942341481850629E-5</v>
      </c>
      <c r="F79" s="14">
        <v>1.2777641498513309E-6</v>
      </c>
      <c r="G79" s="14">
        <v>3.072884624224153E-7</v>
      </c>
      <c r="H79" s="14">
        <v>0</v>
      </c>
      <c r="I79" s="14">
        <v>2.2550375048440382E-7</v>
      </c>
      <c r="J79" s="14">
        <v>1.7826204521724411E-5</v>
      </c>
      <c r="K79" s="14">
        <v>0</v>
      </c>
    </row>
    <row r="80" spans="1:11">
      <c r="A80" s="2" t="s">
        <v>437</v>
      </c>
      <c r="B80" s="3" t="s">
        <v>438</v>
      </c>
      <c r="D80" s="14">
        <v>6.9143680333425633E-14</v>
      </c>
      <c r="E80" s="14">
        <v>1.0308896370985262E-6</v>
      </c>
      <c r="F80" s="14">
        <v>3.4932263249162937E-5</v>
      </c>
      <c r="G80" s="14">
        <v>2.5892675788936103E-8</v>
      </c>
      <c r="H80" s="14">
        <v>0</v>
      </c>
      <c r="I80" s="14">
        <v>3.9752197162413311E-6</v>
      </c>
      <c r="J80" s="14">
        <v>3.5734652564595731E-8</v>
      </c>
      <c r="K80" s="14">
        <v>0</v>
      </c>
    </row>
    <row r="81" spans="1:11">
      <c r="A81" s="2" t="s">
        <v>440</v>
      </c>
      <c r="B81" s="3" t="s">
        <v>441</v>
      </c>
      <c r="D81" s="14">
        <v>7.3755559630843905E-18</v>
      </c>
      <c r="E81" s="14">
        <v>3.881990132484505E-5</v>
      </c>
      <c r="F81" s="14">
        <v>3.6414049439730998E-9</v>
      </c>
      <c r="G81" s="14">
        <v>1.4163302564398251E-9</v>
      </c>
      <c r="H81" s="14">
        <v>0</v>
      </c>
      <c r="I81" s="14">
        <v>1.8723266805208618E-8</v>
      </c>
      <c r="J81" s="14">
        <v>1.1563176731419596E-6</v>
      </c>
      <c r="K81" s="14">
        <v>0</v>
      </c>
    </row>
    <row r="82" spans="1:11">
      <c r="A82" s="2" t="s">
        <v>442</v>
      </c>
      <c r="B82" s="3" t="s">
        <v>443</v>
      </c>
      <c r="D82" s="14">
        <v>3.5079091123090144E-9</v>
      </c>
      <c r="E82" s="14">
        <v>3.0601872195715378E-5</v>
      </c>
      <c r="F82" s="14">
        <v>2.340574921721667E-7</v>
      </c>
      <c r="G82" s="14">
        <v>6.5829128079356625E-8</v>
      </c>
      <c r="H82" s="14">
        <v>0</v>
      </c>
      <c r="I82" s="14">
        <v>5.9679674382089135E-8</v>
      </c>
      <c r="J82" s="14">
        <v>9.0350536005387015E-6</v>
      </c>
      <c r="K82" s="14">
        <v>0</v>
      </c>
    </row>
    <row r="83" spans="1:11">
      <c r="A83" s="2" t="s">
        <v>444</v>
      </c>
      <c r="B83" s="3" t="s">
        <v>445</v>
      </c>
      <c r="D83" s="14">
        <v>4.2061194539241726E-8</v>
      </c>
      <c r="E83" s="14">
        <v>1.059793537738776E-5</v>
      </c>
      <c r="F83" s="14">
        <v>4.0082593784212439E-6</v>
      </c>
      <c r="G83" s="14">
        <v>8.4576824024414719E-7</v>
      </c>
      <c r="H83" s="14">
        <v>0</v>
      </c>
      <c r="I83" s="14">
        <v>6.0784118373589674E-7</v>
      </c>
      <c r="J83" s="14">
        <v>2.3898134625671715E-5</v>
      </c>
      <c r="K83" s="14">
        <v>0</v>
      </c>
    </row>
    <row r="84" spans="1:11">
      <c r="A84" s="2" t="s">
        <v>446</v>
      </c>
      <c r="B84" s="3" t="s">
        <v>447</v>
      </c>
      <c r="D84" s="14">
        <v>2.270418360000062E-19</v>
      </c>
      <c r="E84" s="14">
        <v>3.7469297835048585E-5</v>
      </c>
      <c r="F84" s="14">
        <v>1.6359879668555611E-8</v>
      </c>
      <c r="G84" s="14">
        <v>5.6816654829197354E-9</v>
      </c>
      <c r="H84" s="14">
        <v>0</v>
      </c>
      <c r="I84" s="14">
        <v>2.1016269493226664E-8</v>
      </c>
      <c r="J84" s="14">
        <v>2.4876443503064932E-6</v>
      </c>
      <c r="K84" s="14">
        <v>0</v>
      </c>
    </row>
    <row r="85" spans="1:11">
      <c r="A85" s="2" t="s">
        <v>448</v>
      </c>
      <c r="B85" s="3" t="s">
        <v>449</v>
      </c>
      <c r="D85" s="14">
        <v>1.5893355501883928E-12</v>
      </c>
      <c r="E85" s="14">
        <v>3.9498923747204854E-5</v>
      </c>
      <c r="F85" s="14">
        <v>6.6817436973286058E-10</v>
      </c>
      <c r="G85" s="14">
        <v>2.9483929769491277E-10</v>
      </c>
      <c r="H85" s="14">
        <v>0</v>
      </c>
      <c r="I85" s="14">
        <v>1.827703246785698E-8</v>
      </c>
      <c r="J85" s="14">
        <v>4.8183461732431027E-7</v>
      </c>
      <c r="K85" s="14">
        <v>0</v>
      </c>
    </row>
    <row r="86" spans="1:11">
      <c r="A86" s="2" t="s">
        <v>450</v>
      </c>
      <c r="B86" s="3" t="s">
        <v>451</v>
      </c>
      <c r="D86" s="14">
        <v>5.7107709353914434E-13</v>
      </c>
      <c r="E86" s="14">
        <v>3.7530504727235512E-5</v>
      </c>
      <c r="F86" s="14">
        <v>1.5587230418849729E-8</v>
      </c>
      <c r="G86" s="14">
        <v>5.4333103276262296E-9</v>
      </c>
      <c r="H86" s="14">
        <v>0</v>
      </c>
      <c r="I86" s="14">
        <v>2.0874090881909328E-8</v>
      </c>
      <c r="J86" s="14">
        <v>2.4276000700590131E-6</v>
      </c>
      <c r="K86" s="14">
        <v>0</v>
      </c>
    </row>
    <row r="87" spans="1:11">
      <c r="A87" s="2" t="s">
        <v>452</v>
      </c>
      <c r="B87" s="3" t="s">
        <v>453</v>
      </c>
      <c r="D87" s="14">
        <v>8.8458528394258473E-12</v>
      </c>
      <c r="E87" s="14">
        <v>9.5253156146050115E-8</v>
      </c>
      <c r="F87" s="14">
        <v>3.9049360415187004E-6</v>
      </c>
      <c r="G87" s="14">
        <v>1.2592428116662476E-5</v>
      </c>
      <c r="H87" s="14">
        <v>0</v>
      </c>
      <c r="I87" s="14">
        <v>9.5007370841161449E-6</v>
      </c>
      <c r="J87" s="14">
        <v>1.3906636755703795E-5</v>
      </c>
      <c r="K87" s="14">
        <v>0</v>
      </c>
    </row>
    <row r="88" spans="1:11">
      <c r="A88" s="2" t="s">
        <v>454</v>
      </c>
      <c r="B88" s="3" t="s">
        <v>455</v>
      </c>
      <c r="D88" s="14">
        <v>1.7989009442930015E-9</v>
      </c>
      <c r="E88" s="14">
        <v>2.7151067801861278E-5</v>
      </c>
      <c r="F88" s="14">
        <v>4.6225483740016946E-7</v>
      </c>
      <c r="G88" s="14">
        <v>1.2256797755196284E-7</v>
      </c>
      <c r="H88" s="14">
        <v>0</v>
      </c>
      <c r="I88" s="14">
        <v>9.7939667135435802E-8</v>
      </c>
      <c r="J88" s="14">
        <v>1.2164370815106866E-5</v>
      </c>
      <c r="K88" s="14">
        <v>0</v>
      </c>
    </row>
    <row r="89" spans="1:11">
      <c r="A89" s="2" t="s">
        <v>456</v>
      </c>
      <c r="B89" s="3" t="s">
        <v>457</v>
      </c>
      <c r="D89" s="14">
        <v>1.1666969191865748E-21</v>
      </c>
      <c r="E89" s="14">
        <v>3.0012191959870484E-5</v>
      </c>
      <c r="F89" s="14">
        <v>2.6670568063948328E-7</v>
      </c>
      <c r="G89" s="14">
        <v>7.4187002056220457E-8</v>
      </c>
      <c r="H89" s="14">
        <v>0</v>
      </c>
      <c r="I89" s="14">
        <v>6.5262069297750032E-8</v>
      </c>
      <c r="J89" s="14">
        <v>9.5816532881360649E-6</v>
      </c>
      <c r="K89" s="14">
        <v>0</v>
      </c>
    </row>
    <row r="90" spans="1:11">
      <c r="A90" s="2" t="s">
        <v>458</v>
      </c>
      <c r="B90" s="3" t="s">
        <v>459</v>
      </c>
      <c r="D90" s="14">
        <v>1.7043655293785726E-33</v>
      </c>
      <c r="E90" s="14">
        <v>3.5144907657836153E-5</v>
      </c>
      <c r="F90" s="14">
        <v>5.9956594464835027E-8</v>
      </c>
      <c r="G90" s="14">
        <v>1.883356400448157E-8</v>
      </c>
      <c r="H90" s="14">
        <v>0</v>
      </c>
      <c r="I90" s="14">
        <v>2.9018956741618575E-8</v>
      </c>
      <c r="J90" s="14">
        <v>4.7472832269529131E-6</v>
      </c>
      <c r="K90" s="14">
        <v>0</v>
      </c>
    </row>
    <row r="91" spans="1:11">
      <c r="A91" s="2" t="s">
        <v>460</v>
      </c>
      <c r="B91" s="3" t="s">
        <v>461</v>
      </c>
      <c r="D91" s="14">
        <v>8.6452430196429976E-12</v>
      </c>
      <c r="E91" s="14">
        <v>5.8287693525081264E-7</v>
      </c>
      <c r="F91" s="14">
        <v>9.1401099651180124E-6</v>
      </c>
      <c r="G91" s="14">
        <v>5.890429685550676E-6</v>
      </c>
      <c r="H91" s="14">
        <v>0</v>
      </c>
      <c r="I91" s="14">
        <v>4.3575590813690935E-6</v>
      </c>
      <c r="J91" s="14">
        <v>2.0029015687468395E-5</v>
      </c>
      <c r="K91" s="14">
        <v>0</v>
      </c>
    </row>
    <row r="92" spans="1:11">
      <c r="A92" s="2" t="s">
        <v>462</v>
      </c>
      <c r="B92" s="3" t="s">
        <v>463</v>
      </c>
      <c r="D92" s="14">
        <v>3.2395062731993552E-13</v>
      </c>
      <c r="E92" s="14">
        <v>1.2970552914681303E-5</v>
      </c>
      <c r="F92" s="14">
        <v>3.0503736461256272E-6</v>
      </c>
      <c r="G92" s="14">
        <v>6.6657434645424768E-7</v>
      </c>
      <c r="H92" s="14">
        <v>0</v>
      </c>
      <c r="I92" s="14">
        <v>4.7959080455203067E-7</v>
      </c>
      <c r="J92" s="14">
        <v>2.2832907964236173E-5</v>
      </c>
      <c r="K92" s="14">
        <v>0</v>
      </c>
    </row>
    <row r="93" spans="1:11">
      <c r="A93" s="2" t="s">
        <v>464</v>
      </c>
      <c r="B93" s="3" t="s">
        <v>465</v>
      </c>
      <c r="D93" s="14">
        <v>2.4990557982428692E-8</v>
      </c>
      <c r="E93" s="14">
        <v>4.9610730001538501E-6</v>
      </c>
      <c r="F93" s="14">
        <v>8.2044631348341651E-6</v>
      </c>
      <c r="G93" s="14">
        <v>1.5529079857817047E-6</v>
      </c>
      <c r="H93" s="14">
        <v>0</v>
      </c>
      <c r="I93" s="14">
        <v>1.1209511938547916E-6</v>
      </c>
      <c r="J93" s="14">
        <v>2.4135614127393069E-5</v>
      </c>
      <c r="K93" s="14">
        <v>0</v>
      </c>
    </row>
    <row r="94" spans="1:11">
      <c r="A94" s="2" t="s">
        <v>466</v>
      </c>
      <c r="B94" s="3" t="s">
        <v>467</v>
      </c>
      <c r="D94" s="14">
        <v>8.0709165381832573E-23</v>
      </c>
      <c r="E94" s="14">
        <v>3.950704888164553E-5</v>
      </c>
      <c r="F94" s="14">
        <v>4.622417195855087E-7</v>
      </c>
      <c r="G94" s="14">
        <v>6.0744594132647566E-11</v>
      </c>
      <c r="H94" s="14">
        <v>0</v>
      </c>
      <c r="I94" s="14">
        <v>2.3630542651702906E-8</v>
      </c>
      <c r="J94" s="14">
        <v>7.0181115231323494E-9</v>
      </c>
      <c r="K94" s="14">
        <v>0</v>
      </c>
    </row>
    <row r="95" spans="1:11">
      <c r="A95" s="2" t="s">
        <v>468</v>
      </c>
      <c r="B95" s="3" t="s">
        <v>469</v>
      </c>
      <c r="D95" s="14">
        <v>3.6245004708160047E-22</v>
      </c>
      <c r="E95" s="14">
        <v>1.4190830901321545E-6</v>
      </c>
      <c r="F95" s="14">
        <v>1.256673263781812E-5</v>
      </c>
      <c r="G95" s="14">
        <v>3.1089800180334582E-6</v>
      </c>
      <c r="H95" s="14">
        <v>0</v>
      </c>
      <c r="I95" s="14">
        <v>2.2737157934878244E-6</v>
      </c>
      <c r="J95" s="14">
        <v>2.0631488460528447E-5</v>
      </c>
      <c r="K95" s="14">
        <v>0</v>
      </c>
    </row>
    <row r="96" spans="1:11">
      <c r="A96" s="2" t="s">
        <v>470</v>
      </c>
      <c r="B96" s="163">
        <v>354656</v>
      </c>
      <c r="D96" s="14">
        <v>1.4705152762307759E-14</v>
      </c>
      <c r="E96" s="14">
        <v>3.8774767730646639E-5</v>
      </c>
      <c r="F96" s="14">
        <v>3.9205207372556501E-9</v>
      </c>
      <c r="G96" s="14">
        <v>1.516489161573752E-9</v>
      </c>
      <c r="H96" s="14">
        <v>0</v>
      </c>
      <c r="I96" s="14">
        <v>1.8770538696092693E-8</v>
      </c>
      <c r="J96" s="14">
        <v>1.2010247060532808E-6</v>
      </c>
      <c r="K96" s="14">
        <v>0</v>
      </c>
    </row>
    <row r="97" spans="1:11">
      <c r="A97" s="2" t="s">
        <v>472</v>
      </c>
      <c r="B97" s="3" t="s">
        <v>473</v>
      </c>
      <c r="D97" s="14">
        <v>2.2688448602992986E-14</v>
      </c>
      <c r="E97" s="14">
        <v>3.7438157335114856E-5</v>
      </c>
      <c r="F97" s="14">
        <v>1.676019300361579E-8</v>
      </c>
      <c r="G97" s="14">
        <v>5.8099791097770899E-9</v>
      </c>
      <c r="H97" s="14">
        <v>0</v>
      </c>
      <c r="I97" s="14">
        <v>2.1089970596978709E-8</v>
      </c>
      <c r="J97" s="14">
        <v>2.5181824994863312E-6</v>
      </c>
      <c r="K97" s="14">
        <v>0</v>
      </c>
    </row>
    <row r="98" spans="1:11">
      <c r="A98" s="2" t="s">
        <v>474</v>
      </c>
      <c r="B98" s="3" t="s">
        <v>475</v>
      </c>
      <c r="D98" s="14">
        <v>7.4414618036336626E-24</v>
      </c>
      <c r="E98" s="14">
        <v>2.9337150001160818E-6</v>
      </c>
      <c r="F98" s="14">
        <v>1.1353570780776011E-5</v>
      </c>
      <c r="G98" s="14">
        <v>2.0184966230188608E-6</v>
      </c>
      <c r="H98" s="14">
        <v>0</v>
      </c>
      <c r="I98" s="14">
        <v>1.4641564272743535E-6</v>
      </c>
      <c r="J98" s="14">
        <v>2.2230061168814702E-5</v>
      </c>
      <c r="K98" s="14">
        <v>0</v>
      </c>
    </row>
    <row r="99" spans="1:11">
      <c r="A99" s="2" t="s">
        <v>476</v>
      </c>
      <c r="B99" s="3" t="s">
        <v>477</v>
      </c>
      <c r="D99" s="14">
        <v>6.9364610981629635E-12</v>
      </c>
      <c r="E99" s="14">
        <v>3.9647665391759583E-5</v>
      </c>
      <c r="F99" s="14">
        <v>3.2886084612406621E-10</v>
      </c>
      <c r="G99" s="14">
        <v>1.5293529502786244E-10</v>
      </c>
      <c r="H99" s="14">
        <v>0</v>
      </c>
      <c r="I99" s="14">
        <v>1.8250243414191633E-8</v>
      </c>
      <c r="J99" s="14">
        <v>3.3359563222397383E-7</v>
      </c>
      <c r="K99" s="14">
        <v>0</v>
      </c>
    </row>
    <row r="100" spans="1:11">
      <c r="A100" s="2" t="s">
        <v>478</v>
      </c>
      <c r="B100" s="3" t="s">
        <v>479</v>
      </c>
      <c r="D100" s="14">
        <v>2.6581041731551872E-15</v>
      </c>
      <c r="E100" s="14">
        <v>2.1414683583309975E-5</v>
      </c>
      <c r="F100" s="14">
        <v>1.0955853395711384E-6</v>
      </c>
      <c r="G100" s="14">
        <v>2.6788091120871862E-7</v>
      </c>
      <c r="H100" s="14">
        <v>0</v>
      </c>
      <c r="I100" s="14">
        <v>1.9813288615013694E-7</v>
      </c>
      <c r="J100" s="14">
        <v>1.7023717277101927E-5</v>
      </c>
      <c r="K100" s="14">
        <v>0</v>
      </c>
    </row>
    <row r="101" spans="1:11">
      <c r="A101" s="2" t="s">
        <v>480</v>
      </c>
      <c r="B101" s="3" t="s">
        <v>481</v>
      </c>
      <c r="D101" s="14">
        <v>1.8666226262655647E-15</v>
      </c>
      <c r="E101" s="14">
        <v>3.9421776402856924E-5</v>
      </c>
      <c r="F101" s="14">
        <v>8.8905932346423695E-10</v>
      </c>
      <c r="G101" s="14">
        <v>3.8408407091950355E-10</v>
      </c>
      <c r="H101" s="14">
        <v>0</v>
      </c>
      <c r="I101" s="14">
        <v>1.8301579309748509E-8</v>
      </c>
      <c r="J101" s="14">
        <v>5.5864887257233685E-7</v>
      </c>
      <c r="K101" s="14">
        <v>0</v>
      </c>
    </row>
    <row r="102" spans="1:11">
      <c r="A102" s="2" t="s">
        <v>482</v>
      </c>
      <c r="B102" s="3" t="s">
        <v>483</v>
      </c>
      <c r="D102" s="14">
        <v>1.1729450621300981E-31</v>
      </c>
      <c r="E102" s="14">
        <v>3.9839817085948993E-5</v>
      </c>
      <c r="F102" s="14">
        <v>6.3438351098735536E-11</v>
      </c>
      <c r="G102" s="14">
        <v>3.331558484396225E-11</v>
      </c>
      <c r="H102" s="14">
        <v>0</v>
      </c>
      <c r="I102" s="14">
        <v>1.8258782747110332E-8</v>
      </c>
      <c r="J102" s="14">
        <v>1.4182737736795107E-7</v>
      </c>
      <c r="K102" s="14">
        <v>0</v>
      </c>
    </row>
    <row r="103" spans="1:11">
      <c r="A103" s="2" t="s">
        <v>484</v>
      </c>
      <c r="B103" s="3" t="s">
        <v>485</v>
      </c>
      <c r="D103" s="14">
        <v>9.356308340413246E-18</v>
      </c>
      <c r="E103" s="14">
        <v>3.9658308810434417E-5</v>
      </c>
      <c r="F103" s="14">
        <v>3.0901441613108679E-10</v>
      </c>
      <c r="G103" s="14">
        <v>1.4436911558389268E-10</v>
      </c>
      <c r="H103" s="14">
        <v>0</v>
      </c>
      <c r="I103" s="14">
        <v>1.8249404971233411E-8</v>
      </c>
      <c r="J103" s="14">
        <v>3.2298840105327639E-7</v>
      </c>
      <c r="K103" s="14">
        <v>0</v>
      </c>
    </row>
    <row r="104" spans="1:11">
      <c r="A104" s="2" t="s">
        <v>486</v>
      </c>
      <c r="B104" s="3" t="s">
        <v>487</v>
      </c>
      <c r="D104" s="14">
        <v>1.1545510766472623E-13</v>
      </c>
      <c r="E104" s="14">
        <v>3.8151605184313938E-5</v>
      </c>
      <c r="F104" s="14">
        <v>8.8041486274579362E-9</v>
      </c>
      <c r="G104" s="14">
        <v>3.2046670931353213E-9</v>
      </c>
      <c r="H104" s="14">
        <v>0</v>
      </c>
      <c r="I104" s="14">
        <v>1.9634284199037857E-8</v>
      </c>
      <c r="J104" s="14">
        <v>1.8167516003113298E-6</v>
      </c>
      <c r="K104" s="14">
        <v>0</v>
      </c>
    </row>
    <row r="105" spans="1:11">
      <c r="A105" s="2" t="s">
        <v>488</v>
      </c>
      <c r="B105" s="3" t="s">
        <v>489</v>
      </c>
      <c r="D105" s="14">
        <v>9.3284403326427421E-21</v>
      </c>
      <c r="E105" s="14">
        <v>3.9811514801305713E-5</v>
      </c>
      <c r="F105" s="14">
        <v>8.9967002893981575E-11</v>
      </c>
      <c r="G105" s="14">
        <v>4.6044611001091648E-11</v>
      </c>
      <c r="H105" s="14">
        <v>0</v>
      </c>
      <c r="I105" s="14">
        <v>1.8254229671577139E-8</v>
      </c>
      <c r="J105" s="14">
        <v>1.7009495740881473E-7</v>
      </c>
      <c r="K105" s="14">
        <v>0</v>
      </c>
    </row>
    <row r="106" spans="1:11">
      <c r="A106" s="2" t="s">
        <v>490</v>
      </c>
      <c r="B106" s="3" t="s">
        <v>491</v>
      </c>
      <c r="D106" s="14">
        <v>5.2128447464040497E-13</v>
      </c>
      <c r="E106" s="14">
        <v>3.3898029638580909E-5</v>
      </c>
      <c r="F106" s="14">
        <v>9.5356215284209275E-8</v>
      </c>
      <c r="G106" s="14">
        <v>2.886985222206037E-8</v>
      </c>
      <c r="H106" s="14">
        <v>0</v>
      </c>
      <c r="I106" s="14">
        <v>3.5407954188332879E-8</v>
      </c>
      <c r="J106" s="14">
        <v>5.9423358184400158E-6</v>
      </c>
      <c r="K106" s="14">
        <v>0</v>
      </c>
    </row>
    <row r="107" spans="1:11">
      <c r="A107" s="2" t="s">
        <v>492</v>
      </c>
      <c r="B107" s="3" t="s">
        <v>493</v>
      </c>
      <c r="D107" s="14">
        <v>3.7861681978997228E-20</v>
      </c>
      <c r="E107" s="14">
        <v>2.3614544221978591E-6</v>
      </c>
      <c r="F107" s="14">
        <v>1.2649522101127635E-5</v>
      </c>
      <c r="G107" s="14">
        <v>2.1956831727507845E-6</v>
      </c>
      <c r="H107" s="14">
        <v>0</v>
      </c>
      <c r="I107" s="14">
        <v>1.5959545087214683E-6</v>
      </c>
      <c r="J107" s="14">
        <v>2.1197385795202216E-5</v>
      </c>
      <c r="K107" s="14">
        <v>0</v>
      </c>
    </row>
    <row r="108" spans="1:11">
      <c r="A108" s="2" t="s">
        <v>291</v>
      </c>
      <c r="B108" s="3" t="s">
        <v>494</v>
      </c>
      <c r="D108" s="14">
        <v>1.4487773572304955E-14</v>
      </c>
      <c r="E108" s="14">
        <v>2.3333576665797205E-5</v>
      </c>
      <c r="F108" s="14">
        <v>8.4115467830503077E-7</v>
      </c>
      <c r="G108" s="14">
        <v>2.110432275645523E-7</v>
      </c>
      <c r="H108" s="14">
        <v>0</v>
      </c>
      <c r="I108" s="14">
        <v>1.5869014030731348E-7</v>
      </c>
      <c r="J108" s="14">
        <v>1.5455535273538127E-5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6B574-AF2D-4B33-8908-1FD81E10FAD9}">
  <dimension ref="A1:D108"/>
  <sheetViews>
    <sheetView tabSelected="1" topLeftCell="A75" workbookViewId="0">
      <selection activeCell="A84" sqref="A84:D108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4.5734453227374176E-8</v>
      </c>
      <c r="B2">
        <f>'Mass Balance'!E2</f>
        <v>3.2306031955895272E-5</v>
      </c>
      <c r="C2">
        <f>SUM('Mass Balance'!E2:H2)</f>
        <v>3.2504428994217969E-5</v>
      </c>
      <c r="D2">
        <f>Concentrations!F2/Concentrations!E2</f>
        <v>0.99428391917831216</v>
      </c>
    </row>
    <row r="3" spans="1:4">
      <c r="A3">
        <f>'Mass Balance'!I3</f>
        <v>8.7706372069040213E-6</v>
      </c>
      <c r="B3">
        <f>'Mass Balance'!E3</f>
        <v>1.1635957408963973E-7</v>
      </c>
      <c r="C3">
        <f>SUM('Mass Balance'!E3:H3)</f>
        <v>1.6065479493475628E-5</v>
      </c>
      <c r="D3">
        <f>Concentrations!F3/Concentrations!E3</f>
        <v>7.2456569655418761E-3</v>
      </c>
    </row>
    <row r="4" spans="1:4">
      <c r="A4">
        <f>'Mass Balance'!I4</f>
        <v>2.4232381378681566E-7</v>
      </c>
      <c r="B4">
        <f>'Mass Balance'!E4</f>
        <v>1.9590465462750866E-5</v>
      </c>
      <c r="C4">
        <f>SUM('Mass Balance'!E4:H4)</f>
        <v>2.1308903019029622E-5</v>
      </c>
      <c r="D4">
        <f>Concentrations!F4/Concentrations!E4</f>
        <v>0.91971442972599582</v>
      </c>
    </row>
    <row r="5" spans="1:4">
      <c r="A5">
        <f>'Mass Balance'!I5</f>
        <v>2.5541738298355907E-6</v>
      </c>
      <c r="B5">
        <f>'Mass Balance'!E5</f>
        <v>1.2332340444708171E-6</v>
      </c>
      <c r="C5">
        <f>SUM('Mass Balance'!E5:H5)</f>
        <v>1.6731270441834115E-5</v>
      </c>
      <c r="D5">
        <f>Concentrations!F5/Concentrations!E5</f>
        <v>7.3737078138436093E-2</v>
      </c>
    </row>
    <row r="6" spans="1:4">
      <c r="A6">
        <f>'Mass Balance'!I6</f>
        <v>1.0876016548071265E-5</v>
      </c>
      <c r="B6">
        <f>'Mass Balance'!E6</f>
        <v>5.5412038406981655E-8</v>
      </c>
      <c r="C6">
        <f>SUM('Mass Balance'!E6:H6)</f>
        <v>1.7316212146060662E-5</v>
      </c>
      <c r="D6">
        <f>Concentrations!F6/Concentrations!E6</f>
        <v>3.2012571914110171E-3</v>
      </c>
    </row>
    <row r="7" spans="1:4">
      <c r="A7">
        <f>'Mass Balance'!I7</f>
        <v>9.206571612687889E-6</v>
      </c>
      <c r="B7">
        <f>'Mass Balance'!E7</f>
        <v>1.0618044859462772E-7</v>
      </c>
      <c r="C7">
        <f>SUM('Mass Balance'!E7:H7)</f>
        <v>1.6454335877108602E-5</v>
      </c>
      <c r="D7">
        <f>Concentrations!F7/Concentrations!E7</f>
        <v>6.4555542634555877E-3</v>
      </c>
    </row>
    <row r="8" spans="1:4">
      <c r="A8">
        <f>'Mass Balance'!I8</f>
        <v>7.0411475646905491E-6</v>
      </c>
      <c r="B8">
        <f>'Mass Balance'!E8</f>
        <v>2.2679338919080806E-7</v>
      </c>
      <c r="C8">
        <f>SUM('Mass Balance'!E8:H8)</f>
        <v>1.5673325674252036E-5</v>
      </c>
      <c r="D8">
        <f>Concentrations!F8/Concentrations!E8</f>
        <v>1.4475666589305136E-2</v>
      </c>
    </row>
    <row r="9" spans="1:4">
      <c r="A9">
        <f>'Mass Balance'!I9</f>
        <v>9.3131250540327591E-7</v>
      </c>
      <c r="B9">
        <f>'Mass Balance'!E9</f>
        <v>6.5658179982791475E-6</v>
      </c>
      <c r="C9">
        <f>SUM('Mass Balance'!E9:H9)</f>
        <v>1.444411330452855E-5</v>
      </c>
      <c r="D9">
        <f>Concentrations!F9/Concentrations!E9</f>
        <v>0.45474432916135371</v>
      </c>
    </row>
    <row r="10" spans="1:4">
      <c r="A10">
        <f>'Mass Balance'!I10</f>
        <v>2.720026959113368E-6</v>
      </c>
      <c r="B10">
        <f>'Mass Balance'!E10</f>
        <v>1.1417206562459462E-6</v>
      </c>
      <c r="C10">
        <f>SUM('Mass Balance'!E10:H10)</f>
        <v>1.6563858027449825E-5</v>
      </c>
      <c r="D10">
        <f>Concentrations!F10/Concentrations!E10</f>
        <v>6.895530717026728E-2</v>
      </c>
    </row>
    <row r="11" spans="1:4">
      <c r="A11">
        <f>'Mass Balance'!I11</f>
        <v>3.0104739110110925E-6</v>
      </c>
      <c r="B11">
        <f>'Mass Balance'!E11</f>
        <v>1.0006226148876644E-6</v>
      </c>
      <c r="C11">
        <f>SUM('Mass Balance'!E11:H11)</f>
        <v>1.629245189546483E-5</v>
      </c>
      <c r="D11">
        <f>Concentrations!F11/Concentrations!E11</f>
        <v>6.1440282663387712E-2</v>
      </c>
    </row>
    <row r="12" spans="1:4">
      <c r="A12">
        <f>'Mass Balance'!I12</f>
        <v>1.1312742026954976E-6</v>
      </c>
      <c r="B12">
        <f>'Mass Balance'!E12</f>
        <v>4.8914844035237247E-6</v>
      </c>
      <c r="C12">
        <f>SUM('Mass Balance'!E12:H12)</f>
        <v>1.4752704587390647E-5</v>
      </c>
      <c r="D12">
        <f>Concentrations!F12/Concentrations!E12</f>
        <v>0.33169457264537167</v>
      </c>
    </row>
    <row r="13" spans="1:4">
      <c r="A13">
        <f>'Mass Balance'!I13</f>
        <v>9.4955217978003925E-7</v>
      </c>
      <c r="B13">
        <f>'Mass Balance'!E13</f>
        <v>6.3900386207176408E-6</v>
      </c>
      <c r="C13">
        <f>SUM('Mass Balance'!E13:H13)</f>
        <v>1.4445764343987747E-5</v>
      </c>
      <c r="D13">
        <f>Concentrations!F13/Concentrations!E13</f>
        <v>0.44251938025974874</v>
      </c>
    </row>
    <row r="14" spans="1:4">
      <c r="A14">
        <f>'Mass Balance'!I14</f>
        <v>4.053677920471363E-6</v>
      </c>
      <c r="B14">
        <f>'Mass Balance'!E14</f>
        <v>6.535420466542074E-7</v>
      </c>
      <c r="C14">
        <f>SUM('Mass Balance'!E14:H14)</f>
        <v>1.5703330333700615E-5</v>
      </c>
      <c r="D14">
        <f>Concentrations!F14/Concentrations!E14</f>
        <v>4.1634284508650317E-2</v>
      </c>
    </row>
    <row r="15" spans="1:4">
      <c r="A15">
        <f>'Mass Balance'!I15</f>
        <v>2.8630655987032539E-6</v>
      </c>
      <c r="B15">
        <f>'Mass Balance'!E15</f>
        <v>1.0694067084456288E-6</v>
      </c>
      <c r="C15">
        <f>SUM('Mass Balance'!E15:H15)</f>
        <v>1.6426654736163227E-5</v>
      </c>
      <c r="D15">
        <f>Concentrations!F15/Concentrations!E15</f>
        <v>6.512730593821664E-2</v>
      </c>
    </row>
    <row r="16" spans="1:4">
      <c r="A16">
        <f>'Mass Balance'!I16</f>
        <v>6.9371859062685405E-6</v>
      </c>
      <c r="B16">
        <f>'Mass Balance'!E16</f>
        <v>2.3412324426365872E-7</v>
      </c>
      <c r="C16">
        <f>SUM('Mass Balance'!E16:H16)</f>
        <v>1.5632964546509871E-5</v>
      </c>
      <c r="D16">
        <f>Concentrations!F16/Concentrations!E16</f>
        <v>1.4982094392090275E-2</v>
      </c>
    </row>
    <row r="17" spans="1:4">
      <c r="A17">
        <f>'Mass Balance'!I17</f>
        <v>2.6091592589821548E-6</v>
      </c>
      <c r="B17">
        <f>'Mass Balance'!E17</f>
        <v>1.2023374868348695E-6</v>
      </c>
      <c r="C17">
        <f>SUM('Mass Balance'!E17:H17)</f>
        <v>1.6677800657214485E-5</v>
      </c>
      <c r="D17">
        <f>Concentrations!F17/Concentrations!E17</f>
        <v>7.2120204192343509E-2</v>
      </c>
    </row>
    <row r="18" spans="1:4">
      <c r="A18">
        <f>'Mass Balance'!I18</f>
        <v>8.4408815030610299E-7</v>
      </c>
      <c r="B18">
        <f>'Mass Balance'!E18</f>
        <v>7.3363591941550017E-6</v>
      </c>
      <c r="C18">
        <f>SUM('Mass Balance'!E18:H18)</f>
        <v>1.4384491736654173E-5</v>
      </c>
      <c r="D18">
        <f>Concentrations!F18/Concentrations!E18</f>
        <v>0.51021756278682495</v>
      </c>
    </row>
    <row r="19" spans="1:4">
      <c r="A19">
        <f>'Mass Balance'!I19</f>
        <v>2.8923193034967798E-6</v>
      </c>
      <c r="B19">
        <f>'Mass Balance'!E19</f>
        <v>1.0554136216317655E-6</v>
      </c>
      <c r="C19">
        <f>SUM('Mass Balance'!E19:H19)</f>
        <v>1.6400233480295792E-5</v>
      </c>
      <c r="D19">
        <f>Concentrations!F19/Concentrations!E19</f>
        <v>6.4378670328433432E-2</v>
      </c>
    </row>
    <row r="20" spans="1:4">
      <c r="A20">
        <f>'Mass Balance'!I20</f>
        <v>9.4990778715257306E-7</v>
      </c>
      <c r="B20">
        <f>'Mass Balance'!E20</f>
        <v>6.3924316907275788E-6</v>
      </c>
      <c r="C20">
        <f>SUM('Mass Balance'!E20:H20)</f>
        <v>1.4451174283969981E-5</v>
      </c>
      <c r="D20">
        <f>Concentrations!F20/Concentrations!E20</f>
        <v>0.44251938025974874</v>
      </c>
    </row>
    <row r="21" spans="1:4">
      <c r="A21">
        <f>'Mass Balance'!I21</f>
        <v>3.7228851988366588E-6</v>
      </c>
      <c r="B21">
        <f>'Mass Balance'!E21</f>
        <v>7.4050726348756204E-7</v>
      </c>
      <c r="C21">
        <f>SUM('Mass Balance'!E21:H21)</f>
        <v>1.5810723501291368E-5</v>
      </c>
      <c r="D21">
        <f>Concentrations!F21/Concentrations!E21</f>
        <v>4.685402634239362E-2</v>
      </c>
    </row>
    <row r="22" spans="1:4">
      <c r="A22">
        <f>'Mass Balance'!I22</f>
        <v>1.1292482496909829E-7</v>
      </c>
      <c r="B22">
        <f>'Mass Balance'!E22</f>
        <v>2.5999520169029913E-5</v>
      </c>
      <c r="C22">
        <f>SUM('Mass Balance'!E22:H22)</f>
        <v>2.6698466122268585E-5</v>
      </c>
      <c r="D22">
        <f>Concentrations!F22/Concentrations!E22</f>
        <v>0.97420052731428097</v>
      </c>
    </row>
    <row r="23" spans="1:4">
      <c r="A23">
        <f>'Mass Balance'!I23</f>
        <v>6.1468580031447453E-8</v>
      </c>
      <c r="B23">
        <f>'Mass Balance'!E23</f>
        <v>3.0407275567553025E-5</v>
      </c>
      <c r="C23">
        <f>SUM('Mass Balance'!E23:H23)</f>
        <v>3.0720283890584683E-5</v>
      </c>
      <c r="D23">
        <f>Concentrations!F23/Concentrations!E23</f>
        <v>0.99019703955724414</v>
      </c>
    </row>
    <row r="24" spans="1:4">
      <c r="A24">
        <f>'Mass Balance'!I24</f>
        <v>4.8580883094083689E-7</v>
      </c>
      <c r="B24">
        <f>'Mass Balance'!E24</f>
        <v>1.2839289756798442E-5</v>
      </c>
      <c r="C24">
        <f>SUM('Mass Balance'!E24:H24)</f>
        <v>1.6610542474994289E-5</v>
      </c>
      <c r="D24">
        <f>Concentrations!F24/Concentrations!E24</f>
        <v>0.7732617400586479</v>
      </c>
    </row>
    <row r="25" spans="1:4">
      <c r="A25">
        <f>'Mass Balance'!I25</f>
        <v>1.3343560367316305E-6</v>
      </c>
      <c r="B25">
        <f>'Mass Balance'!E25</f>
        <v>3.0751165952173535E-6</v>
      </c>
      <c r="C25">
        <f>SUM('Mass Balance'!E25:H25)</f>
        <v>1.5159101802163609E-5</v>
      </c>
      <c r="D25">
        <f>Concentrations!F25/Concentrations!E25</f>
        <v>0.2029352336531943</v>
      </c>
    </row>
    <row r="26" spans="1:4">
      <c r="A26">
        <f>'Mass Balance'!I26</f>
        <v>3.5180761446366534E-6</v>
      </c>
      <c r="B26">
        <f>'Mass Balance'!E26</f>
        <v>8.0495333345811325E-7</v>
      </c>
      <c r="C26">
        <f>SUM('Mass Balance'!E26:H26)</f>
        <v>1.5923261214543248E-5</v>
      </c>
      <c r="D26">
        <f>Concentrations!F26/Concentrations!E26</f>
        <v>5.0571754617127311E-2</v>
      </c>
    </row>
    <row r="27" spans="1:4">
      <c r="A27">
        <f>'Mass Balance'!I27</f>
        <v>8.5701454027332337E-6</v>
      </c>
      <c r="B27">
        <f>'Mass Balance'!E27</f>
        <v>1.2777502643005015E-7</v>
      </c>
      <c r="C27">
        <f>SUM('Mass Balance'!E27:H27)</f>
        <v>1.604251782278499E-5</v>
      </c>
      <c r="D27">
        <f>Concentrations!F27/Concentrations!E27</f>
        <v>7.9678800475457279E-3</v>
      </c>
    </row>
    <row r="28" spans="1:4">
      <c r="A28">
        <f>'Mass Balance'!I28</f>
        <v>5.1259642204222577E-6</v>
      </c>
      <c r="B28">
        <f>'Mass Balance'!E28</f>
        <v>4.4006237677301278E-7</v>
      </c>
      <c r="C28">
        <f>SUM('Mass Balance'!E28:H28)</f>
        <v>1.5480488115744517E-5</v>
      </c>
      <c r="D28">
        <f>Concentrations!F28/Concentrations!E28</f>
        <v>2.8437992026032602E-2</v>
      </c>
    </row>
    <row r="29" spans="1:4">
      <c r="A29">
        <f>'Mass Balance'!I29</f>
        <v>3.5191598077363724E-6</v>
      </c>
      <c r="B29">
        <f>'Mass Balance'!E29</f>
        <v>6.0851593312095923E-7</v>
      </c>
      <c r="C29">
        <f>SUM('Mass Balance'!E29:H29)</f>
        <v>1.4050163458410123E-5</v>
      </c>
      <c r="D29">
        <f>Concentrations!F29/Concentrations!E29</f>
        <v>4.3327129345484806E-2</v>
      </c>
    </row>
    <row r="30" spans="1:4">
      <c r="A30">
        <f>'Mass Balance'!I30</f>
        <v>5.1259642204222577E-6</v>
      </c>
      <c r="B30">
        <f>'Mass Balance'!E30</f>
        <v>4.4006237677301278E-7</v>
      </c>
      <c r="C30">
        <f>SUM('Mass Balance'!E30:H30)</f>
        <v>1.5480488115744517E-5</v>
      </c>
      <c r="D30">
        <f>Concentrations!F30/Concentrations!E30</f>
        <v>2.8437992026032602E-2</v>
      </c>
    </row>
    <row r="31" spans="1:4">
      <c r="A31">
        <f>'Mass Balance'!I31</f>
        <v>1.8518458508558331E-8</v>
      </c>
      <c r="B31">
        <f>'Mass Balance'!E31</f>
        <v>3.9046199188176483E-5</v>
      </c>
      <c r="C31">
        <f>SUM('Mass Balance'!E31:H31)</f>
        <v>3.904955433860899E-5</v>
      </c>
      <c r="D31">
        <f>Concentrations!F31/Concentrations!E31</f>
        <v>1.0003040382004165</v>
      </c>
    </row>
    <row r="32" spans="1:4">
      <c r="A32">
        <f>'Mass Balance'!I32</f>
        <v>1.8463884354160618E-7</v>
      </c>
      <c r="B32">
        <f>'Mass Balance'!E32</f>
        <v>2.2190925980468527E-5</v>
      </c>
      <c r="C32">
        <f>SUM('Mass Balance'!E32:H32)</f>
        <v>2.3430105706705566E-5</v>
      </c>
      <c r="D32">
        <f>Concentrations!F32/Concentrations!E32</f>
        <v>0.9474810119395054</v>
      </c>
    </row>
    <row r="33" spans="1:4">
      <c r="A33">
        <f>'Mass Balance'!I33</f>
        <v>1.8544409799625567E-8</v>
      </c>
      <c r="B33">
        <f>'Mass Balance'!E33</f>
        <v>3.9962359819135162E-5</v>
      </c>
      <c r="C33">
        <f>SUM('Mass Balance'!E33:H33)</f>
        <v>3.9979171009271019E-5</v>
      </c>
      <c r="D33">
        <f>Concentrations!F33/Concentrations!E33</f>
        <v>0.99996932932585081</v>
      </c>
    </row>
    <row r="34" spans="1:4">
      <c r="A34">
        <f>'Mass Balance'!I34</f>
        <v>4.8950749131271229E-8</v>
      </c>
      <c r="B34">
        <f>'Mass Balance'!E34</f>
        <v>3.6901603000344608E-5</v>
      </c>
      <c r="C34">
        <f>SUM('Mass Balance'!E34:H34)</f>
        <v>3.9937978283780936E-5</v>
      </c>
      <c r="D34">
        <f>Concentrations!F34/Concentrations!E34</f>
        <v>0.92433307638325413</v>
      </c>
    </row>
    <row r="35" spans="1:4">
      <c r="A35">
        <f>'Mass Balance'!I35</f>
        <v>8.3806001011225496E-8</v>
      </c>
      <c r="B35">
        <f>'Mass Balance'!E35</f>
        <v>3.3015194873570163E-5</v>
      </c>
      <c r="C35">
        <f>SUM('Mass Balance'!E35:H35)</f>
        <v>3.9868380736508244E-5</v>
      </c>
      <c r="D35">
        <f>Concentrations!F35/Concentrations!E35</f>
        <v>0.82842768947332002</v>
      </c>
    </row>
    <row r="36" spans="1:4">
      <c r="A36">
        <f>'Mass Balance'!I36</f>
        <v>1.7560107968519963E-7</v>
      </c>
      <c r="B36">
        <f>'Mass Balance'!E36</f>
        <v>2.1807431704086927E-5</v>
      </c>
      <c r="C36">
        <f>SUM('Mass Balance'!E36:H36)</f>
        <v>3.9718578693981252E-5</v>
      </c>
      <c r="D36">
        <f>Concentrations!F36/Concentrations!E36</f>
        <v>0.54926276684845676</v>
      </c>
    </row>
    <row r="37" spans="1:4">
      <c r="A37">
        <f>'Mass Balance'!I37</f>
        <v>2.6580824930939871E-7</v>
      </c>
      <c r="B37">
        <f>'Mass Balance'!E37</f>
        <v>2.3597142271422343E-5</v>
      </c>
      <c r="C37">
        <f>SUM('Mass Balance'!E37:H37)</f>
        <v>3.1741812329607118E-5</v>
      </c>
      <c r="D37">
        <f>Concentrations!F37/Concentrations!E37</f>
        <v>0.74369871272051657</v>
      </c>
    </row>
    <row r="38" spans="1:4">
      <c r="A38">
        <f>'Mass Balance'!I38</f>
        <v>4.3510744708841907E-8</v>
      </c>
      <c r="B38">
        <f>'Mass Balance'!E38</f>
        <v>3.7496626464674483E-5</v>
      </c>
      <c r="C38">
        <f>SUM('Mass Balance'!E38:H38)</f>
        <v>3.9841769971929389E-5</v>
      </c>
      <c r="D38">
        <f>Concentrations!F38/Concentrations!E38</f>
        <v>0.94150560772638292</v>
      </c>
    </row>
    <row r="39" spans="1:4">
      <c r="A39">
        <f>'Mass Balance'!I39</f>
        <v>1.7432608867408949E-6</v>
      </c>
      <c r="B39">
        <f>'Mass Balance'!E39</f>
        <v>1.9046803204271163E-6</v>
      </c>
      <c r="C39">
        <f>SUM('Mass Balance'!E39:H39)</f>
        <v>1.8000353211562521E-5</v>
      </c>
      <c r="D39">
        <f>Concentrations!F39/Concentrations!E39</f>
        <v>0.10585476341410867</v>
      </c>
    </row>
    <row r="40" spans="1:4">
      <c r="A40">
        <f>'Mass Balance'!I40</f>
        <v>1.4869286890245616E-5</v>
      </c>
      <c r="B40">
        <f>'Mass Balance'!E40</f>
        <v>2.4794295693205791E-7</v>
      </c>
      <c r="C40">
        <f>SUM('Mass Balance'!E40:H40)</f>
        <v>2.4421561106203779E-5</v>
      </c>
      <c r="D40">
        <f>Concentrations!F40/Concentrations!E40</f>
        <v>1.0156584652045905E-2</v>
      </c>
    </row>
    <row r="41" spans="1:4">
      <c r="A41">
        <f>'Mass Balance'!I41</f>
        <v>1.6763141001088462E-8</v>
      </c>
      <c r="B41">
        <f>'Mass Balance'!E41</f>
        <v>3.6539989885159529E-5</v>
      </c>
      <c r="C41">
        <f>SUM('Mass Balance'!E41:H41)</f>
        <v>3.6540157159561771E-5</v>
      </c>
      <c r="D41">
        <f>Concentrations!F41/Concentrations!E41</f>
        <v>1.0003854124253486</v>
      </c>
    </row>
    <row r="42" spans="1:4">
      <c r="A42">
        <f>'Mass Balance'!I42</f>
        <v>1.3085631120413442E-7</v>
      </c>
      <c r="B42">
        <f>'Mass Balance'!E42</f>
        <v>2.4917728986344544E-5</v>
      </c>
      <c r="C42">
        <f>SUM('Mass Balance'!E42:H42)</f>
        <v>2.5753807711214707E-5</v>
      </c>
      <c r="D42">
        <f>Concentrations!F42/Concentrations!E42</f>
        <v>0.96791305509794789</v>
      </c>
    </row>
    <row r="43" spans="1:4">
      <c r="A43">
        <f>'Mass Balance'!I43</f>
        <v>6.3998754160449303E-7</v>
      </c>
      <c r="B43">
        <f>'Mass Balance'!E43</f>
        <v>3.2144599775224138E-6</v>
      </c>
      <c r="C43">
        <f>SUM('Mass Balance'!E43:H43)</f>
        <v>3.9206719740036285E-5</v>
      </c>
      <c r="D43">
        <f>Concentrations!F43/Concentrations!E43</f>
        <v>8.2019450049147971E-2</v>
      </c>
    </row>
    <row r="44" spans="1:4">
      <c r="A44">
        <f>'Mass Balance'!I44</f>
        <v>3.0958046417727612E-8</v>
      </c>
      <c r="B44">
        <f>'Mass Balance'!E44</f>
        <v>3.1199980031319204E-5</v>
      </c>
      <c r="C44">
        <f>SUM('Mass Balance'!E44:H44)</f>
        <v>3.1303613104448621E-5</v>
      </c>
      <c r="D44">
        <f>Concentrations!F44/Concentrations!E44</f>
        <v>0.99707812228781301</v>
      </c>
    </row>
    <row r="45" spans="1:4">
      <c r="A45">
        <f>'Mass Balance'!I45</f>
        <v>1.4871541313470821E-7</v>
      </c>
      <c r="B45">
        <f>'Mass Balance'!E45</f>
        <v>2.3849512517259337E-5</v>
      </c>
      <c r="C45">
        <f>SUM('Mass Balance'!E45:H45)</f>
        <v>2.4824051809986424E-5</v>
      </c>
      <c r="D45">
        <f>Concentrations!F45/Concentrations!E45</f>
        <v>0.96111681605375665</v>
      </c>
    </row>
    <row r="46" spans="1:4">
      <c r="A46">
        <f>'Mass Balance'!I46</f>
        <v>1.3700837695053851E-7</v>
      </c>
      <c r="B46">
        <f>'Mass Balance'!E46</f>
        <v>2.446927505049027E-5</v>
      </c>
      <c r="C46">
        <f>SUM('Mass Balance'!E46:H46)</f>
        <v>2.5353272381215289E-5</v>
      </c>
      <c r="D46">
        <f>Concentrations!F46/Concentrations!E46</f>
        <v>0.96550920546992725</v>
      </c>
    </row>
    <row r="47" spans="1:4">
      <c r="A47">
        <f>'Mass Balance'!I47</f>
        <v>8.912171241573073E-6</v>
      </c>
      <c r="B47">
        <f>'Mass Balance'!E47</f>
        <v>1.1823729854736956E-7</v>
      </c>
      <c r="C47">
        <f>SUM('Mass Balance'!E47:H47)</f>
        <v>1.6324732279557655E-5</v>
      </c>
      <c r="D47">
        <f>Concentrations!F47/Concentrations!E47</f>
        <v>7.2456569655418752E-3</v>
      </c>
    </row>
    <row r="48" spans="1:4">
      <c r="A48">
        <f>'Mass Balance'!I48</f>
        <v>2.2440933233208195E-8</v>
      </c>
      <c r="B48">
        <f>'Mass Balance'!E48</f>
        <v>3.6395925496734208E-5</v>
      </c>
      <c r="C48">
        <f>SUM('Mass Balance'!E48:H48)</f>
        <v>3.6429635766174921E-5</v>
      </c>
      <c r="D48">
        <f>Concentrations!F48/Concentrations!E48</f>
        <v>0.999464278244938</v>
      </c>
    </row>
    <row r="49" spans="1:4">
      <c r="A49">
        <f>'Mass Balance'!I49</f>
        <v>2.5937264016127809E-8</v>
      </c>
      <c r="B49">
        <f>'Mass Balance'!E49</f>
        <v>3.4937474844373892E-5</v>
      </c>
      <c r="C49">
        <f>SUM('Mass Balance'!E49:H49)</f>
        <v>3.4997255525317279E-5</v>
      </c>
      <c r="D49">
        <f>Concentrations!F49/Concentrations!E49</f>
        <v>0.99868117247035748</v>
      </c>
    </row>
    <row r="50" spans="1:4">
      <c r="A50">
        <f>'Mass Balance'!I50</f>
        <v>8.1099539007735206E-7</v>
      </c>
      <c r="B50">
        <f>'Mass Balance'!E50</f>
        <v>7.5577887319784702E-6</v>
      </c>
      <c r="C50">
        <f>SUM('Mass Balance'!E50:H50)</f>
        <v>1.4300096628856204E-5</v>
      </c>
      <c r="D50">
        <f>Concentrations!F50/Concentrations!E50</f>
        <v>0.52871923915014007</v>
      </c>
    </row>
    <row r="51" spans="1:4">
      <c r="A51">
        <f>'Mass Balance'!I51</f>
        <v>1.7607751958589788E-8</v>
      </c>
      <c r="B51">
        <f>'Mass Balance'!E51</f>
        <v>3.6180205384216506E-5</v>
      </c>
      <c r="C51">
        <f>SUM('Mass Balance'!E51:H51)</f>
        <v>3.6185800792379497E-5</v>
      </c>
      <c r="D51">
        <f>Concentrations!F51/Concentrations!E51</f>
        <v>1.0002353017912216</v>
      </c>
    </row>
    <row r="52" spans="1:4">
      <c r="A52">
        <f>'Mass Balance'!I52</f>
        <v>4.1912760614939801E-8</v>
      </c>
      <c r="B52">
        <f>'Mass Balance'!E52</f>
        <v>3.0075895441228696E-5</v>
      </c>
      <c r="C52">
        <f>SUM('Mass Balance'!E52:H52)</f>
        <v>3.0256110349991236E-5</v>
      </c>
      <c r="D52">
        <f>Concentrations!F52/Concentrations!E52</f>
        <v>0.99443135462023402</v>
      </c>
    </row>
    <row r="53" spans="1:4">
      <c r="A53">
        <f>'Mass Balance'!I53</f>
        <v>2.2038735049073203E-7</v>
      </c>
      <c r="B53">
        <f>'Mass Balance'!E53</f>
        <v>2.0381751993343118E-5</v>
      </c>
      <c r="C53">
        <f>SUM('Mass Balance'!E53:H53)</f>
        <v>2.1923806388858391E-5</v>
      </c>
      <c r="D53">
        <f>Concentrations!F53/Concentrations!E53</f>
        <v>0.93002557825139132</v>
      </c>
    </row>
    <row r="54" spans="1:4">
      <c r="A54">
        <f>'Mass Balance'!I54</f>
        <v>8.0163650292707322E-6</v>
      </c>
      <c r="B54">
        <f>'Mass Balance'!E54</f>
        <v>1.6189010893407371E-7</v>
      </c>
      <c r="C54">
        <f>SUM('Mass Balance'!E54:H54)</f>
        <v>1.5962480458068608E-5</v>
      </c>
      <c r="D54">
        <f>Concentrations!F54/Concentrations!E54</f>
        <v>1.0145869572868194E-2</v>
      </c>
    </row>
    <row r="55" spans="1:4">
      <c r="A55">
        <f>'Mass Balance'!I55</f>
        <v>4.0564316747776361E-7</v>
      </c>
      <c r="B55">
        <f>'Mass Balance'!E55</f>
        <v>9.3344813764368864E-6</v>
      </c>
      <c r="C55">
        <f>SUM('Mass Balance'!E55:H55)</f>
        <v>1.2513837804416965E-5</v>
      </c>
      <c r="D55">
        <f>Concentrations!F55/Concentrations!E55</f>
        <v>0.74622365222951759</v>
      </c>
    </row>
    <row r="56" spans="1:4">
      <c r="A56">
        <f>'Mass Balance'!I56</f>
        <v>1.9102602417134779E-7</v>
      </c>
      <c r="B56">
        <f>'Mass Balance'!E56</f>
        <v>8.8575220125125336E-7</v>
      </c>
      <c r="C56">
        <f>SUM('Mass Balance'!E56:H56)</f>
        <v>2.5438283987068854E-6</v>
      </c>
      <c r="D56">
        <f>Concentrations!F56/Concentrations!E56</f>
        <v>0.3483323159709637</v>
      </c>
    </row>
    <row r="57" spans="1:4">
      <c r="A57">
        <f>'Mass Balance'!I57</f>
        <v>7.8165269449719949E-8</v>
      </c>
      <c r="B57">
        <f>'Mass Balance'!E57</f>
        <v>1.3316459315372518E-6</v>
      </c>
      <c r="C57">
        <f>SUM('Mass Balance'!E57:H57)</f>
        <v>1.9568048860249966E-6</v>
      </c>
      <c r="D57">
        <f>Concentrations!F57/Concentrations!E57</f>
        <v>0.68078594465769404</v>
      </c>
    </row>
    <row r="58" spans="1:4">
      <c r="A58">
        <f>'Mass Balance'!I58</f>
        <v>1.9426139778459197E-9</v>
      </c>
      <c r="B58">
        <f>'Mass Balance'!E58</f>
        <v>2.3771374386807648E-6</v>
      </c>
      <c r="C58">
        <f>SUM('Mass Balance'!E58:H58)</f>
        <v>2.3823373414265703E-6</v>
      </c>
      <c r="D58">
        <f>Concentrations!F58/Concentrations!E58</f>
        <v>0.99820645128398888</v>
      </c>
    </row>
    <row r="59" spans="1:4">
      <c r="A59">
        <f>'Mass Balance'!I59</f>
        <v>2.7624774284352416E-8</v>
      </c>
      <c r="B59">
        <f>'Mass Balance'!E59</f>
        <v>5.0447148552602811E-7</v>
      </c>
      <c r="C59">
        <f>SUM('Mass Balance'!E59:H59)</f>
        <v>7.243976036898124E-7</v>
      </c>
      <c r="D59">
        <f>Concentrations!F59/Concentrations!E59</f>
        <v>0.69667296359957631</v>
      </c>
    </row>
    <row r="60" spans="1:4">
      <c r="A60">
        <f>'Mass Balance'!I60</f>
        <v>4.6041007380312997E-10</v>
      </c>
      <c r="B60">
        <f>'Mass Balance'!E60</f>
        <v>1.7987973542910291E-8</v>
      </c>
      <c r="C60">
        <f>SUM('Mass Balance'!E60:H60)</f>
        <v>2.1461524252031577E-8</v>
      </c>
      <c r="D60">
        <f>Concentrations!F60/Concentrations!E60</f>
        <v>0.83847673156790337</v>
      </c>
    </row>
    <row r="61" spans="1:4">
      <c r="A61">
        <f>'Mass Balance'!I61</f>
        <v>3.1236269156265476E-7</v>
      </c>
      <c r="B61">
        <f>'Mass Balance'!E61</f>
        <v>1.7190670311414891E-5</v>
      </c>
      <c r="C61">
        <f>SUM('Mass Balance'!E61:H61)</f>
        <v>1.9483721613409014E-5</v>
      </c>
      <c r="D61">
        <f>Concentrations!F61/Concentrations!E61</f>
        <v>0.88265347232576219</v>
      </c>
    </row>
    <row r="62" spans="1:4">
      <c r="A62">
        <f>'Mass Balance'!I62</f>
        <v>3.9809946026163674E-6</v>
      </c>
      <c r="B62">
        <f>'Mass Balance'!E62</f>
        <v>6.7249390503377558E-7</v>
      </c>
      <c r="C62">
        <f>SUM('Mass Balance'!E62:H62)</f>
        <v>1.5734170091063425E-5</v>
      </c>
      <c r="D62">
        <f>Concentrations!F62/Concentrations!E62</f>
        <v>4.275765219305034E-2</v>
      </c>
    </row>
    <row r="63" spans="1:4">
      <c r="A63">
        <f>'Mass Balance'!I63</f>
        <v>1.0410899709921804E-5</v>
      </c>
      <c r="B63">
        <f>'Mass Balance'!E63</f>
        <v>6.6988166088714549E-8</v>
      </c>
      <c r="C63">
        <f>SUM('Mass Balance'!E63:H63)</f>
        <v>1.7056285122285086E-5</v>
      </c>
      <c r="D63">
        <f>Concentrations!F63/Concentrations!E63</f>
        <v>3.9290086006088304E-3</v>
      </c>
    </row>
    <row r="64" spans="1:4">
      <c r="A64">
        <f>'Mass Balance'!I64</f>
        <v>1.2621279657291382E-5</v>
      </c>
      <c r="B64">
        <f>'Mass Balance'!E64</f>
        <v>2.46941009531402E-8</v>
      </c>
      <c r="C64">
        <f>SUM('Mass Balance'!E64:H64)</f>
        <v>1.8400984808828934E-5</v>
      </c>
      <c r="D64">
        <f>Concentrations!F64/Concentrations!E64</f>
        <v>1.3425222460896706E-3</v>
      </c>
    </row>
    <row r="65" spans="1:4">
      <c r="A65">
        <f>'Mass Balance'!I65</f>
        <v>1.4546679470792964E-5</v>
      </c>
      <c r="B65">
        <f>'Mass Balance'!E65</f>
        <v>7.3494843451094111E-9</v>
      </c>
      <c r="C65">
        <f>SUM('Mass Balance'!E65:H65)</f>
        <v>1.976366490573599E-5</v>
      </c>
      <c r="D65">
        <f>Concentrations!F65/Concentrations!E65</f>
        <v>3.7201352181030859E-4</v>
      </c>
    </row>
    <row r="66" spans="1:4">
      <c r="A66">
        <f>'Mass Balance'!I66</f>
        <v>1.3533227683006362E-5</v>
      </c>
      <c r="B66">
        <f>'Mass Balance'!E66</f>
        <v>1.4772227677496609E-8</v>
      </c>
      <c r="C66">
        <f>SUM('Mass Balance'!E66:H66)</f>
        <v>1.9028214740399228E-5</v>
      </c>
      <c r="D66">
        <f>Concentrations!F66/Concentrations!E66</f>
        <v>7.7663558721812701E-4</v>
      </c>
    </row>
    <row r="67" spans="1:4">
      <c r="A67">
        <f>'Mass Balance'!I67</f>
        <v>3.6868858283024232E-8</v>
      </c>
      <c r="B67">
        <f>'Mass Balance'!E67</f>
        <v>3.3457597118187132E-5</v>
      </c>
      <c r="C67">
        <f>SUM('Mass Balance'!E67:H67)</f>
        <v>3.359287645243662E-5</v>
      </c>
      <c r="D67">
        <f>Concentrations!F67/Concentrations!E67</f>
        <v>0.99636139709402016</v>
      </c>
    </row>
    <row r="68" spans="1:4">
      <c r="A68">
        <f>'Mass Balance'!I68</f>
        <v>5.1159229605170311E-8</v>
      </c>
      <c r="B68">
        <f>'Mass Balance'!E68</f>
        <v>3.1203187591680877E-5</v>
      </c>
      <c r="C68">
        <f>SUM('Mass Balance'!E68:H68)</f>
        <v>3.1442286079344108E-5</v>
      </c>
      <c r="D68">
        <f>Concentrations!F68/Concentrations!E68</f>
        <v>0.99278266559629358</v>
      </c>
    </row>
    <row r="69" spans="1:4">
      <c r="A69">
        <f>'Mass Balance'!I69</f>
        <v>6.7695498668892995E-6</v>
      </c>
      <c r="B69">
        <f>'Mass Balance'!E69</f>
        <v>2.4503736709150238E-7</v>
      </c>
      <c r="C69">
        <f>SUM('Mass Balance'!E69:H69)</f>
        <v>1.5545496760722663E-5</v>
      </c>
      <c r="D69">
        <f>Concentrations!F69/Concentrations!E69</f>
        <v>1.5768742130658431E-2</v>
      </c>
    </row>
    <row r="70" spans="1:4">
      <c r="A70">
        <f>'Mass Balance'!I70</f>
        <v>1.2965334840792293E-6</v>
      </c>
      <c r="B70">
        <f>'Mass Balance'!E70</f>
        <v>3.685489506622595E-6</v>
      </c>
      <c r="C70">
        <f>SUM('Mass Balance'!E70:H70)</f>
        <v>1.5278829809958606E-5</v>
      </c>
      <c r="D70">
        <f>Concentrations!F70/Concentrations!E70</f>
        <v>0.24130950236583468</v>
      </c>
    </row>
    <row r="71" spans="1:4">
      <c r="A71">
        <f>'Mass Balance'!I71</f>
        <v>4.7665934279705543E-8</v>
      </c>
      <c r="B71">
        <f>'Mass Balance'!E71</f>
        <v>3.1068464166019742E-5</v>
      </c>
      <c r="C71">
        <f>SUM('Mass Balance'!E71:H71)</f>
        <v>3.1284224839751391E-5</v>
      </c>
      <c r="D71">
        <f>Concentrations!F71/Concentrations!E71</f>
        <v>0.99349051410971345</v>
      </c>
    </row>
    <row r="72" spans="1:4">
      <c r="A72">
        <f>'Mass Balance'!I72</f>
        <v>1.1855130414674956E-6</v>
      </c>
      <c r="B72">
        <f>'Mass Balance'!E72</f>
        <v>3.967097594436294E-6</v>
      </c>
      <c r="C72">
        <f>SUM('Mass Balance'!E72:H72)</f>
        <v>1.4463400532844965E-5</v>
      </c>
      <c r="D72">
        <f>Concentrations!F72/Concentrations!E72</f>
        <v>0.27439223036697241</v>
      </c>
    </row>
    <row r="73" spans="1:4">
      <c r="A73">
        <f>'Mass Balance'!I73</f>
        <v>3.290532567552402E-7</v>
      </c>
      <c r="B73">
        <f>'Mass Balance'!E73</f>
        <v>1.6159455076590051E-5</v>
      </c>
      <c r="C73">
        <f>SUM('Mass Balance'!E73:H73)</f>
        <v>1.8597821151578322E-5</v>
      </c>
      <c r="D73">
        <f>Concentrations!F73/Concentrations!E73</f>
        <v>0.86922855121551568</v>
      </c>
    </row>
    <row r="74" spans="1:4">
      <c r="A74">
        <f>'Mass Balance'!I74</f>
        <v>1.2689003026439418E-6</v>
      </c>
      <c r="B74">
        <f>'Mass Balance'!E74</f>
        <v>3.7790699357122012E-6</v>
      </c>
      <c r="C74">
        <f>SUM('Mass Balance'!E74:H74)</f>
        <v>1.5093324823949096E-5</v>
      </c>
      <c r="D74">
        <f>Concentrations!F74/Concentrations!E74</f>
        <v>0.25047786269637612</v>
      </c>
    </row>
    <row r="75" spans="1:4">
      <c r="A75">
        <f>'Mass Balance'!I75</f>
        <v>2.1259168689631633E-6</v>
      </c>
      <c r="B75">
        <f>'Mass Balance'!E75</f>
        <v>1.5794145903272066E-6</v>
      </c>
      <c r="C75">
        <f>SUM('Mass Balance'!E75:H75)</f>
        <v>3.7843626883320221E-5</v>
      </c>
      <c r="D75">
        <f>Concentrations!F75/Concentrations!E75</f>
        <v>4.1751562404633208E-2</v>
      </c>
    </row>
    <row r="76" spans="1:4">
      <c r="A76">
        <f>'Mass Balance'!I76</f>
        <v>2.1259168793569653E-6</v>
      </c>
      <c r="B76">
        <f>'Mass Balance'!E76</f>
        <v>1.5794145980491089E-6</v>
      </c>
      <c r="C76">
        <f>SUM('Mass Balance'!E76:H76)</f>
        <v>3.7843627068341165E-5</v>
      </c>
      <c r="D76">
        <f>Concentrations!F76/Concentrations!E76</f>
        <v>4.1751562404633215E-2</v>
      </c>
    </row>
    <row r="77" spans="1:4">
      <c r="A77">
        <f>'Mass Balance'!I77</f>
        <v>6.5616726269396192E-7</v>
      </c>
      <c r="B77">
        <f>'Mass Balance'!E77</f>
        <v>8.866109096221841E-6</v>
      </c>
      <c r="C77">
        <f>SUM('Mass Balance'!E77:H77)</f>
        <v>1.4193977654364108E-5</v>
      </c>
      <c r="D77">
        <f>Concentrations!F77/Concentrations!E77</f>
        <v>0.62488239900950338</v>
      </c>
    </row>
    <row r="78" spans="1:4">
      <c r="A78">
        <f>'Mass Balance'!I78</f>
        <v>1.1792915165408402E-7</v>
      </c>
      <c r="B78">
        <f>'Mass Balance'!E78</f>
        <v>2.4444961646756995E-5</v>
      </c>
      <c r="C78">
        <f>SUM('Mass Balance'!E78:H78)</f>
        <v>2.51882258990798E-5</v>
      </c>
      <c r="D78">
        <f>Concentrations!F78/Concentrations!E78</f>
        <v>0.97087008370748951</v>
      </c>
    </row>
    <row r="79" spans="1:4">
      <c r="A79">
        <f>'Mass Balance'!I79</f>
        <v>2.2550375048440382E-7</v>
      </c>
      <c r="B79">
        <f>'Mass Balance'!E79</f>
        <v>1.9942341481850629E-5</v>
      </c>
      <c r="C79">
        <f>SUM('Mass Balance'!E79:H79)</f>
        <v>2.1527394094124375E-5</v>
      </c>
      <c r="D79">
        <f>Concentrations!F79/Concentrations!E79</f>
        <v>0.92673171443555491</v>
      </c>
    </row>
    <row r="80" spans="1:4">
      <c r="A80">
        <f>'Mass Balance'!I80</f>
        <v>3.9752197162413311E-6</v>
      </c>
      <c r="B80">
        <f>'Mass Balance'!E80</f>
        <v>1.0308896370985262E-6</v>
      </c>
      <c r="C80">
        <f>SUM('Mass Balance'!E80:H80)</f>
        <v>3.59890455620504E-5</v>
      </c>
      <c r="D80">
        <f>Concentrations!F80/Concentrations!E80</f>
        <v>2.8655710640265234E-2</v>
      </c>
    </row>
    <row r="81" spans="1:4">
      <c r="A81">
        <f>'Mass Balance'!I81</f>
        <v>1.8723266805208618E-8</v>
      </c>
      <c r="B81">
        <f>'Mass Balance'!E81</f>
        <v>3.881990132484505E-5</v>
      </c>
      <c r="C81">
        <f>SUM('Mass Balance'!E81:H81)</f>
        <v>3.8824959060045464E-5</v>
      </c>
      <c r="D81">
        <f>Concentrations!F81/Concentrations!E81</f>
        <v>1.0002596710296734</v>
      </c>
    </row>
    <row r="82" spans="1:4">
      <c r="A82">
        <f>'Mass Balance'!I82</f>
        <v>5.9679674382089135E-8</v>
      </c>
      <c r="B82">
        <f>'Mass Balance'!E82</f>
        <v>3.0601872195715378E-5</v>
      </c>
      <c r="C82">
        <f>SUM('Mass Balance'!E82:H82)</f>
        <v>3.0901758815966904E-5</v>
      </c>
      <c r="D82">
        <f>Concentrations!F82/Concentrations!E82</f>
        <v>0.99068169111119375</v>
      </c>
    </row>
    <row r="83" spans="1:4">
      <c r="A83">
        <f>'Mass Balance'!I83</f>
        <v>6.0784118373589674E-7</v>
      </c>
      <c r="B83">
        <f>'Mass Balance'!E83</f>
        <v>1.059793537738776E-5</v>
      </c>
      <c r="C83">
        <f>SUM('Mass Balance'!E83:H83)</f>
        <v>1.5451962996053151E-5</v>
      </c>
      <c r="D83">
        <f>Concentrations!F83/Concentrations!E83</f>
        <v>0.68613084890735798</v>
      </c>
    </row>
    <row r="84" spans="1:4">
      <c r="A84">
        <f>'Mass Balance'!I84</f>
        <v>2.1016269493226664E-8</v>
      </c>
      <c r="B84">
        <f>'Mass Balance'!E84</f>
        <v>3.7469297835048585E-5</v>
      </c>
      <c r="C84">
        <f>SUM('Mass Balance'!E84:H84)</f>
        <v>3.749133938020006E-5</v>
      </c>
      <c r="D84">
        <f>Concentrations!F84/Concentrations!E84</f>
        <v>0.99980185243897635</v>
      </c>
    </row>
    <row r="85" spans="1:4">
      <c r="A85">
        <f>'Mass Balance'!I85</f>
        <v>1.827703246785698E-8</v>
      </c>
      <c r="B85">
        <f>'Mass Balance'!E85</f>
        <v>3.9498923747204854E-5</v>
      </c>
      <c r="C85">
        <f>SUM('Mass Balance'!E85:H85)</f>
        <v>3.9499886760872288E-5</v>
      </c>
      <c r="D85">
        <f>Concentrations!F85/Concentrations!E85</f>
        <v>1.0003656023636858</v>
      </c>
    </row>
    <row r="86" spans="1:4">
      <c r="A86">
        <f>'Mass Balance'!I86</f>
        <v>2.0874090881909328E-8</v>
      </c>
      <c r="B86">
        <f>'Mass Balance'!E86</f>
        <v>3.7530504727235512E-5</v>
      </c>
      <c r="C86">
        <f>SUM('Mass Balance'!E86:H86)</f>
        <v>3.755152526798199E-5</v>
      </c>
      <c r="D86">
        <f>Concentrations!F86/Concentrations!E86</f>
        <v>0.99982999511187021</v>
      </c>
    </row>
    <row r="87" spans="1:4">
      <c r="A87">
        <f>'Mass Balance'!I87</f>
        <v>9.5007370841161449E-6</v>
      </c>
      <c r="B87">
        <f>'Mass Balance'!E87</f>
        <v>9.5253156146050115E-8</v>
      </c>
      <c r="C87">
        <f>SUM('Mass Balance'!E87:H87)</f>
        <v>1.6592617314327226E-5</v>
      </c>
      <c r="D87">
        <f>Concentrations!F87/Concentrations!E87</f>
        <v>5.742933879149207E-3</v>
      </c>
    </row>
    <row r="88" spans="1:4">
      <c r="A88">
        <f>'Mass Balance'!I88</f>
        <v>9.7939667135435802E-8</v>
      </c>
      <c r="B88">
        <f>'Mass Balance'!E88</f>
        <v>2.7151067801861278E-5</v>
      </c>
      <c r="C88">
        <f>SUM('Mass Balance'!E88:H88)</f>
        <v>2.773589061681341E-5</v>
      </c>
      <c r="D88">
        <f>Concentrations!F88/Concentrations!E88</f>
        <v>0.97929635205464505</v>
      </c>
    </row>
    <row r="89" spans="1:4">
      <c r="A89">
        <f>'Mass Balance'!I89</f>
        <v>6.5262069297750032E-8</v>
      </c>
      <c r="B89">
        <f>'Mass Balance'!E89</f>
        <v>3.0012191959870484E-5</v>
      </c>
      <c r="C89">
        <f>SUM('Mass Balance'!E89:H89)</f>
        <v>3.0353084642566189E-5</v>
      </c>
      <c r="D89">
        <f>Concentrations!F89/Concentrations!E89</f>
        <v>0.98915470467762656</v>
      </c>
    </row>
    <row r="90" spans="1:4">
      <c r="A90">
        <f>'Mass Balance'!I90</f>
        <v>2.9018956741618575E-8</v>
      </c>
      <c r="B90">
        <f>'Mass Balance'!E90</f>
        <v>3.5144907657836153E-5</v>
      </c>
      <c r="C90">
        <f>SUM('Mass Balance'!E90:H90)</f>
        <v>3.522369781630547E-5</v>
      </c>
      <c r="D90">
        <f>Concentrations!F90/Concentrations!E90</f>
        <v>0.9981522688285277</v>
      </c>
    </row>
    <row r="91" spans="1:4">
      <c r="A91">
        <f>'Mass Balance'!I91</f>
        <v>4.3575590813690935E-6</v>
      </c>
      <c r="B91">
        <f>'Mass Balance'!E91</f>
        <v>5.8287693525081264E-7</v>
      </c>
      <c r="C91">
        <f>SUM('Mass Balance'!E91:H91)</f>
        <v>1.5613416585919502E-5</v>
      </c>
      <c r="D91">
        <f>Concentrations!F91/Concentrations!E91</f>
        <v>3.7346358460614341E-2</v>
      </c>
    </row>
    <row r="92" spans="1:4">
      <c r="A92">
        <f>'Mass Balance'!I92</f>
        <v>4.7959080455203067E-7</v>
      </c>
      <c r="B92">
        <f>'Mass Balance'!E92</f>
        <v>1.2970552914681303E-5</v>
      </c>
      <c r="C92">
        <f>SUM('Mass Balance'!E92:H92)</f>
        <v>1.6687500907261177E-5</v>
      </c>
      <c r="D92">
        <f>Concentrations!F92/Concentrations!E92</f>
        <v>0.77756468144100499</v>
      </c>
    </row>
    <row r="93" spans="1:4">
      <c r="A93">
        <f>'Mass Balance'!I93</f>
        <v>1.1209511938547916E-6</v>
      </c>
      <c r="B93">
        <f>'Mass Balance'!E93</f>
        <v>4.9610730001538501E-6</v>
      </c>
      <c r="C93">
        <f>SUM('Mass Balance'!E93:H93)</f>
        <v>1.471844412076972E-5</v>
      </c>
      <c r="D93">
        <f>Concentrations!F93/Concentrations!E93</f>
        <v>0.33719649566104481</v>
      </c>
    </row>
    <row r="94" spans="1:4">
      <c r="A94">
        <f>'Mass Balance'!I94</f>
        <v>2.3630542651702906E-8</v>
      </c>
      <c r="B94">
        <f>'Mass Balance'!E94</f>
        <v>3.950704888164553E-5</v>
      </c>
      <c r="C94">
        <f>SUM('Mass Balance'!E94:H94)</f>
        <v>3.9969351345825172E-5</v>
      </c>
      <c r="D94">
        <f>Concentrations!F94/Concentrations!E94</f>
        <v>0.98881905723355989</v>
      </c>
    </row>
    <row r="95" spans="1:4">
      <c r="A95">
        <f>'Mass Balance'!I95</f>
        <v>2.2737157934878244E-6</v>
      </c>
      <c r="B95">
        <f>'Mass Balance'!E95</f>
        <v>1.4190830901321545E-6</v>
      </c>
      <c r="C95">
        <f>SUM('Mass Balance'!E95:H95)</f>
        <v>1.7094795745983733E-5</v>
      </c>
      <c r="D95">
        <f>Concentrations!F95/Concentrations!E95</f>
        <v>8.304495369984885E-2</v>
      </c>
    </row>
    <row r="96" spans="1:4">
      <c r="A96">
        <f>'Mass Balance'!I96</f>
        <v>1.8770538696092693E-8</v>
      </c>
      <c r="B96">
        <f>'Mass Balance'!E96</f>
        <v>3.8774767730646639E-5</v>
      </c>
      <c r="C96">
        <f>SUM('Mass Balance'!E96:H96)</f>
        <v>3.8780204740545472E-5</v>
      </c>
      <c r="D96">
        <f>Concentrations!F96/Concentrations!E96</f>
        <v>1.0002497367076915</v>
      </c>
    </row>
    <row r="97" spans="1:4">
      <c r="A97">
        <f>'Mass Balance'!I97</f>
        <v>2.1089970596978709E-8</v>
      </c>
      <c r="B97">
        <f>'Mass Balance'!E97</f>
        <v>3.7438157335114856E-5</v>
      </c>
      <c r="C97">
        <f>SUM('Mass Balance'!E97:H97)</f>
        <v>3.7460727507228244E-5</v>
      </c>
      <c r="D97">
        <f>Concentrations!F97/Concentrations!E97</f>
        <v>0.99978725482667141</v>
      </c>
    </row>
    <row r="98" spans="1:4">
      <c r="A98">
        <f>'Mass Balance'!I98</f>
        <v>1.4641564272743535E-6</v>
      </c>
      <c r="B98">
        <f>'Mass Balance'!E98</f>
        <v>2.9337150001160818E-6</v>
      </c>
      <c r="C98">
        <f>SUM('Mass Balance'!E98:H98)</f>
        <v>1.6305782403910954E-5</v>
      </c>
      <c r="D98">
        <f>Concentrations!F98/Concentrations!E98</f>
        <v>0.17998885627798372</v>
      </c>
    </row>
    <row r="99" spans="1:4">
      <c r="A99">
        <f>'Mass Balance'!I99</f>
        <v>1.8250243414191633E-8</v>
      </c>
      <c r="B99">
        <f>'Mass Balance'!E99</f>
        <v>3.9647665391759583E-5</v>
      </c>
      <c r="C99">
        <f>SUM('Mass Balance'!E99:H99)</f>
        <v>3.964814718790074E-5</v>
      </c>
      <c r="D99">
        <f>Concentrations!F99/Concentrations!E99</f>
        <v>1.0003778355007853</v>
      </c>
    </row>
    <row r="100" spans="1:4">
      <c r="A100">
        <f>'Mass Balance'!I100</f>
        <v>1.9813288615013694E-7</v>
      </c>
      <c r="B100">
        <f>'Mass Balance'!E100</f>
        <v>2.1414683583309975E-5</v>
      </c>
      <c r="C100">
        <f>SUM('Mass Balance'!E100:H100)</f>
        <v>2.2778149834089832E-5</v>
      </c>
      <c r="D100">
        <f>Concentrations!F100/Concentrations!E100</f>
        <v>0.9405081314930559</v>
      </c>
    </row>
    <row r="101" spans="1:4">
      <c r="A101">
        <f>'Mass Balance'!I101</f>
        <v>1.8301579309748509E-8</v>
      </c>
      <c r="B101">
        <f>'Mass Balance'!E101</f>
        <v>3.9421776402856924E-5</v>
      </c>
      <c r="C101">
        <f>SUM('Mass Balance'!E101:H101)</f>
        <v>3.9423049546251303E-5</v>
      </c>
      <c r="D101">
        <f>Concentrations!F101/Concentrations!E101</f>
        <v>1.0003576850484845</v>
      </c>
    </row>
    <row r="102" spans="1:4">
      <c r="A102">
        <f>'Mass Balance'!I102</f>
        <v>1.8258782747110332E-8</v>
      </c>
      <c r="B102">
        <f>'Mass Balance'!E102</f>
        <v>3.9839817085948993E-5</v>
      </c>
      <c r="C102">
        <f>SUM('Mass Balance'!E102:H102)</f>
        <v>3.9839913839884931E-5</v>
      </c>
      <c r="D102">
        <f>Concentrations!F102/Concentrations!E102</f>
        <v>1.0003875625194714</v>
      </c>
    </row>
    <row r="103" spans="1:4">
      <c r="A103">
        <f>'Mass Balance'!I103</f>
        <v>1.8249404971233411E-8</v>
      </c>
      <c r="B103">
        <f>'Mass Balance'!E103</f>
        <v>3.9658308810434417E-5</v>
      </c>
      <c r="C103">
        <f>SUM('Mass Balance'!E103:H103)</f>
        <v>3.9658762193966137E-5</v>
      </c>
      <c r="D103">
        <f>Concentrations!F103/Concentrations!E103</f>
        <v>1.0003785554610218</v>
      </c>
    </row>
    <row r="104" spans="1:4">
      <c r="A104">
        <f>'Mass Balance'!I104</f>
        <v>1.9634284199037857E-8</v>
      </c>
      <c r="B104">
        <f>'Mass Balance'!E104</f>
        <v>3.8151605184313938E-5</v>
      </c>
      <c r="C104">
        <f>SUM('Mass Balance'!E104:H104)</f>
        <v>3.8163614000034532E-5</v>
      </c>
      <c r="D104">
        <f>Concentrations!F104/Concentrations!E104</f>
        <v>1.0000752026892545</v>
      </c>
    </row>
    <row r="105" spans="1:4">
      <c r="A105">
        <f>'Mass Balance'!I105</f>
        <v>1.8254229671577139E-8</v>
      </c>
      <c r="B105">
        <f>'Mass Balance'!E105</f>
        <v>3.9811514801305713E-5</v>
      </c>
      <c r="C105">
        <f>SUM('Mass Balance'!E105:H105)</f>
        <v>3.981165081291961E-5</v>
      </c>
      <c r="D105">
        <f>Concentrations!F105/Concentrations!E105</f>
        <v>1.0003865743249909</v>
      </c>
    </row>
    <row r="106" spans="1:4">
      <c r="A106">
        <f>'Mass Balance'!I106</f>
        <v>3.5407954188332879E-8</v>
      </c>
      <c r="B106">
        <f>'Mass Balance'!E106</f>
        <v>3.3898029638580909E-5</v>
      </c>
      <c r="C106">
        <f>SUM('Mass Balance'!E106:H106)</f>
        <v>3.4022255706087178E-5</v>
      </c>
      <c r="D106">
        <f>Concentrations!F106/Concentrations!E106</f>
        <v>0.99673725025991455</v>
      </c>
    </row>
    <row r="107" spans="1:4">
      <c r="A107">
        <f>'Mass Balance'!I107</f>
        <v>1.5959545087214683E-6</v>
      </c>
      <c r="B107">
        <f>'Mass Balance'!E107</f>
        <v>2.3614544221978591E-6</v>
      </c>
      <c r="C107">
        <f>SUM('Mass Balance'!E107:H107)</f>
        <v>1.7206659696076277E-5</v>
      </c>
      <c r="D107">
        <f>Concentrations!F107/Concentrations!E107</f>
        <v>0.13729424608490648</v>
      </c>
    </row>
    <row r="108" spans="1:4">
      <c r="A108">
        <f>'Mass Balance'!I108</f>
        <v>1.5869014030731348E-7</v>
      </c>
      <c r="B108">
        <f>'Mass Balance'!E108</f>
        <v>2.3333576665797205E-5</v>
      </c>
      <c r="C108">
        <f>SUM('Mass Balance'!E108:H108)</f>
        <v>2.4385774571666787E-5</v>
      </c>
      <c r="D108">
        <f>Concentrations!F108/Concentrations!E108</f>
        <v>0.95722514395562408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0.8058167819105474</v>
      </c>
      <c r="M2" s="115">
        <v>2.1491754336172075</v>
      </c>
      <c r="N2" s="115">
        <v>55.107786269511649</v>
      </c>
      <c r="O2" s="115">
        <v>1.1760197424955734</v>
      </c>
      <c r="P2" s="115">
        <v>1.2070402286911306</v>
      </c>
      <c r="Q2" s="111">
        <v>1.1760197424955734</v>
      </c>
      <c r="R2" s="68">
        <v>1.2070402286911306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2.908653288704923E-3</v>
      </c>
      <c r="M3" s="115">
        <v>412.15400408383562</v>
      </c>
      <c r="N3" s="115">
        <v>16032.877339094899</v>
      </c>
      <c r="O3" s="115">
        <v>96.695450444635952</v>
      </c>
      <c r="P3" s="115">
        <v>41.41964730498043</v>
      </c>
      <c r="Q3" s="111">
        <v>96.695450444635952</v>
      </c>
      <c r="R3" s="68">
        <v>41.41964730498043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0.48953067847830978</v>
      </c>
      <c r="M4" s="115">
        <v>11.387397264418031</v>
      </c>
      <c r="N4" s="115">
        <v>418.07490701902975</v>
      </c>
      <c r="O4" s="115">
        <v>4.506023713721345</v>
      </c>
      <c r="P4" s="115">
        <v>4.2212292344903659</v>
      </c>
      <c r="Q4" s="111">
        <v>4.506023713721345</v>
      </c>
      <c r="R4" s="68">
        <v>4.2212292344903659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3.0825669491166146E-2</v>
      </c>
      <c r="M5" s="115">
        <v>120.02696568776274</v>
      </c>
      <c r="N5" s="115">
        <v>4630.3610084664369</v>
      </c>
      <c r="O5" s="115">
        <v>40.784677490893024</v>
      </c>
      <c r="P5" s="115">
        <v>34.389951949220247</v>
      </c>
      <c r="Q5" s="111">
        <v>40.784677490893024</v>
      </c>
      <c r="R5" s="68">
        <v>34.389951949220247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1.385159605332485E-3</v>
      </c>
      <c r="M6" s="115">
        <v>511.09100319883765</v>
      </c>
      <c r="N6" s="115">
        <v>19923.859642886917</v>
      </c>
      <c r="O6" s="115">
        <v>116.74571044455415</v>
      </c>
      <c r="P6" s="115">
        <v>46.246452843307139</v>
      </c>
      <c r="Q6" s="111">
        <v>116.74571044455416</v>
      </c>
      <c r="R6" s="68">
        <v>46.246452843307139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2.6542098049494789E-3</v>
      </c>
      <c r="M7" s="115">
        <v>432.6396434533782</v>
      </c>
      <c r="N7" s="115">
        <v>16835.030319261503</v>
      </c>
      <c r="O7" s="115">
        <v>101.01667883851867</v>
      </c>
      <c r="P7" s="115">
        <v>42.675732191965764</v>
      </c>
      <c r="Q7" s="111">
        <v>101.01667883851867</v>
      </c>
      <c r="R7" s="68">
        <v>42.675732191965771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5.6691083062329036E-3</v>
      </c>
      <c r="M8" s="115">
        <v>330.8809945813228</v>
      </c>
      <c r="N8" s="115">
        <v>12845.758060877244</v>
      </c>
      <c r="O8" s="115">
        <v>80.814309898048137</v>
      </c>
      <c r="P8" s="115">
        <v>38.656497853841039</v>
      </c>
      <c r="Q8" s="111">
        <v>80.814309898048137</v>
      </c>
      <c r="R8" s="68">
        <v>38.656497853841046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0.1641084028206862</v>
      </c>
      <c r="M9" s="115">
        <v>43.764685404289281</v>
      </c>
      <c r="N9" s="115">
        <v>1672.8545701147955</v>
      </c>
      <c r="O9" s="115">
        <v>17.57697855740809</v>
      </c>
      <c r="P9" s="115">
        <v>17.254418792350993</v>
      </c>
      <c r="Q9" s="111">
        <v>17.576978557408093</v>
      </c>
      <c r="R9" s="68">
        <v>17.254418792350993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2.853828191162712E-2</v>
      </c>
      <c r="M10" s="115">
        <v>127.82081574780867</v>
      </c>
      <c r="N10" s="115">
        <v>4932.7511387901141</v>
      </c>
      <c r="O10" s="115">
        <v>42.188637412428278</v>
      </c>
      <c r="P10" s="115">
        <v>34.391642751451108</v>
      </c>
      <c r="Q10" s="111">
        <v>42.188637412428278</v>
      </c>
      <c r="R10" s="68">
        <v>34.391642751451108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2.5011506094203891E-2</v>
      </c>
      <c r="M11" s="115">
        <v>141.4696386753333</v>
      </c>
      <c r="N11" s="115">
        <v>5462.6032795356787</v>
      </c>
      <c r="O11" s="115">
        <v>44.648358356679985</v>
      </c>
      <c r="P11" s="115">
        <v>34.400965153497118</v>
      </c>
      <c r="Q11" s="111">
        <v>44.648358356679985</v>
      </c>
      <c r="R11" s="68">
        <v>34.400965153497118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0.12226133445209027</v>
      </c>
      <c r="M12" s="115">
        <v>53.16138170561549</v>
      </c>
      <c r="N12" s="115">
        <v>2036.9014632384669</v>
      </c>
      <c r="O12" s="115">
        <v>21.615375085015842</v>
      </c>
      <c r="P12" s="115">
        <v>21.491263112583891</v>
      </c>
      <c r="Q12" s="111">
        <v>21.615375085015842</v>
      </c>
      <c r="R12" s="68">
        <v>21.491263112583894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0.15971516498007274</v>
      </c>
      <c r="M13" s="115">
        <v>44.621812959588311</v>
      </c>
      <c r="N13" s="115">
        <v>1706.054222760524</v>
      </c>
      <c r="O13" s="115">
        <v>17.941237770210169</v>
      </c>
      <c r="P13" s="115">
        <v>17.633204950952308</v>
      </c>
      <c r="Q13" s="111">
        <v>17.941237770210169</v>
      </c>
      <c r="R13" s="68">
        <v>17.633204950952308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1.6336077258888915E-2</v>
      </c>
      <c r="M14" s="115">
        <v>190.49238348079714</v>
      </c>
      <c r="N14" s="115">
        <v>7368.2250278109341</v>
      </c>
      <c r="O14" s="115">
        <v>53.723626638120038</v>
      </c>
      <c r="P14" s="115">
        <v>34.908446476059147</v>
      </c>
      <c r="Q14" s="111">
        <v>53.723626638120038</v>
      </c>
      <c r="R14" s="68">
        <v>34.908446476059154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2.6730781449605643E-2</v>
      </c>
      <c r="M15" s="115">
        <v>134.54255633004013</v>
      </c>
      <c r="N15" s="115">
        <v>5193.6448814773694</v>
      </c>
      <c r="O15" s="115">
        <v>43.399481285973977</v>
      </c>
      <c r="P15" s="115">
        <v>34.394609294687399</v>
      </c>
      <c r="Q15" s="111">
        <v>43.399481285973977</v>
      </c>
      <c r="R15" s="68">
        <v>34.394609294687406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5.8523273066119269E-3</v>
      </c>
      <c r="M16" s="115">
        <v>325.99557830209307</v>
      </c>
      <c r="N16" s="115">
        <v>12654.759052571631</v>
      </c>
      <c r="O16" s="115">
        <v>79.835694220443784</v>
      </c>
      <c r="P16" s="115">
        <v>38.455398912622172</v>
      </c>
      <c r="Q16" s="111">
        <v>79.835694220443784</v>
      </c>
      <c r="R16" s="68">
        <v>38.455398912622172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3.005340743799112E-2</v>
      </c>
      <c r="M17" s="115">
        <v>122.61086743337195</v>
      </c>
      <c r="N17" s="115">
        <v>4730.5946350720742</v>
      </c>
      <c r="O17" s="115">
        <v>41.253199201857214</v>
      </c>
      <c r="P17" s="115">
        <v>34.395803947418052</v>
      </c>
      <c r="Q17" s="111">
        <v>41.253199201857214</v>
      </c>
      <c r="R17" s="68">
        <v>34.395803947418052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0.18336616453297283</v>
      </c>
      <c r="M18" s="115">
        <v>39.665796536940931</v>
      </c>
      <c r="N18" s="115">
        <v>1514.2930657711677</v>
      </c>
      <c r="O18" s="115">
        <v>15.853714046078306</v>
      </c>
      <c r="P18" s="115">
        <v>15.479398618833047</v>
      </c>
      <c r="Q18" s="111">
        <v>15.853714046078307</v>
      </c>
      <c r="R18" s="68">
        <v>15.479398618833047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2.6381021167859654E-2</v>
      </c>
      <c r="M19" s="115">
        <v>135.91726050266823</v>
      </c>
      <c r="N19" s="115">
        <v>5247.0118148744841</v>
      </c>
      <c r="O19" s="115">
        <v>43.648014416865252</v>
      </c>
      <c r="P19" s="115">
        <v>34.396989425741722</v>
      </c>
      <c r="Q19" s="111">
        <v>43.648014416865259</v>
      </c>
      <c r="R19" s="68">
        <v>34.396989425741729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0.15977497832301671</v>
      </c>
      <c r="M20" s="115">
        <v>44.638523832357762</v>
      </c>
      <c r="N20" s="115">
        <v>1706.6931402128507</v>
      </c>
      <c r="O20" s="115">
        <v>17.947956765289458</v>
      </c>
      <c r="P20" s="115">
        <v>17.639808587714445</v>
      </c>
      <c r="Q20" s="111">
        <v>17.947956765289458</v>
      </c>
      <c r="R20" s="68">
        <v>17.639808587714445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1.8509820855866096E-2</v>
      </c>
      <c r="M21" s="115">
        <v>174.94761272728658</v>
      </c>
      <c r="N21" s="115">
        <v>6763.6117482884747</v>
      </c>
      <c r="O21" s="115">
        <v>50.784149834174784</v>
      </c>
      <c r="P21" s="115">
        <v>34.630291171960749</v>
      </c>
      <c r="Q21" s="111">
        <v>50.784149834174791</v>
      </c>
      <c r="R21" s="68">
        <v>34.630291171960749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0.64939610096999922</v>
      </c>
      <c r="M22" s="115">
        <v>5.3066177147132656</v>
      </c>
      <c r="N22" s="115">
        <v>180.5072625379502</v>
      </c>
      <c r="O22" s="115">
        <v>2.26248138537093</v>
      </c>
      <c r="P22" s="115">
        <v>2.151742963011535</v>
      </c>
      <c r="Q22" s="111">
        <v>2.26248138537093</v>
      </c>
      <c r="R22" s="68">
        <v>2.151742963011535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0.75891304114397673</v>
      </c>
      <c r="M23" s="115">
        <v>2.8885610917033575</v>
      </c>
      <c r="N23" s="115">
        <v>84.774816226237633</v>
      </c>
      <c r="O23" s="115">
        <v>1.4209121930800059</v>
      </c>
      <c r="P23" s="115">
        <v>1.4129353385550165</v>
      </c>
      <c r="Q23" s="111">
        <v>1.4209121930800059</v>
      </c>
      <c r="R23" s="68">
        <v>1.4129353385550165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0.32088584556567296</v>
      </c>
      <c r="M24" s="115">
        <v>22.829362356242335</v>
      </c>
      <c r="N24" s="115">
        <v>862.16491796146317</v>
      </c>
      <c r="O24" s="115">
        <v>8.9569874491973316</v>
      </c>
      <c r="P24" s="115">
        <v>8.5192426119665061</v>
      </c>
      <c r="Q24" s="111">
        <v>8.9569874491973316</v>
      </c>
      <c r="R24" s="68">
        <v>8.5192426119665061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7.6862857616376831E-2</v>
      </c>
      <c r="M25" s="115">
        <v>62.704700974230754</v>
      </c>
      <c r="N25" s="115">
        <v>2408.3019318612278</v>
      </c>
      <c r="O25" s="115">
        <v>25.94123727339003</v>
      </c>
      <c r="P25" s="115">
        <v>26.224664753595754</v>
      </c>
      <c r="Q25" s="111">
        <v>25.94123727339003</v>
      </c>
      <c r="R25" s="68">
        <v>26.224664753595754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2.0120681562026156E-2</v>
      </c>
      <c r="M26" s="115">
        <v>165.3231270975871</v>
      </c>
      <c r="N26" s="115">
        <v>6389.3996003736083</v>
      </c>
      <c r="O26" s="115">
        <v>49.00365879714878</v>
      </c>
      <c r="P26" s="115">
        <v>34.531597122699111</v>
      </c>
      <c r="Q26" s="111">
        <v>49.003658797148788</v>
      </c>
      <c r="R26" s="68">
        <v>34.531597122699118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3.1940013526601595E-3</v>
      </c>
      <c r="M27" s="115">
        <v>402.73239674498279</v>
      </c>
      <c r="N27" s="115">
        <v>15662.292361542066</v>
      </c>
      <c r="O27" s="115">
        <v>94.88945585726421</v>
      </c>
      <c r="P27" s="115">
        <v>41.146596709330481</v>
      </c>
      <c r="Q27" s="111">
        <v>94.88945585726421</v>
      </c>
      <c r="R27" s="68">
        <v>41.146596709330481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1.0999994941581388E-2</v>
      </c>
      <c r="M28" s="115">
        <v>240.88177727548205</v>
      </c>
      <c r="N28" s="115">
        <v>9330.9011174127681</v>
      </c>
      <c r="O28" s="115">
        <v>63.297827032742603</v>
      </c>
      <c r="P28" s="115">
        <v>35.933733959344544</v>
      </c>
      <c r="Q28" s="111">
        <v>63.29782703274261</v>
      </c>
      <c r="R28" s="68">
        <v>35.933733959344544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1.5210579120114032E-2</v>
      </c>
      <c r="M29" s="115">
        <v>165.37405111543103</v>
      </c>
      <c r="N29" s="115">
        <v>6395.6001074126361</v>
      </c>
      <c r="O29" s="115">
        <v>47.075319957799202</v>
      </c>
      <c r="P29" s="115">
        <v>31.080091458848269</v>
      </c>
      <c r="Q29" s="111">
        <v>47.075319957799209</v>
      </c>
      <c r="R29" s="68">
        <v>31.080091458848269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1.0999994941581388E-2</v>
      </c>
      <c r="M30" s="115">
        <v>240.88177727548205</v>
      </c>
      <c r="N30" s="115">
        <v>9330.9011174127681</v>
      </c>
      <c r="O30" s="115">
        <v>63.297827032742603</v>
      </c>
      <c r="P30" s="115">
        <v>35.933733959344544</v>
      </c>
      <c r="Q30" s="111">
        <v>63.29782703274261</v>
      </c>
      <c r="R30" s="68">
        <v>35.933733959344544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0.97010038982626356</v>
      </c>
      <c r="M31" s="115">
        <v>0.87022831337210205</v>
      </c>
      <c r="N31" s="115">
        <v>1.1367582439977209</v>
      </c>
      <c r="O31" s="115">
        <v>0.81113329248702948</v>
      </c>
      <c r="P31" s="115">
        <v>0.93879255021272801</v>
      </c>
      <c r="Q31" s="111">
        <v>0.81113329248702948</v>
      </c>
      <c r="R31" s="68">
        <v>0.93879255021272801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0.55998709885550713</v>
      </c>
      <c r="M32" s="115">
        <v>8.6766373844739739</v>
      </c>
      <c r="N32" s="115">
        <v>309.29398937265427</v>
      </c>
      <c r="O32" s="115">
        <v>3.1670956004699264</v>
      </c>
      <c r="P32" s="115">
        <v>2.909182412795305</v>
      </c>
      <c r="Q32" s="111">
        <v>3.1670956004699269</v>
      </c>
      <c r="R32" s="68">
        <v>2.909182412795305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0.99276141752946145</v>
      </c>
      <c r="M33" s="115">
        <v>0.87144782892977291</v>
      </c>
      <c r="N33" s="115">
        <v>0.59125051064066847</v>
      </c>
      <c r="O33" s="115">
        <v>0.84209520993758913</v>
      </c>
      <c r="P33" s="115">
        <v>0.98994673552264356</v>
      </c>
      <c r="Q33" s="111">
        <v>0.84209520993758913</v>
      </c>
      <c r="R33" s="68">
        <v>0.98994673552264356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0.92152601648792765</v>
      </c>
      <c r="M34" s="115">
        <v>2.3003171584244</v>
      </c>
      <c r="N34" s="115">
        <v>75.579041946968786</v>
      </c>
      <c r="O34" s="115">
        <v>4.4105837412930695</v>
      </c>
      <c r="P34" s="115">
        <v>7.2104958105937911</v>
      </c>
      <c r="Q34" s="111">
        <v>4.4105837412930695</v>
      </c>
      <c r="R34" s="68">
        <v>7.2104958105937911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0.82557237614943135</v>
      </c>
      <c r="M35" s="115">
        <v>3.9382519272192433</v>
      </c>
      <c r="N35" s="115">
        <v>161.62713251790365</v>
      </c>
      <c r="O35" s="115">
        <v>8.89929471410011</v>
      </c>
      <c r="P35" s="115">
        <v>15.063098909350552</v>
      </c>
      <c r="Q35" s="111">
        <v>8.89929471410011</v>
      </c>
      <c r="R35" s="68">
        <v>15.063098909350552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0.54585466187534626</v>
      </c>
      <c r="M36" s="115">
        <v>8.2519304363345682</v>
      </c>
      <c r="N36" s="115">
        <v>388.90922034050431</v>
      </c>
      <c r="O36" s="115">
        <v>21.848109723323024</v>
      </c>
      <c r="P36" s="115">
        <v>37.792225127475717</v>
      </c>
      <c r="Q36" s="111">
        <v>21.848109723323024</v>
      </c>
      <c r="R36" s="68">
        <v>37.792225127475717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0.58992394926529379</v>
      </c>
      <c r="M37" s="115">
        <v>12.490989159276255</v>
      </c>
      <c r="N37" s="115">
        <v>494.16046149898943</v>
      </c>
      <c r="O37" s="115">
        <v>11.582611521947433</v>
      </c>
      <c r="P37" s="115">
        <v>17.304764708061704</v>
      </c>
      <c r="Q37" s="111">
        <v>11.582611521947435</v>
      </c>
      <c r="R37" s="68">
        <v>17.304764708061704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0.93595531420474731</v>
      </c>
      <c r="M38" s="115">
        <v>2.0446778528591123</v>
      </c>
      <c r="N38" s="115">
        <v>61.40921975677638</v>
      </c>
      <c r="O38" s="115">
        <v>3.6029515353290869</v>
      </c>
      <c r="P38" s="115">
        <v>5.7834771482799034</v>
      </c>
      <c r="Q38" s="111">
        <v>3.6029515353290869</v>
      </c>
      <c r="R38" s="68">
        <v>5.7834771482799043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4.7608361479253777E-2</v>
      </c>
      <c r="M39" s="115">
        <v>81.920154452109728</v>
      </c>
      <c r="N39" s="115">
        <v>3153.48988011448</v>
      </c>
      <c r="O39" s="115">
        <v>34.16870219926647</v>
      </c>
      <c r="P39" s="115">
        <v>34.856832030774704</v>
      </c>
      <c r="Q39" s="111">
        <v>34.16870219926647</v>
      </c>
      <c r="R39" s="68">
        <v>34.856832030774704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6.208375141810378E-3</v>
      </c>
      <c r="M40" s="115">
        <v>698.74468469199326</v>
      </c>
      <c r="N40" s="115">
        <v>34446.730778484598</v>
      </c>
      <c r="O40" s="115">
        <v>121.58173337910922</v>
      </c>
      <c r="P40" s="115">
        <v>79.726453818422456</v>
      </c>
      <c r="Q40" s="111">
        <v>121.58173337910922</v>
      </c>
      <c r="R40" s="68">
        <v>79.726453818422456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0.90765376333004222</v>
      </c>
      <c r="M41" s="115">
        <v>0.78774158839701425</v>
      </c>
      <c r="N41" s="115">
        <v>6.4218146984699187E-2</v>
      </c>
      <c r="O41" s="115">
        <v>0.75035765983376945</v>
      </c>
      <c r="P41" s="115">
        <v>0.8719200576345284</v>
      </c>
      <c r="Q41" s="111">
        <v>0.75035765983376945</v>
      </c>
      <c r="R41" s="68">
        <v>0.87192005763452851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0.62244794489420563</v>
      </c>
      <c r="M42" s="115">
        <v>6.1492627445551884</v>
      </c>
      <c r="N42" s="115">
        <v>213.53929522679965</v>
      </c>
      <c r="O42" s="115">
        <v>2.5658505296800085</v>
      </c>
      <c r="P42" s="115">
        <v>2.4253643583339075</v>
      </c>
      <c r="Q42" s="111">
        <v>2.5658505296800085</v>
      </c>
      <c r="R42" s="68">
        <v>2.4253643583339075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8.0494031606137328E-2</v>
      </c>
      <c r="M43" s="115">
        <v>30.074602519008128</v>
      </c>
      <c r="N43" s="115">
        <v>1495.1278032591681</v>
      </c>
      <c r="O43" s="115">
        <v>44.992166843223593</v>
      </c>
      <c r="P43" s="115">
        <v>75.619262897226122</v>
      </c>
      <c r="Q43" s="111">
        <v>44.992166843223593</v>
      </c>
      <c r="R43" s="68">
        <v>75.619262897226136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0.77756364224705865</v>
      </c>
      <c r="M44" s="115">
        <v>1.4547954143668991</v>
      </c>
      <c r="N44" s="115">
        <v>29.654025938509299</v>
      </c>
      <c r="O44" s="115">
        <v>0.91329688887588889</v>
      </c>
      <c r="P44" s="115">
        <v>0.97255846742914331</v>
      </c>
      <c r="Q44" s="111">
        <v>0.91329688887588889</v>
      </c>
      <c r="R44" s="68">
        <v>0.97255846742914331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0.59581605713724051</v>
      </c>
      <c r="M45" s="115">
        <v>6.9885062563302736</v>
      </c>
      <c r="N45" s="115">
        <v>246.45001762734589</v>
      </c>
      <c r="O45" s="115">
        <v>2.8701456661482787</v>
      </c>
      <c r="P45" s="115">
        <v>2.7020073084796223</v>
      </c>
      <c r="Q45" s="111">
        <v>2.8701456661482787</v>
      </c>
      <c r="R45" s="68">
        <v>2.7020073084796223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0.61126658427984293</v>
      </c>
      <c r="M46" s="115">
        <v>6.4383635785027504</v>
      </c>
      <c r="N46" s="115">
        <v>224.94194694103581</v>
      </c>
      <c r="O46" s="115">
        <v>2.6696164797207191</v>
      </c>
      <c r="P46" s="115">
        <v>2.5192326667903973</v>
      </c>
      <c r="Q46" s="111">
        <v>2.6696164797207191</v>
      </c>
      <c r="R46" s="68">
        <v>2.5192326667903973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2.9555909770042125E-3</v>
      </c>
      <c r="M47" s="115">
        <v>418.80503954760678</v>
      </c>
      <c r="N47" s="115">
        <v>16291.604015803159</v>
      </c>
      <c r="O47" s="115">
        <v>98.255849867473501</v>
      </c>
      <c r="P47" s="115">
        <v>42.088046836205855</v>
      </c>
      <c r="Q47" s="111">
        <v>98.255849867473501</v>
      </c>
      <c r="R47" s="68">
        <v>42.088046836205862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0.90548794793465004</v>
      </c>
      <c r="M48" s="115">
        <v>1.0545551331394829</v>
      </c>
      <c r="N48" s="115">
        <v>10.248542687540898</v>
      </c>
      <c r="O48" s="115">
        <v>0.83921307380733146</v>
      </c>
      <c r="P48" s="115">
        <v>0.94266223251875758</v>
      </c>
      <c r="Q48" s="111">
        <v>0.83921307380733146</v>
      </c>
      <c r="R48" s="68">
        <v>0.94266223251875769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0.86987589555122191</v>
      </c>
      <c r="M49" s="115">
        <v>1.2188563917353294</v>
      </c>
      <c r="N49" s="115">
        <v>17.656347168748095</v>
      </c>
      <c r="O49" s="115">
        <v>0.87766337439801179</v>
      </c>
      <c r="P49" s="115">
        <v>0.965306525414104</v>
      </c>
      <c r="Q49" s="111">
        <v>0.87766337439801179</v>
      </c>
      <c r="R49" s="68">
        <v>0.96530652541410411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0.18890007949720933</v>
      </c>
      <c r="M50" s="115">
        <v>38.110685623935716</v>
      </c>
      <c r="N50" s="115">
        <v>1454.2668170829299</v>
      </c>
      <c r="O50" s="115">
        <v>15.20862325822787</v>
      </c>
      <c r="P50" s="115">
        <v>14.823252441598509</v>
      </c>
      <c r="Q50" s="111">
        <v>15.208623258227872</v>
      </c>
      <c r="R50" s="68">
        <v>14.823252441598509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0.89902970110450098</v>
      </c>
      <c r="M51" s="115">
        <v>0.8274319529412496</v>
      </c>
      <c r="N51" s="115">
        <v>1.8467171182859485</v>
      </c>
      <c r="O51" s="115">
        <v>0.75862846112297289</v>
      </c>
      <c r="P51" s="115">
        <v>0.87540065749014651</v>
      </c>
      <c r="Q51" s="111">
        <v>0.758628461122973</v>
      </c>
      <c r="R51" s="68">
        <v>0.87540065749014651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0.75016610372303771</v>
      </c>
      <c r="M52" s="115">
        <v>1.9695846153637124</v>
      </c>
      <c r="N52" s="115">
        <v>50.117328553884519</v>
      </c>
      <c r="O52" s="115">
        <v>1.0835819589326532</v>
      </c>
      <c r="P52" s="115">
        <v>1.1138725172750517</v>
      </c>
      <c r="Q52" s="111">
        <v>1.0835819589326532</v>
      </c>
      <c r="R52" s="68">
        <v>1.1138725172750517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0.50928565844978568</v>
      </c>
      <c r="M53" s="115">
        <v>10.356548425316355</v>
      </c>
      <c r="N53" s="115">
        <v>377.99918181488744</v>
      </c>
      <c r="O53" s="115">
        <v>4.1171443118350135</v>
      </c>
      <c r="P53" s="115">
        <v>3.8560830605745129</v>
      </c>
      <c r="Q53" s="111">
        <v>4.1171443118350135</v>
      </c>
      <c r="R53" s="68">
        <v>3.8560830605745129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4.0467610690473471E-3</v>
      </c>
      <c r="M54" s="115">
        <v>376.70888295445167</v>
      </c>
      <c r="N54" s="115">
        <v>14640.289422690419</v>
      </c>
      <c r="O54" s="115">
        <v>89.868039782149467</v>
      </c>
      <c r="P54" s="115">
        <v>40.355636424815927</v>
      </c>
      <c r="Q54" s="111">
        <v>89.868039782149467</v>
      </c>
      <c r="R54" s="68">
        <v>40.355636424815934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0.23329469731525335</v>
      </c>
      <c r="M55" s="115">
        <v>19.062178922827236</v>
      </c>
      <c r="N55" s="115">
        <v>721.27277647674975</v>
      </c>
      <c r="O55" s="115">
        <v>7.4892305149761969</v>
      </c>
      <c r="P55" s="115">
        <v>7.1440476872518985</v>
      </c>
      <c r="Q55" s="111">
        <v>7.4892305149761977</v>
      </c>
      <c r="R55" s="68">
        <v>7.1440476872518994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2.2139095226751615E-2</v>
      </c>
      <c r="M56" s="115">
        <v>8.9767868501573211</v>
      </c>
      <c r="N56" s="115">
        <v>343.84410842275094</v>
      </c>
      <c r="O56" s="115">
        <v>3.6432766000700156</v>
      </c>
      <c r="P56" s="115">
        <v>3.6157094823452254</v>
      </c>
      <c r="Q56" s="111">
        <v>3.6432766000700161</v>
      </c>
      <c r="R56" s="68">
        <v>3.6157094823452254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3.3282256033904466E-2</v>
      </c>
      <c r="M57" s="115">
        <v>3.6731799553439828</v>
      </c>
      <c r="N57" s="115">
        <v>139.46913699909234</v>
      </c>
      <c r="O57" s="115">
        <v>1.4490358508254821</v>
      </c>
      <c r="P57" s="115">
        <v>1.3916336279206198</v>
      </c>
      <c r="Q57" s="111">
        <v>1.4490358508254821</v>
      </c>
      <c r="R57" s="68">
        <v>1.3916336279206198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5.9206731594656746E-2</v>
      </c>
      <c r="M58" s="115">
        <v>9.1288250838624047E-2</v>
      </c>
      <c r="N58" s="115">
        <v>1.5179715745107707</v>
      </c>
      <c r="O58" s="115">
        <v>6.2656390227673359E-2</v>
      </c>
      <c r="P58" s="115">
        <v>6.8171611522280462E-2</v>
      </c>
      <c r="Q58" s="111">
        <v>6.2656390227673359E-2</v>
      </c>
      <c r="R58" s="68">
        <v>6.8171611522280462E-2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1.2608361546606517E-2</v>
      </c>
      <c r="M59" s="115">
        <v>1.2981566862947564</v>
      </c>
      <c r="N59" s="115">
        <v>49.254506320719543</v>
      </c>
      <c r="O59" s="115">
        <v>0.51156750591814659</v>
      </c>
      <c r="P59" s="115">
        <v>0.49051296559085794</v>
      </c>
      <c r="Q59" s="111">
        <v>0.51156750591814659</v>
      </c>
      <c r="R59" s="68">
        <v>0.490512965590858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4.4954551042045409E-4</v>
      </c>
      <c r="M60" s="115">
        <v>2.1635811738868891E-2</v>
      </c>
      <c r="N60" s="115">
        <v>0.8115430954755386</v>
      </c>
      <c r="O60" s="115">
        <v>8.4747526226765131E-3</v>
      </c>
      <c r="P60" s="115">
        <v>8.0017393504106665E-3</v>
      </c>
      <c r="Q60" s="111">
        <v>8.4747526226765148E-3</v>
      </c>
      <c r="R60" s="68">
        <v>8.0017393504106683E-3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0.42959805797251827</v>
      </c>
      <c r="M61" s="115">
        <v>14.678697911778888</v>
      </c>
      <c r="N61" s="115">
        <v>546.03710872307386</v>
      </c>
      <c r="O61" s="115">
        <v>5.761937639485784</v>
      </c>
      <c r="P61" s="115">
        <v>5.4138369715521399</v>
      </c>
      <c r="Q61" s="111">
        <v>5.761937639485784</v>
      </c>
      <c r="R61" s="68">
        <v>5.4138369715521399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1.6809790385691054E-2</v>
      </c>
      <c r="M62" s="115">
        <v>187.07681403272406</v>
      </c>
      <c r="N62" s="115">
        <v>7235.3192668344909</v>
      </c>
      <c r="O62" s="115">
        <v>53.086566699450913</v>
      </c>
      <c r="P62" s="115">
        <v>34.862473834342893</v>
      </c>
      <c r="Q62" s="111">
        <v>53.086566699450913</v>
      </c>
      <c r="R62" s="68">
        <v>34.8624738343429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1.6745277719777856E-3</v>
      </c>
      <c r="M63" s="115">
        <v>489.23400892489678</v>
      </c>
      <c r="N63" s="115">
        <v>19061.954802804023</v>
      </c>
      <c r="O63" s="115">
        <v>112.3533574923578</v>
      </c>
      <c r="P63" s="115">
        <v>45.213754164102845</v>
      </c>
      <c r="Q63" s="111">
        <v>112.3533574923578</v>
      </c>
      <c r="R63" s="68">
        <v>45.213754164102852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6.1729780387284952E-4</v>
      </c>
      <c r="M64" s="115">
        <v>593.10524705316652</v>
      </c>
      <c r="N64" s="115">
        <v>23169.815007847996</v>
      </c>
      <c r="O64" s="115">
        <v>133.25375238528633</v>
      </c>
      <c r="P64" s="115">
        <v>50.341360786796677</v>
      </c>
      <c r="Q64" s="111">
        <v>133.25375238528633</v>
      </c>
      <c r="R64" s="68">
        <v>50.341360786796677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1.8372428297284653E-4</v>
      </c>
      <c r="M65" s="115">
        <v>683.58456159741377</v>
      </c>
      <c r="N65" s="115">
        <v>26783.43137942945</v>
      </c>
      <c r="O65" s="115">
        <v>151.40508728077629</v>
      </c>
      <c r="P65" s="115">
        <v>55.223146727889784</v>
      </c>
      <c r="Q65" s="111">
        <v>151.40508728077631</v>
      </c>
      <c r="R65" s="68">
        <v>55.223146727889784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3.6927596231398568E-4</v>
      </c>
      <c r="M66" s="115">
        <v>635.95994750969749</v>
      </c>
      <c r="N66" s="115">
        <v>24875.701664190699</v>
      </c>
      <c r="O66" s="115">
        <v>141.87227536203616</v>
      </c>
      <c r="P66" s="115">
        <v>52.609840784752478</v>
      </c>
      <c r="Q66" s="111">
        <v>141.87227536203616</v>
      </c>
      <c r="R66" s="68">
        <v>52.609840784752485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0.83406464826992777</v>
      </c>
      <c r="M67" s="115">
        <v>1.7325591298413643</v>
      </c>
      <c r="N67" s="115">
        <v>38.344589636541635</v>
      </c>
      <c r="O67" s="115">
        <v>1.0408833970063289</v>
      </c>
      <c r="P67" s="115">
        <v>1.0959861911292332</v>
      </c>
      <c r="Q67" s="111">
        <v>1.0408833970063289</v>
      </c>
      <c r="R67" s="68">
        <v>1.0959861911292335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0.77852181753452487</v>
      </c>
      <c r="M68" s="115">
        <v>2.4040991355813119</v>
      </c>
      <c r="N68" s="115">
        <v>65.700444694413179</v>
      </c>
      <c r="O68" s="115">
        <v>1.2545192798008344</v>
      </c>
      <c r="P68" s="115">
        <v>1.2699632683785138</v>
      </c>
      <c r="Q68" s="111">
        <v>1.2545192798008347</v>
      </c>
      <c r="R68" s="68">
        <v>1.2699632683785138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6.1251391122728515E-3</v>
      </c>
      <c r="M69" s="115">
        <v>318.11794487261744</v>
      </c>
      <c r="N69" s="115">
        <v>12347.006148242353</v>
      </c>
      <c r="O69" s="115">
        <v>78.231646634095469</v>
      </c>
      <c r="P69" s="115">
        <v>38.087237350110868</v>
      </c>
      <c r="Q69" s="111">
        <v>78.231646634095469</v>
      </c>
      <c r="R69" s="68">
        <v>38.087237350110868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9.2118769277881207E-2</v>
      </c>
      <c r="M70" s="115">
        <v>60.927325379663031</v>
      </c>
      <c r="N70" s="115">
        <v>2338.3231324603439</v>
      </c>
      <c r="O70" s="115">
        <v>25.056980204246273</v>
      </c>
      <c r="P70" s="115">
        <v>25.190487912852021</v>
      </c>
      <c r="Q70" s="111">
        <v>25.056980204246273</v>
      </c>
      <c r="R70" s="68">
        <v>25.190487912852024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0.77506810470988174</v>
      </c>
      <c r="M71" s="115">
        <v>2.2399405206628544</v>
      </c>
      <c r="N71" s="115">
        <v>59.572953493181878</v>
      </c>
      <c r="O71" s="115">
        <v>1.1934551992939262</v>
      </c>
      <c r="P71" s="115">
        <v>1.2155636298982804</v>
      </c>
      <c r="Q71" s="111">
        <v>1.1934551992939262</v>
      </c>
      <c r="R71" s="68">
        <v>1.2155636298982806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9.915718228149438E-2</v>
      </c>
      <c r="M72" s="115">
        <v>55.710199317081567</v>
      </c>
      <c r="N72" s="115">
        <v>2136.7919147043608</v>
      </c>
      <c r="O72" s="115">
        <v>22.808278273468851</v>
      </c>
      <c r="P72" s="115">
        <v>22.831107495899349</v>
      </c>
      <c r="Q72" s="111">
        <v>22.808278273468851</v>
      </c>
      <c r="R72" s="68">
        <v>22.831107495899349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0.40383528390108725</v>
      </c>
      <c r="M73" s="115">
        <v>15.463028982859031</v>
      </c>
      <c r="N73" s="115">
        <v>576.97375486480598</v>
      </c>
      <c r="O73" s="115">
        <v>6.0628018553686012</v>
      </c>
      <c r="P73" s="115">
        <v>5.7046612582775404</v>
      </c>
      <c r="Q73" s="111">
        <v>6.0628018553686012</v>
      </c>
      <c r="R73" s="68">
        <v>5.7046612582775404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9.4457710423991509E-2</v>
      </c>
      <c r="M74" s="115">
        <v>59.628773620485987</v>
      </c>
      <c r="N74" s="115">
        <v>2288.0961803458686</v>
      </c>
      <c r="O74" s="115">
        <v>24.491127490881816</v>
      </c>
      <c r="P74" s="115">
        <v>24.591277909795277</v>
      </c>
      <c r="Q74" s="111">
        <v>24.491127490881816</v>
      </c>
      <c r="R74" s="68">
        <v>24.591277909795277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3.9553370376773055E-2</v>
      </c>
      <c r="M75" s="115">
        <v>99.902108503908053</v>
      </c>
      <c r="N75" s="115">
        <v>5011.1976187675928</v>
      </c>
      <c r="O75" s="115">
        <v>54.519122226546031</v>
      </c>
      <c r="P75" s="115">
        <v>79.547972259743588</v>
      </c>
      <c r="Q75" s="111">
        <v>54.519122226546031</v>
      </c>
      <c r="R75" s="68">
        <v>79.547972259743588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3.9553370570153103E-2</v>
      </c>
      <c r="M76" s="115">
        <v>99.902108992338597</v>
      </c>
      <c r="N76" s="115">
        <v>5011.1976432677966</v>
      </c>
      <c r="O76" s="115">
        <v>54.519122493095004</v>
      </c>
      <c r="P76" s="115">
        <v>79.547972648660902</v>
      </c>
      <c r="Q76" s="111">
        <v>54.519122493095011</v>
      </c>
      <c r="R76" s="68">
        <v>79.547972648660902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0.22159650384097504</v>
      </c>
      <c r="M77" s="115">
        <v>30.834927758174899</v>
      </c>
      <c r="N77" s="115">
        <v>1173.3360599257794</v>
      </c>
      <c r="O77" s="115">
        <v>12.212640829453974</v>
      </c>
      <c r="P77" s="115">
        <v>11.793792021483442</v>
      </c>
      <c r="Q77" s="111">
        <v>12.212640829453976</v>
      </c>
      <c r="R77" s="68">
        <v>11.793792021483442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0.61060819675027533</v>
      </c>
      <c r="M78" s="115">
        <v>5.541783442391166</v>
      </c>
      <c r="N78" s="115">
        <v>190.77378981004898</v>
      </c>
      <c r="O78" s="115">
        <v>2.3334538875161743</v>
      </c>
      <c r="P78" s="115">
        <v>2.2112468863090315</v>
      </c>
      <c r="Q78" s="111">
        <v>2.3334538875161748</v>
      </c>
      <c r="R78" s="68">
        <v>2.2112468863090315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0.49831202041146716</v>
      </c>
      <c r="M79" s="115">
        <v>10.596980755846044</v>
      </c>
      <c r="N79" s="115">
        <v>387.5658437836484</v>
      </c>
      <c r="O79" s="115">
        <v>4.2057301164990744</v>
      </c>
      <c r="P79" s="115">
        <v>3.93912536344871</v>
      </c>
      <c r="Q79" s="111">
        <v>4.2057301164990752</v>
      </c>
      <c r="R79" s="68">
        <v>3.9391253634487104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2.5816677686564836E-2</v>
      </c>
      <c r="M80" s="115">
        <v>186.80543779329565</v>
      </c>
      <c r="N80" s="115">
        <v>9372.5455123504889</v>
      </c>
      <c r="O80" s="115">
        <v>64.561544560417659</v>
      </c>
      <c r="P80" s="115">
        <v>81.007994444158797</v>
      </c>
      <c r="Q80" s="111">
        <v>64.561544560417659</v>
      </c>
      <c r="R80" s="68">
        <v>81.007994444158797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0.96457262129095445</v>
      </c>
      <c r="M81" s="115">
        <v>0.87985276340266061</v>
      </c>
      <c r="N81" s="115">
        <v>1.6821463368569736</v>
      </c>
      <c r="O81" s="115">
        <v>0.81131743141821022</v>
      </c>
      <c r="P81" s="115">
        <v>0.93717248879939274</v>
      </c>
      <c r="Q81" s="111">
        <v>0.81131743141821022</v>
      </c>
      <c r="R81" s="68">
        <v>0.93717248879939286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0.76373040099624911</v>
      </c>
      <c r="M82" s="115">
        <v>2.8044959766019333</v>
      </c>
      <c r="N82" s="115">
        <v>81.417421498559577</v>
      </c>
      <c r="O82" s="115">
        <v>1.3926315728791556</v>
      </c>
      <c r="P82" s="115">
        <v>1.3888367491315283</v>
      </c>
      <c r="Q82" s="111">
        <v>1.3926315728791556</v>
      </c>
      <c r="R82" s="68">
        <v>1.3888367491315283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0.26487722372171491</v>
      </c>
      <c r="M83" s="115">
        <v>28.563965401122971</v>
      </c>
      <c r="N83" s="115">
        <v>1084.3028868676708</v>
      </c>
      <c r="O83" s="115">
        <v>11.264152828075458</v>
      </c>
      <c r="P83" s="115">
        <v>10.81210789899411</v>
      </c>
      <c r="Q83" s="111">
        <v>11.264152828075458</v>
      </c>
      <c r="R83" s="68">
        <v>10.81210789899411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0.93177092026133601</v>
      </c>
      <c r="M84" s="115">
        <v>0.9876066491177945</v>
      </c>
      <c r="N84" s="115">
        <v>6.8442348237719637</v>
      </c>
      <c r="O84" s="115">
        <v>0.83011694860895002</v>
      </c>
      <c r="P84" s="115">
        <v>0.94251970044209465</v>
      </c>
      <c r="Q84" s="111">
        <v>0.83011694860895002</v>
      </c>
      <c r="R84" s="68">
        <v>0.94251970044209477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0.9812045176510662</v>
      </c>
      <c r="M85" s="115">
        <v>0.85888310469252727</v>
      </c>
      <c r="N85" s="115">
        <v>0.34469470281517994</v>
      </c>
      <c r="O85" s="115">
        <v>0.81348639682636514</v>
      </c>
      <c r="P85" s="115">
        <v>0.94427233005522648</v>
      </c>
      <c r="Q85" s="111">
        <v>0.81348639682636514</v>
      </c>
      <c r="R85" s="68">
        <v>0.94427233005522659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0.93325352976186682</v>
      </c>
      <c r="M86" s="115">
        <v>0.98092532339799476</v>
      </c>
      <c r="N86" s="115">
        <v>6.5420483886198051</v>
      </c>
      <c r="O86" s="115">
        <v>0.82862451972761697</v>
      </c>
      <c r="P86" s="115">
        <v>0.94172508712787295</v>
      </c>
      <c r="Q86" s="111">
        <v>0.82862451972761708</v>
      </c>
      <c r="R86" s="68">
        <v>0.94172508712787295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2.381063221493084E-3</v>
      </c>
      <c r="M87" s="115">
        <v>446.46320884004444</v>
      </c>
      <c r="N87" s="115">
        <v>17378.357282868135</v>
      </c>
      <c r="O87" s="115">
        <v>103.78166455481093</v>
      </c>
      <c r="P87" s="115">
        <v>43.279336566484986</v>
      </c>
      <c r="Q87" s="111">
        <v>103.78166455481093</v>
      </c>
      <c r="R87" s="68">
        <v>43.279336566484986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0.67806645718104197</v>
      </c>
      <c r="M88" s="115">
        <v>4.6024279668907804</v>
      </c>
      <c r="N88" s="115">
        <v>152.71308878549013</v>
      </c>
      <c r="O88" s="115">
        <v>2.0134422300656301</v>
      </c>
      <c r="P88" s="115">
        <v>1.9298868557095863</v>
      </c>
      <c r="Q88" s="111">
        <v>2.0134422300656301</v>
      </c>
      <c r="R88" s="68">
        <v>1.9298868557095863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0.74912692692806437</v>
      </c>
      <c r="M89" s="115">
        <v>3.0668265647438928</v>
      </c>
      <c r="N89" s="115">
        <v>91.881285473984349</v>
      </c>
      <c r="O89" s="115">
        <v>1.4812272811708294</v>
      </c>
      <c r="P89" s="115">
        <v>1.4645734138803088</v>
      </c>
      <c r="Q89" s="111">
        <v>1.4812272811708296</v>
      </c>
      <c r="R89" s="68">
        <v>1.4645734138803088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0.87537595981000571</v>
      </c>
      <c r="M90" s="115">
        <v>1.3636727792113992</v>
      </c>
      <c r="N90" s="115">
        <v>22.973742743850295</v>
      </c>
      <c r="O90" s="115">
        <v>0.93129131608887139</v>
      </c>
      <c r="P90" s="115">
        <v>1.0120930882854589</v>
      </c>
      <c r="Q90" s="111">
        <v>0.93129131608887139</v>
      </c>
      <c r="R90" s="68">
        <v>1.0120930882854589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1.4569756995017794E-2</v>
      </c>
      <c r="M91" s="115">
        <v>204.77251322223185</v>
      </c>
      <c r="N91" s="115">
        <v>7924.0319404594875</v>
      </c>
      <c r="O91" s="115">
        <v>56.420813142038234</v>
      </c>
      <c r="P91" s="115">
        <v>35.163862019227075</v>
      </c>
      <c r="Q91" s="111">
        <v>56.420813142038234</v>
      </c>
      <c r="R91" s="68">
        <v>35.163862019227075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0.32416575972330713</v>
      </c>
      <c r="M92" s="115">
        <v>22.537161868046557</v>
      </c>
      <c r="N92" s="115">
        <v>850.83987834690072</v>
      </c>
      <c r="O92" s="115">
        <v>8.8406372069010875</v>
      </c>
      <c r="P92" s="115">
        <v>8.4046114809345092</v>
      </c>
      <c r="Q92" s="111">
        <v>8.8406372069010875</v>
      </c>
      <c r="R92" s="68">
        <v>8.4046114809345092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0.12400060447987335</v>
      </c>
      <c r="M93" s="115">
        <v>52.676277906710133</v>
      </c>
      <c r="N93" s="115">
        <v>2018.110605007696</v>
      </c>
      <c r="O93" s="115">
        <v>21.405011270451091</v>
      </c>
      <c r="P93" s="115">
        <v>21.269071863341214</v>
      </c>
      <c r="Q93" s="111">
        <v>21.405011270451094</v>
      </c>
      <c r="R93" s="68">
        <v>21.269071863341217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0.98321576920802911</v>
      </c>
      <c r="M94" s="115">
        <v>1.1104578313770164</v>
      </c>
      <c r="N94" s="115">
        <v>13.06746430945633</v>
      </c>
      <c r="O94" s="115">
        <v>1.3722850544912981</v>
      </c>
      <c r="P94" s="115">
        <v>1.9089480179851801</v>
      </c>
      <c r="Q94" s="111">
        <v>1.3722850544912983</v>
      </c>
      <c r="R94" s="68">
        <v>1.9089480179851801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3.5470969328559428E-2</v>
      </c>
      <c r="M95" s="115">
        <v>106.84754668645792</v>
      </c>
      <c r="N95" s="115">
        <v>4119.2407206592543</v>
      </c>
      <c r="O95" s="115">
        <v>38.465418050316266</v>
      </c>
      <c r="P95" s="115">
        <v>34.48989718713878</v>
      </c>
      <c r="Q95" s="111">
        <v>38.465418050316266</v>
      </c>
      <c r="R95" s="68">
        <v>34.48989718713878</v>
      </c>
    </row>
    <row r="96" spans="1:18">
      <c r="A96" s="102" t="s">
        <v>470</v>
      </c>
      <c r="B96" s="166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0.96347168141486872</v>
      </c>
      <c r="M96" s="115">
        <v>0.88207418684646111</v>
      </c>
      <c r="N96" s="115">
        <v>1.8023475976961076</v>
      </c>
      <c r="O96" s="115">
        <v>0.81145907747299661</v>
      </c>
      <c r="P96" s="115">
        <v>0.93693691707301341</v>
      </c>
      <c r="Q96" s="111">
        <v>0.81145907747299661</v>
      </c>
      <c r="R96" s="68">
        <v>0.93693691707301352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0.93101665661634503</v>
      </c>
      <c r="M97" s="115">
        <v>0.99107004685050315</v>
      </c>
      <c r="N97" s="115">
        <v>7.0004154098858296</v>
      </c>
      <c r="O97" s="115">
        <v>0.83089930934165435</v>
      </c>
      <c r="P97" s="115">
        <v>0.94294409762627529</v>
      </c>
      <c r="Q97" s="111">
        <v>0.83089930934165446</v>
      </c>
      <c r="R97" s="68">
        <v>0.94294409762627529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7.332872206317341E-2</v>
      </c>
      <c r="M98" s="115">
        <v>68.804343386952709</v>
      </c>
      <c r="N98" s="115">
        <v>2643.791904755054</v>
      </c>
      <c r="O98" s="115">
        <v>28.579450756039812</v>
      </c>
      <c r="P98" s="115">
        <v>28.998869279560644</v>
      </c>
      <c r="Q98" s="111">
        <v>28.579450756039812</v>
      </c>
      <c r="R98" s="68">
        <v>28.998869279560644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0.98486848390719894</v>
      </c>
      <c r="M99" s="115">
        <v>0.85762422059171206</v>
      </c>
      <c r="N99" s="115">
        <v>0.1776261761027558</v>
      </c>
      <c r="O99" s="115">
        <v>0.81509671570150211</v>
      </c>
      <c r="P99" s="115">
        <v>0.94674689914533638</v>
      </c>
      <c r="Q99" s="111">
        <v>0.81509671570150211</v>
      </c>
      <c r="R99" s="68">
        <v>0.94674689914533638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0.53507091962091835</v>
      </c>
      <c r="M100" s="115">
        <v>9.3107559281079375</v>
      </c>
      <c r="N100" s="115">
        <v>337.16385350610369</v>
      </c>
      <c r="O100" s="115">
        <v>3.7267085048591886</v>
      </c>
      <c r="P100" s="115">
        <v>3.4917800531977585</v>
      </c>
      <c r="Q100" s="111">
        <v>3.726708504859189</v>
      </c>
      <c r="R100" s="68">
        <v>3.4917800531977585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0.9793074471692923</v>
      </c>
      <c r="M101" s="115">
        <v>0.8600366216987082</v>
      </c>
      <c r="N101" s="115">
        <v>0.45022078137271487</v>
      </c>
      <c r="O101" s="115">
        <v>0.81281965429894343</v>
      </c>
      <c r="P101" s="115">
        <v>0.943122957107694</v>
      </c>
      <c r="Q101" s="111">
        <v>0.81281965429894354</v>
      </c>
      <c r="R101" s="68">
        <v>0.943122957107694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0.98961556349985835</v>
      </c>
      <c r="M102" s="115">
        <v>0.85802550503338038</v>
      </c>
      <c r="N102" s="115">
        <v>3.811067868308541E-2</v>
      </c>
      <c r="O102" s="115">
        <v>0.81785059246697733</v>
      </c>
      <c r="P102" s="115">
        <v>0.950468921011555</v>
      </c>
      <c r="Q102" s="111">
        <v>0.81785059246697744</v>
      </c>
      <c r="R102" s="68">
        <v>0.950468921011555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0.98513100512309704</v>
      </c>
      <c r="M103" s="115">
        <v>0.85758482007675818</v>
      </c>
      <c r="N103" s="115">
        <v>0.16758052136953841</v>
      </c>
      <c r="O103" s="115">
        <v>0.815228891004668</v>
      </c>
      <c r="P103" s="115">
        <v>0.94693732323059543</v>
      </c>
      <c r="Q103" s="111">
        <v>0.815228891004668</v>
      </c>
      <c r="R103" s="68">
        <v>0.94693732323059543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0.9483124014012253</v>
      </c>
      <c r="M104" s="115">
        <v>0.9226637311577941</v>
      </c>
      <c r="N104" s="115">
        <v>3.8377984414734923</v>
      </c>
      <c r="O104" s="115">
        <v>0.81689386515790341</v>
      </c>
      <c r="P104" s="115">
        <v>0.93662419194921875</v>
      </c>
      <c r="Q104" s="111">
        <v>0.81689386515790341</v>
      </c>
      <c r="R104" s="68">
        <v>0.93662419194921887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0.98891528989471444</v>
      </c>
      <c r="M105" s="115">
        <v>0.85781154471697096</v>
      </c>
      <c r="N105" s="115">
        <v>5.2841854336255087E-2</v>
      </c>
      <c r="O105" s="115">
        <v>0.81739415468831289</v>
      </c>
      <c r="P105" s="115">
        <v>0.94988186963274701</v>
      </c>
      <c r="Q105" s="111">
        <v>0.817394154688313</v>
      </c>
      <c r="R105" s="68">
        <v>0.94988186963274712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0.84492485956499119</v>
      </c>
      <c r="M106" s="115">
        <v>1.6639076216321844</v>
      </c>
      <c r="N106" s="115">
        <v>35.378857346927255</v>
      </c>
      <c r="O106" s="115">
        <v>1.0219447194707716</v>
      </c>
      <c r="P106" s="115">
        <v>1.0822197362813002</v>
      </c>
      <c r="Q106" s="111">
        <v>1.0219447194707716</v>
      </c>
      <c r="R106" s="68">
        <v>1.0822197362813002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5.9025316142544783E-2</v>
      </c>
      <c r="M107" s="115">
        <v>74.997862251948703</v>
      </c>
      <c r="N107" s="115">
        <v>2884.4891841030508</v>
      </c>
      <c r="O107" s="115">
        <v>31.43042500394774</v>
      </c>
      <c r="P107" s="115">
        <v>32.148311518346581</v>
      </c>
      <c r="Q107" s="111">
        <v>31.43042500394774</v>
      </c>
      <c r="R107" s="68">
        <v>32.148311518346581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0.58294958277283837</v>
      </c>
      <c r="M108" s="115">
        <v>7.4572434354940542</v>
      </c>
      <c r="N108" s="115">
        <v>264.7711497730628</v>
      </c>
      <c r="O108" s="115">
        <v>3.0417450217177726</v>
      </c>
      <c r="P108" s="115">
        <v>2.8590898226978587</v>
      </c>
      <c r="Q108" s="111">
        <v>3.0417450217177731</v>
      </c>
      <c r="R108" s="68">
        <v>2.8590898226978592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6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2024-10-28T23:24:03Z</dcterms:modified>
</cp:coreProperties>
</file>