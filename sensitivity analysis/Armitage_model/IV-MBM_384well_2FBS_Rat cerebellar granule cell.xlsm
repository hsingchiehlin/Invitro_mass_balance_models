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72AB5DF7-3602-417A-9D37-27DFBA47B7CF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<sst xmlns="http://schemas.openxmlformats.org/spreadsheetml/2006/main" count="2915" uniqueCount="495">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</sst>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0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1.4392E-2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1.4392E-2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3.5980000000000002E-4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3.428894E-4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1.3992544053111314E-5</v>
      </c>
      <c r="J2" s="67" t="s">
        <v>231</v>
      </c>
      <c r="K2" s="68">
        <v>5.1308406949396333E-2</v>
      </c>
      <c r="L2" s="67" t="s">
        <v>231</v>
      </c>
      <c r="M2" s="68">
        <v>5.4152370113370256E-2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7.1715760166534066E-4</v>
      </c>
      <c r="J3" s="67" t="s">
        <v>231</v>
      </c>
      <c r="K3" s="68">
        <v>2.4318340696076337</v>
      </c>
      <c r="L3" s="67" t="s">
        <v>232</v>
      </c>
      <c r="M3" s="68">
        <v>2.5674915840025272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2.1251419883434679E-3</v>
      </c>
      <c r="J4" s="67" t="s">
        <v>231</v>
      </c>
      <c r="K4" s="68">
        <v>0.34847126071981005</v>
      </c>
      <c r="L4" s="67" t="s">
        <v>231</v>
      </c>
      <c r="M4" s="68">
        <v>0.36788537675256577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2.7329365309291562E-3</v>
      </c>
      <c r="J5" s="67" t="s">
        <v>231</v>
      </c>
      <c r="K5" s="68">
        <v>1.744440383510526</v>
      </c>
      <c r="L5" s="67" t="s">
        <v>232</v>
      </c>
      <c r="M5" s="68">
        <v>1.8417182565060779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1.7241650868699602E-3</v>
      </c>
      <c r="J6" s="67" t="s">
        <v>231</v>
      </c>
      <c r="K6" s="68">
        <v>2.5101481183972796</v>
      </c>
      <c r="L6" s="67" t="s">
        <v>232</v>
      </c>
      <c r="M6" s="68">
        <v>2.6501869815455064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2.7894476941409542E-4</v>
      </c>
      <c r="J7" s="67" t="s">
        <v>231</v>
      </c>
      <c r="K7" s="68">
        <v>2.4505050531659567</v>
      </c>
      <c r="L7" s="67" t="s">
        <v>232</v>
      </c>
      <c r="M7" s="68">
        <v>2.5872059288296732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6.4714200775358225E-4</v>
      </c>
      <c r="J8" s="67" t="s">
        <v>231</v>
      </c>
      <c r="K8" s="68">
        <v>2.3390645626115703</v>
      </c>
      <c r="L8" s="67" t="s">
        <v>232</v>
      </c>
      <c r="M8" s="68">
        <v>2.4695359654701496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3.8797935026639737E-4</v>
      </c>
      <c r="J9" s="67" t="s">
        <v>231</v>
      </c>
      <c r="K9" s="68">
        <v>1.0243680654339622</v>
      </c>
      <c r="L9" s="67" t="s">
        <v>232</v>
      </c>
      <c r="M9" s="68">
        <v>1.081474289213451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1.5756793507991126E-3</v>
      </c>
      <c r="J10" s="67" t="s">
        <v>231</v>
      </c>
      <c r="K10" s="68">
        <v>1.7880213570938679</v>
      </c>
      <c r="L10" s="67" t="s">
        <v>232</v>
      </c>
      <c r="M10" s="68">
        <v>1.887730906885283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3.6106980116614628E-4</v>
      </c>
      <c r="J11" s="67" t="s">
        <v>231</v>
      </c>
      <c r="K11" s="68">
        <v>1.8569215517294626</v>
      </c>
      <c r="L11" s="67" t="s">
        <v>232</v>
      </c>
      <c r="M11" s="68">
        <v>1.9604757599017666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8.9816041010870931E-4</v>
      </c>
      <c r="J12" s="67" t="s">
        <v>231</v>
      </c>
      <c r="K12" s="68">
        <v>1.1581398794482924</v>
      </c>
      <c r="L12" s="67" t="s">
        <v>232</v>
      </c>
      <c r="M12" s="68">
        <v>1.2227076538269042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1.8214306254749756E-2</v>
      </c>
      <c r="J13" s="67" t="s">
        <v>232</v>
      </c>
      <c r="K13" s="68">
        <v>1.0374150768435333</v>
      </c>
      <c r="L13" s="67" t="s">
        <v>232</v>
      </c>
      <c r="M13" s="68">
        <v>1.0952490079704891</v>
      </c>
      <c r="N13" s="67" t="s">
        <v>231</v>
      </c>
      <c r="P13" s="109" t="s">
        <v>192</v>
      </c>
      <c r="Q13" s="103">
        <f>COUNTIF(J2:J50000,"Yes")</f>
        <v>6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2.7740695562330992E-3</v>
      </c>
      <c r="J14" s="67" t="s">
        <v>231</v>
      </c>
      <c r="K14" s="68">
        <v>2.0468064351255144</v>
      </c>
      <c r="L14" s="67" t="s">
        <v>232</v>
      </c>
      <c r="M14" s="68">
        <v>2.1609580471008889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1.7945175813271457E-3</v>
      </c>
      <c r="J15" s="67" t="s">
        <v>231</v>
      </c>
      <c r="K15" s="68">
        <v>1.8230535929994336</v>
      </c>
      <c r="L15" s="67" t="s">
        <v>232</v>
      </c>
      <c r="M15" s="68">
        <v>1.9247179150132581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6.8744838662151042E-4</v>
      </c>
      <c r="J16" s="67" t="s">
        <v>231</v>
      </c>
      <c r="K16" s="68">
        <v>2.3323056207109567</v>
      </c>
      <c r="L16" s="67" t="s">
        <v>232</v>
      </c>
      <c r="M16" s="68">
        <v>2.4623994313307862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1.135027879481342E-3</v>
      </c>
      <c r="J17" s="67" t="s">
        <v>231</v>
      </c>
      <c r="K17" s="68">
        <v>1.7592614284744501</v>
      </c>
      <c r="L17" s="67" t="s">
        <v>232</v>
      </c>
      <c r="M17" s="68">
        <v>1.8573662513231717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2.7839069852241523E-3</v>
      </c>
      <c r="J18" s="67" t="s">
        <v>231</v>
      </c>
      <c r="K18" s="68">
        <v>0.9594394530686492</v>
      </c>
      <c r="L18" s="67" t="s">
        <v>231</v>
      </c>
      <c r="M18" s="68">
        <v>1.012924475045565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1.0832479168198258E-2</v>
      </c>
      <c r="J19" s="67" t="s">
        <v>232</v>
      </c>
      <c r="K19" s="68">
        <v>1.8299482725500698</v>
      </c>
      <c r="L19" s="67" t="s">
        <v>232</v>
      </c>
      <c r="M19" s="68">
        <v>1.9319973211692985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1.8849202890355709E-3</v>
      </c>
      <c r="J20" s="67" t="s">
        <v>231</v>
      </c>
      <c r="K20" s="68">
        <v>1.0376644595242233</v>
      </c>
      <c r="L20" s="67" t="s">
        <v>232</v>
      </c>
      <c r="M20" s="68">
        <v>1.0955122932646084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4.2542948203634634E-3</v>
      </c>
      <c r="J21" s="67" t="s">
        <v>231</v>
      </c>
      <c r="K21" s="68">
        <v>1.9945454341566069</v>
      </c>
      <c r="L21" s="67" t="s">
        <v>232</v>
      </c>
      <c r="M21" s="68">
        <v>2.105780120384865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9.4234362108625372E-5</v>
      </c>
      <c r="J22" s="67" t="s">
        <v>231</v>
      </c>
      <c r="K22" s="68">
        <v>0.16150989103661972</v>
      </c>
      <c r="L22" s="67" t="s">
        <v>231</v>
      </c>
      <c r="M22" s="68">
        <v>0.17049909780967337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3.0440213629692112E-5</v>
      </c>
      <c r="J23" s="67" t="s">
        <v>231</v>
      </c>
      <c r="K23" s="68">
        <v>7.8174904471374901E-2</v>
      </c>
      <c r="L23" s="67" t="s">
        <v>231</v>
      </c>
      <c r="M23" s="68">
        <v>8.2517132214884339E-2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1.1699927458121693E-4</v>
      </c>
      <c r="J24" s="67" t="s">
        <v>231</v>
      </c>
      <c r="K24" s="68">
        <v>0.63716832566418891</v>
      </c>
      <c r="L24" s="67" t="s">
        <v>231</v>
      </c>
      <c r="M24" s="68">
        <v>0.6726807390825541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8.3753194031217749E-4</v>
      </c>
      <c r="J25" s="67" t="s">
        <v>231</v>
      </c>
      <c r="K25" s="68">
        <v>1.2762301770221156</v>
      </c>
      <c r="L25" s="67" t="s">
        <v>232</v>
      </c>
      <c r="M25" s="68">
        <v>1.3473868494964472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1.1737118843127422E-3</v>
      </c>
      <c r="J26" s="67" t="s">
        <v>231</v>
      </c>
      <c r="K26" s="68">
        <v>1.95884627082198</v>
      </c>
      <c r="L26" s="67" t="s">
        <v>232</v>
      </c>
      <c r="M26" s="68">
        <v>2.0680885244688909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4.0126082218558645E-4</v>
      </c>
      <c r="J27" s="67" t="s">
        <v>231</v>
      </c>
      <c r="K27" s="68">
        <v>2.4226767887513638</v>
      </c>
      <c r="L27" s="67" t="s">
        <v>232</v>
      </c>
      <c r="M27" s="68">
        <v>2.5578219728563023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3.150453010117044E-4</v>
      </c>
      <c r="J28" s="67" t="s">
        <v>231</v>
      </c>
      <c r="K28" s="68">
        <v>2.1812710409707354</v>
      </c>
      <c r="L28" s="67" t="s">
        <v>232</v>
      </c>
      <c r="M28" s="68">
        <v>2.3029293119904835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2.3323986332895815E-4</v>
      </c>
      <c r="J29" s="67" t="s">
        <v>231</v>
      </c>
      <c r="K29" s="68">
        <v>1.9594233842855866</v>
      </c>
      <c r="L29" s="67" t="s">
        <v>232</v>
      </c>
      <c r="M29" s="68">
        <v>2.0687008398154179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3.150453010117044E-4</v>
      </c>
      <c r="J30" s="67" t="s">
        <v>231</v>
      </c>
      <c r="K30" s="68">
        <v>2.1812710409707354</v>
      </c>
      <c r="L30" s="67" t="s">
        <v>232</v>
      </c>
      <c r="M30" s="68">
        <v>2.3029293119904835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8.1104129560511957E-8</v>
      </c>
      <c r="J31" s="67" t="s">
        <v>231</v>
      </c>
      <c r="K31" s="68">
        <v>1.0943191725361328E-3</v>
      </c>
      <c r="L31" s="67" t="s">
        <v>231</v>
      </c>
      <c r="M31" s="68">
        <v>1.1368369730181446E-3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9.7433785321977909E-6</v>
      </c>
      <c r="J32" s="67" t="s">
        <v>231</v>
      </c>
      <c r="K32" s="68">
        <v>0.26621902306466783</v>
      </c>
      <c r="L32" s="67" t="s">
        <v>231</v>
      </c>
      <c r="M32" s="68">
        <v>0.28096500396799806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8.1345533724546695E-8</v>
      </c>
      <c r="J33" s="67" t="s">
        <v>231</v>
      </c>
      <c r="K33" s="68">
        <v>5.7774485193649221E-4</v>
      </c>
      <c r="L33" s="67" t="s">
        <v>231</v>
      </c>
      <c r="M33" s="68">
        <v>5.9140178578791138E-4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3.172316934180102E-10</v>
      </c>
      <c r="J34" s="67" t="s">
        <v>231</v>
      </c>
      <c r="K34" s="68">
        <v>6.9852760306605102E-2</v>
      </c>
      <c r="L34" s="67" t="s">
        <v>231</v>
      </c>
      <c r="M34" s="68">
        <v>7.3769789296665444E-2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4.7598055410107517E-7</v>
      </c>
      <c r="J35" s="67" t="s">
        <v>231</v>
      </c>
      <c r="K35" s="68">
        <v>0.14532801142359938</v>
      </c>
      <c r="L35" s="67" t="s">
        <v>231</v>
      </c>
      <c r="M35" s="68">
        <v>0.1534974084932077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8.0172354391651807E-7</v>
      </c>
      <c r="J36" s="67" t="s">
        <v>231</v>
      </c>
      <c r="K36" s="68">
        <v>0.32638217261615915</v>
      </c>
      <c r="L36" s="67" t="s">
        <v>231</v>
      </c>
      <c r="M36" s="68">
        <v>0.34475218528408574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4.7062588983343704E-6</v>
      </c>
      <c r="J37" s="67" t="s">
        <v>231</v>
      </c>
      <c r="K37" s="68">
        <v>0.40284466000612351</v>
      </c>
      <c r="L37" s="67" t="s">
        <v>231</v>
      </c>
      <c r="M37" s="68">
        <v>0.42536172676107864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1.5718896766543268E-6</v>
      </c>
      <c r="J38" s="67" t="s">
        <v>231</v>
      </c>
      <c r="K38" s="68">
        <v>5.7021965506006259E-2</v>
      </c>
      <c r="L38" s="67" t="s">
        <v>231</v>
      </c>
      <c r="M38" s="68">
        <v>6.0214817092153393E-2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4.7335524090950958E-4</v>
      </c>
      <c r="J39" s="67" t="s">
        <v>231</v>
      </c>
      <c r="K39" s="68">
        <v>1.4705877117553454</v>
      </c>
      <c r="L39" s="67" t="s">
        <v>232</v>
      </c>
      <c r="M39" s="68">
        <v>1.5525874532577411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4.0567701683410564E-10</v>
      </c>
      <c r="J40" s="67" t="s">
        <v>231</v>
      </c>
      <c r="K40" s="68">
        <v>2.6380670548153984</v>
      </c>
      <c r="L40" s="67" t="s">
        <v>232</v>
      </c>
      <c r="M40" s="68">
        <v>2.7865544560515518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2.6159682765414165E-8</v>
      </c>
      <c r="J41" s="67" t="s">
        <v>231</v>
      </c>
      <c r="K41" s="68">
        <v>7.7198902522502305E-5</v>
      </c>
      <c r="L41" s="67" t="s">
        <v>231</v>
      </c>
      <c r="M41" s="68">
        <v>6.4243286232481552E-5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1.0463494110735363E-3</v>
      </c>
      <c r="J42" s="67" t="s">
        <v>231</v>
      </c>
      <c r="K42" s="68">
        <v>0.18913182048826044</v>
      </c>
      <c r="L42" s="67" t="s">
        <v>231</v>
      </c>
      <c r="M42" s="68">
        <v>0.19966119860570461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2.8644227246636265E-8</v>
      </c>
      <c r="J43" s="67" t="s">
        <v>231</v>
      </c>
      <c r="K43" s="68">
        <v>0.94787212307255675</v>
      </c>
      <c r="L43" s="67" t="s">
        <v>231</v>
      </c>
      <c r="M43" s="68">
        <v>1.0012424206858916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1.0775792919210516E-6</v>
      </c>
      <c r="J44" s="67" t="s">
        <v>231</v>
      </c>
      <c r="K44" s="68">
        <v>2.7842948207279103E-2</v>
      </c>
      <c r="L44" s="67" t="s">
        <v>231</v>
      </c>
      <c r="M44" s="68">
        <v>2.9379693534511905E-2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9.309658203140852E-5</v>
      </c>
      <c r="J45" s="67" t="s">
        <v>231</v>
      </c>
      <c r="K45" s="68">
        <v>0.21610252689945575</v>
      </c>
      <c r="L45" s="67" t="s">
        <v>231</v>
      </c>
      <c r="M45" s="68">
        <v>0.2281358023110196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2.0732872592474634E-6</v>
      </c>
      <c r="J46" s="67" t="s">
        <v>231</v>
      </c>
      <c r="K46" s="68">
        <v>0.19853750782697913</v>
      </c>
      <c r="L46" s="67" t="s">
        <v>231</v>
      </c>
      <c r="M46" s="68">
        <v>0.2095913843299809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1.818269762086255E-3</v>
      </c>
      <c r="J47" s="142" t="s">
        <v>231</v>
      </c>
      <c r="K47" s="143">
        <v>2.4380343988597803</v>
      </c>
      <c r="L47" s="142" t="s">
        <v>232</v>
      </c>
      <c r="M47" s="143">
        <v>2.5740377926324189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1.8077333748930874E-6</v>
      </c>
      <c r="J48" s="142" t="s">
        <v>231</v>
      </c>
      <c r="K48" s="143">
        <v>9.6955151696820757E-3</v>
      </c>
      <c r="L48" s="142" t="s">
        <v>231</v>
      </c>
      <c r="M48" s="143">
        <v>1.0218524026512731E-2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5.0545028214152016E-6</v>
      </c>
      <c r="J49" s="142" t="s">
        <v>231</v>
      </c>
      <c r="K49" s="143">
        <v>1.6650690112935424E-2</v>
      </c>
      <c r="L49" s="142" t="s">
        <v>231</v>
      </c>
      <c r="M49" s="143">
        <v>1.7561957163326803E-2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1.2064338244700178E-5</v>
      </c>
      <c r="J50" s="142" t="s">
        <v>231</v>
      </c>
      <c r="K50" s="143">
        <v>0.9336673333035056</v>
      </c>
      <c r="L50" s="142" t="s">
        <v>231</v>
      </c>
      <c r="M50" s="143">
        <v>0.98571512638652348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4.0136954083923815E-8</v>
      </c>
      <c r="J51" s="142" t="s">
        <v>231</v>
      </c>
      <c r="K51" s="143">
        <v>1.7651149655627731E-3</v>
      </c>
      <c r="L51" s="142" t="s">
        <v>231</v>
      </c>
      <c r="M51" s="143">
        <v>1.8463570446531313E-3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1.0984392539246635E-5</v>
      </c>
      <c r="J52" s="142" t="s">
        <v>231</v>
      </c>
      <c r="K52" s="143">
        <v>4.6736064510090901E-2</v>
      </c>
      <c r="L52" s="142" t="s">
        <v>231</v>
      </c>
      <c r="M52" s="143">
        <v>4.9326258791010658E-2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1.8524517715495423E-4</v>
      </c>
      <c r="J53" s="142" t="s">
        <v>231</v>
      </c>
      <c r="K53" s="143">
        <v>0.31874580190472157</v>
      </c>
      <c r="L53" s="142" t="s">
        <v>231</v>
      </c>
      <c r="M53" s="143">
        <v>0.33650246628210118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6.655792670641848E-4</v>
      </c>
      <c r="J54" s="67" t="s">
        <v>231</v>
      </c>
      <c r="K54" s="68">
        <v>2.3954255992272548</v>
      </c>
      <c r="L54" s="67" t="s">
        <v>232</v>
      </c>
      <c r="M54" s="68">
        <v>2.5290467535645962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2.3653284742697057E-4</v>
      </c>
      <c r="J55" s="67" t="s">
        <v>231</v>
      </c>
      <c r="K55" s="68">
        <v>0.55289257562882343</v>
      </c>
      <c r="L55" s="67" t="s">
        <v>231</v>
      </c>
      <c r="M55" s="68">
        <v>0.58370888101164919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6.2577079294682021E-5</v>
      </c>
      <c r="J56" s="67" t="s">
        <v>231</v>
      </c>
      <c r="K56" s="68">
        <v>0.29277680473687445</v>
      </c>
      <c r="L56" s="67" t="s">
        <v>231</v>
      </c>
      <c r="M56" s="68">
        <v>0.30909934422769342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2.6078010621923297E-5</v>
      </c>
      <c r="J57" s="67" t="s">
        <v>231</v>
      </c>
      <c r="K57" s="68">
        <v>0.12634700548827899</v>
      </c>
      <c r="L57" s="67" t="s">
        <v>231</v>
      </c>
      <c r="M57" s="68">
        <v>0.13338957929640996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2.5858129250058224E-7</v>
      </c>
      <c r="J58" s="67" t="s">
        <v>231</v>
      </c>
      <c r="K58" s="68">
        <v>1.4382492001085139E-3</v>
      </c>
      <c r="L58" s="67" t="s">
        <v>231</v>
      </c>
      <c r="M58" s="68">
        <v>1.5172597376993948E-3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5.9326966026715304E-6</v>
      </c>
      <c r="J59" s="67" t="s">
        <v>231</v>
      </c>
      <c r="K59" s="68">
        <v>4.5915021940138578E-2</v>
      </c>
      <c r="L59" s="67" t="s">
        <v>231</v>
      </c>
      <c r="M59" s="68">
        <v>4.8474288080926027E-2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8.9757465930814121E-8</v>
      </c>
      <c r="J60" s="67" t="s">
        <v>231</v>
      </c>
      <c r="K60" s="68">
        <v>7.6850039508991454E-4</v>
      </c>
      <c r="L60" s="67" t="s">
        <v>231</v>
      </c>
      <c r="M60" s="68">
        <v>8.1132803717159137E-4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4.3199705352105919E-2</v>
      </c>
      <c r="J61" s="67" t="s">
        <v>232</v>
      </c>
      <c r="K61" s="68">
        <v>0.43895699890394391</v>
      </c>
      <c r="L61" s="67" t="s">
        <v>231</v>
      </c>
      <c r="M61" s="68">
        <v>0.46341664606447575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4.8591125859175935E-5</v>
      </c>
      <c r="J62" s="67" t="s">
        <v>231</v>
      </c>
      <c r="K62" s="68">
        <v>2.0358455201767116</v>
      </c>
      <c r="L62" s="67" t="s">
        <v>232</v>
      </c>
      <c r="M62" s="68">
        <v>2.1493853148120485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1.7128734944372163E-4</v>
      </c>
      <c r="J63" s="67" t="s">
        <v>231</v>
      </c>
      <c r="K63" s="68">
        <v>2.4951879174335518</v>
      </c>
      <c r="L63" s="67" t="s">
        <v>232</v>
      </c>
      <c r="M63" s="68">
        <v>2.6343891029835911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1.1109184757367757E-4</v>
      </c>
      <c r="J64" s="67" t="s">
        <v>231</v>
      </c>
      <c r="K64" s="68">
        <v>2.5576127821544978</v>
      </c>
      <c r="L64" s="67" t="s">
        <v>232</v>
      </c>
      <c r="M64" s="68">
        <v>2.7003124455716843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1.5841757993854656E-4</v>
      </c>
      <c r="J65" s="67" t="s">
        <v>231</v>
      </c>
      <c r="K65" s="68">
        <v>2.5981840439552615</v>
      </c>
      <c r="L65" s="67" t="s">
        <v>232</v>
      </c>
      <c r="M65" s="68">
        <v>2.7431655140969164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6.4696832584358445E-7</v>
      </c>
      <c r="J66" s="67" t="s">
        <v>231</v>
      </c>
      <c r="K66" s="68">
        <v>2.5780958776746736</v>
      </c>
      <c r="L66" s="67" t="s">
        <v>232</v>
      </c>
      <c r="M66" s="68">
        <v>2.7219461778039746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3.7797810934982683E-4</v>
      </c>
      <c r="J67" s="67" t="s">
        <v>231</v>
      </c>
      <c r="K67" s="68">
        <v>3.5899558116509703E-2</v>
      </c>
      <c r="L67" s="67" t="s">
        <v>231</v>
      </c>
      <c r="M67" s="68">
        <v>3.7884224273023702E-2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1.5246601864814501E-4</v>
      </c>
      <c r="J68" s="67" t="s">
        <v>231</v>
      </c>
      <c r="K68" s="68">
        <v>6.0959358113903905E-2</v>
      </c>
      <c r="L68" s="67" t="s">
        <v>231</v>
      </c>
      <c r="M68" s="68">
        <v>6.4341717025569983E-2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1.7995838540513641E-7</v>
      </c>
      <c r="J69" s="67" t="s">
        <v>231</v>
      </c>
      <c r="K69" s="68">
        <v>2.3210609112923661</v>
      </c>
      <c r="L69" s="67" t="s">
        <v>232</v>
      </c>
      <c r="M69" s="68">
        <v>2.4505266315372123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4.512288341047619E-4</v>
      </c>
      <c r="J70" s="67" t="s">
        <v>231</v>
      </c>
      <c r="K70" s="68">
        <v>1.2552314097952413</v>
      </c>
      <c r="L70" s="67" t="s">
        <v>232</v>
      </c>
      <c r="M70" s="68">
        <v>1.3252156295611373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2.8440434941570219E-4</v>
      </c>
      <c r="J71" s="67" t="s">
        <v>231</v>
      </c>
      <c r="K71" s="68">
        <v>5.5383814443044709E-2</v>
      </c>
      <c r="L71" s="67" t="s">
        <v>231</v>
      </c>
      <c r="M71" s="68">
        <v>5.8455495899555607E-2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2.6415408680941973E-6</v>
      </c>
      <c r="J72" s="67" t="s">
        <v>231</v>
      </c>
      <c r="K72" s="68">
        <v>1.1915547645088629</v>
      </c>
      <c r="L72" s="67" t="s">
        <v>232</v>
      </c>
      <c r="M72" s="68">
        <v>1.2579874990521427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6.3319411098946661E-3</v>
      </c>
      <c r="J73" s="67" t="s">
        <v>231</v>
      </c>
      <c r="K73" s="68">
        <v>0.45987378680782615</v>
      </c>
      <c r="L73" s="67" t="s">
        <v>231</v>
      </c>
      <c r="M73" s="68">
        <v>0.48550006835829135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9.3782641937595501E-2</v>
      </c>
      <c r="J74" s="67" t="s">
        <v>232</v>
      </c>
      <c r="K74" s="68">
        <v>1.2398113754478894</v>
      </c>
      <c r="L74" s="67" t="s">
        <v>232</v>
      </c>
      <c r="M74" s="68">
        <v>1.3089354959499764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7.8094111258830339E-13</v>
      </c>
      <c r="J75" s="67" t="s">
        <v>231</v>
      </c>
      <c r="K75" s="68">
        <v>1.7876659281708023</v>
      </c>
      <c r="L75" s="67" t="s">
        <v>232</v>
      </c>
      <c r="M75" s="68">
        <v>1.8883459433359409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4.2963319146432446E-13</v>
      </c>
      <c r="J76" s="67" t="s">
        <v>231</v>
      </c>
      <c r="K76" s="68">
        <v>1.7876659314642782</v>
      </c>
      <c r="L76" s="67" t="s">
        <v>232</v>
      </c>
      <c r="M76" s="68">
        <v>1.8883459468149029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3.9542503789098939E-7</v>
      </c>
      <c r="J77" s="67" t="s">
        <v>231</v>
      </c>
      <c r="K77" s="68">
        <v>0.80333021334310495</v>
      </c>
      <c r="L77" s="67" t="s">
        <v>231</v>
      </c>
      <c r="M77" s="68">
        <v>0.848109649218448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9.9670300455944791E-4</v>
      </c>
      <c r="J78" s="67" t="s">
        <v>231</v>
      </c>
      <c r="K78" s="68">
        <v>0.17015234893181785</v>
      </c>
      <c r="L78" s="67" t="s">
        <v>231</v>
      </c>
      <c r="M78" s="68">
        <v>0.17962403564295085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2.0147989907495457E-5</v>
      </c>
      <c r="J79" s="67" t="s">
        <v>231</v>
      </c>
      <c r="K79" s="68">
        <v>0.32590359772302718</v>
      </c>
      <c r="L79" s="67" t="s">
        <v>231</v>
      </c>
      <c r="M79" s="68">
        <v>0.34405949625035825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2.9022285044684216E-14</v>
      </c>
      <c r="J80" s="67" t="s">
        <v>231</v>
      </c>
      <c r="K80" s="68">
        <v>2.167772415516803</v>
      </c>
      <c r="L80" s="67" t="s">
        <v>232</v>
      </c>
      <c r="M80" s="68">
        <v>2.2898600133414395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2.1982576683697906E-5</v>
      </c>
      <c r="J81" s="67" t="s">
        <v>231</v>
      </c>
      <c r="K81" s="68">
        <v>1.6105735625915145E-3</v>
      </c>
      <c r="L81" s="67" t="s">
        <v>231</v>
      </c>
      <c r="M81" s="68">
        <v>1.6819588534595961E-3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3.456835500903096E-5</v>
      </c>
      <c r="J82" s="67" t="s">
        <v>231</v>
      </c>
      <c r="K82" s="68">
        <v>7.515995417923961E-2</v>
      </c>
      <c r="L82" s="67" t="s">
        <v>231</v>
      </c>
      <c r="M82" s="68">
        <v>7.9334052444004682E-2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4.2593957627499539E-5</v>
      </c>
      <c r="J83" s="67" t="s">
        <v>231</v>
      </c>
      <c r="K83" s="68">
        <v>0.75834454764854764</v>
      </c>
      <c r="L83" s="67" t="s">
        <v>231</v>
      </c>
      <c r="M83" s="68">
        <v>0.80061443696916257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6.0628488826962957E-6</v>
      </c>
      <c r="J84" s="67" t="s">
        <v>231</v>
      </c>
      <c r="K84" s="68">
        <v>6.4880673653893986E-3</v>
      </c>
      <c r="L84" s="67" t="s">
        <v>231</v>
      </c>
      <c r="M84" s="68">
        <v>6.8318470950590173E-3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3.299050786093684E-8</v>
      </c>
      <c r="J85" s="67" t="s">
        <v>231</v>
      </c>
      <c r="K85" s="68">
        <v>3.4428685477760126E-4</v>
      </c>
      <c r="L85" s="67" t="s">
        <v>231</v>
      </c>
      <c r="M85" s="68">
        <v>3.448095563485335E-4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2.3789034800680478E-6</v>
      </c>
      <c r="J86" s="67" t="s">
        <v>231</v>
      </c>
      <c r="K86" s="68">
        <v>6.2029893519275547E-3</v>
      </c>
      <c r="L86" s="67" t="s">
        <v>231</v>
      </c>
      <c r="M86" s="68">
        <v>6.5308557542468884E-3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2.0157947274026186E-3</v>
      </c>
      <c r="J87" s="67" t="s">
        <v>231</v>
      </c>
      <c r="K87" s="68">
        <v>2.4623084411977456</v>
      </c>
      <c r="L87" s="67" t="s">
        <v>232</v>
      </c>
      <c r="M87" s="68">
        <v>2.5996695907950196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1.0596767738546482E-4</v>
      </c>
      <c r="J88" s="67" t="s">
        <v>231</v>
      </c>
      <c r="K88" s="68">
        <v>0.13782760881234335</v>
      </c>
      <c r="L88" s="67" t="s">
        <v>231</v>
      </c>
      <c r="M88" s="68">
        <v>0.14549623597428757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2.7989851752613158E-5</v>
      </c>
      <c r="J89" s="67" t="s">
        <v>231</v>
      </c>
      <c r="K89" s="68">
        <v>8.4535316159640744E-2</v>
      </c>
      <c r="L89" s="67" t="s">
        <v>231</v>
      </c>
      <c r="M89" s="68">
        <v>8.9232229048570602E-2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1.7735941495846079E-6</v>
      </c>
      <c r="J90" s="67" t="s">
        <v>231</v>
      </c>
      <c r="K90" s="68">
        <v>2.1623282480108585E-2</v>
      </c>
      <c r="L90" s="67" t="s">
        <v>231</v>
      </c>
      <c r="M90" s="68">
        <v>2.2811554903088407E-2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2.7524315805212947E-3</v>
      </c>
      <c r="J91" s="67" t="s">
        <v>231</v>
      </c>
      <c r="K91" s="68">
        <v>2.0897680689422322</v>
      </c>
      <c r="L91" s="67" t="s">
        <v>232</v>
      </c>
      <c r="M91" s="68">
        <v>2.2063178099510243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2.6472981913748996E-2</v>
      </c>
      <c r="J92" s="67" t="s">
        <v>232</v>
      </c>
      <c r="K92" s="68">
        <v>0.63062144141343812</v>
      </c>
      <c r="L92" s="67" t="s">
        <v>231</v>
      </c>
      <c r="M92" s="68">
        <v>0.66576877105666021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1.0836788054166739E-2</v>
      </c>
      <c r="J93" s="67" t="s">
        <v>232</v>
      </c>
      <c r="K93" s="68">
        <v>1.1517047805042955</v>
      </c>
      <c r="L93" s="67" t="s">
        <v>232</v>
      </c>
      <c r="M93" s="68">
        <v>1.215913606459023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7.103509132579507E-9</v>
      </c>
      <c r="J94" s="67" t="s">
        <v>231</v>
      </c>
      <c r="K94" s="68">
        <v>1.2340714607254546E-2</v>
      </c>
      <c r="L94" s="67" t="s">
        <v>231</v>
      </c>
      <c r="M94" s="68">
        <v>1.3017132344186368E-2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8.4180644829821724E-5</v>
      </c>
      <c r="J95" s="67" t="s">
        <v>231</v>
      </c>
      <c r="K95" s="68">
        <v>1.6624231982119808</v>
      </c>
      <c r="L95" s="67" t="s">
        <v>232</v>
      </c>
      <c r="M95" s="68">
        <v>1.7551250114841717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9.6937376352565649E-8</v>
      </c>
      <c r="J96" s="67" t="s">
        <v>231</v>
      </c>
      <c r="K96" s="68">
        <v>1.7243308505313999E-3</v>
      </c>
      <c r="L96" s="67" t="s">
        <v>231</v>
      </c>
      <c r="M96" s="68">
        <v>1.8020750435644912E-3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3.4435648019695288E-8</v>
      </c>
      <c r="J97" s="67" t="s">
        <v>231</v>
      </c>
      <c r="K97" s="68">
        <v>6.6353837641923335E-3</v>
      </c>
      <c r="L97" s="67" t="s">
        <v>231</v>
      </c>
      <c r="M97" s="68">
        <v>6.9873866350502432E-3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1.848464584143788E-5</v>
      </c>
      <c r="J98" s="67" t="s">
        <v>231</v>
      </c>
      <c r="K98" s="68">
        <v>1.3431528614371224</v>
      </c>
      <c r="L98" s="67" t="s">
        <v>232</v>
      </c>
      <c r="M98" s="68">
        <v>1.4180419922241574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4.1873021179273985E-8</v>
      </c>
      <c r="J99" s="67" t="s">
        <v>231</v>
      </c>
      <c r="K99" s="68">
        <v>1.8605632184129229E-4</v>
      </c>
      <c r="L99" s="67" t="s">
        <v>231</v>
      </c>
      <c r="M99" s="68">
        <v>1.776953598514461E-4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5.8671860186789888E-5</v>
      </c>
      <c r="J100" s="67" t="s">
        <v>231</v>
      </c>
      <c r="K100" s="68">
        <v>0.28773537317930581</v>
      </c>
      <c r="L100" s="67" t="s">
        <v>231</v>
      </c>
      <c r="M100" s="68">
        <v>0.30376286342441916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1.3057241392311397E-5</v>
      </c>
      <c r="J101" s="67" t="s">
        <v>231</v>
      </c>
      <c r="K101" s="68">
        <v>4.4422872760838594E-4</v>
      </c>
      <c r="L101" s="67" t="s">
        <v>231</v>
      </c>
      <c r="M101" s="68">
        <v>4.5035487614825299E-4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6.4350982557339899E-11</v>
      </c>
      <c r="J102" s="67" t="s">
        <v>231</v>
      </c>
      <c r="K102" s="68">
        <v>5.3937296522016402E-5</v>
      </c>
      <c r="L102" s="67" t="s">
        <v>231</v>
      </c>
      <c r="M102" s="68">
        <v>3.8127343054730188E-5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9.1604249453225067E-9</v>
      </c>
      <c r="J103" s="67" t="s">
        <v>231</v>
      </c>
      <c r="K103" s="68">
        <v>1.7654226015271693E-4</v>
      </c>
      <c r="L103" s="67" t="s">
        <v>231</v>
      </c>
      <c r="M103" s="68">
        <v>1.6764636282988807E-4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4.2115775357907418E-7</v>
      </c>
      <c r="J104" s="67" t="s">
        <v>231</v>
      </c>
      <c r="K104" s="68">
        <v>3.6493519443806361E-3</v>
      </c>
      <c r="L104" s="67" t="s">
        <v>231</v>
      </c>
      <c r="M104" s="68">
        <v>3.8346415318162293E-3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5.7885889273098947E-8</v>
      </c>
      <c r="J105" s="67" t="s">
        <v>231</v>
      </c>
      <c r="K105" s="68">
        <v>6.7884563478346437E-5</v>
      </c>
      <c r="L105" s="67" t="s">
        <v>231</v>
      </c>
      <c r="M105" s="68">
        <v>5.2864688785312011E-5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5.1349386224042555E-7</v>
      </c>
      <c r="J106" s="67" t="s">
        <v>231</v>
      </c>
      <c r="K106" s="68">
        <v>3.3156201411733005E-2</v>
      </c>
      <c r="L106" s="67" t="s">
        <v>231</v>
      </c>
      <c r="M106" s="68">
        <v>3.4987772821893769E-2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1.3706412216172751E-4</v>
      </c>
      <c r="J107" s="67" t="s">
        <v>231</v>
      </c>
      <c r="K107" s="68">
        <v>1.4060570988090781</v>
      </c>
      <c r="L107" s="67" t="s">
        <v>232</v>
      </c>
      <c r="M107" s="68">
        <v>1.484456108122119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7.6508980239457225E-5</v>
      </c>
      <c r="J108" s="67" t="s">
        <v>231</v>
      </c>
      <c r="K108" s="68">
        <v>0.23088537218890012</v>
      </c>
      <c r="L108" s="67" t="s">
        <v>231</v>
      </c>
      <c r="M108" s="68">
        <v>0.24374292333203157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0.79852230890305242</v>
      </c>
      <c r="F2" s="14">
        <v>0.79395789084744162</v>
      </c>
      <c r="G2" s="14">
        <v>1.0316822462824829E-6</v>
      </c>
      <c r="H2" s="14">
        <v>10.727967998770342</v>
      </c>
      <c r="I2" s="14">
        <v>28.931745765561878</v>
      </c>
      <c r="J2" s="14">
        <v>0</v>
      </c>
      <c r="K2" s="14">
        <v>1.2595126410704687</v>
      </c>
      <c r="L2" s="14">
        <v>0.79395789084744162</v>
      </c>
      <c r="M2" s="14">
        <v>0.65144244944032592</v>
      </c>
      <c r="N2" s="14">
        <v>51.308406949396328</v>
      </c>
      <c r="O2" s="14">
        <v>9446.3908034533597</v>
      </c>
      <c r="P2" s="8">
        <v>51.308406949396336</v>
      </c>
      <c r="Q2" s="54">
        <v>0.12347375054021281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6.4317811644270376E-2</v>
      </c>
      <c r="F3" s="14">
        <v>4.6602479994871799E-4</v>
      </c>
      <c r="G3" s="14">
        <v>2.8257745954960786E-5</v>
      </c>
      <c r="H3" s="14">
        <v>48.92254357018043</v>
      </c>
      <c r="I3" s="14">
        <v>1227.3437049920365</v>
      </c>
      <c r="J3" s="14">
        <v>0</v>
      </c>
      <c r="K3" s="14">
        <v>2145.8085494807174</v>
      </c>
      <c r="L3" s="14">
        <v>4.6602479994871799E-4</v>
      </c>
      <c r="M3" s="14">
        <v>3.8237334835792316E-4</v>
      </c>
      <c r="N3" s="14">
        <v>2431.8340696076339</v>
      </c>
      <c r="O3" s="14">
        <v>887400.57034052175</v>
      </c>
      <c r="P3" s="8">
        <v>2431.8340696076339</v>
      </c>
      <c r="Q3" s="54">
        <v>3.9261437758095541E-2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0.4687696919695048</v>
      </c>
      <c r="F4" s="14">
        <v>0.43113424992256388</v>
      </c>
      <c r="G4" s="14">
        <v>5.9544412263244871E-14</v>
      </c>
      <c r="H4" s="14">
        <v>86.738623375416367</v>
      </c>
      <c r="I4" s="14">
        <v>191.72100459274316</v>
      </c>
      <c r="J4" s="14">
        <v>0</v>
      </c>
      <c r="K4" s="14">
        <v>2.3194631374788948</v>
      </c>
      <c r="L4" s="14">
        <v>0.43113424992256388</v>
      </c>
      <c r="M4" s="14">
        <v>0.35374565206146369</v>
      </c>
      <c r="N4" s="14">
        <v>348.47126071981006</v>
      </c>
      <c r="O4" s="14">
        <v>110576.90045161013</v>
      </c>
      <c r="P4" s="8">
        <v>348.47126071981006</v>
      </c>
      <c r="Q4" s="54">
        <v>0.27394898518225025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0.16637086271957879</v>
      </c>
      <c r="F5" s="14">
        <v>1.2267701304312607E-2</v>
      </c>
      <c r="G5" s="14">
        <v>2.3564144695967807E-6</v>
      </c>
      <c r="H5" s="14">
        <v>339.48703495115632</v>
      </c>
      <c r="I5" s="14">
        <v>912.17961786125818</v>
      </c>
      <c r="J5" s="14">
        <v>0</v>
      </c>
      <c r="K5" s="14">
        <v>81.51486372173558</v>
      </c>
      <c r="L5" s="14">
        <v>1.2267701304312607E-2</v>
      </c>
      <c r="M5" s="14">
        <v>1.0065648920188495E-2</v>
      </c>
      <c r="N5" s="14">
        <v>1744.4403835105259</v>
      </c>
      <c r="O5" s="14">
        <v>611583.3540549553</v>
      </c>
      <c r="P5" s="8">
        <v>1744.4403835105261</v>
      </c>
      <c r="Q5" s="54">
        <v>0.1388930017439724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5.7583220347009807E-2</v>
      </c>
      <c r="F6" s="14">
        <v>1.8433869824047033E-4</v>
      </c>
      <c r="G6" s="14">
        <v>8.1433856799731855E-8</v>
      </c>
      <c r="H6" s="14">
        <v>27.597930477527239</v>
      </c>
      <c r="I6" s="14">
        <v>1254.970990846165</v>
      </c>
      <c r="J6" s="14">
        <v>0</v>
      </c>
      <c r="K6" s="14">
        <v>5424.7969066999558</v>
      </c>
      <c r="L6" s="14">
        <v>1.8433869824047033E-4</v>
      </c>
      <c r="M6" s="14">
        <v>1.5124990190630593E-4</v>
      </c>
      <c r="N6" s="14">
        <v>2510.1481183972796</v>
      </c>
      <c r="O6" s="14">
        <v>889822.40649065166</v>
      </c>
      <c r="P6" s="8">
        <v>2510.1481183972796</v>
      </c>
      <c r="Q6" s="54">
        <v>2.6499256384412549E-2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6.3217521039305155E-2</v>
      </c>
      <c r="F7" s="14">
        <v>4.0810413747037987E-4</v>
      </c>
      <c r="G7" s="14">
        <v>1.330024023544553E-7</v>
      </c>
      <c r="H7" s="14">
        <v>45.126432120883194</v>
      </c>
      <c r="I7" s="14">
        <v>1235.0603189405313</v>
      </c>
      <c r="J7" s="14">
        <v>0</v>
      </c>
      <c r="K7" s="14">
        <v>2450.3549662555915</v>
      </c>
      <c r="L7" s="14">
        <v>4.0810413747037987E-4</v>
      </c>
      <c r="M7" s="14">
        <v>3.3484944479444668E-4</v>
      </c>
      <c r="N7" s="14">
        <v>2450.5050531659567</v>
      </c>
      <c r="O7" s="14">
        <v>868679.53629680001</v>
      </c>
      <c r="P7" s="8">
        <v>2450.5050531659567</v>
      </c>
      <c r="Q7" s="54">
        <v>3.7178183665375855E-2</v>
      </c>
    </row>
    <row r="8" spans="1:20">
      <c r="A8" s="2" t="s">
        <v>323</v>
      </c>
      <c r="B8" s="16" t="s">
        <v>324</v>
      </c>
      <c r="D8" s="14">
        <v>1</v>
      </c>
      <c r="E8" s="14">
        <v>7.5328060180764503E-2</v>
      </c>
      <c r="F8" s="14">
        <v>1.0904238839958592E-3</v>
      </c>
      <c r="G8" s="14">
        <v>1.5067591697234921E-6</v>
      </c>
      <c r="H8" s="14">
        <v>82.378779911833874</v>
      </c>
      <c r="I8" s="14">
        <v>1190.8924069325251</v>
      </c>
      <c r="J8" s="14">
        <v>0</v>
      </c>
      <c r="K8" s="14">
        <v>917.07455667194222</v>
      </c>
      <c r="L8" s="14">
        <v>1.0904238839958592E-3</v>
      </c>
      <c r="M8" s="14">
        <v>8.9469279681860263E-4</v>
      </c>
      <c r="N8" s="14">
        <v>2339.0645626115702</v>
      </c>
      <c r="O8" s="14">
        <v>748594.22261820699</v>
      </c>
      <c r="P8" s="8">
        <v>2339.0645626115702</v>
      </c>
      <c r="Q8" s="54">
        <v>5.5985108759764285E-2</v>
      </c>
    </row>
    <row r="9" spans="1:20">
      <c r="A9" s="2" t="s">
        <v>325</v>
      </c>
      <c r="B9" s="16" t="s">
        <v>326</v>
      </c>
      <c r="D9" s="14">
        <v>1</v>
      </c>
      <c r="E9" s="14">
        <v>0.23344732782512015</v>
      </c>
      <c r="F9" s="14">
        <v>0.10615884848634485</v>
      </c>
      <c r="G9" s="14">
        <v>2.006987588429302E-6</v>
      </c>
      <c r="H9" s="14">
        <v>302.49360594981107</v>
      </c>
      <c r="I9" s="14">
        <v>550.01352597072764</v>
      </c>
      <c r="J9" s="14">
        <v>0</v>
      </c>
      <c r="K9" s="14">
        <v>9.419845959695289</v>
      </c>
      <c r="L9" s="14">
        <v>0.10615884848634487</v>
      </c>
      <c r="M9" s="14">
        <v>8.7103335183045957E-2</v>
      </c>
      <c r="N9" s="14">
        <v>1024.3680654339621</v>
      </c>
      <c r="O9" s="14">
        <v>311766.42071482644</v>
      </c>
      <c r="P9" s="8">
        <v>1024.3680654339623</v>
      </c>
      <c r="Q9" s="54">
        <v>0.26851797901042762</v>
      </c>
    </row>
    <row r="10" spans="1:20">
      <c r="A10" s="2" t="s">
        <v>275</v>
      </c>
      <c r="B10" s="16" t="s">
        <v>276</v>
      </c>
      <c r="D10" s="14">
        <v>1</v>
      </c>
      <c r="E10" s="14">
        <v>0.15847194524872305</v>
      </c>
      <c r="F10" s="14">
        <v>1.0927481662495476E-2</v>
      </c>
      <c r="G10" s="14">
        <v>2.8998035290352572E-8</v>
      </c>
      <c r="H10" s="14">
        <v>318.52247846456925</v>
      </c>
      <c r="I10" s="14">
        <v>933.67828243960071</v>
      </c>
      <c r="J10" s="14">
        <v>0</v>
      </c>
      <c r="K10" s="14">
        <v>91.512393329574621</v>
      </c>
      <c r="L10" s="14">
        <v>1.0927481662495476E-2</v>
      </c>
      <c r="M10" s="14">
        <v>8.9659987040775387E-3</v>
      </c>
      <c r="N10" s="14">
        <v>1788.0213570938679</v>
      </c>
      <c r="O10" s="14">
        <v>662444.03258970706</v>
      </c>
      <c r="P10" s="8">
        <v>1788.0213570938679</v>
      </c>
      <c r="Q10" s="54">
        <v>0.13378186843586581</v>
      </c>
    </row>
    <row r="11" spans="1:20">
      <c r="A11" s="2" t="s">
        <v>327</v>
      </c>
      <c r="B11" s="16" t="s">
        <v>328</v>
      </c>
      <c r="D11" s="14">
        <v>1</v>
      </c>
      <c r="E11" s="14">
        <v>0.1461801057843769</v>
      </c>
      <c r="F11" s="14">
        <v>8.9813470191560333E-3</v>
      </c>
      <c r="G11" s="14">
        <v>1.4053676895653715E-6</v>
      </c>
      <c r="H11" s="14">
        <v>285.4706585314691</v>
      </c>
      <c r="I11" s="14">
        <v>967.42798831133427</v>
      </c>
      <c r="J11" s="14">
        <v>0</v>
      </c>
      <c r="K11" s="14">
        <v>111.34187309176801</v>
      </c>
      <c r="L11" s="14">
        <v>8.9813470191560333E-3</v>
      </c>
      <c r="M11" s="14">
        <v>7.3691952292175254E-3</v>
      </c>
      <c r="N11" s="14">
        <v>1856.9215517294626</v>
      </c>
      <c r="O11" s="14">
        <v>707319.98826926958</v>
      </c>
      <c r="P11" s="8">
        <v>1856.9215517294626</v>
      </c>
      <c r="Q11" s="54">
        <v>0.12526179984762859</v>
      </c>
    </row>
    <row r="12" spans="1:20">
      <c r="A12" s="2" t="s">
        <v>329</v>
      </c>
      <c r="B12" s="16" t="s">
        <v>330</v>
      </c>
      <c r="D12" s="14">
        <v>1</v>
      </c>
      <c r="E12" s="14">
        <v>0.22139319377004663</v>
      </c>
      <c r="F12" s="14">
        <v>7.343492079414958E-2</v>
      </c>
      <c r="G12" s="14">
        <v>1.1317516034501031E-6</v>
      </c>
      <c r="H12" s="14">
        <v>353.7713271201298</v>
      </c>
      <c r="I12" s="14">
        <v>618.84202924928911</v>
      </c>
      <c r="J12" s="14">
        <v>0</v>
      </c>
      <c r="K12" s="14">
        <v>13.6174995381716</v>
      </c>
      <c r="L12" s="14">
        <v>7.343492079414958E-2</v>
      </c>
      <c r="M12" s="14">
        <v>6.0253352511599731E-2</v>
      </c>
      <c r="N12" s="14">
        <v>1158.1398794482925</v>
      </c>
      <c r="O12" s="14">
        <v>317793.58292061143</v>
      </c>
      <c r="P12" s="8">
        <v>1158.1398794482925</v>
      </c>
      <c r="Q12" s="54">
        <v>0.24421919847309939</v>
      </c>
    </row>
    <row r="13" spans="1:20">
      <c r="A13" s="2" t="s">
        <v>277</v>
      </c>
      <c r="B13" s="16" t="s">
        <v>278</v>
      </c>
      <c r="D13" s="14">
        <v>1</v>
      </c>
      <c r="E13" s="14">
        <v>0.23184651542796983</v>
      </c>
      <c r="F13" s="14">
        <v>0.1025965763225675</v>
      </c>
      <c r="G13" s="14">
        <v>3.1465986802299165E-6</v>
      </c>
      <c r="H13" s="14">
        <v>307.33559937964839</v>
      </c>
      <c r="I13" s="14">
        <v>556.7625807626431</v>
      </c>
      <c r="J13" s="14">
        <v>0</v>
      </c>
      <c r="K13" s="14">
        <v>9.7469139404414662</v>
      </c>
      <c r="L13" s="14">
        <v>0.1025965763225675</v>
      </c>
      <c r="M13" s="14">
        <v>8.418049087266663E-2</v>
      </c>
      <c r="N13" s="14">
        <v>1037.4150768435334</v>
      </c>
      <c r="O13" s="14">
        <v>422155.31721993902</v>
      </c>
      <c r="P13" s="8">
        <v>1037.4150768435334</v>
      </c>
      <c r="Q13" s="54">
        <v>0.26636063357869166</v>
      </c>
    </row>
    <row r="14" spans="1:20">
      <c r="A14" s="2" t="s">
        <v>331</v>
      </c>
      <c r="B14" s="16" t="s">
        <v>332</v>
      </c>
      <c r="D14" s="14">
        <v>1</v>
      </c>
      <c r="E14" s="14">
        <v>0.11513708499269169</v>
      </c>
      <c r="F14" s="14">
        <v>4.7936501540823779E-3</v>
      </c>
      <c r="G14" s="14">
        <v>7.5331189175929504E-7</v>
      </c>
      <c r="H14" s="14">
        <v>199.27202566075289</v>
      </c>
      <c r="I14" s="14">
        <v>1058.7745812291075</v>
      </c>
      <c r="J14" s="14">
        <v>0</v>
      </c>
      <c r="K14" s="14">
        <v>208.60929935581095</v>
      </c>
      <c r="L14" s="14">
        <v>4.7936501540823779E-3</v>
      </c>
      <c r="M14" s="14">
        <v>3.9331899514245912E-3</v>
      </c>
      <c r="N14" s="14">
        <v>2046.8064351255146</v>
      </c>
      <c r="O14" s="14">
        <v>779649.03920365986</v>
      </c>
      <c r="P14" s="8">
        <v>2046.8064351255148</v>
      </c>
      <c r="Q14" s="54">
        <v>0.10013905906575069</v>
      </c>
    </row>
    <row r="15" spans="1:20">
      <c r="A15" s="2" t="s">
        <v>333</v>
      </c>
      <c r="B15" s="16" t="s">
        <v>334</v>
      </c>
      <c r="D15" s="14">
        <v>1</v>
      </c>
      <c r="E15" s="14">
        <v>0.15218924943823436</v>
      </c>
      <c r="F15" s="14">
        <v>9.9116758086714545E-3</v>
      </c>
      <c r="G15" s="14">
        <v>1.5859722216681729E-9</v>
      </c>
      <c r="H15" s="14">
        <v>301.69428866854321</v>
      </c>
      <c r="I15" s="14">
        <v>950.87681768736638</v>
      </c>
      <c r="J15" s="14">
        <v>0</v>
      </c>
      <c r="K15" s="14">
        <v>100.89111259320319</v>
      </c>
      <c r="L15" s="14">
        <v>9.9116758086714545E-3</v>
      </c>
      <c r="M15" s="14">
        <v>8.1325300010149284E-3</v>
      </c>
      <c r="N15" s="14">
        <v>1823.0535929994337</v>
      </c>
      <c r="O15" s="14">
        <v>700927.64543642232</v>
      </c>
      <c r="P15" s="8">
        <v>1823.0535929994337</v>
      </c>
      <c r="Q15" s="54">
        <v>0.12951624941757187</v>
      </c>
    </row>
    <row r="16" spans="1:20">
      <c r="A16" s="2" t="s">
        <v>335</v>
      </c>
      <c r="B16" s="16" t="s">
        <v>336</v>
      </c>
      <c r="D16" s="14">
        <v>1</v>
      </c>
      <c r="E16" s="14">
        <v>7.6047680657968741E-2</v>
      </c>
      <c r="F16" s="14">
        <v>1.1393535299172252E-3</v>
      </c>
      <c r="G16" s="14">
        <v>3.9535477628165327E-6</v>
      </c>
      <c r="H16" s="14">
        <v>84.59768955378243</v>
      </c>
      <c r="I16" s="14">
        <v>1187.9979000270739</v>
      </c>
      <c r="J16" s="14">
        <v>0</v>
      </c>
      <c r="K16" s="14">
        <v>877.69070243952331</v>
      </c>
      <c r="L16" s="14">
        <v>1.1393535299172254E-3</v>
      </c>
      <c r="M16" s="14">
        <v>9.3483957129708345E-4</v>
      </c>
      <c r="N16" s="14">
        <v>2332.3056207109566</v>
      </c>
      <c r="O16" s="14">
        <v>870696.33432381437</v>
      </c>
      <c r="P16" s="8">
        <v>2332.3056207109571</v>
      </c>
      <c r="Q16" s="54">
        <v>5.6992232955313388E-2</v>
      </c>
    </row>
    <row r="17" spans="1:21">
      <c r="A17" s="2" t="s">
        <v>337</v>
      </c>
      <c r="B17" s="16" t="s">
        <v>338</v>
      </c>
      <c r="D17" s="14">
        <v>1</v>
      </c>
      <c r="E17" s="14">
        <v>0.16370449423708464</v>
      </c>
      <c r="F17" s="14">
        <v>1.1806401551582866E-2</v>
      </c>
      <c r="G17" s="14">
        <v>5.9665878273488147E-7</v>
      </c>
      <c r="H17" s="14">
        <v>332.42796428028106</v>
      </c>
      <c r="I17" s="14">
        <v>919.50632475548844</v>
      </c>
      <c r="J17" s="14">
        <v>0</v>
      </c>
      <c r="K17" s="14">
        <v>84.699812693219087</v>
      </c>
      <c r="L17" s="14">
        <v>1.1806401551582867E-2</v>
      </c>
      <c r="M17" s="14">
        <v>9.6871524730737426E-3</v>
      </c>
      <c r="N17" s="14">
        <v>1759.2614284744502</v>
      </c>
      <c r="O17" s="14">
        <v>684915.65933367296</v>
      </c>
      <c r="P17" s="8">
        <v>1759.2614284744502</v>
      </c>
      <c r="Q17" s="54">
        <v>0.13720019254246926</v>
      </c>
    </row>
    <row r="18" spans="1:21">
      <c r="A18" s="2" t="s">
        <v>279</v>
      </c>
      <c r="B18" s="16" t="s">
        <v>280</v>
      </c>
      <c r="D18" s="14">
        <v>1</v>
      </c>
      <c r="E18" s="14">
        <v>0.24054795056674813</v>
      </c>
      <c r="F18" s="14">
        <v>0.12273178907153187</v>
      </c>
      <c r="G18" s="14">
        <v>5.8211066033335025E-5</v>
      </c>
      <c r="H18" s="14">
        <v>279.23963715512446</v>
      </c>
      <c r="I18" s="14">
        <v>516.21929787391855</v>
      </c>
      <c r="J18" s="14">
        <v>0</v>
      </c>
      <c r="K18" s="14">
        <v>8.1478483086168421</v>
      </c>
      <c r="L18" s="14">
        <v>0.12273178907153187</v>
      </c>
      <c r="M18" s="14">
        <v>0.10070143293319191</v>
      </c>
      <c r="N18" s="14">
        <v>959.43945306864919</v>
      </c>
      <c r="O18" s="14">
        <v>279033.77613595524</v>
      </c>
      <c r="P18" s="8">
        <v>959.43945306864919</v>
      </c>
      <c r="Q18" s="54">
        <v>0.27607954833640247</v>
      </c>
    </row>
    <row r="19" spans="1:21">
      <c r="A19" s="2" t="s">
        <v>339</v>
      </c>
      <c r="B19" s="16" t="s">
        <v>340</v>
      </c>
      <c r="D19" s="14">
        <v>1</v>
      </c>
      <c r="E19" s="14">
        <v>0.15096786641808077</v>
      </c>
      <c r="F19" s="14">
        <v>9.7191105023165976E-3</v>
      </c>
      <c r="G19" s="14">
        <v>5.5186773989478811E-9</v>
      </c>
      <c r="H19" s="14">
        <v>298.40529140903789</v>
      </c>
      <c r="I19" s="14">
        <v>954.25334432753982</v>
      </c>
      <c r="J19" s="14">
        <v>0</v>
      </c>
      <c r="K19" s="14">
        <v>102.89007412372203</v>
      </c>
      <c r="L19" s="14">
        <v>9.7191105023165976E-3</v>
      </c>
      <c r="M19" s="14">
        <v>7.9745301671507677E-3</v>
      </c>
      <c r="N19" s="14">
        <v>1829.9482725500698</v>
      </c>
      <c r="O19" s="14">
        <v>632521.62040693162</v>
      </c>
      <c r="P19" s="8">
        <v>1829.94827255007</v>
      </c>
      <c r="Q19" s="54">
        <v>0.12866596769527086</v>
      </c>
    </row>
    <row r="20" spans="1:21">
      <c r="A20" s="2" t="s">
        <v>281</v>
      </c>
      <c r="B20" s="16" t="s">
        <v>282</v>
      </c>
      <c r="D20" s="14">
        <v>1</v>
      </c>
      <c r="E20" s="14">
        <v>0.23190224866996398</v>
      </c>
      <c r="F20" s="14">
        <v>0.10262123936227462</v>
      </c>
      <c r="G20" s="14">
        <v>4.7637146939149307E-7</v>
      </c>
      <c r="H20" s="14">
        <v>307.40947933122766</v>
      </c>
      <c r="I20" s="14">
        <v>556.8964200985057</v>
      </c>
      <c r="J20" s="14">
        <v>0</v>
      </c>
      <c r="K20" s="14">
        <v>9.7445714572768818</v>
      </c>
      <c r="L20" s="14">
        <v>0.10262123936227462</v>
      </c>
      <c r="M20" s="14">
        <v>8.420072689674632E-2</v>
      </c>
      <c r="N20" s="14">
        <v>1037.6644595242233</v>
      </c>
      <c r="O20" s="14">
        <v>302230.15048102528</v>
      </c>
      <c r="P20" s="8">
        <v>1037.6644595242235</v>
      </c>
      <c r="Q20" s="54">
        <v>0.26642466361865819</v>
      </c>
    </row>
    <row r="21" spans="1:21">
      <c r="A21" s="2" t="s">
        <v>341</v>
      </c>
      <c r="B21" s="16" t="s">
        <v>342</v>
      </c>
      <c r="D21" s="14">
        <v>1</v>
      </c>
      <c r="E21" s="14">
        <v>0.12306260499926736</v>
      </c>
      <c r="F21" s="14">
        <v>5.7659785363992529E-3</v>
      </c>
      <c r="G21" s="14">
        <v>6.7087484676822965E-6</v>
      </c>
      <c r="H21" s="14">
        <v>221.72416161384407</v>
      </c>
      <c r="I21" s="14">
        <v>1033.8801381506798</v>
      </c>
      <c r="J21" s="14">
        <v>0</v>
      </c>
      <c r="K21" s="14">
        <v>173.43109997500639</v>
      </c>
      <c r="L21" s="14">
        <v>5.7659785363992537E-3</v>
      </c>
      <c r="M21" s="14">
        <v>4.730985389115587E-3</v>
      </c>
      <c r="N21" s="14">
        <v>1994.5454341566069</v>
      </c>
      <c r="O21" s="14">
        <v>668731.19316402706</v>
      </c>
      <c r="P21" s="8">
        <v>1994.5454341566069</v>
      </c>
      <c r="Q21" s="54">
        <v>0.1071199082896386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0.63045446520356607</v>
      </c>
      <c r="F22" s="14">
        <v>0.61418907244895693</v>
      </c>
      <c r="G22" s="14">
        <v>2.3749286845712238E-5</v>
      </c>
      <c r="H22" s="14">
        <v>37.206779909055804</v>
      </c>
      <c r="I22" s="14">
        <v>89.841967879220263</v>
      </c>
      <c r="J22" s="14">
        <v>0</v>
      </c>
      <c r="K22" s="14">
        <v>1.6281631257500213</v>
      </c>
      <c r="L22" s="14">
        <v>0.61418907244895693</v>
      </c>
      <c r="M22" s="14">
        <v>0.50394213394436915</v>
      </c>
      <c r="N22" s="14">
        <v>161.50989103661973</v>
      </c>
      <c r="O22" s="14">
        <v>26519.924108212959</v>
      </c>
      <c r="P22" s="8">
        <v>161.50989103661973</v>
      </c>
      <c r="Q22" s="54">
        <v>0.20877536712510719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0.7475538846091877</v>
      </c>
      <c r="F23" s="14">
        <v>0.74022564344953534</v>
      </c>
      <c r="G23" s="14">
        <v>9.6465631979470441E-7</v>
      </c>
      <c r="H23" s="14">
        <v>16.910020191646904</v>
      </c>
      <c r="I23" s="14">
        <v>43.873400533306111</v>
      </c>
      <c r="J23" s="14">
        <v>0</v>
      </c>
      <c r="K23" s="14">
        <v>1.3509394180670189</v>
      </c>
      <c r="L23" s="14">
        <v>0.74022564344953545</v>
      </c>
      <c r="M23" s="14">
        <v>0.60735514045034378</v>
      </c>
      <c r="N23" s="14">
        <v>78.174904471374902</v>
      </c>
      <c r="O23" s="14">
        <v>11816.918559893029</v>
      </c>
      <c r="P23" s="8">
        <v>78.174904471374902</v>
      </c>
      <c r="Q23" s="54">
        <v>0.1513565768429303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0.32399810511487159</v>
      </c>
      <c r="F24" s="14">
        <v>0.2505353385368303</v>
      </c>
      <c r="G24" s="14">
        <v>1.153552807118107E-6</v>
      </c>
      <c r="H24" s="14">
        <v>171.63624028070774</v>
      </c>
      <c r="I24" s="14">
        <v>346.63001300137483</v>
      </c>
      <c r="J24" s="14">
        <v>0</v>
      </c>
      <c r="K24" s="14">
        <v>3.9914528858091356</v>
      </c>
      <c r="L24" s="14">
        <v>0.2505353385368303</v>
      </c>
      <c r="M24" s="14">
        <v>0.20556424526946929</v>
      </c>
      <c r="N24" s="14">
        <v>637.16832566418884</v>
      </c>
      <c r="O24" s="14">
        <v>112300.91739831329</v>
      </c>
      <c r="P24" s="8">
        <v>637.16832566418896</v>
      </c>
      <c r="Q24" s="54">
        <v>0.30148531530199607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0.21202879659930954</v>
      </c>
      <c r="F25" s="14">
        <v>4.3028113379086484E-2</v>
      </c>
      <c r="G25" s="14">
        <v>3.0424313815096533E-4</v>
      </c>
      <c r="H25" s="14">
        <v>407.18550007099327</v>
      </c>
      <c r="I25" s="14">
        <v>677.71870934117055</v>
      </c>
      <c r="J25" s="14">
        <v>0</v>
      </c>
      <c r="K25" s="14">
        <v>23.240619247927405</v>
      </c>
      <c r="L25" s="14">
        <v>4.3028113379086484E-2</v>
      </c>
      <c r="M25" s="14">
        <v>3.5304567027540465E-2</v>
      </c>
      <c r="N25" s="14">
        <v>1276.2301770221156</v>
      </c>
      <c r="O25" s="14">
        <v>245419.06304135284</v>
      </c>
      <c r="P25" s="8">
        <v>1276.2301770221156</v>
      </c>
      <c r="Q25" s="54">
        <v>0.20344614971031877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0.12884901496844825</v>
      </c>
      <c r="F26" s="14">
        <v>6.5161207676429304E-3</v>
      </c>
      <c r="G26" s="14">
        <v>5.6156187116632504E-6</v>
      </c>
      <c r="H26" s="14">
        <v>237.88613199192832</v>
      </c>
      <c r="I26" s="14">
        <v>1016.7783622443507</v>
      </c>
      <c r="J26" s="14">
        <v>0</v>
      </c>
      <c r="K26" s="14">
        <v>153.46554117991417</v>
      </c>
      <c r="L26" s="14">
        <v>6.5161207676429304E-3</v>
      </c>
      <c r="M26" s="14">
        <v>5.3464770898510247E-3</v>
      </c>
      <c r="N26" s="14">
        <v>1958.8462708219802</v>
      </c>
      <c r="O26" s="14">
        <v>435588.64524268371</v>
      </c>
      <c r="P26" s="8">
        <v>1958.8462708219802</v>
      </c>
      <c r="Q26" s="54">
        <v>0.11195056649638373</v>
      </c>
    </row>
    <row r="27" spans="1:21">
      <c r="A27" s="2" t="s">
        <v>353</v>
      </c>
      <c r="B27" s="16" t="s">
        <v>354</v>
      </c>
      <c r="D27" s="14">
        <v>1</v>
      </c>
      <c r="E27" s="14">
        <v>6.5497922717582008E-2</v>
      </c>
      <c r="F27" s="14">
        <v>5.2187959157711363E-4</v>
      </c>
      <c r="G27" s="14">
        <v>1.9952568088500823E-5</v>
      </c>
      <c r="H27" s="14">
        <v>52.465076908918427</v>
      </c>
      <c r="I27" s="14">
        <v>1224.129839892395</v>
      </c>
      <c r="J27" s="14">
        <v>0</v>
      </c>
      <c r="K27" s="14">
        <v>1916.1508059320972</v>
      </c>
      <c r="L27" s="14">
        <v>5.2187959157711363E-4</v>
      </c>
      <c r="M27" s="14">
        <v>4.2820220488902174E-4</v>
      </c>
      <c r="N27" s="14">
        <v>2422.6767887513638</v>
      </c>
      <c r="O27" s="14">
        <v>572696.56609293481</v>
      </c>
      <c r="P27" s="8">
        <v>2422.6767887513638</v>
      </c>
      <c r="Q27" s="54">
        <v>4.1193385354155905E-2</v>
      </c>
    </row>
    <row r="28" spans="1:21">
      <c r="A28" s="2" t="s">
        <v>355</v>
      </c>
      <c r="B28" s="16" t="s">
        <v>356</v>
      </c>
      <c r="D28" s="14">
        <v>1</v>
      </c>
      <c r="E28" s="14">
        <v>9.5517221212267481E-2</v>
      </c>
      <c r="F28" s="14">
        <v>2.7163179751832551E-3</v>
      </c>
      <c r="G28" s="14">
        <v>1.5918754873371946E-6</v>
      </c>
      <c r="H28" s="14">
        <v>142.6529008845217</v>
      </c>
      <c r="I28" s="14">
        <v>1121.3411978756201</v>
      </c>
      <c r="J28" s="14">
        <v>0</v>
      </c>
      <c r="K28" s="14">
        <v>368.14541196434686</v>
      </c>
      <c r="L28" s="14">
        <v>2.7163179751832551E-3</v>
      </c>
      <c r="M28" s="14">
        <v>2.2287388986378608E-3</v>
      </c>
      <c r="N28" s="14">
        <v>2181.2710409707352</v>
      </c>
      <c r="O28" s="14">
        <v>563640.436986838</v>
      </c>
      <c r="P28" s="8">
        <v>2181.2710409707356</v>
      </c>
      <c r="Q28" s="54">
        <v>8.0674777880506032E-2</v>
      </c>
    </row>
    <row r="29" spans="1:21">
      <c r="A29" s="2" t="s">
        <v>357</v>
      </c>
      <c r="B29" s="16" t="s">
        <v>358</v>
      </c>
      <c r="D29" s="14">
        <v>1</v>
      </c>
      <c r="E29" s="14">
        <v>0.11361554997891943</v>
      </c>
      <c r="F29" s="14">
        <v>4.9226356295950357E-3</v>
      </c>
      <c r="G29" s="14">
        <v>3.8754860542815903E-4</v>
      </c>
      <c r="H29" s="14">
        <v>199.3873910609378</v>
      </c>
      <c r="I29" s="14">
        <v>1014.2729925978391</v>
      </c>
      <c r="J29" s="14">
        <v>0</v>
      </c>
      <c r="K29" s="14">
        <v>203.14320929787476</v>
      </c>
      <c r="L29" s="14">
        <v>4.9226356295950366E-3</v>
      </c>
      <c r="M29" s="14">
        <v>4.0390225340827274E-3</v>
      </c>
      <c r="N29" s="14">
        <v>1959.4233842855865</v>
      </c>
      <c r="O29" s="14">
        <v>463188.09381126979</v>
      </c>
      <c r="P29" s="8">
        <v>1959.4233842855865</v>
      </c>
      <c r="Q29" s="54">
        <v>9.8890565759949867E-2</v>
      </c>
    </row>
    <row r="30" spans="1:21">
      <c r="A30" s="2" t="s">
        <v>359</v>
      </c>
      <c r="B30" s="16" t="s">
        <v>360</v>
      </c>
      <c r="D30" s="14">
        <v>1</v>
      </c>
      <c r="E30" s="14">
        <v>9.5517221212267481E-2</v>
      </c>
      <c r="F30" s="14">
        <v>2.7163179751832551E-3</v>
      </c>
      <c r="G30" s="14">
        <v>1.5918754873371946E-6</v>
      </c>
      <c r="H30" s="14">
        <v>142.6529008845217</v>
      </c>
      <c r="I30" s="14">
        <v>1121.3411978756201</v>
      </c>
      <c r="J30" s="14">
        <v>0</v>
      </c>
      <c r="K30" s="14">
        <v>368.14541196434686</v>
      </c>
      <c r="L30" s="14">
        <v>2.7163179751832551E-3</v>
      </c>
      <c r="M30" s="14">
        <v>2.2287388986378608E-3</v>
      </c>
      <c r="N30" s="14">
        <v>2181.2710409707352</v>
      </c>
      <c r="O30" s="14">
        <v>563640.436986838</v>
      </c>
      <c r="P30" s="8">
        <v>2181.2710409707356</v>
      </c>
      <c r="Q30" s="54">
        <v>8.0674777880506032E-2</v>
      </c>
    </row>
    <row r="31" spans="1:21">
      <c r="A31" s="2" t="s">
        <v>283</v>
      </c>
      <c r="B31" s="16" t="s">
        <v>284</v>
      </c>
      <c r="D31" s="14">
        <v>1</v>
      </c>
      <c r="E31" s="14">
        <v>0.97630647031623385</v>
      </c>
      <c r="F31" s="14">
        <v>0.97660330477852364</v>
      </c>
      <c r="G31" s="14">
        <v>2.9042010444174105E-10</v>
      </c>
      <c r="H31" s="14">
        <v>0.17013677234930652</v>
      </c>
      <c r="I31" s="14">
        <v>0.6322012647809403</v>
      </c>
      <c r="J31" s="14">
        <v>0</v>
      </c>
      <c r="K31" s="14">
        <v>1.0239572148762923</v>
      </c>
      <c r="L31" s="14">
        <v>0.97660330477852375</v>
      </c>
      <c r="M31" s="14">
        <v>0.80130301157077877</v>
      </c>
      <c r="N31" s="14">
        <v>1.0943191725361328</v>
      </c>
      <c r="O31" s="14">
        <v>212.50584011479162</v>
      </c>
      <c r="P31" s="8">
        <v>1.094319172536133</v>
      </c>
      <c r="Q31" s="54">
        <v>1.5727343067682809E-2</v>
      </c>
    </row>
    <row r="32" spans="1:21">
      <c r="A32" s="2" t="s">
        <v>361</v>
      </c>
      <c r="B32" s="16" t="s">
        <v>362</v>
      </c>
      <c r="D32" s="14">
        <v>1</v>
      </c>
      <c r="E32" s="14">
        <v>0.53210213979647836</v>
      </c>
      <c r="F32" s="14">
        <v>0.50415667386954355</v>
      </c>
      <c r="G32" s="14">
        <v>2.7412449131140198E-10</v>
      </c>
      <c r="H32" s="14">
        <v>64.164888088535491</v>
      </c>
      <c r="I32" s="14">
        <v>146.47979314752175</v>
      </c>
      <c r="J32" s="14">
        <v>0</v>
      </c>
      <c r="K32" s="14">
        <v>1.9835103883971628</v>
      </c>
      <c r="L32" s="14">
        <v>0.50415667386954355</v>
      </c>
      <c r="M32" s="14">
        <v>0.41366055090996046</v>
      </c>
      <c r="N32" s="14">
        <v>266.21902306466785</v>
      </c>
      <c r="O32" s="14">
        <v>68176.029616630782</v>
      </c>
      <c r="P32" s="8">
        <v>266.21902306466785</v>
      </c>
      <c r="Q32" s="54">
        <v>0.2511757559477138</v>
      </c>
    </row>
    <row r="33" spans="1:17">
      <c r="A33" s="2" t="s">
        <v>364</v>
      </c>
      <c r="B33" s="16" t="s">
        <v>365</v>
      </c>
      <c r="D33" s="14">
        <v>1</v>
      </c>
      <c r="E33" s="14">
        <v>0.99973499826593037</v>
      </c>
      <c r="F33" s="14">
        <v>0.99970433571956308</v>
      </c>
      <c r="G33" s="14">
        <v>1.3413926126146329E-12</v>
      </c>
      <c r="H33" s="14">
        <v>1.1944599035858654</v>
      </c>
      <c r="I33" s="14">
        <v>3.3818980685036636E-3</v>
      </c>
      <c r="J33" s="14">
        <v>0</v>
      </c>
      <c r="K33" s="14">
        <v>1.0002957517236575</v>
      </c>
      <c r="L33" s="14">
        <v>0.99970433571956308</v>
      </c>
      <c r="M33" s="14">
        <v>0.82025740745790154</v>
      </c>
      <c r="N33" s="14">
        <v>0.57774485193649217</v>
      </c>
      <c r="O33" s="14">
        <v>171.09913790099213</v>
      </c>
      <c r="P33" s="8">
        <v>0.57774485193649217</v>
      </c>
      <c r="Q33" s="54">
        <v>3.856208554164831E-5</v>
      </c>
    </row>
    <row r="34" spans="1:17">
      <c r="A34" s="2" t="s">
        <v>285</v>
      </c>
      <c r="B34" s="16" t="s">
        <v>286</v>
      </c>
      <c r="D34" s="14">
        <v>1</v>
      </c>
      <c r="E34" s="14">
        <v>0.97454802516436312</v>
      </c>
      <c r="F34" s="14">
        <v>0.90080697418340061</v>
      </c>
      <c r="G34" s="14">
        <v>6.5344117077509097E-12</v>
      </c>
      <c r="H34" s="14">
        <v>210.5676934402569</v>
      </c>
      <c r="I34" s="14">
        <v>0.16011346732006507</v>
      </c>
      <c r="J34" s="14">
        <v>0</v>
      </c>
      <c r="K34" s="14">
        <v>1.1101157391754428</v>
      </c>
      <c r="L34" s="14">
        <v>0.90080697418340072</v>
      </c>
      <c r="M34" s="14">
        <v>0.73911212231748025</v>
      </c>
      <c r="N34" s="14">
        <v>69.852760306605106</v>
      </c>
      <c r="O34" s="14">
        <v>15440.254138171991</v>
      </c>
      <c r="P34" s="8">
        <v>69.852760306605106</v>
      </c>
      <c r="Q34" s="54">
        <v>2.1529198522564466E-4</v>
      </c>
    </row>
    <row r="35" spans="1:17">
      <c r="A35" s="2" t="s">
        <v>287</v>
      </c>
      <c r="B35" s="16" t="s">
        <v>288</v>
      </c>
      <c r="D35" s="14">
        <v>1</v>
      </c>
      <c r="E35" s="14">
        <v>0.94657577421239147</v>
      </c>
      <c r="F35" s="14">
        <v>0.78416958154219063</v>
      </c>
      <c r="G35" s="14">
        <v>2.7988158603773539E-13</v>
      </c>
      <c r="H35" s="14">
        <v>462.37036599021729</v>
      </c>
      <c r="I35" s="14">
        <v>0.82904657556108519</v>
      </c>
      <c r="J35" s="14">
        <v>0</v>
      </c>
      <c r="K35" s="14">
        <v>1.2752343670782862</v>
      </c>
      <c r="L35" s="14">
        <v>0.78416958154219063</v>
      </c>
      <c r="M35" s="14">
        <v>0.64341114165536739</v>
      </c>
      <c r="N35" s="14">
        <v>145.32801142359938</v>
      </c>
      <c r="O35" s="14">
        <v>33463.227910397996</v>
      </c>
      <c r="P35" s="8">
        <v>145.32801142359941</v>
      </c>
      <c r="Q35" s="54">
        <v>7.6626489524041685E-4</v>
      </c>
    </row>
    <row r="36" spans="1:17">
      <c r="A36" s="2" t="s">
        <v>366</v>
      </c>
      <c r="B36" s="16" t="s">
        <v>305</v>
      </c>
      <c r="D36" s="14">
        <v>1</v>
      </c>
      <c r="E36" s="14">
        <v>0.88022256126630138</v>
      </c>
      <c r="F36" s="14">
        <v>0.483473479443564</v>
      </c>
      <c r="G36" s="14">
        <v>9.119985138481281E-10</v>
      </c>
      <c r="H36" s="14">
        <v>1127.8534080350373</v>
      </c>
      <c r="I36" s="14">
        <v>2.9898958135836504</v>
      </c>
      <c r="J36" s="14">
        <v>0</v>
      </c>
      <c r="K36" s="14">
        <v>2.0683657791341794</v>
      </c>
      <c r="L36" s="14">
        <v>0.483473479443564</v>
      </c>
      <c r="M36" s="14">
        <v>0.39668998988344428</v>
      </c>
      <c r="N36" s="14">
        <v>326.38217261615915</v>
      </c>
      <c r="O36" s="14">
        <v>67326.11456726132</v>
      </c>
      <c r="P36" s="8">
        <v>326.38217261615915</v>
      </c>
      <c r="Q36" s="54">
        <v>1.5829093889132182E-3</v>
      </c>
    </row>
    <row r="37" spans="1:17">
      <c r="A37" s="2" t="s">
        <v>289</v>
      </c>
      <c r="B37" s="16" t="s">
        <v>290</v>
      </c>
      <c r="D37" s="14">
        <v>1</v>
      </c>
      <c r="E37" s="14">
        <v>0.68306517593958649</v>
      </c>
      <c r="F37" s="14">
        <v>0.50799469205048364</v>
      </c>
      <c r="G37" s="14">
        <v>1.1325606171679252E-16</v>
      </c>
      <c r="H37" s="14">
        <v>481.70280409074923</v>
      </c>
      <c r="I37" s="14">
        <v>152.26857759375184</v>
      </c>
      <c r="J37" s="14">
        <v>0</v>
      </c>
      <c r="K37" s="14">
        <v>1.9685245055683016</v>
      </c>
      <c r="L37" s="14">
        <v>0.50799469205048364</v>
      </c>
      <c r="M37" s="14">
        <v>0.41680964482742183</v>
      </c>
      <c r="N37" s="14">
        <v>402.84466000612349</v>
      </c>
      <c r="O37" s="14">
        <v>140359.13643933355</v>
      </c>
      <c r="P37" s="8">
        <v>402.84466000612355</v>
      </c>
      <c r="Q37" s="54">
        <v>0.11609413788838506</v>
      </c>
    </row>
    <row r="38" spans="1:17">
      <c r="A38" s="2" t="s">
        <v>291</v>
      </c>
      <c r="B38" s="16" t="s">
        <v>292</v>
      </c>
      <c r="D38" s="14">
        <v>1</v>
      </c>
      <c r="E38" s="14">
        <v>0.97667129666740526</v>
      </c>
      <c r="F38" s="14">
        <v>0.91954150271775981</v>
      </c>
      <c r="G38" s="14">
        <v>2.0050658046189253E-14</v>
      </c>
      <c r="H38" s="14">
        <v>163.25682101136664</v>
      </c>
      <c r="I38" s="14">
        <v>1.2628448533074417</v>
      </c>
      <c r="J38" s="14">
        <v>0</v>
      </c>
      <c r="K38" s="14">
        <v>1.0874984946785331</v>
      </c>
      <c r="L38" s="14">
        <v>0.91954150271775981</v>
      </c>
      <c r="M38" s="14">
        <v>0.7544838029799219</v>
      </c>
      <c r="N38" s="14">
        <v>57.021965506006254</v>
      </c>
      <c r="O38" s="14">
        <v>17581.582624466908</v>
      </c>
      <c r="P38" s="8">
        <v>57.021965506006261</v>
      </c>
      <c r="Q38" s="54">
        <v>1.898235095667216E-3</v>
      </c>
    </row>
    <row r="39" spans="1:17">
      <c r="A39" s="2" t="s">
        <v>367</v>
      </c>
      <c r="B39" s="16" t="s">
        <v>368</v>
      </c>
      <c r="D39" s="14">
        <v>1</v>
      </c>
      <c r="E39" s="14">
        <v>0.22155709716012387</v>
      </c>
      <c r="F39" s="14">
        <v>2.3452874102601599E-2</v>
      </c>
      <c r="G39" s="14">
        <v>3.6440519518533489E-7</v>
      </c>
      <c r="H39" s="14">
        <v>479.35368709517076</v>
      </c>
      <c r="I39" s="14">
        <v>775.19906995783003</v>
      </c>
      <c r="J39" s="14">
        <v>0</v>
      </c>
      <c r="K39" s="14">
        <v>42.638697313821815</v>
      </c>
      <c r="L39" s="14">
        <v>2.3452874102601599E-2</v>
      </c>
      <c r="M39" s="14">
        <v>1.9243083201184612E-2</v>
      </c>
      <c r="N39" s="14">
        <v>1470.5877117553455</v>
      </c>
      <c r="O39" s="14">
        <v>409323.38368998282</v>
      </c>
      <c r="P39" s="8">
        <v>1470.5877117553455</v>
      </c>
      <c r="Q39" s="54">
        <v>0.16827253718584692</v>
      </c>
    </row>
    <row r="40" spans="1:17">
      <c r="A40" s="2" t="s">
        <v>369</v>
      </c>
      <c r="B40" s="16" t="s">
        <v>370</v>
      </c>
      <c r="D40" s="14">
        <v>1</v>
      </c>
      <c r="E40" s="14">
        <v>4.9389309512306911E-2</v>
      </c>
      <c r="F40" s="14">
        <v>5.0162670296784119E-4</v>
      </c>
      <c r="G40" s="14">
        <v>5.0922973914813191E-15</v>
      </c>
      <c r="H40" s="14">
        <v>129.57482982153098</v>
      </c>
      <c r="I40" s="14">
        <v>86.796585239091911</v>
      </c>
      <c r="J40" s="14">
        <v>0</v>
      </c>
      <c r="K40" s="14">
        <v>1993.5142887800155</v>
      </c>
      <c r="L40" s="14">
        <v>5.0162670296784119E-4</v>
      </c>
      <c r="M40" s="14">
        <v>4.1158470978511371E-4</v>
      </c>
      <c r="N40" s="14">
        <v>2638.0670548153985</v>
      </c>
      <c r="O40" s="14">
        <v>1073429.4846043854</v>
      </c>
      <c r="P40" s="8">
        <v>2638.0670548153985</v>
      </c>
      <c r="Q40" s="54">
        <v>9.6806081114187684E-4</v>
      </c>
    </row>
    <row r="41" spans="1:17">
      <c r="A41" s="2" t="s">
        <v>371</v>
      </c>
      <c r="B41" s="16" t="s">
        <v>372</v>
      </c>
      <c r="D41" s="14">
        <v>1</v>
      </c>
      <c r="E41" s="14">
        <v>0.91386153509727541</v>
      </c>
      <c r="F41" s="14">
        <v>0.91421374868795002</v>
      </c>
      <c r="G41" s="14">
        <v>9.0605849373446852E-4</v>
      </c>
      <c r="H41" s="14">
        <v>7.9236949637316208E-3</v>
      </c>
      <c r="I41" s="14">
        <v>3.6726954677582226E-2</v>
      </c>
      <c r="J41" s="14">
        <v>0</v>
      </c>
      <c r="K41" s="14">
        <v>1.0938360984344935</v>
      </c>
      <c r="L41" s="14">
        <v>0.91421374868795013</v>
      </c>
      <c r="M41" s="14">
        <v>0.7501123807984631</v>
      </c>
      <c r="N41" s="14">
        <v>7.7198902522502305E-2</v>
      </c>
      <c r="O41" s="14">
        <v>10.822514144629599</v>
      </c>
      <c r="P41" s="8">
        <v>7.7198902522502319E-2</v>
      </c>
      <c r="Q41" s="54">
        <v>3.081661403509032E-3</v>
      </c>
    </row>
    <row r="42" spans="1:17">
      <c r="A42" s="2" t="s">
        <v>293</v>
      </c>
      <c r="B42" s="16" t="s">
        <v>294</v>
      </c>
      <c r="D42" s="14">
        <v>1</v>
      </c>
      <c r="E42" s="14">
        <v>0.60200115754112371</v>
      </c>
      <c r="F42" s="14">
        <v>0.58268477956813014</v>
      </c>
      <c r="G42" s="14">
        <v>2.154379270488985E-10</v>
      </c>
      <c r="H42" s="14">
        <v>44.207267746994688</v>
      </c>
      <c r="I42" s="14">
        <v>104.99070324625866</v>
      </c>
      <c r="J42" s="14">
        <v>0</v>
      </c>
      <c r="K42" s="14">
        <v>1.716193789618415</v>
      </c>
      <c r="L42" s="14">
        <v>0.58268477956813014</v>
      </c>
      <c r="M42" s="14">
        <v>0.47809286163565079</v>
      </c>
      <c r="N42" s="14">
        <v>189.13182048826044</v>
      </c>
      <c r="O42" s="14">
        <v>62481.588216501725</v>
      </c>
      <c r="P42" s="8">
        <v>189.13182048826044</v>
      </c>
      <c r="Q42" s="54">
        <v>0.22271570598900603</v>
      </c>
    </row>
    <row r="43" spans="1:17">
      <c r="A43" s="2" t="s">
        <v>373</v>
      </c>
      <c r="B43" s="16" t="s">
        <v>374</v>
      </c>
      <c r="D43" s="14">
        <v>1</v>
      </c>
      <c r="E43" s="14">
        <v>0.65638922127753796</v>
      </c>
      <c r="F43" s="14">
        <v>5.383668294737215E-2</v>
      </c>
      <c r="G43" s="14">
        <v>2.9151513889089963E-9</v>
      </c>
      <c r="H43" s="14">
        <v>1711.1902369830079</v>
      </c>
      <c r="I43" s="14">
        <v>13.377711645907462</v>
      </c>
      <c r="J43" s="14">
        <v>0</v>
      </c>
      <c r="K43" s="14">
        <v>18.574695639728514</v>
      </c>
      <c r="L43" s="14">
        <v>5.3836682947372157E-2</v>
      </c>
      <c r="M43" s="14">
        <v>4.4172998358318852E-2</v>
      </c>
      <c r="N43" s="14">
        <v>947.87212307255675</v>
      </c>
      <c r="O43" s="14">
        <v>252456.26125914473</v>
      </c>
      <c r="P43" s="8">
        <v>947.87212307255675</v>
      </c>
      <c r="Q43" s="54">
        <v>1.7321353721985527E-3</v>
      </c>
    </row>
    <row r="44" spans="1:17">
      <c r="A44" s="2" t="s">
        <v>375</v>
      </c>
      <c r="B44" s="16" t="s">
        <v>376</v>
      </c>
      <c r="D44" s="14">
        <v>1</v>
      </c>
      <c r="E44" s="14">
        <v>0.77535050505343273</v>
      </c>
      <c r="F44" s="14">
        <v>0.77308502569358428</v>
      </c>
      <c r="G44" s="14">
        <v>9.5603930819577099E-4</v>
      </c>
      <c r="H44" s="14">
        <v>5.5904563550382385</v>
      </c>
      <c r="I44" s="14">
        <v>15.787175323899621</v>
      </c>
      <c r="J44" s="14">
        <v>0</v>
      </c>
      <c r="K44" s="14">
        <v>1.293518780942414</v>
      </c>
      <c r="L44" s="14">
        <v>0.77308502569358428</v>
      </c>
      <c r="M44" s="14">
        <v>0.63431626358158599</v>
      </c>
      <c r="N44" s="14">
        <v>27.8429482072791</v>
      </c>
      <c r="O44" s="14">
        <v>4159.7364621674978</v>
      </c>
      <c r="P44" s="8">
        <v>27.842948207279104</v>
      </c>
      <c r="Q44" s="54">
        <v>8.6796943499678911E-2</v>
      </c>
    </row>
    <row r="45" spans="1:17">
      <c r="A45" s="2" t="s">
        <v>377</v>
      </c>
      <c r="B45" s="16" t="s">
        <v>378</v>
      </c>
      <c r="D45" s="14">
        <v>1</v>
      </c>
      <c r="E45" s="14">
        <v>0.57448311738862501</v>
      </c>
      <c r="F45" s="14">
        <v>0.5521453846611919</v>
      </c>
      <c r="G45" s="14">
        <v>8.3257225461235177E-6</v>
      </c>
      <c r="H45" s="14">
        <v>51.16741140706597</v>
      </c>
      <c r="I45" s="14">
        <v>119.74313301914258</v>
      </c>
      <c r="J45" s="14">
        <v>0</v>
      </c>
      <c r="K45" s="14">
        <v>1.8111171944570743</v>
      </c>
      <c r="L45" s="14">
        <v>0.5521453846611919</v>
      </c>
      <c r="M45" s="14">
        <v>0.45303528811450794</v>
      </c>
      <c r="N45" s="14">
        <v>216.10252689945577</v>
      </c>
      <c r="O45" s="14">
        <v>48026.625578135048</v>
      </c>
      <c r="P45" s="8">
        <v>216.10252689945577</v>
      </c>
      <c r="Q45" s="54">
        <v>0.23423436792256475</v>
      </c>
    </row>
    <row r="46" spans="1:17">
      <c r="A46" s="2" t="s">
        <v>379</v>
      </c>
      <c r="B46" s="16" t="s">
        <v>380</v>
      </c>
      <c r="D46" s="14">
        <v>1</v>
      </c>
      <c r="E46" s="14">
        <v>0.59057764991548012</v>
      </c>
      <c r="F46" s="14">
        <v>0.57020815753819198</v>
      </c>
      <c r="G46" s="14">
        <v>2.4780034907465021E-5</v>
      </c>
      <c r="H46" s="14">
        <v>46.630860111744852</v>
      </c>
      <c r="I46" s="14">
        <v>110.13632904490728</v>
      </c>
      <c r="J46" s="14">
        <v>0</v>
      </c>
      <c r="K46" s="14">
        <v>1.7537455169308425</v>
      </c>
      <c r="L46" s="14">
        <v>0.5702081575381921</v>
      </c>
      <c r="M46" s="14">
        <v>0.46785579326008658</v>
      </c>
      <c r="N46" s="14">
        <v>198.53750782697912</v>
      </c>
      <c r="O46" s="14">
        <v>25523.982006236438</v>
      </c>
      <c r="P46" s="8">
        <v>198.53750782697915</v>
      </c>
      <c r="Q46" s="54">
        <v>0.22663688734802306</v>
      </c>
    </row>
    <row r="47" spans="1:17">
      <c r="A47" s="2" t="s">
        <v>381</v>
      </c>
      <c r="B47" s="16" t="s">
        <v>382</v>
      </c>
      <c r="D47" s="14">
        <v>1</v>
      </c>
      <c r="E47" s="14">
        <v>6.4481799645736415E-2</v>
      </c>
      <c r="F47" s="14">
        <v>4.6721300075380578E-4</v>
      </c>
      <c r="G47" s="14">
        <v>3.3284604948017998E-10</v>
      </c>
      <c r="H47" s="14">
        <v>49.047279004138929</v>
      </c>
      <c r="I47" s="14">
        <v>1230.4730036442786</v>
      </c>
      <c r="J47" s="14">
        <v>0</v>
      </c>
      <c r="K47" s="14">
        <v>2140.3513994400641</v>
      </c>
      <c r="L47" s="14">
        <v>4.6721300075380578E-4</v>
      </c>
      <c r="M47" s="14">
        <v>3.8334826711849767E-4</v>
      </c>
      <c r="N47" s="14">
        <v>2438.0343988597801</v>
      </c>
      <c r="O47" s="14">
        <v>953978.47992984345</v>
      </c>
      <c r="P47" s="8">
        <v>2438.0343988597801</v>
      </c>
      <c r="Q47" s="54">
        <v>3.9361540739649752E-2</v>
      </c>
    </row>
    <row r="48" spans="1:17">
      <c r="A48" s="2" t="s">
        <v>383</v>
      </c>
      <c r="B48" s="16" t="s">
        <v>384</v>
      </c>
      <c r="D48" s="14">
        <v>1</v>
      </c>
      <c r="E48" s="14">
        <v>0.90807327369167579</v>
      </c>
      <c r="F48" s="14">
        <v>0.90758679908376882</v>
      </c>
      <c r="G48" s="14">
        <v>1.3092321398525564E-4</v>
      </c>
      <c r="H48" s="14">
        <v>1.7880850430424802</v>
      </c>
      <c r="I48" s="14">
        <v>5.5570632662549473</v>
      </c>
      <c r="J48" s="14">
        <v>0</v>
      </c>
      <c r="K48" s="14">
        <v>1.1018229892827049</v>
      </c>
      <c r="L48" s="14">
        <v>0.90758679908376882</v>
      </c>
      <c r="M48" s="14">
        <v>0.74467496864823235</v>
      </c>
      <c r="N48" s="14">
        <v>9.6955151696820749</v>
      </c>
      <c r="O48" s="14">
        <v>902.94332775249165</v>
      </c>
      <c r="P48" s="8">
        <v>9.6955151696820749</v>
      </c>
      <c r="Q48" s="54">
        <v>5.1742253716829695E-2</v>
      </c>
    </row>
    <row r="49" spans="1:17">
      <c r="A49" s="2" t="s">
        <v>385</v>
      </c>
      <c r="B49" s="16" t="s">
        <v>386</v>
      </c>
      <c r="D49" s="14">
        <v>1</v>
      </c>
      <c r="E49" s="14">
        <v>0.87025404588995081</v>
      </c>
      <c r="F49" s="14">
        <v>0.8691063308964484</v>
      </c>
      <c r="G49" s="14">
        <v>2.4530217626512433E-4</v>
      </c>
      <c r="H49" s="14">
        <v>3.1994322157913588</v>
      </c>
      <c r="I49" s="14">
        <v>9.495767756185316</v>
      </c>
      <c r="J49" s="14">
        <v>0</v>
      </c>
      <c r="K49" s="14">
        <v>1.150607197819558</v>
      </c>
      <c r="L49" s="14">
        <v>0.8691063308964484</v>
      </c>
      <c r="M49" s="14">
        <v>0.71310174450053598</v>
      </c>
      <c r="N49" s="14">
        <v>16.650690112935422</v>
      </c>
      <c r="O49" s="14">
        <v>1850.2246853493843</v>
      </c>
      <c r="P49" s="8">
        <v>16.650690112935425</v>
      </c>
      <c r="Q49" s="54">
        <v>6.8632541961898816E-2</v>
      </c>
    </row>
    <row r="50" spans="1:17">
      <c r="A50" s="2" t="s">
        <v>387</v>
      </c>
      <c r="B50" s="16" t="s">
        <v>388</v>
      </c>
      <c r="D50" s="14">
        <v>1</v>
      </c>
      <c r="E50" s="14">
        <v>0.24231835228364207</v>
      </c>
      <c r="F50" s="14">
        <v>0.12811837485152286</v>
      </c>
      <c r="G50" s="14">
        <v>1.2401662515956269E-4</v>
      </c>
      <c r="H50" s="14">
        <v>270.42785357601679</v>
      </c>
      <c r="I50" s="14">
        <v>502.69966045225215</v>
      </c>
      <c r="J50" s="14">
        <v>0</v>
      </c>
      <c r="K50" s="14">
        <v>7.8052816479986253</v>
      </c>
      <c r="L50" s="14">
        <v>0.12811837485152286</v>
      </c>
      <c r="M50" s="14">
        <v>0.1051211265656745</v>
      </c>
      <c r="N50" s="14">
        <v>933.66733330350553</v>
      </c>
      <c r="O50" s="14">
        <v>184352.61496077717</v>
      </c>
      <c r="P50" s="8">
        <v>933.66733330350564</v>
      </c>
      <c r="Q50" s="54">
        <v>0.27714598532734236</v>
      </c>
    </row>
    <row r="51" spans="1:17">
      <c r="A51" s="2" t="s">
        <v>295</v>
      </c>
      <c r="B51" s="16" t="s">
        <v>296</v>
      </c>
      <c r="D51" s="14">
        <v>1</v>
      </c>
      <c r="E51" s="14">
        <v>0.90446863176636616</v>
      </c>
      <c r="F51" s="14">
        <v>0.90468145485552465</v>
      </c>
      <c r="G51" s="14">
        <v>7.2651431422931958E-4</v>
      </c>
      <c r="H51" s="14">
        <v>0.28722066789773071</v>
      </c>
      <c r="I51" s="14">
        <v>1.0211107739301264</v>
      </c>
      <c r="J51" s="14">
        <v>0</v>
      </c>
      <c r="K51" s="14">
        <v>1.1053614447747218</v>
      </c>
      <c r="L51" s="14">
        <v>0.90468145485552465</v>
      </c>
      <c r="M51" s="14">
        <v>0.74229113370895794</v>
      </c>
      <c r="N51" s="14">
        <v>1.7651149655627731</v>
      </c>
      <c r="O51" s="14">
        <v>102.51787719988586</v>
      </c>
      <c r="P51" s="8">
        <v>1.7651149655627731</v>
      </c>
      <c r="Q51" s="54">
        <v>1.9919244322160256E-2</v>
      </c>
    </row>
    <row r="52" spans="1:17">
      <c r="A52" s="2" t="s">
        <v>389</v>
      </c>
      <c r="B52" s="16" t="s">
        <v>390</v>
      </c>
      <c r="D52" s="14">
        <v>1</v>
      </c>
      <c r="E52" s="14">
        <v>0.74446342821746847</v>
      </c>
      <c r="F52" s="14">
        <v>0.74031777538752053</v>
      </c>
      <c r="G52" s="14">
        <v>7.81819799714313E-4</v>
      </c>
      <c r="H52" s="14">
        <v>9.7561434447422961</v>
      </c>
      <c r="I52" s="14">
        <v>26.359389523862763</v>
      </c>
      <c r="J52" s="14">
        <v>0</v>
      </c>
      <c r="K52" s="14">
        <v>1.350771294768045</v>
      </c>
      <c r="L52" s="14">
        <v>0.74031777538752064</v>
      </c>
      <c r="M52" s="14">
        <v>0.60743073470546061</v>
      </c>
      <c r="N52" s="14">
        <v>46.736064510090898</v>
      </c>
      <c r="O52" s="14">
        <v>5007.7693122562405</v>
      </c>
      <c r="P52" s="8">
        <v>46.736064510090905</v>
      </c>
      <c r="Q52" s="54">
        <v>0.11364107881332115</v>
      </c>
    </row>
    <row r="53" spans="1:17">
      <c r="A53" s="2" t="s">
        <v>391</v>
      </c>
      <c r="B53" s="16" t="s">
        <v>392</v>
      </c>
      <c r="D53" s="14">
        <v>1</v>
      </c>
      <c r="E53" s="14">
        <v>0.48792532332483846</v>
      </c>
      <c r="F53" s="14">
        <v>0.45378303096867983</v>
      </c>
      <c r="G53" s="14">
        <v>2.6104581748654203E-5</v>
      </c>
      <c r="H53" s="14">
        <v>78.57569871940413</v>
      </c>
      <c r="I53" s="14">
        <v>175.60845514516382</v>
      </c>
      <c r="J53" s="14">
        <v>0</v>
      </c>
      <c r="K53" s="14">
        <v>2.203696330083837</v>
      </c>
      <c r="L53" s="14">
        <v>0.45378303096867989</v>
      </c>
      <c r="M53" s="14">
        <v>0.37232897690980182</v>
      </c>
      <c r="N53" s="14">
        <v>318.74580190472153</v>
      </c>
      <c r="O53" s="14">
        <v>51643.194824602986</v>
      </c>
      <c r="P53" s="8">
        <v>318.74580190472159</v>
      </c>
      <c r="Q53" s="54">
        <v>0.26665235423491301</v>
      </c>
    </row>
    <row r="54" spans="1:17">
      <c r="A54" s="2" t="s">
        <v>393</v>
      </c>
      <c r="B54" s="16" t="s">
        <v>394</v>
      </c>
      <c r="D54" s="14">
        <v>1</v>
      </c>
      <c r="E54" s="14">
        <v>6.8936238580688577E-2</v>
      </c>
      <c r="F54" s="14">
        <v>6.9941808548379077E-4</v>
      </c>
      <c r="G54" s="14">
        <v>1.6458314075520919E-6</v>
      </c>
      <c r="H54" s="14">
        <v>62.828524129594399</v>
      </c>
      <c r="I54" s="14">
        <v>1213.9869796472301</v>
      </c>
      <c r="J54" s="14">
        <v>0</v>
      </c>
      <c r="K54" s="14">
        <v>1429.7599972815906</v>
      </c>
      <c r="L54" s="14">
        <v>6.9941808548379077E-4</v>
      </c>
      <c r="M54" s="14">
        <v>5.7387253913945033E-4</v>
      </c>
      <c r="N54" s="14">
        <v>2395.4255992272547</v>
      </c>
      <c r="O54" s="14">
        <v>559068.38060364896</v>
      </c>
      <c r="P54" s="8">
        <v>2395.4255992272547</v>
      </c>
      <c r="Q54" s="54">
        <v>4.6603016543699076E-2</v>
      </c>
    </row>
    <row r="55" spans="1:17">
      <c r="A55" s="2" t="s">
        <v>395</v>
      </c>
      <c r="B55" s="16" t="s">
        <v>396</v>
      </c>
      <c r="D55" s="14">
        <v>1</v>
      </c>
      <c r="E55" s="14">
        <v>0.25317877300381364</v>
      </c>
      <c r="F55" s="14">
        <v>0.18892798865789381</v>
      </c>
      <c r="G55" s="14">
        <v>2.0409143944704086E-3</v>
      </c>
      <c r="H55" s="14">
        <v>150.38215396806109</v>
      </c>
      <c r="I55" s="14">
        <v>300.36786791830514</v>
      </c>
      <c r="J55" s="14">
        <v>0</v>
      </c>
      <c r="K55" s="14">
        <v>5.2930219979781583</v>
      </c>
      <c r="L55" s="14">
        <v>0.18892798865789381</v>
      </c>
      <c r="M55" s="14">
        <v>0.1550154146938019</v>
      </c>
      <c r="N55" s="14">
        <v>552.89257562882335</v>
      </c>
      <c r="O55" s="14">
        <v>70864.241418346282</v>
      </c>
      <c r="P55" s="8">
        <v>552.89257562882347</v>
      </c>
      <c r="Q55" s="54">
        <v>0.24584052337825435</v>
      </c>
    </row>
    <row r="56" spans="1:17">
      <c r="A56" s="2" t="s">
        <v>397</v>
      </c>
      <c r="B56" s="16" t="s">
        <v>398</v>
      </c>
      <c r="D56" s="14">
        <v>1</v>
      </c>
      <c r="E56" s="14">
        <v>5.7169489792547455E-2</v>
      </c>
      <c r="F56" s="14">
        <v>1.9913980782316425E-2</v>
      </c>
      <c r="G56" s="14">
        <v>8.257081502453913E-3</v>
      </c>
      <c r="H56" s="14">
        <v>89.001655243436289</v>
      </c>
      <c r="I56" s="14">
        <v>156.55078672759424</v>
      </c>
      <c r="J56" s="14">
        <v>0</v>
      </c>
      <c r="K56" s="14">
        <v>50.215976952634094</v>
      </c>
      <c r="L56" s="14">
        <v>1.9913980782316428E-2</v>
      </c>
      <c r="M56" s="14">
        <v>1.6339421231890628E-2</v>
      </c>
      <c r="N56" s="14">
        <v>292.77680473687445</v>
      </c>
      <c r="O56" s="14">
        <v>53124.351219505865</v>
      </c>
      <c r="P56" s="8">
        <v>292.77680473687445</v>
      </c>
      <c r="Q56" s="54">
        <v>6.3687654433534316E-2</v>
      </c>
    </row>
    <row r="57" spans="1:17">
      <c r="A57" s="2" t="s">
        <v>399</v>
      </c>
      <c r="B57" s="16" t="s">
        <v>400</v>
      </c>
      <c r="D57" s="14">
        <v>1</v>
      </c>
      <c r="E57" s="14">
        <v>4.6787659644321952E-2</v>
      </c>
      <c r="F57" s="14">
        <v>3.1852381069282391E-2</v>
      </c>
      <c r="G57" s="14">
        <v>9.2779150236053046E-3</v>
      </c>
      <c r="H57" s="14">
        <v>35.093113645379312</v>
      </c>
      <c r="I57" s="14">
        <v>68.435126375930338</v>
      </c>
      <c r="J57" s="14">
        <v>0</v>
      </c>
      <c r="K57" s="14">
        <v>31.394827213227522</v>
      </c>
      <c r="L57" s="14">
        <v>3.1852381069282391E-2</v>
      </c>
      <c r="M57" s="14">
        <v>2.6134878667346203E-2</v>
      </c>
      <c r="N57" s="14">
        <v>126.34700548827898</v>
      </c>
      <c r="O57" s="14">
        <v>18573.009806777009</v>
      </c>
      <c r="P57" s="8">
        <v>126.34700548827898</v>
      </c>
      <c r="Q57" s="54">
        <v>4.9099726568149586E-2</v>
      </c>
    </row>
    <row r="58" spans="1:17">
      <c r="A58" s="2" t="s">
        <v>297</v>
      </c>
      <c r="B58" s="16" t="s">
        <v>298</v>
      </c>
      <c r="D58" s="14">
        <v>1</v>
      </c>
      <c r="E58" s="14">
        <v>5.9530504234397708E-2</v>
      </c>
      <c r="F58" s="14">
        <v>5.9423733374964614E-2</v>
      </c>
      <c r="G58" s="14">
        <v>1.0355913664514041E-2</v>
      </c>
      <c r="H58" s="14">
        <v>0.28090530005988412</v>
      </c>
      <c r="I58" s="14">
        <v>0.81849702312956718</v>
      </c>
      <c r="J58" s="14">
        <v>0</v>
      </c>
      <c r="K58" s="14">
        <v>16.828293060787441</v>
      </c>
      <c r="L58" s="14">
        <v>5.9423733374964614E-2</v>
      </c>
      <c r="M58" s="14">
        <v>4.8757173234158464E-2</v>
      </c>
      <c r="N58" s="14">
        <v>1.4382492001085139</v>
      </c>
      <c r="O58" s="14">
        <v>122.1505045652161</v>
      </c>
      <c r="P58" s="8">
        <v>1.4382492001085139</v>
      </c>
      <c r="Q58" s="54">
        <v>5.3458541305692504E-3</v>
      </c>
    </row>
    <row r="59" spans="1:17">
      <c r="A59" s="2" t="s">
        <v>401</v>
      </c>
      <c r="B59" s="16" t="s">
        <v>402</v>
      </c>
      <c r="D59" s="14">
        <v>1</v>
      </c>
      <c r="E59" s="14">
        <v>1.7823068765395893E-2</v>
      </c>
      <c r="F59" s="14">
        <v>1.24168501372274E-2</v>
      </c>
      <c r="G59" s="14">
        <v>1.04265331223158E-2</v>
      </c>
      <c r="H59" s="14">
        <v>12.691455738899267</v>
      </c>
      <c r="I59" s="14">
        <v>24.886774364517734</v>
      </c>
      <c r="J59" s="14">
        <v>0</v>
      </c>
      <c r="K59" s="14">
        <v>80.535722743553492</v>
      </c>
      <c r="L59" s="14">
        <v>1.24168501372274E-2</v>
      </c>
      <c r="M59" s="14">
        <v>1.0188025537595081E-2</v>
      </c>
      <c r="N59" s="14">
        <v>45.91502194013858</v>
      </c>
      <c r="O59" s="14">
        <v>7614.0880883331811</v>
      </c>
      <c r="P59" s="8">
        <v>45.91502194013858</v>
      </c>
      <c r="Q59" s="54">
        <v>1.840638959918145E-2</v>
      </c>
    </row>
    <row r="60" spans="1:17">
      <c r="A60" s="2" t="s">
        <v>299</v>
      </c>
      <c r="B60" s="16" t="s">
        <v>300</v>
      </c>
      <c r="D60" s="14">
        <v>1</v>
      </c>
      <c r="E60" s="14">
        <v>5.3639592411011162E-4</v>
      </c>
      <c r="F60" s="14">
        <v>4.4975550127419146E-4</v>
      </c>
      <c r="G60" s="14">
        <v>1.1094940355876701E-2</v>
      </c>
      <c r="H60" s="14">
        <v>0.20141716747891814</v>
      </c>
      <c r="I60" s="14">
        <v>0.41971419249353298</v>
      </c>
      <c r="J60" s="14">
        <v>0</v>
      </c>
      <c r="K60" s="14">
        <v>2223.430279711808</v>
      </c>
      <c r="L60" s="14">
        <v>4.4975550127419146E-4</v>
      </c>
      <c r="M60" s="14">
        <v>3.6902438879547414E-4</v>
      </c>
      <c r="N60" s="14">
        <v>0.76850039508991452</v>
      </c>
      <c r="O60" s="14">
        <v>63.124622452685578</v>
      </c>
      <c r="P60" s="8">
        <v>0.76850039508991452</v>
      </c>
      <c r="Q60" s="54">
        <v>4.3366428326261367E-4</v>
      </c>
    </row>
    <row r="61" spans="1:17">
      <c r="A61" s="2" t="s">
        <v>403</v>
      </c>
      <c r="B61" s="16" t="s">
        <v>404</v>
      </c>
      <c r="D61" s="14">
        <v>1</v>
      </c>
      <c r="E61" s="14">
        <v>0.41339136016115963</v>
      </c>
      <c r="F61" s="14">
        <v>0.36488131947571734</v>
      </c>
      <c r="G61" s="14">
        <v>6.3591653473971679E-46</v>
      </c>
      <c r="H61" s="14">
        <v>112.29789865654264</v>
      </c>
      <c r="I61" s="14">
        <v>240.56298304496809</v>
      </c>
      <c r="J61" s="14">
        <v>0</v>
      </c>
      <c r="K61" s="14">
        <v>2.7406171448756487</v>
      </c>
      <c r="L61" s="14">
        <v>0.36488131947571739</v>
      </c>
      <c r="M61" s="14">
        <v>0.29938512262982608</v>
      </c>
      <c r="N61" s="14">
        <v>438.95699890394388</v>
      </c>
      <c r="O61" s="14">
        <v>527894.07645187189</v>
      </c>
      <c r="P61" s="8">
        <v>438.95699890394388</v>
      </c>
      <c r="Q61" s="54">
        <v>0.28935354035241095</v>
      </c>
    </row>
    <row r="62" spans="1:17">
      <c r="A62" s="2" t="s">
        <v>405</v>
      </c>
      <c r="B62" s="16" t="s">
        <v>406</v>
      </c>
      <c r="D62" s="14">
        <v>1</v>
      </c>
      <c r="E62" s="14">
        <v>0.11685315079842588</v>
      </c>
      <c r="F62" s="14">
        <v>4.9963663795011565E-3</v>
      </c>
      <c r="G62" s="14">
        <v>1.5305332365111332E-9</v>
      </c>
      <c r="H62" s="14">
        <v>204.13349785762694</v>
      </c>
      <c r="I62" s="14">
        <v>1053.5895346359648</v>
      </c>
      <c r="J62" s="14">
        <v>0</v>
      </c>
      <c r="K62" s="14">
        <v>200.14545052235366</v>
      </c>
      <c r="L62" s="14">
        <v>4.9963663795011565E-3</v>
      </c>
      <c r="M62" s="14">
        <v>4.099518614380699E-3</v>
      </c>
      <c r="N62" s="14">
        <v>2035.8455201767117</v>
      </c>
      <c r="O62" s="14">
        <v>649149.70256354637</v>
      </c>
      <c r="P62" s="8">
        <v>2035.8455201767117</v>
      </c>
      <c r="Q62" s="54">
        <v>0.10168840797345133</v>
      </c>
    </row>
    <row r="63" spans="1:17">
      <c r="A63" s="2" t="s">
        <v>407</v>
      </c>
      <c r="B63" s="16" t="s">
        <v>408</v>
      </c>
      <c r="D63" s="14">
        <v>1</v>
      </c>
      <c r="E63" s="14">
        <v>5.8930067939463537E-2</v>
      </c>
      <c r="F63" s="14">
        <v>2.3153674376861496E-4</v>
      </c>
      <c r="G63" s="14">
        <v>1.8586961910463216E-7</v>
      </c>
      <c r="H63" s="14">
        <v>31.789223611820145</v>
      </c>
      <c r="I63" s="14">
        <v>1250.3658163788505</v>
      </c>
      <c r="J63" s="14">
        <v>0</v>
      </c>
      <c r="K63" s="14">
        <v>4318.9689192456844</v>
      </c>
      <c r="L63" s="14">
        <v>2.3153674376861496E-4</v>
      </c>
      <c r="M63" s="14">
        <v>1.8997589826214858E-4</v>
      </c>
      <c r="N63" s="14">
        <v>2495.1879174335518</v>
      </c>
      <c r="O63" s="14">
        <v>1212137.338410045</v>
      </c>
      <c r="P63" s="8">
        <v>2495.1879174335518</v>
      </c>
      <c r="Q63" s="54">
        <v>2.9217098994001961E-2</v>
      </c>
    </row>
    <row r="64" spans="1:17">
      <c r="A64" s="2" t="s">
        <v>409</v>
      </c>
      <c r="B64" s="16" t="s">
        <v>410</v>
      </c>
      <c r="D64" s="14">
        <v>1</v>
      </c>
      <c r="E64" s="14">
        <v>5.3613298458820222E-2</v>
      </c>
      <c r="F64" s="14">
        <v>7.1977045867211212E-5</v>
      </c>
      <c r="G64" s="14">
        <v>2.0646312940548457E-8</v>
      </c>
      <c r="H64" s="14">
        <v>15.367882030461592</v>
      </c>
      <c r="I64" s="14">
        <v>1266.6924699707097</v>
      </c>
      <c r="J64" s="14">
        <v>0</v>
      </c>
      <c r="K64" s="14">
        <v>13893.31818153355</v>
      </c>
      <c r="L64" s="14">
        <v>7.1977045867211226E-5</v>
      </c>
      <c r="M64" s="14">
        <v>5.9057166134046807E-5</v>
      </c>
      <c r="N64" s="14">
        <v>2557.6127821544978</v>
      </c>
      <c r="O64" s="14">
        <v>1444258.3619548234</v>
      </c>
      <c r="P64" s="8">
        <v>2557.6127821544978</v>
      </c>
      <c r="Q64" s="54">
        <v>1.7655140938833136E-2</v>
      </c>
    </row>
    <row r="65" spans="1:17">
      <c r="A65" s="2" t="s">
        <v>301</v>
      </c>
      <c r="B65" s="16" t="s">
        <v>302</v>
      </c>
      <c r="D65" s="14">
        <v>1</v>
      </c>
      <c r="E65" s="14">
        <v>5.0604983388369468E-2</v>
      </c>
      <c r="F65" s="14">
        <v>1.8825738091459493E-5</v>
      </c>
      <c r="G65" s="14">
        <v>2.3761863681383961E-9</v>
      </c>
      <c r="H65" s="14">
        <v>6.6412833896336201</v>
      </c>
      <c r="I65" s="14">
        <v>1269.7235747761858</v>
      </c>
      <c r="J65" s="14">
        <v>0</v>
      </c>
      <c r="K65" s="14">
        <v>53118.767250547338</v>
      </c>
      <c r="L65" s="14">
        <v>1.8825738091459493E-5</v>
      </c>
      <c r="M65" s="14">
        <v>1.5446518104042515E-5</v>
      </c>
      <c r="N65" s="14">
        <v>2598.1840439552616</v>
      </c>
      <c r="O65" s="14">
        <v>1672139.2870087274</v>
      </c>
      <c r="P65" s="8">
        <v>2598.1840439552616</v>
      </c>
      <c r="Q65" s="54">
        <v>9.8335240243340744E-3</v>
      </c>
    </row>
    <row r="66" spans="1:17">
      <c r="A66" s="2" t="s">
        <v>303</v>
      </c>
      <c r="B66" s="16" t="s">
        <v>304</v>
      </c>
      <c r="D66" s="14">
        <v>1</v>
      </c>
      <c r="E66" s="14">
        <v>5.2052578337540512E-2</v>
      </c>
      <c r="F66" s="14">
        <v>4.0425884743393328E-5</v>
      </c>
      <c r="G66" s="14">
        <v>2.375789842179085E-15</v>
      </c>
      <c r="H66" s="14">
        <v>10.717155532876131</v>
      </c>
      <c r="I66" s="14">
        <v>1269.5116897299183</v>
      </c>
      <c r="J66" s="14">
        <v>0</v>
      </c>
      <c r="K66" s="14">
        <v>24736.62620738132</v>
      </c>
      <c r="L66" s="14">
        <v>4.0425884743393328E-5</v>
      </c>
      <c r="M66" s="14">
        <v>3.3169438431954228E-5</v>
      </c>
      <c r="N66" s="14">
        <v>2578.0958776746738</v>
      </c>
      <c r="O66" s="14">
        <v>1663671.0508222436</v>
      </c>
      <c r="P66" s="8">
        <v>2578.0958776746738</v>
      </c>
      <c r="Q66" s="54">
        <v>1.3735254290556257E-2</v>
      </c>
    </row>
    <row r="67" spans="1:17">
      <c r="A67" s="2" t="s">
        <v>411</v>
      </c>
      <c r="B67" s="16" t="s">
        <v>412</v>
      </c>
      <c r="D67" s="14">
        <v>1</v>
      </c>
      <c r="E67" s="14">
        <v>0.82973900461780181</v>
      </c>
      <c r="F67" s="14">
        <v>0.8267199138643947</v>
      </c>
      <c r="G67" s="14">
        <v>5.2491246577014005E-5</v>
      </c>
      <c r="H67" s="14">
        <v>7.3022786103165975</v>
      </c>
      <c r="I67" s="14">
        <v>20.31961943090386</v>
      </c>
      <c r="J67" s="14">
        <v>0</v>
      </c>
      <c r="K67" s="14">
        <v>1.2095995067127754</v>
      </c>
      <c r="L67" s="14">
        <v>0.8267199138643947</v>
      </c>
      <c r="M67" s="14">
        <v>0.67832368932573583</v>
      </c>
      <c r="N67" s="14">
        <v>35.899558116509702</v>
      </c>
      <c r="O67" s="14">
        <v>10773.457390764563</v>
      </c>
      <c r="P67" s="8">
        <v>35.899558116509702</v>
      </c>
      <c r="Q67" s="54">
        <v>0.10301858247146396</v>
      </c>
    </row>
    <row r="68" spans="1:17">
      <c r="A68" s="2" t="s">
        <v>413</v>
      </c>
      <c r="B68" s="16" t="s">
        <v>414</v>
      </c>
      <c r="D68" s="14">
        <v>1</v>
      </c>
      <c r="E68" s="14">
        <v>0.76980098192783097</v>
      </c>
      <c r="F68" s="14">
        <v>0.76424507081695625</v>
      </c>
      <c r="G68" s="14">
        <v>1.141618857692759E-4</v>
      </c>
      <c r="H68" s="14">
        <v>12.932802527202153</v>
      </c>
      <c r="I68" s="14">
        <v>34.30439916082134</v>
      </c>
      <c r="J68" s="14">
        <v>0</v>
      </c>
      <c r="K68" s="14">
        <v>1.3084807978297177</v>
      </c>
      <c r="L68" s="14">
        <v>0.76424507081695625</v>
      </c>
      <c r="M68" s="14">
        <v>0.62706308060531257</v>
      </c>
      <c r="N68" s="14">
        <v>60.959358113903903</v>
      </c>
      <c r="O68" s="14">
        <v>20003.813365077564</v>
      </c>
      <c r="P68" s="8">
        <v>60.95935811390391</v>
      </c>
      <c r="Q68" s="54">
        <v>0.13364410812989727</v>
      </c>
    </row>
    <row r="69" spans="1:17">
      <c r="A69" s="2" t="s">
        <v>415</v>
      </c>
      <c r="B69" s="16" t="s">
        <v>416</v>
      </c>
      <c r="D69" s="14">
        <v>1</v>
      </c>
      <c r="E69" s="14">
        <v>7.7133382285650851E-2</v>
      </c>
      <c r="F69" s="14">
        <v>1.2162964149279251E-3</v>
      </c>
      <c r="G69" s="14">
        <v>1.1890165902445822E-5</v>
      </c>
      <c r="H69" s="14">
        <v>87.99528994821307</v>
      </c>
      <c r="I69" s="14">
        <v>1183.0867688510009</v>
      </c>
      <c r="J69" s="14">
        <v>0</v>
      </c>
      <c r="K69" s="14">
        <v>822.16800750765799</v>
      </c>
      <c r="L69" s="14">
        <v>1.2162964149279253E-3</v>
      </c>
      <c r="M69" s="14">
        <v>9.9797120844836258E-4</v>
      </c>
      <c r="N69" s="14">
        <v>2321.0609112923662</v>
      </c>
      <c r="O69" s="14">
        <v>1077157.9477125611</v>
      </c>
      <c r="P69" s="8">
        <v>2321.0609112923662</v>
      </c>
      <c r="Q69" s="54">
        <v>5.8508181157591765E-2</v>
      </c>
    </row>
    <row r="70" spans="1:17">
      <c r="A70" s="2" t="s">
        <v>417</v>
      </c>
      <c r="B70" s="16" t="s">
        <v>418</v>
      </c>
      <c r="D70" s="14">
        <v>1</v>
      </c>
      <c r="E70" s="14">
        <v>0.2164771817086015</v>
      </c>
      <c r="F70" s="14">
        <v>5.2238000991661003E-2</v>
      </c>
      <c r="G70" s="14">
        <v>7.1930824267824728E-5</v>
      </c>
      <c r="H70" s="14">
        <v>394.71765251842004</v>
      </c>
      <c r="I70" s="14">
        <v>667.94963992542591</v>
      </c>
      <c r="J70" s="14">
        <v>0</v>
      </c>
      <c r="K70" s="14">
        <v>19.143152130948398</v>
      </c>
      <c r="L70" s="14">
        <v>5.223800099166101E-2</v>
      </c>
      <c r="M70" s="14">
        <v>4.2861279813657858E-2</v>
      </c>
      <c r="N70" s="14">
        <v>1255.2314097952412</v>
      </c>
      <c r="O70" s="14">
        <v>394205.42424619553</v>
      </c>
      <c r="P70" s="8">
        <v>1255.2314097952412</v>
      </c>
      <c r="Q70" s="54">
        <v>0.21965632843250235</v>
      </c>
    </row>
    <row r="71" spans="1:17">
      <c r="A71" s="2" t="s">
        <v>419</v>
      </c>
      <c r="B71" s="16" t="s">
        <v>420</v>
      </c>
      <c r="D71" s="14">
        <v>1</v>
      </c>
      <c r="E71" s="14">
        <v>0.76743503956462467</v>
      </c>
      <c r="F71" s="14">
        <v>0.76243943200286723</v>
      </c>
      <c r="G71" s="14">
        <v>2.7941765068679975E-4</v>
      </c>
      <c r="H71" s="14">
        <v>11.674152148510959</v>
      </c>
      <c r="I71" s="14">
        <v>31.194822578876305</v>
      </c>
      <c r="J71" s="14">
        <v>0</v>
      </c>
      <c r="K71" s="14">
        <v>1.3115795931134886</v>
      </c>
      <c r="L71" s="14">
        <v>0.76243943200286723</v>
      </c>
      <c r="M71" s="14">
        <v>0.62558155395835258</v>
      </c>
      <c r="N71" s="14">
        <v>55.383814443044713</v>
      </c>
      <c r="O71" s="14">
        <v>11854.351643389289</v>
      </c>
      <c r="P71" s="8">
        <v>55.383814443044713</v>
      </c>
      <c r="Q71" s="54">
        <v>0.12655593591994527</v>
      </c>
    </row>
    <row r="72" spans="1:17">
      <c r="A72" s="2" t="s">
        <v>421</v>
      </c>
      <c r="B72" s="16" t="s">
        <v>422</v>
      </c>
      <c r="D72" s="14">
        <v>1</v>
      </c>
      <c r="E72" s="14">
        <v>0.21287492875295289</v>
      </c>
      <c r="F72" s="14">
        <v>5.8411226489733084E-2</v>
      </c>
      <c r="G72" s="14">
        <v>2.9174593469131544E-4</v>
      </c>
      <c r="H72" s="14">
        <v>370.48985934773344</v>
      </c>
      <c r="I72" s="14">
        <v>635.08739954863211</v>
      </c>
      <c r="J72" s="14">
        <v>0</v>
      </c>
      <c r="K72" s="14">
        <v>17.119996618728244</v>
      </c>
      <c r="L72" s="14">
        <v>5.8411226489733084E-2</v>
      </c>
      <c r="M72" s="14">
        <v>4.7926411334825995E-2</v>
      </c>
      <c r="N72" s="14">
        <v>1191.5547645088629</v>
      </c>
      <c r="O72" s="14">
        <v>493387.0813401849</v>
      </c>
      <c r="P72" s="8">
        <v>1191.5547645088629</v>
      </c>
      <c r="Q72" s="54">
        <v>0.22419890967681441</v>
      </c>
    </row>
    <row r="73" spans="1:17">
      <c r="A73" s="2" t="s">
        <v>423</v>
      </c>
      <c r="B73" s="16" t="s">
        <v>424</v>
      </c>
      <c r="D73" s="14">
        <v>1</v>
      </c>
      <c r="E73" s="14">
        <v>0.39123284916669399</v>
      </c>
      <c r="F73" s="14">
        <v>0.34007076266908376</v>
      </c>
      <c r="G73" s="14">
        <v>1.8755030859685432E-4</v>
      </c>
      <c r="H73" s="14">
        <v>118.60125794301086</v>
      </c>
      <c r="I73" s="14">
        <v>251.73666023842586</v>
      </c>
      <c r="J73" s="14">
        <v>0</v>
      </c>
      <c r="K73" s="14">
        <v>2.9405644641467763</v>
      </c>
      <c r="L73" s="14">
        <v>0.34007076266908381</v>
      </c>
      <c r="M73" s="14">
        <v>0.27902806076998327</v>
      </c>
      <c r="N73" s="14">
        <v>459.87378680782615</v>
      </c>
      <c r="O73" s="14">
        <v>196904.15929750694</v>
      </c>
      <c r="P73" s="8">
        <v>459.87378680782621</v>
      </c>
      <c r="Q73" s="54">
        <v>0.28783689833214005</v>
      </c>
    </row>
    <row r="74" spans="1:17">
      <c r="A74" s="2" t="s">
        <v>425</v>
      </c>
      <c r="B74" s="16" t="s">
        <v>426</v>
      </c>
      <c r="D74" s="14">
        <v>1</v>
      </c>
      <c r="E74" s="14">
        <v>0.21585837151067172</v>
      </c>
      <c r="F74" s="14">
        <v>5.4067743541113392E-2</v>
      </c>
      <c r="G74" s="14">
        <v>1.1008971130030018E-4</v>
      </c>
      <c r="H74" s="14">
        <v>388.61382366426216</v>
      </c>
      <c r="I74" s="14">
        <v>660.04784264911552</v>
      </c>
      <c r="J74" s="14">
        <v>0</v>
      </c>
      <c r="K74" s="14">
        <v>18.495315959313057</v>
      </c>
      <c r="L74" s="14">
        <v>5.4067743541113392E-2</v>
      </c>
      <c r="M74" s="14">
        <v>4.436258357548354E-2</v>
      </c>
      <c r="N74" s="14">
        <v>1239.8113754478895</v>
      </c>
      <c r="O74" s="14">
        <v>654843.57228406623</v>
      </c>
      <c r="P74" s="8">
        <v>1239.8113754478895</v>
      </c>
      <c r="Q74" s="54">
        <v>0.22150085957065158</v>
      </c>
    </row>
    <row r="75" spans="1:17">
      <c r="A75" s="2" t="s">
        <v>427</v>
      </c>
      <c r="B75" s="16" t="s">
        <v>428</v>
      </c>
      <c r="D75" s="14">
        <v>1</v>
      </c>
      <c r="E75" s="14">
        <v>0.35651088194268488</v>
      </c>
      <c r="F75" s="14">
        <v>1.4884886335360829E-2</v>
      </c>
      <c r="G75" s="14">
        <v>2.0997809581845748E-11</v>
      </c>
      <c r="H75" s="14">
        <v>970.61170113869093</v>
      </c>
      <c r="I75" s="14">
        <v>3.4678263888408098</v>
      </c>
      <c r="J75" s="14">
        <v>0</v>
      </c>
      <c r="K75" s="14">
        <v>67.1822395864979</v>
      </c>
      <c r="L75" s="14">
        <v>1.4884886335360829E-2</v>
      </c>
      <c r="M75" s="14">
        <v>1.221304923816356E-2</v>
      </c>
      <c r="N75" s="14">
        <v>1787.6659281708023</v>
      </c>
      <c r="O75" s="14">
        <v>1008404.4734218679</v>
      </c>
      <c r="P75" s="8">
        <v>1787.6659281708023</v>
      </c>
      <c r="Q75" s="54">
        <v>1.9366776786894493E-4</v>
      </c>
    </row>
    <row r="76" spans="1:17">
      <c r="A76" s="2" t="s">
        <v>429</v>
      </c>
      <c r="B76" s="16" t="s">
        <v>430</v>
      </c>
      <c r="D76" s="14">
        <v>1</v>
      </c>
      <c r="E76" s="14">
        <v>0.35651088259949659</v>
      </c>
      <c r="F76" s="14">
        <v>1.4884886362783747E-2</v>
      </c>
      <c r="G76" s="14">
        <v>5.2744113077232407E-13</v>
      </c>
      <c r="H76" s="14">
        <v>970.61170292688087</v>
      </c>
      <c r="I76" s="14">
        <v>3.4678263952297006</v>
      </c>
      <c r="J76" s="14">
        <v>0</v>
      </c>
      <c r="K76" s="14">
        <v>67.182239462725846</v>
      </c>
      <c r="L76" s="14">
        <v>1.4884886362783747E-2</v>
      </c>
      <c r="M76" s="14">
        <v>1.2213049260664065E-2</v>
      </c>
      <c r="N76" s="14">
        <v>1787.6659314642782</v>
      </c>
      <c r="O76" s="14">
        <v>894065.36230322951</v>
      </c>
      <c r="P76" s="8">
        <v>1787.6659314642784</v>
      </c>
      <c r="Q76" s="54">
        <v>1.9366776822574546E-4</v>
      </c>
    </row>
    <row r="77" spans="1:17">
      <c r="A77" s="2" t="s">
        <v>431</v>
      </c>
      <c r="B77" s="16" t="s">
        <v>432</v>
      </c>
      <c r="D77" s="14">
        <v>1</v>
      </c>
      <c r="E77" s="14">
        <v>0.2564919339949952</v>
      </c>
      <c r="F77" s="14">
        <v>0.16027729504137983</v>
      </c>
      <c r="G77" s="14">
        <v>4.1665873601024367E-4</v>
      </c>
      <c r="H77" s="14">
        <v>226.75245843343862</v>
      </c>
      <c r="I77" s="14">
        <v>434.11938102876979</v>
      </c>
      <c r="J77" s="14">
        <v>0</v>
      </c>
      <c r="K77" s="14">
        <v>6.2391869025604878</v>
      </c>
      <c r="L77" s="14">
        <v>0.16027729504137983</v>
      </c>
      <c r="M77" s="14">
        <v>0.13150752058145215</v>
      </c>
      <c r="N77" s="14">
        <v>803.3302133431049</v>
      </c>
      <c r="O77" s="14">
        <v>292460.39746969077</v>
      </c>
      <c r="P77" s="8">
        <v>803.3302133431049</v>
      </c>
      <c r="Q77" s="54">
        <v>0.28145513407718281</v>
      </c>
    </row>
    <row r="78" spans="1:17">
      <c r="A78" s="2" t="s">
        <v>433</v>
      </c>
      <c r="B78" s="16" t="s">
        <v>434</v>
      </c>
      <c r="D78" s="14">
        <v>1</v>
      </c>
      <c r="E78" s="14">
        <v>0.59290256685469012</v>
      </c>
      <c r="F78" s="14">
        <v>0.57563136471259835</v>
      </c>
      <c r="G78" s="14">
        <v>4.0531524330065448E-4</v>
      </c>
      <c r="H78" s="14">
        <v>39.515224123825909</v>
      </c>
      <c r="I78" s="14">
        <v>94.541310989063973</v>
      </c>
      <c r="J78" s="14">
        <v>0</v>
      </c>
      <c r="K78" s="14">
        <v>1.7372229195663804</v>
      </c>
      <c r="L78" s="14">
        <v>0.57563136471259835</v>
      </c>
      <c r="M78" s="14">
        <v>0.47230553474668696</v>
      </c>
      <c r="N78" s="14">
        <v>170.15234893181787</v>
      </c>
      <c r="O78" s="14">
        <v>44928.727735446511</v>
      </c>
      <c r="P78" s="8">
        <v>170.15234893181787</v>
      </c>
      <c r="Q78" s="54">
        <v>0.20884381611924352</v>
      </c>
    </row>
    <row r="79" spans="1:17">
      <c r="A79" s="2" t="s">
        <v>435</v>
      </c>
      <c r="B79" s="16" t="s">
        <v>436</v>
      </c>
      <c r="D79" s="14">
        <v>1</v>
      </c>
      <c r="E79" s="14">
        <v>0.4777707121516897</v>
      </c>
      <c r="F79" s="14">
        <v>0.44276527117943143</v>
      </c>
      <c r="G79" s="14">
        <v>1.0379155936060899E-4</v>
      </c>
      <c r="H79" s="14">
        <v>80.599722978918535</v>
      </c>
      <c r="I79" s="14">
        <v>179.46952770189819</v>
      </c>
      <c r="J79" s="14">
        <v>0</v>
      </c>
      <c r="K79" s="14">
        <v>2.258533053724415</v>
      </c>
      <c r="L79" s="14">
        <v>0.44276527117943143</v>
      </c>
      <c r="M79" s="14">
        <v>0.36328890500272348</v>
      </c>
      <c r="N79" s="14">
        <v>325.90359772302713</v>
      </c>
      <c r="O79" s="14">
        <v>130397.2884849604</v>
      </c>
      <c r="P79" s="8">
        <v>325.90359772302719</v>
      </c>
      <c r="Q79" s="54">
        <v>0.26704885480544949</v>
      </c>
    </row>
    <row r="80" spans="1:17">
      <c r="A80" s="2" t="s">
        <v>437</v>
      </c>
      <c r="B80" s="16" t="s">
        <v>438</v>
      </c>
      <c r="D80" s="14">
        <v>1</v>
      </c>
      <c r="E80" s="14">
        <v>0.21981722105875176</v>
      </c>
      <c r="F80" s="14">
        <v>6.2990186804068081E-3</v>
      </c>
      <c r="G80" s="14">
        <v>4.6924685082184041E-12</v>
      </c>
      <c r="H80" s="14">
        <v>606.41913457204259</v>
      </c>
      <c r="I80" s="14">
        <v>4.1618336831542591</v>
      </c>
      <c r="J80" s="14">
        <v>0</v>
      </c>
      <c r="K80" s="14">
        <v>158.75488718750987</v>
      </c>
      <c r="L80" s="14">
        <v>6.2990186804068081E-3</v>
      </c>
      <c r="M80" s="14">
        <v>5.168344827273786E-3</v>
      </c>
      <c r="N80" s="14">
        <v>2167.772415516803</v>
      </c>
      <c r="O80" s="14">
        <v>1114408.4433688782</v>
      </c>
      <c r="P80" s="8">
        <v>2167.772415516803</v>
      </c>
      <c r="Q80" s="54">
        <v>1.4732780578680856E-4</v>
      </c>
    </row>
    <row r="81" spans="1:17">
      <c r="A81" s="2" t="s">
        <v>440</v>
      </c>
      <c r="B81" s="16" t="s">
        <v>441</v>
      </c>
      <c r="D81" s="14">
        <v>1</v>
      </c>
      <c r="E81" s="14">
        <v>0.97051579573427715</v>
      </c>
      <c r="F81" s="14">
        <v>0.97076781057026984</v>
      </c>
      <c r="G81" s="14">
        <v>2.0485372004084797E-15</v>
      </c>
      <c r="H81" s="14">
        <v>0.25871128152476502</v>
      </c>
      <c r="I81" s="14">
        <v>0.93169236811744416</v>
      </c>
      <c r="J81" s="14">
        <v>0</v>
      </c>
      <c r="K81" s="14">
        <v>1.0301124420396242</v>
      </c>
      <c r="L81" s="14">
        <v>0.97076781057026984</v>
      </c>
      <c r="M81" s="14">
        <v>0.79651498857290637</v>
      </c>
      <c r="N81" s="14">
        <v>1.6105735625915145</v>
      </c>
      <c r="O81" s="14">
        <v>446.54762596412331</v>
      </c>
      <c r="P81" s="8">
        <v>1.6105735625915147</v>
      </c>
      <c r="Q81" s="54">
        <v>1.9510685930959545E-2</v>
      </c>
    </row>
    <row r="82" spans="1:17">
      <c r="A82" s="2" t="s">
        <v>442</v>
      </c>
      <c r="B82" s="16" t="s">
        <v>443</v>
      </c>
      <c r="D82" s="14">
        <v>1</v>
      </c>
      <c r="E82" s="14">
        <v>0.75277554526867274</v>
      </c>
      <c r="F82" s="14">
        <v>0.74576095021391975</v>
      </c>
      <c r="G82" s="14">
        <v>9.4948504046059346E-7</v>
      </c>
      <c r="H82" s="14">
        <v>16.205395660303996</v>
      </c>
      <c r="I82" s="14">
        <v>42.20042353850048</v>
      </c>
      <c r="J82" s="14">
        <v>0</v>
      </c>
      <c r="K82" s="14">
        <v>1.3409122584296647</v>
      </c>
      <c r="L82" s="14">
        <v>0.74576095021391986</v>
      </c>
      <c r="M82" s="14">
        <v>0.61189685965052121</v>
      </c>
      <c r="N82" s="14">
        <v>75.159954179239605</v>
      </c>
      <c r="O82" s="14">
        <v>12415.672830868591</v>
      </c>
      <c r="P82" s="8">
        <v>75.15995417923962</v>
      </c>
      <c r="Q82" s="54">
        <v>0.14856510345569682</v>
      </c>
    </row>
    <row r="83" spans="1:17">
      <c r="A83" s="2" t="s">
        <v>444</v>
      </c>
      <c r="B83" s="16" t="s">
        <v>445</v>
      </c>
      <c r="D83" s="14">
        <v>1</v>
      </c>
      <c r="E83" s="14">
        <v>0.28523083365319862</v>
      </c>
      <c r="F83" s="14">
        <v>0.19570567402902259</v>
      </c>
      <c r="G83" s="14">
        <v>8.6268432085954813E-6</v>
      </c>
      <c r="H83" s="14">
        <v>210.29232237774909</v>
      </c>
      <c r="I83" s="14">
        <v>410.84744259874412</v>
      </c>
      <c r="J83" s="14">
        <v>0</v>
      </c>
      <c r="K83" s="14">
        <v>5.1097138852075537</v>
      </c>
      <c r="L83" s="14">
        <v>0.19570567402902259</v>
      </c>
      <c r="M83" s="14">
        <v>0.16057650554081304</v>
      </c>
      <c r="N83" s="14">
        <v>758.34454764854763</v>
      </c>
      <c r="O83" s="14">
        <v>136684.02126817423</v>
      </c>
      <c r="P83" s="8">
        <v>758.34454764854763</v>
      </c>
      <c r="Q83" s="54">
        <v>0.29776975799450428</v>
      </c>
    </row>
    <row r="84" spans="1:17">
      <c r="A84" s="2" t="s">
        <v>446</v>
      </c>
      <c r="B84" s="16" t="s">
        <v>447</v>
      </c>
      <c r="D84" s="14">
        <v>1</v>
      </c>
      <c r="E84" s="14">
        <v>0.93558704745511423</v>
      </c>
      <c r="F84" s="14">
        <v>0.93540166316353579</v>
      </c>
      <c r="G84" s="14">
        <v>6.2953028175952577E-17</v>
      </c>
      <c r="H84" s="14">
        <v>1.1603476786509348</v>
      </c>
      <c r="I84" s="14">
        <v>3.7311723339383991</v>
      </c>
      <c r="J84" s="14">
        <v>0</v>
      </c>
      <c r="K84" s="14">
        <v>1.0690594633090476</v>
      </c>
      <c r="L84" s="14">
        <v>0.93540166316353579</v>
      </c>
      <c r="M84" s="14">
        <v>0.76749706462568112</v>
      </c>
      <c r="N84" s="14">
        <v>6.4880673653893988</v>
      </c>
      <c r="O84" s="14">
        <v>2523.1445177262831</v>
      </c>
      <c r="P84" s="8">
        <v>6.4880673653893988</v>
      </c>
      <c r="Q84" s="54">
        <v>4.1903018487098646E-2</v>
      </c>
    </row>
    <row r="85" spans="1:17">
      <c r="A85" s="2" t="s">
        <v>448</v>
      </c>
      <c r="B85" s="16" t="s">
        <v>449</v>
      </c>
      <c r="D85" s="14">
        <v>1</v>
      </c>
      <c r="E85" s="14">
        <v>0.98782620668357712</v>
      </c>
      <c r="F85" s="14">
        <v>0.98818735827965132</v>
      </c>
      <c r="G85" s="14">
        <v>4.416292007210824E-10</v>
      </c>
      <c r="H85" s="14">
        <v>4.749296611188019E-2</v>
      </c>
      <c r="I85" s="14">
        <v>0.1940378547534693</v>
      </c>
      <c r="J85" s="14">
        <v>0</v>
      </c>
      <c r="K85" s="14">
        <v>1.0119538482468684</v>
      </c>
      <c r="L85" s="14">
        <v>0.98818735827965132</v>
      </c>
      <c r="M85" s="14">
        <v>0.81080772746845398</v>
      </c>
      <c r="N85" s="14">
        <v>0.34428685477760129</v>
      </c>
      <c r="O85" s="14">
        <v>61.709975850337258</v>
      </c>
      <c r="P85" s="8">
        <v>0.34428685477760129</v>
      </c>
      <c r="Q85" s="54">
        <v>8.133668432625956E-3</v>
      </c>
    </row>
    <row r="86" spans="1:17">
      <c r="A86" s="2" t="s">
        <v>450</v>
      </c>
      <c r="B86" s="16" t="s">
        <v>451</v>
      </c>
      <c r="D86" s="14">
        <v>1</v>
      </c>
      <c r="E86" s="14">
        <v>0.93718198150200216</v>
      </c>
      <c r="F86" s="14">
        <v>0.93702265598407963</v>
      </c>
      <c r="G86" s="14">
        <v>1.5836112538231906E-10</v>
      </c>
      <c r="H86" s="14">
        <v>1.1056561646293681</v>
      </c>
      <c r="I86" s="14">
        <v>3.5684306623202087</v>
      </c>
      <c r="J86" s="14">
        <v>0</v>
      </c>
      <c r="K86" s="14">
        <v>1.0672100547555921</v>
      </c>
      <c r="L86" s="14">
        <v>0.93702265598407963</v>
      </c>
      <c r="M86" s="14">
        <v>0.76882708923493737</v>
      </c>
      <c r="N86" s="14">
        <v>6.2029893519275552</v>
      </c>
      <c r="O86" s="14">
        <v>1619.5384898947652</v>
      </c>
      <c r="P86" s="8">
        <v>6.2029893519275552</v>
      </c>
      <c r="Q86" s="54">
        <v>4.089566385675427E-2</v>
      </c>
    </row>
    <row r="87" spans="1:17">
      <c r="A87" s="2" t="s">
        <v>452</v>
      </c>
      <c r="B87" s="16" t="s">
        <v>453</v>
      </c>
      <c r="D87" s="14">
        <v>1</v>
      </c>
      <c r="E87" s="14">
        <v>6.2053222237349936E-2</v>
      </c>
      <c r="F87" s="14">
        <v>3.5636755229725194E-4</v>
      </c>
      <c r="G87" s="14">
        <v>3.6757557206535775E-10</v>
      </c>
      <c r="H87" s="14">
        <v>41.506695035391978</v>
      </c>
      <c r="I87" s="14">
        <v>1239.2967902664991</v>
      </c>
      <c r="J87" s="14">
        <v>0</v>
      </c>
      <c r="K87" s="14">
        <v>2806.0916139915112</v>
      </c>
      <c r="L87" s="14">
        <v>3.5636755229725194E-4</v>
      </c>
      <c r="M87" s="14">
        <v>2.9239957665989523E-4</v>
      </c>
      <c r="N87" s="14">
        <v>2462.3084411977457</v>
      </c>
      <c r="O87" s="14">
        <v>1025059.0040706216</v>
      </c>
      <c r="P87" s="8">
        <v>2462.3084411977457</v>
      </c>
      <c r="Q87" s="54">
        <v>3.5105513088082338E-2</v>
      </c>
    </row>
    <row r="88" spans="1:17">
      <c r="A88" s="2" t="s">
        <v>454</v>
      </c>
      <c r="B88" s="16" t="s">
        <v>455</v>
      </c>
      <c r="D88" s="14">
        <v>1</v>
      </c>
      <c r="E88" s="14">
        <v>0.66062898050103758</v>
      </c>
      <c r="F88" s="14">
        <v>0.64695155066624532</v>
      </c>
      <c r="G88" s="14">
        <v>4.7608033827566361E-7</v>
      </c>
      <c r="H88" s="14">
        <v>31.293328429839232</v>
      </c>
      <c r="I88" s="14">
        <v>76.82612506708881</v>
      </c>
      <c r="J88" s="14">
        <v>0</v>
      </c>
      <c r="K88" s="14">
        <v>1.5457108016360381</v>
      </c>
      <c r="L88" s="14">
        <v>0.64695155066624532</v>
      </c>
      <c r="M88" s="14">
        <v>0.53082374732165427</v>
      </c>
      <c r="N88" s="14">
        <v>137.82760881234336</v>
      </c>
      <c r="O88" s="14">
        <v>26362.286737536913</v>
      </c>
      <c r="P88" s="8">
        <v>137.82760881234336</v>
      </c>
      <c r="Q88" s="54">
        <v>0.19557301406703961</v>
      </c>
    </row>
    <row r="89" spans="1:17">
      <c r="A89" s="2" t="s">
        <v>456</v>
      </c>
      <c r="B89" s="16" t="s">
        <v>457</v>
      </c>
      <c r="D89" s="14">
        <v>1</v>
      </c>
      <c r="E89" s="14">
        <v>0.73694914780088849</v>
      </c>
      <c r="F89" s="14">
        <v>0.72895671665541639</v>
      </c>
      <c r="G89" s="14">
        <v>3.1473876011150214E-19</v>
      </c>
      <c r="H89" s="14">
        <v>18.404403318549551</v>
      </c>
      <c r="I89" s="14">
        <v>47.400062323540162</v>
      </c>
      <c r="J89" s="14">
        <v>0</v>
      </c>
      <c r="K89" s="14">
        <v>1.3718235625678554</v>
      </c>
      <c r="L89" s="14">
        <v>0.72895671665541639</v>
      </c>
      <c r="M89" s="14">
        <v>0.59810898601576912</v>
      </c>
      <c r="N89" s="14">
        <v>84.535316159640743</v>
      </c>
      <c r="O89" s="14">
        <v>33176.730180012608</v>
      </c>
      <c r="P89" s="8">
        <v>84.535316159640757</v>
      </c>
      <c r="Q89" s="54">
        <v>0.15702865567528909</v>
      </c>
    </row>
    <row r="90" spans="1:17">
      <c r="A90" s="2" t="s">
        <v>458</v>
      </c>
      <c r="B90" s="16" t="s">
        <v>459</v>
      </c>
      <c r="D90" s="14">
        <v>1</v>
      </c>
      <c r="E90" s="14">
        <v>0.87437572273844399</v>
      </c>
      <c r="F90" s="14">
        <v>0.87276011145996157</v>
      </c>
      <c r="G90" s="14">
        <v>4.7009255887666222E-31</v>
      </c>
      <c r="H90" s="14">
        <v>4.2301414428525401</v>
      </c>
      <c r="I90" s="14">
        <v>12.30302934423004</v>
      </c>
      <c r="J90" s="14">
        <v>0</v>
      </c>
      <c r="K90" s="14">
        <v>1.1457902198660181</v>
      </c>
      <c r="L90" s="14">
        <v>0.87276011145996168</v>
      </c>
      <c r="M90" s="14">
        <v>0.71609967145289855</v>
      </c>
      <c r="N90" s="14">
        <v>21.623282480108585</v>
      </c>
      <c r="O90" s="14">
        <v>16886.486220015999</v>
      </c>
      <c r="P90" s="8">
        <v>21.623282480108585</v>
      </c>
      <c r="Q90" s="54">
        <v>7.9544848652018579E-2</v>
      </c>
    </row>
    <row r="91" spans="1:17">
      <c r="A91" s="2" t="s">
        <v>460</v>
      </c>
      <c r="B91" s="16" t="s">
        <v>461</v>
      </c>
      <c r="D91" s="14">
        <v>1</v>
      </c>
      <c r="E91" s="14">
        <v>0.10868254742831519</v>
      </c>
      <c r="F91" s="14">
        <v>4.058897374670579E-3</v>
      </c>
      <c r="G91" s="14">
        <v>6.6864647347162518E-10</v>
      </c>
      <c r="H91" s="14">
        <v>180.82899588494234</v>
      </c>
      <c r="I91" s="14">
        <v>1079.0094332115539</v>
      </c>
      <c r="J91" s="14">
        <v>0</v>
      </c>
      <c r="K91" s="14">
        <v>246.37232915531899</v>
      </c>
      <c r="L91" s="14">
        <v>4.058897374670579E-3</v>
      </c>
      <c r="M91" s="14">
        <v>3.3303252959172099E-3</v>
      </c>
      <c r="N91" s="14">
        <v>2089.7680689422323</v>
      </c>
      <c r="O91" s="14">
        <v>640304.93632389989</v>
      </c>
      <c r="P91" s="8">
        <v>2089.7680689422323</v>
      </c>
      <c r="Q91" s="54">
        <v>9.410771780195866E-2</v>
      </c>
    </row>
    <row r="92" spans="1:17">
      <c r="A92" s="2" t="s">
        <v>462</v>
      </c>
      <c r="B92" s="16" t="s">
        <v>463</v>
      </c>
      <c r="D92" s="14">
        <v>1</v>
      </c>
      <c r="E92" s="14">
        <v>0.32644264960346769</v>
      </c>
      <c r="F92" s="14">
        <v>0.25383027484767801</v>
      </c>
      <c r="G92" s="14">
        <v>7.0412847522975896E-11</v>
      </c>
      <c r="H92" s="14">
        <v>169.59905186456831</v>
      </c>
      <c r="I92" s="14">
        <v>343.14730373964733</v>
      </c>
      <c r="J92" s="14">
        <v>0</v>
      </c>
      <c r="K92" s="14">
        <v>3.9396403782019065</v>
      </c>
      <c r="L92" s="14">
        <v>0.25383027484767801</v>
      </c>
      <c r="M92" s="14">
        <v>0.20826774051251981</v>
      </c>
      <c r="N92" s="14">
        <v>630.62144141343811</v>
      </c>
      <c r="O92" s="14">
        <v>212405.9138968742</v>
      </c>
      <c r="P92" s="8">
        <v>630.62144141343811</v>
      </c>
      <c r="Q92" s="54">
        <v>0.30149533087120417</v>
      </c>
    </row>
    <row r="93" spans="1:17">
      <c r="A93" s="2" t="s">
        <v>464</v>
      </c>
      <c r="B93" s="16" t="s">
        <v>465</v>
      </c>
      <c r="D93" s="14">
        <v>1</v>
      </c>
      <c r="E93" s="14">
        <v>0.22169692320062984</v>
      </c>
      <c r="F93" s="14">
        <v>7.4755425602088157E-2</v>
      </c>
      <c r="G93" s="14">
        <v>4.1824543170393222E-6</v>
      </c>
      <c r="H93" s="14">
        <v>351.23898897073167</v>
      </c>
      <c r="I93" s="14">
        <v>615.5451151104254</v>
      </c>
      <c r="J93" s="14">
        <v>0</v>
      </c>
      <c r="K93" s="14">
        <v>13.376955477758214</v>
      </c>
      <c r="L93" s="14">
        <v>7.4755425602088171E-2</v>
      </c>
      <c r="M93" s="14">
        <v>6.1336826706513338E-2</v>
      </c>
      <c r="N93" s="14">
        <v>1151.7047805042955</v>
      </c>
      <c r="O93" s="14">
        <v>535646.37636474275</v>
      </c>
      <c r="P93" s="8">
        <v>1151.7047805042955</v>
      </c>
      <c r="Q93" s="54">
        <v>0.24539171122263898</v>
      </c>
    </row>
    <row r="94" spans="1:17">
      <c r="A94" s="2" t="s">
        <v>466</v>
      </c>
      <c r="B94" s="16" t="s">
        <v>467</v>
      </c>
      <c r="D94" s="14">
        <v>1</v>
      </c>
      <c r="E94" s="14">
        <v>0.99538503388790978</v>
      </c>
      <c r="F94" s="14">
        <v>0.984255690793438</v>
      </c>
      <c r="G94" s="14">
        <v>2.2332860502584834E-20</v>
      </c>
      <c r="H94" s="14">
        <v>32.718089379739858</v>
      </c>
      <c r="I94" s="14">
        <v>3.9809621130951267E-2</v>
      </c>
      <c r="J94" s="14">
        <v>0</v>
      </c>
      <c r="K94" s="14">
        <v>1.0159961576588599</v>
      </c>
      <c r="L94" s="14">
        <v>0.98425569079343811</v>
      </c>
      <c r="M94" s="14">
        <v>0.80758179429601595</v>
      </c>
      <c r="N94" s="14">
        <v>12.340714607254545</v>
      </c>
      <c r="O94" s="14">
        <v>4081.5679492033687</v>
      </c>
      <c r="P94" s="8">
        <v>12.340714607254545</v>
      </c>
      <c r="Q94" s="54">
        <v>1.1797447257004395E-4</v>
      </c>
    </row>
    <row r="95" spans="1:17">
      <c r="A95" s="2" t="s">
        <v>468</v>
      </c>
      <c r="B95" s="16" t="s">
        <v>469</v>
      </c>
      <c r="D95" s="14">
        <v>1</v>
      </c>
      <c r="E95" s="14">
        <v>0.18209365277872994</v>
      </c>
      <c r="F95" s="14">
        <v>1.5121958964045982E-2</v>
      </c>
      <c r="G95" s="14">
        <v>4.2897950414345221E-20</v>
      </c>
      <c r="H95" s="14">
        <v>380.45916918659555</v>
      </c>
      <c r="I95" s="14">
        <v>871.49565454091362</v>
      </c>
      <c r="J95" s="14">
        <v>0</v>
      </c>
      <c r="K95" s="14">
        <v>66.12899839085685</v>
      </c>
      <c r="L95" s="14">
        <v>1.5121958964045982E-2</v>
      </c>
      <c r="M95" s="14">
        <v>1.2407567329999728E-2</v>
      </c>
      <c r="N95" s="14">
        <v>1662.4231982119809</v>
      </c>
      <c r="O95" s="14">
        <v>821237.05991671851</v>
      </c>
      <c r="P95" s="8">
        <v>1662.4231982119809</v>
      </c>
      <c r="Q95" s="54">
        <v>0.14834237434060449</v>
      </c>
    </row>
    <row r="96" spans="1:17">
      <c r="A96" s="2" t="s">
        <v>470</v>
      </c>
      <c r="B96" s="166">
        <v>354656</v>
      </c>
      <c r="D96" s="14">
        <v>1</v>
      </c>
      <c r="E96" s="14">
        <v>0.9693585082670827</v>
      </c>
      <c r="F96" s="14">
        <v>0.96960059266951015</v>
      </c>
      <c r="G96" s="14">
        <v>4.0841469509963657E-12</v>
      </c>
      <c r="H96" s="14">
        <v>0.27853057279629062</v>
      </c>
      <c r="I96" s="14">
        <v>0.99753936542825028</v>
      </c>
      <c r="J96" s="14">
        <v>0</v>
      </c>
      <c r="K96" s="14">
        <v>1.0313525048977064</v>
      </c>
      <c r="L96" s="14">
        <v>0.96960059266951015</v>
      </c>
      <c r="M96" s="14">
        <v>0.79555728628533307</v>
      </c>
      <c r="N96" s="14">
        <v>1.7243308505313999</v>
      </c>
      <c r="O96" s="14">
        <v>340.02080041628676</v>
      </c>
      <c r="P96" s="8">
        <v>1.7243308505314001</v>
      </c>
      <c r="Q96" s="54">
        <v>2.0264227059592809E-2</v>
      </c>
    </row>
    <row r="97" spans="1:17">
      <c r="A97" s="2" t="s">
        <v>472</v>
      </c>
      <c r="B97" s="16" t="s">
        <v>473</v>
      </c>
      <c r="D97" s="14">
        <v>1</v>
      </c>
      <c r="E97" s="14">
        <v>0.93477519331790138</v>
      </c>
      <c r="F97" s="14">
        <v>0.9345763244073757</v>
      </c>
      <c r="G97" s="14">
        <v>6.2906172648419969E-12</v>
      </c>
      <c r="H97" s="14">
        <v>1.1886795053189236</v>
      </c>
      <c r="I97" s="14">
        <v>3.8152407284520775</v>
      </c>
      <c r="J97" s="14">
        <v>0</v>
      </c>
      <c r="K97" s="14">
        <v>1.0700035661978811</v>
      </c>
      <c r="L97" s="14">
        <v>0.93457632440737581</v>
      </c>
      <c r="M97" s="14">
        <v>0.76681987417625186</v>
      </c>
      <c r="N97" s="14">
        <v>6.6353837641923334</v>
      </c>
      <c r="O97" s="14">
        <v>1062.8557713483281</v>
      </c>
      <c r="P97" s="8">
        <v>6.6353837641923334</v>
      </c>
      <c r="Q97" s="54">
        <v>4.2415241650371006E-2</v>
      </c>
    </row>
    <row r="98" spans="1:17">
      <c r="A98" s="2" t="s">
        <v>474</v>
      </c>
      <c r="B98" s="16" t="s">
        <v>475</v>
      </c>
      <c r="D98" s="14">
        <v>1</v>
      </c>
      <c r="E98" s="14">
        <v>0.2186469756113214</v>
      </c>
      <c r="F98" s="14">
        <v>3.9354019068921942E-2</v>
      </c>
      <c r="G98" s="14">
        <v>1.1087090164893623E-21</v>
      </c>
      <c r="H98" s="14">
        <v>432.70218846479685</v>
      </c>
      <c r="I98" s="14">
        <v>712.27264009839894</v>
      </c>
      <c r="J98" s="14">
        <v>0</v>
      </c>
      <c r="K98" s="14">
        <v>25.410365285656546</v>
      </c>
      <c r="L98" s="14">
        <v>3.9354019068921949E-2</v>
      </c>
      <c r="M98" s="14">
        <v>3.2289972646050456E-2</v>
      </c>
      <c r="N98" s="14">
        <v>1343.1528614371223</v>
      </c>
      <c r="O98" s="14">
        <v>713791.7251535299</v>
      </c>
      <c r="P98" s="8">
        <v>1343.1528614371225</v>
      </c>
      <c r="Q98" s="54">
        <v>0.20120847176943138</v>
      </c>
    </row>
    <row r="99" spans="1:17">
      <c r="A99" s="2" t="s">
        <v>476</v>
      </c>
      <c r="B99" s="16" t="s">
        <v>477</v>
      </c>
      <c r="D99" s="14">
        <v>1</v>
      </c>
      <c r="E99" s="14">
        <v>0.99158974434058889</v>
      </c>
      <c r="F99" s="14">
        <v>0.99196440214821535</v>
      </c>
      <c r="G99" s="14">
        <v>1.9275452181799204E-9</v>
      </c>
      <c r="H99" s="14">
        <v>2.3376316960445301E-2</v>
      </c>
      <c r="I99" s="14">
        <v>0.10065451441269817</v>
      </c>
      <c r="J99" s="14">
        <v>0</v>
      </c>
      <c r="K99" s="14">
        <v>1.0081006917530333</v>
      </c>
      <c r="L99" s="14">
        <v>0.99196440214821535</v>
      </c>
      <c r="M99" s="14">
        <v>0.81390679196261073</v>
      </c>
      <c r="N99" s="14">
        <v>0.18605632184129228</v>
      </c>
      <c r="O99" s="14">
        <v>24.031034529021312</v>
      </c>
      <c r="P99" s="8">
        <v>0.18605632184129231</v>
      </c>
      <c r="Q99" s="54">
        <v>5.6316189031264717E-3</v>
      </c>
    </row>
    <row r="100" spans="1:17">
      <c r="A100" s="2" t="s">
        <v>478</v>
      </c>
      <c r="B100" s="16" t="s">
        <v>479</v>
      </c>
      <c r="D100" s="14">
        <v>1</v>
      </c>
      <c r="E100" s="14">
        <v>0.51304105890671392</v>
      </c>
      <c r="F100" s="14">
        <v>0.48251928769157237</v>
      </c>
      <c r="G100" s="14">
        <v>6.652167340742738E-13</v>
      </c>
      <c r="H100" s="14">
        <v>70.134980089293563</v>
      </c>
      <c r="I100" s="14">
        <v>158.77855630626806</v>
      </c>
      <c r="J100" s="14">
        <v>0</v>
      </c>
      <c r="K100" s="14">
        <v>2.0724560147307578</v>
      </c>
      <c r="L100" s="14">
        <v>0.48251928769157237</v>
      </c>
      <c r="M100" s="14">
        <v>0.39590707555093513</v>
      </c>
      <c r="N100" s="14">
        <v>287.73537317930584</v>
      </c>
      <c r="O100" s="14">
        <v>86263.064879155892</v>
      </c>
      <c r="P100" s="8">
        <v>287.73537317930584</v>
      </c>
      <c r="Q100" s="54">
        <v>0.25881643379036406</v>
      </c>
    </row>
    <row r="101" spans="1:17">
      <c r="A101" s="2" t="s">
        <v>480</v>
      </c>
      <c r="B101" s="16" t="s">
        <v>481</v>
      </c>
      <c r="D101" s="14">
        <v>1</v>
      </c>
      <c r="E101" s="14">
        <v>0.98586978491173372</v>
      </c>
      <c r="F101" s="14">
        <v>0.98622241579354941</v>
      </c>
      <c r="G101" s="14">
        <v>5.1866071815813172E-13</v>
      </c>
      <c r="H101" s="14">
        <v>6.3190947796116739E-2</v>
      </c>
      <c r="I101" s="14">
        <v>0.25276214959714188</v>
      </c>
      <c r="J101" s="14">
        <v>0</v>
      </c>
      <c r="K101" s="14">
        <v>1.0139700578549156</v>
      </c>
      <c r="L101" s="14">
        <v>0.98622241579354952</v>
      </c>
      <c r="M101" s="14">
        <v>0.80919549215860742</v>
      </c>
      <c r="N101" s="14">
        <v>0.44422872760838594</v>
      </c>
      <c r="O101" s="14">
        <v>105.7975137672132</v>
      </c>
      <c r="P101" s="8">
        <v>0.444228727608386</v>
      </c>
      <c r="Q101" s="54">
        <v>9.4300075431404326E-3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0.99643335853157888</v>
      </c>
      <c r="F102" s="14">
        <v>0.99681953875449658</v>
      </c>
      <c r="G102" s="14">
        <v>3.2596054084758999E-29</v>
      </c>
      <c r="H102" s="14">
        <v>4.5095846345220318E-3</v>
      </c>
      <c r="I102" s="14">
        <v>2.1927731908395053E-2</v>
      </c>
      <c r="J102" s="14">
        <v>0</v>
      </c>
      <c r="K102" s="14">
        <v>1.0031906088533109</v>
      </c>
      <c r="L102" s="14">
        <v>0.99681953875449658</v>
      </c>
      <c r="M102" s="14">
        <v>0.81789043154806451</v>
      </c>
      <c r="N102" s="14">
        <v>5.3937296522016405E-2</v>
      </c>
      <c r="O102" s="14">
        <v>24.834349437632014</v>
      </c>
      <c r="P102" s="8">
        <v>5.3937296522016405E-2</v>
      </c>
      <c r="Q102" s="54">
        <v>2.3943835096643588E-3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0.99185859755930394</v>
      </c>
      <c r="F103" s="14">
        <v>0.99223407104797134</v>
      </c>
      <c r="G103" s="14">
        <v>2.5999956617311963E-15</v>
      </c>
      <c r="H103" s="14">
        <v>2.1965653861609511E-2</v>
      </c>
      <c r="I103" s="14">
        <v>9.5016998296866578E-2</v>
      </c>
      <c r="J103" s="14">
        <v>0</v>
      </c>
      <c r="K103" s="14">
        <v>1.0078267106307148</v>
      </c>
      <c r="L103" s="14">
        <v>0.99223407104797134</v>
      </c>
      <c r="M103" s="14">
        <v>0.81412805529486054</v>
      </c>
      <c r="N103" s="14">
        <v>0.17654226015271693</v>
      </c>
      <c r="O103" s="14">
        <v>36.235298896345149</v>
      </c>
      <c r="P103" s="8">
        <v>0.17654226015271693</v>
      </c>
      <c r="Q103" s="54">
        <v>5.4525707112997529E-3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0.95330553102567406</v>
      </c>
      <c r="F104" s="14">
        <v>0.95337722216528853</v>
      </c>
      <c r="G104" s="14">
        <v>3.2044482277411803E-11</v>
      </c>
      <c r="H104" s="14">
        <v>0.62506440996649615</v>
      </c>
      <c r="I104" s="14">
        <v>2.1065993334708724</v>
      </c>
      <c r="J104" s="14">
        <v>0</v>
      </c>
      <c r="K104" s="14">
        <v>1.0489027603667969</v>
      </c>
      <c r="L104" s="14">
        <v>0.95337722216528853</v>
      </c>
      <c r="M104" s="14">
        <v>0.78224601078661926</v>
      </c>
      <c r="N104" s="14">
        <v>3.6493519443806361</v>
      </c>
      <c r="O104" s="14">
        <v>551.63603991257696</v>
      </c>
      <c r="P104" s="8">
        <v>3.6493519443806361</v>
      </c>
      <c r="Q104" s="54">
        <v>3.0632464750995639E-2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0.99572136362865593</v>
      </c>
      <c r="F105" s="14">
        <v>0.99610628394267986</v>
      </c>
      <c r="G105" s="14">
        <v>2.5923531704591386E-18</v>
      </c>
      <c r="H105" s="14">
        <v>6.395370066095649E-3</v>
      </c>
      <c r="I105" s="14">
        <v>3.0305597480550651E-2</v>
      </c>
      <c r="J105" s="14">
        <v>0</v>
      </c>
      <c r="K105" s="14">
        <v>1.0039089363455358</v>
      </c>
      <c r="L105" s="14">
        <v>0.99610628394267986</v>
      </c>
      <c r="M105" s="14">
        <v>0.81730520597496881</v>
      </c>
      <c r="N105" s="14">
        <v>6.7884563478346441E-2</v>
      </c>
      <c r="O105" s="14">
        <v>23.037305462011648</v>
      </c>
      <c r="P105" s="8">
        <v>6.7884563478346441E-2</v>
      </c>
      <c r="Q105" s="54">
        <v>2.8715927661479381E-3</v>
      </c>
    </row>
    <row r="106" spans="1:17">
      <c r="A106" s="2" t="s">
        <v>490</v>
      </c>
      <c r="B106" s="16" t="s">
        <v>491</v>
      </c>
      <c r="D106" s="14">
        <v>1</v>
      </c>
      <c r="E106" s="14">
        <v>0.84115418275114462</v>
      </c>
      <c r="F106" s="14">
        <v>0.83840970716000152</v>
      </c>
      <c r="G106" s="14">
        <v>1.4320058285604231E-10</v>
      </c>
      <c r="H106" s="14">
        <v>6.7006401911905629</v>
      </c>
      <c r="I106" s="14">
        <v>18.783368066154193</v>
      </c>
      <c r="J106" s="14">
        <v>0</v>
      </c>
      <c r="K106" s="14">
        <v>1.1927342818910858</v>
      </c>
      <c r="L106" s="14">
        <v>0.83840970716000152</v>
      </c>
      <c r="M106" s="14">
        <v>0.68791516472478131</v>
      </c>
      <c r="N106" s="14">
        <v>33.156201411733008</v>
      </c>
      <c r="O106" s="14">
        <v>6370.300977236263</v>
      </c>
      <c r="P106" s="8">
        <v>33.156201411733008</v>
      </c>
      <c r="Q106" s="54">
        <v>9.916843708768143E-2</v>
      </c>
    </row>
    <row r="107" spans="1:17">
      <c r="A107" s="2" t="s">
        <v>492</v>
      </c>
      <c r="B107" s="16" t="s">
        <v>493</v>
      </c>
      <c r="D107" s="14">
        <v>1</v>
      </c>
      <c r="E107" s="14">
        <v>0.22137828793906292</v>
      </c>
      <c r="F107" s="14">
        <v>3.0393965142160986E-2</v>
      </c>
      <c r="G107" s="14">
        <v>5.4124743190858906E-18</v>
      </c>
      <c r="H107" s="14">
        <v>462.55924030652324</v>
      </c>
      <c r="I107" s="14">
        <v>743.40338081120524</v>
      </c>
      <c r="J107" s="14">
        <v>0</v>
      </c>
      <c r="K107" s="14">
        <v>32.901268239360121</v>
      </c>
      <c r="L107" s="14">
        <v>3.039396514216099E-2</v>
      </c>
      <c r="M107" s="14">
        <v>2.493824839914309E-2</v>
      </c>
      <c r="N107" s="14">
        <v>1406.0570988090781</v>
      </c>
      <c r="O107" s="14">
        <v>639193.55711860699</v>
      </c>
      <c r="P107" s="8">
        <v>1406.0570988090783</v>
      </c>
      <c r="Q107" s="54">
        <v>0.18408759833886534</v>
      </c>
    </row>
    <row r="108" spans="1:17">
      <c r="A108" s="2" t="s">
        <v>291</v>
      </c>
      <c r="B108" s="16" t="s">
        <v>494</v>
      </c>
      <c r="D108" s="14">
        <v>1</v>
      </c>
      <c r="E108" s="14">
        <v>0.56122617465200664</v>
      </c>
      <c r="F108" s="14">
        <v>0.53721980582293127</v>
      </c>
      <c r="G108" s="14">
        <v>3.7047636191489809E-12</v>
      </c>
      <c r="H108" s="14">
        <v>55.021448000462428</v>
      </c>
      <c r="I108" s="14">
        <v>127.81716667617583</v>
      </c>
      <c r="J108" s="14">
        <v>0</v>
      </c>
      <c r="K108" s="14">
        <v>1.8614354667512054</v>
      </c>
      <c r="L108" s="14">
        <v>0.53721980582293127</v>
      </c>
      <c r="M108" s="14">
        <v>0.44078885067771512</v>
      </c>
      <c r="N108" s="14">
        <v>230.88537218890013</v>
      </c>
      <c r="O108" s="14">
        <v>71188.886807003568</v>
      </c>
      <c r="P108" s="8">
        <v>230.88537218890013</v>
      </c>
      <c r="Q108" s="54">
        <v>0.24009835596817392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9.285140216542345E-5</v>
      </c>
      <c r="E2" s="20">
        <v>0.79852230890305242</v>
      </c>
      <c r="F2" s="20">
        <v>3.7745282606873576E-3</v>
      </c>
      <c r="G2" s="20">
        <v>1.0994063390913514E-3</v>
      </c>
      <c r="H2" s="20">
        <v>0</v>
      </c>
      <c r="I2" s="20">
        <v>0.79364837430327373</v>
      </c>
      <c r="J2" s="20">
        <v>1.84607648203928E-2</v>
      </c>
      <c r="K2" s="20">
        <v>0.18292407487438939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2.5431971359464703E-3</v>
      </c>
      <c r="E3" s="20">
        <v>6.4317811644270376E-2</v>
      </c>
      <c r="F3" s="20">
        <v>1.7212907729732281E-2</v>
      </c>
      <c r="G3" s="20">
        <v>4.6639060789697387E-2</v>
      </c>
      <c r="H3" s="20">
        <v>0</v>
      </c>
      <c r="I3" s="20">
        <v>4.6584312484070599E-4</v>
      </c>
      <c r="J3" s="20">
        <v>0.87497389824482652</v>
      </c>
      <c r="K3" s="20">
        <v>5.8165092974956353E-2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5.3589971036920383E-12</v>
      </c>
      <c r="E4" s="20">
        <v>0.46876969196950485</v>
      </c>
      <c r="F4" s="20">
        <v>3.0518117248406501E-2</v>
      </c>
      <c r="G4" s="20">
        <v>7.2853981745242399E-3</v>
      </c>
      <c r="H4" s="20">
        <v>0</v>
      </c>
      <c r="I4" s="20">
        <v>0.4309661765465741</v>
      </c>
      <c r="J4" s="20">
        <v>0.12537995960698764</v>
      </c>
      <c r="K4" s="20">
        <v>0.40585034841814854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2.1207730226371023E-4</v>
      </c>
      <c r="E5" s="20">
        <v>0.16637086271957879</v>
      </c>
      <c r="F5" s="20">
        <v>0.11944511837721485</v>
      </c>
      <c r="G5" s="20">
        <v>3.4662825478727816E-2</v>
      </c>
      <c r="H5" s="20">
        <v>0</v>
      </c>
      <c r="I5" s="20">
        <v>1.2262918863636136E-2</v>
      </c>
      <c r="J5" s="20">
        <v>0.62764964998708717</v>
      </c>
      <c r="K5" s="20">
        <v>0.20576740999107024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7.3290471119758658E-6</v>
      </c>
      <c r="E6" s="20">
        <v>5.7583220347009807E-2</v>
      </c>
      <c r="F6" s="20">
        <v>9.7100558592131854E-3</v>
      </c>
      <c r="G6" s="20">
        <v>4.7688897652154276E-2</v>
      </c>
      <c r="H6" s="20">
        <v>0</v>
      </c>
      <c r="I6" s="20">
        <v>1.8426683564234827E-4</v>
      </c>
      <c r="J6" s="20">
        <v>0.90315129299934127</v>
      </c>
      <c r="K6" s="20">
        <v>3.9258157606537114E-2</v>
      </c>
      <c r="L6" s="20">
        <v>0</v>
      </c>
    </row>
    <row r="7" spans="1:14">
      <c r="A7" s="2" t="s">
        <v>321</v>
      </c>
      <c r="B7" s="3" t="s">
        <v>322</v>
      </c>
      <c r="D7" s="20">
        <v>1.1970216211900977E-5</v>
      </c>
      <c r="E7" s="20">
        <v>6.3217521039305155E-2</v>
      </c>
      <c r="F7" s="20">
        <v>1.5877283877411542E-2</v>
      </c>
      <c r="G7" s="20">
        <v>4.6932292119740184E-2</v>
      </c>
      <c r="H7" s="20">
        <v>0</v>
      </c>
      <c r="I7" s="20">
        <v>4.0794504215342837E-4</v>
      </c>
      <c r="J7" s="20">
        <v>0.88169171812911118</v>
      </c>
      <c r="K7" s="20">
        <v>5.5078790615371631E-2</v>
      </c>
      <c r="L7" s="20">
        <v>0</v>
      </c>
    </row>
    <row r="8" spans="1:14">
      <c r="A8" s="2" t="s">
        <v>323</v>
      </c>
      <c r="B8" s="3" t="s">
        <v>324</v>
      </c>
      <c r="D8" s="20">
        <v>1.3560832527511428E-4</v>
      </c>
      <c r="E8" s="20">
        <v>7.5328060180764503E-2</v>
      </c>
      <c r="F8" s="20">
        <v>2.8984149924179629E-2</v>
      </c>
      <c r="G8" s="20">
        <v>4.525391146343595E-2</v>
      </c>
      <c r="H8" s="20">
        <v>0</v>
      </c>
      <c r="I8" s="20">
        <v>1.0899987931489224E-3</v>
      </c>
      <c r="J8" s="20">
        <v>0.84159542962764289</v>
      </c>
      <c r="K8" s="20">
        <v>8.294090186631746E-2</v>
      </c>
      <c r="L8" s="20">
        <v>0</v>
      </c>
    </row>
    <row r="9" spans="1:14">
      <c r="A9" s="2" t="s">
        <v>325</v>
      </c>
      <c r="B9" s="3" t="s">
        <v>326</v>
      </c>
      <c r="D9" s="20">
        <v>1.8062888295863715E-4</v>
      </c>
      <c r="E9" s="20">
        <v>0.23344732782512015</v>
      </c>
      <c r="F9" s="20">
        <v>0.10642935031738154</v>
      </c>
      <c r="G9" s="20">
        <v>2.0900513986887647E-2</v>
      </c>
      <c r="H9" s="20">
        <v>0</v>
      </c>
      <c r="I9" s="20">
        <v>0.10611746352085095</v>
      </c>
      <c r="J9" s="20">
        <v>0.36856762994313952</v>
      </c>
      <c r="K9" s="20">
        <v>0.39780441334878169</v>
      </c>
      <c r="L9" s="20">
        <v>0</v>
      </c>
    </row>
    <row r="10" spans="1:14">
      <c r="A10" s="2" t="s">
        <v>275</v>
      </c>
      <c r="B10" s="3" t="s">
        <v>276</v>
      </c>
      <c r="D10" s="20">
        <v>2.6098231761317312E-6</v>
      </c>
      <c r="E10" s="20">
        <v>0.15847194524872305</v>
      </c>
      <c r="F10" s="20">
        <v>0.11206894882297405</v>
      </c>
      <c r="G10" s="20">
        <v>3.5479774732704826E-2</v>
      </c>
      <c r="H10" s="20">
        <v>0</v>
      </c>
      <c r="I10" s="20">
        <v>1.0923221693044169E-2</v>
      </c>
      <c r="J10" s="20">
        <v>0.64333008428237359</v>
      </c>
      <c r="K10" s="20">
        <v>0.19819536064572715</v>
      </c>
      <c r="L10" s="20">
        <v>0</v>
      </c>
    </row>
    <row r="11" spans="1:14">
      <c r="A11" s="2" t="s">
        <v>327</v>
      </c>
      <c r="B11" s="3" t="s">
        <v>328</v>
      </c>
      <c r="D11" s="20">
        <v>1.2648309206088343E-4</v>
      </c>
      <c r="E11" s="20">
        <v>0.1461801057843769</v>
      </c>
      <c r="F11" s="20">
        <v>0.10043999649771211</v>
      </c>
      <c r="G11" s="20">
        <v>3.6762263555830697E-2</v>
      </c>
      <c r="H11" s="20">
        <v>0</v>
      </c>
      <c r="I11" s="20">
        <v>8.9778457308340859E-3</v>
      </c>
      <c r="J11" s="20">
        <v>0.66812037431226057</v>
      </c>
      <c r="K11" s="20">
        <v>0.18557303681130161</v>
      </c>
      <c r="L11" s="20">
        <v>0</v>
      </c>
    </row>
    <row r="12" spans="1:14">
      <c r="A12" s="2" t="s">
        <v>329</v>
      </c>
      <c r="B12" s="3" t="s">
        <v>330</v>
      </c>
      <c r="D12" s="20">
        <v>1.0185764431050927E-4</v>
      </c>
      <c r="E12" s="20">
        <v>0.22139319377004665</v>
      </c>
      <c r="F12" s="20">
        <v>0.12447090373394648</v>
      </c>
      <c r="G12" s="20">
        <v>2.3515997111472984E-2</v>
      </c>
      <c r="H12" s="20">
        <v>0</v>
      </c>
      <c r="I12" s="20">
        <v>7.3406292924627192E-2</v>
      </c>
      <c r="J12" s="20">
        <v>0.41669872862549562</v>
      </c>
      <c r="K12" s="20">
        <v>0.36180621996014728</v>
      </c>
      <c r="L12" s="20">
        <v>0</v>
      </c>
    </row>
    <row r="13" spans="1:14">
      <c r="A13" s="2" t="s">
        <v>277</v>
      </c>
      <c r="B13" s="3" t="s">
        <v>278</v>
      </c>
      <c r="D13" s="20">
        <v>2.8319388122069244E-4</v>
      </c>
      <c r="E13" s="20">
        <v>0.23184651542796986</v>
      </c>
      <c r="F13" s="20">
        <v>0.10813295728573551</v>
      </c>
      <c r="G13" s="20">
        <v>2.1156978068980439E-2</v>
      </c>
      <c r="H13" s="20">
        <v>0</v>
      </c>
      <c r="I13" s="20">
        <v>0.10255658007325391</v>
      </c>
      <c r="J13" s="20">
        <v>0.37326194464830331</v>
      </c>
      <c r="K13" s="20">
        <v>0.39460834604250622</v>
      </c>
      <c r="L13" s="20">
        <v>0</v>
      </c>
    </row>
    <row r="14" spans="1:14">
      <c r="A14" s="2" t="s">
        <v>331</v>
      </c>
      <c r="B14" s="3" t="s">
        <v>332</v>
      </c>
      <c r="D14" s="20">
        <v>6.7798070258336547E-5</v>
      </c>
      <c r="E14" s="20">
        <v>0.11513708499269169</v>
      </c>
      <c r="F14" s="20">
        <v>7.0111869508479294E-2</v>
      </c>
      <c r="G14" s="20">
        <v>4.0233434086706085E-2</v>
      </c>
      <c r="H14" s="20">
        <v>0</v>
      </c>
      <c r="I14" s="20">
        <v>4.791781397506311E-3</v>
      </c>
      <c r="J14" s="20">
        <v>0.73644095535816012</v>
      </c>
      <c r="K14" s="20">
        <v>0.14835416157888992</v>
      </c>
      <c r="L14" s="20">
        <v>0</v>
      </c>
    </row>
    <row r="15" spans="1:14">
      <c r="A15" s="2" t="s">
        <v>333</v>
      </c>
      <c r="B15" s="3" t="s">
        <v>334</v>
      </c>
      <c r="D15" s="20">
        <v>1.4273749995013552E-7</v>
      </c>
      <c r="E15" s="20">
        <v>0.15218924943823436</v>
      </c>
      <c r="F15" s="20">
        <v>0.10614811852514024</v>
      </c>
      <c r="G15" s="20">
        <v>3.6133319072119925E-2</v>
      </c>
      <c r="H15" s="20">
        <v>0</v>
      </c>
      <c r="I15" s="20">
        <v>9.9078118409742025E-3</v>
      </c>
      <c r="J15" s="20">
        <v>0.65593468276119626</v>
      </c>
      <c r="K15" s="20">
        <v>0.19187592506306944</v>
      </c>
      <c r="L15" s="20">
        <v>0</v>
      </c>
    </row>
    <row r="16" spans="1:14">
      <c r="A16" s="2" t="s">
        <v>335</v>
      </c>
      <c r="B16" s="3" t="s">
        <v>336</v>
      </c>
      <c r="D16" s="20">
        <v>3.558192986534879E-4</v>
      </c>
      <c r="E16" s="20">
        <v>7.6047680657968741E-2</v>
      </c>
      <c r="F16" s="20">
        <v>2.9764851092602813E-2</v>
      </c>
      <c r="G16" s="20">
        <v>4.5143920201028802E-2</v>
      </c>
      <c r="H16" s="20">
        <v>0</v>
      </c>
      <c r="I16" s="20">
        <v>1.1389093643371223E-3</v>
      </c>
      <c r="J16" s="20">
        <v>0.83916356233180223</v>
      </c>
      <c r="K16" s="20">
        <v>8.4432937711575395E-2</v>
      </c>
      <c r="L16" s="20">
        <v>0</v>
      </c>
    </row>
    <row r="17" spans="1:12">
      <c r="A17" s="2" t="s">
        <v>337</v>
      </c>
      <c r="B17" s="3" t="s">
        <v>338</v>
      </c>
      <c r="D17" s="20">
        <v>5.369929044613933E-5</v>
      </c>
      <c r="E17" s="20">
        <v>0.16370449423708464</v>
      </c>
      <c r="F17" s="20">
        <v>0.11696145495237409</v>
      </c>
      <c r="G17" s="20">
        <v>3.4941240340708557E-2</v>
      </c>
      <c r="H17" s="20">
        <v>0</v>
      </c>
      <c r="I17" s="20">
        <v>1.1801798944001997E-2</v>
      </c>
      <c r="J17" s="20">
        <v>0.63298226196510721</v>
      </c>
      <c r="K17" s="20">
        <v>0.20325954450736189</v>
      </c>
      <c r="L17" s="20">
        <v>0</v>
      </c>
    </row>
    <row r="18" spans="1:12">
      <c r="A18" s="2" t="s">
        <v>279</v>
      </c>
      <c r="B18" s="3" t="s">
        <v>280</v>
      </c>
      <c r="D18" s="20">
        <v>5.2389959430001517E-3</v>
      </c>
      <c r="E18" s="20">
        <v>0.24054795056674813</v>
      </c>
      <c r="F18" s="20">
        <v>9.8247673936659008E-2</v>
      </c>
      <c r="G18" s="20">
        <v>1.9616333319208902E-2</v>
      </c>
      <c r="H18" s="20">
        <v>0</v>
      </c>
      <c r="I18" s="20">
        <v>0.12268394331088023</v>
      </c>
      <c r="J18" s="20">
        <v>0.34520631521409995</v>
      </c>
      <c r="K18" s="20">
        <v>0.40900673827615186</v>
      </c>
      <c r="L18" s="20">
        <v>0</v>
      </c>
    </row>
    <row r="19" spans="1:12">
      <c r="A19" s="2" t="s">
        <v>339</v>
      </c>
      <c r="B19" s="3" t="s">
        <v>340</v>
      </c>
      <c r="D19" s="20">
        <v>4.9668096590530927E-7</v>
      </c>
      <c r="E19" s="20">
        <v>0.1509678664180808</v>
      </c>
      <c r="F19" s="20">
        <v>0.1049909177293559</v>
      </c>
      <c r="G19" s="20">
        <v>3.6261627084446517E-2</v>
      </c>
      <c r="H19" s="20">
        <v>0</v>
      </c>
      <c r="I19" s="20">
        <v>9.7153216042783746E-3</v>
      </c>
      <c r="J19" s="20">
        <v>0.65841538846351511</v>
      </c>
      <c r="K19" s="20">
        <v>0.1906162484374383</v>
      </c>
      <c r="L19" s="20">
        <v>0</v>
      </c>
    </row>
    <row r="20" spans="1:12">
      <c r="A20" s="2" t="s">
        <v>281</v>
      </c>
      <c r="B20" s="3" t="s">
        <v>282</v>
      </c>
      <c r="D20" s="20">
        <v>4.2873432245234371E-5</v>
      </c>
      <c r="E20" s="20">
        <v>0.23190224866996401</v>
      </c>
      <c r="F20" s="20">
        <v>0.10815895120789916</v>
      </c>
      <c r="G20" s="20">
        <v>2.1162063963743212E-2</v>
      </c>
      <c r="H20" s="20">
        <v>0</v>
      </c>
      <c r="I20" s="20">
        <v>0.10258123349832163</v>
      </c>
      <c r="J20" s="20">
        <v>0.37335167253681556</v>
      </c>
      <c r="K20" s="20">
        <v>0.39470320536097514</v>
      </c>
      <c r="L20" s="20">
        <v>0</v>
      </c>
    </row>
    <row r="21" spans="1:12">
      <c r="A21" s="2" t="s">
        <v>341</v>
      </c>
      <c r="B21" s="3" t="s">
        <v>342</v>
      </c>
      <c r="D21" s="20">
        <v>6.0378736209140661E-4</v>
      </c>
      <c r="E21" s="20">
        <v>0.12306260499926736</v>
      </c>
      <c r="F21" s="20">
        <v>7.8011429022214904E-2</v>
      </c>
      <c r="G21" s="20">
        <v>3.9287445249725828E-2</v>
      </c>
      <c r="H21" s="20">
        <v>0</v>
      </c>
      <c r="I21" s="20">
        <v>5.7637307273266242E-3</v>
      </c>
      <c r="J21" s="20">
        <v>0.71763744720954703</v>
      </c>
      <c r="K21" s="20">
        <v>0.15869616042909424</v>
      </c>
      <c r="L21" s="20">
        <v>0</v>
      </c>
    </row>
    <row r="22" spans="1:12">
      <c r="A22" s="2" t="s">
        <v>343</v>
      </c>
      <c r="B22" s="3" t="s">
        <v>344</v>
      </c>
      <c r="D22" s="20">
        <v>2.1374358161141012E-3</v>
      </c>
      <c r="E22" s="20">
        <v>0.63045446520356607</v>
      </c>
      <c r="F22" s="20">
        <v>1.3090833443202195E-2</v>
      </c>
      <c r="G22" s="20">
        <v>3.4139947794103701E-3</v>
      </c>
      <c r="H22" s="20">
        <v>0</v>
      </c>
      <c r="I22" s="20">
        <v>0.61394963698095351</v>
      </c>
      <c r="J22" s="20">
        <v>5.8111258794975779E-2</v>
      </c>
      <c r="K22" s="20">
        <v>0.30929684018534398</v>
      </c>
      <c r="L22" s="20">
        <v>0</v>
      </c>
    </row>
    <row r="23" spans="1:12">
      <c r="A23" s="2" t="s">
        <v>345</v>
      </c>
      <c r="B23" s="3" t="s">
        <v>346</v>
      </c>
      <c r="D23" s="20">
        <v>8.6819068781523388E-5</v>
      </c>
      <c r="E23" s="20">
        <v>0.74755388460918781</v>
      </c>
      <c r="F23" s="20">
        <v>5.949621504229047E-3</v>
      </c>
      <c r="G23" s="20">
        <v>1.6671892202656323E-3</v>
      </c>
      <c r="H23" s="20">
        <v>0</v>
      </c>
      <c r="I23" s="20">
        <v>0.7399370738846931</v>
      </c>
      <c r="J23" s="20">
        <v>2.8127330628800688E-2</v>
      </c>
      <c r="K23" s="20">
        <v>0.22423196569323012</v>
      </c>
      <c r="L23" s="20">
        <v>0</v>
      </c>
    </row>
    <row r="24" spans="1:12">
      <c r="A24" s="2" t="s">
        <v>347</v>
      </c>
      <c r="B24" s="3" t="s">
        <v>348</v>
      </c>
      <c r="D24" s="20">
        <v>1.0381975264062962E-4</v>
      </c>
      <c r="E24" s="20">
        <v>0.32399810511487159</v>
      </c>
      <c r="F24" s="20">
        <v>6.0388494780364212E-2</v>
      </c>
      <c r="G24" s="20">
        <v>1.3171940494052244E-2</v>
      </c>
      <c r="H24" s="20">
        <v>0</v>
      </c>
      <c r="I24" s="20">
        <v>0.25043766984045512</v>
      </c>
      <c r="J24" s="20">
        <v>0.22925316357397515</v>
      </c>
      <c r="K24" s="20">
        <v>0.44664491155851271</v>
      </c>
      <c r="L24" s="20">
        <v>0</v>
      </c>
    </row>
    <row r="25" spans="1:12">
      <c r="A25" s="2" t="s">
        <v>349</v>
      </c>
      <c r="B25" s="3" t="s">
        <v>350</v>
      </c>
      <c r="D25" s="20">
        <v>2.7381882433586878E-2</v>
      </c>
      <c r="E25" s="20">
        <v>0.21202879659930954</v>
      </c>
      <c r="F25" s="20">
        <v>0.14326414634497828</v>
      </c>
      <c r="G25" s="20">
        <v>2.5753310954964477E-2</v>
      </c>
      <c r="H25" s="20">
        <v>0</v>
      </c>
      <c r="I25" s="20">
        <v>4.3011339299366784E-2</v>
      </c>
      <c r="J25" s="20">
        <v>0.45918761769255723</v>
      </c>
      <c r="K25" s="20">
        <v>0.30140170327454635</v>
      </c>
      <c r="L25" s="20">
        <v>0</v>
      </c>
    </row>
    <row r="26" spans="1:12">
      <c r="A26" s="2" t="s">
        <v>351</v>
      </c>
      <c r="B26" s="3" t="s">
        <v>352</v>
      </c>
      <c r="D26" s="20">
        <v>5.0540568404969244E-4</v>
      </c>
      <c r="E26" s="20">
        <v>0.12884901496844828</v>
      </c>
      <c r="F26" s="20">
        <v>8.3697856680040067E-2</v>
      </c>
      <c r="G26" s="20">
        <v>3.8637577765285328E-2</v>
      </c>
      <c r="H26" s="20">
        <v>0</v>
      </c>
      <c r="I26" s="20">
        <v>6.513580523122872E-3</v>
      </c>
      <c r="J26" s="20">
        <v>0.70479288824174835</v>
      </c>
      <c r="K26" s="20">
        <v>0.16585269110575365</v>
      </c>
      <c r="L26" s="20">
        <v>0</v>
      </c>
    </row>
    <row r="27" spans="1:12">
      <c r="A27" s="2" t="s">
        <v>353</v>
      </c>
      <c r="B27" s="3" t="s">
        <v>354</v>
      </c>
      <c r="D27" s="20">
        <v>1.7957311279650735E-3</v>
      </c>
      <c r="E27" s="20">
        <v>6.5497922717582008E-2</v>
      </c>
      <c r="F27" s="20">
        <v>1.845931265963386E-2</v>
      </c>
      <c r="G27" s="20">
        <v>4.6516933915911017E-2</v>
      </c>
      <c r="H27" s="20">
        <v>0</v>
      </c>
      <c r="I27" s="20">
        <v>5.2167614203713314E-4</v>
      </c>
      <c r="J27" s="20">
        <v>0.87167910859274056</v>
      </c>
      <c r="K27" s="20">
        <v>6.1027237561712459E-2</v>
      </c>
      <c r="L27" s="20">
        <v>0</v>
      </c>
    </row>
    <row r="28" spans="1:12">
      <c r="A28" s="2" t="s">
        <v>355</v>
      </c>
      <c r="B28" s="3" t="s">
        <v>356</v>
      </c>
      <c r="D28" s="20">
        <v>1.4326879386034749E-4</v>
      </c>
      <c r="E28" s="20">
        <v>9.5517221212267481E-2</v>
      </c>
      <c r="F28" s="20">
        <v>5.0190996647210114E-2</v>
      </c>
      <c r="G28" s="20">
        <v>4.2610965519273562E-2</v>
      </c>
      <c r="H28" s="20">
        <v>0</v>
      </c>
      <c r="I28" s="20">
        <v>2.7152590457838097E-3</v>
      </c>
      <c r="J28" s="20">
        <v>0.78482132054127052</v>
      </c>
      <c r="K28" s="20">
        <v>0.11951818945260154</v>
      </c>
      <c r="L28" s="20">
        <v>0</v>
      </c>
    </row>
    <row r="29" spans="1:12">
      <c r="A29" s="2" t="s">
        <v>357</v>
      </c>
      <c r="B29" s="3" t="s">
        <v>358</v>
      </c>
      <c r="D29" s="20">
        <v>3.4879374488534308E-2</v>
      </c>
      <c r="E29" s="20">
        <v>0.11361554997891943</v>
      </c>
      <c r="F29" s="20">
        <v>7.0152459670880352E-2</v>
      </c>
      <c r="G29" s="20">
        <v>3.8542373718717882E-2</v>
      </c>
      <c r="H29" s="20">
        <v>0</v>
      </c>
      <c r="I29" s="20">
        <v>4.9207165893211946E-3</v>
      </c>
      <c r="J29" s="20">
        <v>0.70500053366595394</v>
      </c>
      <c r="K29" s="20">
        <v>0.1465045418665924</v>
      </c>
      <c r="L29" s="20">
        <v>0</v>
      </c>
    </row>
    <row r="30" spans="1:12">
      <c r="A30" s="2" t="s">
        <v>359</v>
      </c>
      <c r="B30" s="3" t="s">
        <v>360</v>
      </c>
      <c r="D30" s="20">
        <v>1.4326879386034749E-4</v>
      </c>
      <c r="E30" s="20">
        <v>9.5517221212267481E-2</v>
      </c>
      <c r="F30" s="20">
        <v>5.0190996647210114E-2</v>
      </c>
      <c r="G30" s="20">
        <v>4.2610965519273562E-2</v>
      </c>
      <c r="H30" s="20">
        <v>0</v>
      </c>
      <c r="I30" s="20">
        <v>2.7152590457838097E-3</v>
      </c>
      <c r="J30" s="20">
        <v>0.78482132054127052</v>
      </c>
      <c r="K30" s="20">
        <v>0.11951818945260154</v>
      </c>
      <c r="L30" s="20">
        <v>0</v>
      </c>
    </row>
    <row r="31" spans="1:12">
      <c r="A31" s="2" t="s">
        <v>283</v>
      </c>
      <c r="B31" s="3" t="s">
        <v>284</v>
      </c>
      <c r="D31" s="20">
        <v>2.6137809399756691E-8</v>
      </c>
      <c r="E31" s="20">
        <v>0.97630647031623385</v>
      </c>
      <c r="F31" s="20">
        <v>5.9860921983380009E-5</v>
      </c>
      <c r="G31" s="20">
        <v>2.4023648061675735E-5</v>
      </c>
      <c r="H31" s="20">
        <v>0</v>
      </c>
      <c r="I31" s="20">
        <v>0.97622258574618881</v>
      </c>
      <c r="J31" s="20">
        <v>3.9373603827850054E-4</v>
      </c>
      <c r="K31" s="20">
        <v>2.3299767507678235E-2</v>
      </c>
      <c r="L31" s="20">
        <v>0</v>
      </c>
    </row>
    <row r="32" spans="1:12">
      <c r="A32" s="2" t="s">
        <v>361</v>
      </c>
      <c r="B32" s="3" t="s">
        <v>362</v>
      </c>
      <c r="D32" s="20">
        <v>2.4671204218026173E-8</v>
      </c>
      <c r="E32" s="20">
        <v>0.53210213979647836</v>
      </c>
      <c r="F32" s="20">
        <v>2.257577422507033E-2</v>
      </c>
      <c r="G32" s="20">
        <v>5.5662321396058268E-3</v>
      </c>
      <c r="H32" s="20">
        <v>0</v>
      </c>
      <c r="I32" s="20">
        <v>0.50396013343180224</v>
      </c>
      <c r="J32" s="20">
        <v>9.5785604498667479E-2</v>
      </c>
      <c r="K32" s="20">
        <v>0.37211223103365004</v>
      </c>
      <c r="L32" s="20">
        <v>0</v>
      </c>
    </row>
    <row r="33" spans="1:12">
      <c r="A33" s="2" t="s">
        <v>364</v>
      </c>
      <c r="B33" s="3" t="s">
        <v>365</v>
      </c>
      <c r="D33" s="20">
        <v>1.2072533513531693E-10</v>
      </c>
      <c r="E33" s="20">
        <v>0.99973499826593049</v>
      </c>
      <c r="F33" s="20">
        <v>4.2025877247765098E-4</v>
      </c>
      <c r="G33" s="20">
        <v>1.2851212660313922E-7</v>
      </c>
      <c r="H33" s="20">
        <v>0</v>
      </c>
      <c r="I33" s="20">
        <v>0.99931461098132623</v>
      </c>
      <c r="J33" s="20">
        <v>2.0787259772674988E-4</v>
      </c>
      <c r="K33" s="20">
        <v>5.7129015617256757E-5</v>
      </c>
      <c r="L33" s="20">
        <v>0</v>
      </c>
    </row>
    <row r="34" spans="1:12">
      <c r="A34" s="2" t="s">
        <v>285</v>
      </c>
      <c r="B34" s="3" t="s">
        <v>286</v>
      </c>
      <c r="D34" s="20">
        <v>5.8809705369758177E-10</v>
      </c>
      <c r="E34" s="20">
        <v>0.97454802516436312</v>
      </c>
      <c r="F34" s="20">
        <v>7.4086137260020002E-2</v>
      </c>
      <c r="G34" s="20">
        <v>6.0843117581624728E-6</v>
      </c>
      <c r="H34" s="20">
        <v>0</v>
      </c>
      <c r="I34" s="20">
        <v>0.90045580359258492</v>
      </c>
      <c r="J34" s="20">
        <v>2.5133023158316517E-2</v>
      </c>
      <c r="K34" s="20">
        <v>3.1895108922317728E-4</v>
      </c>
      <c r="L34" s="20">
        <v>0</v>
      </c>
    </row>
    <row r="35" spans="1:12">
      <c r="A35" s="2" t="s">
        <v>287</v>
      </c>
      <c r="B35" s="3" t="s">
        <v>288</v>
      </c>
      <c r="D35" s="20">
        <v>2.5189342743396184E-11</v>
      </c>
      <c r="E35" s="20">
        <v>0.94657577421239147</v>
      </c>
      <c r="F35" s="20">
        <v>0.16268038956999806</v>
      </c>
      <c r="G35" s="20">
        <v>3.1503769871321241E-5</v>
      </c>
      <c r="H35" s="20">
        <v>0</v>
      </c>
      <c r="I35" s="20">
        <v>0.78386388087252212</v>
      </c>
      <c r="J35" s="20">
        <v>5.2289018510211061E-2</v>
      </c>
      <c r="K35" s="20">
        <v>1.1352072522080249E-3</v>
      </c>
      <c r="L35" s="20">
        <v>0</v>
      </c>
    </row>
    <row r="36" spans="1:12">
      <c r="A36" s="2" t="s">
        <v>366</v>
      </c>
      <c r="B36" s="3" t="s">
        <v>305</v>
      </c>
      <c r="D36" s="20">
        <v>8.2079866246331509E-8</v>
      </c>
      <c r="E36" s="20">
        <v>0.88022256126630138</v>
      </c>
      <c r="F36" s="20">
        <v>0.39682394308304753</v>
      </c>
      <c r="G36" s="20">
        <v>1.1361604091617871E-4</v>
      </c>
      <c r="H36" s="20">
        <v>0</v>
      </c>
      <c r="I36" s="20">
        <v>0.48328500214233772</v>
      </c>
      <c r="J36" s="20">
        <v>0.11743230570729406</v>
      </c>
      <c r="K36" s="20">
        <v>2.3450509465381014E-3</v>
      </c>
      <c r="L36" s="20">
        <v>0</v>
      </c>
    </row>
    <row r="37" spans="1:12">
      <c r="A37" s="2" t="s">
        <v>289</v>
      </c>
      <c r="B37" s="3" t="s">
        <v>290</v>
      </c>
      <c r="D37" s="20">
        <v>1.0193045554511326E-14</v>
      </c>
      <c r="E37" s="20">
        <v>0.68306517593958649</v>
      </c>
      <c r="F37" s="20">
        <v>0.16948231459128921</v>
      </c>
      <c r="G37" s="20">
        <v>5.7862059485625705E-3</v>
      </c>
      <c r="H37" s="20">
        <v>0</v>
      </c>
      <c r="I37" s="20">
        <v>0.50779665539973473</v>
      </c>
      <c r="J37" s="20">
        <v>0.14494350867020322</v>
      </c>
      <c r="K37" s="20">
        <v>0.1719913153902001</v>
      </c>
      <c r="L37" s="20">
        <v>0</v>
      </c>
    </row>
    <row r="38" spans="1:12">
      <c r="A38" s="2" t="s">
        <v>291</v>
      </c>
      <c r="B38" s="3" t="s">
        <v>292</v>
      </c>
      <c r="D38" s="20">
        <v>1.8045592241570328E-12</v>
      </c>
      <c r="E38" s="20">
        <v>0.97667129666740526</v>
      </c>
      <c r="F38" s="20">
        <v>5.7440279904639242E-2</v>
      </c>
      <c r="G38" s="20">
        <v>4.7988104425682784E-5</v>
      </c>
      <c r="H38" s="20">
        <v>0</v>
      </c>
      <c r="I38" s="20">
        <v>0.91918302865834034</v>
      </c>
      <c r="J38" s="20">
        <v>2.051650318906105E-2</v>
      </c>
      <c r="K38" s="20">
        <v>2.8122001417292086E-3</v>
      </c>
      <c r="L38" s="20">
        <v>0</v>
      </c>
    </row>
    <row r="39" spans="1:12">
      <c r="A39" s="2" t="s">
        <v>367</v>
      </c>
      <c r="B39" s="3" t="s">
        <v>368</v>
      </c>
      <c r="D39" s="20">
        <v>3.2796467566680139E-5</v>
      </c>
      <c r="E39" s="20">
        <v>0.22155709716012389</v>
      </c>
      <c r="F39" s="20">
        <v>0.16865580126756491</v>
      </c>
      <c r="G39" s="20">
        <v>2.9457564658397543E-2</v>
      </c>
      <c r="H39" s="20">
        <v>0</v>
      </c>
      <c r="I39" s="20">
        <v>2.3443731234161439E-2</v>
      </c>
      <c r="J39" s="20">
        <v>0.52911745868957316</v>
      </c>
      <c r="K39" s="20">
        <v>0.24929264768273615</v>
      </c>
      <c r="L39" s="20">
        <v>0</v>
      </c>
    </row>
    <row r="40" spans="1:12">
      <c r="A40" s="2" t="s">
        <v>369</v>
      </c>
      <c r="B40" s="3" t="s">
        <v>370</v>
      </c>
      <c r="D40" s="20">
        <v>4.5830676523331861E-13</v>
      </c>
      <c r="E40" s="20">
        <v>4.9389309512306918E-2</v>
      </c>
      <c r="F40" s="20">
        <v>4.5589608124407467E-2</v>
      </c>
      <c r="G40" s="20">
        <v>3.298270239085493E-3</v>
      </c>
      <c r="H40" s="20">
        <v>0</v>
      </c>
      <c r="I40" s="20">
        <v>5.0143114881395616E-4</v>
      </c>
      <c r="J40" s="20">
        <v>0.94917652632258032</v>
      </c>
      <c r="K40" s="20">
        <v>1.4341641646546325E-3</v>
      </c>
      <c r="L40" s="20">
        <v>0</v>
      </c>
    </row>
    <row r="41" spans="1:12">
      <c r="A41" s="2" t="s">
        <v>371</v>
      </c>
      <c r="B41" s="3" t="s">
        <v>372</v>
      </c>
      <c r="D41" s="20">
        <v>8.1545264436102161E-2</v>
      </c>
      <c r="E41" s="20">
        <v>0.91386153509727552</v>
      </c>
      <c r="F41" s="20">
        <v>2.7878728360393334E-6</v>
      </c>
      <c r="G41" s="20">
        <v>1.3956242777481248E-6</v>
      </c>
      <c r="H41" s="20">
        <v>0</v>
      </c>
      <c r="I41" s="20">
        <v>0.91385735160016168</v>
      </c>
      <c r="J41" s="20">
        <v>2.7776165127596329E-5</v>
      </c>
      <c r="K41" s="20">
        <v>4.5654243014948623E-3</v>
      </c>
      <c r="L41" s="20">
        <v>0</v>
      </c>
    </row>
    <row r="42" spans="1:12">
      <c r="A42" s="2" t="s">
        <v>293</v>
      </c>
      <c r="B42" s="3" t="s">
        <v>294</v>
      </c>
      <c r="D42" s="20">
        <v>1.9389413434400862E-8</v>
      </c>
      <c r="E42" s="20">
        <v>0.60200115754112371</v>
      </c>
      <c r="F42" s="20">
        <v>1.555388508410261E-2</v>
      </c>
      <c r="G42" s="20">
        <v>3.9896467233578297E-3</v>
      </c>
      <c r="H42" s="20">
        <v>0</v>
      </c>
      <c r="I42" s="20">
        <v>0.58245762573366322</v>
      </c>
      <c r="J42" s="20">
        <v>6.8049629011676105E-2</v>
      </c>
      <c r="K42" s="20">
        <v>0.32994919405778672</v>
      </c>
      <c r="L42" s="20">
        <v>0</v>
      </c>
    </row>
    <row r="43" spans="1:12">
      <c r="A43" s="2" t="s">
        <v>373</v>
      </c>
      <c r="B43" s="3" t="s">
        <v>374</v>
      </c>
      <c r="D43" s="20">
        <v>2.6236362500180968E-7</v>
      </c>
      <c r="E43" s="20">
        <v>0.65638922127753796</v>
      </c>
      <c r="F43" s="20">
        <v>0.60206517298010154</v>
      </c>
      <c r="G43" s="20">
        <v>5.0835304254448358E-4</v>
      </c>
      <c r="H43" s="20">
        <v>0</v>
      </c>
      <c r="I43" s="20">
        <v>5.3815695254891951E-2</v>
      </c>
      <c r="J43" s="20">
        <v>0.34104438988150587</v>
      </c>
      <c r="K43" s="20">
        <v>2.5661264773311891E-3</v>
      </c>
      <c r="L43" s="20">
        <v>0</v>
      </c>
    </row>
    <row r="44" spans="1:12">
      <c r="A44" s="2" t="s">
        <v>375</v>
      </c>
      <c r="B44" s="3" t="s">
        <v>376</v>
      </c>
      <c r="D44" s="20">
        <v>8.6043537737619372E-2</v>
      </c>
      <c r="E44" s="20">
        <v>0.77535050505343284</v>
      </c>
      <c r="F44" s="20">
        <v>1.966946163956654E-3</v>
      </c>
      <c r="G44" s="20">
        <v>5.9991266230818559E-4</v>
      </c>
      <c r="H44" s="20">
        <v>0</v>
      </c>
      <c r="I44" s="20">
        <v>0.772783646227168</v>
      </c>
      <c r="J44" s="20">
        <v>1.001789276497902E-2</v>
      </c>
      <c r="K44" s="20">
        <v>0.12858806444396875</v>
      </c>
      <c r="L44" s="20">
        <v>0</v>
      </c>
    </row>
    <row r="45" spans="1:12">
      <c r="A45" s="2" t="s">
        <v>377</v>
      </c>
      <c r="B45" s="3" t="s">
        <v>378</v>
      </c>
      <c r="D45" s="20">
        <v>7.493150291511166E-4</v>
      </c>
      <c r="E45" s="20">
        <v>0.57448311738862501</v>
      </c>
      <c r="F45" s="20">
        <v>1.8002742029462091E-2</v>
      </c>
      <c r="G45" s="20">
        <v>4.5502390547274172E-3</v>
      </c>
      <c r="H45" s="20">
        <v>0</v>
      </c>
      <c r="I45" s="20">
        <v>0.55193013630443555</v>
      </c>
      <c r="J45" s="20">
        <v>7.7753689178424179E-2</v>
      </c>
      <c r="K45" s="20">
        <v>0.3470138784037996</v>
      </c>
      <c r="L45" s="20">
        <v>0</v>
      </c>
    </row>
    <row r="46" spans="1:12">
      <c r="A46" s="2" t="s">
        <v>379</v>
      </c>
      <c r="B46" s="3" t="s">
        <v>380</v>
      </c>
      <c r="D46" s="20">
        <v>2.2302031416718518E-3</v>
      </c>
      <c r="E46" s="20">
        <v>0.59057764991548023</v>
      </c>
      <c r="F46" s="20">
        <v>1.6406601821716313E-2</v>
      </c>
      <c r="G46" s="20">
        <v>4.1851805037064777E-3</v>
      </c>
      <c r="H46" s="20">
        <v>0</v>
      </c>
      <c r="I46" s="20">
        <v>0.56998586759005743</v>
      </c>
      <c r="J46" s="20">
        <v>7.1433795316147089E-2</v>
      </c>
      <c r="K46" s="20">
        <v>0.33575835162670081</v>
      </c>
      <c r="L46" s="20">
        <v>0</v>
      </c>
    </row>
    <row r="47" spans="1:12">
      <c r="A47" s="2" t="s">
        <v>381</v>
      </c>
      <c r="B47" s="3" t="s">
        <v>382</v>
      </c>
      <c r="D47" s="20">
        <v>2.9956144453216195E-8</v>
      </c>
      <c r="E47" s="20">
        <v>6.4481799645736429E-2</v>
      </c>
      <c r="F47" s="20">
        <v>1.7256794644816244E-2</v>
      </c>
      <c r="G47" s="20">
        <v>4.6757974138482587E-2</v>
      </c>
      <c r="H47" s="20">
        <v>0</v>
      </c>
      <c r="I47" s="20">
        <v>4.6703086243759194E-4</v>
      </c>
      <c r="J47" s="20">
        <v>0.87720477670974883</v>
      </c>
      <c r="K47" s="20">
        <v>5.8313393688370012E-2</v>
      </c>
      <c r="L47" s="20">
        <v>0</v>
      </c>
    </row>
    <row r="48" spans="1:12">
      <c r="A48" s="2" t="s">
        <v>383</v>
      </c>
      <c r="B48" s="3" t="s">
        <v>384</v>
      </c>
      <c r="D48" s="20">
        <v>1.1783089258673007E-2</v>
      </c>
      <c r="E48" s="20">
        <v>0.90807327369167579</v>
      </c>
      <c r="F48" s="20">
        <v>6.2911984154406624E-4</v>
      </c>
      <c r="G48" s="20">
        <v>2.1116840411768801E-4</v>
      </c>
      <c r="H48" s="20">
        <v>0</v>
      </c>
      <c r="I48" s="20">
        <v>0.90723298544601405</v>
      </c>
      <c r="J48" s="20">
        <v>3.4884463580516106E-3</v>
      </c>
      <c r="K48" s="20">
        <v>7.6655190691599553E-2</v>
      </c>
      <c r="L48" s="20">
        <v>0</v>
      </c>
    </row>
    <row r="49" spans="1:12">
      <c r="A49" s="2" t="s">
        <v>385</v>
      </c>
      <c r="B49" s="3" t="s">
        <v>386</v>
      </c>
      <c r="D49" s="20">
        <v>2.2077195863861188E-2</v>
      </c>
      <c r="E49" s="20">
        <v>0.87025404588995092</v>
      </c>
      <c r="F49" s="20">
        <v>1.1256882308040318E-3</v>
      </c>
      <c r="G49" s="20">
        <v>3.6083917473504203E-4</v>
      </c>
      <c r="H49" s="20">
        <v>0</v>
      </c>
      <c r="I49" s="20">
        <v>0.8687675184844118</v>
      </c>
      <c r="J49" s="20">
        <v>5.9909183026341647E-3</v>
      </c>
      <c r="K49" s="20">
        <v>0.1016778399435538</v>
      </c>
      <c r="L49" s="20">
        <v>0</v>
      </c>
    </row>
    <row r="50" spans="1:12">
      <c r="A50" s="2" t="s">
        <v>387</v>
      </c>
      <c r="B50" s="3" t="s">
        <v>388</v>
      </c>
      <c r="D50" s="20">
        <v>1.1161496264360641E-2</v>
      </c>
      <c r="E50" s="20">
        <v>0.24231835228364207</v>
      </c>
      <c r="F50" s="20">
        <v>9.5147336002185751E-2</v>
      </c>
      <c r="G50" s="20">
        <v>1.910258709718558E-2</v>
      </c>
      <c r="H50" s="20">
        <v>0</v>
      </c>
      <c r="I50" s="20">
        <v>0.12806842918427075</v>
      </c>
      <c r="J50" s="20">
        <v>0.33593350652260129</v>
      </c>
      <c r="K50" s="20">
        <v>0.41058664492939606</v>
      </c>
      <c r="L50" s="20">
        <v>0</v>
      </c>
    </row>
    <row r="51" spans="1:12">
      <c r="A51" s="2" t="s">
        <v>295</v>
      </c>
      <c r="B51" s="3" t="s">
        <v>296</v>
      </c>
      <c r="D51" s="20">
        <v>6.5386288280638749E-2</v>
      </c>
      <c r="E51" s="20">
        <v>0.90446863176636627</v>
      </c>
      <c r="F51" s="20">
        <v>1.0105571979313758E-4</v>
      </c>
      <c r="G51" s="20">
        <v>3.8802209409344796E-5</v>
      </c>
      <c r="H51" s="20">
        <v>0</v>
      </c>
      <c r="I51" s="20">
        <v>0.90432877383716381</v>
      </c>
      <c r="J51" s="20">
        <v>6.3508836460948574E-4</v>
      </c>
      <c r="K51" s="20">
        <v>2.9509991588385562E-2</v>
      </c>
      <c r="L51" s="20">
        <v>0</v>
      </c>
    </row>
    <row r="52" spans="1:12">
      <c r="A52" s="2" t="s">
        <v>389</v>
      </c>
      <c r="B52" s="3" t="s">
        <v>390</v>
      </c>
      <c r="D52" s="20">
        <v>7.0363781974288164E-2</v>
      </c>
      <c r="E52" s="20">
        <v>0.74446342821746847</v>
      </c>
      <c r="F52" s="20">
        <v>3.4326015095981297E-3</v>
      </c>
      <c r="G52" s="20">
        <v>1.001656801906785E-3</v>
      </c>
      <c r="H52" s="20">
        <v>0</v>
      </c>
      <c r="I52" s="20">
        <v>0.74002916990596357</v>
      </c>
      <c r="J52" s="20">
        <v>1.6815636010730706E-2</v>
      </c>
      <c r="K52" s="20">
        <v>0.16835715379751282</v>
      </c>
      <c r="L52" s="20">
        <v>0</v>
      </c>
    </row>
    <row r="53" spans="1:12">
      <c r="A53" s="2" t="s">
        <v>391</v>
      </c>
      <c r="B53" s="3" t="s">
        <v>392</v>
      </c>
      <c r="D53" s="20">
        <v>2.3494123573788782E-3</v>
      </c>
      <c r="E53" s="20">
        <v>0.48792532332483851</v>
      </c>
      <c r="F53" s="20">
        <v>2.7646073837435149E-2</v>
      </c>
      <c r="G53" s="20">
        <v>6.6731212955162249E-3</v>
      </c>
      <c r="H53" s="20">
        <v>0</v>
      </c>
      <c r="I53" s="20">
        <v>0.45360612819188711</v>
      </c>
      <c r="J53" s="20">
        <v>0.1146847395253188</v>
      </c>
      <c r="K53" s="20">
        <v>0.39504052479246377</v>
      </c>
      <c r="L53" s="20">
        <v>0</v>
      </c>
    </row>
    <row r="54" spans="1:12">
      <c r="A54" s="2" t="s">
        <v>393</v>
      </c>
      <c r="B54" s="3" t="s">
        <v>394</v>
      </c>
      <c r="D54" s="20">
        <v>1.4812482667968827E-4</v>
      </c>
      <c r="E54" s="20">
        <v>6.8936238580688577E-2</v>
      </c>
      <c r="F54" s="20">
        <v>2.2105587929756493E-2</v>
      </c>
      <c r="G54" s="20">
        <v>4.6131505226594739E-2</v>
      </c>
      <c r="H54" s="20">
        <v>0</v>
      </c>
      <c r="I54" s="20">
        <v>6.9914542433734573E-4</v>
      </c>
      <c r="J54" s="20">
        <v>0.86187413060196627</v>
      </c>
      <c r="K54" s="20">
        <v>6.9041505990665303E-2</v>
      </c>
      <c r="L54" s="20">
        <v>0</v>
      </c>
    </row>
    <row r="55" spans="1:12">
      <c r="A55" s="2" t="s">
        <v>395</v>
      </c>
      <c r="B55" s="3" t="s">
        <v>396</v>
      </c>
      <c r="D55" s="20">
        <v>0.18368229550233678</v>
      </c>
      <c r="E55" s="20">
        <v>0.25317877300381364</v>
      </c>
      <c r="F55" s="20">
        <v>5.2910457052122613E-2</v>
      </c>
      <c r="G55" s="20">
        <v>1.1413978980895596E-2</v>
      </c>
      <c r="H55" s="20">
        <v>0</v>
      </c>
      <c r="I55" s="20">
        <v>0.18885433697079543</v>
      </c>
      <c r="J55" s="20">
        <v>0.19893074871125063</v>
      </c>
      <c r="K55" s="20">
        <v>0.36420818278259909</v>
      </c>
      <c r="L55" s="20">
        <v>0</v>
      </c>
    </row>
    <row r="56" spans="1:12">
      <c r="A56" s="2" t="s">
        <v>397</v>
      </c>
      <c r="B56" s="3" t="s">
        <v>398</v>
      </c>
      <c r="D56" s="20">
        <v>0.74313733522085201</v>
      </c>
      <c r="E56" s="20">
        <v>5.7169489792547455E-2</v>
      </c>
      <c r="F56" s="20">
        <v>3.1314342380850624E-2</v>
      </c>
      <c r="G56" s="20">
        <v>5.9489298956485808E-3</v>
      </c>
      <c r="H56" s="20">
        <v>0</v>
      </c>
      <c r="I56" s="20">
        <v>1.990621751604825E-2</v>
      </c>
      <c r="J56" s="20">
        <v>0.10534109434432742</v>
      </c>
      <c r="K56" s="20">
        <v>9.4352080642273073E-2</v>
      </c>
      <c r="L56" s="20">
        <v>0</v>
      </c>
    </row>
    <row r="57" spans="1:12">
      <c r="A57" s="2" t="s">
        <v>399</v>
      </c>
      <c r="B57" s="3" t="s">
        <v>400</v>
      </c>
      <c r="D57" s="20">
        <v>0.83501235212447722</v>
      </c>
      <c r="E57" s="20">
        <v>4.6787659644321959E-2</v>
      </c>
      <c r="F57" s="20">
        <v>1.2347161104990257E-2</v>
      </c>
      <c r="G57" s="20">
        <v>2.600534802285353E-3</v>
      </c>
      <c r="H57" s="20">
        <v>0</v>
      </c>
      <c r="I57" s="20">
        <v>3.1839963737046346E-2</v>
      </c>
      <c r="J57" s="20">
        <v>4.5459652574682777E-2</v>
      </c>
      <c r="K57" s="20">
        <v>7.2740335656517913E-2</v>
      </c>
      <c r="L57" s="20">
        <v>0</v>
      </c>
    </row>
    <row r="58" spans="1:12">
      <c r="A58" s="2" t="s">
        <v>297</v>
      </c>
      <c r="B58" s="3" t="s">
        <v>298</v>
      </c>
      <c r="D58" s="20">
        <v>0.93203222980626355</v>
      </c>
      <c r="E58" s="20">
        <v>5.9530504234397714E-2</v>
      </c>
      <c r="F58" s="20">
        <v>9.8833720773069627E-5</v>
      </c>
      <c r="G58" s="20">
        <v>3.1102886878923553E-5</v>
      </c>
      <c r="H58" s="20">
        <v>0</v>
      </c>
      <c r="I58" s="20">
        <v>5.9400567626745719E-2</v>
      </c>
      <c r="J58" s="20">
        <v>5.1748206219904321E-4</v>
      </c>
      <c r="K58" s="20">
        <v>7.9197838971396314E-3</v>
      </c>
      <c r="L58" s="20">
        <v>0</v>
      </c>
    </row>
    <row r="59" spans="1:12">
      <c r="A59" s="2" t="s">
        <v>401</v>
      </c>
      <c r="B59" s="3" t="s">
        <v>402</v>
      </c>
      <c r="D59" s="20">
        <v>0.93838798100842169</v>
      </c>
      <c r="E59" s="20">
        <v>1.7823068765395897E-2</v>
      </c>
      <c r="F59" s="20">
        <v>4.4653617871743181E-3</v>
      </c>
      <c r="G59" s="20">
        <v>9.4569742585167392E-4</v>
      </c>
      <c r="H59" s="20">
        <v>0</v>
      </c>
      <c r="I59" s="20">
        <v>1.2412009552369903E-2</v>
      </c>
      <c r="J59" s="20">
        <v>1.6520224894061859E-2</v>
      </c>
      <c r="K59" s="20">
        <v>2.7268725332120668E-2</v>
      </c>
      <c r="L59" s="20">
        <v>0</v>
      </c>
    </row>
    <row r="60" spans="1:12">
      <c r="A60" s="2" t="s">
        <v>299</v>
      </c>
      <c r="B60" s="3" t="s">
        <v>300</v>
      </c>
      <c r="D60" s="20">
        <v>0.99854463202890287</v>
      </c>
      <c r="E60" s="20">
        <v>5.3639592411011162E-4</v>
      </c>
      <c r="F60" s="20">
        <v>7.0866616205782562E-5</v>
      </c>
      <c r="G60" s="20">
        <v>1.5949139314754251E-5</v>
      </c>
      <c r="H60" s="20">
        <v>0</v>
      </c>
      <c r="I60" s="20">
        <v>4.495801685895748E-4</v>
      </c>
      <c r="J60" s="20">
        <v>2.7650644215335124E-4</v>
      </c>
      <c r="K60" s="20">
        <v>6.4246560483350169E-4</v>
      </c>
      <c r="L60" s="20">
        <v>0</v>
      </c>
    </row>
    <row r="61" spans="1:12">
      <c r="A61" s="2" t="s">
        <v>403</v>
      </c>
      <c r="B61" s="3" t="s">
        <v>404</v>
      </c>
      <c r="D61" s="20">
        <v>5.7232488126574507E-44</v>
      </c>
      <c r="E61" s="20">
        <v>0.41339136016115968</v>
      </c>
      <c r="F61" s="20">
        <v>3.9510892663317962E-2</v>
      </c>
      <c r="G61" s="20">
        <v>9.1413933557087865E-3</v>
      </c>
      <c r="H61" s="20">
        <v>0</v>
      </c>
      <c r="I61" s="20">
        <v>0.36473907414213291</v>
      </c>
      <c r="J61" s="20">
        <v>0.157936728205639</v>
      </c>
      <c r="K61" s="20">
        <v>0.42867191163320134</v>
      </c>
      <c r="L61" s="20">
        <v>0</v>
      </c>
    </row>
    <row r="62" spans="1:12">
      <c r="A62" s="2" t="s">
        <v>405</v>
      </c>
      <c r="B62" s="3" t="s">
        <v>406</v>
      </c>
      <c r="D62" s="20">
        <v>1.3774799128600196E-7</v>
      </c>
      <c r="E62" s="20">
        <v>0.11685315079842588</v>
      </c>
      <c r="F62" s="20">
        <v>7.1822329886227457E-2</v>
      </c>
      <c r="G62" s="20">
        <v>4.0036402316166661E-2</v>
      </c>
      <c r="H62" s="20">
        <v>0</v>
      </c>
      <c r="I62" s="20">
        <v>4.9944185960317721E-3</v>
      </c>
      <c r="J62" s="20">
        <v>0.73249721815958091</v>
      </c>
      <c r="K62" s="20">
        <v>0.15064949329400196</v>
      </c>
      <c r="L62" s="20">
        <v>0</v>
      </c>
    </row>
    <row r="63" spans="1:12">
      <c r="A63" s="2" t="s">
        <v>407</v>
      </c>
      <c r="B63" s="3" t="s">
        <v>408</v>
      </c>
      <c r="D63" s="20">
        <v>1.6728265719416891E-5</v>
      </c>
      <c r="E63" s="20">
        <v>5.8930067939463544E-2</v>
      </c>
      <c r="F63" s="20">
        <v>1.1184720435582799E-2</v>
      </c>
      <c r="G63" s="20">
        <v>4.7513901022396318E-2</v>
      </c>
      <c r="H63" s="20">
        <v>0</v>
      </c>
      <c r="I63" s="20">
        <v>2.314464814844242E-4</v>
      </c>
      <c r="J63" s="20">
        <v>0.89776861269259178</v>
      </c>
      <c r="K63" s="20">
        <v>4.3284591102225128E-2</v>
      </c>
      <c r="L63" s="20">
        <v>0</v>
      </c>
    </row>
    <row r="64" spans="1:12">
      <c r="A64" s="2" t="s">
        <v>409</v>
      </c>
      <c r="B64" s="3" t="s">
        <v>410</v>
      </c>
      <c r="D64" s="20">
        <v>1.8581681646493608E-6</v>
      </c>
      <c r="E64" s="20">
        <v>5.3613298458820222E-2</v>
      </c>
      <c r="F64" s="20">
        <v>5.4070356135976069E-3</v>
      </c>
      <c r="G64" s="20">
        <v>4.8134313858886967E-2</v>
      </c>
      <c r="H64" s="20">
        <v>0</v>
      </c>
      <c r="I64" s="20">
        <v>7.1948986335650344E-5</v>
      </c>
      <c r="J64" s="20">
        <v>0.92022907901918827</v>
      </c>
      <c r="K64" s="20">
        <v>2.6155764353826869E-2</v>
      </c>
      <c r="L64" s="20">
        <v>0</v>
      </c>
    </row>
    <row r="65" spans="1:12">
      <c r="A65" s="2" t="s">
        <v>301</v>
      </c>
      <c r="B65" s="3" t="s">
        <v>302</v>
      </c>
      <c r="D65" s="20">
        <v>2.1385677313245563E-7</v>
      </c>
      <c r="E65" s="20">
        <v>5.0604983388369475E-2</v>
      </c>
      <c r="F65" s="20">
        <v>2.3366691478086932E-3</v>
      </c>
      <c r="G65" s="20">
        <v>4.8249495841495058E-2</v>
      </c>
      <c r="H65" s="20">
        <v>0</v>
      </c>
      <c r="I65" s="20">
        <v>1.881839906572192E-5</v>
      </c>
      <c r="J65" s="20">
        <v>0.934826619015103</v>
      </c>
      <c r="K65" s="20">
        <v>1.4568183739754183E-2</v>
      </c>
      <c r="L65" s="20">
        <v>0</v>
      </c>
    </row>
    <row r="66" spans="1:12">
      <c r="A66" s="2" t="s">
        <v>303</v>
      </c>
      <c r="B66" s="3" t="s">
        <v>304</v>
      </c>
      <c r="D66" s="20">
        <v>2.1382108579611763E-13</v>
      </c>
      <c r="E66" s="20">
        <v>5.2052578337540512E-2</v>
      </c>
      <c r="F66" s="20">
        <v>3.7707240026871379E-3</v>
      </c>
      <c r="G66" s="20">
        <v>4.8241444209736889E-2</v>
      </c>
      <c r="H66" s="20">
        <v>0</v>
      </c>
      <c r="I66" s="20">
        <v>4.0410125116484963E-5</v>
      </c>
      <c r="J66" s="20">
        <v>0.92759889678734764</v>
      </c>
      <c r="K66" s="20">
        <v>2.0348524874898157E-2</v>
      </c>
      <c r="L66" s="20">
        <v>0</v>
      </c>
    </row>
    <row r="67" spans="1:12">
      <c r="A67" s="2" t="s">
        <v>411</v>
      </c>
      <c r="B67" s="3" t="s">
        <v>412</v>
      </c>
      <c r="D67" s="20">
        <v>4.7242121919312593E-3</v>
      </c>
      <c r="E67" s="20">
        <v>0.82973900461780192</v>
      </c>
      <c r="F67" s="20">
        <v>2.5692337062537918E-3</v>
      </c>
      <c r="G67" s="20">
        <v>7.7214553837434664E-4</v>
      </c>
      <c r="H67" s="20">
        <v>0</v>
      </c>
      <c r="I67" s="20">
        <v>0.82639762537317374</v>
      </c>
      <c r="J67" s="20">
        <v>1.2916661010320192E-2</v>
      </c>
      <c r="K67" s="20">
        <v>0.15262012217994661</v>
      </c>
      <c r="L67" s="20">
        <v>0</v>
      </c>
    </row>
    <row r="68" spans="1:12">
      <c r="A68" s="2" t="s">
        <v>413</v>
      </c>
      <c r="B68" s="3" t="s">
        <v>414</v>
      </c>
      <c r="D68" s="20">
        <v>1.0274569719234829E-2</v>
      </c>
      <c r="E68" s="20">
        <v>0.76980098192783097</v>
      </c>
      <c r="F68" s="20">
        <v>4.5502772411708057E-3</v>
      </c>
      <c r="G68" s="20">
        <v>1.303567168111211E-3</v>
      </c>
      <c r="H68" s="20">
        <v>0</v>
      </c>
      <c r="I68" s="20">
        <v>0.76394713751854892</v>
      </c>
      <c r="J68" s="20">
        <v>2.1933177049382625E-2</v>
      </c>
      <c r="K68" s="20">
        <v>0.19799127130355149</v>
      </c>
      <c r="L68" s="20">
        <v>0</v>
      </c>
    </row>
    <row r="69" spans="1:12">
      <c r="A69" s="2" t="s">
        <v>415</v>
      </c>
      <c r="B69" s="3" t="s">
        <v>416</v>
      </c>
      <c r="D69" s="20">
        <v>1.0701149312201238E-3</v>
      </c>
      <c r="E69" s="20">
        <v>7.7133382285650864E-2</v>
      </c>
      <c r="F69" s="20">
        <v>3.0960262815379294E-2</v>
      </c>
      <c r="G69" s="20">
        <v>4.4957297216338038E-2</v>
      </c>
      <c r="H69" s="20">
        <v>0</v>
      </c>
      <c r="I69" s="20">
        <v>1.2158222539335297E-3</v>
      </c>
      <c r="J69" s="20">
        <v>0.83511771588299322</v>
      </c>
      <c r="K69" s="20">
        <v>8.6678786900135946E-2</v>
      </c>
      <c r="L69" s="20">
        <v>0</v>
      </c>
    </row>
    <row r="70" spans="1:12">
      <c r="A70" s="2" t="s">
        <v>417</v>
      </c>
      <c r="B70" s="3" t="s">
        <v>418</v>
      </c>
      <c r="D70" s="20">
        <v>6.4737741841042248E-3</v>
      </c>
      <c r="E70" s="20">
        <v>0.21647718170860153</v>
      </c>
      <c r="F70" s="20">
        <v>0.13887745886208092</v>
      </c>
      <c r="G70" s="20">
        <v>2.5382086317166187E-2</v>
      </c>
      <c r="H70" s="20">
        <v>0</v>
      </c>
      <c r="I70" s="20">
        <v>5.2217636529354419E-2</v>
      </c>
      <c r="J70" s="20">
        <v>0.45163226124432776</v>
      </c>
      <c r="K70" s="20">
        <v>0.32541678286296644</v>
      </c>
      <c r="L70" s="20">
        <v>0</v>
      </c>
    </row>
    <row r="71" spans="1:12">
      <c r="A71" s="2" t="s">
        <v>419</v>
      </c>
      <c r="B71" s="3" t="s">
        <v>420</v>
      </c>
      <c r="D71" s="20">
        <v>2.5147588561811977E-2</v>
      </c>
      <c r="E71" s="20">
        <v>0.76743503956462467</v>
      </c>
      <c r="F71" s="20">
        <v>4.1074336919320964E-3</v>
      </c>
      <c r="G71" s="20">
        <v>1.1854032579972995E-3</v>
      </c>
      <c r="H71" s="20">
        <v>0</v>
      </c>
      <c r="I71" s="20">
        <v>0.76214220261469523</v>
      </c>
      <c r="J71" s="20">
        <v>1.9927096436607485E-2</v>
      </c>
      <c r="K71" s="20">
        <v>0.18749027543695596</v>
      </c>
      <c r="L71" s="20">
        <v>0</v>
      </c>
    </row>
    <row r="72" spans="1:12">
      <c r="A72" s="2" t="s">
        <v>421</v>
      </c>
      <c r="B72" s="3" t="s">
        <v>422</v>
      </c>
      <c r="D72" s="20">
        <v>2.6257134122218386E-2</v>
      </c>
      <c r="E72" s="20">
        <v>0.21287492875295289</v>
      </c>
      <c r="F72" s="20">
        <v>0.13035315211290655</v>
      </c>
      <c r="G72" s="20">
        <v>2.4133321182848021E-2</v>
      </c>
      <c r="H72" s="20">
        <v>0</v>
      </c>
      <c r="I72" s="20">
        <v>5.838845545719832E-2</v>
      </c>
      <c r="J72" s="20">
        <v>0.42872140427028893</v>
      </c>
      <c r="K72" s="20">
        <v>0.33214653285453988</v>
      </c>
      <c r="L72" s="20">
        <v>0</v>
      </c>
    </row>
    <row r="73" spans="1:12">
      <c r="A73" s="2" t="s">
        <v>423</v>
      </c>
      <c r="B73" s="3" t="s">
        <v>424</v>
      </c>
      <c r="D73" s="20">
        <v>1.6879527773716888E-2</v>
      </c>
      <c r="E73" s="20">
        <v>0.39123284916669404</v>
      </c>
      <c r="F73" s="20">
        <v>4.1728666594668944E-2</v>
      </c>
      <c r="G73" s="20">
        <v>9.5659930890601812E-3</v>
      </c>
      <c r="H73" s="20">
        <v>0</v>
      </c>
      <c r="I73" s="20">
        <v>0.33993818948296489</v>
      </c>
      <c r="J73" s="20">
        <v>0.16546258849345583</v>
      </c>
      <c r="K73" s="20">
        <v>0.4264250345661334</v>
      </c>
      <c r="L73" s="20">
        <v>0</v>
      </c>
    </row>
    <row r="74" spans="1:12">
      <c r="A74" s="2" t="s">
        <v>425</v>
      </c>
      <c r="B74" s="3" t="s">
        <v>426</v>
      </c>
      <c r="D74" s="20">
        <v>9.9080740170270146E-3</v>
      </c>
      <c r="E74" s="20">
        <v>0.21585837151067172</v>
      </c>
      <c r="F74" s="20">
        <v>0.13672988771803402</v>
      </c>
      <c r="G74" s="20">
        <v>2.5081818020666391E-2</v>
      </c>
      <c r="H74" s="20">
        <v>0</v>
      </c>
      <c r="I74" s="20">
        <v>5.4046665771971328E-2</v>
      </c>
      <c r="J74" s="20">
        <v>0.44608413288615067</v>
      </c>
      <c r="K74" s="20">
        <v>0.32814942158615051</v>
      </c>
      <c r="L74" s="20">
        <v>0</v>
      </c>
    </row>
    <row r="75" spans="1:12">
      <c r="A75" s="2" t="s">
        <v>427</v>
      </c>
      <c r="B75" s="3" t="s">
        <v>428</v>
      </c>
      <c r="D75" s="20">
        <v>1.8898028623661172E-9</v>
      </c>
      <c r="E75" s="20">
        <v>0.35651088194268488</v>
      </c>
      <c r="F75" s="20">
        <v>0.34150002092863707</v>
      </c>
      <c r="G75" s="20">
        <v>1.3177740277595077E-4</v>
      </c>
      <c r="H75" s="20">
        <v>0</v>
      </c>
      <c r="I75" s="20">
        <v>1.4879083611271854E-2</v>
      </c>
      <c r="J75" s="20">
        <v>0.64320220095585456</v>
      </c>
      <c r="K75" s="20">
        <v>2.869152116576962E-4</v>
      </c>
      <c r="L75" s="20">
        <v>0</v>
      </c>
    </row>
    <row r="76" spans="1:12">
      <c r="A76" s="2" t="s">
        <v>429</v>
      </c>
      <c r="B76" s="3" t="s">
        <v>430</v>
      </c>
      <c r="D76" s="20">
        <v>4.7469701769509154E-11</v>
      </c>
      <c r="E76" s="20">
        <v>0.35651088259949659</v>
      </c>
      <c r="F76" s="20">
        <v>0.3415000215577938</v>
      </c>
      <c r="G76" s="20">
        <v>1.3177740301872863E-4</v>
      </c>
      <c r="H76" s="20">
        <v>0</v>
      </c>
      <c r="I76" s="20">
        <v>1.4879083638684081E-2</v>
      </c>
      <c r="J76" s="20">
        <v>0.64320220214084733</v>
      </c>
      <c r="K76" s="20">
        <v>2.8691521218628959E-4</v>
      </c>
      <c r="L76" s="20">
        <v>0</v>
      </c>
    </row>
    <row r="77" spans="1:12">
      <c r="A77" s="2" t="s">
        <v>431</v>
      </c>
      <c r="B77" s="3" t="s">
        <v>432</v>
      </c>
      <c r="D77" s="20">
        <v>3.7499286240921928E-2</v>
      </c>
      <c r="E77" s="20">
        <v>0.2564919339949952</v>
      </c>
      <c r="F77" s="20">
        <v>7.9780584975221044E-2</v>
      </c>
      <c r="G77" s="20">
        <v>1.6496536479093254E-2</v>
      </c>
      <c r="H77" s="20">
        <v>0</v>
      </c>
      <c r="I77" s="20">
        <v>0.1602148125406809</v>
      </c>
      <c r="J77" s="20">
        <v>0.28903821076084912</v>
      </c>
      <c r="K77" s="20">
        <v>0.41697056900323382</v>
      </c>
      <c r="L77" s="20">
        <v>0</v>
      </c>
    </row>
    <row r="78" spans="1:12">
      <c r="A78" s="2" t="s">
        <v>433</v>
      </c>
      <c r="B78" s="3" t="s">
        <v>434</v>
      </c>
      <c r="D78" s="20">
        <v>3.6478371897058902E-2</v>
      </c>
      <c r="E78" s="20">
        <v>0.59290256685469012</v>
      </c>
      <c r="F78" s="20">
        <v>1.3903036455726908E-2</v>
      </c>
      <c r="G78" s="20">
        <v>3.592569817584431E-3</v>
      </c>
      <c r="H78" s="20">
        <v>0</v>
      </c>
      <c r="I78" s="20">
        <v>0.57540696058137875</v>
      </c>
      <c r="J78" s="20">
        <v>6.1220815145668066E-2</v>
      </c>
      <c r="K78" s="20">
        <v>0.30939824610258299</v>
      </c>
      <c r="L78" s="20">
        <v>0</v>
      </c>
    </row>
    <row r="79" spans="1:12">
      <c r="A79" s="2" t="s">
        <v>435</v>
      </c>
      <c r="B79" s="3" t="s">
        <v>436</v>
      </c>
      <c r="D79" s="20">
        <v>9.3412403424548065E-3</v>
      </c>
      <c r="E79" s="20">
        <v>0.4777707121516897</v>
      </c>
      <c r="F79" s="20">
        <v>2.8358206532902702E-2</v>
      </c>
      <c r="G79" s="20">
        <v>6.8198420526721301E-3</v>
      </c>
      <c r="H79" s="20">
        <v>0</v>
      </c>
      <c r="I79" s="20">
        <v>0.44259266356611487</v>
      </c>
      <c r="J79" s="20">
        <v>0.11726011446074516</v>
      </c>
      <c r="K79" s="20">
        <v>0.39562793304511029</v>
      </c>
      <c r="L79" s="20">
        <v>0</v>
      </c>
    </row>
    <row r="80" spans="1:12">
      <c r="A80" s="2" t="s">
        <v>437</v>
      </c>
      <c r="B80" s="3" t="s">
        <v>438</v>
      </c>
      <c r="D80" s="20">
        <v>4.2232216573965635E-10</v>
      </c>
      <c r="E80" s="20">
        <v>0.21981722105875176</v>
      </c>
      <c r="F80" s="20">
        <v>0.21336250830782746</v>
      </c>
      <c r="G80" s="20">
        <v>1.5814967995986186E-4</v>
      </c>
      <c r="H80" s="20">
        <v>0</v>
      </c>
      <c r="I80" s="20">
        <v>6.2965630709644381E-3</v>
      </c>
      <c r="J80" s="20">
        <v>0.77996451510294562</v>
      </c>
      <c r="K80" s="20">
        <v>2.1826341598045712E-4</v>
      </c>
      <c r="L80" s="20">
        <v>0</v>
      </c>
    </row>
    <row r="81" spans="1:12">
      <c r="A81" s="2" t="s">
        <v>440</v>
      </c>
      <c r="B81" s="3" t="s">
        <v>441</v>
      </c>
      <c r="D81" s="20">
        <v>1.8436834803676314E-13</v>
      </c>
      <c r="E81" s="20">
        <v>0.97051579573427726</v>
      </c>
      <c r="F81" s="20">
        <v>9.1024977291673343E-5</v>
      </c>
      <c r="G81" s="20">
        <v>3.5404309988462879E-5</v>
      </c>
      <c r="H81" s="20">
        <v>0</v>
      </c>
      <c r="I81" s="20">
        <v>0.97038936644699714</v>
      </c>
      <c r="J81" s="20">
        <v>5.794843678204269E-4</v>
      </c>
      <c r="K81" s="20">
        <v>2.890471989771785E-2</v>
      </c>
      <c r="L81" s="20">
        <v>0</v>
      </c>
    </row>
    <row r="82" spans="1:12">
      <c r="A82" s="2" t="s">
        <v>442</v>
      </c>
      <c r="B82" s="3" t="s">
        <v>443</v>
      </c>
      <c r="D82" s="20">
        <v>8.5453653641453405E-5</v>
      </c>
      <c r="E82" s="20">
        <v>0.75277554526867274</v>
      </c>
      <c r="F82" s="20">
        <v>5.7017064091213574E-3</v>
      </c>
      <c r="G82" s="20">
        <v>1.6036160944630179E-3</v>
      </c>
      <c r="H82" s="20">
        <v>0</v>
      </c>
      <c r="I82" s="20">
        <v>0.74547022276508834</v>
      </c>
      <c r="J82" s="20">
        <v>2.7042551513690411E-2</v>
      </c>
      <c r="K82" s="20">
        <v>0.22009644956399532</v>
      </c>
      <c r="L82" s="20">
        <v>0</v>
      </c>
    </row>
    <row r="83" spans="1:12">
      <c r="A83" s="2" t="s">
        <v>444</v>
      </c>
      <c r="B83" s="3" t="s">
        <v>445</v>
      </c>
      <c r="D83" s="20">
        <v>7.7641588877359327E-4</v>
      </c>
      <c r="E83" s="20">
        <v>0.28523083365319862</v>
      </c>
      <c r="F83" s="20">
        <v>7.3989250705387255E-2</v>
      </c>
      <c r="G83" s="20">
        <v>1.5612202818752276E-2</v>
      </c>
      <c r="H83" s="20">
        <v>0</v>
      </c>
      <c r="I83" s="20">
        <v>0.19562938012905912</v>
      </c>
      <c r="J83" s="20">
        <v>0.27285236824394743</v>
      </c>
      <c r="K83" s="20">
        <v>0.44114038221408036</v>
      </c>
      <c r="L83" s="20">
        <v>0</v>
      </c>
    </row>
    <row r="84" spans="1:12">
      <c r="A84" s="2" t="s">
        <v>446</v>
      </c>
      <c r="B84" s="3" t="s">
        <v>447</v>
      </c>
      <c r="D84" s="20">
        <v>5.6657725358357312E-15</v>
      </c>
      <c r="E84" s="20">
        <v>0.93558704745511423</v>
      </c>
      <c r="F84" s="20">
        <v>4.0825672725654488E-4</v>
      </c>
      <c r="G84" s="20">
        <v>1.4178454868965916E-4</v>
      </c>
      <c r="H84" s="20">
        <v>0</v>
      </c>
      <c r="I84" s="20">
        <v>0.93503700617916807</v>
      </c>
      <c r="J84" s="20">
        <v>2.3344066380671055E-3</v>
      </c>
      <c r="K84" s="20">
        <v>6.2078545906812804E-2</v>
      </c>
      <c r="L84" s="20">
        <v>0</v>
      </c>
    </row>
    <row r="85" spans="1:12">
      <c r="A85" s="2" t="s">
        <v>448</v>
      </c>
      <c r="B85" s="3" t="s">
        <v>449</v>
      </c>
      <c r="D85" s="20">
        <v>3.9746628064897414E-8</v>
      </c>
      <c r="E85" s="20">
        <v>0.98782620668357712</v>
      </c>
      <c r="F85" s="20">
        <v>1.6709925196803927E-5</v>
      </c>
      <c r="G85" s="20">
        <v>7.3734384806318335E-6</v>
      </c>
      <c r="H85" s="20">
        <v>0</v>
      </c>
      <c r="I85" s="20">
        <v>0.98780212331989969</v>
      </c>
      <c r="J85" s="20">
        <v>1.2387441034898095E-4</v>
      </c>
      <c r="K85" s="20">
        <v>1.2049879159445862E-2</v>
      </c>
      <c r="L85" s="20">
        <v>0</v>
      </c>
    </row>
    <row r="86" spans="1:12">
      <c r="A86" s="2" t="s">
        <v>450</v>
      </c>
      <c r="B86" s="3" t="s">
        <v>451</v>
      </c>
      <c r="D86" s="20">
        <v>1.4252501284408714E-8</v>
      </c>
      <c r="E86" s="20">
        <v>0.93718198150200227</v>
      </c>
      <c r="F86" s="20">
        <v>3.8901406496319696E-4</v>
      </c>
      <c r="G86" s="20">
        <v>1.3560036516816791E-4</v>
      </c>
      <c r="H86" s="20">
        <v>0</v>
      </c>
      <c r="I86" s="20">
        <v>0.93665736707187086</v>
      </c>
      <c r="J86" s="20">
        <v>2.231835568823534E-3</v>
      </c>
      <c r="K86" s="20">
        <v>6.0586168676672991E-2</v>
      </c>
      <c r="L86" s="20">
        <v>0</v>
      </c>
    </row>
    <row r="87" spans="1:12">
      <c r="A87" s="2" t="s">
        <v>452</v>
      </c>
      <c r="B87" s="3" t="s">
        <v>453</v>
      </c>
      <c r="D87" s="20">
        <v>3.3081801485882197E-8</v>
      </c>
      <c r="E87" s="20">
        <v>6.2053222237349936E-2</v>
      </c>
      <c r="F87" s="20">
        <v>1.4603715581252315E-2</v>
      </c>
      <c r="G87" s="20">
        <v>4.7093278030126959E-2</v>
      </c>
      <c r="H87" s="20">
        <v>0</v>
      </c>
      <c r="I87" s="20">
        <v>3.562286259706644E-4</v>
      </c>
      <c r="J87" s="20">
        <v>0.88593857714294888</v>
      </c>
      <c r="K87" s="20">
        <v>5.200816753789976E-2</v>
      </c>
      <c r="L87" s="20">
        <v>0</v>
      </c>
    </row>
    <row r="88" spans="1:12">
      <c r="A88" s="2" t="s">
        <v>454</v>
      </c>
      <c r="B88" s="3" t="s">
        <v>455</v>
      </c>
      <c r="D88" s="20">
        <v>4.2847230444809724E-5</v>
      </c>
      <c r="E88" s="20">
        <v>0.66062898050103769</v>
      </c>
      <c r="F88" s="20">
        <v>1.1010244674754636E-2</v>
      </c>
      <c r="G88" s="20">
        <v>2.9193927525493742E-3</v>
      </c>
      <c r="H88" s="20">
        <v>0</v>
      </c>
      <c r="I88" s="20">
        <v>0.64669934307373367</v>
      </c>
      <c r="J88" s="20">
        <v>4.9590373650681134E-2</v>
      </c>
      <c r="K88" s="20">
        <v>0.28973779861783644</v>
      </c>
      <c r="L88" s="20">
        <v>0</v>
      </c>
    </row>
    <row r="89" spans="1:12">
      <c r="A89" s="2" t="s">
        <v>456</v>
      </c>
      <c r="B89" s="3" t="s">
        <v>457</v>
      </c>
      <c r="D89" s="20">
        <v>2.8326488410035191E-17</v>
      </c>
      <c r="E89" s="20">
        <v>0.73694914780088849</v>
      </c>
      <c r="F89" s="20">
        <v>6.4754052635984747E-3</v>
      </c>
      <c r="G89" s="20">
        <v>1.801202368294526E-3</v>
      </c>
      <c r="H89" s="20">
        <v>0</v>
      </c>
      <c r="I89" s="20">
        <v>0.72867254016899552</v>
      </c>
      <c r="J89" s="20">
        <v>3.0415806754238741E-2</v>
      </c>
      <c r="K89" s="20">
        <v>0.23263504544487273</v>
      </c>
      <c r="L89" s="20">
        <v>0</v>
      </c>
    </row>
    <row r="90" spans="1:12">
      <c r="A90" s="2" t="s">
        <v>458</v>
      </c>
      <c r="B90" s="3" t="s">
        <v>459</v>
      </c>
      <c r="D90" s="20">
        <v>4.2308330298899592E-29</v>
      </c>
      <c r="E90" s="20">
        <v>0.87437572273844399</v>
      </c>
      <c r="F90" s="20">
        <v>1.4883329652532378E-3</v>
      </c>
      <c r="G90" s="20">
        <v>4.6751511508074154E-4</v>
      </c>
      <c r="H90" s="20">
        <v>0</v>
      </c>
      <c r="I90" s="20">
        <v>0.87241987465811</v>
      </c>
      <c r="J90" s="20">
        <v>7.7800570363430691E-3</v>
      </c>
      <c r="K90" s="20">
        <v>0.11784422022521272</v>
      </c>
      <c r="L90" s="20">
        <v>0</v>
      </c>
    </row>
    <row r="91" spans="1:12">
      <c r="A91" s="2" t="s">
        <v>460</v>
      </c>
      <c r="B91" s="3" t="s">
        <v>461</v>
      </c>
      <c r="D91" s="20">
        <v>6.0178182612446256E-8</v>
      </c>
      <c r="E91" s="20">
        <v>0.10868254742831521</v>
      </c>
      <c r="F91" s="20">
        <v>6.3622873912158123E-2</v>
      </c>
      <c r="G91" s="20">
        <v>4.1002358462039042E-2</v>
      </c>
      <c r="H91" s="20">
        <v>0</v>
      </c>
      <c r="I91" s="20">
        <v>4.057315054118037E-3</v>
      </c>
      <c r="J91" s="20">
        <v>0.75189855120541516</v>
      </c>
      <c r="K91" s="20">
        <v>0.13941884118808692</v>
      </c>
      <c r="L91" s="20">
        <v>0</v>
      </c>
    </row>
    <row r="92" spans="1:12">
      <c r="A92" s="2" t="s">
        <v>462</v>
      </c>
      <c r="B92" s="3" t="s">
        <v>463</v>
      </c>
      <c r="D92" s="20">
        <v>6.3371562770678288E-9</v>
      </c>
      <c r="E92" s="20">
        <v>0.32644264960346769</v>
      </c>
      <c r="F92" s="20">
        <v>5.967173040802972E-2</v>
      </c>
      <c r="G92" s="20">
        <v>1.3039597542106599E-2</v>
      </c>
      <c r="H92" s="20">
        <v>0</v>
      </c>
      <c r="I92" s="20">
        <v>0.2537313216533314</v>
      </c>
      <c r="J92" s="20">
        <v>0.22689759462055503</v>
      </c>
      <c r="K92" s="20">
        <v>0.44665974943882103</v>
      </c>
      <c r="L92" s="20">
        <v>0</v>
      </c>
    </row>
    <row r="93" spans="1:12">
      <c r="A93" s="2" t="s">
        <v>464</v>
      </c>
      <c r="B93" s="3" t="s">
        <v>465</v>
      </c>
      <c r="D93" s="20">
        <v>3.7642088853353893E-4</v>
      </c>
      <c r="E93" s="20">
        <v>0.22169692320062984</v>
      </c>
      <c r="F93" s="20">
        <v>0.12357992587946223</v>
      </c>
      <c r="G93" s="20">
        <v>2.3390714374196164E-2</v>
      </c>
      <c r="H93" s="20">
        <v>0</v>
      </c>
      <c r="I93" s="20">
        <v>7.4726282946971451E-2</v>
      </c>
      <c r="J93" s="20">
        <v>0.4143833800254455</v>
      </c>
      <c r="K93" s="20">
        <v>0.36354327588539104</v>
      </c>
      <c r="L93" s="20">
        <v>0</v>
      </c>
    </row>
    <row r="94" spans="1:12">
      <c r="A94" s="2" t="s">
        <v>466</v>
      </c>
      <c r="B94" s="3" t="s">
        <v>467</v>
      </c>
      <c r="D94" s="20">
        <v>2.0099574452326349E-18</v>
      </c>
      <c r="E94" s="20">
        <v>0.99538503388790978</v>
      </c>
      <c r="F94" s="20">
        <v>1.1511532567367672E-2</v>
      </c>
      <c r="G94" s="20">
        <v>1.512765602976148E-6</v>
      </c>
      <c r="H94" s="20">
        <v>0</v>
      </c>
      <c r="I94" s="20">
        <v>0.98387198855493918</v>
      </c>
      <c r="J94" s="20">
        <v>4.4401891156901855E-3</v>
      </c>
      <c r="K94" s="20">
        <v>1.747769964000651E-4</v>
      </c>
      <c r="L94" s="20">
        <v>0</v>
      </c>
    </row>
    <row r="95" spans="1:12">
      <c r="A95" s="2" t="s">
        <v>468</v>
      </c>
      <c r="B95" s="3" t="s">
        <v>469</v>
      </c>
      <c r="D95" s="20">
        <v>3.8608155372910693E-18</v>
      </c>
      <c r="E95" s="20">
        <v>0.18209365277872996</v>
      </c>
      <c r="F95" s="20">
        <v>0.1338607540866118</v>
      </c>
      <c r="G95" s="20">
        <v>3.3116834872554714E-2</v>
      </c>
      <c r="H95" s="20">
        <v>0</v>
      </c>
      <c r="I95" s="20">
        <v>1.5116063819563437E-2</v>
      </c>
      <c r="J95" s="20">
        <v>0.59813986671667063</v>
      </c>
      <c r="K95" s="20">
        <v>0.21976648050459927</v>
      </c>
      <c r="L95" s="20">
        <v>0</v>
      </c>
    </row>
    <row r="96" spans="1:12">
      <c r="A96" s="2" t="s">
        <v>470</v>
      </c>
      <c r="B96" s="165">
        <v>354656</v>
      </c>
      <c r="D96" s="20">
        <v>3.6757322558967291E-10</v>
      </c>
      <c r="E96" s="20">
        <v>0.9693585082670827</v>
      </c>
      <c r="F96" s="20">
        <v>9.7998196732646889E-5</v>
      </c>
      <c r="G96" s="20">
        <v>3.790649588627351E-5</v>
      </c>
      <c r="H96" s="20">
        <v>0</v>
      </c>
      <c r="I96" s="20">
        <v>0.96922260357446377</v>
      </c>
      <c r="J96" s="20">
        <v>6.204142400211977E-4</v>
      </c>
      <c r="K96" s="20">
        <v>3.0021077125322679E-2</v>
      </c>
      <c r="L96" s="20">
        <v>0</v>
      </c>
    </row>
    <row r="97" spans="1:12">
      <c r="A97" s="2" t="s">
        <v>472</v>
      </c>
      <c r="B97" s="3" t="s">
        <v>473</v>
      </c>
      <c r="D97" s="20">
        <v>5.6615555383577967E-10</v>
      </c>
      <c r="E97" s="20">
        <v>0.93477519331790138</v>
      </c>
      <c r="F97" s="20">
        <v>4.1822499715141008E-4</v>
      </c>
      <c r="G97" s="20">
        <v>1.4497914768117894E-4</v>
      </c>
      <c r="H97" s="20">
        <v>0</v>
      </c>
      <c r="I97" s="20">
        <v>0.9342119891730688</v>
      </c>
      <c r="J97" s="20">
        <v>2.3874110783564011E-3</v>
      </c>
      <c r="K97" s="20">
        <v>6.2837395037586688E-2</v>
      </c>
      <c r="L97" s="20">
        <v>0</v>
      </c>
    </row>
    <row r="98" spans="1:12">
      <c r="A98" s="2" t="s">
        <v>474</v>
      </c>
      <c r="B98" s="3" t="s">
        <v>475</v>
      </c>
      <c r="D98" s="20">
        <v>9.9783811484042593E-20</v>
      </c>
      <c r="E98" s="20">
        <v>0.2186469756113214</v>
      </c>
      <c r="F98" s="20">
        <v>0.15224193798945412</v>
      </c>
      <c r="G98" s="20">
        <v>2.7066360323739155E-2</v>
      </c>
      <c r="H98" s="20">
        <v>0</v>
      </c>
      <c r="I98" s="20">
        <v>3.9338677298128122E-2</v>
      </c>
      <c r="J98" s="20">
        <v>0.48326639954507661</v>
      </c>
      <c r="K98" s="20">
        <v>0.2980866248436021</v>
      </c>
      <c r="L98" s="20">
        <v>0</v>
      </c>
    </row>
    <row r="99" spans="1:12">
      <c r="A99" s="2" t="s">
        <v>476</v>
      </c>
      <c r="B99" s="3" t="s">
        <v>477</v>
      </c>
      <c r="D99" s="20">
        <v>1.7347906963619281E-7</v>
      </c>
      <c r="E99" s="20">
        <v>0.991589744340589</v>
      </c>
      <c r="F99" s="20">
        <v>8.2247233593630747E-6</v>
      </c>
      <c r="G99" s="20">
        <v>3.8248715476825305E-6</v>
      </c>
      <c r="H99" s="20">
        <v>0</v>
      </c>
      <c r="I99" s="20">
        <v>0.99157769474568191</v>
      </c>
      <c r="J99" s="20">
        <v>6.6943064598496975E-5</v>
      </c>
      <c r="K99" s="20">
        <v>8.3431391157429216E-3</v>
      </c>
      <c r="L99" s="20">
        <v>0</v>
      </c>
    </row>
    <row r="100" spans="1:12">
      <c r="A100" s="2" t="s">
        <v>478</v>
      </c>
      <c r="B100" s="3" t="s">
        <v>479</v>
      </c>
      <c r="D100" s="20">
        <v>5.9869506066684634E-11</v>
      </c>
      <c r="E100" s="20">
        <v>0.51304105890671392</v>
      </c>
      <c r="F100" s="20">
        <v>2.467629139461705E-2</v>
      </c>
      <c r="G100" s="20">
        <v>6.0335851396381857E-3</v>
      </c>
      <c r="H100" s="20">
        <v>0</v>
      </c>
      <c r="I100" s="20">
        <v>0.4823311823724587</v>
      </c>
      <c r="J100" s="20">
        <v>0.10352718726991422</v>
      </c>
      <c r="K100" s="20">
        <v>0.38343175376350236</v>
      </c>
      <c r="L100" s="20">
        <v>0</v>
      </c>
    </row>
    <row r="101" spans="1:12">
      <c r="A101" s="2" t="s">
        <v>480</v>
      </c>
      <c r="B101" s="3" t="s">
        <v>481</v>
      </c>
      <c r="D101" s="20">
        <v>4.6679464634231844E-11</v>
      </c>
      <c r="E101" s="20">
        <v>0.98586978491173372</v>
      </c>
      <c r="F101" s="20">
        <v>2.2233103072585713E-5</v>
      </c>
      <c r="G101" s="20">
        <v>9.6049616846913922E-6</v>
      </c>
      <c r="H101" s="20">
        <v>0</v>
      </c>
      <c r="I101" s="20">
        <v>0.98583794684697645</v>
      </c>
      <c r="J101" s="20">
        <v>1.5983349619349727E-4</v>
      </c>
      <c r="K101" s="20">
        <v>1.3970381545393235E-2</v>
      </c>
      <c r="L101" s="20">
        <v>0</v>
      </c>
    </row>
    <row r="102" spans="1:12">
      <c r="A102" s="2" t="s">
        <v>482</v>
      </c>
      <c r="B102" s="3" t="s">
        <v>483</v>
      </c>
      <c r="D102" s="20">
        <v>2.9336448676283097E-27</v>
      </c>
      <c r="E102" s="20">
        <v>0.99643335853157888</v>
      </c>
      <c r="F102" s="20">
        <v>1.5866522578102316E-6</v>
      </c>
      <c r="G102" s="20">
        <v>8.3325381251901191E-7</v>
      </c>
      <c r="H102" s="20">
        <v>0</v>
      </c>
      <c r="I102" s="20">
        <v>0.99643093862550858</v>
      </c>
      <c r="J102" s="20">
        <v>1.9406639288621501E-5</v>
      </c>
      <c r="K102" s="20">
        <v>3.5472348291323836E-3</v>
      </c>
      <c r="L102" s="20">
        <v>0</v>
      </c>
    </row>
    <row r="103" spans="1:12">
      <c r="A103" s="2" t="s">
        <v>484</v>
      </c>
      <c r="B103" s="3" t="s">
        <v>485</v>
      </c>
      <c r="D103" s="20">
        <v>2.3399960955580762E-13</v>
      </c>
      <c r="E103" s="20">
        <v>0.99185859755930394</v>
      </c>
      <c r="F103" s="20">
        <v>7.728395654668692E-6</v>
      </c>
      <c r="G103" s="20">
        <v>3.6106459352809296E-6</v>
      </c>
      <c r="H103" s="20">
        <v>0</v>
      </c>
      <c r="I103" s="20">
        <v>0.99184725851771405</v>
      </c>
      <c r="J103" s="20">
        <v>6.3519905202947551E-5</v>
      </c>
      <c r="K103" s="20">
        <v>8.0778825352588943E-3</v>
      </c>
      <c r="L103" s="20">
        <v>0</v>
      </c>
    </row>
    <row r="104" spans="1:12">
      <c r="A104" s="2" t="s">
        <v>486</v>
      </c>
      <c r="B104" s="3" t="s">
        <v>487</v>
      </c>
      <c r="D104" s="20">
        <v>2.8840034049670618E-9</v>
      </c>
      <c r="E104" s="20">
        <v>0.95330553102567417</v>
      </c>
      <c r="F104" s="20">
        <v>2.1992266200261204E-4</v>
      </c>
      <c r="G104" s="20">
        <v>8.0050774671893142E-5</v>
      </c>
      <c r="H104" s="20">
        <v>0</v>
      </c>
      <c r="I104" s="20">
        <v>0.95300555758899963</v>
      </c>
      <c r="J104" s="20">
        <v>1.3130368295881528E-3</v>
      </c>
      <c r="K104" s="20">
        <v>4.5381429260734282E-2</v>
      </c>
      <c r="L104" s="20">
        <v>0</v>
      </c>
    </row>
    <row r="105" spans="1:12">
      <c r="A105" s="2" t="s">
        <v>488</v>
      </c>
      <c r="B105" s="3" t="s">
        <v>489</v>
      </c>
      <c r="D105" s="20">
        <v>2.3331178534132248E-16</v>
      </c>
      <c r="E105" s="20">
        <v>0.99572136362865604</v>
      </c>
      <c r="F105" s="20">
        <v>2.2501470040550932E-6</v>
      </c>
      <c r="G105" s="20">
        <v>1.1516127042609247E-6</v>
      </c>
      <c r="H105" s="20">
        <v>0</v>
      </c>
      <c r="I105" s="20">
        <v>0.99571796186894768</v>
      </c>
      <c r="J105" s="20">
        <v>2.4424865939509051E-5</v>
      </c>
      <c r="K105" s="20">
        <v>4.2542115054043528E-3</v>
      </c>
      <c r="L105" s="20">
        <v>0</v>
      </c>
    </row>
    <row r="106" spans="1:12">
      <c r="A106" s="2" t="s">
        <v>490</v>
      </c>
      <c r="B106" s="3" t="s">
        <v>491</v>
      </c>
      <c r="D106" s="20">
        <v>1.2888052457043807E-8</v>
      </c>
      <c r="E106" s="20">
        <v>0.84115418275114462</v>
      </c>
      <c r="F106" s="20">
        <v>2.357553244868488E-3</v>
      </c>
      <c r="G106" s="20">
        <v>7.1376798651385934E-4</v>
      </c>
      <c r="H106" s="20">
        <v>0</v>
      </c>
      <c r="I106" s="20">
        <v>0.8380828615197623</v>
      </c>
      <c r="J106" s="20">
        <v>1.1929601267941535E-2</v>
      </c>
      <c r="K106" s="20">
        <v>0.14691620309286135</v>
      </c>
      <c r="L106" s="20">
        <v>0</v>
      </c>
    </row>
    <row r="107" spans="1:12">
      <c r="A107" s="2" t="s">
        <v>492</v>
      </c>
      <c r="B107" s="3" t="s">
        <v>493</v>
      </c>
      <c r="D107" s="20">
        <v>4.8712268871773009E-16</v>
      </c>
      <c r="E107" s="20">
        <v>0.22137828793906292</v>
      </c>
      <c r="F107" s="20">
        <v>0.16274684310944715</v>
      </c>
      <c r="G107" s="20">
        <v>2.8249328470825799E-2</v>
      </c>
      <c r="H107" s="20">
        <v>0</v>
      </c>
      <c r="I107" s="20">
        <v>3.0382116358789967E-2</v>
      </c>
      <c r="J107" s="20">
        <v>0.50589934415150628</v>
      </c>
      <c r="K107" s="20">
        <v>0.27272236790943016</v>
      </c>
      <c r="L107" s="20">
        <v>0</v>
      </c>
    </row>
    <row r="108" spans="1:12">
      <c r="A108" s="2" t="s">
        <v>291</v>
      </c>
      <c r="B108" s="3" t="s">
        <v>494</v>
      </c>
      <c r="D108" s="20">
        <v>3.3342872572340823E-10</v>
      </c>
      <c r="E108" s="20">
        <v>0.56122617465200664</v>
      </c>
      <c r="F108" s="20">
        <v>1.9358746264482699E-2</v>
      </c>
      <c r="G108" s="20">
        <v>4.857052333694681E-3</v>
      </c>
      <c r="H108" s="20">
        <v>0</v>
      </c>
      <c r="I108" s="20">
        <v>0.53701037605382929</v>
      </c>
      <c r="J108" s="20">
        <v>8.3072556913566256E-2</v>
      </c>
      <c r="K108" s="20">
        <v>0.35570126810099839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3.7140560866169385E-9</v>
      </c>
      <c r="E2" s="14">
        <v>3.1745934972130955E-5</v>
      </c>
      <c r="F2" s="14">
        <v>1.5098113042749431E-7</v>
      </c>
      <c r="G2" s="14">
        <v>4.3976253563654059E-8</v>
      </c>
      <c r="H2" s="14">
        <v>0</v>
      </c>
      <c r="I2" s="9">
        <v>7.3843059281571211E-7</v>
      </c>
      <c r="J2" s="14">
        <v>7.3169629949755759E-6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1.0172788543785884E-7</v>
      </c>
      <c r="E3" s="14">
        <v>1.8633724993628243E-8</v>
      </c>
      <c r="F3" s="14">
        <v>6.8851630918929135E-7</v>
      </c>
      <c r="G3" s="14">
        <v>1.8655624315878957E-6</v>
      </c>
      <c r="H3" s="14">
        <v>0</v>
      </c>
      <c r="I3" s="14">
        <v>3.4998955929793065E-5</v>
      </c>
      <c r="J3" s="14">
        <v>2.3266037189982546E-6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2.1435988414768154E-16</v>
      </c>
      <c r="E4" s="14">
        <v>1.7238647061862966E-5</v>
      </c>
      <c r="F4" s="14">
        <v>1.2207246899362601E-6</v>
      </c>
      <c r="G4" s="14">
        <v>2.9141592698096965E-7</v>
      </c>
      <c r="H4" s="14">
        <v>0</v>
      </c>
      <c r="I4" s="14">
        <v>5.0151983842795064E-6</v>
      </c>
      <c r="J4" s="14">
        <v>1.6234013936725943E-5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8.4830920905484112E-9</v>
      </c>
      <c r="E5" s="14">
        <v>4.905167545454455E-7</v>
      </c>
      <c r="F5" s="14">
        <v>4.7778047350885939E-6</v>
      </c>
      <c r="G5" s="14">
        <v>1.3865130191491126E-6</v>
      </c>
      <c r="H5" s="14">
        <v>0</v>
      </c>
      <c r="I5" s="14">
        <v>2.5105985999483491E-5</v>
      </c>
      <c r="J5" s="14">
        <v>8.2306963996428091E-6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2.9316188447903464E-10</v>
      </c>
      <c r="E6" s="14">
        <v>7.3706734256939317E-9</v>
      </c>
      <c r="F6" s="14">
        <v>3.8840223436852743E-7</v>
      </c>
      <c r="G6" s="14">
        <v>1.9075559060861713E-6</v>
      </c>
      <c r="H6" s="14">
        <v>0</v>
      </c>
      <c r="I6" s="14">
        <v>3.6126051719973654E-5</v>
      </c>
      <c r="J6" s="14">
        <v>1.5703263042614845E-6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4.7880864847603905E-10</v>
      </c>
      <c r="E7" s="14">
        <v>1.6317801686137137E-8</v>
      </c>
      <c r="F7" s="14">
        <v>6.3509135509646175E-7</v>
      </c>
      <c r="G7" s="14">
        <v>1.8772916847896076E-6</v>
      </c>
      <c r="H7" s="14">
        <v>0</v>
      </c>
      <c r="I7" s="14">
        <v>3.5267668725164449E-5</v>
      </c>
      <c r="J7" s="14">
        <v>2.2031516246148657E-6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5.4243330110045716E-9</v>
      </c>
      <c r="E8" s="14">
        <v>4.3599951725956901E-8</v>
      </c>
      <c r="F8" s="14">
        <v>1.1593659969671854E-6</v>
      </c>
      <c r="G8" s="14">
        <v>1.8101564585374382E-6</v>
      </c>
      <c r="H8" s="14">
        <v>0</v>
      </c>
      <c r="I8" s="14">
        <v>3.3663817185105716E-5</v>
      </c>
      <c r="J8" s="14">
        <v>3.3176360746526986E-6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7.2251553183454863E-9</v>
      </c>
      <c r="E9" s="14">
        <v>4.2446985408340382E-6</v>
      </c>
      <c r="F9" s="14">
        <v>4.2571740126952623E-6</v>
      </c>
      <c r="G9" s="14">
        <v>8.3602055947550604E-7</v>
      </c>
      <c r="H9" s="14">
        <v>0</v>
      </c>
      <c r="I9" s="14">
        <v>1.4742705197725583E-5</v>
      </c>
      <c r="J9" s="14">
        <v>1.5912176533951268E-5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1.0439292704526925E-10</v>
      </c>
      <c r="E10" s="14">
        <v>4.3692886772176683E-7</v>
      </c>
      <c r="F10" s="14">
        <v>4.4827579529189626E-6</v>
      </c>
      <c r="G10" s="14">
        <v>1.4191909893081933E-6</v>
      </c>
      <c r="H10" s="14">
        <v>0</v>
      </c>
      <c r="I10" s="14">
        <v>2.5733203371294949E-5</v>
      </c>
      <c r="J10" s="14">
        <v>7.9278144258290859E-6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5.0593236824353381E-9</v>
      </c>
      <c r="E11" s="14">
        <v>3.5911382923336346E-7</v>
      </c>
      <c r="F11" s="14">
        <v>4.0175998599084851E-6</v>
      </c>
      <c r="G11" s="14">
        <v>1.4704905422332281E-6</v>
      </c>
      <c r="H11" s="14">
        <v>0</v>
      </c>
      <c r="I11" s="14">
        <v>2.6724814972490426E-5</v>
      </c>
      <c r="J11" s="14">
        <v>7.4229214724520645E-6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4.0743057724203712E-9</v>
      </c>
      <c r="E12" s="14">
        <v>2.9362517169850878E-6</v>
      </c>
      <c r="F12" s="14">
        <v>4.9788361493578598E-6</v>
      </c>
      <c r="G12" s="14">
        <v>9.4063988445891937E-7</v>
      </c>
      <c r="H12" s="14">
        <v>0</v>
      </c>
      <c r="I12" s="14">
        <v>1.6667949145019827E-5</v>
      </c>
      <c r="J12" s="14">
        <v>1.4472248798405892E-5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1.1327755248827698E-8</v>
      </c>
      <c r="E13" s="14">
        <v>4.1022632029301563E-6</v>
      </c>
      <c r="F13" s="14">
        <v>4.3253182914294206E-6</v>
      </c>
      <c r="G13" s="14">
        <v>8.4627912275921757E-7</v>
      </c>
      <c r="H13" s="14">
        <v>0</v>
      </c>
      <c r="I13" s="14">
        <v>1.4930477785932135E-5</v>
      </c>
      <c r="J13" s="14">
        <v>1.5784333841700249E-5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2.7119228103334623E-9</v>
      </c>
      <c r="E14" s="14">
        <v>1.9167125590025245E-7</v>
      </c>
      <c r="F14" s="14">
        <v>2.8044747803391723E-6</v>
      </c>
      <c r="G14" s="14">
        <v>1.6093373634682435E-6</v>
      </c>
      <c r="H14" s="14">
        <v>0</v>
      </c>
      <c r="I14" s="14">
        <v>2.9457638214326408E-5</v>
      </c>
      <c r="J14" s="14">
        <v>5.9341664631555973E-6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5.7094999980054214E-12</v>
      </c>
      <c r="E15" s="14">
        <v>3.9631247363896815E-7</v>
      </c>
      <c r="F15" s="14">
        <v>4.24592474100561E-6</v>
      </c>
      <c r="G15" s="14">
        <v>1.4453327628847971E-6</v>
      </c>
      <c r="H15" s="14">
        <v>0</v>
      </c>
      <c r="I15" s="14">
        <v>2.6237387310447853E-5</v>
      </c>
      <c r="J15" s="14">
        <v>7.675037002522779E-6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1.4232771946139517E-8</v>
      </c>
      <c r="E16" s="14">
        <v>4.5556374573484902E-8</v>
      </c>
      <c r="F16" s="14">
        <v>1.1905940437041126E-6</v>
      </c>
      <c r="G16" s="14">
        <v>1.8057568080411524E-6</v>
      </c>
      <c r="H16" s="14">
        <v>0</v>
      </c>
      <c r="I16" s="14">
        <v>3.3566542493272089E-5</v>
      </c>
      <c r="J16" s="14">
        <v>3.3773175084630164E-6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2.1479716178455735E-9</v>
      </c>
      <c r="E17" s="14">
        <v>4.7207195776007996E-7</v>
      </c>
      <c r="F17" s="14">
        <v>4.6784581980949638E-6</v>
      </c>
      <c r="G17" s="14">
        <v>1.3976496136283424E-6</v>
      </c>
      <c r="H17" s="14">
        <v>0</v>
      </c>
      <c r="I17" s="14">
        <v>2.5319290478604287E-5</v>
      </c>
      <c r="J17" s="14">
        <v>8.1303817802944766E-6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2.0955983772000609E-7</v>
      </c>
      <c r="E18" s="14">
        <v>4.90735773243521E-6</v>
      </c>
      <c r="F18" s="14">
        <v>3.9299069574663611E-6</v>
      </c>
      <c r="G18" s="14">
        <v>7.8465333276835618E-7</v>
      </c>
      <c r="H18" s="14">
        <v>0</v>
      </c>
      <c r="I18" s="14">
        <v>1.3808252608563999E-5</v>
      </c>
      <c r="J18" s="14">
        <v>1.6360269531046075E-5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1.9867238636212371E-11</v>
      </c>
      <c r="E19" s="14">
        <v>3.8861286417113501E-7</v>
      </c>
      <c r="F19" s="14">
        <v>4.199636709174236E-6</v>
      </c>
      <c r="G19" s="14">
        <v>1.4504650833778608E-6</v>
      </c>
      <c r="H19" s="14">
        <v>0</v>
      </c>
      <c r="I19" s="14">
        <v>2.6336615538540606E-5</v>
      </c>
      <c r="J19" s="14">
        <v>7.6246499374975328E-6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1.714937289809375E-9</v>
      </c>
      <c r="E20" s="14">
        <v>4.1032493399328656E-6</v>
      </c>
      <c r="F20" s="14">
        <v>4.3263580483159671E-6</v>
      </c>
      <c r="G20" s="14">
        <v>8.4648255854972863E-7</v>
      </c>
      <c r="H20" s="14">
        <v>0</v>
      </c>
      <c r="I20" s="14">
        <v>1.4934066901472622E-5</v>
      </c>
      <c r="J20" s="14">
        <v>1.5788128214439007E-5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2.4151494483656267E-8</v>
      </c>
      <c r="E21" s="14">
        <v>2.3054922909306498E-7</v>
      </c>
      <c r="F21" s="14">
        <v>3.1204571608885965E-6</v>
      </c>
      <c r="G21" s="14">
        <v>1.5714978099890333E-6</v>
      </c>
      <c r="H21" s="14">
        <v>0</v>
      </c>
      <c r="I21" s="14">
        <v>2.8705497888381887E-5</v>
      </c>
      <c r="J21" s="14">
        <v>6.3478464171637702E-6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8.5497432644564061E-8</v>
      </c>
      <c r="E22" s="14">
        <v>2.4557985479238143E-5</v>
      </c>
      <c r="F22" s="14">
        <v>5.2363333772808789E-7</v>
      </c>
      <c r="G22" s="14">
        <v>1.3655979117641482E-7</v>
      </c>
      <c r="H22" s="14">
        <v>0</v>
      </c>
      <c r="I22" s="14">
        <v>2.3244503517990315E-6</v>
      </c>
      <c r="J22" s="14">
        <v>1.2371873607413761E-5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3.4727627512609359E-9</v>
      </c>
      <c r="E23" s="14">
        <v>2.9597482955387726E-5</v>
      </c>
      <c r="F23" s="14">
        <v>2.3798486016916189E-7</v>
      </c>
      <c r="G23" s="14">
        <v>6.6687568810625303E-8</v>
      </c>
      <c r="H23" s="14">
        <v>0</v>
      </c>
      <c r="I23" s="14">
        <v>1.1250932251520275E-6</v>
      </c>
      <c r="J23" s="14">
        <v>8.9692786277292059E-6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4.1527901056251848E-9</v>
      </c>
      <c r="E24" s="14">
        <v>1.0017506793618206E-5</v>
      </c>
      <c r="F24" s="14">
        <v>2.4155397912145687E-6</v>
      </c>
      <c r="G24" s="14">
        <v>5.2687761976208985E-7</v>
      </c>
      <c r="H24" s="14">
        <v>0</v>
      </c>
      <c r="I24" s="14">
        <v>9.1701265429590069E-6</v>
      </c>
      <c r="J24" s="14">
        <v>1.786579646234051E-5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1.0952752973434752E-6</v>
      </c>
      <c r="E25" s="14">
        <v>1.7204535719746716E-6</v>
      </c>
      <c r="F25" s="14">
        <v>5.7305658537991319E-6</v>
      </c>
      <c r="G25" s="14">
        <v>1.0301324381985793E-6</v>
      </c>
      <c r="H25" s="14">
        <v>0</v>
      </c>
      <c r="I25" s="14">
        <v>1.836750470770229E-5</v>
      </c>
      <c r="J25" s="14">
        <v>1.2056068130981855E-5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2.0216227361987703E-8</v>
      </c>
      <c r="E26" s="14">
        <v>2.6054322092491494E-7</v>
      </c>
      <c r="F26" s="14">
        <v>3.3479142672016031E-6</v>
      </c>
      <c r="G26" s="14">
        <v>1.5455031106114133E-6</v>
      </c>
      <c r="H26" s="14">
        <v>0</v>
      </c>
      <c r="I26" s="14">
        <v>2.8191715529669937E-5</v>
      </c>
      <c r="J26" s="14">
        <v>6.6341076442301472E-6</v>
      </c>
      <c r="K26" s="14">
        <v>0</v>
      </c>
    </row>
    <row r="27" spans="1:13">
      <c r="A27" s="2" t="s">
        <v>353</v>
      </c>
      <c r="B27" s="3" t="s">
        <v>354</v>
      </c>
      <c r="D27" s="14">
        <v>7.1829245118602946E-8</v>
      </c>
      <c r="E27" s="14">
        <v>2.0867045681485329E-8</v>
      </c>
      <c r="F27" s="14">
        <v>7.3837250638535457E-7</v>
      </c>
      <c r="G27" s="14">
        <v>1.8606773566364407E-6</v>
      </c>
      <c r="H27" s="14">
        <v>0</v>
      </c>
      <c r="I27" s="14">
        <v>3.4867164343709624E-5</v>
      </c>
      <c r="J27" s="14">
        <v>2.4410895024684986E-6</v>
      </c>
      <c r="K27" s="14">
        <v>0</v>
      </c>
    </row>
    <row r="28" spans="1:13">
      <c r="A28" s="2" t="s">
        <v>355</v>
      </c>
      <c r="B28" s="3" t="s">
        <v>356</v>
      </c>
      <c r="D28" s="14">
        <v>5.7307517544138999E-9</v>
      </c>
      <c r="E28" s="14">
        <v>1.086103618313524E-7</v>
      </c>
      <c r="F28" s="14">
        <v>2.0076398658884047E-6</v>
      </c>
      <c r="G28" s="14">
        <v>1.7044386207709426E-6</v>
      </c>
      <c r="H28" s="14">
        <v>0</v>
      </c>
      <c r="I28" s="14">
        <v>3.1392852821650823E-5</v>
      </c>
      <c r="J28" s="14">
        <v>4.7807275781040619E-6</v>
      </c>
      <c r="K28" s="14">
        <v>0</v>
      </c>
    </row>
    <row r="29" spans="1:13">
      <c r="A29" s="2" t="s">
        <v>357</v>
      </c>
      <c r="B29" s="3" t="s">
        <v>358</v>
      </c>
      <c r="D29" s="14">
        <v>1.3951749795413724E-6</v>
      </c>
      <c r="E29" s="14">
        <v>1.9682866357284782E-7</v>
      </c>
      <c r="F29" s="14">
        <v>2.8060983868352143E-6</v>
      </c>
      <c r="G29" s="14">
        <v>1.5416949487487156E-6</v>
      </c>
      <c r="H29" s="14">
        <v>0</v>
      </c>
      <c r="I29" s="14">
        <v>2.8200021346638163E-5</v>
      </c>
      <c r="J29" s="14">
        <v>5.8601816746636965E-6</v>
      </c>
      <c r="K29" s="14">
        <v>0</v>
      </c>
    </row>
    <row r="30" spans="1:13">
      <c r="A30" s="2" t="s">
        <v>359</v>
      </c>
      <c r="B30" s="3" t="s">
        <v>360</v>
      </c>
      <c r="D30" s="14">
        <v>5.7307517544138999E-9</v>
      </c>
      <c r="E30" s="14">
        <v>1.086103618313524E-7</v>
      </c>
      <c r="F30" s="14">
        <v>2.0076398658884047E-6</v>
      </c>
      <c r="G30" s="14">
        <v>1.7044386207709426E-6</v>
      </c>
      <c r="H30" s="14">
        <v>0</v>
      </c>
      <c r="I30" s="14">
        <v>3.1392852821650823E-5</v>
      </c>
      <c r="J30" s="14">
        <v>4.7807275781040619E-6</v>
      </c>
      <c r="K30" s="14">
        <v>0</v>
      </c>
    </row>
    <row r="31" spans="1:13">
      <c r="A31" s="2" t="s">
        <v>283</v>
      </c>
      <c r="B31" s="3" t="s">
        <v>284</v>
      </c>
      <c r="D31" s="14">
        <v>1.0455123759902679E-12</v>
      </c>
      <c r="E31" s="14">
        <v>3.9048903429847557E-5</v>
      </c>
      <c r="F31" s="14">
        <v>2.3944368793352007E-9</v>
      </c>
      <c r="G31" s="14">
        <v>9.6094592246702947E-10</v>
      </c>
      <c r="H31" s="14">
        <v>0</v>
      </c>
      <c r="I31" s="14">
        <v>1.5749441531140026E-8</v>
      </c>
      <c r="J31" s="14">
        <v>9.3199070030712956E-7</v>
      </c>
      <c r="K31" s="14">
        <v>0</v>
      </c>
    </row>
    <row r="32" spans="1:13">
      <c r="A32" s="2" t="s">
        <v>361</v>
      </c>
      <c r="B32" s="3" t="s">
        <v>362</v>
      </c>
      <c r="D32" s="14">
        <v>9.86848168721047E-13</v>
      </c>
      <c r="E32" s="14">
        <v>2.0158405337272091E-5</v>
      </c>
      <c r="F32" s="14">
        <v>9.0303096900281329E-7</v>
      </c>
      <c r="G32" s="14">
        <v>2.2264928558423309E-7</v>
      </c>
      <c r="H32" s="14">
        <v>0</v>
      </c>
      <c r="I32" s="14">
        <v>3.8314241799466991E-6</v>
      </c>
      <c r="J32" s="14">
        <v>1.4884489241346003E-5</v>
      </c>
      <c r="K32" s="14">
        <v>0</v>
      </c>
    </row>
    <row r="33" spans="1:11">
      <c r="A33" s="2" t="s">
        <v>364</v>
      </c>
      <c r="B33" s="3" t="s">
        <v>365</v>
      </c>
      <c r="D33" s="14">
        <v>4.8290134054126777E-15</v>
      </c>
      <c r="E33" s="14">
        <v>3.9972584439253052E-5</v>
      </c>
      <c r="F33" s="14">
        <v>1.681035089910604E-8</v>
      </c>
      <c r="G33" s="14">
        <v>5.1404850641255695E-12</v>
      </c>
      <c r="H33" s="14">
        <v>0</v>
      </c>
      <c r="I33" s="14">
        <v>8.3149039090699969E-9</v>
      </c>
      <c r="J33" s="14">
        <v>2.2851606246902703E-9</v>
      </c>
      <c r="K33" s="14">
        <v>0</v>
      </c>
    </row>
    <row r="34" spans="1:11">
      <c r="A34" s="2" t="s">
        <v>285</v>
      </c>
      <c r="B34" s="3" t="s">
        <v>286</v>
      </c>
      <c r="D34" s="14">
        <v>2.3523882147903274E-14</v>
      </c>
      <c r="E34" s="14">
        <v>3.6018232143703403E-5</v>
      </c>
      <c r="F34" s="14">
        <v>2.9634454904008002E-6</v>
      </c>
      <c r="G34" s="14">
        <v>2.4337247032649894E-10</v>
      </c>
      <c r="H34" s="14">
        <v>0</v>
      </c>
      <c r="I34" s="14">
        <v>1.0053209263326608E-6</v>
      </c>
      <c r="J34" s="14">
        <v>1.2758043568927092E-8</v>
      </c>
      <c r="K34" s="14">
        <v>0</v>
      </c>
    </row>
    <row r="35" spans="1:11">
      <c r="A35" s="2" t="s">
        <v>287</v>
      </c>
      <c r="B35" s="3" t="s">
        <v>288</v>
      </c>
      <c r="D35" s="14">
        <v>1.0075737097358474E-15</v>
      </c>
      <c r="E35" s="14">
        <v>3.1354555234900888E-5</v>
      </c>
      <c r="F35" s="14">
        <v>6.5072155827999228E-6</v>
      </c>
      <c r="G35" s="14">
        <v>1.2601507948528497E-9</v>
      </c>
      <c r="H35" s="14">
        <v>0</v>
      </c>
      <c r="I35" s="14">
        <v>2.0915607404084426E-6</v>
      </c>
      <c r="J35" s="14">
        <v>4.5408290088321004E-8</v>
      </c>
      <c r="K35" s="14">
        <v>0</v>
      </c>
    </row>
    <row r="36" spans="1:11">
      <c r="A36" s="2" t="s">
        <v>366</v>
      </c>
      <c r="B36" s="3" t="s">
        <v>305</v>
      </c>
      <c r="D36" s="14">
        <v>3.2831946498532608E-12</v>
      </c>
      <c r="E36" s="14">
        <v>1.9331400085693509E-5</v>
      </c>
      <c r="F36" s="14">
        <v>1.5872957723321903E-5</v>
      </c>
      <c r="G36" s="14">
        <v>4.5446416366471487E-9</v>
      </c>
      <c r="H36" s="14">
        <v>0</v>
      </c>
      <c r="I36" s="14">
        <v>4.6972922282917623E-6</v>
      </c>
      <c r="J36" s="14">
        <v>9.3802037861524063E-8</v>
      </c>
      <c r="K36" s="14">
        <v>0</v>
      </c>
    </row>
    <row r="37" spans="1:11">
      <c r="A37" s="2" t="s">
        <v>289</v>
      </c>
      <c r="B37" s="3" t="s">
        <v>290</v>
      </c>
      <c r="D37" s="14">
        <v>4.077218221804531E-19</v>
      </c>
      <c r="E37" s="14">
        <v>2.0311866215989391E-5</v>
      </c>
      <c r="F37" s="14">
        <v>6.7792925836515694E-6</v>
      </c>
      <c r="G37" s="14">
        <v>2.3144823794250283E-7</v>
      </c>
      <c r="H37" s="14">
        <v>0</v>
      </c>
      <c r="I37" s="14">
        <v>5.7977403468081296E-6</v>
      </c>
      <c r="J37" s="14">
        <v>6.8796526156080046E-6</v>
      </c>
      <c r="K37" s="14">
        <v>0</v>
      </c>
    </row>
    <row r="38" spans="1:11">
      <c r="A38" s="2" t="s">
        <v>291</v>
      </c>
      <c r="B38" s="3" t="s">
        <v>292</v>
      </c>
      <c r="D38" s="14">
        <v>7.2182368966281318E-17</v>
      </c>
      <c r="E38" s="14">
        <v>3.6767321146333616E-5</v>
      </c>
      <c r="F38" s="14">
        <v>2.2976111961855699E-6</v>
      </c>
      <c r="G38" s="14">
        <v>1.9195241770273114E-9</v>
      </c>
      <c r="H38" s="14">
        <v>0</v>
      </c>
      <c r="I38" s="14">
        <v>8.2066012756244208E-7</v>
      </c>
      <c r="J38" s="14">
        <v>1.1248800566916836E-7</v>
      </c>
      <c r="K38" s="14">
        <v>0</v>
      </c>
    </row>
    <row r="39" spans="1:11">
      <c r="A39" s="2" t="s">
        <v>367</v>
      </c>
      <c r="B39" s="3" t="s">
        <v>368</v>
      </c>
      <c r="D39" s="14">
        <v>1.3118587026672057E-9</v>
      </c>
      <c r="E39" s="14">
        <v>9.3774924936645765E-7</v>
      </c>
      <c r="F39" s="14">
        <v>6.7462320507025968E-6</v>
      </c>
      <c r="G39" s="14">
        <v>1.1783025863359018E-6</v>
      </c>
      <c r="H39" s="14">
        <v>0</v>
      </c>
      <c r="I39" s="14">
        <v>2.116469834758293E-5</v>
      </c>
      <c r="J39" s="14">
        <v>9.9717059073094483E-6</v>
      </c>
      <c r="K39" s="14">
        <v>0</v>
      </c>
    </row>
    <row r="40" spans="1:11">
      <c r="A40" s="2" t="s">
        <v>369</v>
      </c>
      <c r="B40" s="3" t="s">
        <v>370</v>
      </c>
      <c r="D40" s="14">
        <v>1.8332270609332746E-17</v>
      </c>
      <c r="E40" s="14">
        <v>2.0057245952558248E-8</v>
      </c>
      <c r="F40" s="14">
        <v>1.8235843249762987E-6</v>
      </c>
      <c r="G40" s="14">
        <v>1.3193080956341973E-7</v>
      </c>
      <c r="H40" s="14">
        <v>0</v>
      </c>
      <c r="I40" s="14">
        <v>3.7967061052903216E-5</v>
      </c>
      <c r="J40" s="14">
        <v>5.7366566586185307E-8</v>
      </c>
      <c r="K40" s="14">
        <v>0</v>
      </c>
    </row>
    <row r="41" spans="1:11">
      <c r="A41" s="2" t="s">
        <v>371</v>
      </c>
      <c r="B41" s="3" t="s">
        <v>372</v>
      </c>
      <c r="D41" s="14">
        <v>3.2618105774440867E-6</v>
      </c>
      <c r="E41" s="14">
        <v>3.6554294064006472E-5</v>
      </c>
      <c r="F41" s="14">
        <v>1.1151491344157335E-10</v>
      </c>
      <c r="G41" s="14">
        <v>5.5824971109924996E-11</v>
      </c>
      <c r="H41" s="14">
        <v>0</v>
      </c>
      <c r="I41" s="14">
        <v>1.1110466051038534E-9</v>
      </c>
      <c r="J41" s="14">
        <v>1.8261697205979452E-7</v>
      </c>
      <c r="K41" s="14">
        <v>0</v>
      </c>
    </row>
    <row r="42" spans="1:11">
      <c r="A42" s="2" t="s">
        <v>293</v>
      </c>
      <c r="B42" s="3" t="s">
        <v>294</v>
      </c>
      <c r="D42" s="14">
        <v>7.7557653737603452E-13</v>
      </c>
      <c r="E42" s="14">
        <v>2.3298305029346534E-5</v>
      </c>
      <c r="F42" s="14">
        <v>6.2215540336410448E-7</v>
      </c>
      <c r="G42" s="14">
        <v>1.5958586893431319E-7</v>
      </c>
      <c r="H42" s="14">
        <v>0</v>
      </c>
      <c r="I42" s="14">
        <v>2.7219851604670445E-6</v>
      </c>
      <c r="J42" s="14">
        <v>1.319796776231147E-5</v>
      </c>
      <c r="K42" s="14">
        <v>0</v>
      </c>
    </row>
    <row r="43" spans="1:11">
      <c r="A43" s="2" t="s">
        <v>373</v>
      </c>
      <c r="B43" s="3" t="s">
        <v>374</v>
      </c>
      <c r="D43" s="14">
        <v>1.0494545000072387E-11</v>
      </c>
      <c r="E43" s="14">
        <v>2.1526278101956784E-6</v>
      </c>
      <c r="F43" s="14">
        <v>2.4082606919204063E-5</v>
      </c>
      <c r="G43" s="14">
        <v>2.0334121701779344E-8</v>
      </c>
      <c r="H43" s="14">
        <v>0</v>
      </c>
      <c r="I43" s="14">
        <v>1.3641775595260237E-5</v>
      </c>
      <c r="J43" s="14">
        <v>1.0264505909324757E-7</v>
      </c>
      <c r="K43" s="14">
        <v>0</v>
      </c>
    </row>
    <row r="44" spans="1:11">
      <c r="A44" s="2" t="s">
        <v>375</v>
      </c>
      <c r="B44" s="3" t="s">
        <v>376</v>
      </c>
      <c r="D44" s="14">
        <v>3.4417415095047754E-6</v>
      </c>
      <c r="E44" s="14">
        <v>3.0911345849086724E-5</v>
      </c>
      <c r="F44" s="14">
        <v>7.8677846558266163E-8</v>
      </c>
      <c r="G44" s="14">
        <v>2.3996506492327426E-8</v>
      </c>
      <c r="H44" s="14">
        <v>0</v>
      </c>
      <c r="I44" s="14">
        <v>4.0071571059916083E-7</v>
      </c>
      <c r="J44" s="14">
        <v>5.1435225777587501E-6</v>
      </c>
      <c r="K44" s="14">
        <v>0</v>
      </c>
    </row>
    <row r="45" spans="1:11">
      <c r="A45" s="2" t="s">
        <v>377</v>
      </c>
      <c r="B45" s="3" t="s">
        <v>378</v>
      </c>
      <c r="D45" s="14">
        <v>2.9972601166044664E-8</v>
      </c>
      <c r="E45" s="14">
        <v>2.2077205452177425E-5</v>
      </c>
      <c r="F45" s="14">
        <v>7.2010968117848367E-7</v>
      </c>
      <c r="G45" s="14">
        <v>1.8200956218909672E-7</v>
      </c>
      <c r="H45" s="14">
        <v>0</v>
      </c>
      <c r="I45" s="14">
        <v>3.1101475671369677E-6</v>
      </c>
      <c r="J45" s="14">
        <v>1.3880555136151985E-5</v>
      </c>
      <c r="K45" s="14">
        <v>0</v>
      </c>
    </row>
    <row r="46" spans="1:11">
      <c r="A46" s="2" t="s">
        <v>379</v>
      </c>
      <c r="B46" s="3" t="s">
        <v>380</v>
      </c>
      <c r="D46" s="14">
        <v>8.9208125666874073E-8</v>
      </c>
      <c r="E46" s="14">
        <v>2.2799434703602297E-5</v>
      </c>
      <c r="F46" s="14">
        <v>6.5626407286865249E-7</v>
      </c>
      <c r="G46" s="14">
        <v>1.674072201482591E-7</v>
      </c>
      <c r="H46" s="14">
        <v>0</v>
      </c>
      <c r="I46" s="14">
        <v>2.8573518126458839E-6</v>
      </c>
      <c r="J46" s="14">
        <v>1.3430334065068035E-5</v>
      </c>
      <c r="K46" s="14">
        <v>0</v>
      </c>
    </row>
    <row r="47" spans="1:11">
      <c r="A47" s="2" t="s">
        <v>381</v>
      </c>
      <c r="B47" s="3" t="s">
        <v>382</v>
      </c>
      <c r="D47" s="14">
        <v>1.1982457781286477E-12</v>
      </c>
      <c r="E47" s="14">
        <v>1.8681234497503679E-8</v>
      </c>
      <c r="F47" s="14">
        <v>6.9027178579264985E-7</v>
      </c>
      <c r="G47" s="14">
        <v>1.8703189655393037E-6</v>
      </c>
      <c r="H47" s="14">
        <v>0</v>
      </c>
      <c r="I47" s="14">
        <v>3.5088191068389958E-5</v>
      </c>
      <c r="J47" s="14">
        <v>2.3325357475348008E-6</v>
      </c>
      <c r="K47" s="14">
        <v>0</v>
      </c>
    </row>
    <row r="48" spans="1:11">
      <c r="A48" s="2" t="s">
        <v>383</v>
      </c>
      <c r="B48" s="3" t="s">
        <v>384</v>
      </c>
      <c r="D48" s="14">
        <v>4.7132357034692034E-7</v>
      </c>
      <c r="E48" s="14">
        <v>3.6289319417840564E-5</v>
      </c>
      <c r="F48" s="14">
        <v>2.5164793661762652E-8</v>
      </c>
      <c r="G48" s="14">
        <v>8.4467361647075217E-9</v>
      </c>
      <c r="H48" s="14">
        <v>0</v>
      </c>
      <c r="I48" s="14">
        <v>1.3953785432206444E-7</v>
      </c>
      <c r="J48" s="14">
        <v>3.0662076276639826E-6</v>
      </c>
      <c r="K48" s="14">
        <v>0</v>
      </c>
    </row>
    <row r="49" spans="1:11">
      <c r="A49" s="2" t="s">
        <v>385</v>
      </c>
      <c r="B49" s="3" t="s">
        <v>386</v>
      </c>
      <c r="D49" s="14">
        <v>8.8308783455444763E-7</v>
      </c>
      <c r="E49" s="14">
        <v>3.4750700739376475E-5</v>
      </c>
      <c r="F49" s="14">
        <v>4.5027529232161272E-8</v>
      </c>
      <c r="G49" s="14">
        <v>1.4433566989401682E-8</v>
      </c>
      <c r="H49" s="14">
        <v>0</v>
      </c>
      <c r="I49" s="14">
        <v>2.3963673210536661E-7</v>
      </c>
      <c r="J49" s="14">
        <v>4.0671135977421521E-6</v>
      </c>
      <c r="K49" s="14">
        <v>0</v>
      </c>
    </row>
    <row r="50" spans="1:11">
      <c r="A50" s="2" t="s">
        <v>387</v>
      </c>
      <c r="B50" s="3" t="s">
        <v>388</v>
      </c>
      <c r="D50" s="14">
        <v>4.4645985057442564E-7</v>
      </c>
      <c r="E50" s="14">
        <v>5.1227371673708301E-6</v>
      </c>
      <c r="F50" s="14">
        <v>3.8058934400874305E-6</v>
      </c>
      <c r="G50" s="14">
        <v>7.6410348388742334E-7</v>
      </c>
      <c r="H50" s="14">
        <v>0</v>
      </c>
      <c r="I50" s="14">
        <v>1.3437340260904053E-5</v>
      </c>
      <c r="J50" s="14">
        <v>1.6423465797175843E-5</v>
      </c>
      <c r="K50" s="14">
        <v>0</v>
      </c>
    </row>
    <row r="51" spans="1:11">
      <c r="A51" s="2" t="s">
        <v>295</v>
      </c>
      <c r="B51" s="3" t="s">
        <v>296</v>
      </c>
      <c r="D51" s="14">
        <v>2.6154515312255503E-6</v>
      </c>
      <c r="E51" s="14">
        <v>3.6173150953486555E-5</v>
      </c>
      <c r="F51" s="14">
        <v>4.0422287917255031E-9</v>
      </c>
      <c r="G51" s="14">
        <v>1.552088376373792E-9</v>
      </c>
      <c r="H51" s="14">
        <v>0</v>
      </c>
      <c r="I51" s="14">
        <v>2.5403534584379433E-8</v>
      </c>
      <c r="J51" s="14">
        <v>1.1803996635354226E-6</v>
      </c>
      <c r="K51" s="14">
        <v>0</v>
      </c>
    </row>
    <row r="52" spans="1:11">
      <c r="A52" s="2" t="s">
        <v>389</v>
      </c>
      <c r="B52" s="3" t="s">
        <v>390</v>
      </c>
      <c r="D52" s="14">
        <v>2.8145512789715271E-6</v>
      </c>
      <c r="E52" s="14">
        <v>2.9601166796238547E-5</v>
      </c>
      <c r="F52" s="14">
        <v>1.373040603839252E-7</v>
      </c>
      <c r="G52" s="14">
        <v>4.0066272076271403E-8</v>
      </c>
      <c r="H52" s="14">
        <v>0</v>
      </c>
      <c r="I52" s="14">
        <v>6.7262544042922832E-7</v>
      </c>
      <c r="J52" s="14">
        <v>6.7342861519005132E-6</v>
      </c>
      <c r="K52" s="14">
        <v>0</v>
      </c>
    </row>
    <row r="53" spans="1:11">
      <c r="A53" s="2" t="s">
        <v>391</v>
      </c>
      <c r="B53" s="3" t="s">
        <v>392</v>
      </c>
      <c r="D53" s="14">
        <v>9.3976494295155128E-8</v>
      </c>
      <c r="E53" s="14">
        <v>1.8144245127675487E-5</v>
      </c>
      <c r="F53" s="14">
        <v>1.105842953497406E-6</v>
      </c>
      <c r="G53" s="14">
        <v>2.6692485182064901E-7</v>
      </c>
      <c r="H53" s="14">
        <v>0</v>
      </c>
      <c r="I53" s="14">
        <v>4.5873895810127526E-6</v>
      </c>
      <c r="J53" s="14">
        <v>1.5801620991698554E-5</v>
      </c>
      <c r="K53" s="14">
        <v>0</v>
      </c>
    </row>
    <row r="54" spans="1:11">
      <c r="A54" s="2" t="s">
        <v>393</v>
      </c>
      <c r="B54" s="3" t="s">
        <v>394</v>
      </c>
      <c r="D54" s="14">
        <v>5.9249930671875314E-9</v>
      </c>
      <c r="E54" s="14">
        <v>2.7965816973493833E-8</v>
      </c>
      <c r="F54" s="14">
        <v>8.8422351719025981E-7</v>
      </c>
      <c r="G54" s="14">
        <v>1.8452602090637897E-6</v>
      </c>
      <c r="H54" s="14">
        <v>0</v>
      </c>
      <c r="I54" s="14">
        <v>3.4474965224078652E-5</v>
      </c>
      <c r="J54" s="14">
        <v>2.7616602396266121E-6</v>
      </c>
      <c r="K54" s="14">
        <v>0</v>
      </c>
    </row>
    <row r="55" spans="1:11">
      <c r="A55" s="2" t="s">
        <v>395</v>
      </c>
      <c r="B55" s="3" t="s">
        <v>396</v>
      </c>
      <c r="D55" s="14">
        <v>7.3472918200934721E-6</v>
      </c>
      <c r="E55" s="14">
        <v>7.5541734788318179E-6</v>
      </c>
      <c r="F55" s="14">
        <v>2.1164182820849047E-6</v>
      </c>
      <c r="G55" s="14">
        <v>4.565591592358239E-7</v>
      </c>
      <c r="H55" s="14">
        <v>0</v>
      </c>
      <c r="I55" s="14">
        <v>7.9572299484500265E-6</v>
      </c>
      <c r="J55" s="14">
        <v>1.4568327311303964E-5</v>
      </c>
      <c r="K55" s="14">
        <v>0</v>
      </c>
    </row>
    <row r="56" spans="1:11">
      <c r="A56" s="2" t="s">
        <v>397</v>
      </c>
      <c r="B56" s="3" t="s">
        <v>398</v>
      </c>
      <c r="D56" s="14">
        <v>2.9725493408834082E-5</v>
      </c>
      <c r="E56" s="14">
        <v>7.9624870064193E-7</v>
      </c>
      <c r="F56" s="14">
        <v>1.2525736952340251E-6</v>
      </c>
      <c r="G56" s="14">
        <v>2.3795719582594327E-7</v>
      </c>
      <c r="H56" s="14">
        <v>0</v>
      </c>
      <c r="I56" s="14">
        <v>4.2136437737730972E-6</v>
      </c>
      <c r="J56" s="14">
        <v>3.7740832256909231E-6</v>
      </c>
      <c r="K56" s="14">
        <v>0</v>
      </c>
    </row>
    <row r="57" spans="1:11">
      <c r="A57" s="2" t="s">
        <v>399</v>
      </c>
      <c r="B57" s="3" t="s">
        <v>400</v>
      </c>
      <c r="D57" s="14">
        <v>3.3400494084979092E-5</v>
      </c>
      <c r="E57" s="14">
        <v>1.2735985494818539E-6</v>
      </c>
      <c r="F57" s="14">
        <v>4.938864441996103E-7</v>
      </c>
      <c r="G57" s="14">
        <v>1.0402139209141413E-7</v>
      </c>
      <c r="H57" s="14">
        <v>0</v>
      </c>
      <c r="I57" s="14">
        <v>1.8183861029873111E-6</v>
      </c>
      <c r="J57" s="14">
        <v>2.9096134262607166E-6</v>
      </c>
      <c r="K57" s="14">
        <v>0</v>
      </c>
    </row>
    <row r="58" spans="1:11">
      <c r="A58" s="2" t="s">
        <v>297</v>
      </c>
      <c r="B58" s="3" t="s">
        <v>298</v>
      </c>
      <c r="D58" s="14">
        <v>3.7281289192250548E-5</v>
      </c>
      <c r="E58" s="14">
        <v>2.3760227050698288E-6</v>
      </c>
      <c r="F58" s="14">
        <v>3.9533488309227851E-9</v>
      </c>
      <c r="G58" s="14">
        <v>1.2441154751569423E-9</v>
      </c>
      <c r="H58" s="14">
        <v>0</v>
      </c>
      <c r="I58" s="14">
        <v>2.0699282487961734E-8</v>
      </c>
      <c r="J58" s="14">
        <v>3.1679135588558529E-7</v>
      </c>
      <c r="K58" s="14">
        <v>0</v>
      </c>
    </row>
    <row r="59" spans="1:11">
      <c r="A59" s="2" t="s">
        <v>401</v>
      </c>
      <c r="B59" s="3" t="s">
        <v>402</v>
      </c>
      <c r="D59" s="14">
        <v>3.7535519240336876E-5</v>
      </c>
      <c r="E59" s="14">
        <v>4.9648038209479624E-7</v>
      </c>
      <c r="F59" s="14">
        <v>1.7861447148697274E-7</v>
      </c>
      <c r="G59" s="14">
        <v>3.782789703406696E-8</v>
      </c>
      <c r="H59" s="14">
        <v>0</v>
      </c>
      <c r="I59" s="14">
        <v>6.608089957624745E-7</v>
      </c>
      <c r="J59" s="14">
        <v>1.0907490132848267E-6</v>
      </c>
      <c r="K59" s="14">
        <v>0</v>
      </c>
    </row>
    <row r="60" spans="1:11">
      <c r="A60" s="2" t="s">
        <v>299</v>
      </c>
      <c r="B60" s="3" t="s">
        <v>300</v>
      </c>
      <c r="D60" s="14">
        <v>3.9941785281156124E-5</v>
      </c>
      <c r="E60" s="14">
        <v>1.7983206743582993E-8</v>
      </c>
      <c r="F60" s="14">
        <v>2.8346646482313026E-9</v>
      </c>
      <c r="G60" s="14">
        <v>6.3796557259017013E-10</v>
      </c>
      <c r="H60" s="14">
        <v>0</v>
      </c>
      <c r="I60" s="14">
        <v>1.1060257686134051E-8</v>
      </c>
      <c r="J60" s="14">
        <v>2.5698624193340071E-8</v>
      </c>
      <c r="K60" s="14">
        <v>0</v>
      </c>
    </row>
    <row r="61" spans="1:11">
      <c r="A61" s="2" t="s">
        <v>403</v>
      </c>
      <c r="B61" s="3" t="s">
        <v>404</v>
      </c>
      <c r="D61" s="14">
        <v>2.2892995250629805E-48</v>
      </c>
      <c r="E61" s="14">
        <v>1.4589562965685319E-5</v>
      </c>
      <c r="F61" s="14">
        <v>1.5804357065327188E-6</v>
      </c>
      <c r="G61" s="14">
        <v>3.6565573422835155E-7</v>
      </c>
      <c r="H61" s="14">
        <v>0</v>
      </c>
      <c r="I61" s="14">
        <v>6.3174691282255605E-6</v>
      </c>
      <c r="J61" s="14">
        <v>1.7146876465328057E-5</v>
      </c>
      <c r="K61" s="14">
        <v>0</v>
      </c>
    </row>
    <row r="62" spans="1:11">
      <c r="A62" s="2" t="s">
        <v>405</v>
      </c>
      <c r="B62" s="3" t="s">
        <v>406</v>
      </c>
      <c r="D62" s="14">
        <v>5.5099196514400797E-12</v>
      </c>
      <c r="E62" s="14">
        <v>1.997767438412709E-7</v>
      </c>
      <c r="F62" s="14">
        <v>2.8728931954490986E-6</v>
      </c>
      <c r="G62" s="14">
        <v>1.6014560926466665E-6</v>
      </c>
      <c r="H62" s="14">
        <v>0</v>
      </c>
      <c r="I62" s="14">
        <v>2.9299888726383239E-5</v>
      </c>
      <c r="J62" s="14">
        <v>6.0259797317600798E-6</v>
      </c>
      <c r="K62" s="14">
        <v>0</v>
      </c>
    </row>
    <row r="63" spans="1:11">
      <c r="A63" s="2" t="s">
        <v>407</v>
      </c>
      <c r="B63" s="3" t="s">
        <v>408</v>
      </c>
      <c r="D63" s="14">
        <v>6.6913062877667572E-10</v>
      </c>
      <c r="E63" s="14">
        <v>9.2578592593769689E-9</v>
      </c>
      <c r="F63" s="14">
        <v>4.4738881742331206E-7</v>
      </c>
      <c r="G63" s="14">
        <v>1.900556040895853E-6</v>
      </c>
      <c r="H63" s="14">
        <v>0</v>
      </c>
      <c r="I63" s="14">
        <v>3.5910744507703677E-5</v>
      </c>
      <c r="J63" s="14">
        <v>1.7313836440890054E-6</v>
      </c>
      <c r="K63" s="14">
        <v>0</v>
      </c>
    </row>
    <row r="64" spans="1:11">
      <c r="A64" s="2" t="s">
        <v>409</v>
      </c>
      <c r="B64" s="3" t="s">
        <v>410</v>
      </c>
      <c r="D64" s="14">
        <v>7.4326726585974449E-11</v>
      </c>
      <c r="E64" s="14">
        <v>2.8779594534260143E-9</v>
      </c>
      <c r="F64" s="14">
        <v>2.1628142454390429E-7</v>
      </c>
      <c r="G64" s="14">
        <v>1.925372554355479E-6</v>
      </c>
      <c r="H64" s="14">
        <v>0</v>
      </c>
      <c r="I64" s="14">
        <v>3.6809163160767536E-5</v>
      </c>
      <c r="J64" s="14">
        <v>1.0462305741530749E-6</v>
      </c>
      <c r="K64" s="14">
        <v>0</v>
      </c>
    </row>
    <row r="65" spans="1:11">
      <c r="A65" s="2" t="s">
        <v>301</v>
      </c>
      <c r="B65" s="3" t="s">
        <v>302</v>
      </c>
      <c r="D65" s="14">
        <v>8.5542709252982259E-12</v>
      </c>
      <c r="E65" s="14">
        <v>7.5273596262887679E-10</v>
      </c>
      <c r="F65" s="14">
        <v>9.3466765912347744E-8</v>
      </c>
      <c r="G65" s="14">
        <v>1.9299798336598024E-6</v>
      </c>
      <c r="H65" s="14">
        <v>0</v>
      </c>
      <c r="I65" s="14">
        <v>3.7393064760604125E-5</v>
      </c>
      <c r="J65" s="14">
        <v>5.827273495901674E-7</v>
      </c>
      <c r="K65" s="14">
        <v>0</v>
      </c>
    </row>
    <row r="66" spans="1:11">
      <c r="A66" s="2" t="s">
        <v>303</v>
      </c>
      <c r="B66" s="3" t="s">
        <v>304</v>
      </c>
      <c r="D66" s="14">
        <v>8.5528434318447066E-18</v>
      </c>
      <c r="E66" s="14">
        <v>1.6164050046593986E-9</v>
      </c>
      <c r="F66" s="14">
        <v>1.5082896010748554E-7</v>
      </c>
      <c r="G66" s="14">
        <v>1.929657768389476E-6</v>
      </c>
      <c r="H66" s="14">
        <v>0</v>
      </c>
      <c r="I66" s="14">
        <v>3.710395587149391E-5</v>
      </c>
      <c r="J66" s="14">
        <v>8.1394099499592641E-7</v>
      </c>
      <c r="K66" s="14">
        <v>0</v>
      </c>
    </row>
    <row r="67" spans="1:11">
      <c r="A67" s="2" t="s">
        <v>411</v>
      </c>
      <c r="B67" s="3" t="s">
        <v>412</v>
      </c>
      <c r="D67" s="14">
        <v>1.889684876772504E-7</v>
      </c>
      <c r="E67" s="14">
        <v>3.3055905014926953E-5</v>
      </c>
      <c r="F67" s="14">
        <v>1.0276934825015169E-7</v>
      </c>
      <c r="G67" s="14">
        <v>3.0885821534973868E-8</v>
      </c>
      <c r="H67" s="14">
        <v>0</v>
      </c>
      <c r="I67" s="14">
        <v>5.1666644041280774E-7</v>
      </c>
      <c r="J67" s="14">
        <v>6.1048048871978652E-6</v>
      </c>
      <c r="K67" s="14">
        <v>0</v>
      </c>
    </row>
    <row r="68" spans="1:11">
      <c r="A68" s="2" t="s">
        <v>413</v>
      </c>
      <c r="B68" s="3" t="s">
        <v>414</v>
      </c>
      <c r="D68" s="14">
        <v>4.1098278876939321E-7</v>
      </c>
      <c r="E68" s="14">
        <v>3.0557885500741958E-5</v>
      </c>
      <c r="F68" s="14">
        <v>1.8201108964683224E-7</v>
      </c>
      <c r="G68" s="14">
        <v>5.2142686724448445E-8</v>
      </c>
      <c r="H68" s="14">
        <v>0</v>
      </c>
      <c r="I68" s="14">
        <v>8.77327081975305E-7</v>
      </c>
      <c r="J68" s="14">
        <v>7.9196508521420599E-6</v>
      </c>
      <c r="K68" s="14">
        <v>0</v>
      </c>
    </row>
    <row r="69" spans="1:11">
      <c r="A69" s="2" t="s">
        <v>415</v>
      </c>
      <c r="B69" s="3" t="s">
        <v>416</v>
      </c>
      <c r="D69" s="14">
        <v>4.2804597248804962E-8</v>
      </c>
      <c r="E69" s="14">
        <v>4.8632890157341195E-8</v>
      </c>
      <c r="F69" s="14">
        <v>1.2384105126151717E-6</v>
      </c>
      <c r="G69" s="14">
        <v>1.7982918886535217E-6</v>
      </c>
      <c r="H69" s="14">
        <v>0</v>
      </c>
      <c r="I69" s="14">
        <v>3.3404708635319736E-5</v>
      </c>
      <c r="J69" s="14">
        <v>3.4671514760054381E-6</v>
      </c>
      <c r="K69" s="14">
        <v>0</v>
      </c>
    </row>
    <row r="70" spans="1:11">
      <c r="A70" s="2" t="s">
        <v>417</v>
      </c>
      <c r="B70" s="3" t="s">
        <v>418</v>
      </c>
      <c r="D70" s="14">
        <v>2.5895096736416904E-7</v>
      </c>
      <c r="E70" s="14">
        <v>2.0887054611741769E-6</v>
      </c>
      <c r="F70" s="14">
        <v>5.5550983544832375E-6</v>
      </c>
      <c r="G70" s="14">
        <v>1.0152834526866476E-6</v>
      </c>
      <c r="H70" s="14">
        <v>0</v>
      </c>
      <c r="I70" s="14">
        <v>1.8065290449773113E-5</v>
      </c>
      <c r="J70" s="14">
        <v>1.301667131451866E-5</v>
      </c>
      <c r="K70" s="14">
        <v>0</v>
      </c>
    </row>
    <row r="71" spans="1:11">
      <c r="A71" s="2" t="s">
        <v>419</v>
      </c>
      <c r="B71" s="3" t="s">
        <v>420</v>
      </c>
      <c r="D71" s="14">
        <v>1.0059035424724791E-6</v>
      </c>
      <c r="E71" s="14">
        <v>3.0485688104587812E-5</v>
      </c>
      <c r="F71" s="14">
        <v>1.6429734767728386E-7</v>
      </c>
      <c r="G71" s="14">
        <v>4.7416130319891986E-8</v>
      </c>
      <c r="H71" s="14">
        <v>0</v>
      </c>
      <c r="I71" s="14">
        <v>7.9708385746429947E-7</v>
      </c>
      <c r="J71" s="14">
        <v>7.4996110174782388E-6</v>
      </c>
      <c r="K71" s="14">
        <v>0</v>
      </c>
    </row>
    <row r="72" spans="1:11">
      <c r="A72" s="2" t="s">
        <v>421</v>
      </c>
      <c r="B72" s="3" t="s">
        <v>422</v>
      </c>
      <c r="D72" s="14">
        <v>1.0502853648887355E-6</v>
      </c>
      <c r="E72" s="14">
        <v>2.335538218287933E-6</v>
      </c>
      <c r="F72" s="14">
        <v>5.2141260845162623E-6</v>
      </c>
      <c r="G72" s="14">
        <v>9.6533284731392093E-7</v>
      </c>
      <c r="H72" s="14">
        <v>0</v>
      </c>
      <c r="I72" s="14">
        <v>1.7148856170811557E-5</v>
      </c>
      <c r="J72" s="14">
        <v>1.3285861314181597E-5</v>
      </c>
      <c r="K72" s="14">
        <v>0</v>
      </c>
    </row>
    <row r="73" spans="1:11">
      <c r="A73" s="2" t="s">
        <v>423</v>
      </c>
      <c r="B73" s="3" t="s">
        <v>424</v>
      </c>
      <c r="D73" s="14">
        <v>6.7518111094867552E-7</v>
      </c>
      <c r="E73" s="14">
        <v>1.3597527579318598E-5</v>
      </c>
      <c r="F73" s="14">
        <v>1.6691466637867579E-6</v>
      </c>
      <c r="G73" s="14">
        <v>3.8263972356240732E-7</v>
      </c>
      <c r="H73" s="14">
        <v>0</v>
      </c>
      <c r="I73" s="14">
        <v>6.6185035397382337E-6</v>
      </c>
      <c r="J73" s="14">
        <v>1.7057001382645337E-5</v>
      </c>
      <c r="K73" s="14">
        <v>0</v>
      </c>
    </row>
    <row r="74" spans="1:11">
      <c r="A74" s="2" t="s">
        <v>425</v>
      </c>
      <c r="B74" s="3" t="s">
        <v>426</v>
      </c>
      <c r="D74" s="14">
        <v>3.9632296068108065E-7</v>
      </c>
      <c r="E74" s="14">
        <v>2.1618666308788533E-6</v>
      </c>
      <c r="F74" s="14">
        <v>5.4691955087213607E-6</v>
      </c>
      <c r="G74" s="14">
        <v>1.0032727208266556E-6</v>
      </c>
      <c r="H74" s="14">
        <v>0</v>
      </c>
      <c r="I74" s="14">
        <v>1.7843365315446027E-5</v>
      </c>
      <c r="J74" s="14">
        <v>1.3125976863446022E-5</v>
      </c>
      <c r="K74" s="14">
        <v>0</v>
      </c>
    </row>
    <row r="75" spans="1:11">
      <c r="A75" s="2" t="s">
        <v>427</v>
      </c>
      <c r="B75" s="3" t="s">
        <v>428</v>
      </c>
      <c r="D75" s="14">
        <v>7.5592114494644686E-14</v>
      </c>
      <c r="E75" s="14">
        <v>5.9516334445087421E-7</v>
      </c>
      <c r="F75" s="14">
        <v>1.3660000837145484E-5</v>
      </c>
      <c r="G75" s="14">
        <v>5.271096111038031E-9</v>
      </c>
      <c r="H75" s="14">
        <v>0</v>
      </c>
      <c r="I75" s="14">
        <v>2.5728088038234189E-5</v>
      </c>
      <c r="J75" s="14">
        <v>1.1476608466307848E-8</v>
      </c>
      <c r="K75" s="14">
        <v>0</v>
      </c>
    </row>
    <row r="76" spans="1:11">
      <c r="A76" s="2" t="s">
        <v>429</v>
      </c>
      <c r="B76" s="3" t="s">
        <v>430</v>
      </c>
      <c r="D76" s="14">
        <v>1.8987880707803666E-15</v>
      </c>
      <c r="E76" s="14">
        <v>5.9516334554736323E-7</v>
      </c>
      <c r="F76" s="14">
        <v>1.3660000862311753E-5</v>
      </c>
      <c r="G76" s="14">
        <v>5.2710961207491454E-9</v>
      </c>
      <c r="H76" s="14">
        <v>0</v>
      </c>
      <c r="I76" s="14">
        <v>2.5728088085633895E-5</v>
      </c>
      <c r="J76" s="14">
        <v>1.1476608487451586E-8</v>
      </c>
      <c r="K76" s="14">
        <v>0</v>
      </c>
    </row>
    <row r="77" spans="1:11">
      <c r="A77" s="2" t="s">
        <v>431</v>
      </c>
      <c r="B77" s="3" t="s">
        <v>432</v>
      </c>
      <c r="D77" s="14">
        <v>1.4999714496368772E-6</v>
      </c>
      <c r="E77" s="14">
        <v>6.4085925016272369E-6</v>
      </c>
      <c r="F77" s="14">
        <v>3.1912233990088425E-6</v>
      </c>
      <c r="G77" s="14">
        <v>6.5986145916373018E-7</v>
      </c>
      <c r="H77" s="14">
        <v>0</v>
      </c>
      <c r="I77" s="14">
        <v>1.1561528430433967E-5</v>
      </c>
      <c r="J77" s="14">
        <v>1.6678822760129356E-5</v>
      </c>
      <c r="K77" s="14">
        <v>0</v>
      </c>
    </row>
    <row r="78" spans="1:11">
      <c r="A78" s="2" t="s">
        <v>433</v>
      </c>
      <c r="B78" s="3" t="s">
        <v>434</v>
      </c>
      <c r="D78" s="14">
        <v>1.4591348758823563E-6</v>
      </c>
      <c r="E78" s="14">
        <v>2.3016278423255155E-5</v>
      </c>
      <c r="F78" s="14">
        <v>5.5612145822907633E-7</v>
      </c>
      <c r="G78" s="14">
        <v>1.4370279270337726E-7</v>
      </c>
      <c r="H78" s="14">
        <v>0</v>
      </c>
      <c r="I78" s="14">
        <v>2.448832605826723E-6</v>
      </c>
      <c r="J78" s="14">
        <v>1.237592984410332E-5</v>
      </c>
      <c r="K78" s="14">
        <v>0</v>
      </c>
    </row>
    <row r="79" spans="1:11">
      <c r="A79" s="2" t="s">
        <v>435</v>
      </c>
      <c r="B79" s="3" t="s">
        <v>436</v>
      </c>
      <c r="D79" s="14">
        <v>3.736496136981923E-7</v>
      </c>
      <c r="E79" s="14">
        <v>1.7703706542644598E-5</v>
      </c>
      <c r="F79" s="14">
        <v>1.134328261316108E-6</v>
      </c>
      <c r="G79" s="14">
        <v>2.7279368210688525E-7</v>
      </c>
      <c r="H79" s="14">
        <v>0</v>
      </c>
      <c r="I79" s="14">
        <v>4.6904045784298069E-6</v>
      </c>
      <c r="J79" s="14">
        <v>1.5825117321804414E-5</v>
      </c>
      <c r="K79" s="14">
        <v>0</v>
      </c>
    </row>
    <row r="80" spans="1:11">
      <c r="A80" s="2" t="s">
        <v>437</v>
      </c>
      <c r="B80" s="3" t="s">
        <v>438</v>
      </c>
      <c r="D80" s="14">
        <v>1.6892886629586256E-14</v>
      </c>
      <c r="E80" s="14">
        <v>2.5186252283857757E-7</v>
      </c>
      <c r="F80" s="14">
        <v>8.5345003323130999E-6</v>
      </c>
      <c r="G80" s="14">
        <v>6.3259871983944746E-9</v>
      </c>
      <c r="H80" s="14">
        <v>0</v>
      </c>
      <c r="I80" s="14">
        <v>3.1198580604117832E-5</v>
      </c>
      <c r="J80" s="14">
        <v>8.7305366392182856E-9</v>
      </c>
      <c r="K80" s="14">
        <v>0</v>
      </c>
    </row>
    <row r="81" spans="1:11">
      <c r="A81" s="2" t="s">
        <v>440</v>
      </c>
      <c r="B81" s="3" t="s">
        <v>441</v>
      </c>
      <c r="D81" s="14">
        <v>7.3747339214705255E-18</v>
      </c>
      <c r="E81" s="14">
        <v>3.8815574657879889E-5</v>
      </c>
      <c r="F81" s="14">
        <v>3.640999091666934E-9</v>
      </c>
      <c r="G81" s="14">
        <v>1.4161723995385153E-9</v>
      </c>
      <c r="H81" s="14">
        <v>0</v>
      </c>
      <c r="I81" s="14">
        <v>2.3179374712817078E-8</v>
      </c>
      <c r="J81" s="14">
        <v>1.156188795908714E-6</v>
      </c>
      <c r="K81" s="14">
        <v>0</v>
      </c>
    </row>
    <row r="82" spans="1:11">
      <c r="A82" s="2" t="s">
        <v>442</v>
      </c>
      <c r="B82" s="3" t="s">
        <v>443</v>
      </c>
      <c r="D82" s="14">
        <v>3.4181461456581362E-9</v>
      </c>
      <c r="E82" s="14">
        <v>2.9818808910603537E-5</v>
      </c>
      <c r="F82" s="14">
        <v>2.2806825636485431E-7</v>
      </c>
      <c r="G82" s="14">
        <v>6.4144643778520725E-8</v>
      </c>
      <c r="H82" s="14">
        <v>0</v>
      </c>
      <c r="I82" s="14">
        <v>1.0817020605476166E-6</v>
      </c>
      <c r="J82" s="14">
        <v>8.8038579825598125E-6</v>
      </c>
      <c r="K82" s="14">
        <v>0</v>
      </c>
    </row>
    <row r="83" spans="1:11">
      <c r="A83" s="2" t="s">
        <v>444</v>
      </c>
      <c r="B83" s="3" t="s">
        <v>445</v>
      </c>
      <c r="D83" s="14">
        <v>3.1056635550943731E-8</v>
      </c>
      <c r="E83" s="14">
        <v>7.825175205162365E-6</v>
      </c>
      <c r="F83" s="14">
        <v>2.9595700282154904E-6</v>
      </c>
      <c r="G83" s="14">
        <v>6.2448811275009107E-7</v>
      </c>
      <c r="H83" s="14">
        <v>0</v>
      </c>
      <c r="I83" s="14">
        <v>1.0914094729757898E-5</v>
      </c>
      <c r="J83" s="14">
        <v>1.7645615288563217E-5</v>
      </c>
      <c r="K83" s="14">
        <v>0</v>
      </c>
    </row>
    <row r="84" spans="1:11">
      <c r="A84" s="2" t="s">
        <v>446</v>
      </c>
      <c r="B84" s="3" t="s">
        <v>447</v>
      </c>
      <c r="D84" s="14">
        <v>2.2663090143342928E-19</v>
      </c>
      <c r="E84" s="14">
        <v>3.7401480247166724E-5</v>
      </c>
      <c r="F84" s="14">
        <v>1.6330269090261797E-8</v>
      </c>
      <c r="G84" s="14">
        <v>5.6713819475863673E-9</v>
      </c>
      <c r="H84" s="14">
        <v>0</v>
      </c>
      <c r="I84" s="14">
        <v>9.3376265522684229E-8</v>
      </c>
      <c r="J84" s="14">
        <v>2.4831418362725127E-6</v>
      </c>
      <c r="K84" s="14">
        <v>0</v>
      </c>
    </row>
    <row r="85" spans="1:11">
      <c r="A85" s="2" t="s">
        <v>448</v>
      </c>
      <c r="B85" s="3" t="s">
        <v>449</v>
      </c>
      <c r="D85" s="14">
        <v>1.5898651225958967E-12</v>
      </c>
      <c r="E85" s="14">
        <v>3.9512084932795989E-5</v>
      </c>
      <c r="F85" s="14">
        <v>6.6839700787215719E-10</v>
      </c>
      <c r="G85" s="14">
        <v>2.9493753922527336E-10</v>
      </c>
      <c r="H85" s="14">
        <v>0</v>
      </c>
      <c r="I85" s="14">
        <v>4.9549764139592381E-9</v>
      </c>
      <c r="J85" s="14">
        <v>4.8199516637783455E-7</v>
      </c>
      <c r="K85" s="14">
        <v>0</v>
      </c>
    </row>
    <row r="86" spans="1:11">
      <c r="A86" s="2" t="s">
        <v>450</v>
      </c>
      <c r="B86" s="3" t="s">
        <v>451</v>
      </c>
      <c r="D86" s="14">
        <v>5.7010005137634866E-13</v>
      </c>
      <c r="E86" s="14">
        <v>3.7466294682874839E-5</v>
      </c>
      <c r="F86" s="14">
        <v>1.5560562598527879E-8</v>
      </c>
      <c r="G86" s="14">
        <v>5.4240146067267171E-9</v>
      </c>
      <c r="H86" s="14">
        <v>0</v>
      </c>
      <c r="I86" s="14">
        <v>8.9273422752941381E-8</v>
      </c>
      <c r="J86" s="14">
        <v>2.4234467470669201E-6</v>
      </c>
      <c r="K86" s="14">
        <v>0</v>
      </c>
    </row>
    <row r="87" spans="1:11">
      <c r="A87" s="2" t="s">
        <v>452</v>
      </c>
      <c r="B87" s="3" t="s">
        <v>453</v>
      </c>
      <c r="D87" s="14">
        <v>1.3232720594352878E-12</v>
      </c>
      <c r="E87" s="14">
        <v>1.4249145038826578E-8</v>
      </c>
      <c r="F87" s="14">
        <v>5.8414862325009265E-7</v>
      </c>
      <c r="G87" s="14">
        <v>1.8837311212050787E-6</v>
      </c>
      <c r="H87" s="14">
        <v>0</v>
      </c>
      <c r="I87" s="14">
        <v>3.5437543085717957E-5</v>
      </c>
      <c r="J87" s="14">
        <v>2.0803267015159904E-6</v>
      </c>
      <c r="K87" s="14">
        <v>0</v>
      </c>
    </row>
    <row r="88" spans="1:11">
      <c r="A88" s="2" t="s">
        <v>454</v>
      </c>
      <c r="B88" s="3" t="s">
        <v>455</v>
      </c>
      <c r="D88" s="14">
        <v>1.713889217792389E-9</v>
      </c>
      <c r="E88" s="14">
        <v>2.5867973722949349E-5</v>
      </c>
      <c r="F88" s="14">
        <v>4.4040978699018551E-7</v>
      </c>
      <c r="G88" s="14">
        <v>1.1677571010197499E-7</v>
      </c>
      <c r="H88" s="14">
        <v>0</v>
      </c>
      <c r="I88" s="14">
        <v>1.9836149460272458E-6</v>
      </c>
      <c r="J88" s="14">
        <v>1.1589511944713459E-5</v>
      </c>
      <c r="K88" s="14">
        <v>0</v>
      </c>
    </row>
    <row r="89" spans="1:11">
      <c r="A89" s="2" t="s">
        <v>456</v>
      </c>
      <c r="B89" s="3" t="s">
        <v>457</v>
      </c>
      <c r="D89" s="14">
        <v>1.1330595364014078E-21</v>
      </c>
      <c r="E89" s="14">
        <v>2.9146901606759824E-5</v>
      </c>
      <c r="F89" s="14">
        <v>2.59016210543939E-7</v>
      </c>
      <c r="G89" s="14">
        <v>7.2048094731781047E-8</v>
      </c>
      <c r="H89" s="14">
        <v>0</v>
      </c>
      <c r="I89" s="14">
        <v>1.2166322701695496E-6</v>
      </c>
      <c r="J89" s="14">
        <v>9.3054018177949099E-6</v>
      </c>
      <c r="K89" s="14">
        <v>0</v>
      </c>
    </row>
    <row r="90" spans="1:11">
      <c r="A90" s="2" t="s">
        <v>458</v>
      </c>
      <c r="B90" s="3" t="s">
        <v>459</v>
      </c>
      <c r="D90" s="14">
        <v>1.6923332119559839E-33</v>
      </c>
      <c r="E90" s="14">
        <v>3.4896794986324403E-5</v>
      </c>
      <c r="F90" s="14">
        <v>5.9533318610129522E-8</v>
      </c>
      <c r="G90" s="14">
        <v>1.8700604603229663E-8</v>
      </c>
      <c r="H90" s="14">
        <v>0</v>
      </c>
      <c r="I90" s="14">
        <v>3.1120228145372278E-7</v>
      </c>
      <c r="J90" s="14">
        <v>4.7137688090085088E-6</v>
      </c>
      <c r="K90" s="14">
        <v>0</v>
      </c>
    </row>
    <row r="91" spans="1:11">
      <c r="A91" s="2" t="s">
        <v>460</v>
      </c>
      <c r="B91" s="3" t="s">
        <v>461</v>
      </c>
      <c r="D91" s="14">
        <v>2.4071273044978504E-12</v>
      </c>
      <c r="E91" s="14">
        <v>1.6229260216472151E-7</v>
      </c>
      <c r="F91" s="14">
        <v>2.5449149564863248E-6</v>
      </c>
      <c r="G91" s="14">
        <v>1.6400943384815619E-6</v>
      </c>
      <c r="H91" s="14">
        <v>0</v>
      </c>
      <c r="I91" s="14">
        <v>3.0075942048216608E-5</v>
      </c>
      <c r="J91" s="14">
        <v>5.5767536475234772E-6</v>
      </c>
      <c r="K91" s="14">
        <v>0</v>
      </c>
    </row>
    <row r="92" spans="1:11">
      <c r="A92" s="2" t="s">
        <v>462</v>
      </c>
      <c r="B92" s="3" t="s">
        <v>463</v>
      </c>
      <c r="D92" s="14">
        <v>2.534862510827132E-13</v>
      </c>
      <c r="E92" s="14">
        <v>1.0149252866133257E-5</v>
      </c>
      <c r="F92" s="14">
        <v>2.3868692163211891E-6</v>
      </c>
      <c r="G92" s="14">
        <v>5.2158390168426408E-7</v>
      </c>
      <c r="H92" s="14">
        <v>0</v>
      </c>
      <c r="I92" s="14">
        <v>9.0759037848222013E-6</v>
      </c>
      <c r="J92" s="14">
        <v>1.7866389977552842E-5</v>
      </c>
      <c r="K92" s="14">
        <v>0</v>
      </c>
    </row>
    <row r="93" spans="1:11">
      <c r="A93" s="2" t="s">
        <v>464</v>
      </c>
      <c r="B93" s="3" t="s">
        <v>465</v>
      </c>
      <c r="D93" s="14">
        <v>1.505683554134156E-8</v>
      </c>
      <c r="E93" s="14">
        <v>2.9890513178788583E-6</v>
      </c>
      <c r="F93" s="14">
        <v>4.9431970351784901E-6</v>
      </c>
      <c r="G93" s="14">
        <v>9.3562857496784672E-7</v>
      </c>
      <c r="H93" s="14">
        <v>0</v>
      </c>
      <c r="I93" s="14">
        <v>1.6575335201017821E-5</v>
      </c>
      <c r="J93" s="14">
        <v>1.4541731035415643E-5</v>
      </c>
      <c r="K93" s="14">
        <v>0</v>
      </c>
    </row>
    <row r="94" spans="1:11">
      <c r="A94" s="2" t="s">
        <v>466</v>
      </c>
      <c r="B94" s="3" t="s">
        <v>467</v>
      </c>
      <c r="D94" s="14">
        <v>8.0398297809305402E-23</v>
      </c>
      <c r="E94" s="14">
        <v>3.9354879542197574E-5</v>
      </c>
      <c r="F94" s="14">
        <v>4.6046130269470693E-7</v>
      </c>
      <c r="G94" s="14">
        <v>6.0510624119045925E-11</v>
      </c>
      <c r="H94" s="14">
        <v>0</v>
      </c>
      <c r="I94" s="14">
        <v>1.7760756462760744E-7</v>
      </c>
      <c r="J94" s="14">
        <v>6.991079856002605E-9</v>
      </c>
      <c r="K94" s="14">
        <v>0</v>
      </c>
    </row>
    <row r="95" spans="1:11">
      <c r="A95" s="2" t="s">
        <v>468</v>
      </c>
      <c r="B95" s="3" t="s">
        <v>469</v>
      </c>
      <c r="D95" s="14">
        <v>1.5443262149164279E-22</v>
      </c>
      <c r="E95" s="14">
        <v>6.0464255278253752E-7</v>
      </c>
      <c r="F95" s="14">
        <v>5.3544301634644724E-6</v>
      </c>
      <c r="G95" s="14">
        <v>1.3246733949021886E-6</v>
      </c>
      <c r="H95" s="14">
        <v>0</v>
      </c>
      <c r="I95" s="14">
        <v>2.392559466866683E-5</v>
      </c>
      <c r="J95" s="14">
        <v>8.7906592201839716E-6</v>
      </c>
      <c r="K95" s="14">
        <v>0</v>
      </c>
    </row>
    <row r="96" spans="1:11">
      <c r="A96" s="2" t="s">
        <v>470</v>
      </c>
      <c r="B96" s="165">
        <v>354656</v>
      </c>
      <c r="D96" s="14">
        <v>1.4702929023586918E-14</v>
      </c>
      <c r="E96" s="14">
        <v>3.8768904142978557E-5</v>
      </c>
      <c r="F96" s="14">
        <v>3.9199278693058759E-9</v>
      </c>
      <c r="G96" s="14">
        <v>1.5162598354509405E-9</v>
      </c>
      <c r="H96" s="14">
        <v>0</v>
      </c>
      <c r="I96" s="14">
        <v>2.4816569600847908E-8</v>
      </c>
      <c r="J96" s="14">
        <v>1.2008430850129074E-6</v>
      </c>
      <c r="K96" s="14">
        <v>0</v>
      </c>
    </row>
    <row r="97" spans="1:11">
      <c r="A97" s="2" t="s">
        <v>472</v>
      </c>
      <c r="B97" s="3" t="s">
        <v>473</v>
      </c>
      <c r="D97" s="14">
        <v>2.2646222153431189E-14</v>
      </c>
      <c r="E97" s="14">
        <v>3.7368479566922759E-5</v>
      </c>
      <c r="F97" s="14">
        <v>1.6728999886056407E-8</v>
      </c>
      <c r="G97" s="14">
        <v>5.7991659072471588E-9</v>
      </c>
      <c r="H97" s="14">
        <v>0</v>
      </c>
      <c r="I97" s="14">
        <v>9.5496443134256061E-8</v>
      </c>
      <c r="J97" s="14">
        <v>2.5134958015034676E-6</v>
      </c>
      <c r="K97" s="14">
        <v>0</v>
      </c>
    </row>
    <row r="98" spans="1:11">
      <c r="A98" s="2" t="s">
        <v>474</v>
      </c>
      <c r="B98" s="3" t="s">
        <v>475</v>
      </c>
      <c r="D98" s="14">
        <v>3.991352459361704E-24</v>
      </c>
      <c r="E98" s="14">
        <v>1.5735470919251248E-6</v>
      </c>
      <c r="F98" s="14">
        <v>6.0896775195781658E-6</v>
      </c>
      <c r="G98" s="14">
        <v>1.0826544129495663E-6</v>
      </c>
      <c r="H98" s="14">
        <v>0</v>
      </c>
      <c r="I98" s="14">
        <v>1.9330655981803067E-5</v>
      </c>
      <c r="J98" s="14">
        <v>1.1923464993744084E-5</v>
      </c>
      <c r="K98" s="14">
        <v>0</v>
      </c>
    </row>
    <row r="99" spans="1:11">
      <c r="A99" s="2" t="s">
        <v>476</v>
      </c>
      <c r="B99" s="3" t="s">
        <v>477</v>
      </c>
      <c r="D99" s="14">
        <v>6.9391627854477133E-12</v>
      </c>
      <c r="E99" s="14">
        <v>3.9663107789827278E-5</v>
      </c>
      <c r="F99" s="14">
        <v>3.2898893437452302E-10</v>
      </c>
      <c r="G99" s="14">
        <v>1.5299486190730124E-10</v>
      </c>
      <c r="H99" s="14">
        <v>0</v>
      </c>
      <c r="I99" s="14">
        <v>2.6777225839398791E-9</v>
      </c>
      <c r="J99" s="14">
        <v>3.3372556462971686E-7</v>
      </c>
      <c r="K99" s="14">
        <v>0</v>
      </c>
    </row>
    <row r="100" spans="1:11">
      <c r="A100" s="2" t="s">
        <v>478</v>
      </c>
      <c r="B100" s="3" t="s">
        <v>479</v>
      </c>
      <c r="D100" s="14">
        <v>2.3947802426673858E-15</v>
      </c>
      <c r="E100" s="14">
        <v>1.9293247294898351E-5</v>
      </c>
      <c r="F100" s="14">
        <v>9.8705165578468212E-7</v>
      </c>
      <c r="G100" s="14">
        <v>2.4134340558552744E-7</v>
      </c>
      <c r="H100" s="14">
        <v>0</v>
      </c>
      <c r="I100" s="14">
        <v>4.1410874907965695E-6</v>
      </c>
      <c r="J100" s="14">
        <v>1.5337270150540097E-5</v>
      </c>
      <c r="K100" s="14">
        <v>0</v>
      </c>
    </row>
    <row r="101" spans="1:11">
      <c r="A101" s="2" t="s">
        <v>480</v>
      </c>
      <c r="B101" s="3" t="s">
        <v>481</v>
      </c>
      <c r="D101" s="14">
        <v>1.867178585369274E-15</v>
      </c>
      <c r="E101" s="14">
        <v>3.9433517873879061E-5</v>
      </c>
      <c r="F101" s="14">
        <v>8.893241229034287E-10</v>
      </c>
      <c r="G101" s="14">
        <v>3.8419846738765571E-10</v>
      </c>
      <c r="H101" s="14">
        <v>0</v>
      </c>
      <c r="I101" s="14">
        <v>6.3933398477398916E-9</v>
      </c>
      <c r="J101" s="14">
        <v>5.588152618157294E-7</v>
      </c>
      <c r="K101" s="14">
        <v>0</v>
      </c>
    </row>
    <row r="102" spans="1:11">
      <c r="A102" s="2" t="s">
        <v>482</v>
      </c>
      <c r="B102" s="3" t="s">
        <v>483</v>
      </c>
      <c r="D102" s="14">
        <v>1.1734579470513238E-31</v>
      </c>
      <c r="E102" s="14">
        <v>3.9857237545020351E-5</v>
      </c>
      <c r="F102" s="14">
        <v>6.346609031240927E-11</v>
      </c>
      <c r="G102" s="14">
        <v>3.333015250076048E-11</v>
      </c>
      <c r="H102" s="14">
        <v>0</v>
      </c>
      <c r="I102" s="14">
        <v>7.7626557154486015E-10</v>
      </c>
      <c r="J102" s="14">
        <v>1.4188939316529536E-7</v>
      </c>
      <c r="K102" s="14">
        <v>0</v>
      </c>
    </row>
    <row r="103" spans="1:11">
      <c r="A103" s="2" t="s">
        <v>484</v>
      </c>
      <c r="B103" s="3" t="s">
        <v>485</v>
      </c>
      <c r="D103" s="14">
        <v>9.3599843822323053E-18</v>
      </c>
      <c r="E103" s="14">
        <v>3.9673890340708567E-5</v>
      </c>
      <c r="F103" s="14">
        <v>3.0913582618674769E-10</v>
      </c>
      <c r="G103" s="14">
        <v>1.4442583741123719E-10</v>
      </c>
      <c r="H103" s="14">
        <v>0</v>
      </c>
      <c r="I103" s="14">
        <v>2.5407962081179023E-9</v>
      </c>
      <c r="J103" s="14">
        <v>3.2311530141035575E-7</v>
      </c>
      <c r="K103" s="14">
        <v>0</v>
      </c>
    </row>
    <row r="104" spans="1:11">
      <c r="A104" s="2" t="s">
        <v>486</v>
      </c>
      <c r="B104" s="3" t="s">
        <v>487</v>
      </c>
      <c r="D104" s="14">
        <v>1.1536013619868248E-13</v>
      </c>
      <c r="E104" s="14">
        <v>3.8120222303559988E-5</v>
      </c>
      <c r="F104" s="14">
        <v>8.7969064801044824E-9</v>
      </c>
      <c r="G104" s="14">
        <v>3.202030986875726E-9</v>
      </c>
      <c r="H104" s="14">
        <v>0</v>
      </c>
      <c r="I104" s="14">
        <v>5.2521473183526119E-8</v>
      </c>
      <c r="J104" s="14">
        <v>1.8152571704293715E-6</v>
      </c>
      <c r="K104" s="14">
        <v>0</v>
      </c>
    </row>
    <row r="105" spans="1:11">
      <c r="A105" s="2" t="s">
        <v>488</v>
      </c>
      <c r="B105" s="3" t="s">
        <v>489</v>
      </c>
      <c r="D105" s="14">
        <v>9.3324714136528994E-21</v>
      </c>
      <c r="E105" s="14">
        <v>3.9828718474757911E-5</v>
      </c>
      <c r="F105" s="14">
        <v>9.0005880162203741E-11</v>
      </c>
      <c r="G105" s="14">
        <v>4.6064508170436996E-11</v>
      </c>
      <c r="H105" s="14">
        <v>0</v>
      </c>
      <c r="I105" s="14">
        <v>9.7699463758036203E-10</v>
      </c>
      <c r="J105" s="14">
        <v>1.7016846021617413E-7</v>
      </c>
      <c r="K105" s="14">
        <v>0</v>
      </c>
    </row>
    <row r="106" spans="1:11">
      <c r="A106" s="2" t="s">
        <v>490</v>
      </c>
      <c r="B106" s="3" t="s">
        <v>491</v>
      </c>
      <c r="D106" s="14">
        <v>5.1552209828175241E-13</v>
      </c>
      <c r="E106" s="14">
        <v>3.3523314460790494E-5</v>
      </c>
      <c r="F106" s="14">
        <v>9.4302129794739526E-8</v>
      </c>
      <c r="G106" s="14">
        <v>2.8550719460554374E-8</v>
      </c>
      <c r="H106" s="14">
        <v>0</v>
      </c>
      <c r="I106" s="14">
        <v>4.7718405071766149E-7</v>
      </c>
      <c r="J106" s="14">
        <v>5.8766481237144553E-6</v>
      </c>
      <c r="K106" s="14">
        <v>0</v>
      </c>
    </row>
    <row r="107" spans="1:11">
      <c r="A107" s="2" t="s">
        <v>492</v>
      </c>
      <c r="B107" s="3" t="s">
        <v>493</v>
      </c>
      <c r="D107" s="14">
        <v>1.9484907548709206E-20</v>
      </c>
      <c r="E107" s="14">
        <v>1.2152846543515988E-6</v>
      </c>
      <c r="F107" s="14">
        <v>6.5098737243778869E-6</v>
      </c>
      <c r="G107" s="14">
        <v>1.1299731388330321E-6</v>
      </c>
      <c r="H107" s="14">
        <v>0</v>
      </c>
      <c r="I107" s="14">
        <v>2.0235973766060253E-5</v>
      </c>
      <c r="J107" s="14">
        <v>1.0908894716377207E-5</v>
      </c>
      <c r="K107" s="14">
        <v>0</v>
      </c>
    </row>
    <row r="108" spans="1:11">
      <c r="A108" s="2" t="s">
        <v>291</v>
      </c>
      <c r="B108" s="3" t="s">
        <v>494</v>
      </c>
      <c r="D108" s="14">
        <v>1.333714902893633E-14</v>
      </c>
      <c r="E108" s="14">
        <v>2.1480415042153174E-5</v>
      </c>
      <c r="F108" s="14">
        <v>7.743498505793081E-7</v>
      </c>
      <c r="G108" s="14">
        <v>1.9428209334778727E-7</v>
      </c>
      <c r="H108" s="14">
        <v>0</v>
      </c>
      <c r="I108" s="14">
        <v>3.3229022765426506E-6</v>
      </c>
      <c r="J108" s="14">
        <v>1.4228050724039937E-5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08"/>
  <sheetViews>
    <sheetView tabSelected="1" topLeftCell="A76" workbookViewId="0">
      <selection activeCell="A84" sqref="A84:D108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7.3843059281571211E-7</v>
      </c>
      <c r="B2">
        <f>'Mass Balance'!E2</f>
        <v>3.1745934972130955E-5</v>
      </c>
      <c r="C2">
        <f>SUM('Mass Balance'!E2:H2)</f>
        <v>3.1940892356122103E-5</v>
      </c>
      <c r="D2">
        <f>Concentrations!F2/Concentrations!E2</f>
        <v>0.99428391917831194</v>
      </c>
    </row>
    <row r="3" spans="1:4">
      <c r="A3" s="164">
        <f>'Mass Balance'!I3</f>
        <v>3.4998955929793065E-5</v>
      </c>
      <c r="B3">
        <f>'Mass Balance'!E3</f>
        <v>1.8633724993628243E-8</v>
      </c>
      <c r="C3">
        <f>SUM('Mass Balance'!E3:H3)</f>
        <v>2.5727124657708154E-6</v>
      </c>
      <c r="D3">
        <f>Concentrations!F3/Concentrations!E3</f>
        <v>7.2456569655418752E-3</v>
      </c>
    </row>
    <row r="4" spans="1:4">
      <c r="A4" s="164">
        <f>'Mass Balance'!I4</f>
        <v>5.0151983842795064E-6</v>
      </c>
      <c r="B4">
        <f>'Mass Balance'!E4</f>
        <v>1.7238647061862966E-5</v>
      </c>
      <c r="C4">
        <f>SUM('Mass Balance'!E4:H4)</f>
        <v>1.8750787678780194E-5</v>
      </c>
      <c r="D4">
        <f>Concentrations!F4/Concentrations!E4</f>
        <v>0.91971442972599593</v>
      </c>
    </row>
    <row r="5" spans="1:4">
      <c r="A5" s="164">
        <f>'Mass Balance'!I5</f>
        <v>2.5105985999483491E-5</v>
      </c>
      <c r="B5">
        <f>'Mass Balance'!E5</f>
        <v>4.905167545454455E-7</v>
      </c>
      <c r="C5">
        <f>SUM('Mass Balance'!E5:H5)</f>
        <v>6.6548345087831519E-6</v>
      </c>
      <c r="D5">
        <f>Concentrations!F5/Concentrations!E5</f>
        <v>7.3737078138436093E-2</v>
      </c>
    </row>
    <row r="6" spans="1:4">
      <c r="A6" s="164">
        <f>'Mass Balance'!I6</f>
        <v>3.6126051719973654E-5</v>
      </c>
      <c r="B6">
        <f>'Mass Balance'!E6</f>
        <v>7.3706734256939317E-9</v>
      </c>
      <c r="C6">
        <f>SUM('Mass Balance'!E6:H6)</f>
        <v>2.3033288138803928E-6</v>
      </c>
      <c r="D6">
        <f>Concentrations!F6/Concentrations!E6</f>
        <v>3.2012571914110167E-3</v>
      </c>
    </row>
    <row r="7" spans="1:4">
      <c r="A7" s="164">
        <f>'Mass Balance'!I7</f>
        <v>3.5267668725164449E-5</v>
      </c>
      <c r="B7">
        <f>'Mass Balance'!E7</f>
        <v>1.6317801686137137E-8</v>
      </c>
      <c r="C7">
        <f>SUM('Mass Balance'!E7:H7)</f>
        <v>2.5287008415722063E-6</v>
      </c>
      <c r="D7">
        <f>Concentrations!F7/Concentrations!E7</f>
        <v>6.4555542634555903E-3</v>
      </c>
    </row>
    <row r="8" spans="1:4">
      <c r="A8" s="164">
        <f>'Mass Balance'!I8</f>
        <v>3.3663817185105716E-5</v>
      </c>
      <c r="B8">
        <f>'Mass Balance'!E8</f>
        <v>4.3599951725956901E-8</v>
      </c>
      <c r="C8">
        <f>SUM('Mass Balance'!E8:H8)</f>
        <v>3.0131224072305807E-6</v>
      </c>
      <c r="D8">
        <f>Concentrations!F8/Concentrations!E8</f>
        <v>1.4475666589305136E-2</v>
      </c>
    </row>
    <row r="9" spans="1:4">
      <c r="A9" s="164">
        <f>'Mass Balance'!I9</f>
        <v>1.4742705197725583E-5</v>
      </c>
      <c r="B9">
        <f>'Mass Balance'!E9</f>
        <v>4.2446985408340382E-6</v>
      </c>
      <c r="C9">
        <f>SUM('Mass Balance'!E9:H9)</f>
        <v>9.3378931130048051E-6</v>
      </c>
      <c r="D9">
        <f>Concentrations!F9/Concentrations!E9</f>
        <v>0.4547443291613536</v>
      </c>
    </row>
    <row r="10" spans="1:4">
      <c r="A10" s="164">
        <f>'Mass Balance'!I10</f>
        <v>2.5733203371294949E-5</v>
      </c>
      <c r="B10">
        <f>'Mass Balance'!E10</f>
        <v>4.3692886772176683E-7</v>
      </c>
      <c r="C10">
        <f>SUM('Mass Balance'!E10:H10)</f>
        <v>6.3388778099489224E-6</v>
      </c>
      <c r="D10">
        <f>Concentrations!F10/Concentrations!E10</f>
        <v>6.895530717026728E-2</v>
      </c>
    </row>
    <row r="11" spans="1:4">
      <c r="A11" s="164">
        <f>'Mass Balance'!I11</f>
        <v>2.6724814972490426E-5</v>
      </c>
      <c r="B11">
        <f>'Mass Balance'!E11</f>
        <v>3.5911382923336346E-7</v>
      </c>
      <c r="C11">
        <f>SUM('Mass Balance'!E11:H11)</f>
        <v>5.8472042313750767E-6</v>
      </c>
      <c r="D11">
        <f>Concentrations!F11/Concentrations!E11</f>
        <v>6.1440282663387705E-2</v>
      </c>
    </row>
    <row r="12" spans="1:4">
      <c r="A12" s="164">
        <f>'Mass Balance'!I12</f>
        <v>1.6667949145019827E-5</v>
      </c>
      <c r="B12">
        <f>'Mass Balance'!E12</f>
        <v>2.9362517169850878E-6</v>
      </c>
      <c r="C12">
        <f>SUM('Mass Balance'!E12:H12)</f>
        <v>8.8557277508018673E-6</v>
      </c>
      <c r="D12">
        <f>Concentrations!F12/Concentrations!E12</f>
        <v>0.33169457264537167</v>
      </c>
    </row>
    <row r="13" spans="1:4">
      <c r="A13" s="164">
        <f>'Mass Balance'!I13</f>
        <v>1.4930477785932135E-5</v>
      </c>
      <c r="B13">
        <f>'Mass Balance'!E13</f>
        <v>4.1022632029301563E-6</v>
      </c>
      <c r="C13">
        <f>SUM('Mass Balance'!E13:H13)</f>
        <v>9.2738606171187947E-6</v>
      </c>
      <c r="D13">
        <f>Concentrations!F13/Concentrations!E13</f>
        <v>0.4425193802597488</v>
      </c>
    </row>
    <row r="14" spans="1:4">
      <c r="A14" s="164">
        <f>'Mass Balance'!I14</f>
        <v>2.9457638214326408E-5</v>
      </c>
      <c r="B14">
        <f>'Mass Balance'!E14</f>
        <v>1.9167125590025245E-7</v>
      </c>
      <c r="C14">
        <f>SUM('Mass Balance'!E14:H14)</f>
        <v>4.6054833997076679E-6</v>
      </c>
      <c r="D14">
        <f>Concentrations!F14/Concentrations!E14</f>
        <v>4.163428450865031E-2</v>
      </c>
    </row>
    <row r="15" spans="1:4">
      <c r="A15" s="164">
        <f>'Mass Balance'!I15</f>
        <v>2.6237387310447853E-5</v>
      </c>
      <c r="B15">
        <f>'Mass Balance'!E15</f>
        <v>3.9631247363896815E-7</v>
      </c>
      <c r="C15">
        <f>SUM('Mass Balance'!E15:H15)</f>
        <v>6.087569977529375E-6</v>
      </c>
      <c r="D15">
        <f>Concentrations!F15/Concentrations!E15</f>
        <v>6.512730593821664E-2</v>
      </c>
    </row>
    <row r="16" spans="1:4">
      <c r="A16" s="164">
        <f>'Mass Balance'!I16</f>
        <v>3.3566542493272089E-5</v>
      </c>
      <c r="B16">
        <f>'Mass Balance'!E16</f>
        <v>4.5556374573484902E-8</v>
      </c>
      <c r="C16">
        <f>SUM('Mass Balance'!E16:H16)</f>
        <v>3.0419072263187497E-6</v>
      </c>
      <c r="D16">
        <f>Concentrations!F16/Concentrations!E16</f>
        <v>1.498209439209027E-2</v>
      </c>
    </row>
    <row r="17" spans="1:4">
      <c r="A17" s="164">
        <f>'Mass Balance'!I17</f>
        <v>2.5319290478604287E-5</v>
      </c>
      <c r="B17">
        <f>'Mass Balance'!E17</f>
        <v>4.7207195776007996E-7</v>
      </c>
      <c r="C17">
        <f>SUM('Mass Balance'!E17:H17)</f>
        <v>6.5481797694833865E-6</v>
      </c>
      <c r="D17">
        <f>Concentrations!F17/Concentrations!E17</f>
        <v>7.2120204192343509E-2</v>
      </c>
    </row>
    <row r="18" spans="1:4">
      <c r="A18" s="164">
        <f>'Mass Balance'!I18</f>
        <v>1.3808252608563999E-5</v>
      </c>
      <c r="B18">
        <f>'Mass Balance'!E18</f>
        <v>4.90735773243521E-6</v>
      </c>
      <c r="C18">
        <f>SUM('Mass Balance'!E18:H18)</f>
        <v>9.6219180226699282E-6</v>
      </c>
      <c r="D18">
        <f>Concentrations!F18/Concentrations!E18</f>
        <v>0.51021756278682495</v>
      </c>
    </row>
    <row r="19" spans="1:4">
      <c r="A19" s="164">
        <f>'Mass Balance'!I19</f>
        <v>2.6336615538540606E-5</v>
      </c>
      <c r="B19">
        <f>'Mass Balance'!E19</f>
        <v>3.8861286417113501E-7</v>
      </c>
      <c r="C19">
        <f>SUM('Mass Balance'!E19:H19)</f>
        <v>6.0387146567232316E-6</v>
      </c>
      <c r="D19">
        <f>Concentrations!F19/Concentrations!E19</f>
        <v>6.4378670328433432E-2</v>
      </c>
    </row>
    <row r="20" spans="1:4">
      <c r="A20" s="164">
        <f>'Mass Balance'!I20</f>
        <v>1.4934066901472622E-5</v>
      </c>
      <c r="B20">
        <f>'Mass Balance'!E20</f>
        <v>4.1032493399328656E-6</v>
      </c>
      <c r="C20">
        <f>SUM('Mass Balance'!E20:H20)</f>
        <v>9.2760899467985621E-6</v>
      </c>
      <c r="D20">
        <f>Concentrations!F20/Concentrations!E20</f>
        <v>0.4425193802597488</v>
      </c>
    </row>
    <row r="21" spans="1:4">
      <c r="A21" s="164">
        <f>'Mass Balance'!I21</f>
        <v>2.8705497888381887E-5</v>
      </c>
      <c r="B21">
        <f>'Mass Balance'!E21</f>
        <v>2.3054922909306498E-7</v>
      </c>
      <c r="C21">
        <f>SUM('Mass Balance'!E21:H21)</f>
        <v>4.9225041999706951E-6</v>
      </c>
      <c r="D21">
        <f>Concentrations!F21/Concentrations!E21</f>
        <v>4.6854026342393613E-2</v>
      </c>
    </row>
    <row r="22" spans="1:4">
      <c r="A22" s="164">
        <f>'Mass Balance'!I22</f>
        <v>2.3244503517990315E-6</v>
      </c>
      <c r="B22">
        <f>'Mass Balance'!E22</f>
        <v>2.4557985479238143E-5</v>
      </c>
      <c r="C22">
        <f>SUM('Mass Balance'!E22:H22)</f>
        <v>2.5218178608142648E-5</v>
      </c>
      <c r="D22">
        <f>Concentrations!F22/Concentrations!E22</f>
        <v>0.97420052731428075</v>
      </c>
    </row>
    <row r="23" spans="1:4">
      <c r="A23" s="164">
        <f>'Mass Balance'!I23</f>
        <v>1.1250932251520275E-6</v>
      </c>
      <c r="B23">
        <f>'Mass Balance'!E23</f>
        <v>2.9597482955387726E-5</v>
      </c>
      <c r="C23">
        <f>SUM('Mass Balance'!E23:H23)</f>
        <v>2.9902155384367512E-5</v>
      </c>
      <c r="D23">
        <f>Concentrations!F23/Concentrations!E23</f>
        <v>0.99019703955724414</v>
      </c>
    </row>
    <row r="24" spans="1:4">
      <c r="A24" s="164">
        <f>'Mass Balance'!I24</f>
        <v>9.1701265429590069E-6</v>
      </c>
      <c r="B24">
        <f>'Mass Balance'!E24</f>
        <v>1.0017506793618206E-5</v>
      </c>
      <c r="C24">
        <f>SUM('Mass Balance'!E24:H24)</f>
        <v>1.2959924204594864E-5</v>
      </c>
      <c r="D24">
        <f>Concentrations!F24/Concentrations!E24</f>
        <v>0.7732617400586479</v>
      </c>
    </row>
    <row r="25" spans="1:4">
      <c r="A25" s="164">
        <f>'Mass Balance'!I25</f>
        <v>1.836750470770229E-5</v>
      </c>
      <c r="B25">
        <f>'Mass Balance'!E25</f>
        <v>1.7204535719746716E-6</v>
      </c>
      <c r="C25">
        <f>SUM('Mass Balance'!E25:H25)</f>
        <v>8.4811518639723834E-6</v>
      </c>
      <c r="D25">
        <f>Concentrations!F25/Concentrations!E25</f>
        <v>0.20293523365319427</v>
      </c>
    </row>
    <row r="26" spans="1:4">
      <c r="A26" s="164">
        <f>'Mass Balance'!I26</f>
        <v>2.8191715529669937E-5</v>
      </c>
      <c r="B26">
        <f>'Mass Balance'!E26</f>
        <v>2.6054322092491494E-7</v>
      </c>
      <c r="C26">
        <f>SUM('Mass Balance'!E26:H26)</f>
        <v>5.1539605987379314E-6</v>
      </c>
      <c r="D26">
        <f>Concentrations!F26/Concentrations!E26</f>
        <v>5.0571754617127325E-2</v>
      </c>
    </row>
    <row r="27" spans="1:4">
      <c r="A27" s="164">
        <f>'Mass Balance'!I27</f>
        <v>3.4867164343709624E-5</v>
      </c>
      <c r="B27">
        <f>'Mass Balance'!E27</f>
        <v>2.0867045681485329E-8</v>
      </c>
      <c r="C27">
        <f>SUM('Mass Balance'!E27:H27)</f>
        <v>2.6199169087032805E-6</v>
      </c>
      <c r="D27">
        <f>Concentrations!F27/Concentrations!E27</f>
        <v>7.9678800475457261E-3</v>
      </c>
    </row>
    <row r="28" spans="1:4">
      <c r="A28" s="164">
        <f>'Mass Balance'!I28</f>
        <v>3.1392852821650823E-5</v>
      </c>
      <c r="B28">
        <f>'Mass Balance'!E28</f>
        <v>1.086103618313524E-7</v>
      </c>
      <c r="C28">
        <f>SUM('Mass Balance'!E28:H28)</f>
        <v>3.8206888484906996E-6</v>
      </c>
      <c r="D28">
        <f>Concentrations!F28/Concentrations!E28</f>
        <v>2.8437992026032605E-2</v>
      </c>
    </row>
    <row r="29" spans="1:4">
      <c r="A29" s="164">
        <f>'Mass Balance'!I29</f>
        <v>2.8200021346638163E-5</v>
      </c>
      <c r="B29">
        <f>'Mass Balance'!E29</f>
        <v>1.9682866357284782E-7</v>
      </c>
      <c r="C29">
        <f>SUM('Mass Balance'!E29:H29)</f>
        <v>4.5446219991567777E-6</v>
      </c>
      <c r="D29">
        <f>Concentrations!F29/Concentrations!E29</f>
        <v>4.3327129345484806E-2</v>
      </c>
    </row>
    <row r="30" spans="1:4">
      <c r="A30" s="164">
        <f>'Mass Balance'!I30</f>
        <v>3.1392852821650823E-5</v>
      </c>
      <c r="B30">
        <f>'Mass Balance'!E30</f>
        <v>1.086103618313524E-7</v>
      </c>
      <c r="C30">
        <f>SUM('Mass Balance'!E30:H30)</f>
        <v>3.8206888484906996E-6</v>
      </c>
      <c r="D30">
        <f>Concentrations!F30/Concentrations!E30</f>
        <v>2.8437992026032605E-2</v>
      </c>
    </row>
    <row r="31" spans="1:4">
      <c r="A31" s="164">
        <f>'Mass Balance'!I31</f>
        <v>1.5749441531140026E-8</v>
      </c>
      <c r="B31">
        <f>'Mass Balance'!E31</f>
        <v>3.9048903429847557E-5</v>
      </c>
      <c r="C31">
        <f>SUM('Mass Balance'!E31:H31)</f>
        <v>3.9052258812649356E-5</v>
      </c>
      <c r="D31">
        <f>Concentrations!F31/Concentrations!E31</f>
        <v>1.0003040382004162</v>
      </c>
    </row>
    <row r="32" spans="1:4">
      <c r="A32" s="164">
        <f>'Mass Balance'!I32</f>
        <v>3.8314241799466991E-6</v>
      </c>
      <c r="B32">
        <f>'Mass Balance'!E32</f>
        <v>2.0158405337272091E-5</v>
      </c>
      <c r="C32">
        <f>SUM('Mass Balance'!E32:H32)</f>
        <v>2.1284085591859136E-5</v>
      </c>
      <c r="D32">
        <f>Concentrations!F32/Concentrations!E32</f>
        <v>0.94748101193950551</v>
      </c>
    </row>
    <row r="33" spans="1:4">
      <c r="A33" s="164">
        <f>'Mass Balance'!I33</f>
        <v>8.3149039090699969E-9</v>
      </c>
      <c r="B33">
        <f>'Mass Balance'!E33</f>
        <v>3.9972584439253052E-5</v>
      </c>
      <c r="C33">
        <f>SUM('Mass Balance'!E33:H33)</f>
        <v>3.9989399930637218E-5</v>
      </c>
      <c r="D33">
        <f>Concentrations!F33/Concentrations!E33</f>
        <v>0.99996932932585092</v>
      </c>
    </row>
    <row r="34" spans="1:4">
      <c r="A34" s="164">
        <f>'Mass Balance'!I34</f>
        <v>1.0053209263326608E-6</v>
      </c>
      <c r="B34">
        <f>'Mass Balance'!E34</f>
        <v>3.6018232143703403E-5</v>
      </c>
      <c r="C34">
        <f>SUM('Mass Balance'!E34:H34)</f>
        <v>3.8981921006574532E-5</v>
      </c>
      <c r="D34">
        <f>Concentrations!F34/Concentrations!E34</f>
        <v>0.92433307638325402</v>
      </c>
    </row>
    <row r="35" spans="1:4">
      <c r="A35" s="164">
        <f>'Mass Balance'!I35</f>
        <v>2.0915607404084426E-6</v>
      </c>
      <c r="B35">
        <f>'Mass Balance'!E35</f>
        <v>3.1354555234900888E-5</v>
      </c>
      <c r="C35">
        <f>SUM('Mass Balance'!E35:H35)</f>
        <v>3.7863030968495658E-5</v>
      </c>
      <c r="D35">
        <f>Concentrations!F35/Concentrations!E35</f>
        <v>0.82842768947332013</v>
      </c>
    </row>
    <row r="36" spans="1:4">
      <c r="A36" s="164">
        <f>'Mass Balance'!I36</f>
        <v>4.6972922282917623E-6</v>
      </c>
      <c r="B36">
        <f>'Mass Balance'!E36</f>
        <v>1.9331400085693509E-5</v>
      </c>
      <c r="C36">
        <f>SUM('Mass Balance'!E36:H36)</f>
        <v>3.5208902450652062E-5</v>
      </c>
      <c r="D36">
        <f>Concentrations!F36/Concentrations!E36</f>
        <v>0.54926276684845687</v>
      </c>
    </row>
    <row r="37" spans="1:4">
      <c r="A37" s="164">
        <f>'Mass Balance'!I37</f>
        <v>5.7977403468081296E-6</v>
      </c>
      <c r="B37">
        <f>'Mass Balance'!E37</f>
        <v>2.0311866215989391E-5</v>
      </c>
      <c r="C37">
        <f>SUM('Mass Balance'!E37:H37)</f>
        <v>2.7322607037583462E-5</v>
      </c>
      <c r="D37">
        <f>Concentrations!F37/Concentrations!E37</f>
        <v>0.74369871272051657</v>
      </c>
    </row>
    <row r="38" spans="1:4">
      <c r="A38" s="164">
        <f>'Mass Balance'!I38</f>
        <v>8.2066012756244208E-7</v>
      </c>
      <c r="B38">
        <f>'Mass Balance'!E38</f>
        <v>3.6767321146333616E-5</v>
      </c>
      <c r="C38">
        <f>SUM('Mass Balance'!E38:H38)</f>
        <v>3.906685186669621E-5</v>
      </c>
      <c r="D38">
        <f>Concentrations!F38/Concentrations!E38</f>
        <v>0.94150560772638292</v>
      </c>
    </row>
    <row r="39" spans="1:4">
      <c r="A39" s="164">
        <f>'Mass Balance'!I39</f>
        <v>2.116469834758293E-5</v>
      </c>
      <c r="B39">
        <f>'Mass Balance'!E39</f>
        <v>9.3774924936645765E-7</v>
      </c>
      <c r="C39">
        <f>SUM('Mass Balance'!E39:H39)</f>
        <v>8.8622838864049563E-6</v>
      </c>
      <c r="D39">
        <f>Concentrations!F39/Concentrations!E39</f>
        <v>0.10585476341410867</v>
      </c>
    </row>
    <row r="40" spans="1:4">
      <c r="A40" s="164">
        <f>'Mass Balance'!I40</f>
        <v>3.7967061052903216E-5</v>
      </c>
      <c r="B40">
        <f>'Mass Balance'!E40</f>
        <v>2.0057245952558248E-8</v>
      </c>
      <c r="C40">
        <f>SUM('Mass Balance'!E40:H40)</f>
        <v>1.9755723804922769E-6</v>
      </c>
      <c r="D40">
        <f>Concentrations!F40/Concentrations!E40</f>
        <v>1.0156584652045905E-2</v>
      </c>
    </row>
    <row r="41" spans="1:4">
      <c r="A41" s="164">
        <f>'Mass Balance'!I41</f>
        <v>1.1110466051038534E-9</v>
      </c>
      <c r="B41">
        <f>'Mass Balance'!E41</f>
        <v>3.6554294064006472E-5</v>
      </c>
      <c r="C41">
        <f>SUM('Mass Balance'!E41:H41)</f>
        <v>3.6554461403891022E-5</v>
      </c>
      <c r="D41">
        <f>Concentrations!F41/Concentrations!E41</f>
        <v>1.0003854124253486</v>
      </c>
    </row>
    <row r="42" spans="1:4">
      <c r="A42" s="164">
        <f>'Mass Balance'!I42</f>
        <v>2.7219851604670445E-6</v>
      </c>
      <c r="B42">
        <f>'Mass Balance'!E42</f>
        <v>2.3298305029346534E-5</v>
      </c>
      <c r="C42">
        <f>SUM('Mass Balance'!E42:H42)</f>
        <v>2.4080046301644952E-5</v>
      </c>
      <c r="D42">
        <f>Concentrations!F42/Concentrations!E42</f>
        <v>0.96791305509794801</v>
      </c>
    </row>
    <row r="43" spans="1:4">
      <c r="A43" s="164">
        <f>'Mass Balance'!I43</f>
        <v>1.3641775595260237E-5</v>
      </c>
      <c r="B43">
        <f>'Mass Balance'!E43</f>
        <v>2.1526278101956784E-6</v>
      </c>
      <c r="C43">
        <f>SUM('Mass Balance'!E43:H43)</f>
        <v>2.625556885110152E-5</v>
      </c>
      <c r="D43">
        <f>Concentrations!F43/Concentrations!E43</f>
        <v>8.2019450049147957E-2</v>
      </c>
    </row>
    <row r="44" spans="1:4">
      <c r="A44" s="164">
        <f>'Mass Balance'!I44</f>
        <v>4.0071571059916083E-7</v>
      </c>
      <c r="B44">
        <f>'Mass Balance'!E44</f>
        <v>3.0911345849086724E-5</v>
      </c>
      <c r="C44">
        <f>SUM('Mass Balance'!E44:H44)</f>
        <v>3.1014020202137318E-5</v>
      </c>
      <c r="D44">
        <f>Concentrations!F44/Concentrations!E44</f>
        <v>0.99707812228781312</v>
      </c>
    </row>
    <row r="45" spans="1:4">
      <c r="A45" s="164">
        <f>'Mass Balance'!I45</f>
        <v>3.1101475671369677E-6</v>
      </c>
      <c r="B45">
        <f>'Mass Balance'!E45</f>
        <v>2.2077205452177425E-5</v>
      </c>
      <c r="C45">
        <f>SUM('Mass Balance'!E45:H45)</f>
        <v>2.2979324695545005E-5</v>
      </c>
      <c r="D45">
        <f>Concentrations!F45/Concentrations!E45</f>
        <v>0.96111681605375687</v>
      </c>
    </row>
    <row r="46" spans="1:4">
      <c r="A46" s="164">
        <f>'Mass Balance'!I46</f>
        <v>2.8573518126458839E-6</v>
      </c>
      <c r="B46">
        <f>'Mass Balance'!E46</f>
        <v>2.2799434703602297E-5</v>
      </c>
      <c r="C46">
        <f>SUM('Mass Balance'!E46:H46)</f>
        <v>2.3623105996619208E-5</v>
      </c>
      <c r="D46">
        <f>Concentrations!F46/Concentrations!E46</f>
        <v>0.96550920546992713</v>
      </c>
    </row>
    <row r="47" spans="1:4">
      <c r="A47" s="164">
        <f>'Mass Balance'!I47</f>
        <v>3.5088191068389958E-5</v>
      </c>
      <c r="B47">
        <f>'Mass Balance'!E47</f>
        <v>1.8681234497503679E-8</v>
      </c>
      <c r="C47">
        <f>SUM('Mass Balance'!E47:H47)</f>
        <v>2.5792719858294574E-6</v>
      </c>
      <c r="D47">
        <f>Concentrations!F47/Concentrations!E47</f>
        <v>7.245656965541877E-3</v>
      </c>
    </row>
    <row r="48" spans="1:4">
      <c r="A48" s="164">
        <f>'Mass Balance'!I48</f>
        <v>1.3953785432206444E-7</v>
      </c>
      <c r="B48">
        <f>'Mass Balance'!E48</f>
        <v>3.6289319417840564E-5</v>
      </c>
      <c r="C48">
        <f>SUM('Mass Balance'!E48:H48)</f>
        <v>3.6322930947667034E-5</v>
      </c>
      <c r="D48">
        <f>Concentrations!F48/Concentrations!E48</f>
        <v>0.999464278244938</v>
      </c>
    </row>
    <row r="49" spans="1:4">
      <c r="A49" s="164">
        <f>'Mass Balance'!I49</f>
        <v>2.3963673210536661E-7</v>
      </c>
      <c r="B49">
        <f>'Mass Balance'!E49</f>
        <v>3.4750700739376475E-5</v>
      </c>
      <c r="C49">
        <f>SUM('Mass Balance'!E49:H49)</f>
        <v>3.4810161835598037E-5</v>
      </c>
      <c r="D49">
        <f>Concentrations!F49/Concentrations!E49</f>
        <v>0.99868117247035748</v>
      </c>
    </row>
    <row r="50" spans="1:4">
      <c r="A50" s="164">
        <f>'Mass Balance'!I50</f>
        <v>1.3437340260904053E-5</v>
      </c>
      <c r="B50">
        <f>'Mass Balance'!E50</f>
        <v>5.1227371673708301E-6</v>
      </c>
      <c r="C50">
        <f>SUM('Mass Balance'!E50:H50)</f>
        <v>9.692734091345684E-6</v>
      </c>
      <c r="D50">
        <f>Concentrations!F50/Concentrations!E50</f>
        <v>0.52871923915014019</v>
      </c>
    </row>
    <row r="51" spans="1:4">
      <c r="A51" s="164">
        <f>'Mass Balance'!I51</f>
        <v>2.5403534584379433E-8</v>
      </c>
      <c r="B51">
        <f>'Mass Balance'!E51</f>
        <v>3.6173150953486555E-5</v>
      </c>
      <c r="C51">
        <f>SUM('Mass Balance'!E51:H51)</f>
        <v>3.6178745270654656E-5</v>
      </c>
      <c r="D51">
        <f>Concentrations!F51/Concentrations!E51</f>
        <v>1.0002353017912218</v>
      </c>
    </row>
    <row r="52" spans="1:4">
      <c r="A52" s="164">
        <f>'Mass Balance'!I52</f>
        <v>6.7262544042922832E-7</v>
      </c>
      <c r="B52">
        <f>'Mass Balance'!E52</f>
        <v>2.9601166796238547E-5</v>
      </c>
      <c r="C52">
        <f>SUM('Mass Balance'!E52:H52)</f>
        <v>2.9778537128698746E-5</v>
      </c>
      <c r="D52">
        <f>Concentrations!F52/Concentrations!E52</f>
        <v>0.99443135462023402</v>
      </c>
    </row>
    <row r="53" spans="1:4">
      <c r="A53" s="164">
        <f>'Mass Balance'!I53</f>
        <v>4.5873895810127526E-6</v>
      </c>
      <c r="B53">
        <f>'Mass Balance'!E53</f>
        <v>1.8144245127675487E-5</v>
      </c>
      <c r="C53">
        <f>SUM('Mass Balance'!E53:H53)</f>
        <v>1.9517012932993543E-5</v>
      </c>
      <c r="D53">
        <f>Concentrations!F53/Concentrations!E53</f>
        <v>0.93002557825139109</v>
      </c>
    </row>
    <row r="54" spans="1:4">
      <c r="A54" s="164">
        <f>'Mass Balance'!I54</f>
        <v>3.4474965224078652E-5</v>
      </c>
      <c r="B54">
        <f>'Mass Balance'!E54</f>
        <v>2.7965816973493833E-8</v>
      </c>
      <c r="C54">
        <f>SUM('Mass Balance'!E54:H54)</f>
        <v>2.7574495432275434E-6</v>
      </c>
      <c r="D54">
        <f>Concentrations!F54/Concentrations!E54</f>
        <v>1.0145869572868194E-2</v>
      </c>
    </row>
    <row r="55" spans="1:4">
      <c r="A55" s="164">
        <f>'Mass Balance'!I55</f>
        <v>7.9572299484500265E-6</v>
      </c>
      <c r="B55">
        <f>'Mass Balance'!E55</f>
        <v>7.5541734788318179E-6</v>
      </c>
      <c r="C55">
        <f>SUM('Mass Balance'!E55:H55)</f>
        <v>1.0127150920152546E-5</v>
      </c>
      <c r="D55">
        <f>Concentrations!F55/Concentrations!E55</f>
        <v>0.74622365222951759</v>
      </c>
    </row>
    <row r="56" spans="1:4">
      <c r="A56" s="164">
        <f>'Mass Balance'!I56</f>
        <v>4.2136437737730972E-6</v>
      </c>
      <c r="B56">
        <f>'Mass Balance'!E56</f>
        <v>7.9624870064193E-7</v>
      </c>
      <c r="C56">
        <f>SUM('Mass Balance'!E56:H56)</f>
        <v>2.2867795917018986E-6</v>
      </c>
      <c r="D56">
        <f>Concentrations!F56/Concentrations!E56</f>
        <v>0.3483323159709637</v>
      </c>
    </row>
    <row r="57" spans="1:4">
      <c r="A57" s="164">
        <f>'Mass Balance'!I57</f>
        <v>1.8183861029873111E-6</v>
      </c>
      <c r="B57">
        <f>'Mass Balance'!E57</f>
        <v>1.2735985494818539E-6</v>
      </c>
      <c r="C57">
        <f>SUM('Mass Balance'!E57:H57)</f>
        <v>1.8715063857728784E-6</v>
      </c>
      <c r="D57">
        <f>Concentrations!F57/Concentrations!E57</f>
        <v>0.68078594465769404</v>
      </c>
    </row>
    <row r="58" spans="1:4">
      <c r="A58" s="164">
        <f>'Mass Balance'!I58</f>
        <v>2.0699282487961734E-8</v>
      </c>
      <c r="B58">
        <f>'Mass Balance'!E58</f>
        <v>2.3760227050698288E-6</v>
      </c>
      <c r="C58">
        <f>SUM('Mass Balance'!E58:H58)</f>
        <v>2.3812201693759085E-6</v>
      </c>
      <c r="D58">
        <f>Concentrations!F58/Concentrations!E58</f>
        <v>0.99820645128398899</v>
      </c>
    </row>
    <row r="59" spans="1:4">
      <c r="A59" s="164">
        <f>'Mass Balance'!I59</f>
        <v>6.608089957624745E-7</v>
      </c>
      <c r="B59">
        <f>'Mass Balance'!E59</f>
        <v>4.9648038209479624E-7</v>
      </c>
      <c r="C59">
        <f>SUM('Mass Balance'!E59:H59)</f>
        <v>7.1292275061583597E-7</v>
      </c>
      <c r="D59">
        <f>Concentrations!F59/Concentrations!E59</f>
        <v>0.69667296359957631</v>
      </c>
    </row>
    <row r="60" spans="1:4">
      <c r="A60" s="164">
        <f>'Mass Balance'!I60</f>
        <v>1.1060257686134051E-8</v>
      </c>
      <c r="B60">
        <f>'Mass Balance'!E60</f>
        <v>1.7983206743582993E-8</v>
      </c>
      <c r="C60">
        <f>SUM('Mass Balance'!E60:H60)</f>
        <v>2.1455836964404467E-8</v>
      </c>
      <c r="D60">
        <f>Concentrations!F60/Concentrations!E60</f>
        <v>0.83847673156790326</v>
      </c>
    </row>
    <row r="61" spans="1:4">
      <c r="A61" s="164">
        <f>'Mass Balance'!I61</f>
        <v>6.3174691282255605E-6</v>
      </c>
      <c r="B61">
        <f>'Mass Balance'!E61</f>
        <v>1.4589562965685319E-5</v>
      </c>
      <c r="C61">
        <f>SUM('Mass Balance'!E61:H61)</f>
        <v>1.6535654406446387E-5</v>
      </c>
      <c r="D61">
        <f>Concentrations!F61/Concentrations!E61</f>
        <v>0.8826534723257623</v>
      </c>
    </row>
    <row r="62" spans="1:4">
      <c r="A62" s="164">
        <f>'Mass Balance'!I62</f>
        <v>2.9299888726383239E-5</v>
      </c>
      <c r="B62">
        <f>'Mass Balance'!E62</f>
        <v>1.997767438412709E-7</v>
      </c>
      <c r="C62">
        <f>SUM('Mass Balance'!E62:H62)</f>
        <v>4.6741260319370361E-6</v>
      </c>
      <c r="D62">
        <f>Concentrations!F62/Concentrations!E62</f>
        <v>4.275765219305034E-2</v>
      </c>
    </row>
    <row r="63" spans="1:4">
      <c r="A63" s="164">
        <f>'Mass Balance'!I63</f>
        <v>3.5910744507703677E-5</v>
      </c>
      <c r="B63">
        <f>'Mass Balance'!E63</f>
        <v>9.2578592593769689E-9</v>
      </c>
      <c r="C63">
        <f>SUM('Mass Balance'!E63:H63)</f>
        <v>2.3572027175785422E-6</v>
      </c>
      <c r="D63">
        <f>Concentrations!F63/Concentrations!E63</f>
        <v>3.9290086006088312E-3</v>
      </c>
    </row>
    <row r="64" spans="1:4">
      <c r="A64" s="164">
        <f>'Mass Balance'!I64</f>
        <v>3.6809163160767536E-5</v>
      </c>
      <c r="B64">
        <f>'Mass Balance'!E64</f>
        <v>2.8779594534260143E-9</v>
      </c>
      <c r="C64">
        <f>SUM('Mass Balance'!E64:H64)</f>
        <v>2.1445319383528091E-6</v>
      </c>
      <c r="D64">
        <f>Concentrations!F64/Concentrations!E64</f>
        <v>1.3425222460896708E-3</v>
      </c>
    </row>
    <row r="65" spans="1:4">
      <c r="A65" s="164">
        <f>'Mass Balance'!I65</f>
        <v>3.7393064760604125E-5</v>
      </c>
      <c r="B65">
        <f>'Mass Balance'!E65</f>
        <v>7.5273596262887679E-10</v>
      </c>
      <c r="C65">
        <f>SUM('Mass Balance'!E65:H65)</f>
        <v>2.0241993355347792E-6</v>
      </c>
      <c r="D65">
        <f>Concentrations!F65/Concentrations!E65</f>
        <v>3.7201352181030864E-4</v>
      </c>
    </row>
    <row r="66" spans="1:4">
      <c r="A66" s="164">
        <f>'Mass Balance'!I66</f>
        <v>3.710395587149391E-5</v>
      </c>
      <c r="B66">
        <f>'Mass Balance'!E66</f>
        <v>1.6164050046593986E-9</v>
      </c>
      <c r="C66">
        <f>SUM('Mass Balance'!E66:H66)</f>
        <v>2.0821031335016207E-6</v>
      </c>
      <c r="D66">
        <f>Concentrations!F66/Concentrations!E66</f>
        <v>7.766355872181269E-4</v>
      </c>
    </row>
    <row r="67" spans="1:4">
      <c r="A67" s="164">
        <f>'Mass Balance'!I67</f>
        <v>5.1666644041280774E-7</v>
      </c>
      <c r="B67">
        <f>'Mass Balance'!E67</f>
        <v>3.3055905014926953E-5</v>
      </c>
      <c r="C67">
        <f>SUM('Mass Balance'!E67:H67)</f>
        <v>3.3189560184712077E-5</v>
      </c>
      <c r="D67">
        <f>Concentrations!F67/Concentrations!E67</f>
        <v>0.99636139709402016</v>
      </c>
    </row>
    <row r="68" spans="1:4">
      <c r="A68" s="164">
        <f>'Mass Balance'!I68</f>
        <v>8.77327081975305E-7</v>
      </c>
      <c r="B68">
        <f>'Mass Balance'!E68</f>
        <v>3.0557885500741958E-5</v>
      </c>
      <c r="C68">
        <f>SUM('Mass Balance'!E68:H68)</f>
        <v>3.0792039277113238E-5</v>
      </c>
      <c r="D68">
        <f>Concentrations!F68/Concentrations!E68</f>
        <v>0.99278266559629358</v>
      </c>
    </row>
    <row r="69" spans="1:4">
      <c r="A69" s="164">
        <f>'Mass Balance'!I69</f>
        <v>3.3404708635319736E-5</v>
      </c>
      <c r="B69">
        <f>'Mass Balance'!E69</f>
        <v>4.8632890157341195E-8</v>
      </c>
      <c r="C69">
        <f>SUM('Mass Balance'!E69:H69)</f>
        <v>3.0853352914260348E-6</v>
      </c>
      <c r="D69">
        <f>Concentrations!F69/Concentrations!E69</f>
        <v>1.5768742130658427E-2</v>
      </c>
    </row>
    <row r="70" spans="1:4">
      <c r="A70" s="164">
        <f>'Mass Balance'!I70</f>
        <v>1.8065290449773113E-5</v>
      </c>
      <c r="B70">
        <f>'Mass Balance'!E70</f>
        <v>2.0887054611741769E-6</v>
      </c>
      <c r="C70">
        <f>SUM('Mass Balance'!E70:H70)</f>
        <v>8.659087268344062E-6</v>
      </c>
      <c r="D70">
        <f>Concentrations!F70/Concentrations!E70</f>
        <v>0.2413095023658347</v>
      </c>
    </row>
    <row r="71" spans="1:4">
      <c r="A71" s="164">
        <f>'Mass Balance'!I71</f>
        <v>7.9708385746429947E-7</v>
      </c>
      <c r="B71">
        <f>'Mass Balance'!E71</f>
        <v>3.0485688104587812E-5</v>
      </c>
      <c r="C71">
        <f>SUM('Mass Balance'!E71:H71)</f>
        <v>3.069740158258499E-5</v>
      </c>
      <c r="D71">
        <f>Concentrations!F71/Concentrations!E71</f>
        <v>0.99349051410971345</v>
      </c>
    </row>
    <row r="72" spans="1:4">
      <c r="A72" s="164">
        <f>'Mass Balance'!I72</f>
        <v>1.7148856170811557E-5</v>
      </c>
      <c r="B72">
        <f>'Mass Balance'!E72</f>
        <v>2.335538218287933E-6</v>
      </c>
      <c r="C72">
        <f>SUM('Mass Balance'!E72:H72)</f>
        <v>8.5149971501181169E-6</v>
      </c>
      <c r="D72">
        <f>Concentrations!F72/Concentrations!E72</f>
        <v>0.27439223036697241</v>
      </c>
    </row>
    <row r="73" spans="1:4">
      <c r="A73" s="164">
        <f>'Mass Balance'!I73</f>
        <v>6.6185035397382337E-6</v>
      </c>
      <c r="B73">
        <f>'Mass Balance'!E73</f>
        <v>1.3597527579318598E-5</v>
      </c>
      <c r="C73">
        <f>SUM('Mass Balance'!E73:H73)</f>
        <v>1.5649313966667764E-5</v>
      </c>
      <c r="D73">
        <f>Concentrations!F73/Concentrations!E73</f>
        <v>0.86922855121551557</v>
      </c>
    </row>
    <row r="74" spans="1:4">
      <c r="A74" s="164">
        <f>'Mass Balance'!I74</f>
        <v>1.7843365315446027E-5</v>
      </c>
      <c r="B74">
        <f>'Mass Balance'!E74</f>
        <v>2.1618666308788533E-6</v>
      </c>
      <c r="C74">
        <f>SUM('Mass Balance'!E74:H74)</f>
        <v>8.6343348604268685E-6</v>
      </c>
      <c r="D74">
        <f>Concentrations!F74/Concentrations!E74</f>
        <v>0.25047786269637617</v>
      </c>
    </row>
    <row r="75" spans="1:4">
      <c r="A75" s="164">
        <f>'Mass Balance'!I75</f>
        <v>2.5728088038234189E-5</v>
      </c>
      <c r="B75">
        <f>'Mass Balance'!E75</f>
        <v>5.9516334445087421E-7</v>
      </c>
      <c r="C75">
        <f>SUM('Mass Balance'!E75:H75)</f>
        <v>1.4260435277707396E-5</v>
      </c>
      <c r="D75">
        <f>Concentrations!F75/Concentrations!E75</f>
        <v>4.1751562404633208E-2</v>
      </c>
    </row>
    <row r="76" spans="1:4">
      <c r="A76" s="164">
        <f>'Mass Balance'!I76</f>
        <v>2.5728088085633895E-5</v>
      </c>
      <c r="B76">
        <f>'Mass Balance'!E76</f>
        <v>5.9516334554736323E-7</v>
      </c>
      <c r="C76">
        <f>SUM('Mass Balance'!E76:H76)</f>
        <v>1.4260435303979864E-5</v>
      </c>
      <c r="D76">
        <f>Concentrations!F76/Concentrations!E76</f>
        <v>4.1751562404633215E-2</v>
      </c>
    </row>
    <row r="77" spans="1:4">
      <c r="A77" s="164">
        <f>'Mass Balance'!I77</f>
        <v>1.1561528430433967E-5</v>
      </c>
      <c r="B77">
        <f>'Mass Balance'!E77</f>
        <v>6.4085925016272369E-6</v>
      </c>
      <c r="C77">
        <f>SUM('Mass Balance'!E77:H77)</f>
        <v>1.0259677359799809E-5</v>
      </c>
      <c r="D77">
        <f>Concentrations!F77/Concentrations!E77</f>
        <v>0.62488239900950349</v>
      </c>
    </row>
    <row r="78" spans="1:4">
      <c r="A78" s="164">
        <f>'Mass Balance'!I78</f>
        <v>2.448832605826723E-6</v>
      </c>
      <c r="B78">
        <f>'Mass Balance'!E78</f>
        <v>2.3016278423255155E-5</v>
      </c>
      <c r="C78">
        <f>SUM('Mass Balance'!E78:H78)</f>
        <v>2.3716102674187611E-5</v>
      </c>
      <c r="D78">
        <f>Concentrations!F78/Concentrations!E78</f>
        <v>0.9708700837074894</v>
      </c>
    </row>
    <row r="79" spans="1:4">
      <c r="A79" s="164">
        <f>'Mass Balance'!I79</f>
        <v>4.6904045784298069E-6</v>
      </c>
      <c r="B79">
        <f>'Mass Balance'!E79</f>
        <v>1.7703706542644598E-5</v>
      </c>
      <c r="C79">
        <f>SUM('Mass Balance'!E79:H79)</f>
        <v>1.911082848606759E-5</v>
      </c>
      <c r="D79">
        <f>Concentrations!F79/Concentrations!E79</f>
        <v>0.92673171443555491</v>
      </c>
    </row>
    <row r="80" spans="1:4">
      <c r="A80" s="164">
        <f>'Mass Balance'!I80</f>
        <v>3.1198580604117832E-5</v>
      </c>
      <c r="B80">
        <f>'Mass Balance'!E80</f>
        <v>2.5186252283857757E-7</v>
      </c>
      <c r="C80">
        <f>SUM('Mass Balance'!E80:H80)</f>
        <v>8.7926888423500716E-6</v>
      </c>
      <c r="D80">
        <f>Concentrations!F80/Concentrations!E80</f>
        <v>2.8655710640265234E-2</v>
      </c>
    </row>
    <row r="81" spans="1:4">
      <c r="A81" s="164">
        <f>'Mass Balance'!I81</f>
        <v>2.3179374712817078E-8</v>
      </c>
      <c r="B81">
        <f>'Mass Balance'!E81</f>
        <v>3.8815574657879889E-5</v>
      </c>
      <c r="C81">
        <f>SUM('Mass Balance'!E81:H81)</f>
        <v>3.8820631829371094E-5</v>
      </c>
      <c r="D81">
        <f>Concentrations!F81/Concentrations!E81</f>
        <v>1.0002596710296734</v>
      </c>
    </row>
    <row r="82" spans="1:4">
      <c r="A82" s="164">
        <f>'Mass Balance'!I82</f>
        <v>1.0817020605476166E-6</v>
      </c>
      <c r="B82">
        <f>'Mass Balance'!E82</f>
        <v>2.9818808910603537E-5</v>
      </c>
      <c r="C82">
        <f>SUM('Mass Balance'!E82:H82)</f>
        <v>3.0111021810746911E-5</v>
      </c>
      <c r="D82">
        <f>Concentrations!F82/Concentrations!E82</f>
        <v>0.99068169111119386</v>
      </c>
    </row>
    <row r="83" spans="1:4">
      <c r="A83" s="164">
        <f>'Mass Balance'!I83</f>
        <v>1.0914094729757898E-5</v>
      </c>
      <c r="B83">
        <f>'Mass Balance'!E83</f>
        <v>7.825175205162365E-6</v>
      </c>
      <c r="C83">
        <f>SUM('Mass Balance'!E83:H83)</f>
        <v>1.1409233346127946E-5</v>
      </c>
      <c r="D83">
        <f>Concentrations!F83/Concentrations!E83</f>
        <v>0.68613084890735798</v>
      </c>
    </row>
    <row r="84" spans="1:4">
      <c r="A84" s="164">
        <f>'Mass Balance'!I84</f>
        <v>9.3376265522684229E-8</v>
      </c>
      <c r="B84">
        <f>'Mass Balance'!E84</f>
        <v>3.7401480247166724E-5</v>
      </c>
      <c r="C84">
        <f>SUM('Mass Balance'!E84:H84)</f>
        <v>3.7423481898204572E-5</v>
      </c>
      <c r="D84">
        <f>Concentrations!F84/Concentrations!E84</f>
        <v>0.99980185243897646</v>
      </c>
    </row>
    <row r="85" spans="1:4">
      <c r="A85" s="164">
        <f>'Mass Balance'!I85</f>
        <v>4.9549764139592381E-9</v>
      </c>
      <c r="B85">
        <f>'Mass Balance'!E85</f>
        <v>3.9512084932795989E-5</v>
      </c>
      <c r="C85">
        <f>SUM('Mass Balance'!E85:H85)</f>
        <v>3.9513048267343091E-5</v>
      </c>
      <c r="D85">
        <f>Concentrations!F85/Concentrations!E85</f>
        <v>1.0003656023636858</v>
      </c>
    </row>
    <row r="86" spans="1:4">
      <c r="A86" s="164">
        <f>'Mass Balance'!I86</f>
        <v>8.9273422752941381E-8</v>
      </c>
      <c r="B86">
        <f>'Mass Balance'!E86</f>
        <v>3.7466294682874839E-5</v>
      </c>
      <c r="C86">
        <f>SUM('Mass Balance'!E86:H86)</f>
        <v>3.7487279260080096E-5</v>
      </c>
      <c r="D86">
        <f>Concentrations!F86/Concentrations!E86</f>
        <v>0.99982999511187021</v>
      </c>
    </row>
    <row r="87" spans="1:4">
      <c r="A87" s="164">
        <f>'Mass Balance'!I87</f>
        <v>3.5437543085717957E-5</v>
      </c>
      <c r="B87">
        <f>'Mass Balance'!E87</f>
        <v>1.4249145038826578E-8</v>
      </c>
      <c r="C87">
        <f>SUM('Mass Balance'!E87:H87)</f>
        <v>2.4821288894939981E-6</v>
      </c>
      <c r="D87">
        <f>Concentrations!F87/Concentrations!E87</f>
        <v>5.7429338791492078E-3</v>
      </c>
    </row>
    <row r="88" spans="1:4">
      <c r="A88" s="164">
        <f>'Mass Balance'!I88</f>
        <v>1.9836149460272458E-6</v>
      </c>
      <c r="B88">
        <f>'Mass Balance'!E88</f>
        <v>2.5867973722949349E-5</v>
      </c>
      <c r="C88">
        <f>SUM('Mass Balance'!E88:H88)</f>
        <v>2.6425159220041508E-5</v>
      </c>
      <c r="D88">
        <f>Concentrations!F88/Concentrations!E88</f>
        <v>0.97929635205464505</v>
      </c>
    </row>
    <row r="89" spans="1:4">
      <c r="A89" s="164">
        <f>'Mass Balance'!I89</f>
        <v>1.2166322701695496E-6</v>
      </c>
      <c r="B89">
        <f>'Mass Balance'!E89</f>
        <v>2.9146901606759824E-5</v>
      </c>
      <c r="C89">
        <f>SUM('Mass Balance'!E89:H89)</f>
        <v>2.9477965912035545E-5</v>
      </c>
      <c r="D89">
        <f>Concentrations!F89/Concentrations!E89</f>
        <v>0.98915470467762656</v>
      </c>
    </row>
    <row r="90" spans="1:4">
      <c r="A90" s="164">
        <f>'Mass Balance'!I90</f>
        <v>3.1120228145372278E-7</v>
      </c>
      <c r="B90">
        <f>'Mass Balance'!E90</f>
        <v>3.4896794986324403E-5</v>
      </c>
      <c r="C90">
        <f>SUM('Mass Balance'!E90:H90)</f>
        <v>3.4975028909537758E-5</v>
      </c>
      <c r="D90">
        <f>Concentrations!F90/Concentrations!E90</f>
        <v>0.9981522688285277</v>
      </c>
    </row>
    <row r="91" spans="1:4">
      <c r="A91" s="164">
        <f>'Mass Balance'!I91</f>
        <v>3.0075942048216608E-5</v>
      </c>
      <c r="B91">
        <f>'Mass Balance'!E91</f>
        <v>1.6229260216472151E-7</v>
      </c>
      <c r="C91">
        <f>SUM('Mass Balance'!E91:H91)</f>
        <v>4.3473018971326084E-6</v>
      </c>
      <c r="D91">
        <f>Concentrations!F91/Concentrations!E91</f>
        <v>3.7346358460614348E-2</v>
      </c>
    </row>
    <row r="92" spans="1:4">
      <c r="A92" s="164">
        <f>'Mass Balance'!I92</f>
        <v>9.0759037848222013E-6</v>
      </c>
      <c r="B92">
        <f>'Mass Balance'!E92</f>
        <v>1.0149252866133257E-5</v>
      </c>
      <c r="C92">
        <f>SUM('Mass Balance'!E92:H92)</f>
        <v>1.305770598413871E-5</v>
      </c>
      <c r="D92">
        <f>Concentrations!F92/Concentrations!E92</f>
        <v>0.7775646814410051</v>
      </c>
    </row>
    <row r="93" spans="1:4">
      <c r="A93" s="164">
        <f>'Mass Balance'!I93</f>
        <v>1.6575335201017821E-5</v>
      </c>
      <c r="B93">
        <f>'Mass Balance'!E93</f>
        <v>2.9890513178788583E-6</v>
      </c>
      <c r="C93">
        <f>SUM('Mass Balance'!E93:H93)</f>
        <v>8.8678769280251954E-6</v>
      </c>
      <c r="D93">
        <f>Concentrations!F93/Concentrations!E93</f>
        <v>0.33719649566104476</v>
      </c>
    </row>
    <row r="94" spans="1:4">
      <c r="A94" s="164">
        <f>'Mass Balance'!I94</f>
        <v>1.7760756462760744E-7</v>
      </c>
      <c r="B94">
        <f>'Mass Balance'!E94</f>
        <v>3.9354879542197574E-5</v>
      </c>
      <c r="C94">
        <f>SUM('Mass Balance'!E94:H94)</f>
        <v>3.9815401355516399E-5</v>
      </c>
      <c r="D94">
        <f>Concentrations!F94/Concentrations!E94</f>
        <v>0.98881905723355989</v>
      </c>
    </row>
    <row r="95" spans="1:4">
      <c r="A95" s="164">
        <f>'Mass Balance'!I95</f>
        <v>2.392559466866683E-5</v>
      </c>
      <c r="B95">
        <f>'Mass Balance'!E95</f>
        <v>6.0464255278253752E-7</v>
      </c>
      <c r="C95">
        <f>SUM('Mass Balance'!E95:H95)</f>
        <v>7.2837461111491984E-6</v>
      </c>
      <c r="D95">
        <f>Concentrations!F95/Concentrations!E95</f>
        <v>8.304495369984885E-2</v>
      </c>
    </row>
    <row r="96" spans="1:4">
      <c r="A96" s="164">
        <f>'Mass Balance'!I96</f>
        <v>2.4816569600847908E-8</v>
      </c>
      <c r="B96">
        <f>'Mass Balance'!E96</f>
        <v>3.8768904142978557E-5</v>
      </c>
      <c r="C96">
        <f>SUM('Mass Balance'!E96:H96)</f>
        <v>3.8774340330683311E-5</v>
      </c>
      <c r="D96">
        <f>Concentrations!F96/Concentrations!E96</f>
        <v>1.0002497367076917</v>
      </c>
    </row>
    <row r="97" spans="1:4">
      <c r="A97" s="164">
        <f>'Mass Balance'!I97</f>
        <v>9.5496443134256061E-8</v>
      </c>
      <c r="B97">
        <f>'Mass Balance'!E97</f>
        <v>3.7368479566922759E-5</v>
      </c>
      <c r="C97">
        <f>SUM('Mass Balance'!E97:H97)</f>
        <v>3.7391007732716067E-5</v>
      </c>
      <c r="D97">
        <f>Concentrations!F97/Concentrations!E97</f>
        <v>0.99978725482667141</v>
      </c>
    </row>
    <row r="98" spans="1:4">
      <c r="A98" s="164">
        <f>'Mass Balance'!I98</f>
        <v>1.9330655981803067E-5</v>
      </c>
      <c r="B98">
        <f>'Mass Balance'!E98</f>
        <v>1.5735470919251248E-6</v>
      </c>
      <c r="C98">
        <f>SUM('Mass Balance'!E98:H98)</f>
        <v>8.7458790244528566E-6</v>
      </c>
      <c r="D98">
        <f>Concentrations!F98/Concentrations!E98</f>
        <v>0.17998885627798372</v>
      </c>
    </row>
    <row r="99" spans="1:4">
      <c r="A99" s="164">
        <f>'Mass Balance'!I99</f>
        <v>2.6777225839398791E-9</v>
      </c>
      <c r="B99">
        <f>'Mass Balance'!E99</f>
        <v>3.9663107789827278E-5</v>
      </c>
      <c r="C99">
        <f>SUM('Mass Balance'!E99:H99)</f>
        <v>3.9663589773623564E-5</v>
      </c>
      <c r="D99">
        <f>Concentrations!F99/Concentrations!E99</f>
        <v>1.0003778355007853</v>
      </c>
    </row>
    <row r="100" spans="1:4">
      <c r="A100" s="164">
        <f>'Mass Balance'!I100</f>
        <v>4.1410874907965695E-6</v>
      </c>
      <c r="B100">
        <f>'Mass Balance'!E100</f>
        <v>1.9293247294898351E-5</v>
      </c>
      <c r="C100">
        <f>SUM('Mass Balance'!E100:H100)</f>
        <v>2.0521642356268561E-5</v>
      </c>
      <c r="D100">
        <f>Concentrations!F100/Concentrations!E100</f>
        <v>0.94050813149305601</v>
      </c>
    </row>
    <row r="101" spans="1:4">
      <c r="A101" s="164">
        <f>'Mass Balance'!I101</f>
        <v>6.3933398477398916E-9</v>
      </c>
      <c r="B101">
        <f>'Mass Balance'!E101</f>
        <v>3.9433517873879061E-5</v>
      </c>
      <c r="C101">
        <f>SUM('Mass Balance'!E101:H101)</f>
        <v>3.9434791396469349E-5</v>
      </c>
      <c r="D101">
        <f>Concentrations!F101/Concentrations!E101</f>
        <v>1.0003576850484845</v>
      </c>
    </row>
    <row r="102" spans="1:4">
      <c r="A102" s="164">
        <f>'Mass Balance'!I102</f>
        <v>7.7626557154486015E-10</v>
      </c>
      <c r="B102">
        <f>'Mass Balance'!E102</f>
        <v>3.9857237545020351E-5</v>
      </c>
      <c r="C102">
        <f>SUM('Mass Balance'!E102:H102)</f>
        <v>3.9857334341263166E-5</v>
      </c>
      <c r="D102">
        <f>Concentrations!F102/Concentrations!E102</f>
        <v>1.0003875625194711</v>
      </c>
    </row>
    <row r="103" spans="1:4">
      <c r="A103" s="164">
        <f>'Mass Balance'!I103</f>
        <v>2.5407962081179023E-9</v>
      </c>
      <c r="B103">
        <f>'Mass Balance'!E103</f>
        <v>3.9673890340708567E-5</v>
      </c>
      <c r="C103">
        <f>SUM('Mass Balance'!E103:H103)</f>
        <v>3.9674343902372163E-5</v>
      </c>
      <c r="D103">
        <f>Concentrations!F103/Concentrations!E103</f>
        <v>1.0003785554610216</v>
      </c>
    </row>
    <row r="104" spans="1:4">
      <c r="A104" s="164">
        <f>'Mass Balance'!I104</f>
        <v>5.2521473183526119E-8</v>
      </c>
      <c r="B104">
        <f>'Mass Balance'!E104</f>
        <v>3.8120222303559988E-5</v>
      </c>
      <c r="C104">
        <f>SUM('Mass Balance'!E104:H104)</f>
        <v>3.813222124102697E-5</v>
      </c>
      <c r="D104">
        <f>Concentrations!F104/Concentrations!E104</f>
        <v>1.0000752026892548</v>
      </c>
    </row>
    <row r="105" spans="1:4">
      <c r="A105" s="164">
        <f>'Mass Balance'!I105</f>
        <v>9.7699463758036203E-10</v>
      </c>
      <c r="B105">
        <f>'Mass Balance'!E105</f>
        <v>3.9828718474757911E-5</v>
      </c>
      <c r="C105">
        <f>SUM('Mass Balance'!E105:H105)</f>
        <v>3.9828854545146246E-5</v>
      </c>
      <c r="D105">
        <f>Concentrations!F105/Concentrations!E105</f>
        <v>1.0003865743249911</v>
      </c>
    </row>
    <row r="106" spans="1:4">
      <c r="A106" s="164">
        <f>'Mass Balance'!I106</f>
        <v>4.7718405071766149E-7</v>
      </c>
      <c r="B106">
        <f>'Mass Balance'!E106</f>
        <v>3.3523314460790494E-5</v>
      </c>
      <c r="C106">
        <f>SUM('Mass Balance'!E106:H106)</f>
        <v>3.3646167310045785E-5</v>
      </c>
      <c r="D106">
        <f>Concentrations!F106/Concentrations!E106</f>
        <v>0.99673725025991455</v>
      </c>
    </row>
    <row r="107" spans="1:4">
      <c r="A107" s="164">
        <f>'Mass Balance'!I107</f>
        <v>2.0235973766060253E-5</v>
      </c>
      <c r="B107">
        <f>'Mass Balance'!E107</f>
        <v>1.2152846543515988E-6</v>
      </c>
      <c r="C107">
        <f>SUM('Mass Balance'!E107:H107)</f>
        <v>8.8551315175625171E-6</v>
      </c>
      <c r="D107">
        <f>Concentrations!F107/Concentrations!E107</f>
        <v>0.13729424608490648</v>
      </c>
    </row>
    <row r="108" spans="1:4">
      <c r="A108" s="164">
        <f>'Mass Balance'!I108</f>
        <v>3.3229022765426506E-6</v>
      </c>
      <c r="B108">
        <f>'Mass Balance'!E108</f>
        <v>2.1480415042153174E-5</v>
      </c>
      <c r="C108">
        <f>SUM('Mass Balance'!E108:H108)</f>
        <v>2.244904698608027E-5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0.78869374261927305</v>
      </c>
      <c r="M2" s="115">
        <v>51.308406949396328</v>
      </c>
      <c r="N2" s="115">
        <v>54.152370113370253</v>
      </c>
      <c r="O2" s="115">
        <v>1.1556308221998739</v>
      </c>
      <c r="P2" s="115">
        <v>1.1861134992093092</v>
      </c>
      <c r="Q2" s="111">
        <v>1.1556308221998739</v>
      </c>
      <c r="R2" s="68">
        <v>1.1861134992093092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4.6293496041082121E-4</v>
      </c>
      <c r="M3" s="115">
        <v>2431.8340696076339</v>
      </c>
      <c r="N3" s="115">
        <v>2567.4915840025269</v>
      </c>
      <c r="O3" s="115">
        <v>15.484728659562704</v>
      </c>
      <c r="P3" s="115">
        <v>6.6329077194757389</v>
      </c>
      <c r="Q3" s="111">
        <v>15.484728659562704</v>
      </c>
      <c r="R3" s="68">
        <v>6.6329077194757389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0.42827573687387199</v>
      </c>
      <c r="M4" s="115">
        <v>348.47126071981006</v>
      </c>
      <c r="N4" s="115">
        <v>367.88537675256578</v>
      </c>
      <c r="O4" s="115">
        <v>3.9650794719973903</v>
      </c>
      <c r="P4" s="115">
        <v>3.7144743231833033</v>
      </c>
      <c r="Q4" s="111">
        <v>3.9650794719973903</v>
      </c>
      <c r="R4" s="68">
        <v>3.7144743231833033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1.2186363902349387E-2</v>
      </c>
      <c r="M5" s="115">
        <v>1744.4403835105259</v>
      </c>
      <c r="N5" s="115">
        <v>1841.718256506078</v>
      </c>
      <c r="O5" s="115">
        <v>16.222036463970589</v>
      </c>
      <c r="P5" s="115">
        <v>13.678545199701961</v>
      </c>
      <c r="Q5" s="111">
        <v>16.222036463970593</v>
      </c>
      <c r="R5" s="68">
        <v>13.678545199701961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1.8311649519789767E-4</v>
      </c>
      <c r="M6" s="115">
        <v>2510.1481183972796</v>
      </c>
      <c r="N6" s="115">
        <v>2650.1869815455066</v>
      </c>
      <c r="O6" s="115">
        <v>15.529017344884673</v>
      </c>
      <c r="P6" s="115">
        <v>6.1515062575612411</v>
      </c>
      <c r="Q6" s="111">
        <v>15.529017344884675</v>
      </c>
      <c r="R6" s="68">
        <v>6.151506257561242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4.0539832379485839E-4</v>
      </c>
      <c r="M7" s="115">
        <v>2450.5050531659567</v>
      </c>
      <c r="N7" s="115">
        <v>2587.2059288296732</v>
      </c>
      <c r="O7" s="115">
        <v>15.524234019506245</v>
      </c>
      <c r="P7" s="115">
        <v>6.558402643200262</v>
      </c>
      <c r="Q7" s="111">
        <v>15.524234019506245</v>
      </c>
      <c r="R7" s="68">
        <v>6.558402643200262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1.0831941502638769E-3</v>
      </c>
      <c r="M8" s="115">
        <v>2339.0645626115702</v>
      </c>
      <c r="N8" s="115">
        <v>2469.5359654701497</v>
      </c>
      <c r="O8" s="115">
        <v>15.536167182355539</v>
      </c>
      <c r="P8" s="115">
        <v>7.4315280808473227</v>
      </c>
      <c r="Q8" s="111">
        <v>15.536167182355539</v>
      </c>
      <c r="R8" s="68">
        <v>7.4315280808473236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0.10545499303475309</v>
      </c>
      <c r="M9" s="115">
        <v>1024.3680654339621</v>
      </c>
      <c r="N9" s="115">
        <v>1081.4742892134509</v>
      </c>
      <c r="O9" s="115">
        <v>11.363241450563473</v>
      </c>
      <c r="P9" s="115">
        <v>11.154711612479552</v>
      </c>
      <c r="Q9" s="111">
        <v>11.363241450563473</v>
      </c>
      <c r="R9" s="68">
        <v>11.154711612479554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1.085503019588104E-2</v>
      </c>
      <c r="M10" s="115">
        <v>1788.0213570938679</v>
      </c>
      <c r="N10" s="115">
        <v>1887.730906885283</v>
      </c>
      <c r="O10" s="115">
        <v>16.145309690679344</v>
      </c>
      <c r="P10" s="115">
        <v>13.161451922830091</v>
      </c>
      <c r="Q10" s="111">
        <v>16.145309690679348</v>
      </c>
      <c r="R10" s="68">
        <v>13.161451922830091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8.9217988301725139E-3</v>
      </c>
      <c r="M11" s="115">
        <v>1856.9215517294626</v>
      </c>
      <c r="N11" s="115">
        <v>1960.4757599017664</v>
      </c>
      <c r="O11" s="115">
        <v>16.023866240771341</v>
      </c>
      <c r="P11" s="115">
        <v>12.346175412978011</v>
      </c>
      <c r="Q11" s="111">
        <v>16.023866240771341</v>
      </c>
      <c r="R11" s="68">
        <v>12.346175412978013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7.2948031894482054E-2</v>
      </c>
      <c r="M12" s="115">
        <v>1158.1398794482925</v>
      </c>
      <c r="N12" s="115">
        <v>1222.7076538269041</v>
      </c>
      <c r="O12" s="115">
        <v>12.975239614570434</v>
      </c>
      <c r="P12" s="115">
        <v>12.900737896464332</v>
      </c>
      <c r="Q12" s="111">
        <v>12.975239614570434</v>
      </c>
      <c r="R12" s="68">
        <v>12.900737896464333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0.1019163394890736</v>
      </c>
      <c r="M13" s="115">
        <v>1037.4150768435334</v>
      </c>
      <c r="N13" s="115">
        <v>1095.2490079704889</v>
      </c>
      <c r="O13" s="115">
        <v>11.517877103454531</v>
      </c>
      <c r="P13" s="115">
        <v>11.32012685893497</v>
      </c>
      <c r="Q13" s="111">
        <v>11.517877103454531</v>
      </c>
      <c r="R13" s="68">
        <v>11.32012685893497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4.7618672648288111E-3</v>
      </c>
      <c r="M14" s="115">
        <v>2046.8064351255146</v>
      </c>
      <c r="N14" s="115">
        <v>2160.958047100889</v>
      </c>
      <c r="O14" s="115">
        <v>15.756101756514935</v>
      </c>
      <c r="P14" s="115">
        <v>10.237972922854976</v>
      </c>
      <c r="Q14" s="111">
        <v>15.756101756514937</v>
      </c>
      <c r="R14" s="68">
        <v>10.237972922854976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9.8459593462913927E-3</v>
      </c>
      <c r="M15" s="115">
        <v>1823.0535929994337</v>
      </c>
      <c r="N15" s="115">
        <v>1924.7179150132581</v>
      </c>
      <c r="O15" s="115">
        <v>16.083456038995784</v>
      </c>
      <c r="P15" s="115">
        <v>12.746331757387178</v>
      </c>
      <c r="Q15" s="111">
        <v>16.083456038995784</v>
      </c>
      <c r="R15" s="68">
        <v>12.746331757387178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1.1317993825633765E-3</v>
      </c>
      <c r="M16" s="115">
        <v>2332.3056207109566</v>
      </c>
      <c r="N16" s="115">
        <v>2462.3994313307862</v>
      </c>
      <c r="O16" s="115">
        <v>15.534659113748189</v>
      </c>
      <c r="P16" s="115">
        <v>7.4827621782965892</v>
      </c>
      <c r="Q16" s="111">
        <v>15.534659113748191</v>
      </c>
      <c r="R16" s="68">
        <v>7.4827621782965892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1.172812266307653E-2</v>
      </c>
      <c r="M17" s="115">
        <v>1759.2614284744502</v>
      </c>
      <c r="N17" s="115">
        <v>1857.3662513231718</v>
      </c>
      <c r="O17" s="115">
        <v>16.197181510453852</v>
      </c>
      <c r="P17" s="115">
        <v>13.504772733098337</v>
      </c>
      <c r="Q17" s="111">
        <v>16.197181510453852</v>
      </c>
      <c r="R17" s="68">
        <v>13.504772733098337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0.12191805151221911</v>
      </c>
      <c r="M18" s="115">
        <v>959.43945306864919</v>
      </c>
      <c r="N18" s="115">
        <v>1012.924475045565</v>
      </c>
      <c r="O18" s="115">
        <v>10.604694256767511</v>
      </c>
      <c r="P18" s="115">
        <v>10.354311245569626</v>
      </c>
      <c r="Q18" s="111">
        <v>10.604694256767512</v>
      </c>
      <c r="R18" s="68">
        <v>10.354311245569628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9.6546707879832071E-3</v>
      </c>
      <c r="M19" s="115">
        <v>1829.9482725500698</v>
      </c>
      <c r="N19" s="115">
        <v>1931.9973211692986</v>
      </c>
      <c r="O19" s="115">
        <v>16.071594633861107</v>
      </c>
      <c r="P19" s="115">
        <v>12.665283359650942</v>
      </c>
      <c r="Q19" s="111">
        <v>16.071594633861107</v>
      </c>
      <c r="R19" s="68">
        <v>12.665283359650944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0.10194083900765125</v>
      </c>
      <c r="M20" s="115">
        <v>1037.6644595242233</v>
      </c>
      <c r="N20" s="115">
        <v>1095.5122932646084</v>
      </c>
      <c r="O20" s="115">
        <v>11.520645868948721</v>
      </c>
      <c r="P20" s="115">
        <v>11.322848087539455</v>
      </c>
      <c r="Q20" s="111">
        <v>11.520645868948723</v>
      </c>
      <c r="R20" s="68">
        <v>11.322848087539455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5.7277489083508689E-3</v>
      </c>
      <c r="M21" s="115">
        <v>1994.5454341566069</v>
      </c>
      <c r="N21" s="115">
        <v>2105.7801203848649</v>
      </c>
      <c r="O21" s="115">
        <v>15.811116476121317</v>
      </c>
      <c r="P21" s="115">
        <v>10.781780715238085</v>
      </c>
      <c r="Q21" s="111">
        <v>15.811116476121317</v>
      </c>
      <c r="R21" s="68">
        <v>10.781780715238085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0.61011686102542839</v>
      </c>
      <c r="M22" s="115">
        <v>161.50989103661973</v>
      </c>
      <c r="N22" s="115">
        <v>170.49909780967337</v>
      </c>
      <c r="O22" s="115">
        <v>2.1370388625544776</v>
      </c>
      <c r="P22" s="115">
        <v>2.032440294941865</v>
      </c>
      <c r="Q22" s="111">
        <v>2.1370388625544776</v>
      </c>
      <c r="R22" s="68">
        <v>2.032440294941865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0.73531776789875014</v>
      </c>
      <c r="M23" s="115">
        <v>78.174904471374902</v>
      </c>
      <c r="N23" s="115">
        <v>82.517132214884342</v>
      </c>
      <c r="O23" s="115">
        <v>1.3830711114633547</v>
      </c>
      <c r="P23" s="115">
        <v>1.3753066928683224</v>
      </c>
      <c r="Q23" s="111">
        <v>1.3830711114633549</v>
      </c>
      <c r="R23" s="68">
        <v>1.3753066928683224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0.24887423612248624</v>
      </c>
      <c r="M24" s="115">
        <v>637.16832566418884</v>
      </c>
      <c r="N24" s="115">
        <v>672.68073908255406</v>
      </c>
      <c r="O24" s="115">
        <v>6.9884459594173993</v>
      </c>
      <c r="P24" s="115">
        <v>6.6469074503648127</v>
      </c>
      <c r="Q24" s="111">
        <v>6.9884459594174002</v>
      </c>
      <c r="R24" s="68">
        <v>6.6469074503648127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4.2742828007016967E-2</v>
      </c>
      <c r="M25" s="115">
        <v>1276.2301770221156</v>
      </c>
      <c r="N25" s="115">
        <v>1347.3868494964472</v>
      </c>
      <c r="O25" s="115">
        <v>14.513496625740725</v>
      </c>
      <c r="P25" s="115">
        <v>14.672067465452658</v>
      </c>
      <c r="Q25" s="111">
        <v>14.513496625740725</v>
      </c>
      <c r="R25" s="68">
        <v>14.672067465452658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6.4729175409309414E-3</v>
      </c>
      <c r="M26" s="115">
        <v>1958.8462708219802</v>
      </c>
      <c r="N26" s="115">
        <v>2068.0885244688907</v>
      </c>
      <c r="O26" s="115">
        <v>15.861256260986792</v>
      </c>
      <c r="P26" s="115">
        <v>11.177012584540991</v>
      </c>
      <c r="Q26" s="111">
        <v>15.861256260986792</v>
      </c>
      <c r="R26" s="68">
        <v>11.177012584540993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5.1841942331894587E-4</v>
      </c>
      <c r="M27" s="115">
        <v>2422.6767887513638</v>
      </c>
      <c r="N27" s="115">
        <v>2557.8219728563022</v>
      </c>
      <c r="O27" s="115">
        <v>15.496475840283187</v>
      </c>
      <c r="P27" s="115">
        <v>6.719684880216354</v>
      </c>
      <c r="Q27" s="111">
        <v>15.496475840283189</v>
      </c>
      <c r="R27" s="68">
        <v>6.719684880216354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2.69830822824351E-3</v>
      </c>
      <c r="M28" s="115">
        <v>2181.2710409707352</v>
      </c>
      <c r="N28" s="115">
        <v>2302.9293119904833</v>
      </c>
      <c r="O28" s="115">
        <v>15.622330515000158</v>
      </c>
      <c r="P28" s="115">
        <v>8.8686878344272664</v>
      </c>
      <c r="Q28" s="111">
        <v>15.622330515000158</v>
      </c>
      <c r="R28" s="68">
        <v>8.8686878344272664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4.8899975397306622E-3</v>
      </c>
      <c r="M29" s="115">
        <v>1959.4233842855865</v>
      </c>
      <c r="N29" s="115">
        <v>2068.700839815418</v>
      </c>
      <c r="O29" s="115">
        <v>15.226835995954113</v>
      </c>
      <c r="P29" s="115">
        <v>10.053069332452425</v>
      </c>
      <c r="Q29" s="111">
        <v>15.226835995954113</v>
      </c>
      <c r="R29" s="68">
        <v>10.053069332452425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2.69830822824351E-3</v>
      </c>
      <c r="M30" s="115">
        <v>2181.2710409707352</v>
      </c>
      <c r="N30" s="115">
        <v>2302.9293119904833</v>
      </c>
      <c r="O30" s="115">
        <v>15.622330515000158</v>
      </c>
      <c r="P30" s="115">
        <v>8.8686878344272664</v>
      </c>
      <c r="Q30" s="111">
        <v>15.622330515000158</v>
      </c>
      <c r="R30" s="68">
        <v>8.8686878344272664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0.97012556591295718</v>
      </c>
      <c r="M31" s="115">
        <v>1.0943191725361328</v>
      </c>
      <c r="N31" s="115">
        <v>1.1368369730181447</v>
      </c>
      <c r="O31" s="115">
        <v>0.8111894695412869</v>
      </c>
      <c r="P31" s="115">
        <v>0.93885756862649328</v>
      </c>
      <c r="Q31" s="111">
        <v>0.8111894695412869</v>
      </c>
      <c r="R31" s="68">
        <v>0.93885756862649339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0.50096073227298987</v>
      </c>
      <c r="M32" s="115">
        <v>266.21902306466785</v>
      </c>
      <c r="N32" s="115">
        <v>280.96500396799803</v>
      </c>
      <c r="O32" s="115">
        <v>2.8770136456836557</v>
      </c>
      <c r="P32" s="115">
        <v>2.6427233513737662</v>
      </c>
      <c r="Q32" s="111">
        <v>2.8770136456836561</v>
      </c>
      <c r="R32" s="68">
        <v>2.6427233513737662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0.99307092279624365</v>
      </c>
      <c r="M33" s="115">
        <v>0.57774485193649217</v>
      </c>
      <c r="N33" s="115">
        <v>0.59140178578791136</v>
      </c>
      <c r="O33" s="115">
        <v>0.84231066527265142</v>
      </c>
      <c r="P33" s="115">
        <v>0.99020001959679438</v>
      </c>
      <c r="Q33" s="111">
        <v>0.84231066527265153</v>
      </c>
      <c r="R33" s="68">
        <v>0.99020001959679438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0.8948344823261406</v>
      </c>
      <c r="M34" s="115">
        <v>69.852760306605106</v>
      </c>
      <c r="N34" s="115">
        <v>73.769789296665436</v>
      </c>
      <c r="O34" s="115">
        <v>4.3050007632908009</v>
      </c>
      <c r="P34" s="115">
        <v>7.0378869984250461</v>
      </c>
      <c r="Q34" s="111">
        <v>4.3050007632908009</v>
      </c>
      <c r="R34" s="68">
        <v>7.0378869984250469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0.77897043134152377</v>
      </c>
      <c r="M35" s="115">
        <v>145.32801142359938</v>
      </c>
      <c r="N35" s="115">
        <v>153.49740849320767</v>
      </c>
      <c r="O35" s="115">
        <v>8.4516668380561217</v>
      </c>
      <c r="P35" s="115">
        <v>14.305436286856438</v>
      </c>
      <c r="Q35" s="111">
        <v>8.4516668380561217</v>
      </c>
      <c r="R35" s="68">
        <v>14.305436286856438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0.48026799046115493</v>
      </c>
      <c r="M36" s="115">
        <v>326.38217261615915</v>
      </c>
      <c r="N36" s="115">
        <v>344.75218528408573</v>
      </c>
      <c r="O36" s="115">
        <v>19.367459493110992</v>
      </c>
      <c r="P36" s="115">
        <v>33.501268465782488</v>
      </c>
      <c r="Q36" s="111">
        <v>19.367459493110992</v>
      </c>
      <c r="R36" s="68">
        <v>33.501268465782488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0.50462659264235377</v>
      </c>
      <c r="M37" s="115">
        <v>402.84466000612349</v>
      </c>
      <c r="N37" s="115">
        <v>425.36172676107861</v>
      </c>
      <c r="O37" s="115">
        <v>9.9700401412799007</v>
      </c>
      <c r="P37" s="115">
        <v>14.895535298568909</v>
      </c>
      <c r="Q37" s="111">
        <v>9.9700401412799007</v>
      </c>
      <c r="R37" s="68">
        <v>14.895535298568911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0.91344478584092703</v>
      </c>
      <c r="M38" s="115">
        <v>57.021965506006254</v>
      </c>
      <c r="N38" s="115">
        <v>60.214817092153389</v>
      </c>
      <c r="O38" s="115">
        <v>3.5328745186962598</v>
      </c>
      <c r="P38" s="115">
        <v>5.6709891449466676</v>
      </c>
      <c r="Q38" s="111">
        <v>3.5328745186962598</v>
      </c>
      <c r="R38" s="68">
        <v>5.6709891449466676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2.3297376669386426E-2</v>
      </c>
      <c r="M39" s="115">
        <v>1470.5877117553455</v>
      </c>
      <c r="N39" s="115">
        <v>1552.5874532577411</v>
      </c>
      <c r="O39" s="115">
        <v>16.822599832397575</v>
      </c>
      <c r="P39" s="115">
        <v>17.161393290828865</v>
      </c>
      <c r="Q39" s="111">
        <v>16.822599832397579</v>
      </c>
      <c r="R39" s="68">
        <v>17.161393290828865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4.9830085608459213E-4</v>
      </c>
      <c r="M40" s="115">
        <v>2638.0670548153985</v>
      </c>
      <c r="N40" s="115">
        <v>2786.5544560515518</v>
      </c>
      <c r="O40" s="115">
        <v>9.8353055069492701</v>
      </c>
      <c r="P40" s="115">
        <v>6.4494394716747871</v>
      </c>
      <c r="Q40" s="111">
        <v>9.8353055069492701</v>
      </c>
      <c r="R40" s="68">
        <v>6.449439471674788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0.90811944429229474</v>
      </c>
      <c r="M41" s="115">
        <v>7.7198902522502305E-2</v>
      </c>
      <c r="N41" s="115">
        <v>6.4243286232481558E-2</v>
      </c>
      <c r="O41" s="115">
        <v>0.75065139965688288</v>
      </c>
      <c r="P41" s="115">
        <v>0.87226138505371598</v>
      </c>
      <c r="Q41" s="111">
        <v>0.75065139965688299</v>
      </c>
      <c r="R41" s="68">
        <v>0.87226138505371598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0.57882145007047958</v>
      </c>
      <c r="M42" s="115">
        <v>189.13182048826044</v>
      </c>
      <c r="N42" s="115">
        <v>199.66119860570461</v>
      </c>
      <c r="O42" s="115">
        <v>2.3990937670505978</v>
      </c>
      <c r="P42" s="115">
        <v>2.2677379089697824</v>
      </c>
      <c r="Q42" s="111">
        <v>2.3990937670505978</v>
      </c>
      <c r="R42" s="68">
        <v>2.2677379089697824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5.3479739266225325E-2</v>
      </c>
      <c r="M43" s="115">
        <v>947.87212307255675</v>
      </c>
      <c r="N43" s="115">
        <v>1001.2424206858916</v>
      </c>
      <c r="O43" s="115">
        <v>30.129909927308059</v>
      </c>
      <c r="P43" s="115">
        <v>50.639961124833185</v>
      </c>
      <c r="Q43" s="111">
        <v>30.129909927308059</v>
      </c>
      <c r="R43" s="68">
        <v>50.639961124833185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0.76795924073492172</v>
      </c>
      <c r="M44" s="115">
        <v>27.8429482072791</v>
      </c>
      <c r="N44" s="115">
        <v>29.379693534511908</v>
      </c>
      <c r="O44" s="115">
        <v>0.90484788665244054</v>
      </c>
      <c r="P44" s="115">
        <v>0.96356123032713559</v>
      </c>
      <c r="Q44" s="111">
        <v>0.90484788665244054</v>
      </c>
      <c r="R44" s="68">
        <v>0.96356123032713559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0.54848453911228867</v>
      </c>
      <c r="M45" s="115">
        <v>216.10252689945577</v>
      </c>
      <c r="N45" s="115">
        <v>228.1358023110196</v>
      </c>
      <c r="O45" s="115">
        <v>2.6568591497782843</v>
      </c>
      <c r="P45" s="115">
        <v>2.5012155044854794</v>
      </c>
      <c r="Q45" s="111">
        <v>2.6568591497782843</v>
      </c>
      <c r="R45" s="68">
        <v>2.5012155044854798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0.56642755121441413</v>
      </c>
      <c r="M46" s="115">
        <v>198.53750782697912</v>
      </c>
      <c r="N46" s="115">
        <v>209.59138432998088</v>
      </c>
      <c r="O46" s="115">
        <v>2.4874356304983238</v>
      </c>
      <c r="P46" s="115">
        <v>2.347314359381429</v>
      </c>
      <c r="Q46" s="111">
        <v>2.4874356304983238</v>
      </c>
      <c r="R46" s="68">
        <v>2.347314359381429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4.6411528320206312E-4</v>
      </c>
      <c r="M47" s="115">
        <v>2438.0343988597801</v>
      </c>
      <c r="N47" s="115">
        <v>2574.037792632419</v>
      </c>
      <c r="O47" s="115">
        <v>15.524209320381361</v>
      </c>
      <c r="P47" s="115">
        <v>6.6498193222342641</v>
      </c>
      <c r="Q47" s="111">
        <v>15.524209320381363</v>
      </c>
      <c r="R47" s="68">
        <v>6.649819322234265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0.90156904465843246</v>
      </c>
      <c r="M48" s="115">
        <v>9.6955151696820749</v>
      </c>
      <c r="N48" s="115">
        <v>10.218524026512732</v>
      </c>
      <c r="O48" s="115">
        <v>0.8367549630728508</v>
      </c>
      <c r="P48" s="115">
        <v>0.93990111233955054</v>
      </c>
      <c r="Q48" s="111">
        <v>0.8367549630728508</v>
      </c>
      <c r="R48" s="68">
        <v>0.93990111233955054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0.8633438309776742</v>
      </c>
      <c r="M49" s="115">
        <v>16.650690112935422</v>
      </c>
      <c r="N49" s="115">
        <v>17.561957163326806</v>
      </c>
      <c r="O49" s="115">
        <v>0.87297142708434949</v>
      </c>
      <c r="P49" s="115">
        <v>0.96014604191792996</v>
      </c>
      <c r="Q49" s="111">
        <v>0.8729714270843496</v>
      </c>
      <c r="R49" s="68">
        <v>0.96014604191793007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0.12726892308447624</v>
      </c>
      <c r="M50" s="115">
        <v>933.66733330350553</v>
      </c>
      <c r="N50" s="115">
        <v>985.71512638652348</v>
      </c>
      <c r="O50" s="115">
        <v>10.308541610830291</v>
      </c>
      <c r="P50" s="115">
        <v>10.047333805799402</v>
      </c>
      <c r="Q50" s="111">
        <v>10.308541610830293</v>
      </c>
      <c r="R50" s="68">
        <v>10.047333805799402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0.89868181225635513</v>
      </c>
      <c r="M51" s="115">
        <v>1.7651149655627731</v>
      </c>
      <c r="N51" s="115">
        <v>1.8463570446531312</v>
      </c>
      <c r="O51" s="115">
        <v>0.7584805434461126</v>
      </c>
      <c r="P51" s="115">
        <v>0.87522997152433613</v>
      </c>
      <c r="Q51" s="111">
        <v>0.7584805434461126</v>
      </c>
      <c r="R51" s="68">
        <v>0.87522997152433624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0.73540927429824943</v>
      </c>
      <c r="M52" s="115">
        <v>46.736064510090898</v>
      </c>
      <c r="N52" s="115">
        <v>49.326258791010659</v>
      </c>
      <c r="O52" s="115">
        <v>1.0664783153817878</v>
      </c>
      <c r="P52" s="115">
        <v>1.0962907567635132</v>
      </c>
      <c r="Q52" s="111">
        <v>1.0664783153817878</v>
      </c>
      <c r="R52" s="68">
        <v>1.0962907567635134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0.45077435130163712</v>
      </c>
      <c r="M53" s="115">
        <v>318.74580190472153</v>
      </c>
      <c r="N53" s="115">
        <v>336.50246628210118</v>
      </c>
      <c r="O53" s="115">
        <v>3.6651645866531903</v>
      </c>
      <c r="P53" s="115">
        <v>3.4327626156275755</v>
      </c>
      <c r="Q53" s="111">
        <v>3.6651645866531908</v>
      </c>
      <c r="R53" s="68">
        <v>3.4327626156275759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6.9478080057673488E-4</v>
      </c>
      <c r="M54" s="115">
        <v>2395.4255992272547</v>
      </c>
      <c r="N54" s="115">
        <v>2529.0467535645962</v>
      </c>
      <c r="O54" s="115">
        <v>15.524315653760633</v>
      </c>
      <c r="P54" s="115">
        <v>6.9712618611236641</v>
      </c>
      <c r="Q54" s="111">
        <v>15.524315653760633</v>
      </c>
      <c r="R54" s="68">
        <v>6.9712618611236641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0.18767535608939448</v>
      </c>
      <c r="M55" s="115">
        <v>552.89257562882335</v>
      </c>
      <c r="N55" s="115">
        <v>583.70888101164917</v>
      </c>
      <c r="O55" s="115">
        <v>6.0608559009934702</v>
      </c>
      <c r="P55" s="115">
        <v>5.781507658987719</v>
      </c>
      <c r="Q55" s="111">
        <v>6.0608559009934702</v>
      </c>
      <c r="R55" s="68">
        <v>5.781507658987719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1.9781946918874426E-2</v>
      </c>
      <c r="M56" s="115">
        <v>292.77680473687445</v>
      </c>
      <c r="N56" s="115">
        <v>309.09934422769339</v>
      </c>
      <c r="O56" s="115">
        <v>3.2751307360985167</v>
      </c>
      <c r="P56" s="115">
        <v>3.2503492208645723</v>
      </c>
      <c r="Q56" s="111">
        <v>3.2751307360985167</v>
      </c>
      <c r="R56" s="68">
        <v>3.2503492208645723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3.1641193055874858E-2</v>
      </c>
      <c r="M57" s="115">
        <v>126.34700548827898</v>
      </c>
      <c r="N57" s="115">
        <v>133.38957929640998</v>
      </c>
      <c r="O57" s="115">
        <v>1.3858713596850061</v>
      </c>
      <c r="P57" s="115">
        <v>1.330971340019665</v>
      </c>
      <c r="Q57" s="111">
        <v>1.3858713596850063</v>
      </c>
      <c r="R57" s="68">
        <v>1.330971340019665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5.902973378117253E-2</v>
      </c>
      <c r="M58" s="115">
        <v>1.4382492001085139</v>
      </c>
      <c r="N58" s="115">
        <v>1.5172597376993948</v>
      </c>
      <c r="O58" s="115">
        <v>6.2627008172185028E-2</v>
      </c>
      <c r="P58" s="115">
        <v>6.8139643161747754E-2</v>
      </c>
      <c r="Q58" s="111">
        <v>6.2627008172185042E-2</v>
      </c>
      <c r="R58" s="68">
        <v>6.8139643161747754E-2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1.2334523797011065E-2</v>
      </c>
      <c r="M59" s="115">
        <v>45.91502194013858</v>
      </c>
      <c r="N59" s="115">
        <v>48.47428808092603</v>
      </c>
      <c r="O59" s="115">
        <v>0.50346399765427208</v>
      </c>
      <c r="P59" s="115">
        <v>0.48274297272731759</v>
      </c>
      <c r="Q59" s="111">
        <v>0.50346399765427208</v>
      </c>
      <c r="R59" s="68">
        <v>0.48274297272731764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4.4677352651467829E-4</v>
      </c>
      <c r="M60" s="115">
        <v>0.76850039508991452</v>
      </c>
      <c r="N60" s="115">
        <v>0.81132803717159141</v>
      </c>
      <c r="O60" s="115">
        <v>8.4725068196679423E-3</v>
      </c>
      <c r="P60" s="115">
        <v>7.9996188955599994E-3</v>
      </c>
      <c r="Q60" s="111">
        <v>8.4725068196679423E-3</v>
      </c>
      <c r="R60" s="68">
        <v>7.9996188955599994E-3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0.36246207822694154</v>
      </c>
      <c r="M61" s="115">
        <v>438.95699890394388</v>
      </c>
      <c r="N61" s="115">
        <v>463.41664606447574</v>
      </c>
      <c r="O61" s="115">
        <v>4.8901032055631992</v>
      </c>
      <c r="P61" s="115">
        <v>4.5946733868758667</v>
      </c>
      <c r="Q61" s="111">
        <v>4.8901032055631992</v>
      </c>
      <c r="R61" s="68">
        <v>4.5946733868758667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4.9632394396555684E-3</v>
      </c>
      <c r="M62" s="115">
        <v>2035.8455201767117</v>
      </c>
      <c r="N62" s="115">
        <v>2149.3853148120488</v>
      </c>
      <c r="O62" s="115">
        <v>15.77034580915063</v>
      </c>
      <c r="P62" s="115">
        <v>10.356542197251185</v>
      </c>
      <c r="Q62" s="111">
        <v>15.77034580915063</v>
      </c>
      <c r="R62" s="68">
        <v>10.356542197251187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2.3000160804385097E-4</v>
      </c>
      <c r="M63" s="115">
        <v>2495.1879174335518</v>
      </c>
      <c r="N63" s="115">
        <v>2634.3891029835909</v>
      </c>
      <c r="O63" s="115">
        <v>15.527392847345752</v>
      </c>
      <c r="P63" s="115">
        <v>6.248604747366743</v>
      </c>
      <c r="Q63" s="111">
        <v>15.527392847345752</v>
      </c>
      <c r="R63" s="68">
        <v>6.248604747366743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7.1499823479176681E-5</v>
      </c>
      <c r="M64" s="115">
        <v>2557.6127821544978</v>
      </c>
      <c r="N64" s="115">
        <v>2700.3124455716843</v>
      </c>
      <c r="O64" s="115">
        <v>15.529980099678697</v>
      </c>
      <c r="P64" s="115">
        <v>5.8670042472741883</v>
      </c>
      <c r="Q64" s="111">
        <v>15.529980099678699</v>
      </c>
      <c r="R64" s="68">
        <v>5.8670042472741892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1.870091965724906E-5</v>
      </c>
      <c r="M65" s="115">
        <v>2598.1840439552616</v>
      </c>
      <c r="N65" s="115">
        <v>2743.1655140969165</v>
      </c>
      <c r="O65" s="115">
        <v>15.506945626333959</v>
      </c>
      <c r="P65" s="115">
        <v>5.6559680325429698</v>
      </c>
      <c r="Q65" s="111">
        <v>15.506945626333959</v>
      </c>
      <c r="R65" s="68">
        <v>5.6559680325429698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4.015785296177516E-5</v>
      </c>
      <c r="M66" s="115">
        <v>2578.0958776746738</v>
      </c>
      <c r="N66" s="115">
        <v>2721.9461778039749</v>
      </c>
      <c r="O66" s="115">
        <v>15.52393186214918</v>
      </c>
      <c r="P66" s="115">
        <v>5.7566679715038935</v>
      </c>
      <c r="Q66" s="111">
        <v>15.52393186214918</v>
      </c>
      <c r="R66" s="68">
        <v>5.7566679715038935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0.82123852559161914</v>
      </c>
      <c r="M67" s="115">
        <v>35.899558116509702</v>
      </c>
      <c r="N67" s="115">
        <v>37.884224273023698</v>
      </c>
      <c r="O67" s="115">
        <v>1.0283865449605858</v>
      </c>
      <c r="P67" s="115">
        <v>1.0828277746206103</v>
      </c>
      <c r="Q67" s="111">
        <v>1.0283865449605858</v>
      </c>
      <c r="R67" s="68">
        <v>1.0828277746206103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0.75917793331534955</v>
      </c>
      <c r="M68" s="115">
        <v>60.959358113903903</v>
      </c>
      <c r="N68" s="115">
        <v>64.341717025569992</v>
      </c>
      <c r="O68" s="115">
        <v>1.2285750101008219</v>
      </c>
      <c r="P68" s="115">
        <v>1.2436996070108284</v>
      </c>
      <c r="Q68" s="111">
        <v>1.2285750101008219</v>
      </c>
      <c r="R68" s="68">
        <v>1.2436996070108286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1.2082321204076403E-3</v>
      </c>
      <c r="M69" s="115">
        <v>2321.0609112923662</v>
      </c>
      <c r="N69" s="115">
        <v>2450.5266315372123</v>
      </c>
      <c r="O69" s="115">
        <v>15.526738320540158</v>
      </c>
      <c r="P69" s="115">
        <v>7.5592243437419793</v>
      </c>
      <c r="Q69" s="111">
        <v>15.526738320540158</v>
      </c>
      <c r="R69" s="68">
        <v>7.5592243437419802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5.1891652131426477E-2</v>
      </c>
      <c r="M70" s="115">
        <v>1255.2314097952412</v>
      </c>
      <c r="N70" s="115">
        <v>1325.2156295611373</v>
      </c>
      <c r="O70" s="115">
        <v>14.200732711108449</v>
      </c>
      <c r="P70" s="115">
        <v>14.276396548862591</v>
      </c>
      <c r="Q70" s="111">
        <v>14.200732711108451</v>
      </c>
      <c r="R70" s="68">
        <v>14.276396548862591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0.75738426342824716</v>
      </c>
      <c r="M71" s="115">
        <v>55.383814443044713</v>
      </c>
      <c r="N71" s="115">
        <v>58.455495899555608</v>
      </c>
      <c r="O71" s="115">
        <v>1.1710686044232121</v>
      </c>
      <c r="P71" s="115">
        <v>1.1927623294906851</v>
      </c>
      <c r="Q71" s="111">
        <v>1.1710686044232121</v>
      </c>
      <c r="R71" s="68">
        <v>1.1927623294906851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5.8023947844827874E-2</v>
      </c>
      <c r="M72" s="115">
        <v>1191.5547645088629</v>
      </c>
      <c r="N72" s="115">
        <v>1257.9874990521425</v>
      </c>
      <c r="O72" s="115">
        <v>13.427853571271211</v>
      </c>
      <c r="P72" s="115">
        <v>13.441293755237192</v>
      </c>
      <c r="Q72" s="111">
        <v>13.427853571271212</v>
      </c>
      <c r="R72" s="68">
        <v>13.441293755237194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0.33781602085393242</v>
      </c>
      <c r="M73" s="115">
        <v>459.87378680782615</v>
      </c>
      <c r="N73" s="115">
        <v>485.50006835829134</v>
      </c>
      <c r="O73" s="115">
        <v>5.1016024392893531</v>
      </c>
      <c r="P73" s="115">
        <v>4.8002416184486689</v>
      </c>
      <c r="Q73" s="111">
        <v>5.1016024392893531</v>
      </c>
      <c r="R73" s="68">
        <v>4.8002416184486698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5.3709263102906787E-2</v>
      </c>
      <c r="M74" s="115">
        <v>1239.8113754478895</v>
      </c>
      <c r="N74" s="115">
        <v>1308.9354959499765</v>
      </c>
      <c r="O74" s="115">
        <v>14.010471405885443</v>
      </c>
      <c r="P74" s="115">
        <v>14.067763769456572</v>
      </c>
      <c r="Q74" s="111">
        <v>14.010471405885443</v>
      </c>
      <c r="R74" s="68">
        <v>14.067763769456574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1.4786197782460195E-2</v>
      </c>
      <c r="M75" s="115">
        <v>1787.6659281708023</v>
      </c>
      <c r="N75" s="115">
        <v>1888.3459433359408</v>
      </c>
      <c r="O75" s="115">
        <v>20.544183471266361</v>
      </c>
      <c r="P75" s="115">
        <v>29.975686880660078</v>
      </c>
      <c r="Q75" s="111">
        <v>20.544183471266361</v>
      </c>
      <c r="R75" s="68">
        <v>29.975686880660081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1.4786197809701298E-2</v>
      </c>
      <c r="M76" s="115">
        <v>1787.6659314642782</v>
      </c>
      <c r="N76" s="115">
        <v>1888.3459468149028</v>
      </c>
      <c r="O76" s="115">
        <v>20.544183509115587</v>
      </c>
      <c r="P76" s="115">
        <v>29.975686935885275</v>
      </c>
      <c r="Q76" s="111">
        <v>20.544183509115587</v>
      </c>
      <c r="R76" s="68">
        <v>29.975686935885278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0.1592146227859936</v>
      </c>
      <c r="M77" s="115">
        <v>803.3302133431049</v>
      </c>
      <c r="N77" s="115">
        <v>848.109649218448</v>
      </c>
      <c r="O77" s="115">
        <v>8.827529370020633</v>
      </c>
      <c r="P77" s="115">
        <v>8.5247774750299303</v>
      </c>
      <c r="Q77" s="111">
        <v>8.827529370020633</v>
      </c>
      <c r="R77" s="68">
        <v>8.5247774750299303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0.57181480034342835</v>
      </c>
      <c r="M78" s="115">
        <v>170.15234893181787</v>
      </c>
      <c r="N78" s="115">
        <v>179.62403564295084</v>
      </c>
      <c r="O78" s="115">
        <v>2.1970754194259299</v>
      </c>
      <c r="P78" s="115">
        <v>2.0820107936064889</v>
      </c>
      <c r="Q78" s="111">
        <v>2.1970754194259299</v>
      </c>
      <c r="R78" s="68">
        <v>2.0820107936064889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0.43982964175008044</v>
      </c>
      <c r="M79" s="115">
        <v>325.90359772302713</v>
      </c>
      <c r="N79" s="115">
        <v>344.05949625035828</v>
      </c>
      <c r="O79" s="115">
        <v>3.7336143224618255</v>
      </c>
      <c r="P79" s="115">
        <v>3.4969373848427692</v>
      </c>
      <c r="Q79" s="111">
        <v>3.7336143224618259</v>
      </c>
      <c r="R79" s="68">
        <v>3.4969373848427692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6.2572554433626892E-3</v>
      </c>
      <c r="M80" s="115">
        <v>2167.772415516803</v>
      </c>
      <c r="N80" s="115">
        <v>2289.8600133414393</v>
      </c>
      <c r="O80" s="115">
        <v>15.773398922806265</v>
      </c>
      <c r="P80" s="115">
        <v>19.791524831138954</v>
      </c>
      <c r="Q80" s="111">
        <v>15.773398922806267</v>
      </c>
      <c r="R80" s="68">
        <v>19.791524831138958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0.96432963220377699</v>
      </c>
      <c r="M81" s="115">
        <v>1.6105735625915145</v>
      </c>
      <c r="N81" s="115">
        <v>1.6819588534595962</v>
      </c>
      <c r="O81" s="115">
        <v>0.81122700614125243</v>
      </c>
      <c r="P81" s="115">
        <v>0.93706803636366875</v>
      </c>
      <c r="Q81" s="111">
        <v>0.81122700614125243</v>
      </c>
      <c r="R81" s="68">
        <v>0.93706803636366887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0.74081637317705162</v>
      </c>
      <c r="M82" s="115">
        <v>75.159954179239605</v>
      </c>
      <c r="N82" s="115">
        <v>79.334052444004683</v>
      </c>
      <c r="O82" s="115">
        <v>1.3569958886492901</v>
      </c>
      <c r="P82" s="115">
        <v>1.3532981696516999</v>
      </c>
      <c r="Q82" s="111">
        <v>1.3569958886492901</v>
      </c>
      <c r="R82" s="68">
        <v>1.3532981696516999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0.1944081040713195</v>
      </c>
      <c r="M83" s="115">
        <v>758.34454764854763</v>
      </c>
      <c r="N83" s="115">
        <v>800.61443696916263</v>
      </c>
      <c r="O83" s="115">
        <v>8.3170887799036404</v>
      </c>
      <c r="P83" s="115">
        <v>7.9833133184855471</v>
      </c>
      <c r="Q83" s="111">
        <v>8.3170887799036421</v>
      </c>
      <c r="R83" s="68">
        <v>7.9833133184855471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0.92919933829819856</v>
      </c>
      <c r="M84" s="115">
        <v>6.4880673653893988</v>
      </c>
      <c r="N84" s="115">
        <v>6.8318470950590173</v>
      </c>
      <c r="O84" s="115">
        <v>0.82861447772299057</v>
      </c>
      <c r="P84" s="115">
        <v>0.9408137860986634</v>
      </c>
      <c r="Q84" s="111">
        <v>0.82861447772299068</v>
      </c>
      <c r="R84" s="68">
        <v>0.9408137860986634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0.98162684883049423</v>
      </c>
      <c r="M85" s="115">
        <v>0.34428685477760129</v>
      </c>
      <c r="N85" s="115">
        <v>0.3448095563485335</v>
      </c>
      <c r="O85" s="115">
        <v>0.81375745346357931</v>
      </c>
      <c r="P85" s="115">
        <v>0.94458696504285211</v>
      </c>
      <c r="Q85" s="111">
        <v>0.81375745346357931</v>
      </c>
      <c r="R85" s="68">
        <v>0.94458696504285222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0.93080956324180764</v>
      </c>
      <c r="M86" s="115">
        <v>6.2029893519275552</v>
      </c>
      <c r="N86" s="115">
        <v>6.5308557542468879</v>
      </c>
      <c r="O86" s="115">
        <v>0.82720684582323589</v>
      </c>
      <c r="P86" s="115">
        <v>0.94011391216341367</v>
      </c>
      <c r="Q86" s="111">
        <v>0.82720684582323589</v>
      </c>
      <c r="R86" s="68">
        <v>0.94011391216341367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3.5400476277700757E-4</v>
      </c>
      <c r="M87" s="115">
        <v>2462.3084411977457</v>
      </c>
      <c r="N87" s="115">
        <v>2599.6695907950198</v>
      </c>
      <c r="O87" s="115">
        <v>15.524944793901929</v>
      </c>
      <c r="P87" s="115">
        <v>6.4742583749610256</v>
      </c>
      <c r="Q87" s="111">
        <v>15.524944793901929</v>
      </c>
      <c r="R87" s="68">
        <v>6.4742583749610256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0.64266211477957302</v>
      </c>
      <c r="M88" s="115">
        <v>137.82760881234336</v>
      </c>
      <c r="N88" s="115">
        <v>145.49623597428757</v>
      </c>
      <c r="O88" s="115">
        <v>1.9182917990593278</v>
      </c>
      <c r="P88" s="115">
        <v>1.8386850504766747</v>
      </c>
      <c r="Q88" s="111">
        <v>1.9182917990593278</v>
      </c>
      <c r="R88" s="68">
        <v>1.838685050476675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0.72412355875856593</v>
      </c>
      <c r="M89" s="115">
        <v>84.535316159640743</v>
      </c>
      <c r="N89" s="115">
        <v>89.232229048570602</v>
      </c>
      <c r="O89" s="115">
        <v>1.438521580804951</v>
      </c>
      <c r="P89" s="115">
        <v>1.4223478660713558</v>
      </c>
      <c r="Q89" s="111">
        <v>1.438521580804951</v>
      </c>
      <c r="R89" s="68">
        <v>1.4223478660713558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0.86697341718158882</v>
      </c>
      <c r="M90" s="115">
        <v>21.623282480108585</v>
      </c>
      <c r="N90" s="115">
        <v>22.811554903088407</v>
      </c>
      <c r="O90" s="115">
        <v>0.92471667436153759</v>
      </c>
      <c r="P90" s="115">
        <v>1.0049480099031831</v>
      </c>
      <c r="Q90" s="111">
        <v>0.92471667436153759</v>
      </c>
      <c r="R90" s="68">
        <v>1.0049480099031831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4.0319860485600982E-3</v>
      </c>
      <c r="M91" s="115">
        <v>2089.7680689422323</v>
      </c>
      <c r="N91" s="115">
        <v>2206.3178099510242</v>
      </c>
      <c r="O91" s="115">
        <v>15.709457738503193</v>
      </c>
      <c r="P91" s="115">
        <v>9.7908054412994101</v>
      </c>
      <c r="Q91" s="111">
        <v>15.709457738503193</v>
      </c>
      <c r="R91" s="68">
        <v>9.7908054412994101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0.25214732629436704</v>
      </c>
      <c r="M92" s="115">
        <v>630.62144141343811</v>
      </c>
      <c r="N92" s="115">
        <v>665.76877105666028</v>
      </c>
      <c r="O92" s="115">
        <v>6.917659031252624</v>
      </c>
      <c r="P92" s="115">
        <v>6.5764757850114322</v>
      </c>
      <c r="Q92" s="111">
        <v>6.9176590312526249</v>
      </c>
      <c r="R92" s="68">
        <v>6.576475785011433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7.4259781477159323E-2</v>
      </c>
      <c r="M93" s="115">
        <v>1151.7047805042955</v>
      </c>
      <c r="N93" s="115">
        <v>1215.913606459023</v>
      </c>
      <c r="O93" s="115">
        <v>12.896540152739037</v>
      </c>
      <c r="P93" s="115">
        <v>12.814636527462641</v>
      </c>
      <c r="Q93" s="111">
        <v>12.896540152739037</v>
      </c>
      <c r="R93" s="68">
        <v>12.814636527462641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0.97772972076863263</v>
      </c>
      <c r="M94" s="115">
        <v>12.340714607254545</v>
      </c>
      <c r="N94" s="115">
        <v>13.017132344186368</v>
      </c>
      <c r="O94" s="115">
        <v>1.366999422782845</v>
      </c>
      <c r="P94" s="115">
        <v>1.9015953210067875</v>
      </c>
      <c r="Q94" s="111">
        <v>1.366999422782845</v>
      </c>
      <c r="R94" s="68">
        <v>1.9015953210067875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1.5021697238764472E-2</v>
      </c>
      <c r="M95" s="115">
        <v>1662.4231982119809</v>
      </c>
      <c r="N95" s="115">
        <v>1755.1250114841716</v>
      </c>
      <c r="O95" s="115">
        <v>16.389335286649636</v>
      </c>
      <c r="P95" s="115">
        <v>14.695446394542538</v>
      </c>
      <c r="Q95" s="111">
        <v>16.389335286649636</v>
      </c>
      <c r="R95" s="68">
        <v>14.695446394542538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0.96317027445360381</v>
      </c>
      <c r="M96" s="115">
        <v>1.7243308505313999</v>
      </c>
      <c r="N96" s="115">
        <v>1.8020750435644912</v>
      </c>
      <c r="O96" s="115">
        <v>0.81133636722305058</v>
      </c>
      <c r="P96" s="115">
        <v>0.93679523184640201</v>
      </c>
      <c r="Q96" s="111">
        <v>0.81133636722305069</v>
      </c>
      <c r="R96" s="68">
        <v>0.93679523184640201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0.92837948153350935</v>
      </c>
      <c r="M97" s="115">
        <v>6.6353837641923334</v>
      </c>
      <c r="N97" s="115">
        <v>6.9873866350502434</v>
      </c>
      <c r="O97" s="115">
        <v>0.82935288682547503</v>
      </c>
      <c r="P97" s="115">
        <v>0.94118914372551554</v>
      </c>
      <c r="Q97" s="111">
        <v>0.82935288682547503</v>
      </c>
      <c r="R97" s="68">
        <v>0.94118914372551565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3.9093093714413225E-2</v>
      </c>
      <c r="M98" s="115">
        <v>1343.1528614371223</v>
      </c>
      <c r="N98" s="115">
        <v>1418.0419922241574</v>
      </c>
      <c r="O98" s="115">
        <v>15.329066260425549</v>
      </c>
      <c r="P98" s="115">
        <v>15.554028398179087</v>
      </c>
      <c r="Q98" s="111">
        <v>15.329066260425549</v>
      </c>
      <c r="R98" s="68">
        <v>15.554028398179087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0.98537140484976293</v>
      </c>
      <c r="M99" s="115">
        <v>0.18605632184129228</v>
      </c>
      <c r="N99" s="115">
        <v>0.17769535985144611</v>
      </c>
      <c r="O99" s="115">
        <v>0.81541418831491219</v>
      </c>
      <c r="P99" s="115">
        <v>0.94711564828457306</v>
      </c>
      <c r="Q99" s="111">
        <v>0.81541418831491219</v>
      </c>
      <c r="R99" s="68">
        <v>0.94711564828457306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0.47932007998116338</v>
      </c>
      <c r="M100" s="115">
        <v>287.73537317930584</v>
      </c>
      <c r="N100" s="115">
        <v>303.76286342441915</v>
      </c>
      <c r="O100" s="115">
        <v>3.3575237523605708</v>
      </c>
      <c r="P100" s="115">
        <v>3.1458683852906564</v>
      </c>
      <c r="Q100" s="111">
        <v>3.3575237523605712</v>
      </c>
      <c r="R100" s="68">
        <v>3.1458683852906564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0.97967689826332383</v>
      </c>
      <c r="M101" s="115">
        <v>0.44422872760838594</v>
      </c>
      <c r="N101" s="115">
        <v>0.45035487614825298</v>
      </c>
      <c r="O101" s="115">
        <v>0.81306174634268225</v>
      </c>
      <c r="P101" s="115">
        <v>0.94340385898177581</v>
      </c>
      <c r="Q101" s="111">
        <v>0.81306174634268225</v>
      </c>
      <c r="R101" s="68">
        <v>0.94340385898177581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0.99015448195760913</v>
      </c>
      <c r="M102" s="115">
        <v>5.3937296522016405E-2</v>
      </c>
      <c r="N102" s="115">
        <v>3.8127343054730187E-2</v>
      </c>
      <c r="O102" s="115">
        <v>0.81820820788327842</v>
      </c>
      <c r="P102" s="115">
        <v>0.95088452545324587</v>
      </c>
      <c r="Q102" s="111">
        <v>0.81820820788327853</v>
      </c>
      <c r="R102" s="68">
        <v>0.95088452545324598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0.98563841132445096</v>
      </c>
      <c r="M103" s="115">
        <v>0.17654226015271693</v>
      </c>
      <c r="N103" s="115">
        <v>0.16764636282988807</v>
      </c>
      <c r="O103" s="115">
        <v>0.81554918992881686</v>
      </c>
      <c r="P103" s="115">
        <v>0.94730936966959423</v>
      </c>
      <c r="Q103" s="111">
        <v>0.81554918992881686</v>
      </c>
      <c r="R103" s="68">
        <v>0.94730936966959423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0.94705536819026725</v>
      </c>
      <c r="M104" s="115">
        <v>3.6493519443806361</v>
      </c>
      <c r="N104" s="115">
        <v>3.8346415318162292</v>
      </c>
      <c r="O104" s="115">
        <v>0.81622190174679587</v>
      </c>
      <c r="P104" s="115">
        <v>0.93585374034737401</v>
      </c>
      <c r="Q104" s="111">
        <v>0.81622190174679587</v>
      </c>
      <c r="R104" s="68">
        <v>0.93585374034737401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0.98945750903189555</v>
      </c>
      <c r="M105" s="115">
        <v>6.7884563478346441E-2</v>
      </c>
      <c r="N105" s="115">
        <v>5.286468878531201E-2</v>
      </c>
      <c r="O105" s="115">
        <v>0.81774737365496553</v>
      </c>
      <c r="P105" s="115">
        <v>0.95029234026127951</v>
      </c>
      <c r="Q105" s="111">
        <v>0.81774737365496553</v>
      </c>
      <c r="R105" s="68">
        <v>0.95029234026127962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0.83285080640925702</v>
      </c>
      <c r="M106" s="115">
        <v>33.156201411733008</v>
      </c>
      <c r="N106" s="115">
        <v>34.98777282189377</v>
      </c>
      <c r="O106" s="115">
        <v>1.0106479508582202</v>
      </c>
      <c r="P106" s="115">
        <v>1.0702566763272965</v>
      </c>
      <c r="Q106" s="111">
        <v>1.0106479508582202</v>
      </c>
      <c r="R106" s="68">
        <v>1.0702566763272965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3.0192446822944596E-2</v>
      </c>
      <c r="M107" s="115">
        <v>1406.0570988090781</v>
      </c>
      <c r="N107" s="115">
        <v>1484.4561081221191</v>
      </c>
      <c r="O107" s="115">
        <v>16.175164266560667</v>
      </c>
      <c r="P107" s="115">
        <v>16.544613050460072</v>
      </c>
      <c r="Q107" s="111">
        <v>16.175164266560667</v>
      </c>
      <c r="R107" s="68">
        <v>16.544613050460072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0.53365792056928052</v>
      </c>
      <c r="M108" s="115">
        <v>230.88537218890013</v>
      </c>
      <c r="N108" s="115">
        <v>243.74292333203158</v>
      </c>
      <c r="O108" s="115">
        <v>2.8001684634432649</v>
      </c>
      <c r="P108" s="115">
        <v>2.6320198105063151</v>
      </c>
      <c r="Q108" s="111">
        <v>2.8001684634432649</v>
      </c>
      <c r="R108" s="68">
        <v>2.6320198105063151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2024-10-28T23:26:44Z</dcterms:modified>
</cp:coreProperties>
</file>