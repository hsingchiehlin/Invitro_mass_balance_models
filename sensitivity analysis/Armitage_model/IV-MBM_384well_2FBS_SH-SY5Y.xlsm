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F6A91E41-801F-4D7B-9BBE-EFE95AF67E3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<sst xmlns="http://schemas.openxmlformats.org/spreadsheetml/2006/main" count="3131" uniqueCount="515">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</sst>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1.0976E-2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1.0976E-2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2.744E-4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2.7439999999999999E-6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8.1115463802760144E-8</v>
      </c>
      <c r="J2" s="67" t="s">
        <v>231</v>
      </c>
      <c r="K2" s="68">
        <v>9.2580831135906589E-4</v>
      </c>
      <c r="L2" s="67" t="s">
        <v>231</v>
      </c>
      <c r="M2" s="68">
        <v>1.1369958451460955E-3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9.9353252268013332E-6</v>
      </c>
      <c r="J3" s="67" t="s">
        <v>231</v>
      </c>
      <c r="K3" s="68">
        <v>4.7529623733397206E-3</v>
      </c>
      <c r="L3" s="67" t="s">
        <v>231</v>
      </c>
      <c r="M3" s="68">
        <v>0.30498981956964033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9.1352933776178495E-15</v>
      </c>
      <c r="J4" s="67" t="s">
        <v>231</v>
      </c>
      <c r="K4" s="68">
        <v>1.0563574471456425E-3</v>
      </c>
      <c r="L4" s="67" t="s">
        <v>231</v>
      </c>
      <c r="M4" s="68">
        <v>3.0500174255674501E-3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2.0524557209620399E-10</v>
      </c>
      <c r="J5" s="67" t="s">
        <v>231</v>
      </c>
      <c r="K5" s="68">
        <v>1.4039242019414759E-3</v>
      </c>
      <c r="L5" s="67" t="s">
        <v>231</v>
      </c>
      <c r="M5" s="68">
        <v>7.563363961021681E-2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8.9171613329500585E-7</v>
      </c>
      <c r="J6" s="67" t="s">
        <v>231</v>
      </c>
      <c r="K6" s="68">
        <v>1.9365723399478959E-3</v>
      </c>
      <c r="L6" s="67" t="s">
        <v>231</v>
      </c>
      <c r="M6" s="68">
        <v>0.16255376705162949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7.8828378611058403E-6</v>
      </c>
      <c r="J7" s="67" t="s">
        <v>231</v>
      </c>
      <c r="K7" s="68">
        <v>3.6032339452361454E-3</v>
      </c>
      <c r="L7" s="67" t="s">
        <v>231</v>
      </c>
      <c r="M7" s="68">
        <v>0.42029499085010824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1.7246321133582348E-8</v>
      </c>
      <c r="J8" s="67" t="s">
        <v>231</v>
      </c>
      <c r="K8" s="68">
        <v>2.3291006201836962E-3</v>
      </c>
      <c r="L8" s="67" t="s">
        <v>231</v>
      </c>
      <c r="M8" s="68">
        <v>0.22816984416288566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6.408947500227766E-7</v>
      </c>
      <c r="J9" s="67" t="s">
        <v>231</v>
      </c>
      <c r="K9" s="68">
        <v>1.3121434789343954E-3</v>
      </c>
      <c r="L9" s="67" t="s">
        <v>231</v>
      </c>
      <c r="M9" s="68">
        <v>6.0312770620702921E-2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9.9674548311742416E-4</v>
      </c>
      <c r="J10" s="67" t="s">
        <v>231</v>
      </c>
      <c r="K10" s="68">
        <v>3.0835595818694248E-2</v>
      </c>
      <c r="L10" s="67" t="s">
        <v>231</v>
      </c>
      <c r="M10" s="68">
        <v>3.2692878359305579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4.1616268883043309E-8</v>
      </c>
      <c r="J11" s="67" t="s">
        <v>231</v>
      </c>
      <c r="K11" s="68">
        <v>0.33738871470184367</v>
      </c>
      <c r="L11" s="67" t="s">
        <v>231</v>
      </c>
      <c r="M11" s="68">
        <v>41.929421171894163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2.3964162626027593E-8</v>
      </c>
      <c r="J12" s="67" t="s">
        <v>231</v>
      </c>
      <c r="K12" s="68">
        <v>8.6358827074027459E-4</v>
      </c>
      <c r="L12" s="67" t="s">
        <v>231</v>
      </c>
      <c r="M12" s="68">
        <v>6.1396826921836987E-5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1.1219427713784261E-3</v>
      </c>
      <c r="J13" s="67" t="s">
        <v>231</v>
      </c>
      <c r="K13" s="68">
        <v>2.6275898001054017E-3</v>
      </c>
      <c r="L13" s="67" t="s">
        <v>231</v>
      </c>
      <c r="M13" s="68">
        <v>0.21408569272342193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8.5951421549954357E-8</v>
      </c>
      <c r="J14" s="67" t="s">
        <v>231</v>
      </c>
      <c r="K14" s="68">
        <v>1.1210128280325506E-2</v>
      </c>
      <c r="L14" s="67" t="s">
        <v>231</v>
      </c>
      <c r="M14" s="68">
        <v>1.5407836991438109</v>
      </c>
      <c r="N14" s="67" t="s">
        <v>231</v>
      </c>
      <c r="P14" s="109" t="s">
        <v>229</v>
      </c>
      <c r="Q14" s="103">
        <f>COUNTIF(N2:N50000,"Yes")</f>
        <v>9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1.0881802029956862E-6</v>
      </c>
      <c r="J15" s="67" t="s">
        <v>231</v>
      </c>
      <c r="K15" s="68">
        <v>1.0158063704850341E-3</v>
      </c>
      <c r="L15" s="67" t="s">
        <v>231</v>
      </c>
      <c r="M15" s="68">
        <v>2.9668722398461345E-2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1.0086465796415693E-4</v>
      </c>
      <c r="J16" s="67" t="s">
        <v>231</v>
      </c>
      <c r="K16" s="68">
        <v>2.9172551752741768E-3</v>
      </c>
      <c r="L16" s="67" t="s">
        <v>231</v>
      </c>
      <c r="M16" s="68">
        <v>0.24717169167087374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2.231113246349156E-6</v>
      </c>
      <c r="J17" s="67" t="s">
        <v>231</v>
      </c>
      <c r="K17" s="68">
        <v>2.7260898910230692E-3</v>
      </c>
      <c r="L17" s="67" t="s">
        <v>231</v>
      </c>
      <c r="M17" s="68">
        <v>0.22554622463122118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1.405393673284943E-2</v>
      </c>
      <c r="J18" s="67" t="s">
        <v>232</v>
      </c>
      <c r="K18" s="68">
        <v>0.18542253483393201</v>
      </c>
      <c r="L18" s="67" t="s">
        <v>231</v>
      </c>
      <c r="M18" s="68">
        <v>19.895488029296793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1.8135880248727714E-6</v>
      </c>
      <c r="J19" s="67" t="s">
        <v>231</v>
      </c>
      <c r="K19" s="68">
        <v>9.5144065314559914E-4</v>
      </c>
      <c r="L19" s="67" t="s">
        <v>231</v>
      </c>
      <c r="M19" s="68">
        <v>1.0251618443153549E-2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5.0835873135925097E-6</v>
      </c>
      <c r="J20" s="67" t="s">
        <v>231</v>
      </c>
      <c r="K20" s="68">
        <v>9.8839799070453275E-4</v>
      </c>
      <c r="L20" s="67" t="s">
        <v>231</v>
      </c>
      <c r="M20" s="68">
        <v>1.7663011732644857E-2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7.7503944396972777E-6</v>
      </c>
      <c r="J21" s="67" t="s">
        <v>231</v>
      </c>
      <c r="K21" s="68">
        <v>7.876162639079436E-3</v>
      </c>
      <c r="L21" s="67" t="s">
        <v>231</v>
      </c>
      <c r="M21" s="68">
        <v>0.84343276167085812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4.0152922440335647E-8</v>
      </c>
      <c r="J22" s="67" t="s">
        <v>231</v>
      </c>
      <c r="K22" s="68">
        <v>8.6550397431612983E-4</v>
      </c>
      <c r="L22" s="67" t="s">
        <v>231</v>
      </c>
      <c r="M22" s="68">
        <v>1.8470916117877194E-3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1.1168627002622086E-5</v>
      </c>
      <c r="J23" s="67" t="s">
        <v>231</v>
      </c>
      <c r="K23" s="68">
        <v>1.185455863022822E-3</v>
      </c>
      <c r="L23" s="67" t="s">
        <v>231</v>
      </c>
      <c r="M23" s="68">
        <v>5.0153577806259883E-2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2.0900694783103696E-4</v>
      </c>
      <c r="J24" s="67" t="s">
        <v>231</v>
      </c>
      <c r="K24" s="68">
        <v>4.0946580290158784E-3</v>
      </c>
      <c r="L24" s="67" t="s">
        <v>231</v>
      </c>
      <c r="M24" s="68">
        <v>0.37966631302043286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4.6029003591137327E-3</v>
      </c>
      <c r="J25" s="67" t="s">
        <v>231</v>
      </c>
      <c r="K25" s="68">
        <v>0.1631651174383692</v>
      </c>
      <c r="L25" s="67" t="s">
        <v>231</v>
      </c>
      <c r="M25" s="68">
        <v>17.489953167479467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2.9469447270605184E-4</v>
      </c>
      <c r="J26" s="67" t="s">
        <v>231</v>
      </c>
      <c r="K26" s="68">
        <v>7.1207082772800755E-3</v>
      </c>
      <c r="L26" s="67" t="s">
        <v>231</v>
      </c>
      <c r="M26" s="68">
        <v>0.72723844816808092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6.9882168692347193E-5</v>
      </c>
      <c r="J27" s="67" t="s">
        <v>231</v>
      </c>
      <c r="K27" s="68">
        <v>3.2831071715102886E-3</v>
      </c>
      <c r="L27" s="67" t="s">
        <v>231</v>
      </c>
      <c r="M27" s="68">
        <v>0.3451828170869784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2.7309803891716926E-5</v>
      </c>
      <c r="J28" s="67" t="s">
        <v>231</v>
      </c>
      <c r="K28" s="68">
        <v>1.3556721424682219E-3</v>
      </c>
      <c r="L28" s="67" t="s">
        <v>231</v>
      </c>
      <c r="M28" s="68">
        <v>0.1396902280851558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2.5871018504335925E-7</v>
      </c>
      <c r="J29" s="67" t="s">
        <v>231</v>
      </c>
      <c r="K29" s="68">
        <v>7.026083998806212E-5</v>
      </c>
      <c r="L29" s="67" t="s">
        <v>231</v>
      </c>
      <c r="M29" s="68">
        <v>1.5180160316437636E-3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6.0315592838447178E-6</v>
      </c>
      <c r="J30" s="67" t="s">
        <v>231</v>
      </c>
      <c r="K30" s="68">
        <v>4.7915679697826681E-4</v>
      </c>
      <c r="L30" s="67" t="s">
        <v>231</v>
      </c>
      <c r="M30" s="68">
        <v>4.9282065455802042E-2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8.9782090975350854E-8</v>
      </c>
      <c r="J31" s="67" t="s">
        <v>231</v>
      </c>
      <c r="K31" s="68">
        <v>8.131810451190937E-6</v>
      </c>
      <c r="L31" s="67" t="s">
        <v>231</v>
      </c>
      <c r="M31" s="68">
        <v>8.1155062577569317E-4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9.9984133424232109E-5</v>
      </c>
      <c r="J32" s="67" t="s">
        <v>231</v>
      </c>
      <c r="K32" s="68">
        <v>2.3371007024427727E-3</v>
      </c>
      <c r="L32" s="67" t="s">
        <v>231</v>
      </c>
      <c r="M32" s="68">
        <v>0.18090221191780353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3.1308088422058987E-5</v>
      </c>
      <c r="J33" s="67" t="s">
        <v>231</v>
      </c>
      <c r="K33" s="68">
        <v>1.5250179868688298E-3</v>
      </c>
      <c r="L33" s="67" t="s">
        <v>231</v>
      </c>
      <c r="M33" s="68">
        <v>8.4869761531448928E-2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1.5144297923075354E-4</v>
      </c>
      <c r="J34" s="67" t="s">
        <v>231</v>
      </c>
      <c r="K34" s="68">
        <v>8.5681625712146423E-3</v>
      </c>
      <c r="L34" s="67" t="s">
        <v>231</v>
      </c>
      <c r="M34" s="68">
        <v>0.8707128788827706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1.538699137796953E-3</v>
      </c>
      <c r="J35" s="67" t="s">
        <v>231</v>
      </c>
      <c r="K35" s="68">
        <v>2.342886995911372E-2</v>
      </c>
      <c r="L35" s="67" t="s">
        <v>231</v>
      </c>
      <c r="M35" s="68">
        <v>2.475395723805319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3.9054317733473618E-3</v>
      </c>
      <c r="J36" s="67" t="s">
        <v>231</v>
      </c>
      <c r="K36" s="68">
        <v>6.4584946532466631E-2</v>
      </c>
      <c r="L36" s="67" t="s">
        <v>231</v>
      </c>
      <c r="M36" s="68">
        <v>6.88139801726994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2.9753005365083227E-3</v>
      </c>
      <c r="J37" s="67" t="s">
        <v>231</v>
      </c>
      <c r="K37" s="68">
        <v>0.17680789884234471</v>
      </c>
      <c r="L37" s="67" t="s">
        <v>231</v>
      </c>
      <c r="M37" s="68">
        <v>18.965941022301724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1.4249343935411845E-3</v>
      </c>
      <c r="J38" s="67" t="s">
        <v>231</v>
      </c>
      <c r="K38" s="68">
        <v>9.7512468831560659E-2</v>
      </c>
      <c r="L38" s="67" t="s">
        <v>231</v>
      </c>
      <c r="M38" s="68">
        <v>10.416035954230795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7.7662961876515102E-4</v>
      </c>
      <c r="J39" s="67" t="s">
        <v>231</v>
      </c>
      <c r="K39" s="68">
        <v>6.4601163404745046E-2</v>
      </c>
      <c r="L39" s="67" t="s">
        <v>231</v>
      </c>
      <c r="M39" s="68">
        <v>6.8882493825639504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1.4249343935411845E-3</v>
      </c>
      <c r="J40" s="67" t="s">
        <v>231</v>
      </c>
      <c r="K40" s="68">
        <v>9.7512468831560659E-2</v>
      </c>
      <c r="L40" s="67" t="s">
        <v>231</v>
      </c>
      <c r="M40" s="68">
        <v>10.416035954230795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8.7860270291657866E-9</v>
      </c>
      <c r="J41" s="67" t="s">
        <v>231</v>
      </c>
      <c r="K41" s="68">
        <v>9.7271393509851484E-4</v>
      </c>
      <c r="L41" s="67" t="s">
        <v>231</v>
      </c>
      <c r="M41" s="68">
        <v>5.6905206274424566E-3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5.4498528234160869E-3</v>
      </c>
      <c r="J42" s="67" t="s">
        <v>231</v>
      </c>
      <c r="K42" s="68">
        <v>0.18183903321514758</v>
      </c>
      <c r="L42" s="67" t="s">
        <v>231</v>
      </c>
      <c r="M42" s="68">
        <v>19.51098506894548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2.4268152197948535E-3</v>
      </c>
      <c r="J43" s="67" t="s">
        <v>231</v>
      </c>
      <c r="K43" s="68">
        <v>4.459936569790243E-3</v>
      </c>
      <c r="L43" s="67" t="s">
        <v>231</v>
      </c>
      <c r="M43" s="68">
        <v>0.4201083204511023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7.2471772768322876E-3</v>
      </c>
      <c r="J44" s="67" t="s">
        <v>231</v>
      </c>
      <c r="K44" s="68">
        <v>4.5935082519701471E-2</v>
      </c>
      <c r="L44" s="67" t="s">
        <v>231</v>
      </c>
      <c r="M44" s="68">
        <v>4.8838524231443339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1.6640745860232981E-2</v>
      </c>
      <c r="J45" s="67" t="s">
        <v>232</v>
      </c>
      <c r="K45" s="68">
        <v>0.23785198527146781</v>
      </c>
      <c r="L45" s="67" t="s">
        <v>231</v>
      </c>
      <c r="M45" s="68">
        <v>25.578228197427194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2.2329421531086741E-3</v>
      </c>
      <c r="J46" s="67" t="s">
        <v>231</v>
      </c>
      <c r="K46" s="68">
        <v>0.19295463863687659</v>
      </c>
      <c r="L46" s="67" t="s">
        <v>231</v>
      </c>
      <c r="M46" s="68">
        <v>20.710483976418789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3.9284210155637982E-3</v>
      </c>
      <c r="J47" s="142" t="s">
        <v>231</v>
      </c>
      <c r="K47" s="143">
        <v>0.14000876905461518</v>
      </c>
      <c r="L47" s="142" t="s">
        <v>231</v>
      </c>
      <c r="M47" s="143">
        <v>14.991109940644812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6.1169706779560953E-4</v>
      </c>
      <c r="J48" s="142" t="s">
        <v>231</v>
      </c>
      <c r="K48" s="143">
        <v>1.6287770154209673E-2</v>
      </c>
      <c r="L48" s="142" t="s">
        <v>231</v>
      </c>
      <c r="M48" s="143">
        <v>1.7050769613227637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4.358245345960925E-3</v>
      </c>
      <c r="J49" s="142" t="s">
        <v>231</v>
      </c>
      <c r="K49" s="143">
        <v>4.9088805000010678E-2</v>
      </c>
      <c r="L49" s="142" t="s">
        <v>231</v>
      </c>
      <c r="M49" s="143">
        <v>5.2213633663390482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1.0716342850486894E-3</v>
      </c>
      <c r="J50" s="142" t="s">
        <v>231</v>
      </c>
      <c r="K50" s="143">
        <v>5.4666426268987864E-2</v>
      </c>
      <c r="L50" s="142" t="s">
        <v>231</v>
      </c>
      <c r="M50" s="143">
        <v>5.8185786585649142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1.5314151715261342E-3</v>
      </c>
      <c r="J51" s="142" t="s">
        <v>231</v>
      </c>
      <c r="K51" s="143">
        <v>1.981696157216457E-2</v>
      </c>
      <c r="L51" s="142" t="s">
        <v>231</v>
      </c>
      <c r="M51" s="143">
        <v>2.0847868936741594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2.8929627968132577E-2</v>
      </c>
      <c r="J52" s="142" t="s">
        <v>232</v>
      </c>
      <c r="K52" s="143">
        <v>1.6608120517382901E-2</v>
      </c>
      <c r="L52" s="142" t="s">
        <v>231</v>
      </c>
      <c r="M52" s="143">
        <v>1.7395746996836601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1.0307960668848171E-2</v>
      </c>
      <c r="J53" s="142" t="s">
        <v>232</v>
      </c>
      <c r="K53" s="143">
        <v>7.5292876124607902E-2</v>
      </c>
      <c r="L53" s="142" t="s">
        <v>231</v>
      </c>
      <c r="M53" s="143">
        <v>8.0297447864984939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5.141457504693709E-3</v>
      </c>
      <c r="J54" s="67" t="s">
        <v>231</v>
      </c>
      <c r="K54" s="68">
        <v>5.1826897126421481E-2</v>
      </c>
      <c r="L54" s="67" t="s">
        <v>231</v>
      </c>
      <c r="M54" s="68">
        <v>5.5144934056565811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4.1128211875322415E-3</v>
      </c>
      <c r="J55" s="67" t="s">
        <v>231</v>
      </c>
      <c r="K55" s="68">
        <v>0.13760311097609348</v>
      </c>
      <c r="L55" s="67" t="s">
        <v>231</v>
      </c>
      <c r="M55" s="68">
        <v>14.731882058980618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3.0527038367113607E-3</v>
      </c>
      <c r="J56" s="67" t="s">
        <v>231</v>
      </c>
      <c r="K56" s="68">
        <v>4.6978150332509079E-2</v>
      </c>
      <c r="L56" s="67" t="s">
        <v>231</v>
      </c>
      <c r="M56" s="68">
        <v>4.9954623882748868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4.2343616976192981E-3</v>
      </c>
      <c r="J57" s="67" t="s">
        <v>231</v>
      </c>
      <c r="K57" s="68">
        <v>1.4757987117653E-2</v>
      </c>
      <c r="L57" s="67" t="s">
        <v>231</v>
      </c>
      <c r="M57" s="68">
        <v>1.5406723796731772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3.1256550014400968E-2</v>
      </c>
      <c r="J58" s="67" t="s">
        <v>232</v>
      </c>
      <c r="K58" s="68">
        <v>5.2388972630099083E-2</v>
      </c>
      <c r="L58" s="67" t="s">
        <v>231</v>
      </c>
      <c r="M58" s="68">
        <v>5.5746768545931111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2.9942263294420171E-3</v>
      </c>
      <c r="J59" s="67" t="s">
        <v>231</v>
      </c>
      <c r="K59" s="68">
        <v>1.6614462511825422E-2</v>
      </c>
      <c r="L59" s="67" t="s">
        <v>231</v>
      </c>
      <c r="M59" s="68">
        <v>1.7402389755158469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1.4782961083997166E-2</v>
      </c>
      <c r="J60" s="67" t="s">
        <v>232</v>
      </c>
      <c r="K60" s="68">
        <v>6.8649706134570332E-2</v>
      </c>
      <c r="L60" s="67" t="s">
        <v>231</v>
      </c>
      <c r="M60" s="68">
        <v>7.3172327931059487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4.7460411255275077E-5</v>
      </c>
      <c r="J61" s="67" t="s">
        <v>231</v>
      </c>
      <c r="K61" s="68">
        <v>4.717897668810643E-2</v>
      </c>
      <c r="L61" s="67" t="s">
        <v>231</v>
      </c>
      <c r="M61" s="68">
        <v>1.4947011191993351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2.2671461739131473E-4</v>
      </c>
      <c r="J62" s="67" t="s">
        <v>231</v>
      </c>
      <c r="K62" s="68">
        <v>8.1464936470230405E-3</v>
      </c>
      <c r="L62" s="67" t="s">
        <v>231</v>
      </c>
      <c r="M62" s="68">
        <v>0.8248103535478235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1.7349867847496106E-6</v>
      </c>
      <c r="J63" s="67" t="s">
        <v>231</v>
      </c>
      <c r="K63" s="68">
        <v>5.1193541616697579E-3</v>
      </c>
      <c r="L63" s="67" t="s">
        <v>231</v>
      </c>
      <c r="M63" s="68">
        <v>0.11485748400444354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1.0609236706879074E-7</v>
      </c>
      <c r="J64" s="67" t="s">
        <v>231</v>
      </c>
      <c r="K64" s="68">
        <v>9.4945796930136553E-4</v>
      </c>
      <c r="L64" s="67" t="s">
        <v>231</v>
      </c>
      <c r="M64" s="68">
        <v>2.2719364804378393E-3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2.0102443060860766E-8</v>
      </c>
      <c r="J65" s="67" t="s">
        <v>231</v>
      </c>
      <c r="K65" s="68">
        <v>1.3059255944644272E-3</v>
      </c>
      <c r="L65" s="67" t="s">
        <v>231</v>
      </c>
      <c r="M65" s="68">
        <v>9.5581905441840011E-3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1.7710244738833366E-7</v>
      </c>
      <c r="J66" s="67" t="s">
        <v>231</v>
      </c>
      <c r="K66" s="68">
        <v>4.2882121029044186E-2</v>
      </c>
      <c r="L66" s="67" t="s">
        <v>231</v>
      </c>
      <c r="M66" s="68">
        <v>1.0789931850478893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1.9800199438551142E-8</v>
      </c>
      <c r="J67" s="67" t="s">
        <v>231</v>
      </c>
      <c r="K67" s="68">
        <v>1.2426763323374868E-3</v>
      </c>
      <c r="L67" s="67" t="s">
        <v>231</v>
      </c>
      <c r="M67" s="68">
        <v>7.9562340006864053E-3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6.426933637670618E-9</v>
      </c>
      <c r="J68" s="67" t="s">
        <v>231</v>
      </c>
      <c r="K68" s="68">
        <v>9.7659305342459655E-4</v>
      </c>
      <c r="L68" s="67" t="s">
        <v>231</v>
      </c>
      <c r="M68" s="68">
        <v>1.0549250890456933E-3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1.7102220305447301E-4</v>
      </c>
      <c r="J69" s="67" t="s">
        <v>231</v>
      </c>
      <c r="K69" s="68">
        <v>4.1906231360774066E-2</v>
      </c>
      <c r="L69" s="67" t="s">
        <v>231</v>
      </c>
      <c r="M69" s="68">
        <v>4.4527996139644159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2.2844914873689437E-14</v>
      </c>
      <c r="J70" s="67" t="s">
        <v>231</v>
      </c>
      <c r="K70" s="68">
        <v>9.6088252386730775E-4</v>
      </c>
      <c r="L70" s="67" t="s">
        <v>231</v>
      </c>
      <c r="M70" s="68">
        <v>3.8090541078885515E-3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1.98325056012718E-10</v>
      </c>
      <c r="J71" s="67" t="s">
        <v>231</v>
      </c>
      <c r="K71" s="68">
        <v>9.8078758842215378E-4</v>
      </c>
      <c r="L71" s="67" t="s">
        <v>231</v>
      </c>
      <c r="M71" s="68">
        <v>6.9781166979936268E-3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2.765179323536433E-13</v>
      </c>
      <c r="J72" s="67" t="s">
        <v>231</v>
      </c>
      <c r="K72" s="68">
        <v>4.4651298700822094E-2</v>
      </c>
      <c r="L72" s="67" t="s">
        <v>231</v>
      </c>
      <c r="M72" s="68">
        <v>6.2639278603338306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1.1813388813101202E-10</v>
      </c>
      <c r="J73" s="67" t="s">
        <v>231</v>
      </c>
      <c r="K73" s="68">
        <v>4.3667895382651567E-3</v>
      </c>
      <c r="L73" s="67" t="s">
        <v>231</v>
      </c>
      <c r="M73" s="68">
        <v>0.57716543122600739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1.8595834648700438E-11</v>
      </c>
      <c r="J74" s="67" t="s">
        <v>231</v>
      </c>
      <c r="K74" s="68">
        <v>9.7690222553564678E-4</v>
      </c>
      <c r="L74" s="67" t="s">
        <v>231</v>
      </c>
      <c r="M74" s="68">
        <v>6.3582983024271017E-3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7.0020432212818033E-13</v>
      </c>
      <c r="J75" s="67" t="s">
        <v>231</v>
      </c>
      <c r="K75" s="68">
        <v>4.2407419754315872E-3</v>
      </c>
      <c r="L75" s="67" t="s">
        <v>231</v>
      </c>
      <c r="M75" s="68">
        <v>0.5547277431451445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1.6576973486444052E-8</v>
      </c>
      <c r="J76" s="67" t="s">
        <v>231</v>
      </c>
      <c r="K76" s="68">
        <v>1.588741341648442E-3</v>
      </c>
      <c r="L76" s="67" t="s">
        <v>231</v>
      </c>
      <c r="M76" s="68">
        <v>0.10597385356022988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4.9071053120558167E-7</v>
      </c>
      <c r="J77" s="67" t="s">
        <v>231</v>
      </c>
      <c r="K77" s="68">
        <v>4.3325286416781884E-3</v>
      </c>
      <c r="L77" s="67" t="s">
        <v>231</v>
      </c>
      <c r="M77" s="68">
        <v>0.57103432750783079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2.7272326184822907E-12</v>
      </c>
      <c r="J78" s="67" t="s">
        <v>231</v>
      </c>
      <c r="K78" s="68">
        <v>3.7349462909398043E-2</v>
      </c>
      <c r="L78" s="67" t="s">
        <v>231</v>
      </c>
      <c r="M78" s="68">
        <v>5.2382414044807941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1.5003819408712399E-15</v>
      </c>
      <c r="J79" s="67" t="s">
        <v>231</v>
      </c>
      <c r="K79" s="68">
        <v>3.7349442766355864E-2</v>
      </c>
      <c r="L79" s="67" t="s">
        <v>231</v>
      </c>
      <c r="M79" s="68">
        <v>5.2382395580687549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8.2468646252714966E-14</v>
      </c>
      <c r="J80" s="67" t="s">
        <v>231</v>
      </c>
      <c r="K80" s="68">
        <v>2.7206624556736256E-3</v>
      </c>
      <c r="L80" s="67" t="s">
        <v>231</v>
      </c>
      <c r="M80" s="68">
        <v>0.29424752121798198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8.4726337740212704E-11</v>
      </c>
      <c r="J81" s="67" t="s">
        <v>231</v>
      </c>
      <c r="K81" s="68">
        <v>1.0953648894959217E-3</v>
      </c>
      <c r="L81" s="67" t="s">
        <v>231</v>
      </c>
      <c r="M81" s="68">
        <v>2.5401140968257761E-2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2.1428028090948743E-15</v>
      </c>
      <c r="J82" s="67" t="s">
        <v>231</v>
      </c>
      <c r="K82" s="68">
        <v>1.313598700928717E-3</v>
      </c>
      <c r="L82" s="67" t="s">
        <v>231</v>
      </c>
      <c r="M82" s="68">
        <v>6.0872323444984611E-2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1.627387384441863E-13</v>
      </c>
      <c r="J83" s="67" t="s">
        <v>231</v>
      </c>
      <c r="K83" s="68">
        <v>7.2672317815945242E-2</v>
      </c>
      <c r="L83" s="67" t="s">
        <v>231</v>
      </c>
      <c r="M83" s="68">
        <v>10.19925215084397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5.1222948057027887E-2</v>
      </c>
      <c r="J84" s="67" t="s">
        <v>232</v>
      </c>
      <c r="K84" s="68">
        <v>5.6303463004874722E-3</v>
      </c>
      <c r="L84" s="67" t="s">
        <v>231</v>
      </c>
      <c r="M84" s="68">
        <v>0.54948446052226474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1.9367556048385087E-5</v>
      </c>
      <c r="J85" s="67" t="s">
        <v>231</v>
      </c>
      <c r="K85" s="68">
        <v>1.4782619989062551</v>
      </c>
      <c r="L85" s="67" t="s">
        <v>232</v>
      </c>
      <c r="M85" s="68">
        <v>37.909269171119988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1.5720627530776722E-3</v>
      </c>
      <c r="J86" s="67" t="s">
        <v>231</v>
      </c>
      <c r="K86" s="68">
        <v>0.22495558219354159</v>
      </c>
      <c r="L86" s="67" t="s">
        <v>231</v>
      </c>
      <c r="M86" s="68">
        <v>24.178230320943317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1.2821358928697458E-3</v>
      </c>
      <c r="J87" s="67" t="s">
        <v>231</v>
      </c>
      <c r="K87" s="68">
        <v>0.289161572677546</v>
      </c>
      <c r="L87" s="67" t="s">
        <v>231</v>
      </c>
      <c r="M87" s="68">
        <v>31.164910693686895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2.1961001718423957E-3</v>
      </c>
      <c r="J88" s="67" t="s">
        <v>231</v>
      </c>
      <c r="K88" s="68">
        <v>0.3517456351032256</v>
      </c>
      <c r="L88" s="67" t="s">
        <v>231</v>
      </c>
      <c r="M88" s="68">
        <v>38.027763454266299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1.0520682100926431E-6</v>
      </c>
      <c r="J89" s="67" t="s">
        <v>231</v>
      </c>
      <c r="K89" s="68">
        <v>3.1116385285205843</v>
      </c>
      <c r="L89" s="67" t="s">
        <v>232</v>
      </c>
      <c r="M89" s="68">
        <v>80.638851047083847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1.9056849524754432E-5</v>
      </c>
      <c r="J90" s="67" t="s">
        <v>231</v>
      </c>
      <c r="K90" s="68">
        <v>9.2735780586886986E-4</v>
      </c>
      <c r="L90" s="67" t="s">
        <v>231</v>
      </c>
      <c r="M90" s="68">
        <v>1.4773693246205206E-3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3.5514554941247434E-5</v>
      </c>
      <c r="J91" s="67" t="s">
        <v>231</v>
      </c>
      <c r="K91" s="68">
        <v>1.4974608075518747E-3</v>
      </c>
      <c r="L91" s="67" t="s">
        <v>231</v>
      </c>
      <c r="M91" s="68">
        <v>8.1505572466446144E-2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5.840541581391281E-5</v>
      </c>
      <c r="J92" s="67" t="s">
        <v>231</v>
      </c>
      <c r="K92" s="68">
        <v>1.0660520274361197E-2</v>
      </c>
      <c r="L92" s="67" t="s">
        <v>231</v>
      </c>
      <c r="M92" s="68">
        <v>1.0978134388624239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1.2900720104375669E-8</v>
      </c>
      <c r="J93" s="67" t="s">
        <v>231</v>
      </c>
      <c r="K93" s="68">
        <v>9.4062601281297525E-4</v>
      </c>
      <c r="L93" s="67" t="s">
        <v>231</v>
      </c>
      <c r="M93" s="68">
        <v>6.2198793840776388E-4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2.106707719487514E-18</v>
      </c>
      <c r="J94" s="67" t="s">
        <v>231</v>
      </c>
      <c r="K94" s="68">
        <v>9.426304662430437E-4</v>
      </c>
      <c r="L94" s="67" t="s">
        <v>231</v>
      </c>
      <c r="M94" s="68">
        <v>1.5093177900392569E-4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2.276487966565618E-6</v>
      </c>
      <c r="J95" s="67" t="s">
        <v>231</v>
      </c>
      <c r="K95" s="68">
        <v>9.528872088496661E-4</v>
      </c>
      <c r="L95" s="67" t="s">
        <v>231</v>
      </c>
      <c r="M95" s="68">
        <v>6.3851627072571294E-3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1.6700128032898002E-2</v>
      </c>
      <c r="J96" s="67" t="s">
        <v>232</v>
      </c>
      <c r="K96" s="68">
        <v>0.2005921664409403</v>
      </c>
      <c r="L96" s="67" t="s">
        <v>231</v>
      </c>
      <c r="M96" s="68">
        <v>21.537319459828641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1.1143264861664767E-4</v>
      </c>
      <c r="J97" s="67" t="s">
        <v>231</v>
      </c>
      <c r="K97" s="68">
        <v>2.0983711197703064E-3</v>
      </c>
      <c r="L97" s="67" t="s">
        <v>231</v>
      </c>
      <c r="M97" s="68">
        <v>0.15299977633171677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2.8855346653273114E-5</v>
      </c>
      <c r="J98" s="67" t="s">
        <v>231</v>
      </c>
      <c r="K98" s="68">
        <v>1.5837355747477374E-3</v>
      </c>
      <c r="L98" s="67" t="s">
        <v>231</v>
      </c>
      <c r="M98" s="68">
        <v>9.1991444777851789E-2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1.7869887947569186E-6</v>
      </c>
      <c r="J99" s="67" t="s">
        <v>231</v>
      </c>
      <c r="K99" s="68">
        <v>1.0442911048572031E-3</v>
      </c>
      <c r="L99" s="67" t="s">
        <v>231</v>
      </c>
      <c r="M99" s="68">
        <v>2.2983833709841982E-2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1.0845929995819209E-2</v>
      </c>
      <c r="J100" s="67" t="s">
        <v>232</v>
      </c>
      <c r="K100" s="68">
        <v>8.1481935055862736E-2</v>
      </c>
      <c r="L100" s="67" t="s">
        <v>231</v>
      </c>
      <c r="M100" s="68">
        <v>8.6939739699999521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3.4163018371295838E-2</v>
      </c>
      <c r="J101" s="67" t="s">
        <v>232</v>
      </c>
      <c r="K101" s="68">
        <v>8.4620952535323941E-3</v>
      </c>
      <c r="L101" s="67" t="s">
        <v>231</v>
      </c>
      <c r="M101" s="68">
        <v>0.85916542498867765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1.8405223446461897E-2</v>
      </c>
      <c r="J102" s="67" t="s">
        <v>232</v>
      </c>
      <c r="K102" s="68">
        <v>1.9633784669823264E-2</v>
      </c>
      <c r="L102" s="67" t="s">
        <v>231</v>
      </c>
      <c r="M102" s="68">
        <v>2.0651102066969811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1.7114296735372877E-9</v>
      </c>
      <c r="J103" s="67" t="s">
        <v>231</v>
      </c>
      <c r="K103" s="68">
        <v>1.0187436829077253E-3</v>
      </c>
      <c r="L103" s="67" t="s">
        <v>231</v>
      </c>
      <c r="M103" s="68">
        <v>1.3054046300422922E-2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2.2199194267620862E-6</v>
      </c>
      <c r="J104" s="67" t="s">
        <v>231</v>
      </c>
      <c r="K104" s="68">
        <v>7.4339763467380828E-3</v>
      </c>
      <c r="L104" s="67" t="s">
        <v>231</v>
      </c>
      <c r="M104" s="68">
        <v>1.0156080041032833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9.6972911735558209E-8</v>
      </c>
      <c r="J105" s="67" t="s">
        <v>231</v>
      </c>
      <c r="K105" s="68">
        <v>9.2587773743158029E-4</v>
      </c>
      <c r="L105" s="67" t="s">
        <v>231</v>
      </c>
      <c r="M105" s="68">
        <v>1.8027356497131611E-3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3.3268664800156685E-8</v>
      </c>
      <c r="J106" s="67" t="s">
        <v>231</v>
      </c>
      <c r="K106" s="68">
        <v>9.5362292670830265E-4</v>
      </c>
      <c r="L106" s="67" t="s">
        <v>231</v>
      </c>
      <c r="M106" s="68">
        <v>6.866825011528568E-3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3.4804636935451058E-5</v>
      </c>
      <c r="J107" s="67" t="s">
        <v>231</v>
      </c>
      <c r="K107" s="68">
        <v>3.9110467489338135E-2</v>
      </c>
      <c r="L107" s="67" t="s">
        <v>231</v>
      </c>
      <c r="M107" s="68">
        <v>2.8530444938211579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2.6469119334872177E-10</v>
      </c>
      <c r="J108" s="67" t="s">
        <v>231</v>
      </c>
      <c r="K108" s="68">
        <v>9.3971245261188611E-4</v>
      </c>
      <c r="L108" s="67" t="s">
        <v>231</v>
      </c>
      <c r="M108" s="68">
        <v>7.8119126109921919E-5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2.8951965012502433E-6</v>
      </c>
      <c r="J109" s="67" t="s">
        <v>231</v>
      </c>
      <c r="K109" s="68">
        <v>1.145138124355821E-2</v>
      </c>
      <c r="L109" s="67" t="s">
        <v>231</v>
      </c>
      <c r="M109" s="68">
        <v>0.27307804471524716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5.8251104531997558E-6</v>
      </c>
      <c r="J110" s="67" t="s">
        <v>231</v>
      </c>
      <c r="K110" s="68">
        <v>9.329459358161221E-4</v>
      </c>
      <c r="L110" s="67" t="s">
        <v>231</v>
      </c>
      <c r="M110" s="68">
        <v>2.2200118869947544E-4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8.1179581717569672E-14</v>
      </c>
      <c r="J111" s="67" t="s">
        <v>231</v>
      </c>
      <c r="K111" s="68">
        <v>9.3672845398136298E-4</v>
      </c>
      <c r="L111" s="67" t="s">
        <v>231</v>
      </c>
      <c r="M111" s="68">
        <v>3.2334984215233255E-6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9.1586671090789418E-9</v>
      </c>
      <c r="J112" s="67" t="s">
        <v>231</v>
      </c>
      <c r="K112" s="68">
        <v>9.3076652278833679E-4</v>
      </c>
      <c r="L112" s="67" t="s">
        <v>231</v>
      </c>
      <c r="M112" s="68">
        <v>1.6761419239517099E-4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4.2160375410670818E-7</v>
      </c>
      <c r="J113" s="67" t="s">
        <v>231</v>
      </c>
      <c r="K113" s="68">
        <v>9.3090545517014506E-4</v>
      </c>
      <c r="L113" s="67" t="s">
        <v>231</v>
      </c>
      <c r="M113" s="68">
        <v>3.8387023668167569E-3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5.6973352987406612E-8</v>
      </c>
      <c r="J114" s="67" t="s">
        <v>231</v>
      </c>
      <c r="K114" s="68">
        <v>9.3329482758467016E-4</v>
      </c>
      <c r="L114" s="67" t="s">
        <v>231</v>
      </c>
      <c r="M114" s="68">
        <v>5.2100063126069001E-5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4.8512022515984926E-11</v>
      </c>
      <c r="J115" s="67" t="s">
        <v>231</v>
      </c>
      <c r="K115" s="68">
        <v>9.5876117766062149E-4</v>
      </c>
      <c r="L115" s="67" t="s">
        <v>231</v>
      </c>
      <c r="M115" s="68">
        <v>3.4728004746463477E-3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3.5217123013122446E-5</v>
      </c>
      <c r="J116" s="67" t="s">
        <v>231</v>
      </c>
      <c r="K116" s="68">
        <v>0.41951376338498947</v>
      </c>
      <c r="L116" s="67" t="s">
        <v>231</v>
      </c>
      <c r="M116" s="68">
        <v>10.789804752000828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8.3370075614565129E-5</v>
      </c>
      <c r="J117" s="67" t="s">
        <v>231</v>
      </c>
      <c r="K117" s="68">
        <v>3.0803933780506601E-3</v>
      </c>
      <c r="L117" s="67" t="s">
        <v>231</v>
      </c>
      <c r="M117" s="68">
        <v>0.26560105604736245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0.97644290842490966</v>
      </c>
      <c r="F2" s="14">
        <v>0.97673978436959652</v>
      </c>
      <c r="G2" s="14">
        <v>2.9046069043699582E-10</v>
      </c>
      <c r="H2" s="14">
        <v>0.17016054883767498</v>
      </c>
      <c r="I2" s="14">
        <v>0.6322896144411051</v>
      </c>
      <c r="J2" s="14">
        <v>0</v>
      </c>
      <c r="K2" s="14">
        <v>1.0238141376061751</v>
      </c>
      <c r="L2" s="14">
        <v>0.97673978436959652</v>
      </c>
      <c r="M2" s="14">
        <v>0.80141499307525399</v>
      </c>
      <c r="N2" s="14">
        <v>0.92580831135906594</v>
      </c>
      <c r="O2" s="14">
        <v>179.782715982817</v>
      </c>
      <c r="P2" s="8">
        <v>0.92580831135906594</v>
      </c>
      <c r="Q2" s="54">
        <v>1.5729540952269146E-2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0.61923486627505475</v>
      </c>
      <c r="F3" s="14">
        <v>0.59042385761193639</v>
      </c>
      <c r="G3" s="14">
        <v>2.7952480392814188E-10</v>
      </c>
      <c r="H3" s="14">
        <v>66.408090413402235</v>
      </c>
      <c r="I3" s="14">
        <v>149.37255180838093</v>
      </c>
      <c r="J3" s="14">
        <v>0</v>
      </c>
      <c r="K3" s="14">
        <v>1.6936984966099773</v>
      </c>
      <c r="L3" s="14">
        <v>0.59042385761193639</v>
      </c>
      <c r="M3" s="14">
        <v>0.48444277517059381</v>
      </c>
      <c r="N3" s="14">
        <v>4.7529623733397202</v>
      </c>
      <c r="O3" s="14">
        <v>1217.1861341885688</v>
      </c>
      <c r="P3" s="8">
        <v>4.7529623733397202</v>
      </c>
      <c r="Q3" s="54">
        <v>0.25613610459241615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0.99968955436387685</v>
      </c>
      <c r="F4" s="14">
        <v>1.000037322740843</v>
      </c>
      <c r="G4" s="14">
        <v>1.5064152252413348E-19</v>
      </c>
      <c r="H4" s="14">
        <v>0.11948577615418986</v>
      </c>
      <c r="I4" s="14">
        <v>1.2183539233514421E-3</v>
      </c>
      <c r="J4" s="14">
        <v>0</v>
      </c>
      <c r="K4" s="14">
        <v>0.99996267865209199</v>
      </c>
      <c r="L4" s="14">
        <v>1.000037322740843</v>
      </c>
      <c r="M4" s="14">
        <v>0.82053062330886173</v>
      </c>
      <c r="N4" s="14">
        <v>1.0563574471456425</v>
      </c>
      <c r="O4" s="14">
        <v>312.84025797218203</v>
      </c>
      <c r="P4" s="8">
        <v>1.0563574471456425</v>
      </c>
      <c r="Q4" s="54">
        <v>1.3892278022757984E-5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0.99929867991426069</v>
      </c>
      <c r="F5" s="14">
        <v>0.92368501643688561</v>
      </c>
      <c r="G5" s="14">
        <v>4.2276957097796948E-12</v>
      </c>
      <c r="H5" s="14">
        <v>215.91553901184798</v>
      </c>
      <c r="I5" s="14">
        <v>0.15867363827079242</v>
      </c>
      <c r="J5" s="14">
        <v>0</v>
      </c>
      <c r="K5" s="14">
        <v>1.0826201380395877</v>
      </c>
      <c r="L5" s="14">
        <v>0.92368501643688572</v>
      </c>
      <c r="M5" s="14">
        <v>0.75788355598646473</v>
      </c>
      <c r="N5" s="14">
        <v>1.4039242019414759</v>
      </c>
      <c r="O5" s="14">
        <v>310.32340559714379</v>
      </c>
      <c r="P5" s="8">
        <v>1.4039242019414759</v>
      </c>
      <c r="Q5" s="54">
        <v>2.1335596035783135E-4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0.99767689458140008</v>
      </c>
      <c r="F6" s="14">
        <v>0.82648948000168743</v>
      </c>
      <c r="G6" s="14">
        <v>5.2433849141880137E-13</v>
      </c>
      <c r="H6" s="14">
        <v>487.32347230799098</v>
      </c>
      <c r="I6" s="14">
        <v>1.308493204026387</v>
      </c>
      <c r="J6" s="14">
        <v>0</v>
      </c>
      <c r="K6" s="14">
        <v>1.2099367556353631</v>
      </c>
      <c r="L6" s="14">
        <v>0.82648948000168743</v>
      </c>
      <c r="M6" s="14">
        <v>0.67813461834138455</v>
      </c>
      <c r="N6" s="14">
        <v>1.9365723399478958</v>
      </c>
      <c r="O6" s="14">
        <v>445.91514699640248</v>
      </c>
      <c r="P6" s="8">
        <v>1.936572339947896</v>
      </c>
      <c r="Q6" s="54">
        <v>1.2094041968962941E-3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0.98045388637812403</v>
      </c>
      <c r="F7" s="14">
        <v>0.5381024544451628</v>
      </c>
      <c r="G7" s="14">
        <v>8.9671015261875285E-9</v>
      </c>
      <c r="H7" s="14">
        <v>1255.2926125678812</v>
      </c>
      <c r="I7" s="14">
        <v>23.659289155758575</v>
      </c>
      <c r="J7" s="14">
        <v>0</v>
      </c>
      <c r="K7" s="14">
        <v>1.8583821570394052</v>
      </c>
      <c r="L7" s="14">
        <v>0.5381024544451628</v>
      </c>
      <c r="M7" s="14">
        <v>0.44151306387225614</v>
      </c>
      <c r="N7" s="14">
        <v>3.6032339452361453</v>
      </c>
      <c r="O7" s="14">
        <v>743.27509822331206</v>
      </c>
      <c r="P7" s="8">
        <v>3.6032339452361457</v>
      </c>
      <c r="Q7" s="54">
        <v>1.2525690952011885E-2</v>
      </c>
    </row>
    <row r="8" spans="1:20">
      <c r="A8" s="2" t="s">
        <v>289</v>
      </c>
      <c r="B8" s="16" t="s">
        <v>290</v>
      </c>
      <c r="D8" s="14">
        <v>1</v>
      </c>
      <c r="E8" s="14">
        <v>0.99823185587550278</v>
      </c>
      <c r="F8" s="14">
        <v>0.74869767291466116</v>
      </c>
      <c r="G8" s="14">
        <v>4.1503250307455796E-19</v>
      </c>
      <c r="H8" s="14">
        <v>709.94790713949055</v>
      </c>
      <c r="I8" s="14">
        <v>0.9995687813730455</v>
      </c>
      <c r="J8" s="14">
        <v>0</v>
      </c>
      <c r="K8" s="14">
        <v>1.3356526087586531</v>
      </c>
      <c r="L8" s="14">
        <v>0.74869767291466116</v>
      </c>
      <c r="M8" s="14">
        <v>0.61430644062647954</v>
      </c>
      <c r="N8" s="14">
        <v>2.3291006201836963</v>
      </c>
      <c r="O8" s="14">
        <v>811.50523808440357</v>
      </c>
      <c r="P8" s="8">
        <v>2.3291006201836963</v>
      </c>
      <c r="Q8" s="54">
        <v>7.6210126716524192E-4</v>
      </c>
    </row>
    <row r="9" spans="1:20">
      <c r="A9" s="2" t="s">
        <v>291</v>
      </c>
      <c r="B9" s="16" t="s">
        <v>292</v>
      </c>
      <c r="D9" s="14">
        <v>1</v>
      </c>
      <c r="E9" s="14">
        <v>0.99833575746610048</v>
      </c>
      <c r="F9" s="14">
        <v>0.93996394531701666</v>
      </c>
      <c r="G9" s="14">
        <v>8.1751039320112237E-15</v>
      </c>
      <c r="H9" s="14">
        <v>166.88265306591518</v>
      </c>
      <c r="I9" s="14">
        <v>0.58565891617486832</v>
      </c>
      <c r="J9" s="14">
        <v>0</v>
      </c>
      <c r="K9" s="14">
        <v>1.0638705931031591</v>
      </c>
      <c r="L9" s="14">
        <v>0.93996394531701666</v>
      </c>
      <c r="M9" s="14">
        <v>0.77124041713261227</v>
      </c>
      <c r="N9" s="14">
        <v>1.3121434789343953</v>
      </c>
      <c r="O9" s="14">
        <v>404.57319885984208</v>
      </c>
      <c r="P9" s="8">
        <v>1.3121434789343953</v>
      </c>
      <c r="Q9" s="54">
        <v>8.8032849471724383E-4</v>
      </c>
    </row>
    <row r="10" spans="1:20">
      <c r="A10" s="2" t="s">
        <v>367</v>
      </c>
      <c r="B10" s="16" t="s">
        <v>368</v>
      </c>
      <c r="D10" s="14">
        <v>1</v>
      </c>
      <c r="E10" s="14">
        <v>0.46653341245920321</v>
      </c>
      <c r="F10" s="14">
        <v>4.9384784000645734E-2</v>
      </c>
      <c r="G10" s="14">
        <v>7.6732906057533613E-7</v>
      </c>
      <c r="H10" s="14">
        <v>1009.3764283876038</v>
      </c>
      <c r="I10" s="14">
        <v>1632.3388962857314</v>
      </c>
      <c r="J10" s="14">
        <v>0</v>
      </c>
      <c r="K10" s="14">
        <v>20.249152046244127</v>
      </c>
      <c r="L10" s="14">
        <v>4.9384784000645741E-2</v>
      </c>
      <c r="M10" s="14">
        <v>4.052021527252983E-2</v>
      </c>
      <c r="N10" s="14">
        <v>30.835595818694248</v>
      </c>
      <c r="O10" s="14">
        <v>8582.779740175356</v>
      </c>
      <c r="P10" s="8">
        <v>30.835595818694248</v>
      </c>
      <c r="Q10" s="54">
        <v>0.35433196229206931</v>
      </c>
    </row>
    <row r="11" spans="1:20">
      <c r="A11" s="2" t="s">
        <v>369</v>
      </c>
      <c r="B11" s="16" t="s">
        <v>370</v>
      </c>
      <c r="D11" s="14">
        <v>1</v>
      </c>
      <c r="E11" s="14">
        <v>0.767431959948213</v>
      </c>
      <c r="F11" s="14">
        <v>4.8484216677341973E-3</v>
      </c>
      <c r="G11" s="14">
        <v>5.2239197362015832E-13</v>
      </c>
      <c r="H11" s="14">
        <v>1252.3922845071461</v>
      </c>
      <c r="I11" s="14">
        <v>8472.2033423207231</v>
      </c>
      <c r="J11" s="14">
        <v>0</v>
      </c>
      <c r="K11" s="14">
        <v>206.25268768492401</v>
      </c>
      <c r="L11" s="14">
        <v>4.8484216677341981E-3</v>
      </c>
      <c r="M11" s="14">
        <v>3.9781299783759093E-3</v>
      </c>
      <c r="N11" s="14">
        <v>337.38871470184364</v>
      </c>
      <c r="O11" s="14">
        <v>137283.46801218018</v>
      </c>
      <c r="P11" s="8">
        <v>337.38871470184364</v>
      </c>
      <c r="Q11" s="54">
        <v>9.4492289266145418E-2</v>
      </c>
    </row>
    <row r="12" spans="1:20">
      <c r="A12" s="2" t="s">
        <v>371</v>
      </c>
      <c r="B12" s="16" t="s">
        <v>372</v>
      </c>
      <c r="D12" s="14">
        <v>1</v>
      </c>
      <c r="E12" s="14">
        <v>0.92087927628898558</v>
      </c>
      <c r="F12" s="14">
        <v>0.92123455240140972</v>
      </c>
      <c r="G12" s="14">
        <v>8.3001515298393338E-4</v>
      </c>
      <c r="H12" s="14">
        <v>7.3312648160457532E-3</v>
      </c>
      <c r="I12" s="14">
        <v>3.3645612399893346E-2</v>
      </c>
      <c r="J12" s="14">
        <v>0</v>
      </c>
      <c r="K12" s="14">
        <v>1.0854998842512691</v>
      </c>
      <c r="L12" s="14">
        <v>0.92123455240140972</v>
      </c>
      <c r="M12" s="14">
        <v>0.75587295024535672</v>
      </c>
      <c r="N12" s="14">
        <v>0.86358827074027456</v>
      </c>
      <c r="O12" s="14">
        <v>121.0664396750791</v>
      </c>
      <c r="P12" s="8">
        <v>0.86358827074027467</v>
      </c>
      <c r="Q12" s="54">
        <v>2.8231141416542259E-3</v>
      </c>
    </row>
    <row r="13" spans="1:20">
      <c r="A13" s="2" t="s">
        <v>293</v>
      </c>
      <c r="B13" s="16" t="s">
        <v>294</v>
      </c>
      <c r="D13" s="14">
        <v>1</v>
      </c>
      <c r="E13" s="14">
        <v>0.64549264320008459</v>
      </c>
      <c r="F13" s="14">
        <v>0.62478075632304353</v>
      </c>
      <c r="G13" s="14">
        <v>2.3100220860761525E-10</v>
      </c>
      <c r="H13" s="14">
        <v>47.401015345576219</v>
      </c>
      <c r="I13" s="14">
        <v>112.57574126048701</v>
      </c>
      <c r="J13" s="14">
        <v>0</v>
      </c>
      <c r="K13" s="14">
        <v>1.6005614607677656</v>
      </c>
      <c r="L13" s="14">
        <v>0.62478075632304353</v>
      </c>
      <c r="M13" s="14">
        <v>0.51263261056305731</v>
      </c>
      <c r="N13" s="14">
        <v>2.6275898001054019</v>
      </c>
      <c r="O13" s="14">
        <v>868.05056636282052</v>
      </c>
      <c r="P13" s="8">
        <v>2.6275898001054019</v>
      </c>
      <c r="Q13" s="54">
        <v>0.23880576962378325</v>
      </c>
    </row>
    <row r="14" spans="1:20">
      <c r="A14" s="2" t="s">
        <v>373</v>
      </c>
      <c r="B14" s="16" t="s">
        <v>374</v>
      </c>
      <c r="D14" s="14">
        <v>1</v>
      </c>
      <c r="E14" s="14">
        <v>0.98974855512708204</v>
      </c>
      <c r="F14" s="14">
        <v>8.112488684848046E-2</v>
      </c>
      <c r="G14" s="14">
        <v>8.7473613357635921E-9</v>
      </c>
      <c r="H14" s="14">
        <v>2578.5413727508821</v>
      </c>
      <c r="I14" s="14">
        <v>37.402563574218675</v>
      </c>
      <c r="J14" s="14">
        <v>0</v>
      </c>
      <c r="K14" s="14">
        <v>12.32667358744958</v>
      </c>
      <c r="L14" s="14">
        <v>8.1124886848480474E-2</v>
      </c>
      <c r="M14" s="14">
        <v>6.6562969659178226E-2</v>
      </c>
      <c r="N14" s="14">
        <v>11.210128280325506</v>
      </c>
      <c r="O14" s="14">
        <v>2985.7055661818949</v>
      </c>
      <c r="P14" s="8">
        <v>11.210128280325506</v>
      </c>
      <c r="Q14" s="54">
        <v>4.8428539269366657E-3</v>
      </c>
    </row>
    <row r="15" spans="1:20">
      <c r="A15" s="2" t="s">
        <v>375</v>
      </c>
      <c r="B15" s="16" t="s">
        <v>376</v>
      </c>
      <c r="D15" s="14">
        <v>1</v>
      </c>
      <c r="E15" s="14">
        <v>0.78297817739027886</v>
      </c>
      <c r="F15" s="14">
        <v>0.78069041090463354</v>
      </c>
      <c r="G15" s="14">
        <v>9.6544454432644197E-4</v>
      </c>
      <c r="H15" s="14">
        <v>5.6454536356381038</v>
      </c>
      <c r="I15" s="14">
        <v>15.942484954460511</v>
      </c>
      <c r="J15" s="14">
        <v>0</v>
      </c>
      <c r="K15" s="14">
        <v>1.2809174879466483</v>
      </c>
      <c r="L15" s="14">
        <v>0.78069041090463365</v>
      </c>
      <c r="M15" s="14">
        <v>0.64055648214725192</v>
      </c>
      <c r="N15" s="14">
        <v>1.015806370485034</v>
      </c>
      <c r="O15" s="14">
        <v>151.7614717504641</v>
      </c>
      <c r="P15" s="8">
        <v>1.0158063704850342</v>
      </c>
      <c r="Q15" s="54">
        <v>8.7650826537789106E-2</v>
      </c>
    </row>
    <row r="16" spans="1:20">
      <c r="A16" s="2" t="s">
        <v>377</v>
      </c>
      <c r="B16" s="16" t="s">
        <v>378</v>
      </c>
      <c r="D16" s="14">
        <v>1</v>
      </c>
      <c r="E16" s="14">
        <v>0.62241858806413575</v>
      </c>
      <c r="F16" s="14">
        <v>0.5982169716128769</v>
      </c>
      <c r="G16" s="14">
        <v>9.0204295216327081E-6</v>
      </c>
      <c r="H16" s="14">
        <v>55.43687359804273</v>
      </c>
      <c r="I16" s="14">
        <v>129.73462496676396</v>
      </c>
      <c r="J16" s="14">
        <v>0</v>
      </c>
      <c r="K16" s="14">
        <v>1.6716342856403081</v>
      </c>
      <c r="L16" s="14">
        <v>0.5982169716128769</v>
      </c>
      <c r="M16" s="14">
        <v>0.49083702520836553</v>
      </c>
      <c r="N16" s="14">
        <v>2.9172551752741764</v>
      </c>
      <c r="O16" s="14">
        <v>648.33079015293299</v>
      </c>
      <c r="P16" s="8">
        <v>2.9172551752741769</v>
      </c>
      <c r="Q16" s="54">
        <v>0.25377912795970492</v>
      </c>
    </row>
    <row r="17" spans="1:21">
      <c r="A17" s="2" t="s">
        <v>379</v>
      </c>
      <c r="B17" s="16" t="s">
        <v>380</v>
      </c>
      <c r="D17" s="14">
        <v>1</v>
      </c>
      <c r="E17" s="14">
        <v>0.6355345173936221</v>
      </c>
      <c r="F17" s="14">
        <v>0.61361442693742974</v>
      </c>
      <c r="G17" s="14">
        <v>2.6666379142804902E-5</v>
      </c>
      <c r="H17" s="14">
        <v>50.180566740052775</v>
      </c>
      <c r="I17" s="14">
        <v>118.52029743604021</v>
      </c>
      <c r="J17" s="14">
        <v>0</v>
      </c>
      <c r="K17" s="14">
        <v>1.6296878888441944</v>
      </c>
      <c r="L17" s="14">
        <v>0.61361442693742974</v>
      </c>
      <c r="M17" s="14">
        <v>0.50347063730216113</v>
      </c>
      <c r="N17" s="14">
        <v>2.7260898910230691</v>
      </c>
      <c r="O17" s="14">
        <v>350.46611638992579</v>
      </c>
      <c r="P17" s="8">
        <v>2.7260898910230695</v>
      </c>
      <c r="Q17" s="54">
        <v>0.24388929185676436</v>
      </c>
    </row>
    <row r="18" spans="1:21">
      <c r="A18" s="2" t="s">
        <v>381</v>
      </c>
      <c r="B18" s="16" t="s">
        <v>382</v>
      </c>
      <c r="D18" s="14">
        <v>1</v>
      </c>
      <c r="E18" s="14">
        <v>0.49839861583666539</v>
      </c>
      <c r="F18" s="14">
        <v>3.6112254024533641E-3</v>
      </c>
      <c r="G18" s="14">
        <v>2.5726640890766873E-9</v>
      </c>
      <c r="H18" s="14">
        <v>379.10070904533001</v>
      </c>
      <c r="I18" s="14">
        <v>9510.6843358898441</v>
      </c>
      <c r="J18" s="14">
        <v>0</v>
      </c>
      <c r="K18" s="14">
        <v>276.91431260996012</v>
      </c>
      <c r="L18" s="14">
        <v>3.6112254024533645E-3</v>
      </c>
      <c r="M18" s="14">
        <v>2.9630104427129855E-3</v>
      </c>
      <c r="N18" s="14">
        <v>185.42253483393199</v>
      </c>
      <c r="O18" s="14">
        <v>72553.983655169257</v>
      </c>
      <c r="P18" s="8">
        <v>185.42253483393202</v>
      </c>
      <c r="Q18" s="54">
        <v>0.30423681611896647</v>
      </c>
    </row>
    <row r="19" spans="1:21">
      <c r="A19" s="2" t="s">
        <v>383</v>
      </c>
      <c r="B19" s="16" t="s">
        <v>384</v>
      </c>
      <c r="D19" s="14">
        <v>1</v>
      </c>
      <c r="E19" s="14">
        <v>0.91101422242184171</v>
      </c>
      <c r="F19" s="14">
        <v>0.91052617228371946</v>
      </c>
      <c r="G19" s="14">
        <v>1.313472309352908E-4</v>
      </c>
      <c r="H19" s="14">
        <v>1.7938760585795699</v>
      </c>
      <c r="I19" s="14">
        <v>5.5750607545962829</v>
      </c>
      <c r="J19" s="14">
        <v>0</v>
      </c>
      <c r="K19" s="14">
        <v>1.0982660690486998</v>
      </c>
      <c r="L19" s="14">
        <v>0.91052617228371957</v>
      </c>
      <c r="M19" s="14">
        <v>0.74708672435879186</v>
      </c>
      <c r="N19" s="14">
        <v>0.95144065314559911</v>
      </c>
      <c r="O19" s="14">
        <v>88.607668027449648</v>
      </c>
      <c r="P19" s="8">
        <v>0.95144065314559922</v>
      </c>
      <c r="Q19" s="54">
        <v>5.1909829748162273E-2</v>
      </c>
    </row>
    <row r="20" spans="1:21">
      <c r="A20" s="2" t="s">
        <v>385</v>
      </c>
      <c r="B20" s="16" t="s">
        <v>386</v>
      </c>
      <c r="D20" s="14">
        <v>1</v>
      </c>
      <c r="E20" s="14">
        <v>0.87526163968982329</v>
      </c>
      <c r="F20" s="14">
        <v>0.87410732054376028</v>
      </c>
      <c r="G20" s="14">
        <v>2.4671368783782188E-4</v>
      </c>
      <c r="H20" s="14">
        <v>3.2178423076519773</v>
      </c>
      <c r="I20" s="14">
        <v>9.5504080626170715</v>
      </c>
      <c r="J20" s="14">
        <v>0</v>
      </c>
      <c r="K20" s="14">
        <v>1.1440242822562394</v>
      </c>
      <c r="L20" s="14">
        <v>0.87410732054376039</v>
      </c>
      <c r="M20" s="14">
        <v>0.7172050565061554</v>
      </c>
      <c r="N20" s="14">
        <v>0.98839799070453283</v>
      </c>
      <c r="O20" s="14">
        <v>109.83078472708769</v>
      </c>
      <c r="P20" s="8">
        <v>0.98839799070453283</v>
      </c>
      <c r="Q20" s="54">
        <v>6.9027465597383236E-2</v>
      </c>
    </row>
    <row r="21" spans="1:21">
      <c r="A21" s="2" t="s">
        <v>387</v>
      </c>
      <c r="B21" s="16" t="s">
        <v>388</v>
      </c>
      <c r="D21" s="14">
        <v>1</v>
      </c>
      <c r="E21" s="14">
        <v>0.72656649523485262</v>
      </c>
      <c r="F21" s="14">
        <v>0.40997230104769616</v>
      </c>
      <c r="G21" s="14">
        <v>7.967098920563986E-5</v>
      </c>
      <c r="H21" s="14">
        <v>865.35541468141912</v>
      </c>
      <c r="I21" s="14">
        <v>323.35180756543264</v>
      </c>
      <c r="J21" s="14">
        <v>0</v>
      </c>
      <c r="K21" s="14">
        <v>2.4391891780114676</v>
      </c>
      <c r="L21" s="14">
        <v>0.40997230104769616</v>
      </c>
      <c r="M21" s="14">
        <v>0.33638227300963469</v>
      </c>
      <c r="N21" s="14">
        <v>7.8761626390794355</v>
      </c>
      <c r="O21" s="14">
        <v>1555.1483130862343</v>
      </c>
      <c r="P21" s="8">
        <v>7.8761626390794355</v>
      </c>
      <c r="Q21" s="54">
        <v>0.17826878027822141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0.90482847166465963</v>
      </c>
      <c r="F22" s="14">
        <v>0.90504137942479068</v>
      </c>
      <c r="G22" s="14">
        <v>7.2680335558217497E-4</v>
      </c>
      <c r="H22" s="14">
        <v>0.2873349377046584</v>
      </c>
      <c r="I22" s="14">
        <v>1.0215170195246472</v>
      </c>
      <c r="J22" s="14">
        <v>0</v>
      </c>
      <c r="K22" s="14">
        <v>1.1049218552145772</v>
      </c>
      <c r="L22" s="14">
        <v>0.90504137942479079</v>
      </c>
      <c r="M22" s="14">
        <v>0.74258645181804084</v>
      </c>
      <c r="N22" s="14">
        <v>0.86550397431612991</v>
      </c>
      <c r="O22" s="14">
        <v>50.268470828280819</v>
      </c>
      <c r="P22" s="8">
        <v>0.86550397431612991</v>
      </c>
      <c r="Q22" s="54">
        <v>1.9927169128614815E-2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0.75694985563803285</v>
      </c>
      <c r="F23" s="14">
        <v>0.7527346703217197</v>
      </c>
      <c r="G23" s="14">
        <v>7.949327825890626E-4</v>
      </c>
      <c r="H23" s="14">
        <v>9.9197772411251108</v>
      </c>
      <c r="I23" s="14">
        <v>26.801499359839763</v>
      </c>
      <c r="J23" s="14">
        <v>0</v>
      </c>
      <c r="K23" s="14">
        <v>1.3284893594347111</v>
      </c>
      <c r="L23" s="14">
        <v>0.75273467032171981</v>
      </c>
      <c r="M23" s="14">
        <v>0.61761879699897104</v>
      </c>
      <c r="N23" s="14">
        <v>1.185455863022822</v>
      </c>
      <c r="O23" s="14">
        <v>127.02159572289538</v>
      </c>
      <c r="P23" s="8">
        <v>1.185455863022822</v>
      </c>
      <c r="Q23" s="54">
        <v>0.1155471107670932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0.55051248385426033</v>
      </c>
      <c r="F24" s="14">
        <v>0.51199069113116813</v>
      </c>
      <c r="G24" s="14">
        <v>2.9453068843612218E-5</v>
      </c>
      <c r="H24" s="14">
        <v>88.654761302078839</v>
      </c>
      <c r="I24" s="14">
        <v>198.13410414735134</v>
      </c>
      <c r="J24" s="14">
        <v>0</v>
      </c>
      <c r="K24" s="14">
        <v>1.9531605111621206</v>
      </c>
      <c r="L24" s="14">
        <v>0.51199069113116824</v>
      </c>
      <c r="M24" s="14">
        <v>0.4200883620731235</v>
      </c>
      <c r="N24" s="14">
        <v>4.0946580290158785</v>
      </c>
      <c r="O24" s="14">
        <v>663.41649386115273</v>
      </c>
      <c r="P24" s="8">
        <v>4.0946580290158785</v>
      </c>
      <c r="Q24" s="54">
        <v>0.30085638690599042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0.47673756233215431</v>
      </c>
      <c r="F25" s="14">
        <v>4.8369171279091586E-3</v>
      </c>
      <c r="G25" s="14">
        <v>1.1381962076850024E-5</v>
      </c>
      <c r="H25" s="14">
        <v>434.49886525808455</v>
      </c>
      <c r="I25" s="14">
        <v>8395.4855283056277</v>
      </c>
      <c r="J25" s="14">
        <v>0</v>
      </c>
      <c r="K25" s="14">
        <v>206.74325682157536</v>
      </c>
      <c r="L25" s="14">
        <v>4.8369171279091594E-3</v>
      </c>
      <c r="M25" s="14">
        <v>3.9686905034494648E-3</v>
      </c>
      <c r="N25" s="14">
        <v>163.16511743836921</v>
      </c>
      <c r="O25" s="14">
        <v>38081.106758940987</v>
      </c>
      <c r="P25" s="8">
        <v>163.16511743836921</v>
      </c>
      <c r="Q25" s="54">
        <v>0.32228924817769244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0.31543350457386254</v>
      </c>
      <c r="F26" s="14">
        <v>0.23538394181866398</v>
      </c>
      <c r="G26" s="14">
        <v>2.5427596964195196E-3</v>
      </c>
      <c r="H26" s="14">
        <v>187.35998002011476</v>
      </c>
      <c r="I26" s="14">
        <v>374.22603844210465</v>
      </c>
      <c r="J26" s="14">
        <v>0</v>
      </c>
      <c r="K26" s="14">
        <v>4.2483781700383965</v>
      </c>
      <c r="L26" s="14">
        <v>0.23538394181866398</v>
      </c>
      <c r="M26" s="14">
        <v>0.19313252426221381</v>
      </c>
      <c r="N26" s="14">
        <v>7.1207082772800758</v>
      </c>
      <c r="O26" s="14">
        <v>912.66117989898714</v>
      </c>
      <c r="P26" s="8">
        <v>7.1207082772800758</v>
      </c>
      <c r="Q26" s="54">
        <v>0.30629083526803913</v>
      </c>
    </row>
    <row r="27" spans="1:21">
      <c r="A27" s="2" t="s">
        <v>397</v>
      </c>
      <c r="B27" s="16" t="s">
        <v>398</v>
      </c>
      <c r="D27" s="14">
        <v>1</v>
      </c>
      <c r="E27" s="14">
        <v>6.3843310917800211E-2</v>
      </c>
      <c r="F27" s="14">
        <v>2.2238688351251663E-2</v>
      </c>
      <c r="G27" s="14">
        <v>9.2209922381273728E-3</v>
      </c>
      <c r="H27" s="14">
        <v>99.391482563944223</v>
      </c>
      <c r="I27" s="14">
        <v>174.82612819782292</v>
      </c>
      <c r="J27" s="14">
        <v>0</v>
      </c>
      <c r="K27" s="14">
        <v>44.96668077745317</v>
      </c>
      <c r="L27" s="14">
        <v>2.2238688351251666E-2</v>
      </c>
      <c r="M27" s="14">
        <v>1.824684379220199E-2</v>
      </c>
      <c r="N27" s="14">
        <v>3.2831071715102884</v>
      </c>
      <c r="O27" s="14">
        <v>595.71979627054179</v>
      </c>
      <c r="P27" s="8">
        <v>3.2831071715102884</v>
      </c>
      <c r="Q27" s="54">
        <v>7.1122389553939874E-2</v>
      </c>
    </row>
    <row r="28" spans="1:21">
      <c r="A28" s="2" t="s">
        <v>399</v>
      </c>
      <c r="B28" s="16" t="s">
        <v>400</v>
      </c>
      <c r="D28" s="14">
        <v>1</v>
      </c>
      <c r="E28" s="14">
        <v>4.8997671945291719E-2</v>
      </c>
      <c r="F28" s="14">
        <v>3.335692638130322E-2</v>
      </c>
      <c r="G28" s="14">
        <v>9.7161567840479707E-3</v>
      </c>
      <c r="H28" s="14">
        <v>36.75073476652959</v>
      </c>
      <c r="I28" s="14">
        <v>71.667655471400522</v>
      </c>
      <c r="J28" s="14">
        <v>0</v>
      </c>
      <c r="K28" s="14">
        <v>29.978781275258822</v>
      </c>
      <c r="L28" s="14">
        <v>3.335692638130322E-2</v>
      </c>
      <c r="M28" s="14">
        <v>2.7369358095859293E-2</v>
      </c>
      <c r="N28" s="14">
        <v>1.3556721424682219</v>
      </c>
      <c r="O28" s="14">
        <v>199.28380494282862</v>
      </c>
      <c r="P28" s="8">
        <v>1.3556721424682221</v>
      </c>
      <c r="Q28" s="54">
        <v>5.1418949211785955E-2</v>
      </c>
    </row>
    <row r="29" spans="1:21">
      <c r="A29" s="2" t="s">
        <v>297</v>
      </c>
      <c r="B29" s="16" t="s">
        <v>298</v>
      </c>
      <c r="D29" s="14">
        <v>1</v>
      </c>
      <c r="E29" s="14">
        <v>5.9560177835257869E-2</v>
      </c>
      <c r="F29" s="14">
        <v>5.9453353754776048E-2</v>
      </c>
      <c r="G29" s="14">
        <v>1.0361075677713411E-2</v>
      </c>
      <c r="H29" s="14">
        <v>0.28104532023711393</v>
      </c>
      <c r="I29" s="14">
        <v>0.81890501150933881</v>
      </c>
      <c r="J29" s="14">
        <v>0</v>
      </c>
      <c r="K29" s="14">
        <v>16.819909001679608</v>
      </c>
      <c r="L29" s="14">
        <v>5.9453353754776055E-2</v>
      </c>
      <c r="M29" s="14">
        <v>4.8781476755793751E-2</v>
      </c>
      <c r="N29" s="14">
        <v>7.026083998806211E-2</v>
      </c>
      <c r="O29" s="14">
        <v>5.9672531401861155</v>
      </c>
      <c r="P29" s="8">
        <v>7.0260839988062124E-2</v>
      </c>
      <c r="Q29" s="54">
        <v>5.3485188273287906E-3</v>
      </c>
    </row>
    <row r="30" spans="1:21">
      <c r="A30" s="2" t="s">
        <v>401</v>
      </c>
      <c r="B30" s="16" t="s">
        <v>402</v>
      </c>
      <c r="D30" s="14">
        <v>1</v>
      </c>
      <c r="E30" s="14">
        <v>1.8120073059208534E-2</v>
      </c>
      <c r="F30" s="14">
        <v>1.2623764998799653E-2</v>
      </c>
      <c r="G30" s="14">
        <v>1.0600281265672567E-2</v>
      </c>
      <c r="H30" s="14">
        <v>12.902946638631676</v>
      </c>
      <c r="I30" s="14">
        <v>25.301488516311785</v>
      </c>
      <c r="J30" s="14">
        <v>0</v>
      </c>
      <c r="K30" s="14">
        <v>79.215669817608799</v>
      </c>
      <c r="L30" s="14">
        <v>1.2623764998799653E-2</v>
      </c>
      <c r="M30" s="14">
        <v>1.0357799181515115E-2</v>
      </c>
      <c r="N30" s="14">
        <v>0.4791567969782668</v>
      </c>
      <c r="O30" s="14">
        <v>79.458571642905994</v>
      </c>
      <c r="P30" s="8">
        <v>0.47915679697826685</v>
      </c>
      <c r="Q30" s="54">
        <v>1.8713114373489631E-2</v>
      </c>
    </row>
    <row r="31" spans="1:21">
      <c r="A31" s="2" t="s">
        <v>299</v>
      </c>
      <c r="B31" s="16" t="s">
        <v>300</v>
      </c>
      <c r="D31" s="14">
        <v>1</v>
      </c>
      <c r="E31" s="14">
        <v>5.3654308483243752E-4</v>
      </c>
      <c r="F31" s="14">
        <v>4.4987889211566256E-4</v>
      </c>
      <c r="G31" s="14">
        <v>1.1097984263116756E-2</v>
      </c>
      <c r="H31" s="14">
        <v>0.2014724264667716</v>
      </c>
      <c r="I31" s="14">
        <v>0.4198293414739066</v>
      </c>
      <c r="J31" s="14">
        <v>0</v>
      </c>
      <c r="K31" s="14">
        <v>2222.8204468479548</v>
      </c>
      <c r="L31" s="14">
        <v>4.4987889211566256E-4</v>
      </c>
      <c r="M31" s="14">
        <v>3.6912563098090114E-4</v>
      </c>
      <c r="N31" s="14">
        <v>8.1318104511909368E-3</v>
      </c>
      <c r="O31" s="14">
        <v>0.66794691046082355</v>
      </c>
      <c r="P31" s="8">
        <v>8.1318104511909368E-3</v>
      </c>
      <c r="Q31" s="54">
        <v>4.337832594634075E-4</v>
      </c>
    </row>
    <row r="32" spans="1:21">
      <c r="A32" s="2" t="s">
        <v>343</v>
      </c>
      <c r="B32" s="16" t="s">
        <v>344</v>
      </c>
      <c r="D32" s="14">
        <v>1</v>
      </c>
      <c r="E32" s="14">
        <v>0.66892205726563247</v>
      </c>
      <c r="F32" s="14">
        <v>0.65166422092033272</v>
      </c>
      <c r="G32" s="14">
        <v>2.5198365135372497E-5</v>
      </c>
      <c r="H32" s="14">
        <v>39.476975950926196</v>
      </c>
      <c r="I32" s="14">
        <v>95.32373438445903</v>
      </c>
      <c r="J32" s="14">
        <v>0</v>
      </c>
      <c r="K32" s="14">
        <v>1.5345326134181794</v>
      </c>
      <c r="L32" s="14">
        <v>0.65166422092033272</v>
      </c>
      <c r="M32" s="14">
        <v>0.53469049326513296</v>
      </c>
      <c r="N32" s="14">
        <v>2.3371007024427728</v>
      </c>
      <c r="O32" s="14">
        <v>383.75193534110326</v>
      </c>
      <c r="P32" s="8">
        <v>2.3371007024427728</v>
      </c>
      <c r="Q32" s="54">
        <v>0.22151393287161775</v>
      </c>
    </row>
    <row r="33" spans="1:17">
      <c r="A33" s="2" t="s">
        <v>345</v>
      </c>
      <c r="B33" s="16" t="s">
        <v>346</v>
      </c>
      <c r="D33" s="14">
        <v>1</v>
      </c>
      <c r="E33" s="14">
        <v>0.76886724266510531</v>
      </c>
      <c r="F33" s="14">
        <v>0.76133006749952847</v>
      </c>
      <c r="G33" s="14">
        <v>9.9215944160034767E-7</v>
      </c>
      <c r="H33" s="14">
        <v>17.392138367336383</v>
      </c>
      <c r="I33" s="14">
        <v>45.124266208609086</v>
      </c>
      <c r="J33" s="14">
        <v>0</v>
      </c>
      <c r="K33" s="14">
        <v>1.3134907482169278</v>
      </c>
      <c r="L33" s="14">
        <v>0.76133006749952858</v>
      </c>
      <c r="M33" s="14">
        <v>0.62467132038336315</v>
      </c>
      <c r="N33" s="14">
        <v>1.5250179868688296</v>
      </c>
      <c r="O33" s="14">
        <v>230.52171889509228</v>
      </c>
      <c r="P33" s="8">
        <v>1.5250179868688298</v>
      </c>
      <c r="Q33" s="54">
        <v>0.15567187368344884</v>
      </c>
    </row>
    <row r="34" spans="1:17">
      <c r="A34" s="2" t="s">
        <v>347</v>
      </c>
      <c r="B34" s="16" t="s">
        <v>348</v>
      </c>
      <c r="D34" s="14">
        <v>1</v>
      </c>
      <c r="E34" s="14">
        <v>0.41938070538765759</v>
      </c>
      <c r="F34" s="14">
        <v>0.32429105399508329</v>
      </c>
      <c r="G34" s="14">
        <v>1.4931500595646501E-6</v>
      </c>
      <c r="H34" s="14">
        <v>222.16465585034302</v>
      </c>
      <c r="I34" s="14">
        <v>448.67527638629082</v>
      </c>
      <c r="J34" s="14">
        <v>0</v>
      </c>
      <c r="K34" s="14">
        <v>3.0836496649554856</v>
      </c>
      <c r="L34" s="14">
        <v>0.32429105399508334</v>
      </c>
      <c r="M34" s="14">
        <v>0.26608080980296589</v>
      </c>
      <c r="N34" s="14">
        <v>8.568162571214641</v>
      </c>
      <c r="O34" s="14">
        <v>1510.1386531765806</v>
      </c>
      <c r="P34" s="8">
        <v>8.5681625712146428</v>
      </c>
      <c r="Q34" s="54">
        <v>0.39024031992577224</v>
      </c>
    </row>
    <row r="35" spans="1:17">
      <c r="A35" s="2" t="s">
        <v>349</v>
      </c>
      <c r="B35" s="16" t="s">
        <v>350</v>
      </c>
      <c r="D35" s="14">
        <v>1</v>
      </c>
      <c r="E35" s="14">
        <v>0.38953562343410908</v>
      </c>
      <c r="F35" s="14">
        <v>7.905050275784363E-2</v>
      </c>
      <c r="G35" s="14">
        <v>5.589502105185838E-4</v>
      </c>
      <c r="H35" s="14">
        <v>748.0741303419743</v>
      </c>
      <c r="I35" s="14">
        <v>1245.0930448615879</v>
      </c>
      <c r="J35" s="14">
        <v>0</v>
      </c>
      <c r="K35" s="14">
        <v>12.650140924002876</v>
      </c>
      <c r="L35" s="14">
        <v>7.905050275784363E-2</v>
      </c>
      <c r="M35" s="14">
        <v>6.4860937512810704E-2</v>
      </c>
      <c r="N35" s="14">
        <v>23.428869959113719</v>
      </c>
      <c r="O35" s="14">
        <v>4505.3716931375684</v>
      </c>
      <c r="P35" s="8">
        <v>23.428869959113719</v>
      </c>
      <c r="Q35" s="54">
        <v>0.37376773359914539</v>
      </c>
    </row>
    <row r="36" spans="1:17">
      <c r="A36" s="2" t="s">
        <v>351</v>
      </c>
      <c r="B36" s="16" t="s">
        <v>352</v>
      </c>
      <c r="D36" s="14">
        <v>1</v>
      </c>
      <c r="E36" s="14">
        <v>0.42873472080155256</v>
      </c>
      <c r="F36" s="14">
        <v>2.1681867096218707E-2</v>
      </c>
      <c r="G36" s="14">
        <v>1.8685519024437081E-5</v>
      </c>
      <c r="H36" s="14">
        <v>791.54694668869104</v>
      </c>
      <c r="I36" s="14">
        <v>3383.2481168803574</v>
      </c>
      <c r="J36" s="14">
        <v>0</v>
      </c>
      <c r="K36" s="14">
        <v>46.121489240859653</v>
      </c>
      <c r="L36" s="14">
        <v>2.1681867096218707E-2</v>
      </c>
      <c r="M36" s="14">
        <v>1.7789971952447449E-2</v>
      </c>
      <c r="N36" s="14">
        <v>64.584946532466631</v>
      </c>
      <c r="O36" s="14">
        <v>14361.754560424604</v>
      </c>
      <c r="P36" s="8">
        <v>64.584946532466631</v>
      </c>
      <c r="Q36" s="54">
        <v>0.37250649438147393</v>
      </c>
    </row>
    <row r="37" spans="1:17">
      <c r="A37" s="2" t="s">
        <v>353</v>
      </c>
      <c r="B37" s="16" t="s">
        <v>354</v>
      </c>
      <c r="D37" s="14">
        <v>1</v>
      </c>
      <c r="E37" s="14">
        <v>0.48565918681109277</v>
      </c>
      <c r="F37" s="14">
        <v>3.8696741444993882E-3</v>
      </c>
      <c r="G37" s="14">
        <v>1.4794588271809544E-4</v>
      </c>
      <c r="H37" s="14">
        <v>389.02220910781608</v>
      </c>
      <c r="I37" s="14">
        <v>9076.7749254702067</v>
      </c>
      <c r="J37" s="14">
        <v>0</v>
      </c>
      <c r="K37" s="14">
        <v>258.41969185479513</v>
      </c>
      <c r="L37" s="14">
        <v>3.8696741444993886E-3</v>
      </c>
      <c r="M37" s="14">
        <v>3.1750676355617484E-3</v>
      </c>
      <c r="N37" s="14">
        <v>176.80789884234471</v>
      </c>
      <c r="O37" s="14">
        <v>41795.619207341864</v>
      </c>
      <c r="P37" s="8">
        <v>176.80789884234471</v>
      </c>
      <c r="Q37" s="54">
        <v>0.30544397750380892</v>
      </c>
    </row>
    <row r="38" spans="1:17">
      <c r="A38" s="2" t="s">
        <v>355</v>
      </c>
      <c r="B38" s="16" t="s">
        <v>356</v>
      </c>
      <c r="D38" s="14">
        <v>1</v>
      </c>
      <c r="E38" s="14">
        <v>0.43201969127539852</v>
      </c>
      <c r="F38" s="14">
        <v>1.2285772535578851E-2</v>
      </c>
      <c r="G38" s="14">
        <v>7.1999744952794303E-6</v>
      </c>
      <c r="H38" s="14">
        <v>645.21205095271296</v>
      </c>
      <c r="I38" s="14">
        <v>5071.7710583732214</v>
      </c>
      <c r="J38" s="14">
        <v>0</v>
      </c>
      <c r="K38" s="14">
        <v>81.394962921872491</v>
      </c>
      <c r="L38" s="14">
        <v>1.2285772535578851E-2</v>
      </c>
      <c r="M38" s="14">
        <v>1.0080476365442447E-2</v>
      </c>
      <c r="N38" s="14">
        <v>97.512468831560668</v>
      </c>
      <c r="O38" s="14">
        <v>25197.221946075271</v>
      </c>
      <c r="P38" s="8">
        <v>97.512468831560668</v>
      </c>
      <c r="Q38" s="54">
        <v>0.36488805046153605</v>
      </c>
    </row>
    <row r="39" spans="1:17">
      <c r="A39" s="2" t="s">
        <v>357</v>
      </c>
      <c r="B39" s="16" t="s">
        <v>358</v>
      </c>
      <c r="D39" s="14">
        <v>1</v>
      </c>
      <c r="E39" s="14">
        <v>0.3783109799780352</v>
      </c>
      <c r="F39" s="14">
        <v>1.6391128762325447E-2</v>
      </c>
      <c r="G39" s="14">
        <v>1.2904386128118107E-3</v>
      </c>
      <c r="H39" s="14">
        <v>663.90946768750143</v>
      </c>
      <c r="I39" s="14">
        <v>3377.2719479519992</v>
      </c>
      <c r="J39" s="14">
        <v>0</v>
      </c>
      <c r="K39" s="14">
        <v>61.008611090803711</v>
      </c>
      <c r="L39" s="14">
        <v>1.6391128762325447E-2</v>
      </c>
      <c r="M39" s="14">
        <v>1.3448921149488029E-2</v>
      </c>
      <c r="N39" s="14">
        <v>64.601163404745037</v>
      </c>
      <c r="O39" s="14">
        <v>15271.069017247681</v>
      </c>
      <c r="P39" s="8">
        <v>64.601163404745051</v>
      </c>
      <c r="Q39" s="54">
        <v>0.32928051530068192</v>
      </c>
    </row>
    <row r="40" spans="1:17">
      <c r="A40" s="2" t="s">
        <v>359</v>
      </c>
      <c r="B40" s="16" t="s">
        <v>360</v>
      </c>
      <c r="D40" s="14">
        <v>1</v>
      </c>
      <c r="E40" s="14">
        <v>0.43201969127539852</v>
      </c>
      <c r="F40" s="14">
        <v>1.2285772535578851E-2</v>
      </c>
      <c r="G40" s="14">
        <v>7.1999744952794303E-6</v>
      </c>
      <c r="H40" s="14">
        <v>645.21205095271296</v>
      </c>
      <c r="I40" s="14">
        <v>5071.7710583732214</v>
      </c>
      <c r="J40" s="14">
        <v>0</v>
      </c>
      <c r="K40" s="14">
        <v>81.394962921872491</v>
      </c>
      <c r="L40" s="14">
        <v>1.2285772535578851E-2</v>
      </c>
      <c r="M40" s="14">
        <v>1.0080476365442447E-2</v>
      </c>
      <c r="N40" s="14">
        <v>97.512468831560668</v>
      </c>
      <c r="O40" s="14">
        <v>25197.221946075271</v>
      </c>
      <c r="P40" s="8">
        <v>97.512468831560668</v>
      </c>
      <c r="Q40" s="54">
        <v>0.36488805046153605</v>
      </c>
    </row>
    <row r="41" spans="1:17">
      <c r="A41" s="2" t="s">
        <v>313</v>
      </c>
      <c r="B41" s="16" t="s">
        <v>314</v>
      </c>
      <c r="D41" s="14">
        <v>1</v>
      </c>
      <c r="E41" s="14">
        <v>0.99954569813611671</v>
      </c>
      <c r="F41" s="14">
        <v>0.99520128884607584</v>
      </c>
      <c r="G41" s="14">
        <v>6.4780129095486766E-10</v>
      </c>
      <c r="H41" s="14">
        <v>13.44717106807769</v>
      </c>
      <c r="I41" s="14">
        <v>2.9628734001975864E-2</v>
      </c>
      <c r="J41" s="14">
        <v>0</v>
      </c>
      <c r="K41" s="14">
        <v>1.0048218498184305</v>
      </c>
      <c r="L41" s="14">
        <v>0.99520128884607584</v>
      </c>
      <c r="M41" s="14">
        <v>0.81656265749820522</v>
      </c>
      <c r="N41" s="14">
        <v>0.97271393509851489</v>
      </c>
      <c r="O41" s="14">
        <v>179.08636259098759</v>
      </c>
      <c r="P41" s="8">
        <v>0.97271393509851489</v>
      </c>
      <c r="Q41" s="54">
        <v>1.2644832913390696E-4</v>
      </c>
    </row>
    <row r="42" spans="1:17">
      <c r="A42" s="2" t="s">
        <v>315</v>
      </c>
      <c r="B42" s="16" t="s">
        <v>316</v>
      </c>
      <c r="D42" s="14">
        <v>1</v>
      </c>
      <c r="E42" s="14">
        <v>0.48876649507933573</v>
      </c>
      <c r="F42" s="14">
        <v>3.5414343595950781E-3</v>
      </c>
      <c r="G42" s="14">
        <v>2.1473739693814389E-4</v>
      </c>
      <c r="H42" s="14">
        <v>371.77415617642998</v>
      </c>
      <c r="I42" s="14">
        <v>9326.8795316683245</v>
      </c>
      <c r="J42" s="14">
        <v>0</v>
      </c>
      <c r="K42" s="14">
        <v>282.37146265061324</v>
      </c>
      <c r="L42" s="14">
        <v>3.5414343595950781E-3</v>
      </c>
      <c r="M42" s="14">
        <v>2.9057468920477615E-3</v>
      </c>
      <c r="N42" s="14">
        <v>181.83903321514759</v>
      </c>
      <c r="O42" s="14">
        <v>66354.881610539509</v>
      </c>
      <c r="P42" s="8">
        <v>181.83903321514759</v>
      </c>
      <c r="Q42" s="54">
        <v>0.29835709322534648</v>
      </c>
    </row>
    <row r="43" spans="1:17">
      <c r="A43" s="2" t="s">
        <v>317</v>
      </c>
      <c r="B43" s="16" t="s">
        <v>318</v>
      </c>
      <c r="D43" s="14">
        <v>1</v>
      </c>
      <c r="E43" s="14">
        <v>0.53531360694487229</v>
      </c>
      <c r="F43" s="14">
        <v>0.49233564873586916</v>
      </c>
      <c r="G43" s="14">
        <v>6.7997002895237698E-14</v>
      </c>
      <c r="H43" s="14">
        <v>99.051551616838637</v>
      </c>
      <c r="I43" s="14">
        <v>218.93664256415343</v>
      </c>
      <c r="J43" s="14">
        <v>0</v>
      </c>
      <c r="K43" s="14">
        <v>2.0311346589823831</v>
      </c>
      <c r="L43" s="14">
        <v>0.49233564873586916</v>
      </c>
      <c r="M43" s="14">
        <v>0.40396139978778067</v>
      </c>
      <c r="N43" s="14">
        <v>4.4599365697902433</v>
      </c>
      <c r="O43" s="14">
        <v>1415.2270723258398</v>
      </c>
      <c r="P43" s="8">
        <v>4.4599365697902433</v>
      </c>
      <c r="Q43" s="54">
        <v>0.31283724585662381</v>
      </c>
    </row>
    <row r="44" spans="1:17">
      <c r="A44" s="2" t="s">
        <v>307</v>
      </c>
      <c r="B44" s="16" t="s">
        <v>308</v>
      </c>
      <c r="D44" s="14">
        <v>1</v>
      </c>
      <c r="E44" s="14">
        <v>0.44118080393853476</v>
      </c>
      <c r="F44" s="14">
        <v>3.2531383413193796E-2</v>
      </c>
      <c r="G44" s="14">
        <v>6.2487193557526794E-6</v>
      </c>
      <c r="H44" s="14">
        <v>900.24876085970311</v>
      </c>
      <c r="I44" s="14">
        <v>2418.9099615519158</v>
      </c>
      <c r="J44" s="14">
        <v>0</v>
      </c>
      <c r="K44" s="14">
        <v>30.73954732568885</v>
      </c>
      <c r="L44" s="14">
        <v>3.2531383413193796E-2</v>
      </c>
      <c r="M44" s="14">
        <v>2.6692000090525511E-2</v>
      </c>
      <c r="N44" s="14">
        <v>45.935082519701474</v>
      </c>
      <c r="O44" s="14">
        <v>16104.380580582138</v>
      </c>
      <c r="P44" s="8">
        <v>45.935082519701474</v>
      </c>
      <c r="Q44" s="54">
        <v>0.368315251656328</v>
      </c>
    </row>
    <row r="45" spans="1:17">
      <c r="A45" s="2" t="s">
        <v>319</v>
      </c>
      <c r="B45" s="16" t="s">
        <v>320</v>
      </c>
      <c r="D45" s="14">
        <v>1</v>
      </c>
      <c r="E45" s="14">
        <v>0.55576333316663329</v>
      </c>
      <c r="F45" s="14">
        <v>1.7791413670222417E-3</v>
      </c>
      <c r="G45" s="14">
        <v>7.8595728781576296E-7</v>
      </c>
      <c r="H45" s="14">
        <v>266.36089017359075</v>
      </c>
      <c r="I45" s="14">
        <v>12112.328152142247</v>
      </c>
      <c r="J45" s="14">
        <v>0</v>
      </c>
      <c r="K45" s="14">
        <v>562.06888251589874</v>
      </c>
      <c r="L45" s="14">
        <v>1.779141367022242E-3</v>
      </c>
      <c r="M45" s="14">
        <v>1.4597854916417496E-3</v>
      </c>
      <c r="N45" s="14">
        <v>237.85198527146781</v>
      </c>
      <c r="O45" s="14">
        <v>84316.150258882626</v>
      </c>
      <c r="P45" s="8">
        <v>237.85198527146784</v>
      </c>
      <c r="Q45" s="54">
        <v>0.25575705849530639</v>
      </c>
    </row>
    <row r="46" spans="1:17">
      <c r="A46" s="2" t="s">
        <v>321</v>
      </c>
      <c r="B46" s="16" t="s">
        <v>322</v>
      </c>
      <c r="D46" s="14">
        <v>1</v>
      </c>
      <c r="E46" s="14">
        <v>0.50605382506436036</v>
      </c>
      <c r="F46" s="14">
        <v>3.2668579279322399E-3</v>
      </c>
      <c r="G46" s="14">
        <v>1.0646791166071473E-6</v>
      </c>
      <c r="H46" s="14">
        <v>361.23535391528145</v>
      </c>
      <c r="I46" s="14">
        <v>9886.6103622834235</v>
      </c>
      <c r="J46" s="14">
        <v>0</v>
      </c>
      <c r="K46" s="14">
        <v>306.10452675331084</v>
      </c>
      <c r="L46" s="14">
        <v>3.2668579279322403E-3</v>
      </c>
      <c r="M46" s="14">
        <v>2.6804569298684031E-3</v>
      </c>
      <c r="N46" s="14">
        <v>192.95463863687661</v>
      </c>
      <c r="O46" s="14">
        <v>68400.489850386381</v>
      </c>
      <c r="P46" s="8">
        <v>192.95463863687661</v>
      </c>
      <c r="Q46" s="54">
        <v>0.29760993065690072</v>
      </c>
    </row>
    <row r="47" spans="1:17">
      <c r="A47" s="2" t="s">
        <v>323</v>
      </c>
      <c r="B47" s="16" t="s">
        <v>324</v>
      </c>
      <c r="D47" s="14">
        <v>1</v>
      </c>
      <c r="E47" s="14">
        <v>0.45727264051826139</v>
      </c>
      <c r="F47" s="14">
        <v>6.6193262845535344E-3</v>
      </c>
      <c r="G47" s="14">
        <v>9.1466545469400644E-6</v>
      </c>
      <c r="H47" s="14">
        <v>500.07344039606835</v>
      </c>
      <c r="I47" s="14">
        <v>7229.2119853398417</v>
      </c>
      <c r="J47" s="14">
        <v>0</v>
      </c>
      <c r="K47" s="14">
        <v>151.07277644456661</v>
      </c>
      <c r="L47" s="14">
        <v>6.6193262845535353E-3</v>
      </c>
      <c r="M47" s="14">
        <v>5.4311572164761754E-3</v>
      </c>
      <c r="N47" s="14">
        <v>140.00876905461519</v>
      </c>
      <c r="O47" s="14">
        <v>44808.406448239046</v>
      </c>
      <c r="P47" s="8">
        <v>140.00876905461519</v>
      </c>
      <c r="Q47" s="54">
        <v>0.33985288418215104</v>
      </c>
    </row>
    <row r="48" spans="1:17">
      <c r="A48" s="2" t="s">
        <v>325</v>
      </c>
      <c r="B48" s="16" t="s">
        <v>326</v>
      </c>
      <c r="D48" s="14">
        <v>1</v>
      </c>
      <c r="E48" s="14">
        <v>0.368058366553005</v>
      </c>
      <c r="F48" s="14">
        <v>0.16737245499036985</v>
      </c>
      <c r="G48" s="14">
        <v>3.1642622786533208E-6</v>
      </c>
      <c r="H48" s="14">
        <v>476.91829902640495</v>
      </c>
      <c r="I48" s="14">
        <v>867.16383450100693</v>
      </c>
      <c r="J48" s="14">
        <v>0</v>
      </c>
      <c r="K48" s="14">
        <v>5.9746987642473028</v>
      </c>
      <c r="L48" s="14">
        <v>0.16737245499036985</v>
      </c>
      <c r="M48" s="14">
        <v>0.13732909931959847</v>
      </c>
      <c r="N48" s="14">
        <v>16.287770154209671</v>
      </c>
      <c r="O48" s="14">
        <v>4957.1828464337141</v>
      </c>
      <c r="P48" s="8">
        <v>16.287770154209671</v>
      </c>
      <c r="Q48" s="54">
        <v>0.42335155285533072</v>
      </c>
    </row>
    <row r="49" spans="1:17">
      <c r="A49" s="2" t="s">
        <v>275</v>
      </c>
      <c r="B49" s="16" t="s">
        <v>276</v>
      </c>
      <c r="D49" s="14">
        <v>1</v>
      </c>
      <c r="E49" s="14">
        <v>0.43832497868005366</v>
      </c>
      <c r="F49" s="14">
        <v>3.0224833545283956E-2</v>
      </c>
      <c r="G49" s="14">
        <v>8.0207024533319769E-8</v>
      </c>
      <c r="H49" s="14">
        <v>881.01624778424423</v>
      </c>
      <c r="I49" s="14">
        <v>2582.504509565013</v>
      </c>
      <c r="J49" s="14">
        <v>0</v>
      </c>
      <c r="K49" s="14">
        <v>33.08537658286069</v>
      </c>
      <c r="L49" s="14">
        <v>3.0224833545283956E-2</v>
      </c>
      <c r="M49" s="14">
        <v>2.4799475923905488E-2</v>
      </c>
      <c r="N49" s="14">
        <v>49.088805000010673</v>
      </c>
      <c r="O49" s="14">
        <v>18186.911364453958</v>
      </c>
      <c r="P49" s="8">
        <v>49.08880500001068</v>
      </c>
      <c r="Q49" s="54">
        <v>0.37003353835212127</v>
      </c>
    </row>
    <row r="50" spans="1:17">
      <c r="A50" s="2" t="s">
        <v>327</v>
      </c>
      <c r="B50" s="16" t="s">
        <v>328</v>
      </c>
      <c r="D50" s="14">
        <v>1</v>
      </c>
      <c r="E50" s="14">
        <v>0.43385409869406183</v>
      </c>
      <c r="F50" s="14">
        <v>2.6656118458432472E-2</v>
      </c>
      <c r="G50" s="14">
        <v>4.1710500140799962E-6</v>
      </c>
      <c r="H50" s="14">
        <v>847.26040247542142</v>
      </c>
      <c r="I50" s="14">
        <v>2871.2703118393933</v>
      </c>
      <c r="J50" s="14">
        <v>0</v>
      </c>
      <c r="K50" s="14">
        <v>37.514839287625435</v>
      </c>
      <c r="L50" s="14">
        <v>2.6656118458432472E-2</v>
      </c>
      <c r="M50" s="14">
        <v>2.1871345195143842E-2</v>
      </c>
      <c r="N50" s="14">
        <v>54.666426268987863</v>
      </c>
      <c r="O50" s="14">
        <v>20822.988430120167</v>
      </c>
      <c r="P50" s="8">
        <v>54.666426268987863</v>
      </c>
      <c r="Q50" s="54">
        <v>0.3717697766196108</v>
      </c>
    </row>
    <row r="51" spans="1:17">
      <c r="A51" s="2" t="s">
        <v>329</v>
      </c>
      <c r="B51" s="16" t="s">
        <v>330</v>
      </c>
      <c r="D51" s="14">
        <v>1</v>
      </c>
      <c r="E51" s="14">
        <v>0.37748813240503237</v>
      </c>
      <c r="F51" s="14">
        <v>0.12521076475678669</v>
      </c>
      <c r="G51" s="14">
        <v>1.9297015949664722E-6</v>
      </c>
      <c r="H51" s="14">
        <v>603.20046564636289</v>
      </c>
      <c r="I51" s="14">
        <v>1055.16126262532</v>
      </c>
      <c r="J51" s="14">
        <v>0</v>
      </c>
      <c r="K51" s="14">
        <v>7.9865337612339582</v>
      </c>
      <c r="L51" s="14">
        <v>0.12521076475678669</v>
      </c>
      <c r="M51" s="14">
        <v>0.10273543248294348</v>
      </c>
      <c r="N51" s="14">
        <v>19.816961572164569</v>
      </c>
      <c r="O51" s="14">
        <v>5437.7742554019578</v>
      </c>
      <c r="P51" s="8">
        <v>19.816961572164569</v>
      </c>
      <c r="Q51" s="54">
        <v>0.41640778363231257</v>
      </c>
    </row>
    <row r="52" spans="1:17">
      <c r="A52" s="2" t="s">
        <v>277</v>
      </c>
      <c r="B52" s="16" t="s">
        <v>278</v>
      </c>
      <c r="D52" s="14">
        <v>1</v>
      </c>
      <c r="E52" s="14">
        <v>0.36823985186314895</v>
      </c>
      <c r="F52" s="14">
        <v>0.16295327103342239</v>
      </c>
      <c r="G52" s="14">
        <v>4.9977159662795566E-6</v>
      </c>
      <c r="H52" s="14">
        <v>488.13852293154059</v>
      </c>
      <c r="I52" s="14">
        <v>884.30127959665879</v>
      </c>
      <c r="J52" s="14">
        <v>0</v>
      </c>
      <c r="K52" s="14">
        <v>6.136728607275983</v>
      </c>
      <c r="L52" s="14">
        <v>0.16295327103342239</v>
      </c>
      <c r="M52" s="14">
        <v>0.13370315888292306</v>
      </c>
      <c r="N52" s="14">
        <v>16.608120517382901</v>
      </c>
      <c r="O52" s="14">
        <v>6758.3424821386243</v>
      </c>
      <c r="P52" s="8">
        <v>16.608120517382904</v>
      </c>
      <c r="Q52" s="54">
        <v>0.42305833266519327</v>
      </c>
    </row>
    <row r="53" spans="1:17">
      <c r="A53" s="2" t="s">
        <v>331</v>
      </c>
      <c r="B53" s="16" t="s">
        <v>332</v>
      </c>
      <c r="D53" s="14">
        <v>1</v>
      </c>
      <c r="E53" s="14">
        <v>0.42782941075280245</v>
      </c>
      <c r="F53" s="14">
        <v>1.7812371408450395E-2</v>
      </c>
      <c r="G53" s="14">
        <v>2.7991761541028712E-6</v>
      </c>
      <c r="H53" s="14">
        <v>740.4602376668538</v>
      </c>
      <c r="I53" s="14">
        <v>3934.2224552241078</v>
      </c>
      <c r="J53" s="14">
        <v>0</v>
      </c>
      <c r="K53" s="14">
        <v>56.140756167120365</v>
      </c>
      <c r="L53" s="14">
        <v>1.7812371408450395E-2</v>
      </c>
      <c r="M53" s="14">
        <v>1.461505074063355E-2</v>
      </c>
      <c r="N53" s="14">
        <v>75.292876124607901</v>
      </c>
      <c r="O53" s="14">
        <v>28679.809444624399</v>
      </c>
      <c r="P53" s="8">
        <v>75.292876124607915</v>
      </c>
      <c r="Q53" s="54">
        <v>0.37209935127469673</v>
      </c>
    </row>
    <row r="54" spans="1:17">
      <c r="A54" s="2" t="s">
        <v>333</v>
      </c>
      <c r="B54" s="16" t="s">
        <v>334</v>
      </c>
      <c r="D54" s="14">
        <v>1</v>
      </c>
      <c r="E54" s="14">
        <v>0.43603616191892047</v>
      </c>
      <c r="F54" s="14">
        <v>2.8397860517419299E-2</v>
      </c>
      <c r="G54" s="14">
        <v>4.5439559167211327E-9</v>
      </c>
      <c r="H54" s="14">
        <v>864.3818153349888</v>
      </c>
      <c r="I54" s="14">
        <v>2724.3493188416537</v>
      </c>
      <c r="J54" s="14">
        <v>0</v>
      </c>
      <c r="K54" s="14">
        <v>35.213920407370061</v>
      </c>
      <c r="L54" s="14">
        <v>2.8397860517419302E-2</v>
      </c>
      <c r="M54" s="14">
        <v>2.3300444554542537E-2</v>
      </c>
      <c r="N54" s="14">
        <v>51.826897126421478</v>
      </c>
      <c r="O54" s="14">
        <v>19926.40540716653</v>
      </c>
      <c r="P54" s="8">
        <v>51.826897126421478</v>
      </c>
      <c r="Q54" s="54">
        <v>0.37107593677365097</v>
      </c>
    </row>
    <row r="55" spans="1:17">
      <c r="A55" s="2" t="s">
        <v>335</v>
      </c>
      <c r="B55" s="16" t="s">
        <v>336</v>
      </c>
      <c r="D55" s="14">
        <v>1</v>
      </c>
      <c r="E55" s="14">
        <v>0.45497308359381189</v>
      </c>
      <c r="F55" s="14">
        <v>6.8164496842628691E-3</v>
      </c>
      <c r="G55" s="14">
        <v>2.3653026643562338E-5</v>
      </c>
      <c r="H55" s="14">
        <v>506.12551688863664</v>
      </c>
      <c r="I55" s="14">
        <v>7107.4760361104227</v>
      </c>
      <c r="J55" s="14">
        <v>0</v>
      </c>
      <c r="K55" s="14">
        <v>146.70393626005912</v>
      </c>
      <c r="L55" s="14">
        <v>6.8164496842628691E-3</v>
      </c>
      <c r="M55" s="14">
        <v>5.592896965937684E-3</v>
      </c>
      <c r="N55" s="14">
        <v>137.60311097609346</v>
      </c>
      <c r="O55" s="14">
        <v>51369.993389595213</v>
      </c>
      <c r="P55" s="8">
        <v>137.60311097609349</v>
      </c>
      <c r="Q55" s="54">
        <v>0.34096939899058853</v>
      </c>
    </row>
    <row r="56" spans="1:17">
      <c r="A56" s="2" t="s">
        <v>337</v>
      </c>
      <c r="B56" s="16" t="s">
        <v>338</v>
      </c>
      <c r="D56" s="14">
        <v>1</v>
      </c>
      <c r="E56" s="14">
        <v>0.44028992298656228</v>
      </c>
      <c r="F56" s="14">
        <v>3.1753799149622071E-2</v>
      </c>
      <c r="G56" s="14">
        <v>1.6047381638718986E-6</v>
      </c>
      <c r="H56" s="14">
        <v>894.0785863799947</v>
      </c>
      <c r="I56" s="14">
        <v>2473.0498133174574</v>
      </c>
      <c r="J56" s="14">
        <v>0</v>
      </c>
      <c r="K56" s="14">
        <v>31.49229467907313</v>
      </c>
      <c r="L56" s="14">
        <v>3.1753799149622071E-2</v>
      </c>
      <c r="M56" s="14">
        <v>2.6053992202264911E-2</v>
      </c>
      <c r="N56" s="14">
        <v>46.978150332509081</v>
      </c>
      <c r="O56" s="14">
        <v>18289.533487452434</v>
      </c>
      <c r="P56" s="8">
        <v>46.978150332509081</v>
      </c>
      <c r="Q56" s="54">
        <v>0.36900552113602797</v>
      </c>
    </row>
    <row r="57" spans="1:17">
      <c r="A57" s="2" t="s">
        <v>279</v>
      </c>
      <c r="B57" s="16" t="s">
        <v>280</v>
      </c>
      <c r="D57" s="14">
        <v>1</v>
      </c>
      <c r="E57" s="14">
        <v>0.36587681762601937</v>
      </c>
      <c r="F57" s="14">
        <v>0.18667677816934722</v>
      </c>
      <c r="G57" s="14">
        <v>8.8539850540047803E-5</v>
      </c>
      <c r="H57" s="14">
        <v>424.72741736792119</v>
      </c>
      <c r="I57" s="14">
        <v>785.17681592484962</v>
      </c>
      <c r="J57" s="14">
        <v>0</v>
      </c>
      <c r="K57" s="14">
        <v>5.3568526830521561</v>
      </c>
      <c r="L57" s="14">
        <v>0.18667677816934725</v>
      </c>
      <c r="M57" s="14">
        <v>0.15316829648794941</v>
      </c>
      <c r="N57" s="14">
        <v>14.757987117653002</v>
      </c>
      <c r="O57" s="14">
        <v>4292.0653934270222</v>
      </c>
      <c r="P57" s="8">
        <v>14.757987117653002</v>
      </c>
      <c r="Q57" s="54">
        <v>0.41992087780819737</v>
      </c>
    </row>
    <row r="58" spans="1:17">
      <c r="A58" s="2" t="s">
        <v>339</v>
      </c>
      <c r="B58" s="16" t="s">
        <v>340</v>
      </c>
      <c r="D58" s="14">
        <v>1</v>
      </c>
      <c r="E58" s="14">
        <v>0.4356098538474274</v>
      </c>
      <c r="F58" s="14">
        <v>2.8043983172660592E-2</v>
      </c>
      <c r="G58" s="14">
        <v>1.5923853944715159E-8</v>
      </c>
      <c r="H58" s="14">
        <v>861.03280427908214</v>
      </c>
      <c r="I58" s="14">
        <v>2753.4479337793305</v>
      </c>
      <c r="J58" s="14">
        <v>0</v>
      </c>
      <c r="K58" s="14">
        <v>35.658272715513391</v>
      </c>
      <c r="L58" s="14">
        <v>2.8043983172660596E-2</v>
      </c>
      <c r="M58" s="14">
        <v>2.3010088193168018E-2</v>
      </c>
      <c r="N58" s="14">
        <v>52.388972630099083</v>
      </c>
      <c r="O58" s="14">
        <v>18108.248389593748</v>
      </c>
      <c r="P58" s="8">
        <v>52.388972630099083</v>
      </c>
      <c r="Q58" s="54">
        <v>0.37125889576831239</v>
      </c>
    </row>
    <row r="59" spans="1:17">
      <c r="A59" s="2" t="s">
        <v>281</v>
      </c>
      <c r="B59" s="16" t="s">
        <v>282</v>
      </c>
      <c r="D59" s="14">
        <v>1</v>
      </c>
      <c r="E59" s="14">
        <v>0.36838046832192201</v>
      </c>
      <c r="F59" s="14">
        <v>0.16301549654161293</v>
      </c>
      <c r="G59" s="14">
        <v>7.5672377476333333E-7</v>
      </c>
      <c r="H59" s="14">
        <v>488.32492402348657</v>
      </c>
      <c r="I59" s="14">
        <v>884.63895981729797</v>
      </c>
      <c r="J59" s="14">
        <v>0</v>
      </c>
      <c r="K59" s="14">
        <v>6.1343861241113986</v>
      </c>
      <c r="L59" s="14">
        <v>0.16301549654161293</v>
      </c>
      <c r="M59" s="14">
        <v>0.13375421491239342</v>
      </c>
      <c r="N59" s="14">
        <v>16.614462511825423</v>
      </c>
      <c r="O59" s="14">
        <v>4839.128351194272</v>
      </c>
      <c r="P59" s="8">
        <v>16.614462511825423</v>
      </c>
      <c r="Q59" s="54">
        <v>0.4232198821669455</v>
      </c>
    </row>
    <row r="60" spans="1:17">
      <c r="A60" s="2" t="s">
        <v>341</v>
      </c>
      <c r="B60" s="16" t="s">
        <v>342</v>
      </c>
      <c r="D60" s="14">
        <v>1</v>
      </c>
      <c r="E60" s="14">
        <v>0.42762191559729729</v>
      </c>
      <c r="F60" s="14">
        <v>2.0035808497980589E-2</v>
      </c>
      <c r="G60" s="14">
        <v>2.3311775912981985E-5</v>
      </c>
      <c r="H60" s="14">
        <v>770.45427995028399</v>
      </c>
      <c r="I60" s="14">
        <v>3592.5601052945703</v>
      </c>
      <c r="J60" s="14">
        <v>0</v>
      </c>
      <c r="K60" s="14">
        <v>49.910638749656151</v>
      </c>
      <c r="L60" s="14">
        <v>2.0035808497980589E-2</v>
      </c>
      <c r="M60" s="14">
        <v>1.6439380872593074E-2</v>
      </c>
      <c r="N60" s="14">
        <v>68.649706134570337</v>
      </c>
      <c r="O60" s="14">
        <v>23016.873472798739</v>
      </c>
      <c r="P60" s="8">
        <v>68.649706134570337</v>
      </c>
      <c r="Q60" s="54">
        <v>0.37222371801486548</v>
      </c>
    </row>
    <row r="61" spans="1:17">
      <c r="A61" s="2" t="s">
        <v>483</v>
      </c>
      <c r="B61" s="16" t="s">
        <v>484</v>
      </c>
      <c r="D61" s="14">
        <v>1</v>
      </c>
      <c r="E61" s="14">
        <v>0.61963905975260836</v>
      </c>
      <c r="F61" s="14">
        <v>0.52210655624377356</v>
      </c>
      <c r="G61" s="14">
        <v>1.5917951289505567E-15</v>
      </c>
      <c r="H61" s="14">
        <v>238.11210666597901</v>
      </c>
      <c r="I61" s="14">
        <v>367.3336294569167</v>
      </c>
      <c r="J61" s="14">
        <v>0</v>
      </c>
      <c r="K61" s="14">
        <v>1.9153178370223265</v>
      </c>
      <c r="L61" s="14">
        <v>0.52210655624377356</v>
      </c>
      <c r="M61" s="14">
        <v>0.42838842939801625</v>
      </c>
      <c r="N61" s="14">
        <v>47.178976688106431</v>
      </c>
      <c r="O61" s="14">
        <v>21983.04418782319</v>
      </c>
      <c r="P61" s="8">
        <v>47.178976688106431</v>
      </c>
      <c r="Q61" s="54">
        <v>0.24800514460472145</v>
      </c>
    </row>
    <row r="62" spans="1:17">
      <c r="A62" s="2" t="s">
        <v>485</v>
      </c>
      <c r="B62" s="16" t="s">
        <v>486</v>
      </c>
      <c r="D62" s="14">
        <v>1</v>
      </c>
      <c r="E62" s="14">
        <v>0.4269332949268449</v>
      </c>
      <c r="F62" s="14">
        <v>0.33732933009865806</v>
      </c>
      <c r="G62" s="14">
        <v>4.1208100072044362E-9</v>
      </c>
      <c r="H62" s="14">
        <v>209.1000342010191</v>
      </c>
      <c r="I62" s="14">
        <v>425.41350686699741</v>
      </c>
      <c r="J62" s="14">
        <v>0</v>
      </c>
      <c r="K62" s="14">
        <v>2.9644620576204619</v>
      </c>
      <c r="L62" s="14">
        <v>0.33732933009865812</v>
      </c>
      <c r="M62" s="14">
        <v>0.27677871534594894</v>
      </c>
      <c r="N62" s="14">
        <v>8.1464936470230409</v>
      </c>
      <c r="O62" s="14">
        <v>2642.6410741578038</v>
      </c>
      <c r="P62" s="8">
        <v>8.1464936470230409</v>
      </c>
      <c r="Q62" s="54">
        <v>0.38531088203187014</v>
      </c>
    </row>
    <row r="63" spans="1:17">
      <c r="A63" s="2" t="s">
        <v>487</v>
      </c>
      <c r="B63" s="16" t="s">
        <v>488</v>
      </c>
      <c r="D63" s="14">
        <v>1</v>
      </c>
      <c r="E63" s="14">
        <v>0.95738414252424509</v>
      </c>
      <c r="F63" s="14">
        <v>0.95403514074211937</v>
      </c>
      <c r="G63" s="14">
        <v>8.1891377080362396E-15</v>
      </c>
      <c r="H63" s="14">
        <v>9.3428565816269344</v>
      </c>
      <c r="I63" s="14">
        <v>11.414004781921587</v>
      </c>
      <c r="J63" s="14">
        <v>0</v>
      </c>
      <c r="K63" s="14">
        <v>1.048179419494051</v>
      </c>
      <c r="L63" s="14">
        <v>0.95403514074211937</v>
      </c>
      <c r="M63" s="14">
        <v>0.78278583297890891</v>
      </c>
      <c r="N63" s="14">
        <v>5.119354161669758</v>
      </c>
      <c r="O63" s="14">
        <v>2260.5020236268983</v>
      </c>
      <c r="P63" s="8">
        <v>5.119354161669758</v>
      </c>
      <c r="Q63" s="54">
        <v>2.7817497017812581E-2</v>
      </c>
    </row>
    <row r="64" spans="1:17">
      <c r="A64" s="2" t="s">
        <v>489</v>
      </c>
      <c r="B64" s="16" t="s">
        <v>490</v>
      </c>
      <c r="D64" s="14">
        <v>1</v>
      </c>
      <c r="E64" s="14">
        <v>0.99536499994794392</v>
      </c>
      <c r="F64" s="14">
        <v>0.99451220770310711</v>
      </c>
      <c r="G64" s="14">
        <v>1.4762649778374719E-16</v>
      </c>
      <c r="H64" s="14">
        <v>3.4824919282580558</v>
      </c>
      <c r="I64" s="14">
        <v>0.40034010130074049</v>
      </c>
      <c r="J64" s="14">
        <v>0</v>
      </c>
      <c r="K64" s="14">
        <v>1.0055180743427647</v>
      </c>
      <c r="L64" s="14">
        <v>0.99451220770310711</v>
      </c>
      <c r="M64" s="14">
        <v>0.81599726642039938</v>
      </c>
      <c r="N64" s="14">
        <v>0.9494579693013655</v>
      </c>
      <c r="O64" s="14">
        <v>381.14091261664714</v>
      </c>
      <c r="P64" s="8">
        <v>0.9494579693013655</v>
      </c>
      <c r="Q64" s="54">
        <v>2.9527664300548974E-3</v>
      </c>
    </row>
    <row r="65" spans="1:17">
      <c r="A65" s="2" t="s">
        <v>491</v>
      </c>
      <c r="B65" s="16" t="s">
        <v>492</v>
      </c>
      <c r="D65" s="14">
        <v>1</v>
      </c>
      <c r="E65" s="14">
        <v>0.99770849338561385</v>
      </c>
      <c r="F65" s="14">
        <v>0.99793136521575132</v>
      </c>
      <c r="G65" s="14">
        <v>2.4382769447740037E-14</v>
      </c>
      <c r="H65" s="14">
        <v>0.4521542097333181</v>
      </c>
      <c r="I65" s="14">
        <v>0.18620516120013431</v>
      </c>
      <c r="J65" s="14">
        <v>0</v>
      </c>
      <c r="K65" s="14">
        <v>1.0020729229046743</v>
      </c>
      <c r="L65" s="14">
        <v>0.99793136521575132</v>
      </c>
      <c r="M65" s="14">
        <v>0.81880268515952404</v>
      </c>
      <c r="N65" s="14">
        <v>1.3059255944644272</v>
      </c>
      <c r="O65" s="14">
        <v>362.21152288065355</v>
      </c>
      <c r="P65" s="8">
        <v>1.3059255944644272</v>
      </c>
      <c r="Q65" s="54">
        <v>1.3048834246226922E-3</v>
      </c>
    </row>
    <row r="66" spans="1:17">
      <c r="A66" s="2" t="s">
        <v>493</v>
      </c>
      <c r="B66" s="16" t="s">
        <v>494</v>
      </c>
      <c r="D66" s="14">
        <v>1</v>
      </c>
      <c r="E66" s="14">
        <v>0.96717843828176309</v>
      </c>
      <c r="F66" s="14">
        <v>0.942481657480149</v>
      </c>
      <c r="G66" s="14">
        <v>3.8898251522401331E-13</v>
      </c>
      <c r="H66" s="14">
        <v>69.495796141910617</v>
      </c>
      <c r="I66" s="14">
        <v>16.126235168322918</v>
      </c>
      <c r="J66" s="14">
        <v>0</v>
      </c>
      <c r="K66" s="14">
        <v>1.0610286068310697</v>
      </c>
      <c r="L66" s="14">
        <v>0.94248165748014912</v>
      </c>
      <c r="M66" s="14">
        <v>0.7733061999624623</v>
      </c>
      <c r="N66" s="14">
        <v>42.882121029044185</v>
      </c>
      <c r="O66" s="14">
        <v>13911.817704242516</v>
      </c>
      <c r="P66" s="8">
        <v>42.882121029044193</v>
      </c>
      <c r="Q66" s="54">
        <v>1.4211927679179719E-2</v>
      </c>
    </row>
    <row r="67" spans="1:17">
      <c r="A67" s="2" t="s">
        <v>495</v>
      </c>
      <c r="B67" s="16" t="s">
        <v>496</v>
      </c>
      <c r="D67" s="14">
        <v>1</v>
      </c>
      <c r="E67" s="14">
        <v>0.99748572320664808</v>
      </c>
      <c r="F67" s="14">
        <v>0.99773322911497486</v>
      </c>
      <c r="G67" s="14">
        <v>1.90442083836951E-14</v>
      </c>
      <c r="H67" s="14">
        <v>0.38119235923521266</v>
      </c>
      <c r="I67" s="14">
        <v>0.19293931678695755</v>
      </c>
      <c r="J67" s="14">
        <v>0</v>
      </c>
      <c r="K67" s="14">
        <v>1.0022719208089679</v>
      </c>
      <c r="L67" s="14">
        <v>0.99773322911497497</v>
      </c>
      <c r="M67" s="14">
        <v>0.818640114488837</v>
      </c>
      <c r="N67" s="14">
        <v>1.2426763323374868</v>
      </c>
      <c r="O67" s="14">
        <v>389.47961608121511</v>
      </c>
      <c r="P67" s="8">
        <v>1.242676332337487</v>
      </c>
      <c r="Q67" s="54">
        <v>1.4669683240800988E-3</v>
      </c>
    </row>
    <row r="68" spans="1:17">
      <c r="A68" s="2" t="s">
        <v>497</v>
      </c>
      <c r="B68" s="16" t="s">
        <v>498</v>
      </c>
      <c r="D68" s="14">
        <v>1</v>
      </c>
      <c r="E68" s="14">
        <v>0.99885410391896878</v>
      </c>
      <c r="F68" s="14">
        <v>0.99922646430628181</v>
      </c>
      <c r="G68" s="14">
        <v>1.7219327650412492E-13</v>
      </c>
      <c r="H68" s="14">
        <v>4.5326323691785748E-2</v>
      </c>
      <c r="I68" s="14">
        <v>3.2380100114737999E-2</v>
      </c>
      <c r="J68" s="14">
        <v>0</v>
      </c>
      <c r="K68" s="14">
        <v>1.0007741345143968</v>
      </c>
      <c r="L68" s="14">
        <v>0.99922646430628181</v>
      </c>
      <c r="M68" s="14">
        <v>0.8198653139633042</v>
      </c>
      <c r="N68" s="14">
        <v>0.97659305342459668</v>
      </c>
      <c r="O68" s="14">
        <v>265.98488403072315</v>
      </c>
      <c r="P68" s="8">
        <v>0.97659305342459668</v>
      </c>
      <c r="Q68" s="54">
        <v>5.9259527888007616E-4</v>
      </c>
    </row>
    <row r="69" spans="1:17">
      <c r="A69" s="2" t="s">
        <v>499</v>
      </c>
      <c r="B69" s="16" t="s">
        <v>500</v>
      </c>
      <c r="D69" s="14">
        <v>1</v>
      </c>
      <c r="E69" s="14">
        <v>0.44632959895062513</v>
      </c>
      <c r="F69" s="14">
        <v>3.601647052101032E-2</v>
      </c>
      <c r="G69" s="14">
        <v>4.0039775985647784E-13</v>
      </c>
      <c r="H69" s="14">
        <v>927.58379176033634</v>
      </c>
      <c r="I69" s="14">
        <v>2209.633889408577</v>
      </c>
      <c r="J69" s="14">
        <v>0</v>
      </c>
      <c r="K69" s="14">
        <v>27.765074854201689</v>
      </c>
      <c r="L69" s="14">
        <v>3.601647052101032E-2</v>
      </c>
      <c r="M69" s="14">
        <v>2.9551514062488966E-2</v>
      </c>
      <c r="N69" s="14">
        <v>41.906231360774065</v>
      </c>
      <c r="O69" s="14">
        <v>18002.497930274931</v>
      </c>
      <c r="P69" s="8">
        <v>41.906231360774072</v>
      </c>
      <c r="Q69" s="54">
        <v>0.36596564851136126</v>
      </c>
    </row>
    <row r="70" spans="1:17">
      <c r="A70" s="2" t="s">
        <v>501</v>
      </c>
      <c r="B70" s="16" t="s">
        <v>411</v>
      </c>
      <c r="D70" s="14">
        <v>1</v>
      </c>
      <c r="E70" s="14">
        <v>0.99967813225692626</v>
      </c>
      <c r="F70" s="14">
        <v>0.99696817418701378</v>
      </c>
      <c r="G70" s="14">
        <v>3.1725595477696852E-15</v>
      </c>
      <c r="H70" s="14">
        <v>8.8060529950248299</v>
      </c>
      <c r="I70" s="14">
        <v>7.7488728432579803E-3</v>
      </c>
      <c r="J70" s="14">
        <v>0</v>
      </c>
      <c r="K70" s="14">
        <v>1.0030410457339409</v>
      </c>
      <c r="L70" s="14">
        <v>0.99696817418701378</v>
      </c>
      <c r="M70" s="14">
        <v>0.81801238692044487</v>
      </c>
      <c r="N70" s="14">
        <v>0.96088252386730777</v>
      </c>
      <c r="O70" s="14">
        <v>288.36084541257907</v>
      </c>
      <c r="P70" s="8">
        <v>0.96088252386730777</v>
      </c>
      <c r="Q70" s="54">
        <v>3.9286065311339829E-5</v>
      </c>
    </row>
    <row r="71" spans="1:17">
      <c r="A71" s="2" t="s">
        <v>502</v>
      </c>
      <c r="B71" s="16" t="s">
        <v>412</v>
      </c>
      <c r="D71" s="14">
        <v>1</v>
      </c>
      <c r="E71" s="14">
        <v>0.99964915857597836</v>
      </c>
      <c r="F71" s="14">
        <v>0.99411724258339862</v>
      </c>
      <c r="G71" s="14">
        <v>1.4849972859827557E-10</v>
      </c>
      <c r="H71" s="14">
        <v>16.822773843309637</v>
      </c>
      <c r="I71" s="14">
        <v>1.4155510486870948E-2</v>
      </c>
      <c r="J71" s="14">
        <v>0</v>
      </c>
      <c r="K71" s="14">
        <v>1.0059175690397584</v>
      </c>
      <c r="L71" s="14">
        <v>0.99411724258339862</v>
      </c>
      <c r="M71" s="14">
        <v>0.8156731975396786</v>
      </c>
      <c r="N71" s="14">
        <v>0.98078758842215386</v>
      </c>
      <c r="O71" s="14">
        <v>321.84544714072979</v>
      </c>
      <c r="P71" s="8">
        <v>0.98078758842215397</v>
      </c>
      <c r="Q71" s="54">
        <v>5.5147462728391851E-5</v>
      </c>
    </row>
    <row r="72" spans="1:17">
      <c r="A72" s="2" t="s">
        <v>503</v>
      </c>
      <c r="B72" s="16" t="s">
        <v>413</v>
      </c>
      <c r="D72" s="14">
        <v>1</v>
      </c>
      <c r="E72" s="14">
        <v>0.98690719138773464</v>
      </c>
      <c r="F72" s="14">
        <v>3.7289852131736315E-2</v>
      </c>
      <c r="G72" s="14">
        <v>1.8270024390829339E-11</v>
      </c>
      <c r="H72" s="14">
        <v>2697.8056583785724</v>
      </c>
      <c r="I72" s="14">
        <v>11.471933895696708</v>
      </c>
      <c r="J72" s="14">
        <v>0</v>
      </c>
      <c r="K72" s="14">
        <v>26.816947314975511</v>
      </c>
      <c r="L72" s="14">
        <v>3.7289852131736315E-2</v>
      </c>
      <c r="M72" s="14">
        <v>3.0596323674089647E-2</v>
      </c>
      <c r="N72" s="14">
        <v>44.651298700822096</v>
      </c>
      <c r="O72" s="14">
        <v>20721.774701077517</v>
      </c>
      <c r="P72" s="8">
        <v>44.651298700822096</v>
      </c>
      <c r="Q72" s="54">
        <v>5.6733115800897843E-4</v>
      </c>
    </row>
    <row r="73" spans="1:17">
      <c r="A73" s="2" t="s">
        <v>504</v>
      </c>
      <c r="B73" s="16" t="s">
        <v>414</v>
      </c>
      <c r="D73" s="14">
        <v>1</v>
      </c>
      <c r="E73" s="14">
        <v>0.99826411762553369</v>
      </c>
      <c r="F73" s="14">
        <v>0.27287529945997441</v>
      </c>
      <c r="G73" s="14">
        <v>1.8831837207579325E-11</v>
      </c>
      <c r="H73" s="14">
        <v>2061.883984616793</v>
      </c>
      <c r="I73" s="14">
        <v>1.1035453875854773</v>
      </c>
      <c r="J73" s="14">
        <v>0</v>
      </c>
      <c r="K73" s="14">
        <v>3.6646776090727879</v>
      </c>
      <c r="L73" s="14">
        <v>0.27287529945997441</v>
      </c>
      <c r="M73" s="14">
        <v>0.22389418320690901</v>
      </c>
      <c r="N73" s="14">
        <v>4.3667895382651567</v>
      </c>
      <c r="O73" s="14">
        <v>1371.3902544921723</v>
      </c>
      <c r="P73" s="8">
        <v>4.3667895382651567</v>
      </c>
      <c r="Q73" s="54">
        <v>3.6290270045315307E-4</v>
      </c>
    </row>
    <row r="74" spans="1:17">
      <c r="A74" s="2" t="s">
        <v>505</v>
      </c>
      <c r="B74" s="16" t="s">
        <v>415</v>
      </c>
      <c r="D74" s="14">
        <v>1</v>
      </c>
      <c r="E74" s="14">
        <v>0.99965457450511219</v>
      </c>
      <c r="F74" s="14">
        <v>0.99468326893438708</v>
      </c>
      <c r="G74" s="14">
        <v>1.8269778365819853E-11</v>
      </c>
      <c r="H74" s="14">
        <v>15.230172173302037</v>
      </c>
      <c r="I74" s="14">
        <v>1.2871548206295054E-2</v>
      </c>
      <c r="J74" s="14">
        <v>0</v>
      </c>
      <c r="K74" s="14">
        <v>1.0053451497895494</v>
      </c>
      <c r="L74" s="14">
        <v>0.99468326893438719</v>
      </c>
      <c r="M74" s="14">
        <v>0.81613762216066466</v>
      </c>
      <c r="N74" s="14">
        <v>0.97690222553564676</v>
      </c>
      <c r="O74" s="14">
        <v>209.09615235364981</v>
      </c>
      <c r="P74" s="8">
        <v>0.97690222553564676</v>
      </c>
      <c r="Q74" s="54">
        <v>5.2219268946553561E-5</v>
      </c>
    </row>
    <row r="75" spans="1:17">
      <c r="A75" s="2" t="s">
        <v>506</v>
      </c>
      <c r="B75" s="16" t="s">
        <v>416</v>
      </c>
      <c r="D75" s="14">
        <v>1</v>
      </c>
      <c r="E75" s="14">
        <v>0.99828072862532768</v>
      </c>
      <c r="F75" s="14">
        <v>0.30893264319791852</v>
      </c>
      <c r="G75" s="14">
        <v>7.7334319109576679E-11</v>
      </c>
      <c r="H75" s="14">
        <v>1959.4933783223726</v>
      </c>
      <c r="I75" s="14">
        <v>1.0623552655239843</v>
      </c>
      <c r="J75" s="14">
        <v>0</v>
      </c>
      <c r="K75" s="14">
        <v>3.2369515556805286</v>
      </c>
      <c r="L75" s="14">
        <v>0.30893264319791852</v>
      </c>
      <c r="M75" s="14">
        <v>0.25347923374389214</v>
      </c>
      <c r="N75" s="14">
        <v>4.2407419754315869</v>
      </c>
      <c r="O75" s="14">
        <v>1755.9640297669573</v>
      </c>
      <c r="P75" s="8">
        <v>4.2407419754315878</v>
      </c>
      <c r="Q75" s="54">
        <v>3.75033251154373E-4</v>
      </c>
    </row>
    <row r="76" spans="1:17">
      <c r="A76" s="2" t="s">
        <v>507</v>
      </c>
      <c r="B76" s="16" t="s">
        <v>417</v>
      </c>
      <c r="D76" s="14">
        <v>1</v>
      </c>
      <c r="E76" s="14">
        <v>0.99920985924975225</v>
      </c>
      <c r="F76" s="14">
        <v>0.89030355080450285</v>
      </c>
      <c r="G76" s="14">
        <v>4.9100527611132096E-10</v>
      </c>
      <c r="H76" s="14">
        <v>310.49749836710305</v>
      </c>
      <c r="I76" s="14">
        <v>0.20906726351517271</v>
      </c>
      <c r="J76" s="14">
        <v>0</v>
      </c>
      <c r="K76" s="14">
        <v>1.1232124134474948</v>
      </c>
      <c r="L76" s="14">
        <v>0.89030355080450285</v>
      </c>
      <c r="M76" s="14">
        <v>0.7304940634350946</v>
      </c>
      <c r="N76" s="14">
        <v>1.5887413416484422</v>
      </c>
      <c r="O76" s="14">
        <v>680.25138025361343</v>
      </c>
      <c r="P76" s="8">
        <v>1.5887413416484422</v>
      </c>
      <c r="Q76" s="54">
        <v>2.3904850654648413E-4</v>
      </c>
    </row>
    <row r="77" spans="1:17">
      <c r="A77" s="2" t="s">
        <v>508</v>
      </c>
      <c r="B77" s="16" t="s">
        <v>418</v>
      </c>
      <c r="D77" s="14">
        <v>1</v>
      </c>
      <c r="E77" s="14">
        <v>0.99826641687612572</v>
      </c>
      <c r="F77" s="14">
        <v>0.28290563304254795</v>
      </c>
      <c r="G77" s="14">
        <v>5.7603602965660393E-10</v>
      </c>
      <c r="H77" s="14">
        <v>2033.3942678636747</v>
      </c>
      <c r="I77" s="14">
        <v>1.0955936949396574</v>
      </c>
      <c r="J77" s="14">
        <v>0</v>
      </c>
      <c r="K77" s="14">
        <v>3.5347475737593514</v>
      </c>
      <c r="L77" s="14">
        <v>0.28290563304254801</v>
      </c>
      <c r="M77" s="14">
        <v>0.23212407191141063</v>
      </c>
      <c r="N77" s="14">
        <v>4.3325286416781887</v>
      </c>
      <c r="O77" s="14">
        <v>2288.3549779615855</v>
      </c>
      <c r="P77" s="8">
        <v>4.3325286416781887</v>
      </c>
      <c r="Q77" s="54">
        <v>3.6766265941471586E-4</v>
      </c>
    </row>
    <row r="78" spans="1:17">
      <c r="A78" s="2" t="s">
        <v>509</v>
      </c>
      <c r="B78" s="16" t="s">
        <v>419</v>
      </c>
      <c r="D78" s="14">
        <v>1</v>
      </c>
      <c r="E78" s="14">
        <v>0.98895537673385148</v>
      </c>
      <c r="F78" s="14">
        <v>4.129043162982185E-2</v>
      </c>
      <c r="G78" s="14">
        <v>7.332935900696926E-11</v>
      </c>
      <c r="H78" s="14">
        <v>2692.4610092429489</v>
      </c>
      <c r="I78" s="14">
        <v>9.6200072067618709</v>
      </c>
      <c r="J78" s="14">
        <v>0</v>
      </c>
      <c r="K78" s="14">
        <v>24.21868603760862</v>
      </c>
      <c r="L78" s="14">
        <v>4.1290431629821857E-2</v>
      </c>
      <c r="M78" s="14">
        <v>3.3878799152268831E-2</v>
      </c>
      <c r="N78" s="14">
        <v>37.349462909398042</v>
      </c>
      <c r="O78" s="14">
        <v>21068.458532562341</v>
      </c>
      <c r="P78" s="8">
        <v>37.349462909398042</v>
      </c>
      <c r="Q78" s="54">
        <v>5.3724872981300218E-4</v>
      </c>
    </row>
    <row r="79" spans="1:17">
      <c r="A79" s="2" t="s">
        <v>510</v>
      </c>
      <c r="B79" s="16" t="s">
        <v>420</v>
      </c>
      <c r="D79" s="14">
        <v>1</v>
      </c>
      <c r="E79" s="14">
        <v>0.98895551466253728</v>
      </c>
      <c r="F79" s="14">
        <v>4.1290439803971318E-2</v>
      </c>
      <c r="G79" s="14">
        <v>1.8419506760785584E-15</v>
      </c>
      <c r="H79" s="14">
        <v>2692.4615422618072</v>
      </c>
      <c r="I79" s="14">
        <v>9.618486690128881</v>
      </c>
      <c r="J79" s="14">
        <v>0</v>
      </c>
      <c r="K79" s="14">
        <v>24.218681243105092</v>
      </c>
      <c r="L79" s="14">
        <v>4.1290439803971318E-2</v>
      </c>
      <c r="M79" s="14">
        <v>3.3878805859158471E-2</v>
      </c>
      <c r="N79" s="14">
        <v>37.349442766355864</v>
      </c>
      <c r="O79" s="14">
        <v>18679.576810737559</v>
      </c>
      <c r="P79" s="8">
        <v>37.349442766355864</v>
      </c>
      <c r="Q79" s="54">
        <v>5.3716381349098942E-4</v>
      </c>
    </row>
    <row r="80" spans="1:17">
      <c r="A80" s="2" t="s">
        <v>511</v>
      </c>
      <c r="B80" s="16" t="s">
        <v>421</v>
      </c>
      <c r="D80" s="14">
        <v>1</v>
      </c>
      <c r="E80" s="14">
        <v>0.9987046615760895</v>
      </c>
      <c r="F80" s="14">
        <v>0.66695529800661146</v>
      </c>
      <c r="G80" s="14">
        <v>8.6897081913171227E-11</v>
      </c>
      <c r="H80" s="14">
        <v>943.57565398867541</v>
      </c>
      <c r="I80" s="14">
        <v>0.57135061782630125</v>
      </c>
      <c r="J80" s="14">
        <v>0</v>
      </c>
      <c r="K80" s="14">
        <v>1.4993508605281174</v>
      </c>
      <c r="L80" s="14">
        <v>0.66695529800661157</v>
      </c>
      <c r="M80" s="14">
        <v>0.54723682201442481</v>
      </c>
      <c r="N80" s="14">
        <v>2.7206624556736259</v>
      </c>
      <c r="O80" s="14">
        <v>990.48437361254014</v>
      </c>
      <c r="P80" s="8">
        <v>2.7206624556736259</v>
      </c>
      <c r="Q80" s="54">
        <v>3.7042705710189347E-4</v>
      </c>
    </row>
    <row r="81" spans="1:17">
      <c r="A81" s="2" t="s">
        <v>512</v>
      </c>
      <c r="B81" s="16" t="s">
        <v>422</v>
      </c>
      <c r="D81" s="14">
        <v>1</v>
      </c>
      <c r="E81" s="14">
        <v>0.99953345504875624</v>
      </c>
      <c r="F81" s="14">
        <v>0.97633113359999246</v>
      </c>
      <c r="G81" s="14">
        <v>3.4454472433668175E-11</v>
      </c>
      <c r="H81" s="14">
        <v>67.021962193694804</v>
      </c>
      <c r="I81" s="14">
        <v>5.0715780445092548E-2</v>
      </c>
      <c r="J81" s="14">
        <v>0</v>
      </c>
      <c r="K81" s="14">
        <v>1.0242426627457164</v>
      </c>
      <c r="L81" s="14">
        <v>0.97633113359999246</v>
      </c>
      <c r="M81" s="14">
        <v>0.80107969511879384</v>
      </c>
      <c r="N81" s="14">
        <v>1.0953648894959216</v>
      </c>
      <c r="O81" s="14">
        <v>289.23109907139809</v>
      </c>
      <c r="P81" s="8">
        <v>1.0953648894959216</v>
      </c>
      <c r="Q81" s="54">
        <v>1.1203226414793435E-4</v>
      </c>
    </row>
    <row r="82" spans="1:17">
      <c r="A82" s="2" t="s">
        <v>513</v>
      </c>
      <c r="B82" s="16" t="s">
        <v>423</v>
      </c>
      <c r="D82" s="14">
        <v>1</v>
      </c>
      <c r="E82" s="14">
        <v>0.9993740650376125</v>
      </c>
      <c r="F82" s="14">
        <v>0.93955894496573089</v>
      </c>
      <c r="G82" s="14">
        <v>1.1038562456074648E-14</v>
      </c>
      <c r="H82" s="14">
        <v>171.03462176443799</v>
      </c>
      <c r="I82" s="14">
        <v>0.12043182597684059</v>
      </c>
      <c r="J82" s="14">
        <v>0</v>
      </c>
      <c r="K82" s="14">
        <v>1.0643291784492281</v>
      </c>
      <c r="L82" s="14">
        <v>0.93955894496573089</v>
      </c>
      <c r="M82" s="14">
        <v>0.77090811434438222</v>
      </c>
      <c r="N82" s="14">
        <v>1.3135987009287169</v>
      </c>
      <c r="O82" s="14">
        <v>525.58397622858899</v>
      </c>
      <c r="P82" s="8">
        <v>1.3135987009287171</v>
      </c>
      <c r="Q82" s="54">
        <v>1.79201347555027E-4</v>
      </c>
    </row>
    <row r="83" spans="1:17">
      <c r="A83" s="2" t="s">
        <v>514</v>
      </c>
      <c r="B83" s="16" t="s">
        <v>424</v>
      </c>
      <c r="D83" s="14">
        <v>1</v>
      </c>
      <c r="E83" s="14">
        <v>0.97908651624779841</v>
      </c>
      <c r="F83" s="14">
        <v>2.8056419243691903E-2</v>
      </c>
      <c r="G83" s="14">
        <v>2.6312414892238379E-11</v>
      </c>
      <c r="H83" s="14">
        <v>2701.0476298271969</v>
      </c>
      <c r="I83" s="14">
        <v>18.5378010574615</v>
      </c>
      <c r="J83" s="14">
        <v>0</v>
      </c>
      <c r="K83" s="14">
        <v>35.642467105806318</v>
      </c>
      <c r="L83" s="14">
        <v>2.8056419243691903E-2</v>
      </c>
      <c r="M83" s="14">
        <v>2.3020291989449208E-2</v>
      </c>
      <c r="N83" s="14">
        <v>72.672317815945249</v>
      </c>
      <c r="O83" s="14">
        <v>37359.385142821135</v>
      </c>
      <c r="P83" s="8">
        <v>72.672317815945249</v>
      </c>
      <c r="Q83" s="54">
        <v>6.562332283875053E-4</v>
      </c>
    </row>
    <row r="84" spans="1:17">
      <c r="A84" s="2" t="s">
        <v>403</v>
      </c>
      <c r="B84" s="16" t="s">
        <v>404</v>
      </c>
      <c r="D84" s="14">
        <v>1</v>
      </c>
      <c r="E84" s="14">
        <v>0.49016825453247992</v>
      </c>
      <c r="F84" s="14">
        <v>0.43264871188695142</v>
      </c>
      <c r="G84" s="14">
        <v>7.5402180089151398E-46</v>
      </c>
      <c r="H84" s="14">
        <v>133.15436720952201</v>
      </c>
      <c r="I84" s="14">
        <v>285.24141737821799</v>
      </c>
      <c r="J84" s="14">
        <v>0</v>
      </c>
      <c r="K84" s="14">
        <v>2.3113439899973494</v>
      </c>
      <c r="L84" s="14">
        <v>0.43264871188695142</v>
      </c>
      <c r="M84" s="14">
        <v>0.35498826810324369</v>
      </c>
      <c r="N84" s="14">
        <v>5.6303463004874725</v>
      </c>
      <c r="O84" s="14">
        <v>6771.1107644292388</v>
      </c>
      <c r="P84" s="8">
        <v>5.6303463004874725</v>
      </c>
      <c r="Q84" s="54">
        <v>0.34309357544879965</v>
      </c>
    </row>
    <row r="85" spans="1:17">
      <c r="A85" s="2" t="s">
        <v>405</v>
      </c>
      <c r="B85" s="16" t="s">
        <v>406</v>
      </c>
      <c r="D85" s="14">
        <v>1</v>
      </c>
      <c r="E85" s="14">
        <v>0.53241982410501409</v>
      </c>
      <c r="F85" s="14">
        <v>0.20113771439550177</v>
      </c>
      <c r="G85" s="14">
        <v>6.1004324797812625E-10</v>
      </c>
      <c r="H85" s="14">
        <v>895.00368232366986</v>
      </c>
      <c r="I85" s="14">
        <v>433.22172756137388</v>
      </c>
      <c r="J85" s="14">
        <v>0</v>
      </c>
      <c r="K85" s="14">
        <v>4.971718024167644</v>
      </c>
      <c r="L85" s="14">
        <v>0.20113771439550177</v>
      </c>
      <c r="M85" s="14">
        <v>0.16503349466150921</v>
      </c>
      <c r="N85" s="14">
        <v>1478.261998906255</v>
      </c>
      <c r="O85" s="14">
        <v>471358.62097124849</v>
      </c>
      <c r="P85" s="8">
        <v>1478.261998906255</v>
      </c>
      <c r="Q85" s="54">
        <v>4.1812894231571626E-2</v>
      </c>
    </row>
    <row r="86" spans="1:17">
      <c r="A86" s="2" t="s">
        <v>407</v>
      </c>
      <c r="B86" s="16" t="s">
        <v>408</v>
      </c>
      <c r="D86" s="14">
        <v>1</v>
      </c>
      <c r="E86" s="14">
        <v>0.5408558492196518</v>
      </c>
      <c r="F86" s="14">
        <v>2.1250272832736049E-3</v>
      </c>
      <c r="G86" s="14">
        <v>1.7058977564430787E-6</v>
      </c>
      <c r="H86" s="14">
        <v>291.75916698868326</v>
      </c>
      <c r="I86" s="14">
        <v>11475.765922203054</v>
      </c>
      <c r="J86" s="14">
        <v>0</v>
      </c>
      <c r="K86" s="14">
        <v>470.58219340106535</v>
      </c>
      <c r="L86" s="14">
        <v>2.1250272832736049E-3</v>
      </c>
      <c r="M86" s="14">
        <v>1.7435848859259928E-3</v>
      </c>
      <c r="N86" s="14">
        <v>224.95558219354157</v>
      </c>
      <c r="O86" s="14">
        <v>109281.17227380056</v>
      </c>
      <c r="P86" s="8">
        <v>224.95558219354157</v>
      </c>
      <c r="Q86" s="54">
        <v>0.26815239555414327</v>
      </c>
    </row>
    <row r="87" spans="1:17">
      <c r="A87" s="2" t="s">
        <v>409</v>
      </c>
      <c r="B87" s="16" t="s">
        <v>410</v>
      </c>
      <c r="D87" s="14">
        <v>1</v>
      </c>
      <c r="E87" s="14">
        <v>0.61876308469532548</v>
      </c>
      <c r="F87" s="14">
        <v>8.3070320626254157E-4</v>
      </c>
      <c r="G87" s="14">
        <v>2.3828372157499785E-7</v>
      </c>
      <c r="H87" s="14">
        <v>177.36416828944206</v>
      </c>
      <c r="I87" s="14">
        <v>14619.181483143251</v>
      </c>
      <c r="J87" s="14">
        <v>0</v>
      </c>
      <c r="K87" s="14">
        <v>1203.7993743868524</v>
      </c>
      <c r="L87" s="14">
        <v>8.3070320626254157E-4</v>
      </c>
      <c r="M87" s="14">
        <v>6.8159198073841534E-4</v>
      </c>
      <c r="N87" s="14">
        <v>289.16157267754596</v>
      </c>
      <c r="O87" s="14">
        <v>163286.64847528347</v>
      </c>
      <c r="P87" s="8">
        <v>289.16157267754596</v>
      </c>
      <c r="Q87" s="54">
        <v>0.20376193560323444</v>
      </c>
    </row>
    <row r="88" spans="1:17">
      <c r="A88" s="2" t="s">
        <v>301</v>
      </c>
      <c r="B88" s="16" t="s">
        <v>302</v>
      </c>
      <c r="D88" s="14">
        <v>1</v>
      </c>
      <c r="E88" s="14">
        <v>0.70152323219677259</v>
      </c>
      <c r="F88" s="14">
        <v>2.6097612824127226E-4</v>
      </c>
      <c r="G88" s="14">
        <v>3.2940430559680263E-8</v>
      </c>
      <c r="H88" s="14">
        <v>92.066319905191278</v>
      </c>
      <c r="I88" s="14">
        <v>17601.835363474282</v>
      </c>
      <c r="J88" s="14">
        <v>0</v>
      </c>
      <c r="K88" s="14">
        <v>3831.768088288522</v>
      </c>
      <c r="L88" s="14">
        <v>2.6097612824127226E-4</v>
      </c>
      <c r="M88" s="14">
        <v>2.1413091322196388E-4</v>
      </c>
      <c r="N88" s="14">
        <v>351.7456351032256</v>
      </c>
      <c r="O88" s="14">
        <v>226376.45583973394</v>
      </c>
      <c r="P88" s="8">
        <v>351.7456351032256</v>
      </c>
      <c r="Q88" s="54">
        <v>0.13631949060220264</v>
      </c>
    </row>
    <row r="89" spans="1:17">
      <c r="A89" s="2" t="s">
        <v>303</v>
      </c>
      <c r="B89" s="16" t="s">
        <v>304</v>
      </c>
      <c r="D89" s="14">
        <v>1</v>
      </c>
      <c r="E89" s="14">
        <v>0.11266003748656868</v>
      </c>
      <c r="F89" s="14">
        <v>2.6828391656523328E-3</v>
      </c>
      <c r="G89" s="14">
        <v>3.863393101290601E-15</v>
      </c>
      <c r="H89" s="14">
        <v>86.80869070234094</v>
      </c>
      <c r="I89" s="14">
        <v>2090.407222690133</v>
      </c>
      <c r="J89" s="14">
        <v>0</v>
      </c>
      <c r="K89" s="14">
        <v>372.73945184740495</v>
      </c>
      <c r="L89" s="14">
        <v>2.6828391656523332E-3</v>
      </c>
      <c r="M89" s="14">
        <v>2.2012695354177393E-3</v>
      </c>
      <c r="N89" s="14">
        <v>3111.6385285205843</v>
      </c>
      <c r="O89" s="14">
        <v>2007971.4588396181</v>
      </c>
      <c r="P89" s="8">
        <v>3111.6385285205847</v>
      </c>
      <c r="Q89" s="54">
        <v>2.2616786443748947E-2</v>
      </c>
    </row>
    <row r="90" spans="1:17">
      <c r="A90" s="2" t="s">
        <v>425</v>
      </c>
      <c r="B90" s="16" t="s">
        <v>426</v>
      </c>
      <c r="D90" s="14">
        <v>1</v>
      </c>
      <c r="E90" s="14">
        <v>0.97468657325109986</v>
      </c>
      <c r="F90" s="14">
        <v>0.9749445352345335</v>
      </c>
      <c r="G90" s="14">
        <v>1.7758912313039651E-15</v>
      </c>
      <c r="H90" s="14">
        <v>0.25982438578996825</v>
      </c>
      <c r="I90" s="14">
        <v>0.80773111278418896</v>
      </c>
      <c r="J90" s="14">
        <v>0</v>
      </c>
      <c r="K90" s="14">
        <v>1.0256993745387157</v>
      </c>
      <c r="L90" s="14">
        <v>0.97494453523453362</v>
      </c>
      <c r="M90" s="14">
        <v>0.79994199115993481</v>
      </c>
      <c r="N90" s="14">
        <v>0.92735780586886984</v>
      </c>
      <c r="O90" s="14">
        <v>257.11922525520282</v>
      </c>
      <c r="P90" s="8">
        <v>0.92735780586886984</v>
      </c>
      <c r="Q90" s="54">
        <v>1.6914797842596724E-2</v>
      </c>
    </row>
    <row r="91" spans="1:17">
      <c r="A91" s="2" t="s">
        <v>427</v>
      </c>
      <c r="B91" s="16" t="s">
        <v>428</v>
      </c>
      <c r="D91" s="14">
        <v>1</v>
      </c>
      <c r="E91" s="14">
        <v>0.77338040684572362</v>
      </c>
      <c r="F91" s="14">
        <v>0.76617380932618473</v>
      </c>
      <c r="G91" s="14">
        <v>9.7547420542634508E-7</v>
      </c>
      <c r="H91" s="14">
        <v>16.648967368339129</v>
      </c>
      <c r="I91" s="14">
        <v>43.355527328692517</v>
      </c>
      <c r="J91" s="14">
        <v>0</v>
      </c>
      <c r="K91" s="14">
        <v>1.3051868751288365</v>
      </c>
      <c r="L91" s="14">
        <v>0.76617380932618473</v>
      </c>
      <c r="M91" s="14">
        <v>0.62864561055213453</v>
      </c>
      <c r="N91" s="14">
        <v>1.4974608075518747</v>
      </c>
      <c r="O91" s="14">
        <v>247.36555079949417</v>
      </c>
      <c r="P91" s="8">
        <v>1.4974608075518747</v>
      </c>
      <c r="Q91" s="54">
        <v>0.15263160563038203</v>
      </c>
    </row>
    <row r="92" spans="1:17">
      <c r="A92" s="2" t="s">
        <v>429</v>
      </c>
      <c r="B92" s="16" t="s">
        <v>430</v>
      </c>
      <c r="D92" s="14">
        <v>1</v>
      </c>
      <c r="E92" s="14">
        <v>0.39111241054784374</v>
      </c>
      <c r="F92" s="14">
        <v>0.26835429026739516</v>
      </c>
      <c r="G92" s="14">
        <v>1.1829245104806841E-5</v>
      </c>
      <c r="H92" s="14">
        <v>288.35570149077171</v>
      </c>
      <c r="I92" s="14">
        <v>563.3596185382454</v>
      </c>
      <c r="J92" s="14">
        <v>0</v>
      </c>
      <c r="K92" s="14">
        <v>3.7264170399644967</v>
      </c>
      <c r="L92" s="14">
        <v>0.26835429026739516</v>
      </c>
      <c r="M92" s="14">
        <v>0.22018469516439773</v>
      </c>
      <c r="N92" s="14">
        <v>10.660520274361197</v>
      </c>
      <c r="O92" s="14">
        <v>1921.4521742508623</v>
      </c>
      <c r="P92" s="8">
        <v>10.660520274361197</v>
      </c>
      <c r="Q92" s="54">
        <v>0.40830595467487119</v>
      </c>
    </row>
    <row r="93" spans="1:17">
      <c r="A93" s="2" t="s">
        <v>431</v>
      </c>
      <c r="B93" s="16" t="s">
        <v>432</v>
      </c>
      <c r="D93" s="14">
        <v>1</v>
      </c>
      <c r="E93" s="14">
        <v>0.99958886426546922</v>
      </c>
      <c r="F93" s="14">
        <v>0.99954192539009534</v>
      </c>
      <c r="G93" s="14">
        <v>1.3395342881441921E-19</v>
      </c>
      <c r="H93" s="14">
        <v>1.2399124338930247</v>
      </c>
      <c r="I93" s="14">
        <v>9.1976007121213621E-3</v>
      </c>
      <c r="J93" s="14">
        <v>0</v>
      </c>
      <c r="K93" s="14">
        <v>1.0004582845384158</v>
      </c>
      <c r="L93" s="14">
        <v>0.99954192539009545</v>
      </c>
      <c r="M93" s="14">
        <v>0.82012414978257331</v>
      </c>
      <c r="N93" s="14">
        <v>0.94062601281297531</v>
      </c>
      <c r="O93" s="14">
        <v>365.80005012283794</v>
      </c>
      <c r="P93" s="8">
        <v>0.94062601281297531</v>
      </c>
      <c r="Q93" s="54">
        <v>1.032938707149344E-4</v>
      </c>
    </row>
    <row r="94" spans="1:17">
      <c r="A94" s="2" t="s">
        <v>433</v>
      </c>
      <c r="B94" s="16" t="s">
        <v>434</v>
      </c>
      <c r="D94" s="14">
        <v>1</v>
      </c>
      <c r="E94" s="14">
        <v>0.99973748565807774</v>
      </c>
      <c r="F94" s="14">
        <v>1.0001256811139132</v>
      </c>
      <c r="G94" s="14">
        <v>2.8201555739366088E-20</v>
      </c>
      <c r="H94" s="14">
        <v>4.8066730169902747E-3</v>
      </c>
      <c r="I94" s="14">
        <v>6.2101463726247527E-5</v>
      </c>
      <c r="J94" s="14">
        <v>0</v>
      </c>
      <c r="K94" s="14">
        <v>0.99987433467984399</v>
      </c>
      <c r="L94" s="14">
        <v>1.0001256811139134</v>
      </c>
      <c r="M94" s="14">
        <v>0.82060312135396585</v>
      </c>
      <c r="N94" s="14">
        <v>0.9426304662430437</v>
      </c>
      <c r="O94" s="14">
        <v>168.95708476940317</v>
      </c>
      <c r="P94" s="8">
        <v>0.9426304662430437</v>
      </c>
      <c r="Q94" s="54">
        <v>2.6031658398398969E-6</v>
      </c>
    </row>
    <row r="95" spans="1:17">
      <c r="A95" s="2" t="s">
        <v>435</v>
      </c>
      <c r="B95" s="16" t="s">
        <v>436</v>
      </c>
      <c r="D95" s="14">
        <v>1</v>
      </c>
      <c r="E95" s="14">
        <v>0.9417597558168912</v>
      </c>
      <c r="F95" s="14">
        <v>0.94162294133722502</v>
      </c>
      <c r="G95" s="14">
        <v>1.515434313855921E-10</v>
      </c>
      <c r="H95" s="14">
        <v>1.0633587796758248</v>
      </c>
      <c r="I95" s="14">
        <v>3.4148582651595594</v>
      </c>
      <c r="J95" s="14">
        <v>0</v>
      </c>
      <c r="K95" s="14">
        <v>1.0619962153639462</v>
      </c>
      <c r="L95" s="14">
        <v>0.94162294133722502</v>
      </c>
      <c r="M95" s="14">
        <v>0.77260162336719318</v>
      </c>
      <c r="N95" s="14">
        <v>0.95288720884966616</v>
      </c>
      <c r="O95" s="14">
        <v>248.78932135855931</v>
      </c>
      <c r="P95" s="8">
        <v>0.95288720884966616</v>
      </c>
      <c r="Q95" s="54">
        <v>3.9135661848511721E-2</v>
      </c>
    </row>
    <row r="96" spans="1:17">
      <c r="A96" s="2" t="s">
        <v>437</v>
      </c>
      <c r="B96" s="164" t="s">
        <v>438</v>
      </c>
      <c r="D96" s="14">
        <v>1</v>
      </c>
      <c r="E96" s="14">
        <v>0.51408843476483401</v>
      </c>
      <c r="F96" s="14">
        <v>2.9523758888897523E-3</v>
      </c>
      <c r="G96" s="14">
        <v>3.045230266658563E-9</v>
      </c>
      <c r="H96" s="14">
        <v>343.86791070073588</v>
      </c>
      <c r="I96" s="14">
        <v>10267.124319189841</v>
      </c>
      <c r="J96" s="14">
        <v>0</v>
      </c>
      <c r="K96" s="14">
        <v>338.71025832555904</v>
      </c>
      <c r="L96" s="14">
        <v>2.9523758888897523E-3</v>
      </c>
      <c r="M96" s="14">
        <v>2.422424416834042E-3</v>
      </c>
      <c r="N96" s="14">
        <v>200.5921664409403</v>
      </c>
      <c r="O96" s="14">
        <v>83506.518889363448</v>
      </c>
      <c r="P96" s="8">
        <v>200.5921664409403</v>
      </c>
      <c r="Q96" s="54">
        <v>0.29083644046780732</v>
      </c>
    </row>
    <row r="97" spans="1:17">
      <c r="A97" s="2" t="s">
        <v>439</v>
      </c>
      <c r="B97" s="16" t="s">
        <v>440</v>
      </c>
      <c r="D97" s="14">
        <v>1</v>
      </c>
      <c r="E97" s="14">
        <v>0.69469897676783365</v>
      </c>
      <c r="F97" s="14">
        <v>0.68031617372483399</v>
      </c>
      <c r="G97" s="14">
        <v>5.0063278121488361E-7</v>
      </c>
      <c r="H97" s="14">
        <v>32.907189786589939</v>
      </c>
      <c r="I97" s="14">
        <v>80.788206464491282</v>
      </c>
      <c r="J97" s="14">
        <v>0</v>
      </c>
      <c r="K97" s="14">
        <v>1.4699047863655048</v>
      </c>
      <c r="L97" s="14">
        <v>0.68031617372483411</v>
      </c>
      <c r="M97" s="14">
        <v>0.5581994205412264</v>
      </c>
      <c r="N97" s="14">
        <v>2.0983711197703068</v>
      </c>
      <c r="O97" s="14">
        <v>401.35544407846658</v>
      </c>
      <c r="P97" s="8">
        <v>2.0983711197703068</v>
      </c>
      <c r="Q97" s="54">
        <v>0.20565911694144964</v>
      </c>
    </row>
    <row r="98" spans="1:17">
      <c r="A98" s="2" t="s">
        <v>441</v>
      </c>
      <c r="B98" s="16" t="s">
        <v>442</v>
      </c>
      <c r="D98" s="14">
        <v>1</v>
      </c>
      <c r="E98" s="14">
        <v>0.75973689727183091</v>
      </c>
      <c r="F98" s="14">
        <v>0.7514973262536141</v>
      </c>
      <c r="G98" s="14">
        <v>3.2447103001861622E-19</v>
      </c>
      <c r="H98" s="14">
        <v>18.97349948106876</v>
      </c>
      <c r="I98" s="14">
        <v>48.865754696425199</v>
      </c>
      <c r="J98" s="14">
        <v>0</v>
      </c>
      <c r="K98" s="14">
        <v>1.330676723741957</v>
      </c>
      <c r="L98" s="14">
        <v>0.75149732625361421</v>
      </c>
      <c r="M98" s="14">
        <v>0.61660355619109042</v>
      </c>
      <c r="N98" s="14">
        <v>1.5837355747477375</v>
      </c>
      <c r="O98" s="14">
        <v>621.55286366549706</v>
      </c>
      <c r="P98" s="8">
        <v>1.5837355747477375</v>
      </c>
      <c r="Q98" s="54">
        <v>0.16188425483835939</v>
      </c>
    </row>
    <row r="99" spans="1:17">
      <c r="A99" s="2" t="s">
        <v>443</v>
      </c>
      <c r="B99" s="16" t="s">
        <v>444</v>
      </c>
      <c r="D99" s="14">
        <v>1</v>
      </c>
      <c r="E99" s="14">
        <v>0.8809792360371923</v>
      </c>
      <c r="F99" s="14">
        <v>0.87935142324134663</v>
      </c>
      <c r="G99" s="14">
        <v>4.7364282037576062E-31</v>
      </c>
      <c r="H99" s="14">
        <v>4.26208857329891</v>
      </c>
      <c r="I99" s="14">
        <v>12.39594502770198</v>
      </c>
      <c r="J99" s="14">
        <v>0</v>
      </c>
      <c r="K99" s="14">
        <v>1.1372017757291331</v>
      </c>
      <c r="L99" s="14">
        <v>0.87935142324134674</v>
      </c>
      <c r="M99" s="14">
        <v>0.72150784276952495</v>
      </c>
      <c r="N99" s="14">
        <v>1.044291104857203</v>
      </c>
      <c r="O99" s="14">
        <v>815.52869542718429</v>
      </c>
      <c r="P99" s="8">
        <v>1.0442911048572032</v>
      </c>
      <c r="Q99" s="54">
        <v>8.0145592076453373E-2</v>
      </c>
    </row>
    <row r="100" spans="1:17">
      <c r="A100" s="2" t="s">
        <v>445</v>
      </c>
      <c r="B100" s="16" t="s">
        <v>446</v>
      </c>
      <c r="D100" s="14">
        <v>1</v>
      </c>
      <c r="E100" s="14">
        <v>0.42826252594862196</v>
      </c>
      <c r="F100" s="14">
        <v>1.599404580932539E-2</v>
      </c>
      <c r="G100" s="14">
        <v>2.6347949553213336E-9</v>
      </c>
      <c r="H100" s="14">
        <v>712.55490761769033</v>
      </c>
      <c r="I100" s="14">
        <v>4251.8262253133353</v>
      </c>
      <c r="J100" s="14">
        <v>0</v>
      </c>
      <c r="K100" s="14">
        <v>62.523267215912696</v>
      </c>
      <c r="L100" s="14">
        <v>1.599404580932539E-2</v>
      </c>
      <c r="M100" s="14">
        <v>1.3123114586551481E-2</v>
      </c>
      <c r="N100" s="14">
        <v>81.481935055862735</v>
      </c>
      <c r="O100" s="14">
        <v>24966.06490111634</v>
      </c>
      <c r="P100" s="8">
        <v>81.481935055862735</v>
      </c>
      <c r="Q100" s="54">
        <v>0.3708305509098398</v>
      </c>
    </row>
    <row r="101" spans="1:17">
      <c r="A101" s="2" t="s">
        <v>447</v>
      </c>
      <c r="B101" s="16" t="s">
        <v>448</v>
      </c>
      <c r="D101" s="14">
        <v>1</v>
      </c>
      <c r="E101" s="14">
        <v>0.42126974104816356</v>
      </c>
      <c r="F101" s="14">
        <v>0.32756447199884997</v>
      </c>
      <c r="G101" s="14">
        <v>9.0866809464080446E-11</v>
      </c>
      <c r="H101" s="14">
        <v>218.86523941582965</v>
      </c>
      <c r="I101" s="14">
        <v>442.82686702663364</v>
      </c>
      <c r="J101" s="14">
        <v>0</v>
      </c>
      <c r="K101" s="14">
        <v>3.0528341303250701</v>
      </c>
      <c r="L101" s="14">
        <v>0.32756447199884997</v>
      </c>
      <c r="M101" s="14">
        <v>0.26876664927505639</v>
      </c>
      <c r="N101" s="14">
        <v>8.462095253532393</v>
      </c>
      <c r="O101" s="14">
        <v>2850.2029232947807</v>
      </c>
      <c r="P101" s="8">
        <v>8.4620952535323948</v>
      </c>
      <c r="Q101" s="54">
        <v>0.38907556998947168</v>
      </c>
    </row>
    <row r="102" spans="1:17">
      <c r="A102" s="2" t="s">
        <v>449</v>
      </c>
      <c r="B102" s="16" t="s">
        <v>450</v>
      </c>
      <c r="D102" s="14">
        <v>1</v>
      </c>
      <c r="E102" s="14">
        <v>0.3765305170226883</v>
      </c>
      <c r="F102" s="14">
        <v>0.12696477084949187</v>
      </c>
      <c r="G102" s="14">
        <v>7.103489140412737E-6</v>
      </c>
      <c r="H102" s="14">
        <v>596.54503186763293</v>
      </c>
      <c r="I102" s="14">
        <v>1045.4431080830634</v>
      </c>
      <c r="J102" s="14">
        <v>0</v>
      </c>
      <c r="K102" s="14">
        <v>7.8762005657886958</v>
      </c>
      <c r="L102" s="14">
        <v>0.12696477084949187</v>
      </c>
      <c r="M102" s="14">
        <v>0.10417459448200808</v>
      </c>
      <c r="N102" s="14">
        <v>19.633784669823264</v>
      </c>
      <c r="O102" s="14">
        <v>9131.476912088101</v>
      </c>
      <c r="P102" s="8">
        <v>19.633784669823264</v>
      </c>
      <c r="Q102" s="54">
        <v>0.41677379444786072</v>
      </c>
    </row>
    <row r="103" spans="1:17">
      <c r="A103" s="2" t="s">
        <v>451</v>
      </c>
      <c r="B103" s="16" t="s">
        <v>452</v>
      </c>
      <c r="D103" s="14">
        <v>1</v>
      </c>
      <c r="E103" s="14">
        <v>0.99959084261208409</v>
      </c>
      <c r="F103" s="14">
        <v>0.98841486746430063</v>
      </c>
      <c r="G103" s="14">
        <v>5.3805970324998053E-21</v>
      </c>
      <c r="H103" s="14">
        <v>32.856346455961294</v>
      </c>
      <c r="I103" s="14">
        <v>2.952270132504848E-2</v>
      </c>
      <c r="J103" s="14">
        <v>0</v>
      </c>
      <c r="K103" s="14">
        <v>1.0117209209584432</v>
      </c>
      <c r="L103" s="14">
        <v>0.98841486746430074</v>
      </c>
      <c r="M103" s="14">
        <v>0.81099439875445878</v>
      </c>
      <c r="N103" s="14">
        <v>1.0187436829077254</v>
      </c>
      <c r="O103" s="14">
        <v>336.93928568490111</v>
      </c>
      <c r="P103" s="8">
        <v>1.0187436829077254</v>
      </c>
      <c r="Q103" s="54">
        <v>8.7489531895032767E-5</v>
      </c>
    </row>
    <row r="104" spans="1:17">
      <c r="A104" s="2" t="s">
        <v>453</v>
      </c>
      <c r="B104" s="16" t="s">
        <v>454</v>
      </c>
      <c r="D104" s="14">
        <v>1</v>
      </c>
      <c r="E104" s="14">
        <v>0.99170432868758862</v>
      </c>
      <c r="F104" s="14">
        <v>0.10056770601859351</v>
      </c>
      <c r="G104" s="14">
        <v>1.1312575911671513E-21</v>
      </c>
      <c r="H104" s="14">
        <v>2530.2215122926536</v>
      </c>
      <c r="I104" s="14">
        <v>24.807660485841868</v>
      </c>
      <c r="J104" s="14">
        <v>0</v>
      </c>
      <c r="K104" s="14">
        <v>9.9435498689322248</v>
      </c>
      <c r="L104" s="14">
        <v>0.10056770601859351</v>
      </c>
      <c r="M104" s="14">
        <v>8.2515802788255974E-2</v>
      </c>
      <c r="N104" s="14">
        <v>7.4339763467380831</v>
      </c>
      <c r="O104" s="14">
        <v>3672.3843152886129</v>
      </c>
      <c r="P104" s="8">
        <v>7.4339763467380839</v>
      </c>
      <c r="Q104" s="54">
        <v>4.2226570369349034E-3</v>
      </c>
    </row>
    <row r="105" spans="1:17">
      <c r="A105" s="2" t="s">
        <v>455</v>
      </c>
      <c r="B105" s="164">
        <v>354656</v>
      </c>
      <c r="D105" s="14">
        <v>1</v>
      </c>
      <c r="E105" s="14">
        <v>0.96971385650472319</v>
      </c>
      <c r="F105" s="14">
        <v>0.96995602965064953</v>
      </c>
      <c r="G105" s="14">
        <v>4.0856441209380584E-12</v>
      </c>
      <c r="H105" s="14">
        <v>0.27863267676229286</v>
      </c>
      <c r="I105" s="14">
        <v>0.99790504422764059</v>
      </c>
      <c r="J105" s="14">
        <v>0</v>
      </c>
      <c r="K105" s="14">
        <v>1.0309745693938017</v>
      </c>
      <c r="L105" s="14">
        <v>0.96995602965064953</v>
      </c>
      <c r="M105" s="14">
        <v>0.79584892232835791</v>
      </c>
      <c r="N105" s="14">
        <v>0.92587773743158031</v>
      </c>
      <c r="O105" s="14">
        <v>182.5738310441333</v>
      </c>
      <c r="P105" s="8">
        <v>0.92587773743158031</v>
      </c>
      <c r="Q105" s="54">
        <v>2.0271655536581831E-2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0.93902965071634403</v>
      </c>
      <c r="F106" s="14">
        <v>0.93884992382277743</v>
      </c>
      <c r="G106" s="14">
        <v>6.0774357157562425E-12</v>
      </c>
      <c r="H106" s="14">
        <v>1.1529684175091857</v>
      </c>
      <c r="I106" s="14">
        <v>3.6859931540299806</v>
      </c>
      <c r="J106" s="14">
        <v>0</v>
      </c>
      <c r="K106" s="14">
        <v>1.0651329617498755</v>
      </c>
      <c r="L106" s="14">
        <v>0.93884992382277754</v>
      </c>
      <c r="M106" s="14">
        <v>0.77032636249658892</v>
      </c>
      <c r="N106" s="14">
        <v>0.95362292670830262</v>
      </c>
      <c r="O106" s="14">
        <v>152.75132040013591</v>
      </c>
      <c r="P106" s="8">
        <v>0.95362292670830262</v>
      </c>
      <c r="Q106" s="54">
        <v>4.0978355358778674E-2</v>
      </c>
    </row>
    <row r="107" spans="1:17">
      <c r="A107" s="2" t="s">
        <v>459</v>
      </c>
      <c r="B107" s="16" t="s">
        <v>460</v>
      </c>
      <c r="D107" s="14">
        <v>1</v>
      </c>
      <c r="E107" s="14">
        <v>0.42797430835593697</v>
      </c>
      <c r="F107" s="14">
        <v>8.5843437390534016E-2</v>
      </c>
      <c r="G107" s="14">
        <v>2.0875820460388973E-21</v>
      </c>
      <c r="H107" s="14">
        <v>827.64518678963088</v>
      </c>
      <c r="I107" s="14">
        <v>1341.2014118676734</v>
      </c>
      <c r="J107" s="14">
        <v>0</v>
      </c>
      <c r="K107" s="14">
        <v>11.649114136129294</v>
      </c>
      <c r="L107" s="14">
        <v>8.584343739053403E-2</v>
      </c>
      <c r="M107" s="14">
        <v>7.0434540378933166E-2</v>
      </c>
      <c r="N107" s="14">
        <v>39.110467489338134</v>
      </c>
      <c r="O107" s="14">
        <v>20784.475737858964</v>
      </c>
      <c r="P107" s="8">
        <v>39.110467489338141</v>
      </c>
      <c r="Q107" s="54">
        <v>0.37887330107136724</v>
      </c>
    </row>
    <row r="108" spans="1:17">
      <c r="A108" s="2" t="s">
        <v>461</v>
      </c>
      <c r="B108" s="16" t="s">
        <v>462</v>
      </c>
      <c r="D108" s="14">
        <v>1</v>
      </c>
      <c r="E108" s="14">
        <v>0.99968675923930495</v>
      </c>
      <c r="F108" s="14">
        <v>1.0000757273815606</v>
      </c>
      <c r="G108" s="14">
        <v>1.2184557733469746E-11</v>
      </c>
      <c r="H108" s="14">
        <v>2.489738058231663E-3</v>
      </c>
      <c r="I108" s="14">
        <v>6.6815443442287366E-4</v>
      </c>
      <c r="J108" s="14">
        <v>0</v>
      </c>
      <c r="K108" s="14">
        <v>0.99992427835264153</v>
      </c>
      <c r="L108" s="14">
        <v>1.0000757273815606</v>
      </c>
      <c r="M108" s="14">
        <v>0.82056213431657044</v>
      </c>
      <c r="N108" s="14">
        <v>0.93971245261188618</v>
      </c>
      <c r="O108" s="14">
        <v>121.37326037935121</v>
      </c>
      <c r="P108" s="8">
        <v>0.93971245261188618</v>
      </c>
      <c r="Q108" s="54">
        <v>3.7383232784529084E-5</v>
      </c>
    </row>
    <row r="109" spans="1:17">
      <c r="A109" s="2" t="s">
        <v>463</v>
      </c>
      <c r="B109" s="16" t="s">
        <v>464</v>
      </c>
      <c r="D109" s="14">
        <v>1</v>
      </c>
      <c r="E109" s="14">
        <v>0.97769888478429368</v>
      </c>
      <c r="F109" s="14">
        <v>0.97171093742524217</v>
      </c>
      <c r="G109" s="14">
        <v>3.2825500247196525E-14</v>
      </c>
      <c r="H109" s="14">
        <v>17.238745547414105</v>
      </c>
      <c r="I109" s="14">
        <v>7.9336557235565435</v>
      </c>
      <c r="J109" s="14">
        <v>0</v>
      </c>
      <c r="K109" s="14">
        <v>1.0291126316327319</v>
      </c>
      <c r="L109" s="14">
        <v>0.97171093742524228</v>
      </c>
      <c r="M109" s="14">
        <v>0.79728882415741131</v>
      </c>
      <c r="N109" s="14">
        <v>11.45138124355821</v>
      </c>
      <c r="O109" s="14">
        <v>3433.1240968187517</v>
      </c>
      <c r="P109" s="8">
        <v>11.45138124355821</v>
      </c>
      <c r="Q109" s="54">
        <v>1.2932227934675807E-2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0.99350903690681025</v>
      </c>
      <c r="F110" s="14">
        <v>0.99386979492273486</v>
      </c>
      <c r="G110" s="14">
        <v>2.313854726455511E-13</v>
      </c>
      <c r="H110" s="14">
        <v>6.3680943893944866E-2</v>
      </c>
      <c r="I110" s="14">
        <v>0.11280741127251838</v>
      </c>
      <c r="J110" s="14">
        <v>0</v>
      </c>
      <c r="K110" s="14">
        <v>1.0061680162819937</v>
      </c>
      <c r="L110" s="14">
        <v>0.99386979492273486</v>
      </c>
      <c r="M110" s="14">
        <v>0.815470166734104</v>
      </c>
      <c r="N110" s="14">
        <v>0.93294593581612217</v>
      </c>
      <c r="O110" s="14">
        <v>222.19040407396764</v>
      </c>
      <c r="P110" s="8">
        <v>0.93294593581612217</v>
      </c>
      <c r="Q110" s="54">
        <v>4.2085998276144678E-3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0.99973736279095882</v>
      </c>
      <c r="F111" s="14">
        <v>1.0001256585478302</v>
      </c>
      <c r="G111" s="14">
        <v>4.1120336179578594E-32</v>
      </c>
      <c r="H111" s="14">
        <v>4.5245414310536641E-3</v>
      </c>
      <c r="I111" s="14">
        <v>3.4610520720757179E-5</v>
      </c>
      <c r="J111" s="14">
        <v>0</v>
      </c>
      <c r="K111" s="14">
        <v>0.99987435724025631</v>
      </c>
      <c r="L111" s="14">
        <v>1.0001256585478304</v>
      </c>
      <c r="M111" s="14">
        <v>0.8206031028384948</v>
      </c>
      <c r="N111" s="14">
        <v>0.93672845398136295</v>
      </c>
      <c r="O111" s="14">
        <v>431.29788206663898</v>
      </c>
      <c r="P111" s="8">
        <v>0.93672845398136306</v>
      </c>
      <c r="Q111" s="54">
        <v>3.7792718563359701E-6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0.99166826523283569</v>
      </c>
      <c r="F112" s="14">
        <v>0.99204366667016142</v>
      </c>
      <c r="G112" s="14">
        <v>2.5994967365574646E-15</v>
      </c>
      <c r="H112" s="14">
        <v>2.1961438770857499E-2</v>
      </c>
      <c r="I112" s="14">
        <v>9.4998765046296008E-2</v>
      </c>
      <c r="J112" s="14">
        <v>0</v>
      </c>
      <c r="K112" s="14">
        <v>1.0080201442710119</v>
      </c>
      <c r="L112" s="14">
        <v>0.99204366667016153</v>
      </c>
      <c r="M112" s="14">
        <v>0.81397182850286753</v>
      </c>
      <c r="N112" s="14">
        <v>0.93076652278833683</v>
      </c>
      <c r="O112" s="14">
        <v>191.03982880230612</v>
      </c>
      <c r="P112" s="8">
        <v>0.93076652278833683</v>
      </c>
      <c r="Q112" s="54">
        <v>5.4515243923272012E-3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0.95431506905796892</v>
      </c>
      <c r="F113" s="14">
        <v>0.95438683611755826</v>
      </c>
      <c r="G113" s="14">
        <v>3.2078416963125243E-11</v>
      </c>
      <c r="H113" s="14">
        <v>0.62572634496420476</v>
      </c>
      <c r="I113" s="14">
        <v>2.1088301944873371</v>
      </c>
      <c r="J113" s="14">
        <v>0</v>
      </c>
      <c r="K113" s="14">
        <v>1.0477931611756046</v>
      </c>
      <c r="L113" s="14">
        <v>0.95438683611755826</v>
      </c>
      <c r="M113" s="14">
        <v>0.78307439903445653</v>
      </c>
      <c r="N113" s="14">
        <v>0.930905455170145</v>
      </c>
      <c r="O113" s="14">
        <v>140.71566860351913</v>
      </c>
      <c r="P113" s="8">
        <v>0.93090545517014511</v>
      </c>
      <c r="Q113" s="54">
        <v>3.0664904128700481E-2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0.99555673649832221</v>
      </c>
      <c r="F114" s="14">
        <v>0.99594161113708801</v>
      </c>
      <c r="G114" s="14">
        <v>2.5514862793552842E-18</v>
      </c>
      <c r="H114" s="14">
        <v>6.3943128058930399E-3</v>
      </c>
      <c r="I114" s="14">
        <v>2.9827997427215879E-2</v>
      </c>
      <c r="J114" s="14">
        <v>0</v>
      </c>
      <c r="K114" s="14">
        <v>1.0040749264992337</v>
      </c>
      <c r="L114" s="14">
        <v>0.99594161113708801</v>
      </c>
      <c r="M114" s="14">
        <v>0.81717009193798074</v>
      </c>
      <c r="N114" s="14">
        <v>0.93329482758467019</v>
      </c>
      <c r="O114" s="14">
        <v>316.7229326891337</v>
      </c>
      <c r="P114" s="8">
        <v>0.93329482758467031</v>
      </c>
      <c r="Q114" s="54">
        <v>2.8263379956670674E-3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0.99966777955515052</v>
      </c>
      <c r="F115" s="14">
        <v>0.99725200499480138</v>
      </c>
      <c r="G115" s="14">
        <v>1.3528788580849339E-14</v>
      </c>
      <c r="H115" s="14">
        <v>7.9701210617523364</v>
      </c>
      <c r="I115" s="14">
        <v>8.8391476153093403E-3</v>
      </c>
      <c r="J115" s="14">
        <v>0</v>
      </c>
      <c r="K115" s="14">
        <v>1.002755567290349</v>
      </c>
      <c r="L115" s="14">
        <v>0.99725200499480138</v>
      </c>
      <c r="M115" s="14">
        <v>0.81824527009823456</v>
      </c>
      <c r="N115" s="14">
        <v>0.95876117766062141</v>
      </c>
      <c r="O115" s="14">
        <v>184.2067850639352</v>
      </c>
      <c r="P115" s="8">
        <v>0.95876117766062152</v>
      </c>
      <c r="Q115" s="54">
        <v>4.6667054125240618E-5</v>
      </c>
    </row>
    <row r="116" spans="1:17">
      <c r="A116" s="2" t="s">
        <v>477</v>
      </c>
      <c r="B116" s="16" t="s">
        <v>478</v>
      </c>
      <c r="D116" s="14">
        <v>1</v>
      </c>
      <c r="E116" s="14">
        <v>0.81341426123636495</v>
      </c>
      <c r="F116" s="14">
        <v>0.50054897311081592</v>
      </c>
      <c r="G116" s="14">
        <v>1.3906759179160207E-18</v>
      </c>
      <c r="H116" s="14">
        <v>868.73932404216464</v>
      </c>
      <c r="I116" s="14">
        <v>194.82048332187659</v>
      </c>
      <c r="J116" s="14">
        <v>0</v>
      </c>
      <c r="K116" s="14">
        <v>1.9978065158843332</v>
      </c>
      <c r="L116" s="14">
        <v>0.50054897311081592</v>
      </c>
      <c r="M116" s="14">
        <v>0.41070043243742449</v>
      </c>
      <c r="N116" s="14">
        <v>419.51376338498949</v>
      </c>
      <c r="O116" s="14">
        <v>190710.95683481623</v>
      </c>
      <c r="P116" s="8">
        <v>419.51376338498949</v>
      </c>
      <c r="Q116" s="54">
        <v>4.8243034411285864E-2</v>
      </c>
    </row>
    <row r="117" spans="1:17">
      <c r="A117" s="2" t="s">
        <v>291</v>
      </c>
      <c r="B117" s="16" t="s">
        <v>479</v>
      </c>
      <c r="D117" s="14">
        <v>1</v>
      </c>
      <c r="E117" s="14">
        <v>0.61155525104595054</v>
      </c>
      <c r="F117" s="14">
        <v>0.58539606321927784</v>
      </c>
      <c r="G117" s="14">
        <v>4.0369956846353566E-12</v>
      </c>
      <c r="H117" s="14">
        <v>59.955606072184125</v>
      </c>
      <c r="I117" s="14">
        <v>139.27942598739116</v>
      </c>
      <c r="J117" s="14">
        <v>0</v>
      </c>
      <c r="K117" s="14">
        <v>1.7082451742170663</v>
      </c>
      <c r="L117" s="14">
        <v>0.58539606321927784</v>
      </c>
      <c r="M117" s="14">
        <v>0.48031746987141749</v>
      </c>
      <c r="N117" s="14">
        <v>3.08039337805066</v>
      </c>
      <c r="O117" s="14">
        <v>949.77769025435987</v>
      </c>
      <c r="P117" s="8">
        <v>3.08039337805066</v>
      </c>
      <c r="Q117" s="54">
        <v>0.26162965483725342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2.6141462139329621E-8</v>
      </c>
      <c r="E2" s="20">
        <v>0.97644290842490966</v>
      </c>
      <c r="F2" s="20">
        <v>5.9869287503047572E-5</v>
      </c>
      <c r="G2" s="20">
        <v>2.4027005348761997E-5</v>
      </c>
      <c r="H2" s="20">
        <v>0</v>
      </c>
      <c r="I2" s="20">
        <v>0.97635901213205789</v>
      </c>
      <c r="J2" s="20">
        <v>2.5404180063692768E-4</v>
      </c>
      <c r="K2" s="20">
        <v>2.3303023632991329E-2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2.5157232353532768E-8</v>
      </c>
      <c r="E3" s="20">
        <v>0.61923486627505486</v>
      </c>
      <c r="F3" s="20">
        <v>2.3365022531051445E-2</v>
      </c>
      <c r="G3" s="20">
        <v>5.6761569687184751E-3</v>
      </c>
      <c r="H3" s="20">
        <v>0</v>
      </c>
      <c r="I3" s="20">
        <v>0.59019368677528494</v>
      </c>
      <c r="J3" s="20">
        <v>1.3042128752444192E-3</v>
      </c>
      <c r="K3" s="20">
        <v>0.37946089569246833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1.3557737027172014E-17</v>
      </c>
      <c r="E4" s="20">
        <v>0.99968955436387696</v>
      </c>
      <c r="F4" s="20">
        <v>4.2039875482090159E-5</v>
      </c>
      <c r="G4" s="20">
        <v>4.6297449087354794E-8</v>
      </c>
      <c r="H4" s="20">
        <v>0</v>
      </c>
      <c r="I4" s="20">
        <v>0.99964746819094574</v>
      </c>
      <c r="J4" s="20">
        <v>2.8986448349676425E-4</v>
      </c>
      <c r="K4" s="20">
        <v>2.0581152626308125E-5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3.8049261388017241E-10</v>
      </c>
      <c r="E5" s="20">
        <v>0.99929867991426069</v>
      </c>
      <c r="F5" s="20">
        <v>7.5967723245928598E-2</v>
      </c>
      <c r="G5" s="20">
        <v>6.0295982542901118E-6</v>
      </c>
      <c r="H5" s="20">
        <v>0</v>
      </c>
      <c r="I5" s="20">
        <v>0.92332492707007785</v>
      </c>
      <c r="J5" s="20">
        <v>3.8523680101274095E-4</v>
      </c>
      <c r="K5" s="20">
        <v>3.1608290423382418E-4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4.7190464227692111E-11</v>
      </c>
      <c r="E6" s="20">
        <v>0.99767689458140019</v>
      </c>
      <c r="F6" s="20">
        <v>0.17145989049684354</v>
      </c>
      <c r="G6" s="20">
        <v>4.9722741753002705E-5</v>
      </c>
      <c r="H6" s="20">
        <v>0</v>
      </c>
      <c r="I6" s="20">
        <v>0.82616728134280359</v>
      </c>
      <c r="J6" s="20">
        <v>5.3139545008170264E-4</v>
      </c>
      <c r="K6" s="20">
        <v>1.7917099213278433E-3</v>
      </c>
      <c r="L6" s="20">
        <v>0</v>
      </c>
    </row>
    <row r="7" spans="1:14">
      <c r="A7" s="2" t="s">
        <v>366</v>
      </c>
      <c r="B7" s="3" t="s">
        <v>305</v>
      </c>
      <c r="D7" s="20">
        <v>8.0703913735687737E-7</v>
      </c>
      <c r="E7" s="20">
        <v>0.98045388637812414</v>
      </c>
      <c r="F7" s="20">
        <v>0.44166215280588333</v>
      </c>
      <c r="G7" s="20">
        <v>8.9905298791882586E-4</v>
      </c>
      <c r="H7" s="20">
        <v>0</v>
      </c>
      <c r="I7" s="20">
        <v>0.53789268058432194</v>
      </c>
      <c r="J7" s="20">
        <v>9.8872739457279827E-4</v>
      </c>
      <c r="K7" s="20">
        <v>1.8556579188165754E-2</v>
      </c>
      <c r="L7" s="20">
        <v>0</v>
      </c>
    </row>
    <row r="8" spans="1:14">
      <c r="A8" s="2" t="s">
        <v>289</v>
      </c>
      <c r="B8" s="3" t="s">
        <v>290</v>
      </c>
      <c r="D8" s="20">
        <v>3.7352925276710215E-17</v>
      </c>
      <c r="E8" s="20">
        <v>0.99823185587550278</v>
      </c>
      <c r="F8" s="20">
        <v>0.24978807164795838</v>
      </c>
      <c r="G8" s="20">
        <v>3.7983613692175723E-5</v>
      </c>
      <c r="H8" s="20">
        <v>0</v>
      </c>
      <c r="I8" s="20">
        <v>0.7484058006138522</v>
      </c>
      <c r="J8" s="20">
        <v>6.3910521017840631E-4</v>
      </c>
      <c r="K8" s="20">
        <v>1.1290389143188769E-3</v>
      </c>
      <c r="L8" s="20">
        <v>0</v>
      </c>
    </row>
    <row r="9" spans="1:14">
      <c r="A9" s="2" t="s">
        <v>291</v>
      </c>
      <c r="B9" s="3" t="s">
        <v>292</v>
      </c>
      <c r="D9" s="20">
        <v>7.3575935388101008E-13</v>
      </c>
      <c r="E9" s="20">
        <v>0.99833575746610048</v>
      </c>
      <c r="F9" s="20">
        <v>5.8715992654711599E-2</v>
      </c>
      <c r="G9" s="20">
        <v>2.2255038814644996E-5</v>
      </c>
      <c r="H9" s="20">
        <v>0</v>
      </c>
      <c r="I9" s="20">
        <v>0.93959750977257428</v>
      </c>
      <c r="J9" s="20">
        <v>3.6005217061959807E-4</v>
      </c>
      <c r="K9" s="20">
        <v>1.3041903625440649E-3</v>
      </c>
      <c r="L9" s="20">
        <v>0</v>
      </c>
    </row>
    <row r="10" spans="1:14">
      <c r="A10" s="2" t="s">
        <v>367</v>
      </c>
      <c r="B10" s="3" t="s">
        <v>368</v>
      </c>
      <c r="D10" s="20">
        <v>6.9059615451780242E-5</v>
      </c>
      <c r="E10" s="20">
        <v>0.46653341245920321</v>
      </c>
      <c r="F10" s="20">
        <v>0.35513900256389452</v>
      </c>
      <c r="G10" s="20">
        <v>6.2028878058857782E-2</v>
      </c>
      <c r="H10" s="20">
        <v>0</v>
      </c>
      <c r="I10" s="20">
        <v>4.9365531836450934E-2</v>
      </c>
      <c r="J10" s="20">
        <v>8.4612874926497019E-3</v>
      </c>
      <c r="K10" s="20">
        <v>0.52493624043269527</v>
      </c>
      <c r="L10" s="20">
        <v>0</v>
      </c>
    </row>
    <row r="11" spans="1:14">
      <c r="A11" s="2" t="s">
        <v>369</v>
      </c>
      <c r="B11" s="3" t="s">
        <v>370</v>
      </c>
      <c r="D11" s="20">
        <v>4.7015277625814236E-11</v>
      </c>
      <c r="E11" s="20">
        <v>0.767431959948213</v>
      </c>
      <c r="F11" s="20">
        <v>0.44064170138099434</v>
      </c>
      <c r="G11" s="20">
        <v>0.32194372700818746</v>
      </c>
      <c r="H11" s="20">
        <v>0</v>
      </c>
      <c r="I11" s="20">
        <v>4.8465315590312487E-3</v>
      </c>
      <c r="J11" s="20">
        <v>9.25794633141859E-2</v>
      </c>
      <c r="K11" s="20">
        <v>0.13998857669058581</v>
      </c>
      <c r="L11" s="20">
        <v>0</v>
      </c>
    </row>
    <row r="12" spans="1:14">
      <c r="A12" s="2" t="s">
        <v>371</v>
      </c>
      <c r="B12" s="3" t="s">
        <v>372</v>
      </c>
      <c r="D12" s="20">
        <v>7.4701363768553991E-2</v>
      </c>
      <c r="E12" s="20">
        <v>0.92087927628898558</v>
      </c>
      <c r="F12" s="20">
        <v>2.5794322128775382E-6</v>
      </c>
      <c r="G12" s="20">
        <v>1.2785332711959471E-6</v>
      </c>
      <c r="H12" s="20">
        <v>0</v>
      </c>
      <c r="I12" s="20">
        <v>0.9208754183235015</v>
      </c>
      <c r="J12" s="20">
        <v>2.3696862149113132E-4</v>
      </c>
      <c r="K12" s="20">
        <v>4.182391320969224E-3</v>
      </c>
      <c r="L12" s="20">
        <v>0</v>
      </c>
    </row>
    <row r="13" spans="1:14">
      <c r="A13" s="2" t="s">
        <v>293</v>
      </c>
      <c r="B13" s="3" t="s">
        <v>294</v>
      </c>
      <c r="D13" s="20">
        <v>2.0790198774685368E-8</v>
      </c>
      <c r="E13" s="20">
        <v>0.64549264320008459</v>
      </c>
      <c r="F13" s="20">
        <v>1.6677573239187535E-2</v>
      </c>
      <c r="G13" s="20">
        <v>4.2778781678985056E-3</v>
      </c>
      <c r="H13" s="20">
        <v>0</v>
      </c>
      <c r="I13" s="20">
        <v>0.6245371917929986</v>
      </c>
      <c r="J13" s="20">
        <v>7.2101064114892216E-4</v>
      </c>
      <c r="K13" s="20">
        <v>0.35378632536856774</v>
      </c>
      <c r="L13" s="20">
        <v>0</v>
      </c>
    </row>
    <row r="14" spans="1:14">
      <c r="A14" s="2" t="s">
        <v>373</v>
      </c>
      <c r="B14" s="3" t="s">
        <v>374</v>
      </c>
      <c r="D14" s="20">
        <v>7.8726252021872313E-7</v>
      </c>
      <c r="E14" s="20">
        <v>0.98974855512708204</v>
      </c>
      <c r="F14" s="20">
        <v>0.90723399658867032</v>
      </c>
      <c r="G14" s="20">
        <v>1.4212974158203098E-3</v>
      </c>
      <c r="H14" s="20">
        <v>0</v>
      </c>
      <c r="I14" s="20">
        <v>8.1093261122591451E-2</v>
      </c>
      <c r="J14" s="20">
        <v>3.0760592001213183E-3</v>
      </c>
      <c r="K14" s="20">
        <v>7.1745984102765418E-3</v>
      </c>
      <c r="L14" s="20">
        <v>0</v>
      </c>
    </row>
    <row r="15" spans="1:14">
      <c r="A15" s="2" t="s">
        <v>375</v>
      </c>
      <c r="B15" s="3" t="s">
        <v>376</v>
      </c>
      <c r="D15" s="20">
        <v>8.6890008989379763E-2</v>
      </c>
      <c r="E15" s="20">
        <v>0.78297817739027897</v>
      </c>
      <c r="F15" s="20">
        <v>1.9862964071629104E-3</v>
      </c>
      <c r="G15" s="20">
        <v>6.0581442826949938E-4</v>
      </c>
      <c r="H15" s="20">
        <v>0</v>
      </c>
      <c r="I15" s="20">
        <v>0.78038606655484655</v>
      </c>
      <c r="J15" s="20">
        <v>2.7873726806109333E-4</v>
      </c>
      <c r="K15" s="20">
        <v>0.12985307635228016</v>
      </c>
      <c r="L15" s="20">
        <v>0</v>
      </c>
    </row>
    <row r="16" spans="1:14">
      <c r="A16" s="2" t="s">
        <v>377</v>
      </c>
      <c r="B16" s="3" t="s">
        <v>378</v>
      </c>
      <c r="D16" s="20">
        <v>8.1183865694694362E-4</v>
      </c>
      <c r="E16" s="20">
        <v>0.62241858806413575</v>
      </c>
      <c r="F16" s="20">
        <v>1.9504909606735354E-2</v>
      </c>
      <c r="G16" s="20">
        <v>4.9299157487370307E-3</v>
      </c>
      <c r="H16" s="20">
        <v>0</v>
      </c>
      <c r="I16" s="20">
        <v>0.59798376270866338</v>
      </c>
      <c r="J16" s="20">
        <v>8.0049482009523403E-4</v>
      </c>
      <c r="K16" s="20">
        <v>0.3759690784588221</v>
      </c>
      <c r="L16" s="20">
        <v>0</v>
      </c>
    </row>
    <row r="17" spans="1:12">
      <c r="A17" s="2" t="s">
        <v>379</v>
      </c>
      <c r="B17" s="3" t="s">
        <v>380</v>
      </c>
      <c r="D17" s="20">
        <v>2.3999741228524409E-3</v>
      </c>
      <c r="E17" s="20">
        <v>0.63553451739362221</v>
      </c>
      <c r="F17" s="20">
        <v>1.7655530601820169E-2</v>
      </c>
      <c r="G17" s="20">
        <v>4.5037713025695278E-3</v>
      </c>
      <c r="H17" s="20">
        <v>0</v>
      </c>
      <c r="I17" s="20">
        <v>0.61337521548923246</v>
      </c>
      <c r="J17" s="20">
        <v>7.4803906609673012E-4</v>
      </c>
      <c r="K17" s="20">
        <v>0.3613174694174287</v>
      </c>
      <c r="L17" s="20">
        <v>0</v>
      </c>
    </row>
    <row r="18" spans="1:12">
      <c r="A18" s="2" t="s">
        <v>381</v>
      </c>
      <c r="B18" s="3" t="s">
        <v>382</v>
      </c>
      <c r="D18" s="20">
        <v>2.3153976801690183E-7</v>
      </c>
      <c r="E18" s="20">
        <v>0.49839861583666545</v>
      </c>
      <c r="F18" s="20">
        <v>0.13338279347050891</v>
      </c>
      <c r="G18" s="20">
        <v>0.36140600476381407</v>
      </c>
      <c r="H18" s="20">
        <v>0</v>
      </c>
      <c r="I18" s="20">
        <v>3.6098176023424723E-3</v>
      </c>
      <c r="J18" s="20">
        <v>5.087994355843093E-2</v>
      </c>
      <c r="K18" s="20">
        <v>0.45072120906513552</v>
      </c>
      <c r="L18" s="20">
        <v>0</v>
      </c>
    </row>
    <row r="19" spans="1:12">
      <c r="A19" s="2" t="s">
        <v>383</v>
      </c>
      <c r="B19" s="3" t="s">
        <v>384</v>
      </c>
      <c r="D19" s="20">
        <v>1.182125078417617E-2</v>
      </c>
      <c r="E19" s="20">
        <v>0.91101422242184171</v>
      </c>
      <c r="F19" s="20">
        <v>6.3115735245063587E-4</v>
      </c>
      <c r="G19" s="20">
        <v>2.1185230867465878E-4</v>
      </c>
      <c r="H19" s="20">
        <v>0</v>
      </c>
      <c r="I19" s="20">
        <v>0.91017121276071644</v>
      </c>
      <c r="J19" s="20">
        <v>2.6107531522315237E-4</v>
      </c>
      <c r="K19" s="20">
        <v>7.6903451478758933E-2</v>
      </c>
      <c r="L19" s="20">
        <v>0</v>
      </c>
    </row>
    <row r="20" spans="1:12">
      <c r="A20" s="2" t="s">
        <v>385</v>
      </c>
      <c r="B20" s="3" t="s">
        <v>386</v>
      </c>
      <c r="D20" s="20">
        <v>2.2204231905403965E-2</v>
      </c>
      <c r="E20" s="20">
        <v>0.8752616396898234</v>
      </c>
      <c r="F20" s="20">
        <v>1.132165637524272E-3</v>
      </c>
      <c r="G20" s="20">
        <v>3.6291550637944868E-4</v>
      </c>
      <c r="H20" s="20">
        <v>0</v>
      </c>
      <c r="I20" s="20">
        <v>0.87376655854591967</v>
      </c>
      <c r="J20" s="20">
        <v>2.7121640864932381E-4</v>
      </c>
      <c r="K20" s="20">
        <v>0.10226291199612332</v>
      </c>
      <c r="L20" s="20">
        <v>0</v>
      </c>
    </row>
    <row r="21" spans="1:12">
      <c r="A21" s="2" t="s">
        <v>387</v>
      </c>
      <c r="B21" s="3" t="s">
        <v>388</v>
      </c>
      <c r="D21" s="20">
        <v>7.1703890285075862E-3</v>
      </c>
      <c r="E21" s="20">
        <v>0.72656649523485262</v>
      </c>
      <c r="F21" s="20">
        <v>0.3044666491015105</v>
      </c>
      <c r="G21" s="20">
        <v>1.2287368687486439E-2</v>
      </c>
      <c r="H21" s="20">
        <v>0</v>
      </c>
      <c r="I21" s="20">
        <v>0.40981247744585569</v>
      </c>
      <c r="J21" s="20">
        <v>2.1612190281633968E-3</v>
      </c>
      <c r="K21" s="20">
        <v>0.26410189670847617</v>
      </c>
      <c r="L21" s="20">
        <v>0</v>
      </c>
    </row>
    <row r="22" spans="1:12">
      <c r="A22" s="2" t="s">
        <v>295</v>
      </c>
      <c r="B22" s="3" t="s">
        <v>296</v>
      </c>
      <c r="D22" s="20">
        <v>6.5412302002395742E-2</v>
      </c>
      <c r="E22" s="20">
        <v>0.90482847166465963</v>
      </c>
      <c r="F22" s="20">
        <v>1.0109592448200701E-4</v>
      </c>
      <c r="G22" s="20">
        <v>3.8817646741936594E-5</v>
      </c>
      <c r="H22" s="20">
        <v>0</v>
      </c>
      <c r="I22" s="20">
        <v>0.90468855809343574</v>
      </c>
      <c r="J22" s="20">
        <v>2.37494290552346E-4</v>
      </c>
      <c r="K22" s="20">
        <v>2.9521732042392317E-2</v>
      </c>
      <c r="L22" s="20">
        <v>0</v>
      </c>
    </row>
    <row r="23" spans="1:12">
      <c r="A23" s="2" t="s">
        <v>389</v>
      </c>
      <c r="B23" s="3" t="s">
        <v>390</v>
      </c>
      <c r="D23" s="20">
        <v>7.1543950433015632E-2</v>
      </c>
      <c r="E23" s="20">
        <v>0.75694985563803285</v>
      </c>
      <c r="F23" s="20">
        <v>3.4901744245174593E-3</v>
      </c>
      <c r="G23" s="20">
        <v>1.0184569756739111E-3</v>
      </c>
      <c r="H23" s="20">
        <v>0</v>
      </c>
      <c r="I23" s="20">
        <v>0.75244122423784143</v>
      </c>
      <c r="J23" s="20">
        <v>3.2528908881346232E-4</v>
      </c>
      <c r="K23" s="20">
        <v>0.17118090484013809</v>
      </c>
      <c r="L23" s="20">
        <v>0</v>
      </c>
    </row>
    <row r="24" spans="1:12">
      <c r="A24" s="2" t="s">
        <v>391</v>
      </c>
      <c r="B24" s="3" t="s">
        <v>392</v>
      </c>
      <c r="D24" s="20">
        <v>2.6507761959250996E-3</v>
      </c>
      <c r="E24" s="20">
        <v>0.55051248385426044</v>
      </c>
      <c r="F24" s="20">
        <v>3.1192291216523421E-2</v>
      </c>
      <c r="G24" s="20">
        <v>7.5290959575993509E-3</v>
      </c>
      <c r="H24" s="20">
        <v>0</v>
      </c>
      <c r="I24" s="20">
        <v>0.51179109668013767</v>
      </c>
      <c r="J24" s="20">
        <v>1.1235741631619568E-3</v>
      </c>
      <c r="K24" s="20">
        <v>0.44571316578665254</v>
      </c>
      <c r="L24" s="20">
        <v>0</v>
      </c>
    </row>
    <row r="25" spans="1:12">
      <c r="A25" s="2" t="s">
        <v>393</v>
      </c>
      <c r="B25" s="3" t="s">
        <v>394</v>
      </c>
      <c r="D25" s="20">
        <v>1.024376586916502E-3</v>
      </c>
      <c r="E25" s="20">
        <v>0.47673756233215436</v>
      </c>
      <c r="F25" s="20">
        <v>0.15287408075240447</v>
      </c>
      <c r="G25" s="20">
        <v>0.31902845007561387</v>
      </c>
      <c r="H25" s="20">
        <v>0</v>
      </c>
      <c r="I25" s="20">
        <v>4.8350315041360151E-3</v>
      </c>
      <c r="J25" s="20">
        <v>4.4772508225088506E-2</v>
      </c>
      <c r="K25" s="20">
        <v>0.47746555285584069</v>
      </c>
      <c r="L25" s="20">
        <v>0</v>
      </c>
    </row>
    <row r="26" spans="1:12">
      <c r="A26" s="2" t="s">
        <v>395</v>
      </c>
      <c r="B26" s="3" t="s">
        <v>396</v>
      </c>
      <c r="D26" s="20">
        <v>0.22884837267775673</v>
      </c>
      <c r="E26" s="20">
        <v>0.31543350457386254</v>
      </c>
      <c r="F26" s="20">
        <v>6.5920735370277178E-2</v>
      </c>
      <c r="G26" s="20">
        <v>1.4220589460799977E-2</v>
      </c>
      <c r="H26" s="20">
        <v>0</v>
      </c>
      <c r="I26" s="20">
        <v>0.23529217974278541</v>
      </c>
      <c r="J26" s="20">
        <v>1.9539223512856523E-3</v>
      </c>
      <c r="K26" s="20">
        <v>0.45376420039709497</v>
      </c>
      <c r="L26" s="20">
        <v>0</v>
      </c>
    </row>
    <row r="27" spans="1:12">
      <c r="A27" s="2" t="s">
        <v>397</v>
      </c>
      <c r="B27" s="3" t="s">
        <v>398</v>
      </c>
      <c r="D27" s="20">
        <v>0.82988930143146344</v>
      </c>
      <c r="E27" s="20">
        <v>6.3843310917800225E-2</v>
      </c>
      <c r="F27" s="20">
        <v>3.496989922529814E-2</v>
      </c>
      <c r="G27" s="20">
        <v>6.6433928715172704E-3</v>
      </c>
      <c r="H27" s="20">
        <v>0</v>
      </c>
      <c r="I27" s="20">
        <v>2.2230018820984812E-2</v>
      </c>
      <c r="J27" s="20">
        <v>9.0088460786242306E-4</v>
      </c>
      <c r="K27" s="20">
        <v>0.10536650304287389</v>
      </c>
      <c r="L27" s="20">
        <v>0</v>
      </c>
    </row>
    <row r="28" spans="1:12">
      <c r="A28" s="2" t="s">
        <v>399</v>
      </c>
      <c r="B28" s="3" t="s">
        <v>400</v>
      </c>
      <c r="D28" s="20">
        <v>0.87445411056431721</v>
      </c>
      <c r="E28" s="20">
        <v>4.8997671945291726E-2</v>
      </c>
      <c r="F28" s="20">
        <v>1.2930378520255772E-2</v>
      </c>
      <c r="G28" s="20">
        <v>2.72337090791322E-3</v>
      </c>
      <c r="H28" s="20">
        <v>0</v>
      </c>
      <c r="I28" s="20">
        <v>3.3343922517122732E-2</v>
      </c>
      <c r="J28" s="20">
        <v>3.7199643589328006E-4</v>
      </c>
      <c r="K28" s="20">
        <v>7.6176221054497714E-2</v>
      </c>
      <c r="L28" s="20">
        <v>0</v>
      </c>
    </row>
    <row r="29" spans="1:12">
      <c r="A29" s="2" t="s">
        <v>297</v>
      </c>
      <c r="B29" s="3" t="s">
        <v>298</v>
      </c>
      <c r="D29" s="20">
        <v>0.93249681099420689</v>
      </c>
      <c r="E29" s="20">
        <v>5.9560177835257869E-2</v>
      </c>
      <c r="F29" s="20">
        <v>9.8882985472226168E-5</v>
      </c>
      <c r="G29" s="20">
        <v>3.1118390437354874E-5</v>
      </c>
      <c r="H29" s="20">
        <v>0</v>
      </c>
      <c r="I29" s="20">
        <v>5.943017645934829E-2</v>
      </c>
      <c r="J29" s="20">
        <v>1.9279574492724242E-5</v>
      </c>
      <c r="K29" s="20">
        <v>7.9237315960426526E-3</v>
      </c>
      <c r="L29" s="20">
        <v>0</v>
      </c>
    </row>
    <row r="30" spans="1:12">
      <c r="A30" s="2" t="s">
        <v>401</v>
      </c>
      <c r="B30" s="3" t="s">
        <v>402</v>
      </c>
      <c r="D30" s="20">
        <v>0.95402531391053091</v>
      </c>
      <c r="E30" s="20">
        <v>1.8120073059208534E-2</v>
      </c>
      <c r="F30" s="20">
        <v>4.5397727453361687E-3</v>
      </c>
      <c r="G30" s="20">
        <v>9.6145656361984781E-4</v>
      </c>
      <c r="H30" s="20">
        <v>0</v>
      </c>
      <c r="I30" s="20">
        <v>1.2618843750252519E-2</v>
      </c>
      <c r="J30" s="20">
        <v>1.3148062509083639E-4</v>
      </c>
      <c r="K30" s="20">
        <v>2.7723132405169826E-2</v>
      </c>
      <c r="L30" s="20">
        <v>0</v>
      </c>
    </row>
    <row r="31" spans="1:12">
      <c r="A31" s="2" t="s">
        <v>299</v>
      </c>
      <c r="B31" s="3" t="s">
        <v>300</v>
      </c>
      <c r="D31" s="20">
        <v>0.99881858368050791</v>
      </c>
      <c r="E31" s="20">
        <v>5.3654308483243752E-4</v>
      </c>
      <c r="F31" s="20">
        <v>7.0886058528068919E-5</v>
      </c>
      <c r="G31" s="20">
        <v>1.5953514976008449E-5</v>
      </c>
      <c r="H31" s="20">
        <v>0</v>
      </c>
      <c r="I31" s="20">
        <v>4.4970351132836016E-4</v>
      </c>
      <c r="J31" s="20">
        <v>2.2313687878067924E-6</v>
      </c>
      <c r="K31" s="20">
        <v>6.4264186587171482E-4</v>
      </c>
      <c r="L31" s="20">
        <v>0</v>
      </c>
    </row>
    <row r="32" spans="1:12">
      <c r="A32" s="2" t="s">
        <v>343</v>
      </c>
      <c r="B32" s="3" t="s">
        <v>344</v>
      </c>
      <c r="D32" s="20">
        <v>2.2678528621835246E-3</v>
      </c>
      <c r="E32" s="20">
        <v>0.66892205726563247</v>
      </c>
      <c r="F32" s="20">
        <v>1.3889579218573873E-2</v>
      </c>
      <c r="G32" s="20">
        <v>3.622301906609443E-3</v>
      </c>
      <c r="H32" s="20">
        <v>0</v>
      </c>
      <c r="I32" s="20">
        <v>0.65141017614044916</v>
      </c>
      <c r="J32" s="20">
        <v>6.4130043275029678E-4</v>
      </c>
      <c r="K32" s="20">
        <v>0.32816878943943367</v>
      </c>
      <c r="L32" s="20">
        <v>0</v>
      </c>
    </row>
    <row r="33" spans="1:12">
      <c r="A33" s="2" t="s">
        <v>345</v>
      </c>
      <c r="B33" s="3" t="s">
        <v>346</v>
      </c>
      <c r="D33" s="20">
        <v>8.9294349744031278E-5</v>
      </c>
      <c r="E33" s="20">
        <v>0.76886724266510531</v>
      </c>
      <c r="F33" s="20">
        <v>6.1192499631636341E-3</v>
      </c>
      <c r="G33" s="20">
        <v>1.7147221159271454E-3</v>
      </c>
      <c r="H33" s="20">
        <v>0</v>
      </c>
      <c r="I33" s="20">
        <v>0.76103327058601455</v>
      </c>
      <c r="J33" s="20">
        <v>4.1846493559680685E-4</v>
      </c>
      <c r="K33" s="20">
        <v>0.23062499804955383</v>
      </c>
      <c r="L33" s="20">
        <v>0</v>
      </c>
    </row>
    <row r="34" spans="1:12">
      <c r="A34" s="2" t="s">
        <v>347</v>
      </c>
      <c r="B34" s="3" t="s">
        <v>348</v>
      </c>
      <c r="D34" s="20">
        <v>1.3438350536081848E-4</v>
      </c>
      <c r="E34" s="20">
        <v>0.41938070538765765</v>
      </c>
      <c r="F34" s="20">
        <v>7.8166412514384692E-2</v>
      </c>
      <c r="G34" s="20">
        <v>1.7049660502679052E-2</v>
      </c>
      <c r="H34" s="20">
        <v>0</v>
      </c>
      <c r="I34" s="20">
        <v>0.3241646323705939</v>
      </c>
      <c r="J34" s="20">
        <v>2.3511038095412975E-3</v>
      </c>
      <c r="K34" s="20">
        <v>0.57813380729744035</v>
      </c>
      <c r="L34" s="20">
        <v>0</v>
      </c>
    </row>
    <row r="35" spans="1:12">
      <c r="A35" s="2" t="s">
        <v>349</v>
      </c>
      <c r="B35" s="3" t="s">
        <v>350</v>
      </c>
      <c r="D35" s="20">
        <v>5.0305518946672539E-2</v>
      </c>
      <c r="E35" s="20">
        <v>0.38953562343410908</v>
      </c>
      <c r="F35" s="20">
        <v>0.26320240201952022</v>
      </c>
      <c r="G35" s="20">
        <v>4.7313535704740346E-2</v>
      </c>
      <c r="H35" s="20">
        <v>0</v>
      </c>
      <c r="I35" s="20">
        <v>7.9019685709848506E-2</v>
      </c>
      <c r="J35" s="20">
        <v>6.4288819167808041E-3</v>
      </c>
      <c r="K35" s="20">
        <v>0.55372997570243765</v>
      </c>
      <c r="L35" s="20">
        <v>0</v>
      </c>
    </row>
    <row r="36" spans="1:12">
      <c r="A36" s="2" t="s">
        <v>351</v>
      </c>
      <c r="B36" s="3" t="s">
        <v>352</v>
      </c>
      <c r="D36" s="20">
        <v>1.6816967121993369E-3</v>
      </c>
      <c r="E36" s="20">
        <v>0.42873472080155262</v>
      </c>
      <c r="F36" s="20">
        <v>0.27849787772294909</v>
      </c>
      <c r="G36" s="20">
        <v>0.1285634284414536</v>
      </c>
      <c r="H36" s="20">
        <v>0</v>
      </c>
      <c r="I36" s="20">
        <v>2.1673414637149918E-2</v>
      </c>
      <c r="J36" s="20">
        <v>1.7722109328508841E-2</v>
      </c>
      <c r="K36" s="20">
        <v>0.55186147315773915</v>
      </c>
      <c r="L36" s="20">
        <v>0</v>
      </c>
    </row>
    <row r="37" spans="1:12">
      <c r="A37" s="2" t="s">
        <v>353</v>
      </c>
      <c r="B37" s="3" t="s">
        <v>354</v>
      </c>
      <c r="D37" s="20">
        <v>1.3315129444628589E-2</v>
      </c>
      <c r="E37" s="20">
        <v>0.48565918681109282</v>
      </c>
      <c r="F37" s="20">
        <v>0.13687357405249403</v>
      </c>
      <c r="G37" s="20">
        <v>0.34491744716786787</v>
      </c>
      <c r="H37" s="20">
        <v>0</v>
      </c>
      <c r="I37" s="20">
        <v>3.8681655907308972E-3</v>
      </c>
      <c r="J37" s="20">
        <v>4.851608744233938E-2</v>
      </c>
      <c r="K37" s="20">
        <v>0.45250959630193915</v>
      </c>
      <c r="L37" s="20">
        <v>0</v>
      </c>
    </row>
    <row r="38" spans="1:12">
      <c r="A38" s="2" t="s">
        <v>355</v>
      </c>
      <c r="B38" s="3" t="s">
        <v>356</v>
      </c>
      <c r="D38" s="20">
        <v>6.4799770457514864E-4</v>
      </c>
      <c r="E38" s="20">
        <v>0.43201969127539852</v>
      </c>
      <c r="F38" s="20">
        <v>0.22701140800720251</v>
      </c>
      <c r="G38" s="20">
        <v>0.19272730021818243</v>
      </c>
      <c r="H38" s="20">
        <v>0</v>
      </c>
      <c r="I38" s="20">
        <v>1.2280983050013581E-2</v>
      </c>
      <c r="J38" s="20">
        <v>2.6757421447380244E-2</v>
      </c>
      <c r="K38" s="20">
        <v>0.54057488957264599</v>
      </c>
      <c r="L38" s="20">
        <v>0</v>
      </c>
    </row>
    <row r="39" spans="1:12">
      <c r="A39" s="2" t="s">
        <v>357</v>
      </c>
      <c r="B39" s="3" t="s">
        <v>358</v>
      </c>
      <c r="D39" s="20">
        <v>0.11613947515306296</v>
      </c>
      <c r="E39" s="20">
        <v>0.37831097997803526</v>
      </c>
      <c r="F39" s="20">
        <v>0.23358990711117053</v>
      </c>
      <c r="G39" s="20">
        <v>0.12833633402217598</v>
      </c>
      <c r="H39" s="20">
        <v>0</v>
      </c>
      <c r="I39" s="20">
        <v>1.6384738844688742E-2</v>
      </c>
      <c r="J39" s="20">
        <v>1.7726559238262038E-2</v>
      </c>
      <c r="K39" s="20">
        <v>0.48782298563063986</v>
      </c>
      <c r="L39" s="20">
        <v>0</v>
      </c>
    </row>
    <row r="40" spans="1:12">
      <c r="A40" s="2" t="s">
        <v>359</v>
      </c>
      <c r="B40" s="3" t="s">
        <v>360</v>
      </c>
      <c r="D40" s="20">
        <v>6.4799770457514864E-4</v>
      </c>
      <c r="E40" s="20">
        <v>0.43201969127539852</v>
      </c>
      <c r="F40" s="20">
        <v>0.22701140800720251</v>
      </c>
      <c r="G40" s="20">
        <v>0.19272730021818243</v>
      </c>
      <c r="H40" s="20">
        <v>0</v>
      </c>
      <c r="I40" s="20">
        <v>1.2280983050013581E-2</v>
      </c>
      <c r="J40" s="20">
        <v>2.6757421447380244E-2</v>
      </c>
      <c r="K40" s="20">
        <v>0.54057488957264599</v>
      </c>
      <c r="L40" s="20">
        <v>0</v>
      </c>
    </row>
    <row r="41" spans="1:12">
      <c r="A41" s="2" t="s">
        <v>313</v>
      </c>
      <c r="B41" s="3" t="s">
        <v>314</v>
      </c>
      <c r="D41" s="20">
        <v>5.8302116185938077E-8</v>
      </c>
      <c r="E41" s="20">
        <v>0.99954569813611682</v>
      </c>
      <c r="F41" s="20">
        <v>4.7312526685924549E-3</v>
      </c>
      <c r="G41" s="20">
        <v>1.1258918920750828E-6</v>
      </c>
      <c r="H41" s="20">
        <v>0</v>
      </c>
      <c r="I41" s="20">
        <v>0.99481331957563224</v>
      </c>
      <c r="J41" s="20">
        <v>2.6691270379103246E-4</v>
      </c>
      <c r="K41" s="20">
        <v>1.8733085797615847E-4</v>
      </c>
      <c r="L41" s="20">
        <v>0</v>
      </c>
    </row>
    <row r="42" spans="1:12">
      <c r="A42" s="2" t="s">
        <v>315</v>
      </c>
      <c r="B42" s="3" t="s">
        <v>316</v>
      </c>
      <c r="D42" s="20">
        <v>1.9326365724432949E-2</v>
      </c>
      <c r="E42" s="20">
        <v>0.48876649507933573</v>
      </c>
      <c r="F42" s="20">
        <v>0.13080501910911513</v>
      </c>
      <c r="G42" s="20">
        <v>0.35442142220339629</v>
      </c>
      <c r="H42" s="20">
        <v>0</v>
      </c>
      <c r="I42" s="20">
        <v>3.5400537668243332E-3</v>
      </c>
      <c r="J42" s="20">
        <v>4.9896630714236487E-2</v>
      </c>
      <c r="K42" s="20">
        <v>0.4420105084819948</v>
      </c>
      <c r="L42" s="20">
        <v>0</v>
      </c>
    </row>
    <row r="43" spans="1:12">
      <c r="A43" s="2" t="s">
        <v>317</v>
      </c>
      <c r="B43" s="3" t="s">
        <v>318</v>
      </c>
      <c r="D43" s="20">
        <v>6.1197302605713916E-12</v>
      </c>
      <c r="E43" s="20">
        <v>0.53531360694487229</v>
      </c>
      <c r="F43" s="20">
        <v>3.4850297920868509E-2</v>
      </c>
      <c r="G43" s="20">
        <v>8.3195924174378297E-3</v>
      </c>
      <c r="H43" s="20">
        <v>0</v>
      </c>
      <c r="I43" s="20">
        <v>0.49214371660656597</v>
      </c>
      <c r="J43" s="20">
        <v>1.2238065947504425E-3</v>
      </c>
      <c r="K43" s="20">
        <v>0.46346258645425747</v>
      </c>
      <c r="L43" s="20">
        <v>0</v>
      </c>
    </row>
    <row r="44" spans="1:12">
      <c r="A44" s="2" t="s">
        <v>307</v>
      </c>
      <c r="B44" s="3" t="s">
        <v>308</v>
      </c>
      <c r="D44" s="20">
        <v>5.6238474201774106E-4</v>
      </c>
      <c r="E44" s="20">
        <v>0.44118080393853476</v>
      </c>
      <c r="F44" s="20">
        <v>0.31674352402087796</v>
      </c>
      <c r="G44" s="20">
        <v>9.1918578538972784E-2</v>
      </c>
      <c r="H44" s="20">
        <v>0</v>
      </c>
      <c r="I44" s="20">
        <v>3.2518701378683998E-2</v>
      </c>
      <c r="J44" s="20">
        <v>1.2604586643406083E-2</v>
      </c>
      <c r="K44" s="20">
        <v>0.54565222467604146</v>
      </c>
      <c r="L44" s="20">
        <v>0</v>
      </c>
    </row>
    <row r="45" spans="1:12">
      <c r="A45" s="2" t="s">
        <v>319</v>
      </c>
      <c r="B45" s="3" t="s">
        <v>320</v>
      </c>
      <c r="D45" s="20">
        <v>7.0736155903418656E-5</v>
      </c>
      <c r="E45" s="20">
        <v>0.55576333316663329</v>
      </c>
      <c r="F45" s="20">
        <v>9.3716415598676175E-2</v>
      </c>
      <c r="G45" s="20">
        <v>0.4602684697814054</v>
      </c>
      <c r="H45" s="20">
        <v>0</v>
      </c>
      <c r="I45" s="20">
        <v>1.7784477865517218E-3</v>
      </c>
      <c r="J45" s="20">
        <v>6.5266584758490759E-2</v>
      </c>
      <c r="K45" s="20">
        <v>0.37889934591897245</v>
      </c>
      <c r="L45" s="20">
        <v>0</v>
      </c>
    </row>
    <row r="46" spans="1:12">
      <c r="A46" s="2" t="s">
        <v>321</v>
      </c>
      <c r="B46" s="3" t="s">
        <v>322</v>
      </c>
      <c r="D46" s="20">
        <v>9.5821120494643251E-5</v>
      </c>
      <c r="E46" s="20">
        <v>0.50605382506436036</v>
      </c>
      <c r="F46" s="20">
        <v>0.12709704692155266</v>
      </c>
      <c r="G46" s="20">
        <v>0.37569119376677007</v>
      </c>
      <c r="H46" s="20">
        <v>0</v>
      </c>
      <c r="I46" s="20">
        <v>3.2655843760376153E-3</v>
      </c>
      <c r="J46" s="20">
        <v>5.294675284195894E-2</v>
      </c>
      <c r="K46" s="20">
        <v>0.44090360097318626</v>
      </c>
      <c r="L46" s="20">
        <v>0</v>
      </c>
    </row>
    <row r="47" spans="1:12">
      <c r="A47" s="2" t="s">
        <v>323</v>
      </c>
      <c r="B47" s="3" t="s">
        <v>324</v>
      </c>
      <c r="D47" s="20">
        <v>8.2319890922460568E-4</v>
      </c>
      <c r="E47" s="20">
        <v>0.45727264051826144</v>
      </c>
      <c r="F47" s="20">
        <v>0.17594583926895269</v>
      </c>
      <c r="G47" s="20">
        <v>0.27471005544291399</v>
      </c>
      <c r="H47" s="20">
        <v>0</v>
      </c>
      <c r="I47" s="20">
        <v>6.6167458063947646E-3</v>
      </c>
      <c r="J47" s="20">
        <v>3.8418406228586402E-2</v>
      </c>
      <c r="K47" s="20">
        <v>0.50348575434392751</v>
      </c>
      <c r="L47" s="20">
        <v>0</v>
      </c>
    </row>
    <row r="48" spans="1:12">
      <c r="A48" s="2" t="s">
        <v>325</v>
      </c>
      <c r="B48" s="3" t="s">
        <v>326</v>
      </c>
      <c r="D48" s="20">
        <v>2.8478360507879885E-4</v>
      </c>
      <c r="E48" s="20">
        <v>0.368058366553005</v>
      </c>
      <c r="F48" s="20">
        <v>0.16779893432945031</v>
      </c>
      <c r="G48" s="20">
        <v>3.2952225711038265E-2</v>
      </c>
      <c r="H48" s="20">
        <v>0</v>
      </c>
      <c r="I48" s="20">
        <v>0.1673072065125164</v>
      </c>
      <c r="J48" s="20">
        <v>4.4693641303151328E-3</v>
      </c>
      <c r="K48" s="20">
        <v>0.6271874857116011</v>
      </c>
      <c r="L48" s="20">
        <v>0</v>
      </c>
    </row>
    <row r="49" spans="1:12">
      <c r="A49" s="2" t="s">
        <v>275</v>
      </c>
      <c r="B49" s="3" t="s">
        <v>276</v>
      </c>
      <c r="D49" s="20">
        <v>7.2186322079987783E-6</v>
      </c>
      <c r="E49" s="20">
        <v>0.43832497868005366</v>
      </c>
      <c r="F49" s="20">
        <v>0.30997675662040852</v>
      </c>
      <c r="G49" s="20">
        <v>9.8135171363470497E-2</v>
      </c>
      <c r="H49" s="20">
        <v>0</v>
      </c>
      <c r="I49" s="20">
        <v>3.0213050696174661E-2</v>
      </c>
      <c r="J49" s="20">
        <v>1.3469968092002928E-2</v>
      </c>
      <c r="K49" s="20">
        <v>0.54819783459573523</v>
      </c>
      <c r="L49" s="20">
        <v>0</v>
      </c>
    </row>
    <row r="50" spans="1:12">
      <c r="A50" s="2" t="s">
        <v>327</v>
      </c>
      <c r="B50" s="3" t="s">
        <v>328</v>
      </c>
      <c r="D50" s="20">
        <v>3.7539450126719955E-4</v>
      </c>
      <c r="E50" s="20">
        <v>0.43385409869406188</v>
      </c>
      <c r="F50" s="20">
        <v>0.29810010000695231</v>
      </c>
      <c r="G50" s="20">
        <v>0.10910827184989694</v>
      </c>
      <c r="H50" s="20">
        <v>0</v>
      </c>
      <c r="I50" s="20">
        <v>2.6645726837212634E-2</v>
      </c>
      <c r="J50" s="20">
        <v>1.500046736821027E-2</v>
      </c>
      <c r="K50" s="20">
        <v>0.55077003943646052</v>
      </c>
      <c r="L50" s="20">
        <v>0</v>
      </c>
    </row>
    <row r="51" spans="1:12">
      <c r="A51" s="2" t="s">
        <v>329</v>
      </c>
      <c r="B51" s="3" t="s">
        <v>330</v>
      </c>
      <c r="D51" s="20">
        <v>1.7367314354698246E-4</v>
      </c>
      <c r="E51" s="20">
        <v>0.37748813240503237</v>
      </c>
      <c r="F51" s="20">
        <v>0.21223005183301633</v>
      </c>
      <c r="G51" s="20">
        <v>4.0096127979762156E-2</v>
      </c>
      <c r="H51" s="20">
        <v>0</v>
      </c>
      <c r="I51" s="20">
        <v>0.12516195259225391</v>
      </c>
      <c r="J51" s="20">
        <v>5.4377742554019568E-3</v>
      </c>
      <c r="K51" s="20">
        <v>0.61690042019601854</v>
      </c>
      <c r="L51" s="20">
        <v>0</v>
      </c>
    </row>
    <row r="52" spans="1:12">
      <c r="A52" s="2" t="s">
        <v>277</v>
      </c>
      <c r="B52" s="3" t="s">
        <v>278</v>
      </c>
      <c r="D52" s="20">
        <v>4.4979443696516007E-4</v>
      </c>
      <c r="E52" s="20">
        <v>0.368239851863149</v>
      </c>
      <c r="F52" s="20">
        <v>0.17174665790823324</v>
      </c>
      <c r="G52" s="20">
        <v>3.360344862467303E-2</v>
      </c>
      <c r="H52" s="20">
        <v>0</v>
      </c>
      <c r="I52" s="20">
        <v>0.16288974533024272</v>
      </c>
      <c r="J52" s="20">
        <v>4.5572682699698674E-3</v>
      </c>
      <c r="K52" s="20">
        <v>0.62675308542991592</v>
      </c>
      <c r="L52" s="20">
        <v>0</v>
      </c>
    </row>
    <row r="53" spans="1:12">
      <c r="A53" s="2" t="s">
        <v>331</v>
      </c>
      <c r="B53" s="3" t="s">
        <v>332</v>
      </c>
      <c r="D53" s="20">
        <v>2.5192585386925835E-4</v>
      </c>
      <c r="E53" s="20">
        <v>0.42782941075280251</v>
      </c>
      <c r="F53" s="20">
        <v>0.26052353002070588</v>
      </c>
      <c r="G53" s="20">
        <v>0.14950045329851611</v>
      </c>
      <c r="H53" s="20">
        <v>0</v>
      </c>
      <c r="I53" s="20">
        <v>1.7805427433580524E-2</v>
      </c>
      <c r="J53" s="20">
        <v>2.0660365208592407E-2</v>
      </c>
      <c r="K53" s="20">
        <v>0.55125829818473593</v>
      </c>
      <c r="L53" s="20">
        <v>0</v>
      </c>
    </row>
    <row r="54" spans="1:12">
      <c r="A54" s="2" t="s">
        <v>333</v>
      </c>
      <c r="B54" s="3" t="s">
        <v>334</v>
      </c>
      <c r="D54" s="20">
        <v>4.0895603250490192E-7</v>
      </c>
      <c r="E54" s="20">
        <v>0.43603616191892053</v>
      </c>
      <c r="F54" s="20">
        <v>0.30412409790746248</v>
      </c>
      <c r="G54" s="20">
        <v>0.10352527411598285</v>
      </c>
      <c r="H54" s="20">
        <v>0</v>
      </c>
      <c r="I54" s="20">
        <v>2.838678989547519E-2</v>
      </c>
      <c r="J54" s="20">
        <v>1.4221300571490051E-2</v>
      </c>
      <c r="K54" s="20">
        <v>0.54974212855355697</v>
      </c>
      <c r="L54" s="20">
        <v>0</v>
      </c>
    </row>
    <row r="55" spans="1:12">
      <c r="A55" s="2" t="s">
        <v>335</v>
      </c>
      <c r="B55" s="3" t="s">
        <v>336</v>
      </c>
      <c r="D55" s="20">
        <v>2.1287723979206102E-3</v>
      </c>
      <c r="E55" s="20">
        <v>0.45497308359381189</v>
      </c>
      <c r="F55" s="20">
        <v>0.17807520186209794</v>
      </c>
      <c r="G55" s="20">
        <v>0.27008408937219602</v>
      </c>
      <c r="H55" s="20">
        <v>0</v>
      </c>
      <c r="I55" s="20">
        <v>6.8137923595179553E-3</v>
      </c>
      <c r="J55" s="20">
        <v>3.7758293651840046E-2</v>
      </c>
      <c r="K55" s="20">
        <v>0.5051398503564275</v>
      </c>
      <c r="L55" s="20">
        <v>0</v>
      </c>
    </row>
    <row r="56" spans="1:12">
      <c r="A56" s="2" t="s">
        <v>337</v>
      </c>
      <c r="B56" s="3" t="s">
        <v>338</v>
      </c>
      <c r="D56" s="20">
        <v>1.4442643474847085E-4</v>
      </c>
      <c r="E56" s="20">
        <v>0.44028992298656233</v>
      </c>
      <c r="F56" s="20">
        <v>0.31457260983193736</v>
      </c>
      <c r="G56" s="20">
        <v>9.3975892906063382E-2</v>
      </c>
      <c r="H56" s="20">
        <v>0</v>
      </c>
      <c r="I56" s="20">
        <v>3.174142024856158E-2</v>
      </c>
      <c r="J56" s="20">
        <v>1.289080445124049E-2</v>
      </c>
      <c r="K56" s="20">
        <v>0.54667484612744888</v>
      </c>
      <c r="L56" s="20">
        <v>0</v>
      </c>
    </row>
    <row r="57" spans="1:12">
      <c r="A57" s="2" t="s">
        <v>279</v>
      </c>
      <c r="B57" s="3" t="s">
        <v>280</v>
      </c>
      <c r="D57" s="20">
        <v>7.9685865486043006E-3</v>
      </c>
      <c r="E57" s="20">
        <v>0.36587681762601937</v>
      </c>
      <c r="F57" s="20">
        <v>0.1494360945267294</v>
      </c>
      <c r="G57" s="20">
        <v>2.9836719005144289E-2</v>
      </c>
      <c r="H57" s="20">
        <v>0</v>
      </c>
      <c r="I57" s="20">
        <v>0.18660400409414568</v>
      </c>
      <c r="J57" s="20">
        <v>4.0495916650839826E-3</v>
      </c>
      <c r="K57" s="20">
        <v>0.62210500416029235</v>
      </c>
      <c r="L57" s="20">
        <v>0</v>
      </c>
    </row>
    <row r="58" spans="1:12">
      <c r="A58" s="2" t="s">
        <v>339</v>
      </c>
      <c r="B58" s="3" t="s">
        <v>340</v>
      </c>
      <c r="D58" s="20">
        <v>1.4331468550243642E-6</v>
      </c>
      <c r="E58" s="20">
        <v>0.4356098538474274</v>
      </c>
      <c r="F58" s="20">
        <v>0.30294578185755228</v>
      </c>
      <c r="G58" s="20">
        <v>0.10463102148361454</v>
      </c>
      <c r="H58" s="20">
        <v>0</v>
      </c>
      <c r="I58" s="20">
        <v>2.8033050506260565E-2</v>
      </c>
      <c r="J58" s="20">
        <v>1.4375534089699188E-2</v>
      </c>
      <c r="K58" s="20">
        <v>0.55001317891601831</v>
      </c>
      <c r="L58" s="20">
        <v>0</v>
      </c>
    </row>
    <row r="59" spans="1:12">
      <c r="A59" s="2" t="s">
        <v>281</v>
      </c>
      <c r="B59" s="3" t="s">
        <v>282</v>
      </c>
      <c r="D59" s="20">
        <v>6.8105139728699991E-5</v>
      </c>
      <c r="E59" s="20">
        <v>0.36838046832192206</v>
      </c>
      <c r="F59" s="20">
        <v>0.17181224126842354</v>
      </c>
      <c r="G59" s="20">
        <v>3.3616280473057321E-2</v>
      </c>
      <c r="H59" s="20">
        <v>0</v>
      </c>
      <c r="I59" s="20">
        <v>0.16295194658044118</v>
      </c>
      <c r="J59" s="20">
        <v>4.5590085132448952E-3</v>
      </c>
      <c r="K59" s="20">
        <v>0.62699241802510441</v>
      </c>
      <c r="L59" s="20">
        <v>0</v>
      </c>
    </row>
    <row r="60" spans="1:12">
      <c r="A60" s="2" t="s">
        <v>341</v>
      </c>
      <c r="B60" s="3" t="s">
        <v>342</v>
      </c>
      <c r="D60" s="20">
        <v>2.0980598321683783E-3</v>
      </c>
      <c r="E60" s="20">
        <v>0.42762191559729734</v>
      </c>
      <c r="F60" s="20">
        <v>0.27107663385770792</v>
      </c>
      <c r="G60" s="20">
        <v>0.13651728400119367</v>
      </c>
      <c r="H60" s="20">
        <v>0</v>
      </c>
      <c r="I60" s="20">
        <v>2.0027997738395736E-2</v>
      </c>
      <c r="J60" s="20">
        <v>1.8837479363326096E-2</v>
      </c>
      <c r="K60" s="20">
        <v>0.55144254520720815</v>
      </c>
      <c r="L60" s="20">
        <v>0</v>
      </c>
    </row>
    <row r="61" spans="1:12">
      <c r="A61" s="2" t="s">
        <v>483</v>
      </c>
      <c r="B61" s="3" t="s">
        <v>484</v>
      </c>
      <c r="D61" s="20">
        <v>1.4326156160555008E-13</v>
      </c>
      <c r="E61" s="20">
        <v>0.61963905975260836</v>
      </c>
      <c r="F61" s="20">
        <v>8.3777363609358058E-2</v>
      </c>
      <c r="G61" s="20">
        <v>1.3958677919362833E-2</v>
      </c>
      <c r="H61" s="20">
        <v>0</v>
      </c>
      <c r="I61" s="20">
        <v>0.52190301822388752</v>
      </c>
      <c r="J61" s="20">
        <v>1.2945911203216403E-2</v>
      </c>
      <c r="K61" s="20">
        <v>0.36741502904403178</v>
      </c>
      <c r="L61" s="20">
        <v>0</v>
      </c>
    </row>
    <row r="62" spans="1:12">
      <c r="A62" s="2" t="s">
        <v>485</v>
      </c>
      <c r="B62" s="3" t="s">
        <v>486</v>
      </c>
      <c r="D62" s="20">
        <v>3.7087290064839924E-7</v>
      </c>
      <c r="E62" s="20">
        <v>0.4269332949268449</v>
      </c>
      <c r="F62" s="20">
        <v>7.3569756033286554E-2</v>
      </c>
      <c r="G62" s="20">
        <v>1.6165713260945899E-2</v>
      </c>
      <c r="H62" s="20">
        <v>0</v>
      </c>
      <c r="I62" s="20">
        <v>0.33719782563261247</v>
      </c>
      <c r="J62" s="20">
        <v>2.2353978567431218E-3</v>
      </c>
      <c r="K62" s="20">
        <v>0.57083093634351123</v>
      </c>
      <c r="L62" s="20">
        <v>0</v>
      </c>
    </row>
    <row r="63" spans="1:12">
      <c r="A63" s="2" t="s">
        <v>487</v>
      </c>
      <c r="B63" s="3" t="s">
        <v>488</v>
      </c>
      <c r="D63" s="20">
        <v>7.3702239372326142E-13</v>
      </c>
      <c r="E63" s="20">
        <v>0.9573841425242452</v>
      </c>
      <c r="F63" s="20">
        <v>3.287190659679621E-3</v>
      </c>
      <c r="G63" s="20">
        <v>4.3373218171302032E-4</v>
      </c>
      <c r="H63" s="20">
        <v>0</v>
      </c>
      <c r="I63" s="20">
        <v>0.9536632196828525</v>
      </c>
      <c r="J63" s="20">
        <v>1.4047507819621816E-3</v>
      </c>
      <c r="K63" s="20">
        <v>4.1211106693055673E-2</v>
      </c>
      <c r="L63" s="20">
        <v>0</v>
      </c>
    </row>
    <row r="64" spans="1:12">
      <c r="A64" s="2" t="s">
        <v>489</v>
      </c>
      <c r="B64" s="3" t="s">
        <v>490</v>
      </c>
      <c r="D64" s="20">
        <v>1.3286384800537246E-14</v>
      </c>
      <c r="E64" s="20">
        <v>0.99536499994794392</v>
      </c>
      <c r="F64" s="20">
        <v>1.2252799600383144E-3</v>
      </c>
      <c r="G64" s="20">
        <v>1.5212923849428139E-5</v>
      </c>
      <c r="H64" s="20">
        <v>0</v>
      </c>
      <c r="I64" s="20">
        <v>0.9941245070640562</v>
      </c>
      <c r="J64" s="20">
        <v>2.6053126677629468E-4</v>
      </c>
      <c r="K64" s="20">
        <v>4.3744687852665153E-3</v>
      </c>
      <c r="L64" s="20">
        <v>0</v>
      </c>
    </row>
    <row r="65" spans="1:12">
      <c r="A65" s="2" t="s">
        <v>491</v>
      </c>
      <c r="B65" s="3" t="s">
        <v>492</v>
      </c>
      <c r="D65" s="20">
        <v>2.194449250296603E-12</v>
      </c>
      <c r="E65" s="20">
        <v>0.99770849338561385</v>
      </c>
      <c r="F65" s="20">
        <v>1.5908593715257063E-4</v>
      </c>
      <c r="G65" s="20">
        <v>7.0757961256051037E-6</v>
      </c>
      <c r="H65" s="20">
        <v>0</v>
      </c>
      <c r="I65" s="20">
        <v>0.99754233165233563</v>
      </c>
      <c r="J65" s="20">
        <v>3.5834598312103883E-4</v>
      </c>
      <c r="K65" s="20">
        <v>1.9331606290706553E-3</v>
      </c>
      <c r="L65" s="20">
        <v>0</v>
      </c>
    </row>
    <row r="66" spans="1:12">
      <c r="A66" s="2" t="s">
        <v>493</v>
      </c>
      <c r="B66" s="3" t="s">
        <v>494</v>
      </c>
      <c r="D66" s="20">
        <v>3.5008426370161191E-11</v>
      </c>
      <c r="E66" s="20">
        <v>0.9671784382817632</v>
      </c>
      <c r="F66" s="20">
        <v>2.4451400914569831E-2</v>
      </c>
      <c r="G66" s="20">
        <v>6.1279693639627083E-4</v>
      </c>
      <c r="H66" s="20">
        <v>0</v>
      </c>
      <c r="I66" s="20">
        <v>0.94211424043079706</v>
      </c>
      <c r="J66" s="20">
        <v>1.1766854010369723E-2</v>
      </c>
      <c r="K66" s="20">
        <v>2.105470767285884E-2</v>
      </c>
      <c r="L66" s="20">
        <v>0</v>
      </c>
    </row>
    <row r="67" spans="1:12">
      <c r="A67" s="2" t="s">
        <v>495</v>
      </c>
      <c r="B67" s="3" t="s">
        <v>496</v>
      </c>
      <c r="D67" s="20">
        <v>1.7139787545325586E-12</v>
      </c>
      <c r="E67" s="20">
        <v>0.99748572320664808</v>
      </c>
      <c r="F67" s="20">
        <v>1.3411871967331724E-4</v>
      </c>
      <c r="G67" s="20">
        <v>7.3316940379043871E-6</v>
      </c>
      <c r="H67" s="20">
        <v>0</v>
      </c>
      <c r="I67" s="20">
        <v>0.9973442727929368</v>
      </c>
      <c r="J67" s="20">
        <v>3.4099038559340638E-4</v>
      </c>
      <c r="K67" s="20">
        <v>2.1732864060445911E-3</v>
      </c>
      <c r="L67" s="20">
        <v>0</v>
      </c>
    </row>
    <row r="68" spans="1:12">
      <c r="A68" s="2" t="s">
        <v>497</v>
      </c>
      <c r="B68" s="3" t="s">
        <v>498</v>
      </c>
      <c r="D68" s="20">
        <v>1.549739488537124E-11</v>
      </c>
      <c r="E68" s="20">
        <v>0.99885410391896889</v>
      </c>
      <c r="F68" s="20">
        <v>1.5947613727717899E-5</v>
      </c>
      <c r="G68" s="20">
        <v>1.230443804360044E-6</v>
      </c>
      <c r="H68" s="20">
        <v>0</v>
      </c>
      <c r="I68" s="20">
        <v>0.9988369258614368</v>
      </c>
      <c r="J68" s="20">
        <v>2.6797713385970931E-4</v>
      </c>
      <c r="K68" s="20">
        <v>8.7791893167418701E-4</v>
      </c>
      <c r="L68" s="20">
        <v>0</v>
      </c>
    </row>
    <row r="69" spans="1:12">
      <c r="A69" s="2" t="s">
        <v>499</v>
      </c>
      <c r="B69" s="3" t="s">
        <v>500</v>
      </c>
      <c r="D69" s="20">
        <v>3.6035798387083003E-11</v>
      </c>
      <c r="E69" s="20">
        <v>0.44632959895062507</v>
      </c>
      <c r="F69" s="20">
        <v>0.32636108129295677</v>
      </c>
      <c r="G69" s="20">
        <v>8.3966087797525929E-2</v>
      </c>
      <c r="H69" s="20">
        <v>0</v>
      </c>
      <c r="I69" s="20">
        <v>3.6002429860142404E-2</v>
      </c>
      <c r="J69" s="20">
        <v>1.1499069885396401E-2</v>
      </c>
      <c r="K69" s="20">
        <v>0.54217133112794269</v>
      </c>
      <c r="L69" s="20">
        <v>0</v>
      </c>
    </row>
    <row r="70" spans="1:12">
      <c r="A70" s="2" t="s">
        <v>501</v>
      </c>
      <c r="B70" s="3" t="s">
        <v>411</v>
      </c>
      <c r="D70" s="20">
        <v>2.8553035929927163E-13</v>
      </c>
      <c r="E70" s="20">
        <v>0.99967813225692637</v>
      </c>
      <c r="F70" s="20">
        <v>3.0983216857695364E-3</v>
      </c>
      <c r="G70" s="20">
        <v>2.9445716804380325E-7</v>
      </c>
      <c r="H70" s="20">
        <v>0</v>
      </c>
      <c r="I70" s="20">
        <v>0.99657951611398876</v>
      </c>
      <c r="J70" s="20">
        <v>2.6366616454918924E-4</v>
      </c>
      <c r="K70" s="20">
        <v>5.8201578239021973E-5</v>
      </c>
      <c r="L70" s="20">
        <v>0</v>
      </c>
    </row>
    <row r="71" spans="1:12">
      <c r="A71" s="2" t="s">
        <v>502</v>
      </c>
      <c r="B71" s="3" t="s">
        <v>412</v>
      </c>
      <c r="D71" s="20">
        <v>1.3364975573844799E-8</v>
      </c>
      <c r="E71" s="20">
        <v>0.99964915857597847</v>
      </c>
      <c r="F71" s="20">
        <v>5.9189247490300636E-3</v>
      </c>
      <c r="G71" s="20">
        <v>5.3790939850109597E-7</v>
      </c>
      <c r="H71" s="20">
        <v>0</v>
      </c>
      <c r="I71" s="20">
        <v>0.99372969591754989</v>
      </c>
      <c r="J71" s="20">
        <v>2.6912811426303901E-4</v>
      </c>
      <c r="K71" s="20">
        <v>8.1699944782802751E-5</v>
      </c>
      <c r="L71" s="20">
        <v>0</v>
      </c>
    </row>
    <row r="72" spans="1:12">
      <c r="A72" s="2" t="s">
        <v>503</v>
      </c>
      <c r="B72" s="3" t="s">
        <v>413</v>
      </c>
      <c r="D72" s="20">
        <v>1.6443021951746401E-9</v>
      </c>
      <c r="E72" s="20">
        <v>0.98690719138773475</v>
      </c>
      <c r="F72" s="20">
        <v>0.94919594284391695</v>
      </c>
      <c r="G72" s="20">
        <v>4.359334880364749E-4</v>
      </c>
      <c r="H72" s="20">
        <v>0</v>
      </c>
      <c r="I72" s="20">
        <v>3.7275315055781279E-2</v>
      </c>
      <c r="J72" s="20">
        <v>1.2252316363505582E-2</v>
      </c>
      <c r="K72" s="20">
        <v>8.4049060445774574E-4</v>
      </c>
      <c r="L72" s="20">
        <v>0</v>
      </c>
    </row>
    <row r="73" spans="1:12">
      <c r="A73" s="2" t="s">
        <v>504</v>
      </c>
      <c r="B73" s="3" t="s">
        <v>414</v>
      </c>
      <c r="D73" s="20">
        <v>1.6948653486821389E-9</v>
      </c>
      <c r="E73" s="20">
        <v>0.9982641176255338</v>
      </c>
      <c r="F73" s="20">
        <v>0.72545326114757258</v>
      </c>
      <c r="G73" s="20">
        <v>4.1934724728248139E-5</v>
      </c>
      <c r="H73" s="20">
        <v>0</v>
      </c>
      <c r="I73" s="20">
        <v>0.27276892175323297</v>
      </c>
      <c r="J73" s="20">
        <v>1.1982470492999588E-3</v>
      </c>
      <c r="K73" s="20">
        <v>5.3763363030096749E-4</v>
      </c>
      <c r="L73" s="20">
        <v>0</v>
      </c>
    </row>
    <row r="74" spans="1:12">
      <c r="A74" s="2" t="s">
        <v>505</v>
      </c>
      <c r="B74" s="3" t="s">
        <v>415</v>
      </c>
      <c r="D74" s="20">
        <v>1.6442800529237866E-9</v>
      </c>
      <c r="E74" s="20">
        <v>0.99965457450511219</v>
      </c>
      <c r="F74" s="20">
        <v>5.3585837774545887E-3</v>
      </c>
      <c r="G74" s="20">
        <v>4.89118831839212E-7</v>
      </c>
      <c r="H74" s="20">
        <v>0</v>
      </c>
      <c r="I74" s="20">
        <v>0.99429550160882574</v>
      </c>
      <c r="J74" s="20">
        <v>2.6806197068698147E-4</v>
      </c>
      <c r="K74" s="20">
        <v>7.7361879920820093E-5</v>
      </c>
      <c r="L74" s="20">
        <v>0</v>
      </c>
    </row>
    <row r="75" spans="1:12">
      <c r="A75" s="2" t="s">
        <v>506</v>
      </c>
      <c r="B75" s="3" t="s">
        <v>416</v>
      </c>
      <c r="D75" s="20">
        <v>6.9600887198619003E-9</v>
      </c>
      <c r="E75" s="20">
        <v>0.9982807286253278</v>
      </c>
      <c r="F75" s="20">
        <v>0.68942815022894366</v>
      </c>
      <c r="G75" s="20">
        <v>4.0369500089911402E-5</v>
      </c>
      <c r="H75" s="20">
        <v>0</v>
      </c>
      <c r="I75" s="20">
        <v>0.30881220889629424</v>
      </c>
      <c r="J75" s="20">
        <v>1.1636595980584275E-3</v>
      </c>
      <c r="K75" s="20">
        <v>5.5560481652499705E-4</v>
      </c>
      <c r="L75" s="20">
        <v>0</v>
      </c>
    </row>
    <row r="76" spans="1:12">
      <c r="A76" s="2" t="s">
        <v>507</v>
      </c>
      <c r="B76" s="3" t="s">
        <v>417</v>
      </c>
      <c r="D76" s="20">
        <v>4.4190474850018877E-8</v>
      </c>
      <c r="E76" s="20">
        <v>0.99920985924975236</v>
      </c>
      <c r="F76" s="20">
        <v>0.10924543982548154</v>
      </c>
      <c r="G76" s="20">
        <v>7.9445560135765623E-6</v>
      </c>
      <c r="H76" s="20">
        <v>0</v>
      </c>
      <c r="I76" s="20">
        <v>0.88995647486825724</v>
      </c>
      <c r="J76" s="20">
        <v>4.3595062414833252E-4</v>
      </c>
      <c r="K76" s="20">
        <v>3.5414593562442098E-4</v>
      </c>
      <c r="L76" s="20">
        <v>0</v>
      </c>
    </row>
    <row r="77" spans="1:12">
      <c r="A77" s="2" t="s">
        <v>508</v>
      </c>
      <c r="B77" s="3" t="s">
        <v>418</v>
      </c>
      <c r="D77" s="20">
        <v>5.1843242669094348E-8</v>
      </c>
      <c r="E77" s="20">
        <v>0.99826641687612572</v>
      </c>
      <c r="F77" s="20">
        <v>0.71542943920515534</v>
      </c>
      <c r="G77" s="20">
        <v>4.1632560407706986E-5</v>
      </c>
      <c r="H77" s="20">
        <v>0</v>
      </c>
      <c r="I77" s="20">
        <v>0.28279534511056265</v>
      </c>
      <c r="J77" s="20">
        <v>1.1888458592764948E-3</v>
      </c>
      <c r="K77" s="20">
        <v>5.4468542135513464E-4</v>
      </c>
      <c r="L77" s="20">
        <v>0</v>
      </c>
    </row>
    <row r="78" spans="1:12">
      <c r="A78" s="2" t="s">
        <v>509</v>
      </c>
      <c r="B78" s="3" t="s">
        <v>419</v>
      </c>
      <c r="D78" s="20">
        <v>6.5996423106272324E-9</v>
      </c>
      <c r="E78" s="20">
        <v>0.98895537673385159</v>
      </c>
      <c r="F78" s="20">
        <v>0.94731548149203937</v>
      </c>
      <c r="G78" s="20">
        <v>3.6556027385695108E-4</v>
      </c>
      <c r="H78" s="20">
        <v>0</v>
      </c>
      <c r="I78" s="20">
        <v>4.1274334967955281E-2</v>
      </c>
      <c r="J78" s="20">
        <v>1.0248692622338821E-2</v>
      </c>
      <c r="K78" s="20">
        <v>7.9592404416741066E-4</v>
      </c>
      <c r="L78" s="20">
        <v>0</v>
      </c>
    </row>
    <row r="79" spans="1:12">
      <c r="A79" s="2" t="s">
        <v>510</v>
      </c>
      <c r="B79" s="3" t="s">
        <v>420</v>
      </c>
      <c r="D79" s="20">
        <v>1.6577556084707025E-13</v>
      </c>
      <c r="E79" s="20">
        <v>0.98895551466253739</v>
      </c>
      <c r="F79" s="20">
        <v>0.94731566902939435</v>
      </c>
      <c r="G79" s="20">
        <v>3.6550249422489741E-4</v>
      </c>
      <c r="H79" s="20">
        <v>0</v>
      </c>
      <c r="I79" s="20">
        <v>4.1274343138918139E-2</v>
      </c>
      <c r="J79" s="20">
        <v>1.024868709508805E-2</v>
      </c>
      <c r="K79" s="20">
        <v>7.9579824220887331E-4</v>
      </c>
      <c r="L79" s="20">
        <v>0</v>
      </c>
    </row>
    <row r="80" spans="1:12">
      <c r="A80" s="2" t="s">
        <v>511</v>
      </c>
      <c r="B80" s="3" t="s">
        <v>421</v>
      </c>
      <c r="D80" s="20">
        <v>7.82073737218541E-9</v>
      </c>
      <c r="E80" s="20">
        <v>0.99870466157608961</v>
      </c>
      <c r="F80" s="20">
        <v>0.33198765809937558</v>
      </c>
      <c r="G80" s="20">
        <v>2.1711323477399448E-5</v>
      </c>
      <c r="H80" s="20">
        <v>0</v>
      </c>
      <c r="I80" s="20">
        <v>0.66669529215323664</v>
      </c>
      <c r="J80" s="20">
        <v>7.4654977783684278E-4</v>
      </c>
      <c r="K80" s="20">
        <v>5.4878082533613853E-4</v>
      </c>
      <c r="L80" s="20">
        <v>0</v>
      </c>
    </row>
    <row r="81" spans="1:12">
      <c r="A81" s="2" t="s">
        <v>512</v>
      </c>
      <c r="B81" s="3" t="s">
        <v>422</v>
      </c>
      <c r="D81" s="20">
        <v>3.1009025190301353E-9</v>
      </c>
      <c r="E81" s="20">
        <v>0.99953345504875624</v>
      </c>
      <c r="F81" s="20">
        <v>2.3581007178229578E-2</v>
      </c>
      <c r="G81" s="20">
        <v>1.9271996569135165E-6</v>
      </c>
      <c r="H81" s="20">
        <v>0</v>
      </c>
      <c r="I81" s="20">
        <v>0.97595052067086974</v>
      </c>
      <c r="J81" s="20">
        <v>3.0056812567768091E-4</v>
      </c>
      <c r="K81" s="20">
        <v>1.6597372466360644E-4</v>
      </c>
      <c r="L81" s="20">
        <v>0</v>
      </c>
    </row>
    <row r="82" spans="1:12">
      <c r="A82" s="2" t="s">
        <v>513</v>
      </c>
      <c r="B82" s="3" t="s">
        <v>423</v>
      </c>
      <c r="D82" s="20">
        <v>9.9347062104671823E-13</v>
      </c>
      <c r="E82" s="20">
        <v>0.9993740650376125</v>
      </c>
      <c r="F82" s="20">
        <v>6.0176821321599863E-2</v>
      </c>
      <c r="G82" s="20">
        <v>4.5764093871199426E-6</v>
      </c>
      <c r="H82" s="20">
        <v>0</v>
      </c>
      <c r="I82" s="20">
        <v>0.93919266730662554</v>
      </c>
      <c r="J82" s="20">
        <v>3.604514835348399E-4</v>
      </c>
      <c r="K82" s="20">
        <v>2.6548347785929928E-4</v>
      </c>
      <c r="L82" s="20">
        <v>0</v>
      </c>
    </row>
    <row r="83" spans="1:12">
      <c r="A83" s="2" t="s">
        <v>514</v>
      </c>
      <c r="B83" s="3" t="s">
        <v>424</v>
      </c>
      <c r="D83" s="20">
        <v>2.3681173403014536E-9</v>
      </c>
      <c r="E83" s="20">
        <v>0.9790865162477983</v>
      </c>
      <c r="F83" s="20">
        <v>0.95033659807840087</v>
      </c>
      <c r="G83" s="20">
        <v>7.0443644018353688E-4</v>
      </c>
      <c r="H83" s="20">
        <v>0</v>
      </c>
      <c r="I83" s="20">
        <v>2.804548172921394E-2</v>
      </c>
      <c r="J83" s="20">
        <v>1.9941284008695374E-2</v>
      </c>
      <c r="K83" s="20">
        <v>9.7219737538889678E-4</v>
      </c>
      <c r="L83" s="20">
        <v>0</v>
      </c>
    </row>
    <row r="84" spans="1:12">
      <c r="A84" s="2" t="s">
        <v>403</v>
      </c>
      <c r="B84" s="3" t="s">
        <v>404</v>
      </c>
      <c r="D84" s="20">
        <v>6.7861962080236256E-44</v>
      </c>
      <c r="E84" s="20">
        <v>0.49016825453247992</v>
      </c>
      <c r="F84" s="20">
        <v>4.6849032558998221E-2</v>
      </c>
      <c r="G84" s="20">
        <v>1.0839173860372283E-2</v>
      </c>
      <c r="H84" s="20">
        <v>0</v>
      </c>
      <c r="I84" s="20">
        <v>0.43248004811310942</v>
      </c>
      <c r="J84" s="20">
        <v>1.5449670248537624E-3</v>
      </c>
      <c r="K84" s="20">
        <v>0.50828677844266612</v>
      </c>
      <c r="L84" s="20">
        <v>0</v>
      </c>
    </row>
    <row r="85" spans="1:12">
      <c r="A85" s="2" t="s">
        <v>405</v>
      </c>
      <c r="B85" s="3" t="s">
        <v>406</v>
      </c>
      <c r="D85" s="20">
        <v>5.4903892318031356E-8</v>
      </c>
      <c r="E85" s="20">
        <v>0.53241982410501409</v>
      </c>
      <c r="F85" s="20">
        <v>0.31489809558876009</v>
      </c>
      <c r="G85" s="20">
        <v>1.6462425647332208E-2</v>
      </c>
      <c r="H85" s="20">
        <v>0</v>
      </c>
      <c r="I85" s="20">
        <v>0.20105930286892185</v>
      </c>
      <c r="J85" s="20">
        <v>0.40563509249987634</v>
      </c>
      <c r="K85" s="20">
        <v>6.1945028491217226E-2</v>
      </c>
      <c r="L85" s="20">
        <v>0</v>
      </c>
    </row>
    <row r="86" spans="1:12">
      <c r="A86" s="2" t="s">
        <v>407</v>
      </c>
      <c r="B86" s="3" t="s">
        <v>408</v>
      </c>
      <c r="D86" s="20">
        <v>1.5353079807987703E-4</v>
      </c>
      <c r="E86" s="20">
        <v>0.54085584921965191</v>
      </c>
      <c r="F86" s="20">
        <v>0.10265254531329832</v>
      </c>
      <c r="G86" s="20">
        <v>0.43607910504371605</v>
      </c>
      <c r="H86" s="20">
        <v>0</v>
      </c>
      <c r="I86" s="20">
        <v>2.1241988626374934E-3</v>
      </c>
      <c r="J86" s="20">
        <v>6.1727811753907798E-2</v>
      </c>
      <c r="K86" s="20">
        <v>0.39726280822836041</v>
      </c>
      <c r="L86" s="20">
        <v>0</v>
      </c>
    </row>
    <row r="87" spans="1:12">
      <c r="A87" s="2" t="s">
        <v>409</v>
      </c>
      <c r="B87" s="3" t="s">
        <v>410</v>
      </c>
      <c r="D87" s="20">
        <v>2.1445534941749801E-5</v>
      </c>
      <c r="E87" s="20">
        <v>0.61876308469532548</v>
      </c>
      <c r="F87" s="20">
        <v>6.2403808970957299E-2</v>
      </c>
      <c r="G87" s="20">
        <v>0.55552889635944358</v>
      </c>
      <c r="H87" s="20">
        <v>0</v>
      </c>
      <c r="I87" s="20">
        <v>8.3037936492461213E-4</v>
      </c>
      <c r="J87" s="20">
        <v>7.9345935542718612E-2</v>
      </c>
      <c r="K87" s="20">
        <v>0.30186953422701401</v>
      </c>
      <c r="L87" s="20">
        <v>0</v>
      </c>
    </row>
    <row r="88" spans="1:12">
      <c r="A88" s="2" t="s">
        <v>301</v>
      </c>
      <c r="B88" s="3" t="s">
        <v>302</v>
      </c>
      <c r="D88" s="20">
        <v>2.9646387503712229E-6</v>
      </c>
      <c r="E88" s="20">
        <v>0.70152323219677259</v>
      </c>
      <c r="F88" s="20">
        <v>3.2392613995442507E-2</v>
      </c>
      <c r="G88" s="20">
        <v>0.66886974381202269</v>
      </c>
      <c r="H88" s="20">
        <v>0</v>
      </c>
      <c r="I88" s="20">
        <v>2.6087438930743869E-4</v>
      </c>
      <c r="J88" s="20">
        <v>9.65190022723251E-2</v>
      </c>
      <c r="K88" s="20">
        <v>0.20195480089215206</v>
      </c>
      <c r="L88" s="20">
        <v>0</v>
      </c>
    </row>
    <row r="89" spans="1:12">
      <c r="A89" s="2" t="s">
        <v>303</v>
      </c>
      <c r="B89" s="3" t="s">
        <v>304</v>
      </c>
      <c r="D89" s="20">
        <v>3.4770537911615402E-13</v>
      </c>
      <c r="E89" s="20">
        <v>0.11266003748656869</v>
      </c>
      <c r="F89" s="20">
        <v>3.054276973671164E-2</v>
      </c>
      <c r="G89" s="20">
        <v>7.9435474462225056E-2</v>
      </c>
      <c r="H89" s="20">
        <v>0</v>
      </c>
      <c r="I89" s="20">
        <v>2.6817932876319951E-3</v>
      </c>
      <c r="J89" s="20">
        <v>0.85383361222604826</v>
      </c>
      <c r="K89" s="20">
        <v>3.3506350287035483E-2</v>
      </c>
      <c r="L89" s="20">
        <v>0</v>
      </c>
    </row>
    <row r="90" spans="1:12">
      <c r="A90" s="2" t="s">
        <v>425</v>
      </c>
      <c r="B90" s="3" t="s">
        <v>426</v>
      </c>
      <c r="D90" s="20">
        <v>1.5983021081735684E-13</v>
      </c>
      <c r="E90" s="20">
        <v>0.97468657325109997</v>
      </c>
      <c r="F90" s="20">
        <v>9.141661189634244E-5</v>
      </c>
      <c r="G90" s="20">
        <v>3.0693782285799174E-5</v>
      </c>
      <c r="H90" s="20">
        <v>0</v>
      </c>
      <c r="I90" s="20">
        <v>0.97456446285691778</v>
      </c>
      <c r="J90" s="20">
        <v>2.5446698193041785E-4</v>
      </c>
      <c r="K90" s="20">
        <v>2.5058959766809958E-2</v>
      </c>
      <c r="L90" s="20">
        <v>0</v>
      </c>
    </row>
    <row r="91" spans="1:12">
      <c r="A91" s="2" t="s">
        <v>427</v>
      </c>
      <c r="B91" s="3" t="s">
        <v>428</v>
      </c>
      <c r="D91" s="20">
        <v>8.7792678488371053E-5</v>
      </c>
      <c r="E91" s="20">
        <v>0.77338040684572373</v>
      </c>
      <c r="F91" s="20">
        <v>5.8577726788764401E-3</v>
      </c>
      <c r="G91" s="20">
        <v>1.6475100384903158E-3</v>
      </c>
      <c r="H91" s="20">
        <v>0</v>
      </c>
      <c r="I91" s="20">
        <v>0.76587512412835701</v>
      </c>
      <c r="J91" s="20">
        <v>4.1090324559223438E-4</v>
      </c>
      <c r="K91" s="20">
        <v>0.2261208972301956</v>
      </c>
      <c r="L91" s="20">
        <v>0</v>
      </c>
    </row>
    <row r="92" spans="1:12">
      <c r="A92" s="2" t="s">
        <v>429</v>
      </c>
      <c r="B92" s="3" t="s">
        <v>430</v>
      </c>
      <c r="D92" s="20">
        <v>1.0646320594326155E-3</v>
      </c>
      <c r="E92" s="20">
        <v>0.39111241054784379</v>
      </c>
      <c r="F92" s="20">
        <v>0.10145507001251314</v>
      </c>
      <c r="G92" s="20">
        <v>2.1407665504453326E-2</v>
      </c>
      <c r="H92" s="20">
        <v>0</v>
      </c>
      <c r="I92" s="20">
        <v>0.26824967503087732</v>
      </c>
      <c r="J92" s="20">
        <v>2.9252467632847122E-3</v>
      </c>
      <c r="K92" s="20">
        <v>0.60489771062943887</v>
      </c>
      <c r="L92" s="20">
        <v>0</v>
      </c>
    </row>
    <row r="93" spans="1:12">
      <c r="A93" s="2" t="s">
        <v>431</v>
      </c>
      <c r="B93" s="3" t="s">
        <v>432</v>
      </c>
      <c r="D93" s="20">
        <v>1.2055808593297727E-17</v>
      </c>
      <c r="E93" s="20">
        <v>0.99958886426546922</v>
      </c>
      <c r="F93" s="20">
        <v>4.3625079074092191E-4</v>
      </c>
      <c r="G93" s="20">
        <v>3.4950882706061171E-7</v>
      </c>
      <c r="H93" s="20">
        <v>0</v>
      </c>
      <c r="I93" s="20">
        <v>0.99915226396590129</v>
      </c>
      <c r="J93" s="20">
        <v>2.5810777791588041E-4</v>
      </c>
      <c r="K93" s="20">
        <v>1.5302795661471764E-4</v>
      </c>
      <c r="L93" s="20">
        <v>0</v>
      </c>
    </row>
    <row r="94" spans="1:12">
      <c r="A94" s="2" t="s">
        <v>433</v>
      </c>
      <c r="B94" s="3" t="s">
        <v>434</v>
      </c>
      <c r="D94" s="20">
        <v>2.5381400165429479E-18</v>
      </c>
      <c r="E94" s="20">
        <v>0.99973748565807785</v>
      </c>
      <c r="F94" s="20">
        <v>1.6911798342978582E-6</v>
      </c>
      <c r="G94" s="20">
        <v>2.3598556215974062E-9</v>
      </c>
      <c r="H94" s="20">
        <v>0</v>
      </c>
      <c r="I94" s="20">
        <v>0.99973579211838792</v>
      </c>
      <c r="J94" s="20">
        <v>2.5865779993709115E-4</v>
      </c>
      <c r="K94" s="20">
        <v>3.856541984947996E-6</v>
      </c>
      <c r="L94" s="20">
        <v>0</v>
      </c>
    </row>
    <row r="95" spans="1:12">
      <c r="A95" s="2" t="s">
        <v>435</v>
      </c>
      <c r="B95" s="3" t="s">
        <v>436</v>
      </c>
      <c r="D95" s="20">
        <v>1.3638908824703287E-8</v>
      </c>
      <c r="E95" s="20">
        <v>0.9417597558168912</v>
      </c>
      <c r="F95" s="20">
        <v>3.7413215304114226E-4</v>
      </c>
      <c r="G95" s="20">
        <v>1.2976461407606326E-4</v>
      </c>
      <c r="H95" s="20">
        <v>0</v>
      </c>
      <c r="I95" s="20">
        <v>0.94125585904977405</v>
      </c>
      <c r="J95" s="20">
        <v>2.6147225010834837E-4</v>
      </c>
      <c r="K95" s="20">
        <v>5.7978758294091444E-2</v>
      </c>
      <c r="L95" s="20">
        <v>0</v>
      </c>
    </row>
    <row r="96" spans="1:12">
      <c r="A96" s="2" t="s">
        <v>437</v>
      </c>
      <c r="B96" s="163" t="s">
        <v>438</v>
      </c>
      <c r="D96" s="20">
        <v>2.7407072399927065E-7</v>
      </c>
      <c r="E96" s="20">
        <v>0.51408843476483412</v>
      </c>
      <c r="F96" s="20">
        <v>0.12098648570094693</v>
      </c>
      <c r="G96" s="20">
        <v>0.39015072412921392</v>
      </c>
      <c r="H96" s="20">
        <v>0</v>
      </c>
      <c r="I96" s="20">
        <v>2.9512249346732274E-3</v>
      </c>
      <c r="J96" s="20">
        <v>5.5042490471394021E-2</v>
      </c>
      <c r="K96" s="20">
        <v>0.43086880069304795</v>
      </c>
      <c r="L96" s="20">
        <v>0</v>
      </c>
    </row>
    <row r="97" spans="1:12">
      <c r="A97" s="2" t="s">
        <v>439</v>
      </c>
      <c r="B97" s="3" t="s">
        <v>440</v>
      </c>
      <c r="D97" s="20">
        <v>4.5056950309339525E-5</v>
      </c>
      <c r="E97" s="20">
        <v>0.69469897676783354</v>
      </c>
      <c r="F97" s="20">
        <v>1.1578065654513806E-2</v>
      </c>
      <c r="G97" s="20">
        <v>3.0699518456506689E-3</v>
      </c>
      <c r="H97" s="20">
        <v>0</v>
      </c>
      <c r="I97" s="20">
        <v>0.68005095926766912</v>
      </c>
      <c r="J97" s="20">
        <v>5.7579303526497205E-4</v>
      </c>
      <c r="K97" s="20">
        <v>0.30468017324659208</v>
      </c>
      <c r="L97" s="20">
        <v>0</v>
      </c>
    </row>
    <row r="98" spans="1:12">
      <c r="A98" s="2" t="s">
        <v>441</v>
      </c>
      <c r="B98" s="3" t="s">
        <v>442</v>
      </c>
      <c r="D98" s="20">
        <v>2.9202392701675458E-17</v>
      </c>
      <c r="E98" s="20">
        <v>0.75973689727183091</v>
      </c>
      <c r="F98" s="20">
        <v>6.675636057419233E-3</v>
      </c>
      <c r="G98" s="20">
        <v>1.8568986784641575E-3</v>
      </c>
      <c r="H98" s="20">
        <v>0</v>
      </c>
      <c r="I98" s="20">
        <v>0.75120436253594747</v>
      </c>
      <c r="J98" s="20">
        <v>4.345770417107791E-4</v>
      </c>
      <c r="K98" s="20">
        <v>0.23982852568645838</v>
      </c>
      <c r="L98" s="20">
        <v>0</v>
      </c>
    </row>
    <row r="99" spans="1:12">
      <c r="A99" s="2" t="s">
        <v>443</v>
      </c>
      <c r="B99" s="3" t="s">
        <v>444</v>
      </c>
      <c r="D99" s="20">
        <v>4.2627853833818455E-29</v>
      </c>
      <c r="E99" s="20">
        <v>0.88097923603719241</v>
      </c>
      <c r="F99" s="20">
        <v>1.4995732436294885E-3</v>
      </c>
      <c r="G99" s="20">
        <v>4.7104591105267526E-4</v>
      </c>
      <c r="H99" s="20">
        <v>0</v>
      </c>
      <c r="I99" s="20">
        <v>0.8790086168825102</v>
      </c>
      <c r="J99" s="20">
        <v>2.8655347917281649E-4</v>
      </c>
      <c r="K99" s="20">
        <v>0.11873421048363463</v>
      </c>
      <c r="L99" s="20">
        <v>0</v>
      </c>
    </row>
    <row r="100" spans="1:12">
      <c r="A100" s="2" t="s">
        <v>445</v>
      </c>
      <c r="B100" s="3" t="s">
        <v>446</v>
      </c>
      <c r="D100" s="20">
        <v>2.3713154597891997E-7</v>
      </c>
      <c r="E100" s="20">
        <v>0.42826252594862196</v>
      </c>
      <c r="F100" s="20">
        <v>0.25070531869620816</v>
      </c>
      <c r="G100" s="20">
        <v>0.16156939656190672</v>
      </c>
      <c r="H100" s="20">
        <v>0</v>
      </c>
      <c r="I100" s="20">
        <v>1.5987810690507084E-2</v>
      </c>
      <c r="J100" s="20">
        <v>2.2358642979328734E-2</v>
      </c>
      <c r="K100" s="20">
        <v>0.54937859394050337</v>
      </c>
      <c r="L100" s="20">
        <v>0</v>
      </c>
    </row>
    <row r="101" spans="1:12">
      <c r="A101" s="2" t="s">
        <v>447</v>
      </c>
      <c r="B101" s="3" t="s">
        <v>448</v>
      </c>
      <c r="D101" s="20">
        <v>8.1780128517672388E-9</v>
      </c>
      <c r="E101" s="20">
        <v>0.42126974104816356</v>
      </c>
      <c r="F101" s="20">
        <v>7.7005545836065517E-2</v>
      </c>
      <c r="G101" s="20">
        <v>1.6827420947012079E-2</v>
      </c>
      <c r="H101" s="20">
        <v>0</v>
      </c>
      <c r="I101" s="20">
        <v>0.32743677426508594</v>
      </c>
      <c r="J101" s="20">
        <v>2.3219989375692887E-3</v>
      </c>
      <c r="K101" s="20">
        <v>0.57640825183625433</v>
      </c>
      <c r="L101" s="20">
        <v>0</v>
      </c>
    </row>
    <row r="102" spans="1:12">
      <c r="A102" s="2" t="s">
        <v>449</v>
      </c>
      <c r="B102" s="3" t="s">
        <v>450</v>
      </c>
      <c r="D102" s="20">
        <v>6.3931402263714627E-4</v>
      </c>
      <c r="E102" s="20">
        <v>0.3765305170226883</v>
      </c>
      <c r="F102" s="20">
        <v>0.20988840401230799</v>
      </c>
      <c r="G102" s="20">
        <v>3.9726838107156409E-2</v>
      </c>
      <c r="H102" s="20">
        <v>0</v>
      </c>
      <c r="I102" s="20">
        <v>0.12691527490322391</v>
      </c>
      <c r="J102" s="20">
        <v>5.3875105133995033E-3</v>
      </c>
      <c r="K102" s="20">
        <v>0.61744265844127522</v>
      </c>
      <c r="L102" s="20">
        <v>0</v>
      </c>
    </row>
    <row r="103" spans="1:12">
      <c r="A103" s="2" t="s">
        <v>451</v>
      </c>
      <c r="B103" s="3" t="s">
        <v>452</v>
      </c>
      <c r="D103" s="20">
        <v>4.8425373292498239E-19</v>
      </c>
      <c r="E103" s="20">
        <v>0.9995908426120842</v>
      </c>
      <c r="F103" s="20">
        <v>1.1560176937065424E-2</v>
      </c>
      <c r="G103" s="20">
        <v>1.1218626503518421E-6</v>
      </c>
      <c r="H103" s="20">
        <v>0</v>
      </c>
      <c r="I103" s="20">
        <v>0.9880295438123684</v>
      </c>
      <c r="J103" s="20">
        <v>2.7954326658987977E-4</v>
      </c>
      <c r="K103" s="20">
        <v>1.2961412132597448E-4</v>
      </c>
      <c r="L103" s="20">
        <v>0</v>
      </c>
    </row>
    <row r="104" spans="1:12">
      <c r="A104" s="2" t="s">
        <v>453</v>
      </c>
      <c r="B104" s="3" t="s">
        <v>454</v>
      </c>
      <c r="D104" s="20">
        <v>1.018131832050436E-19</v>
      </c>
      <c r="E104" s="20">
        <v>0.99170432868758851</v>
      </c>
      <c r="F104" s="20">
        <v>0.89023313688504735</v>
      </c>
      <c r="G104" s="20">
        <v>9.4269109846199111E-4</v>
      </c>
      <c r="H104" s="20">
        <v>0</v>
      </c>
      <c r="I104" s="20">
        <v>0.10052850070407922</v>
      </c>
      <c r="J104" s="20">
        <v>2.0398831095449297E-3</v>
      </c>
      <c r="K104" s="20">
        <v>6.255788202866523E-3</v>
      </c>
      <c r="L104" s="20">
        <v>0</v>
      </c>
    </row>
    <row r="105" spans="1:12">
      <c r="A105" s="2" t="s">
        <v>455</v>
      </c>
      <c r="B105" s="163">
        <v>354656</v>
      </c>
      <c r="D105" s="20">
        <v>3.6770797088442525E-10</v>
      </c>
      <c r="E105" s="20">
        <v>0.9697138565047233</v>
      </c>
      <c r="F105" s="20">
        <v>9.8034120992045135E-5</v>
      </c>
      <c r="G105" s="20">
        <v>3.7920391680650346E-5</v>
      </c>
      <c r="H105" s="20">
        <v>0</v>
      </c>
      <c r="I105" s="20">
        <v>0.96957790199205063</v>
      </c>
      <c r="J105" s="20">
        <v>2.5406085115122558E-4</v>
      </c>
      <c r="K105" s="20">
        <v>3.0032082276417526E-2</v>
      </c>
      <c r="L105" s="20">
        <v>0</v>
      </c>
    </row>
    <row r="106" spans="1:12">
      <c r="A106" s="2" t="s">
        <v>457</v>
      </c>
      <c r="B106" s="3" t="s">
        <v>458</v>
      </c>
      <c r="D106" s="20">
        <v>5.4696921441806173E-10</v>
      </c>
      <c r="E106" s="20">
        <v>0.93902965071634403</v>
      </c>
      <c r="F106" s="20">
        <v>4.0566040801643191E-4</v>
      </c>
      <c r="G106" s="20">
        <v>1.4006773985313927E-4</v>
      </c>
      <c r="H106" s="20">
        <v>0</v>
      </c>
      <c r="I106" s="20">
        <v>0.93848392256847446</v>
      </c>
      <c r="J106" s="20">
        <v>2.6167413108875822E-4</v>
      </c>
      <c r="K106" s="20">
        <v>6.0708674605598041E-2</v>
      </c>
      <c r="L106" s="20">
        <v>0</v>
      </c>
    </row>
    <row r="107" spans="1:12">
      <c r="A107" s="2" t="s">
        <v>459</v>
      </c>
      <c r="B107" s="3" t="s">
        <v>460</v>
      </c>
      <c r="D107" s="20">
        <v>1.8788238414350072E-19</v>
      </c>
      <c r="E107" s="20">
        <v>0.42797430835593697</v>
      </c>
      <c r="F107" s="20">
        <v>0.2911986825200637</v>
      </c>
      <c r="G107" s="20">
        <v>5.0965653650971589E-2</v>
      </c>
      <c r="H107" s="20">
        <v>0</v>
      </c>
      <c r="I107" s="20">
        <v>8.5809972184901703E-2</v>
      </c>
      <c r="J107" s="20">
        <v>1.0731912279074385E-2</v>
      </c>
      <c r="K107" s="20">
        <v>0.56129377936498848</v>
      </c>
      <c r="L107" s="20">
        <v>0</v>
      </c>
    </row>
    <row r="108" spans="1:12">
      <c r="A108" s="2" t="s">
        <v>461</v>
      </c>
      <c r="B108" s="3" t="s">
        <v>462</v>
      </c>
      <c r="D108" s="20">
        <v>1.0966101960122771E-9</v>
      </c>
      <c r="E108" s="20">
        <v>0.99968675923930495</v>
      </c>
      <c r="F108" s="20">
        <v>8.7598943840822845E-7</v>
      </c>
      <c r="G108" s="20">
        <v>2.5389868508069197E-8</v>
      </c>
      <c r="H108" s="20">
        <v>0</v>
      </c>
      <c r="I108" s="20">
        <v>0.99968585785999808</v>
      </c>
      <c r="J108" s="20">
        <v>2.5785709699670153E-4</v>
      </c>
      <c r="K108" s="20">
        <v>5.5382567088191238E-5</v>
      </c>
      <c r="L108" s="20">
        <v>0</v>
      </c>
    </row>
    <row r="109" spans="1:12">
      <c r="A109" s="2" t="s">
        <v>463</v>
      </c>
      <c r="B109" s="3" t="s">
        <v>464</v>
      </c>
      <c r="D109" s="20">
        <v>2.954295022247687E-12</v>
      </c>
      <c r="E109" s="20">
        <v>0.97769888478429379</v>
      </c>
      <c r="F109" s="20">
        <v>6.0652802334021788E-3</v>
      </c>
      <c r="G109" s="20">
        <v>3.0147891749514864E-4</v>
      </c>
      <c r="H109" s="20">
        <v>0</v>
      </c>
      <c r="I109" s="20">
        <v>0.97133212563339644</v>
      </c>
      <c r="J109" s="20">
        <v>3.1422590132323728E-3</v>
      </c>
      <c r="K109" s="20">
        <v>1.9158856199519712E-2</v>
      </c>
      <c r="L109" s="20">
        <v>0</v>
      </c>
    </row>
    <row r="110" spans="1:12">
      <c r="A110" s="2" t="s">
        <v>465</v>
      </c>
      <c r="B110" s="3" t="s">
        <v>466</v>
      </c>
      <c r="D110" s="20">
        <v>2.0824692538099597E-11</v>
      </c>
      <c r="E110" s="20">
        <v>0.99350903690681036</v>
      </c>
      <c r="F110" s="20">
        <v>2.2405503299645561E-5</v>
      </c>
      <c r="G110" s="20">
        <v>4.2866816283556978E-6</v>
      </c>
      <c r="H110" s="20">
        <v>0</v>
      </c>
      <c r="I110" s="20">
        <v>0.99348234472188235</v>
      </c>
      <c r="J110" s="20">
        <v>2.5600036478794393E-4</v>
      </c>
      <c r="K110" s="20">
        <v>6.2349627075769885E-3</v>
      </c>
      <c r="L110" s="20">
        <v>0</v>
      </c>
    </row>
    <row r="111" spans="1:12">
      <c r="A111" s="2" t="s">
        <v>467</v>
      </c>
      <c r="B111" s="3" t="s">
        <v>468</v>
      </c>
      <c r="D111" s="20">
        <v>3.7008302561620729E-30</v>
      </c>
      <c r="E111" s="20">
        <v>0.99973736279095893</v>
      </c>
      <c r="F111" s="20">
        <v>1.5919146571019214E-6</v>
      </c>
      <c r="G111" s="20">
        <v>1.3151997873887726E-9</v>
      </c>
      <c r="H111" s="20">
        <v>0</v>
      </c>
      <c r="I111" s="20">
        <v>0.99973576956110199</v>
      </c>
      <c r="J111" s="20">
        <v>2.5703828777248598E-4</v>
      </c>
      <c r="K111" s="20">
        <v>5.5989212686458825E-6</v>
      </c>
      <c r="L111" s="20">
        <v>0</v>
      </c>
    </row>
    <row r="112" spans="1:12">
      <c r="A112" s="2" t="s">
        <v>469</v>
      </c>
      <c r="B112" s="3" t="s">
        <v>470</v>
      </c>
      <c r="D112" s="20">
        <v>2.3395470629017174E-13</v>
      </c>
      <c r="E112" s="20">
        <v>0.99166826523283569</v>
      </c>
      <c r="F112" s="20">
        <v>7.7269126171385034E-6</v>
      </c>
      <c r="G112" s="20">
        <v>3.6099530717592484E-6</v>
      </c>
      <c r="H112" s="20">
        <v>0</v>
      </c>
      <c r="I112" s="20">
        <v>0.99165692836714681</v>
      </c>
      <c r="J112" s="20">
        <v>2.5540233385311958E-4</v>
      </c>
      <c r="K112" s="20">
        <v>8.0763324330773347E-3</v>
      </c>
      <c r="L112" s="20">
        <v>0</v>
      </c>
    </row>
    <row r="113" spans="1:12">
      <c r="A113" s="2" t="s">
        <v>471</v>
      </c>
      <c r="B113" s="3" t="s">
        <v>472</v>
      </c>
      <c r="D113" s="20">
        <v>2.8870575266812717E-9</v>
      </c>
      <c r="E113" s="20">
        <v>0.95431506905796892</v>
      </c>
      <c r="F113" s="20">
        <v>2.2015555721220583E-4</v>
      </c>
      <c r="G113" s="20">
        <v>8.0135547390518808E-5</v>
      </c>
      <c r="H113" s="20">
        <v>0</v>
      </c>
      <c r="I113" s="20">
        <v>0.9540147779533662</v>
      </c>
      <c r="J113" s="20">
        <v>2.5544045689868778E-4</v>
      </c>
      <c r="K113" s="20">
        <v>4.5429487598074789E-2</v>
      </c>
      <c r="L113" s="20">
        <v>0</v>
      </c>
    </row>
    <row r="114" spans="1:12">
      <c r="A114" s="2" t="s">
        <v>473</v>
      </c>
      <c r="B114" s="3" t="s">
        <v>474</v>
      </c>
      <c r="D114" s="20">
        <v>2.2963376514197555E-16</v>
      </c>
      <c r="E114" s="20">
        <v>0.99555673649832233</v>
      </c>
      <c r="F114" s="20">
        <v>2.2497750176254071E-6</v>
      </c>
      <c r="G114" s="20">
        <v>1.1334639022342033E-6</v>
      </c>
      <c r="H114" s="20">
        <v>0</v>
      </c>
      <c r="I114" s="20">
        <v>0.99555335325940242</v>
      </c>
      <c r="J114" s="20">
        <v>2.5609610068923352E-4</v>
      </c>
      <c r="K114" s="20">
        <v>4.1871674009882473E-3</v>
      </c>
      <c r="L114" s="20">
        <v>0</v>
      </c>
    </row>
    <row r="115" spans="1:12">
      <c r="A115" s="2" t="s">
        <v>475</v>
      </c>
      <c r="B115" s="3" t="s">
        <v>476</v>
      </c>
      <c r="D115" s="20">
        <v>1.2175909722764402E-12</v>
      </c>
      <c r="E115" s="20">
        <v>0.99966777955515063</v>
      </c>
      <c r="F115" s="20">
        <v>2.8042073943669423E-3</v>
      </c>
      <c r="G115" s="20">
        <v>3.3588760938175498E-7</v>
      </c>
      <c r="H115" s="20">
        <v>0</v>
      </c>
      <c r="I115" s="20">
        <v>0.9968632362731743</v>
      </c>
      <c r="J115" s="20">
        <v>2.6308406715007453E-4</v>
      </c>
      <c r="K115" s="20">
        <v>6.9136376481837943E-5</v>
      </c>
      <c r="L115" s="20">
        <v>0</v>
      </c>
    </row>
    <row r="116" spans="1:12">
      <c r="A116" s="2" t="s">
        <v>477</v>
      </c>
      <c r="B116" s="3" t="s">
        <v>478</v>
      </c>
      <c r="D116" s="20">
        <v>1.2516083261244184E-16</v>
      </c>
      <c r="E116" s="20">
        <v>0.81341426123636495</v>
      </c>
      <c r="F116" s="20">
        <v>0.30565724377099518</v>
      </c>
      <c r="G116" s="20">
        <v>7.4031783662313107E-3</v>
      </c>
      <c r="H116" s="20">
        <v>0</v>
      </c>
      <c r="I116" s="20">
        <v>0.50035383909913844</v>
      </c>
      <c r="J116" s="20">
        <v>0.1151145766728411</v>
      </c>
      <c r="K116" s="20">
        <v>7.1471162090793863E-2</v>
      </c>
      <c r="L116" s="20">
        <v>0</v>
      </c>
    </row>
    <row r="117" spans="1:12">
      <c r="A117" s="2" t="s">
        <v>291</v>
      </c>
      <c r="B117" s="3" t="s">
        <v>479</v>
      </c>
      <c r="D117" s="20">
        <v>3.6332961161718204E-10</v>
      </c>
      <c r="E117" s="20">
        <v>0.61155525104595065</v>
      </c>
      <c r="F117" s="20">
        <v>2.1094780440437264E-2</v>
      </c>
      <c r="G117" s="20">
        <v>5.2926181875208641E-3</v>
      </c>
      <c r="H117" s="20">
        <v>0</v>
      </c>
      <c r="I117" s="20">
        <v>0.58516785241799252</v>
      </c>
      <c r="J117" s="20">
        <v>8.4525994293710102E-4</v>
      </c>
      <c r="K117" s="20">
        <v>0.38759948864778287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1.0456584855731851E-12</v>
      </c>
      <c r="E2" s="14">
        <v>3.905436048528232E-5</v>
      </c>
      <c r="F2" s="14">
        <v>2.3947715001219033E-9</v>
      </c>
      <c r="G2" s="14">
        <v>9.6108021395047984E-10</v>
      </c>
      <c r="H2" s="14">
        <v>0</v>
      </c>
      <c r="I2" s="14">
        <v>1.0161672025477108E-8</v>
      </c>
      <c r="J2" s="14">
        <v>9.3212094531965319E-7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1.0062892941413107E-12</v>
      </c>
      <c r="E3" s="14">
        <v>2.3607747471011399E-5</v>
      </c>
      <c r="F3" s="14">
        <v>9.3460090124205788E-7</v>
      </c>
      <c r="G3" s="14">
        <v>2.2704627874873904E-7</v>
      </c>
      <c r="H3" s="14">
        <v>0</v>
      </c>
      <c r="I3" s="14">
        <v>5.2168515009776775E-8</v>
      </c>
      <c r="J3" s="14">
        <v>1.5178435827698735E-5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5.4230948108688057E-22</v>
      </c>
      <c r="E4" s="14">
        <v>3.9985898727637833E-5</v>
      </c>
      <c r="F4" s="14">
        <v>1.6815950192836064E-9</v>
      </c>
      <c r="G4" s="14">
        <v>1.8518979634941922E-12</v>
      </c>
      <c r="H4" s="14">
        <v>0</v>
      </c>
      <c r="I4" s="14">
        <v>1.1594579339870571E-8</v>
      </c>
      <c r="J4" s="14">
        <v>8.2324610505232511E-10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1.5219704555206897E-14</v>
      </c>
      <c r="E5" s="14">
        <v>3.6932997082803121E-5</v>
      </c>
      <c r="F5" s="14">
        <v>3.0387089298371446E-6</v>
      </c>
      <c r="G5" s="14">
        <v>2.4118393017160448E-10</v>
      </c>
      <c r="H5" s="14">
        <v>0</v>
      </c>
      <c r="I5" s="14">
        <v>1.5409472040509639E-8</v>
      </c>
      <c r="J5" s="14">
        <v>1.2643316169352969E-8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1.8876185691076847E-15</v>
      </c>
      <c r="E6" s="14">
        <v>3.304669125371215E-5</v>
      </c>
      <c r="F6" s="14">
        <v>6.858395619873743E-6</v>
      </c>
      <c r="G6" s="14">
        <v>1.9889096701201082E-9</v>
      </c>
      <c r="H6" s="14">
        <v>0</v>
      </c>
      <c r="I6" s="14">
        <v>2.1255818003268108E-8</v>
      </c>
      <c r="J6" s="14">
        <v>7.1668396853113741E-8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3.2281565494275095E-11</v>
      </c>
      <c r="E7" s="14">
        <v>2.1515707223372882E-5</v>
      </c>
      <c r="F7" s="14">
        <v>1.7666486112235334E-5</v>
      </c>
      <c r="G7" s="14">
        <v>3.5962119516753039E-8</v>
      </c>
      <c r="H7" s="14">
        <v>0</v>
      </c>
      <c r="I7" s="14">
        <v>3.9549095782911931E-8</v>
      </c>
      <c r="J7" s="14">
        <v>7.4226316752663032E-7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1.4941170110684086E-21</v>
      </c>
      <c r="E8" s="14">
        <v>2.9936232024554093E-5</v>
      </c>
      <c r="F8" s="14">
        <v>9.9915228659183356E-6</v>
      </c>
      <c r="G8" s="14">
        <v>1.5193445476870291E-9</v>
      </c>
      <c r="H8" s="14">
        <v>0</v>
      </c>
      <c r="I8" s="14">
        <v>2.5564208407136253E-8</v>
      </c>
      <c r="J8" s="14">
        <v>4.5161556572755078E-8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2.9430374155240403E-17</v>
      </c>
      <c r="E9" s="14">
        <v>3.7583900390902972E-5</v>
      </c>
      <c r="F9" s="14">
        <v>2.3486397061884645E-6</v>
      </c>
      <c r="G9" s="14">
        <v>8.9020155258579996E-10</v>
      </c>
      <c r="H9" s="14">
        <v>0</v>
      </c>
      <c r="I9" s="14">
        <v>1.4402086824783924E-8</v>
      </c>
      <c r="J9" s="14">
        <v>5.2167614501762602E-8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2.7623846180712101E-9</v>
      </c>
      <c r="E10" s="14">
        <v>1.9746212734580374E-6</v>
      </c>
      <c r="F10" s="14">
        <v>1.4205560102555782E-5</v>
      </c>
      <c r="G10" s="14">
        <v>2.4811551223543115E-6</v>
      </c>
      <c r="H10" s="14">
        <v>0</v>
      </c>
      <c r="I10" s="14">
        <v>3.3845149970598809E-7</v>
      </c>
      <c r="J10" s="14">
        <v>2.0997449617307814E-5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1.8806111050325695E-15</v>
      </c>
      <c r="E11" s="14">
        <v>1.9386126236124996E-7</v>
      </c>
      <c r="F11" s="14">
        <v>1.7625668055239774E-5</v>
      </c>
      <c r="G11" s="14">
        <v>1.2877749080327502E-5</v>
      </c>
      <c r="H11" s="14">
        <v>0</v>
      </c>
      <c r="I11" s="14">
        <v>3.7031785325674363E-6</v>
      </c>
      <c r="J11" s="14">
        <v>5.5995430676234323E-6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2.98805455074216E-6</v>
      </c>
      <c r="E12" s="14">
        <v>3.6835016732940068E-5</v>
      </c>
      <c r="F12" s="14">
        <v>1.0317728851510153E-10</v>
      </c>
      <c r="G12" s="14">
        <v>5.1141330847837887E-11</v>
      </c>
      <c r="H12" s="14">
        <v>0</v>
      </c>
      <c r="I12" s="14">
        <v>9.4787448596452541E-9</v>
      </c>
      <c r="J12" s="14">
        <v>1.6729565283876898E-7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8.316079509874148E-13</v>
      </c>
      <c r="E13" s="14">
        <v>2.4981487671719945E-5</v>
      </c>
      <c r="F13" s="14">
        <v>6.6710292956750156E-7</v>
      </c>
      <c r="G13" s="14">
        <v>1.7111512671594027E-7</v>
      </c>
      <c r="H13" s="14">
        <v>0</v>
      </c>
      <c r="I13" s="14">
        <v>2.884042564595689E-8</v>
      </c>
      <c r="J13" s="14">
        <v>1.4151453014742711E-5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3.1490500808748932E-11</v>
      </c>
      <c r="E14" s="14">
        <v>3.2437304449036587E-6</v>
      </c>
      <c r="F14" s="14">
        <v>3.6289359863546817E-5</v>
      </c>
      <c r="G14" s="14">
        <v>5.6851896632812397E-8</v>
      </c>
      <c r="H14" s="14">
        <v>0</v>
      </c>
      <c r="I14" s="14">
        <v>1.2304236800485274E-7</v>
      </c>
      <c r="J14" s="14">
        <v>2.8698393641106173E-7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3.4756003595751908E-6</v>
      </c>
      <c r="E15" s="14">
        <v>3.1215442662193866E-5</v>
      </c>
      <c r="F15" s="14">
        <v>7.9451856286516421E-8</v>
      </c>
      <c r="G15" s="14">
        <v>2.4232577130779978E-8</v>
      </c>
      <c r="H15" s="14">
        <v>0</v>
      </c>
      <c r="I15" s="14">
        <v>1.1149490722443733E-8</v>
      </c>
      <c r="J15" s="14">
        <v>5.1941230540912068E-6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3.2473546277877745E-8</v>
      </c>
      <c r="E16" s="14">
        <v>2.3919350508346535E-5</v>
      </c>
      <c r="F16" s="14">
        <v>7.8019638426941426E-7</v>
      </c>
      <c r="G16" s="14">
        <v>1.9719662994948123E-7</v>
      </c>
      <c r="H16" s="14">
        <v>0</v>
      </c>
      <c r="I16" s="14">
        <v>3.2019792803809364E-8</v>
      </c>
      <c r="J16" s="14">
        <v>1.5038763138352886E-5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9.5998964914097641E-8</v>
      </c>
      <c r="E17" s="14">
        <v>2.45350086195693E-5</v>
      </c>
      <c r="F17" s="14">
        <v>7.0622122407280685E-7</v>
      </c>
      <c r="G17" s="14">
        <v>1.8015085210278112E-7</v>
      </c>
      <c r="H17" s="14">
        <v>0</v>
      </c>
      <c r="I17" s="14">
        <v>2.9921562643869211E-8</v>
      </c>
      <c r="J17" s="14">
        <v>1.4452698776697148E-5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9.2615907206760736E-12</v>
      </c>
      <c r="E18" s="14">
        <v>1.4439270409369889E-7</v>
      </c>
      <c r="F18" s="14">
        <v>5.3353117388203569E-6</v>
      </c>
      <c r="G18" s="14">
        <v>1.4456240190552564E-5</v>
      </c>
      <c r="H18" s="14">
        <v>0</v>
      </c>
      <c r="I18" s="14">
        <v>2.0351977423372374E-6</v>
      </c>
      <c r="J18" s="14">
        <v>1.8028848362605424E-5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4.7285003136704681E-7</v>
      </c>
      <c r="E19" s="14">
        <v>3.6406848510428657E-5</v>
      </c>
      <c r="F19" s="14">
        <v>2.5246294098025436E-8</v>
      </c>
      <c r="G19" s="14">
        <v>8.4740923469863519E-9</v>
      </c>
      <c r="H19" s="14">
        <v>0</v>
      </c>
      <c r="I19" s="14">
        <v>1.0443012608926096E-8</v>
      </c>
      <c r="J19" s="14">
        <v>3.0761380591503574E-6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8.8816927621615864E-7</v>
      </c>
      <c r="E20" s="14">
        <v>3.4950662341836788E-5</v>
      </c>
      <c r="F20" s="14">
        <v>4.5286625500970877E-8</v>
      </c>
      <c r="G20" s="14">
        <v>1.451662025517795E-8</v>
      </c>
      <c r="H20" s="14">
        <v>0</v>
      </c>
      <c r="I20" s="14">
        <v>1.0848656345972953E-8</v>
      </c>
      <c r="J20" s="14">
        <v>4.0905164798449334E-6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2.868155611403035E-7</v>
      </c>
      <c r="E21" s="14">
        <v>1.639249909783423E-5</v>
      </c>
      <c r="F21" s="14">
        <v>1.2178665964060422E-5</v>
      </c>
      <c r="G21" s="14">
        <v>4.9149474749945761E-7</v>
      </c>
      <c r="H21" s="14">
        <v>0</v>
      </c>
      <c r="I21" s="14">
        <v>8.6448761126535885E-8</v>
      </c>
      <c r="J21" s="14">
        <v>1.0564075868339047E-5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2.6164920800958298E-6</v>
      </c>
      <c r="E22" s="14">
        <v>3.6187542323737436E-5</v>
      </c>
      <c r="F22" s="14">
        <v>4.0438369792802811E-9</v>
      </c>
      <c r="G22" s="14">
        <v>1.5527058696774638E-9</v>
      </c>
      <c r="H22" s="14">
        <v>0</v>
      </c>
      <c r="I22" s="14">
        <v>9.499771622093841E-9</v>
      </c>
      <c r="J22" s="14">
        <v>1.1808692816956928E-6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2.8617580173206256E-6</v>
      </c>
      <c r="E23" s="14">
        <v>3.0097648969513663E-5</v>
      </c>
      <c r="F23" s="14">
        <v>1.3960697698069838E-7</v>
      </c>
      <c r="G23" s="14">
        <v>4.0738279026956443E-8</v>
      </c>
      <c r="H23" s="14">
        <v>0</v>
      </c>
      <c r="I23" s="14">
        <v>1.3011563552538495E-8</v>
      </c>
      <c r="J23" s="14">
        <v>6.8472361936055241E-6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1.0603104783700399E-7</v>
      </c>
      <c r="E24" s="14">
        <v>2.0471643867205508E-5</v>
      </c>
      <c r="F24" s="14">
        <v>1.247691648660937E-6</v>
      </c>
      <c r="G24" s="14">
        <v>3.0116383830397406E-7</v>
      </c>
      <c r="H24" s="14">
        <v>0</v>
      </c>
      <c r="I24" s="14">
        <v>4.4942966526478281E-8</v>
      </c>
      <c r="J24" s="14">
        <v>1.7828526631466103E-5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4.097506347666008E-8</v>
      </c>
      <c r="E25" s="14">
        <v>1.9340126016544064E-7</v>
      </c>
      <c r="F25" s="14">
        <v>6.1149632300961795E-6</v>
      </c>
      <c r="G25" s="14">
        <v>1.2761138003024556E-5</v>
      </c>
      <c r="H25" s="14">
        <v>0</v>
      </c>
      <c r="I25" s="14">
        <v>1.7909003290035403E-6</v>
      </c>
      <c r="J25" s="14">
        <v>1.9098622114233629E-5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9.1539349071102704E-6</v>
      </c>
      <c r="E26" s="14">
        <v>9.4116871897114171E-6</v>
      </c>
      <c r="F26" s="14">
        <v>2.6368294148110875E-6</v>
      </c>
      <c r="G26" s="14">
        <v>5.6882357843199913E-7</v>
      </c>
      <c r="H26" s="14">
        <v>0</v>
      </c>
      <c r="I26" s="14">
        <v>7.8156894051426099E-8</v>
      </c>
      <c r="J26" s="14">
        <v>1.81505680158838E-5</v>
      </c>
      <c r="K26" s="14">
        <v>0</v>
      </c>
    </row>
    <row r="27" spans="1:13">
      <c r="A27" s="2" t="s">
        <v>397</v>
      </c>
      <c r="B27" s="3" t="s">
        <v>398</v>
      </c>
      <c r="D27" s="14">
        <v>3.3195572057258541E-5</v>
      </c>
      <c r="E27" s="14">
        <v>8.8920075283939257E-7</v>
      </c>
      <c r="F27" s="14">
        <v>1.3987959690119255E-6</v>
      </c>
      <c r="G27" s="14">
        <v>2.6573571486069084E-7</v>
      </c>
      <c r="H27" s="14">
        <v>0</v>
      </c>
      <c r="I27" s="14">
        <v>3.6035384314496929E-8</v>
      </c>
      <c r="J27" s="14">
        <v>4.2146601217149561E-6</v>
      </c>
      <c r="K27" s="14">
        <v>0</v>
      </c>
    </row>
    <row r="28" spans="1:13">
      <c r="A28" s="2" t="s">
        <v>399</v>
      </c>
      <c r="B28" s="3" t="s">
        <v>400</v>
      </c>
      <c r="D28" s="14">
        <v>3.4978164422572694E-5</v>
      </c>
      <c r="E28" s="14">
        <v>1.3337569006849093E-6</v>
      </c>
      <c r="F28" s="14">
        <v>5.1721514081023092E-7</v>
      </c>
      <c r="G28" s="14">
        <v>1.089348363165288E-7</v>
      </c>
      <c r="H28" s="14">
        <v>0</v>
      </c>
      <c r="I28" s="14">
        <v>1.4879857435731204E-8</v>
      </c>
      <c r="J28" s="14">
        <v>3.0470488421799091E-6</v>
      </c>
      <c r="K28" s="14">
        <v>0</v>
      </c>
    </row>
    <row r="29" spans="1:13">
      <c r="A29" s="2" t="s">
        <v>297</v>
      </c>
      <c r="B29" s="3" t="s">
        <v>298</v>
      </c>
      <c r="D29" s="14">
        <v>3.729987243976828E-5</v>
      </c>
      <c r="E29" s="14">
        <v>2.3772070583739319E-6</v>
      </c>
      <c r="F29" s="14">
        <v>3.9553194188890471E-9</v>
      </c>
      <c r="G29" s="14">
        <v>1.244735617494195E-9</v>
      </c>
      <c r="H29" s="14">
        <v>0</v>
      </c>
      <c r="I29" s="14">
        <v>7.711829797089698E-10</v>
      </c>
      <c r="J29" s="14">
        <v>3.1694926384170613E-7</v>
      </c>
      <c r="K29" s="14">
        <v>0</v>
      </c>
    </row>
    <row r="30" spans="1:13">
      <c r="A30" s="2" t="s">
        <v>401</v>
      </c>
      <c r="B30" s="3" t="s">
        <v>402</v>
      </c>
      <c r="D30" s="14">
        <v>3.8161012556421238E-5</v>
      </c>
      <c r="E30" s="14">
        <v>5.0475375001010083E-7</v>
      </c>
      <c r="F30" s="14">
        <v>1.8159090981344678E-7</v>
      </c>
      <c r="G30" s="14">
        <v>3.8458262544793913E-8</v>
      </c>
      <c r="H30" s="14">
        <v>0</v>
      </c>
      <c r="I30" s="14">
        <v>5.2592250036334561E-9</v>
      </c>
      <c r="J30" s="14">
        <v>1.1089252962067931E-6</v>
      </c>
      <c r="K30" s="14">
        <v>0</v>
      </c>
    </row>
    <row r="31" spans="1:13">
      <c r="A31" s="2" t="s">
        <v>299</v>
      </c>
      <c r="B31" s="3" t="s">
        <v>300</v>
      </c>
      <c r="D31" s="14">
        <v>3.9952743347220319E-5</v>
      </c>
      <c r="E31" s="14">
        <v>1.798814045313441E-8</v>
      </c>
      <c r="F31" s="14">
        <v>2.835442341122757E-9</v>
      </c>
      <c r="G31" s="14">
        <v>6.3814059904033805E-10</v>
      </c>
      <c r="H31" s="14">
        <v>0</v>
      </c>
      <c r="I31" s="14">
        <v>8.9254751512271711E-11</v>
      </c>
      <c r="J31" s="14">
        <v>2.5705674634868595E-8</v>
      </c>
      <c r="K31" s="14">
        <v>0</v>
      </c>
    </row>
    <row r="32" spans="1:13">
      <c r="A32" s="2" t="s">
        <v>343</v>
      </c>
      <c r="B32" s="3" t="s">
        <v>344</v>
      </c>
      <c r="D32" s="14">
        <v>9.0714114487340993E-8</v>
      </c>
      <c r="E32" s="14">
        <v>2.6056407045617968E-5</v>
      </c>
      <c r="F32" s="14">
        <v>5.55583168742955E-7</v>
      </c>
      <c r="G32" s="14">
        <v>1.4489207626437773E-7</v>
      </c>
      <c r="H32" s="14">
        <v>0</v>
      </c>
      <c r="I32" s="14">
        <v>2.5652017310011874E-8</v>
      </c>
      <c r="J32" s="14">
        <v>1.3126751577577349E-5</v>
      </c>
      <c r="K32" s="14">
        <v>0</v>
      </c>
    </row>
    <row r="33" spans="1:11">
      <c r="A33" s="2" t="s">
        <v>345</v>
      </c>
      <c r="B33" s="3" t="s">
        <v>346</v>
      </c>
      <c r="D33" s="14">
        <v>3.5717739897612514E-9</v>
      </c>
      <c r="E33" s="14">
        <v>3.0441330823440584E-5</v>
      </c>
      <c r="F33" s="14">
        <v>2.4476999852654536E-7</v>
      </c>
      <c r="G33" s="14">
        <v>6.8588884637085821E-8</v>
      </c>
      <c r="H33" s="14">
        <v>0</v>
      </c>
      <c r="I33" s="14">
        <v>1.6738597423872276E-8</v>
      </c>
      <c r="J33" s="14">
        <v>9.224999921982154E-6</v>
      </c>
      <c r="K33" s="14">
        <v>0</v>
      </c>
    </row>
    <row r="34" spans="1:11">
      <c r="A34" s="2" t="s">
        <v>347</v>
      </c>
      <c r="B34" s="3" t="s">
        <v>348</v>
      </c>
      <c r="D34" s="14">
        <v>5.3753402144327402E-9</v>
      </c>
      <c r="E34" s="14">
        <v>1.2966585294823757E-5</v>
      </c>
      <c r="F34" s="14">
        <v>3.126656500575388E-6</v>
      </c>
      <c r="G34" s="14">
        <v>6.8198642010716213E-7</v>
      </c>
      <c r="H34" s="14">
        <v>0</v>
      </c>
      <c r="I34" s="14">
        <v>9.404415238165191E-8</v>
      </c>
      <c r="J34" s="14">
        <v>2.3125352291897619E-5</v>
      </c>
      <c r="K34" s="14">
        <v>0</v>
      </c>
    </row>
    <row r="35" spans="1:11">
      <c r="A35" s="2" t="s">
        <v>349</v>
      </c>
      <c r="B35" s="3" t="s">
        <v>350</v>
      </c>
      <c r="D35" s="14">
        <v>2.0122207578669016E-6</v>
      </c>
      <c r="E35" s="14">
        <v>3.1607874283939406E-6</v>
      </c>
      <c r="F35" s="14">
        <v>1.052809608078081E-5</v>
      </c>
      <c r="G35" s="14">
        <v>1.8925414281896141E-6</v>
      </c>
      <c r="H35" s="14">
        <v>0</v>
      </c>
      <c r="I35" s="14">
        <v>2.5715527667123218E-7</v>
      </c>
      <c r="J35" s="14">
        <v>2.2149199028097508E-5</v>
      </c>
      <c r="K35" s="14">
        <v>0</v>
      </c>
    </row>
    <row r="36" spans="1:11">
      <c r="A36" s="2" t="s">
        <v>351</v>
      </c>
      <c r="B36" s="3" t="s">
        <v>352</v>
      </c>
      <c r="D36" s="14">
        <v>6.7267868487973485E-8</v>
      </c>
      <c r="E36" s="14">
        <v>8.6693658548599686E-7</v>
      </c>
      <c r="F36" s="14">
        <v>1.1139915108917964E-5</v>
      </c>
      <c r="G36" s="14">
        <v>5.1425371376581444E-6</v>
      </c>
      <c r="H36" s="14">
        <v>0</v>
      </c>
      <c r="I36" s="14">
        <v>7.0888437314035374E-7</v>
      </c>
      <c r="J36" s="14">
        <v>2.2074458926309568E-5</v>
      </c>
      <c r="K36" s="14">
        <v>0</v>
      </c>
    </row>
    <row r="37" spans="1:11">
      <c r="A37" s="2" t="s">
        <v>353</v>
      </c>
      <c r="B37" s="3" t="s">
        <v>354</v>
      </c>
      <c r="D37" s="14">
        <v>5.3260517778514356E-7</v>
      </c>
      <c r="E37" s="14">
        <v>1.5472662362923588E-7</v>
      </c>
      <c r="F37" s="14">
        <v>5.4749429620997615E-6</v>
      </c>
      <c r="G37" s="14">
        <v>1.3796697886714716E-5</v>
      </c>
      <c r="H37" s="14">
        <v>0</v>
      </c>
      <c r="I37" s="14">
        <v>1.9406434976935754E-6</v>
      </c>
      <c r="J37" s="14">
        <v>1.8100383852077568E-5</v>
      </c>
      <c r="K37" s="14">
        <v>0</v>
      </c>
    </row>
    <row r="38" spans="1:11">
      <c r="A38" s="2" t="s">
        <v>355</v>
      </c>
      <c r="B38" s="3" t="s">
        <v>356</v>
      </c>
      <c r="D38" s="14">
        <v>2.5919908183005949E-8</v>
      </c>
      <c r="E38" s="14">
        <v>4.9123932200054324E-7</v>
      </c>
      <c r="F38" s="14">
        <v>9.080456320288101E-6</v>
      </c>
      <c r="G38" s="14">
        <v>7.7090920087272975E-6</v>
      </c>
      <c r="H38" s="14">
        <v>0</v>
      </c>
      <c r="I38" s="14">
        <v>1.0702968578952099E-6</v>
      </c>
      <c r="J38" s="14">
        <v>2.1622995582905844E-5</v>
      </c>
      <c r="K38" s="14">
        <v>0</v>
      </c>
    </row>
    <row r="39" spans="1:11">
      <c r="A39" s="2" t="s">
        <v>357</v>
      </c>
      <c r="B39" s="3" t="s">
        <v>358</v>
      </c>
      <c r="D39" s="14">
        <v>4.6455790061225186E-6</v>
      </c>
      <c r="E39" s="14">
        <v>6.5538955378754965E-7</v>
      </c>
      <c r="F39" s="14">
        <v>9.343596284446822E-6</v>
      </c>
      <c r="G39" s="14">
        <v>5.1334533608870394E-6</v>
      </c>
      <c r="H39" s="14">
        <v>0</v>
      </c>
      <c r="I39" s="14">
        <v>7.0906236953048158E-7</v>
      </c>
      <c r="J39" s="14">
        <v>1.9512919425225596E-5</v>
      </c>
      <c r="K39" s="14">
        <v>0</v>
      </c>
    </row>
    <row r="40" spans="1:11">
      <c r="A40" s="2" t="s">
        <v>359</v>
      </c>
      <c r="B40" s="3" t="s">
        <v>360</v>
      </c>
      <c r="D40" s="14">
        <v>2.5919908183005949E-8</v>
      </c>
      <c r="E40" s="14">
        <v>4.9123932200054324E-7</v>
      </c>
      <c r="F40" s="14">
        <v>9.080456320288101E-6</v>
      </c>
      <c r="G40" s="14">
        <v>7.7090920087272975E-6</v>
      </c>
      <c r="H40" s="14">
        <v>0</v>
      </c>
      <c r="I40" s="14">
        <v>1.0702968578952099E-6</v>
      </c>
      <c r="J40" s="14">
        <v>2.1622995582905844E-5</v>
      </c>
      <c r="K40" s="14">
        <v>0</v>
      </c>
    </row>
    <row r="41" spans="1:11">
      <c r="A41" s="2" t="s">
        <v>313</v>
      </c>
      <c r="B41" s="3" t="s">
        <v>314</v>
      </c>
      <c r="D41" s="14">
        <v>2.3320846474375235E-12</v>
      </c>
      <c r="E41" s="14">
        <v>3.9792532783025293E-5</v>
      </c>
      <c r="F41" s="14">
        <v>1.8925010674369823E-7</v>
      </c>
      <c r="G41" s="14">
        <v>4.5035675683003321E-11</v>
      </c>
      <c r="H41" s="14">
        <v>0</v>
      </c>
      <c r="I41" s="14">
        <v>1.06765081516413E-8</v>
      </c>
      <c r="J41" s="14">
        <v>7.4932343190463397E-9</v>
      </c>
      <c r="K41" s="14">
        <v>0</v>
      </c>
    </row>
    <row r="42" spans="1:11">
      <c r="A42" s="2" t="s">
        <v>315</v>
      </c>
      <c r="B42" s="3" t="s">
        <v>316</v>
      </c>
      <c r="D42" s="14">
        <v>7.7305462897731795E-7</v>
      </c>
      <c r="E42" s="14">
        <v>1.4160215067297336E-7</v>
      </c>
      <c r="F42" s="14">
        <v>5.2322007643646056E-6</v>
      </c>
      <c r="G42" s="14">
        <v>1.4176856888135854E-5</v>
      </c>
      <c r="H42" s="14">
        <v>0</v>
      </c>
      <c r="I42" s="14">
        <v>1.9958652285694597E-6</v>
      </c>
      <c r="J42" s="14">
        <v>1.7680420339279795E-5</v>
      </c>
      <c r="K42" s="14">
        <v>0</v>
      </c>
    </row>
    <row r="43" spans="1:11">
      <c r="A43" s="2" t="s">
        <v>317</v>
      </c>
      <c r="B43" s="3" t="s">
        <v>318</v>
      </c>
      <c r="D43" s="14">
        <v>2.447892104228557E-16</v>
      </c>
      <c r="E43" s="14">
        <v>1.9685748664262639E-5</v>
      </c>
      <c r="F43" s="14">
        <v>1.3940119168347405E-6</v>
      </c>
      <c r="G43" s="14">
        <v>3.3278369669751327E-7</v>
      </c>
      <c r="H43" s="14">
        <v>0</v>
      </c>
      <c r="I43" s="14">
        <v>4.8952263790017705E-8</v>
      </c>
      <c r="J43" s="14">
        <v>1.8538503458170299E-5</v>
      </c>
      <c r="K43" s="14">
        <v>0</v>
      </c>
    </row>
    <row r="44" spans="1:11">
      <c r="A44" s="2" t="s">
        <v>307</v>
      </c>
      <c r="B44" s="3" t="s">
        <v>308</v>
      </c>
      <c r="D44" s="14">
        <v>2.2495389680709646E-8</v>
      </c>
      <c r="E44" s="14">
        <v>1.3007480551473601E-6</v>
      </c>
      <c r="F44" s="14">
        <v>1.266974096083512E-5</v>
      </c>
      <c r="G44" s="14">
        <v>3.6767431415589121E-6</v>
      </c>
      <c r="H44" s="14">
        <v>0</v>
      </c>
      <c r="I44" s="14">
        <v>5.0418346573624329E-7</v>
      </c>
      <c r="J44" s="14">
        <v>2.1826088987041661E-5</v>
      </c>
      <c r="K44" s="14">
        <v>0</v>
      </c>
    </row>
    <row r="45" spans="1:11">
      <c r="A45" s="2" t="s">
        <v>319</v>
      </c>
      <c r="B45" s="3" t="s">
        <v>320</v>
      </c>
      <c r="D45" s="14">
        <v>2.8294462361367462E-9</v>
      </c>
      <c r="E45" s="14">
        <v>7.113791146206888E-8</v>
      </c>
      <c r="F45" s="14">
        <v>3.7486566239470477E-6</v>
      </c>
      <c r="G45" s="14">
        <v>1.8410738791256218E-5</v>
      </c>
      <c r="H45" s="14">
        <v>0</v>
      </c>
      <c r="I45" s="14">
        <v>2.6106633903396308E-6</v>
      </c>
      <c r="J45" s="14">
        <v>1.51559738367589E-5</v>
      </c>
      <c r="K45" s="14">
        <v>0</v>
      </c>
    </row>
    <row r="46" spans="1:11">
      <c r="A46" s="2" t="s">
        <v>321</v>
      </c>
      <c r="B46" s="3" t="s">
        <v>322</v>
      </c>
      <c r="D46" s="14">
        <v>3.8328448197857306E-9</v>
      </c>
      <c r="E46" s="14">
        <v>1.3062337504150462E-7</v>
      </c>
      <c r="F46" s="14">
        <v>5.0838818768621064E-6</v>
      </c>
      <c r="G46" s="14">
        <v>1.5027647750670805E-5</v>
      </c>
      <c r="H46" s="14">
        <v>0</v>
      </c>
      <c r="I46" s="14">
        <v>2.1178701136783578E-6</v>
      </c>
      <c r="J46" s="14">
        <v>1.7636144038927451E-5</v>
      </c>
      <c r="K46" s="14">
        <v>0</v>
      </c>
    </row>
    <row r="47" spans="1:11">
      <c r="A47" s="2" t="s">
        <v>323</v>
      </c>
      <c r="B47" s="3" t="s">
        <v>324</v>
      </c>
      <c r="D47" s="14">
        <v>3.2927956368984229E-8</v>
      </c>
      <c r="E47" s="14">
        <v>2.6466983225579064E-7</v>
      </c>
      <c r="F47" s="14">
        <v>7.0378335707581082E-6</v>
      </c>
      <c r="G47" s="14">
        <v>1.098840221771656E-5</v>
      </c>
      <c r="H47" s="14">
        <v>0</v>
      </c>
      <c r="I47" s="14">
        <v>1.5367362491434564E-6</v>
      </c>
      <c r="J47" s="14">
        <v>2.0139430173757101E-5</v>
      </c>
      <c r="K47" s="14">
        <v>0</v>
      </c>
    </row>
    <row r="48" spans="1:11">
      <c r="A48" s="2" t="s">
        <v>325</v>
      </c>
      <c r="B48" s="3" t="s">
        <v>326</v>
      </c>
      <c r="D48" s="14">
        <v>1.1391344203151955E-8</v>
      </c>
      <c r="E48" s="14">
        <v>6.6922882605006571E-6</v>
      </c>
      <c r="F48" s="14">
        <v>6.7119573731780138E-6</v>
      </c>
      <c r="G48" s="14">
        <v>1.3180890284415307E-6</v>
      </c>
      <c r="H48" s="14">
        <v>0</v>
      </c>
      <c r="I48" s="14">
        <v>1.7877456521260534E-7</v>
      </c>
      <c r="J48" s="14">
        <v>2.5087499428464044E-5</v>
      </c>
      <c r="K48" s="14">
        <v>0</v>
      </c>
    </row>
    <row r="49" spans="1:11">
      <c r="A49" s="2" t="s">
        <v>275</v>
      </c>
      <c r="B49" s="3" t="s">
        <v>276</v>
      </c>
      <c r="D49" s="14">
        <v>2.8874528831995117E-10</v>
      </c>
      <c r="E49" s="14">
        <v>1.2085220278469865E-6</v>
      </c>
      <c r="F49" s="14">
        <v>1.2399070264816343E-5</v>
      </c>
      <c r="G49" s="14">
        <v>3.9254068545388199E-6</v>
      </c>
      <c r="H49" s="14">
        <v>0</v>
      </c>
      <c r="I49" s="14">
        <v>5.3879872368011712E-7</v>
      </c>
      <c r="J49" s="14">
        <v>2.1927913383829412E-5</v>
      </c>
      <c r="K49" s="14">
        <v>0</v>
      </c>
    </row>
    <row r="50" spans="1:11">
      <c r="A50" s="2" t="s">
        <v>327</v>
      </c>
      <c r="B50" s="3" t="s">
        <v>328</v>
      </c>
      <c r="D50" s="14">
        <v>1.5015780050687983E-8</v>
      </c>
      <c r="E50" s="14">
        <v>1.0658290734885054E-6</v>
      </c>
      <c r="F50" s="14">
        <v>1.1924004000278093E-5</v>
      </c>
      <c r="G50" s="14">
        <v>4.3643308739958782E-6</v>
      </c>
      <c r="H50" s="14">
        <v>0</v>
      </c>
      <c r="I50" s="14">
        <v>6.0001869472841088E-7</v>
      </c>
      <c r="J50" s="14">
        <v>2.2030801577458422E-5</v>
      </c>
      <c r="K50" s="14">
        <v>0</v>
      </c>
    </row>
    <row r="51" spans="1:11">
      <c r="A51" s="2" t="s">
        <v>329</v>
      </c>
      <c r="B51" s="3" t="s">
        <v>330</v>
      </c>
      <c r="D51" s="14">
        <v>6.9469257418792995E-9</v>
      </c>
      <c r="E51" s="14">
        <v>5.0064781036901567E-6</v>
      </c>
      <c r="F51" s="14">
        <v>8.4892020733206547E-6</v>
      </c>
      <c r="G51" s="14">
        <v>1.6038451191904866E-6</v>
      </c>
      <c r="H51" s="14">
        <v>0</v>
      </c>
      <c r="I51" s="14">
        <v>2.1751097021607831E-7</v>
      </c>
      <c r="J51" s="14">
        <v>2.4676016807840746E-5</v>
      </c>
      <c r="K51" s="14">
        <v>0</v>
      </c>
    </row>
    <row r="52" spans="1:11">
      <c r="A52" s="2" t="s">
        <v>277</v>
      </c>
      <c r="B52" s="3" t="s">
        <v>278</v>
      </c>
      <c r="D52" s="14">
        <v>1.7991777478606403E-8</v>
      </c>
      <c r="E52" s="14">
        <v>6.5155898132097094E-6</v>
      </c>
      <c r="F52" s="14">
        <v>6.8698663163293301E-6</v>
      </c>
      <c r="G52" s="14">
        <v>1.3441379449869215E-6</v>
      </c>
      <c r="H52" s="14">
        <v>0</v>
      </c>
      <c r="I52" s="14">
        <v>1.8229073079879474E-7</v>
      </c>
      <c r="J52" s="14">
        <v>2.5070123417196641E-5</v>
      </c>
      <c r="K52" s="14">
        <v>0</v>
      </c>
    </row>
    <row r="53" spans="1:11">
      <c r="A53" s="2" t="s">
        <v>331</v>
      </c>
      <c r="B53" s="3" t="s">
        <v>332</v>
      </c>
      <c r="D53" s="14">
        <v>1.0077034154770336E-8</v>
      </c>
      <c r="E53" s="14">
        <v>7.1221709734322104E-7</v>
      </c>
      <c r="F53" s="14">
        <v>1.0420941200828236E-5</v>
      </c>
      <c r="G53" s="14">
        <v>5.9800181319406446E-6</v>
      </c>
      <c r="H53" s="14">
        <v>0</v>
      </c>
      <c r="I53" s="14">
        <v>8.2641460834369631E-7</v>
      </c>
      <c r="J53" s="14">
        <v>2.2050331927389438E-5</v>
      </c>
      <c r="K53" s="14">
        <v>0</v>
      </c>
    </row>
    <row r="54" spans="1:11">
      <c r="A54" s="2" t="s">
        <v>333</v>
      </c>
      <c r="B54" s="3" t="s">
        <v>334</v>
      </c>
      <c r="D54" s="14">
        <v>1.6358241300196079E-11</v>
      </c>
      <c r="E54" s="14">
        <v>1.1354715958190075E-6</v>
      </c>
      <c r="F54" s="14">
        <v>1.2164963916298499E-5</v>
      </c>
      <c r="G54" s="14">
        <v>4.1410109646393144E-6</v>
      </c>
      <c r="H54" s="14">
        <v>0</v>
      </c>
      <c r="I54" s="14">
        <v>5.6885202285960206E-7</v>
      </c>
      <c r="J54" s="14">
        <v>2.1989685142142282E-5</v>
      </c>
      <c r="K54" s="14">
        <v>0</v>
      </c>
    </row>
    <row r="55" spans="1:11">
      <c r="A55" s="2" t="s">
        <v>335</v>
      </c>
      <c r="B55" s="3" t="s">
        <v>336</v>
      </c>
      <c r="D55" s="14">
        <v>8.5150895916824421E-8</v>
      </c>
      <c r="E55" s="14">
        <v>2.7255169438071827E-7</v>
      </c>
      <c r="F55" s="14">
        <v>7.1230080744839189E-6</v>
      </c>
      <c r="G55" s="14">
        <v>1.0803363574887842E-5</v>
      </c>
      <c r="H55" s="14">
        <v>0</v>
      </c>
      <c r="I55" s="14">
        <v>1.510331746073602E-6</v>
      </c>
      <c r="J55" s="14">
        <v>2.0205594014257101E-5</v>
      </c>
      <c r="K55" s="14">
        <v>0</v>
      </c>
    </row>
    <row r="56" spans="1:11">
      <c r="A56" s="2" t="s">
        <v>337</v>
      </c>
      <c r="B56" s="3" t="s">
        <v>338</v>
      </c>
      <c r="D56" s="14">
        <v>5.7770573899388346E-9</v>
      </c>
      <c r="E56" s="14">
        <v>1.2696568099424635E-6</v>
      </c>
      <c r="F56" s="14">
        <v>1.2582904393277494E-5</v>
      </c>
      <c r="G56" s="14">
        <v>3.7590357162425355E-6</v>
      </c>
      <c r="H56" s="14">
        <v>0</v>
      </c>
      <c r="I56" s="14">
        <v>5.1563217804961964E-7</v>
      </c>
      <c r="J56" s="14">
        <v>2.1866993845097955E-5</v>
      </c>
      <c r="K56" s="14">
        <v>0</v>
      </c>
    </row>
    <row r="57" spans="1:11">
      <c r="A57" s="2" t="s">
        <v>279</v>
      </c>
      <c r="B57" s="3" t="s">
        <v>280</v>
      </c>
      <c r="D57" s="14">
        <v>3.1874346194417208E-7</v>
      </c>
      <c r="E57" s="14">
        <v>7.464160163765828E-6</v>
      </c>
      <c r="F57" s="14">
        <v>5.9774437810691764E-6</v>
      </c>
      <c r="G57" s="14">
        <v>1.1934687602057717E-6</v>
      </c>
      <c r="H57" s="14">
        <v>0</v>
      </c>
      <c r="I57" s="14">
        <v>1.6198366660335934E-7</v>
      </c>
      <c r="J57" s="14">
        <v>2.4884200166411699E-5</v>
      </c>
      <c r="K57" s="14">
        <v>0</v>
      </c>
    </row>
    <row r="58" spans="1:11">
      <c r="A58" s="2" t="s">
        <v>339</v>
      </c>
      <c r="B58" s="3" t="s">
        <v>340</v>
      </c>
      <c r="D58" s="14">
        <v>5.7325874200974574E-11</v>
      </c>
      <c r="E58" s="14">
        <v>1.1213220202504228E-6</v>
      </c>
      <c r="F58" s="14">
        <v>1.2117831274302092E-5</v>
      </c>
      <c r="G58" s="14">
        <v>4.1852408593445826E-6</v>
      </c>
      <c r="H58" s="14">
        <v>0</v>
      </c>
      <c r="I58" s="14">
        <v>5.7502136358796759E-7</v>
      </c>
      <c r="J58" s="14">
        <v>2.2000527156640737E-5</v>
      </c>
      <c r="K58" s="14">
        <v>0</v>
      </c>
    </row>
    <row r="59" spans="1:11">
      <c r="A59" s="2" t="s">
        <v>281</v>
      </c>
      <c r="B59" s="3" t="s">
        <v>282</v>
      </c>
      <c r="D59" s="14">
        <v>2.7242055891479999E-9</v>
      </c>
      <c r="E59" s="14">
        <v>6.5180778632176478E-6</v>
      </c>
      <c r="F59" s="14">
        <v>6.8724896507369417E-6</v>
      </c>
      <c r="G59" s="14">
        <v>1.3446512189222932E-6</v>
      </c>
      <c r="H59" s="14">
        <v>0</v>
      </c>
      <c r="I59" s="14">
        <v>1.8236034052979583E-7</v>
      </c>
      <c r="J59" s="14">
        <v>2.5079696721004178E-5</v>
      </c>
      <c r="K59" s="14">
        <v>0</v>
      </c>
    </row>
    <row r="60" spans="1:11">
      <c r="A60" s="2" t="s">
        <v>341</v>
      </c>
      <c r="B60" s="3" t="s">
        <v>342</v>
      </c>
      <c r="D60" s="14">
        <v>8.3922393286735143E-8</v>
      </c>
      <c r="E60" s="14">
        <v>8.011199095358295E-7</v>
      </c>
      <c r="F60" s="14">
        <v>1.0843065354308317E-5</v>
      </c>
      <c r="G60" s="14">
        <v>5.4606913600477473E-6</v>
      </c>
      <c r="H60" s="14">
        <v>0</v>
      </c>
      <c r="I60" s="14">
        <v>7.5349917453304391E-7</v>
      </c>
      <c r="J60" s="14">
        <v>2.2057701808288329E-5</v>
      </c>
      <c r="K60" s="14">
        <v>0</v>
      </c>
    </row>
    <row r="61" spans="1:11">
      <c r="A61" s="2" t="s">
        <v>483</v>
      </c>
      <c r="B61" s="3" t="s">
        <v>484</v>
      </c>
      <c r="D61" s="14">
        <v>5.7304624642220043E-18</v>
      </c>
      <c r="E61" s="14">
        <v>2.0876120728955504E-5</v>
      </c>
      <c r="F61" s="14">
        <v>3.3510945443743226E-6</v>
      </c>
      <c r="G61" s="14">
        <v>5.5834711677451331E-7</v>
      </c>
      <c r="H61" s="14">
        <v>0</v>
      </c>
      <c r="I61" s="14">
        <v>5.1783644812865617E-7</v>
      </c>
      <c r="J61" s="14">
        <v>1.4696601161761274E-5</v>
      </c>
      <c r="K61" s="14">
        <v>0</v>
      </c>
    </row>
    <row r="62" spans="1:11">
      <c r="A62" s="2" t="s">
        <v>485</v>
      </c>
      <c r="B62" s="3" t="s">
        <v>486</v>
      </c>
      <c r="D62" s="14">
        <v>1.483491602593597E-11</v>
      </c>
      <c r="E62" s="14">
        <v>1.3487913025304498E-5</v>
      </c>
      <c r="F62" s="14">
        <v>2.9427902413314627E-6</v>
      </c>
      <c r="G62" s="14">
        <v>6.4662853043783612E-7</v>
      </c>
      <c r="H62" s="14">
        <v>0</v>
      </c>
      <c r="I62" s="14">
        <v>8.9415914269724887E-8</v>
      </c>
      <c r="J62" s="14">
        <v>2.2833237453740454E-5</v>
      </c>
      <c r="K62" s="14">
        <v>0</v>
      </c>
    </row>
    <row r="63" spans="1:11">
      <c r="A63" s="2" t="s">
        <v>487</v>
      </c>
      <c r="B63" s="3" t="s">
        <v>488</v>
      </c>
      <c r="D63" s="14">
        <v>2.948089574893046E-17</v>
      </c>
      <c r="E63" s="14">
        <v>3.8146528787314104E-5</v>
      </c>
      <c r="F63" s="14">
        <v>1.3148762638718486E-7</v>
      </c>
      <c r="G63" s="14">
        <v>1.7349287268520814E-8</v>
      </c>
      <c r="H63" s="14">
        <v>0</v>
      </c>
      <c r="I63" s="14">
        <v>5.619003127848727E-8</v>
      </c>
      <c r="J63" s="14">
        <v>1.648444267722227E-6</v>
      </c>
      <c r="K63" s="14">
        <v>0</v>
      </c>
    </row>
    <row r="64" spans="1:11">
      <c r="A64" s="2" t="s">
        <v>489</v>
      </c>
      <c r="B64" s="3" t="s">
        <v>490</v>
      </c>
      <c r="D64" s="14">
        <v>5.3145539202148984E-19</v>
      </c>
      <c r="E64" s="14">
        <v>3.9764980282562251E-5</v>
      </c>
      <c r="F64" s="14">
        <v>4.9011198401532585E-8</v>
      </c>
      <c r="G64" s="14">
        <v>6.0851695397712558E-10</v>
      </c>
      <c r="H64" s="14">
        <v>0</v>
      </c>
      <c r="I64" s="14">
        <v>1.0421250671051789E-8</v>
      </c>
      <c r="J64" s="14">
        <v>1.7497875141066062E-7</v>
      </c>
      <c r="K64" s="14">
        <v>0</v>
      </c>
    </row>
    <row r="65" spans="1:11">
      <c r="A65" s="2" t="s">
        <v>491</v>
      </c>
      <c r="B65" s="3" t="s">
        <v>492</v>
      </c>
      <c r="D65" s="14">
        <v>8.7777970011864137E-17</v>
      </c>
      <c r="E65" s="14">
        <v>3.9901693266093434E-5</v>
      </c>
      <c r="F65" s="14">
        <v>6.3634374861028265E-9</v>
      </c>
      <c r="G65" s="14">
        <v>2.8303184502420419E-10</v>
      </c>
      <c r="H65" s="14">
        <v>0</v>
      </c>
      <c r="I65" s="14">
        <v>1.4333839324841555E-8</v>
      </c>
      <c r="J65" s="14">
        <v>7.7326425162826222E-8</v>
      </c>
      <c r="K65" s="14">
        <v>0</v>
      </c>
    </row>
    <row r="66" spans="1:11">
      <c r="A66" s="2" t="s">
        <v>493</v>
      </c>
      <c r="B66" s="3" t="s">
        <v>494</v>
      </c>
      <c r="D66" s="14">
        <v>1.4003370548064478E-15</v>
      </c>
      <c r="E66" s="14">
        <v>3.7684569617231882E-5</v>
      </c>
      <c r="F66" s="14">
        <v>9.7805603658279337E-7</v>
      </c>
      <c r="G66" s="14">
        <v>2.4511877455850837E-8</v>
      </c>
      <c r="H66" s="14">
        <v>0</v>
      </c>
      <c r="I66" s="14">
        <v>4.7067416041478898E-7</v>
      </c>
      <c r="J66" s="14">
        <v>8.4218830691435374E-7</v>
      </c>
      <c r="K66" s="14">
        <v>0</v>
      </c>
    </row>
    <row r="67" spans="1:11">
      <c r="A67" s="2" t="s">
        <v>495</v>
      </c>
      <c r="B67" s="3" t="s">
        <v>496</v>
      </c>
      <c r="D67" s="14">
        <v>6.8559150181302353E-17</v>
      </c>
      <c r="E67" s="14">
        <v>3.9893770911717478E-5</v>
      </c>
      <c r="F67" s="14">
        <v>5.3647487869326901E-9</v>
      </c>
      <c r="G67" s="14">
        <v>2.9326776151617549E-10</v>
      </c>
      <c r="H67" s="14">
        <v>0</v>
      </c>
      <c r="I67" s="14">
        <v>1.3639615423736255E-8</v>
      </c>
      <c r="J67" s="14">
        <v>8.6931456241783648E-8</v>
      </c>
      <c r="K67" s="14">
        <v>0</v>
      </c>
    </row>
    <row r="68" spans="1:11">
      <c r="A68" s="2" t="s">
        <v>497</v>
      </c>
      <c r="B68" s="3" t="s">
        <v>498</v>
      </c>
      <c r="D68" s="14">
        <v>6.1989579541484967E-16</v>
      </c>
      <c r="E68" s="14">
        <v>3.9953477034457476E-5</v>
      </c>
      <c r="F68" s="14">
        <v>6.3790454910871604E-10</v>
      </c>
      <c r="G68" s="14">
        <v>4.9217752174401765E-11</v>
      </c>
      <c r="H68" s="14">
        <v>0</v>
      </c>
      <c r="I68" s="14">
        <v>1.0719085354388373E-8</v>
      </c>
      <c r="J68" s="14">
        <v>3.5116757266967482E-8</v>
      </c>
      <c r="K68" s="14">
        <v>0</v>
      </c>
    </row>
    <row r="69" spans="1:11">
      <c r="A69" s="2" t="s">
        <v>499</v>
      </c>
      <c r="B69" s="3" t="s">
        <v>500</v>
      </c>
      <c r="D69" s="14">
        <v>1.4414319354833204E-15</v>
      </c>
      <c r="E69" s="14">
        <v>1.4400971944056964E-6</v>
      </c>
      <c r="F69" s="14">
        <v>1.3054443251718272E-5</v>
      </c>
      <c r="G69" s="14">
        <v>3.3586435119010375E-6</v>
      </c>
      <c r="H69" s="14">
        <v>0</v>
      </c>
      <c r="I69" s="14">
        <v>4.5996279541585609E-7</v>
      </c>
      <c r="J69" s="14">
        <v>2.1686853245117707E-5</v>
      </c>
      <c r="K69" s="14">
        <v>0</v>
      </c>
    </row>
    <row r="70" spans="1:11">
      <c r="A70" s="2" t="s">
        <v>501</v>
      </c>
      <c r="B70" s="3" t="s">
        <v>411</v>
      </c>
      <c r="D70" s="14">
        <v>1.1421214371970866E-17</v>
      </c>
      <c r="E70" s="14">
        <v>3.9863180644559554E-5</v>
      </c>
      <c r="F70" s="14">
        <v>1.2393286743078147E-7</v>
      </c>
      <c r="G70" s="14">
        <v>1.1778286721752131E-11</v>
      </c>
      <c r="H70" s="14">
        <v>0</v>
      </c>
      <c r="I70" s="14">
        <v>1.054664658196757E-8</v>
      </c>
      <c r="J70" s="14">
        <v>2.3280631295608792E-9</v>
      </c>
      <c r="K70" s="14">
        <v>0</v>
      </c>
    </row>
    <row r="71" spans="1:11">
      <c r="A71" s="2" t="s">
        <v>502</v>
      </c>
      <c r="B71" s="3" t="s">
        <v>412</v>
      </c>
      <c r="D71" s="14">
        <v>5.3459902295379206E-13</v>
      </c>
      <c r="E71" s="14">
        <v>3.9749187836701998E-5</v>
      </c>
      <c r="F71" s="14">
        <v>2.3675698996120258E-7</v>
      </c>
      <c r="G71" s="14">
        <v>2.1516375940043841E-11</v>
      </c>
      <c r="H71" s="14">
        <v>0</v>
      </c>
      <c r="I71" s="14">
        <v>1.0765124570521562E-8</v>
      </c>
      <c r="J71" s="14">
        <v>3.26799779131211E-9</v>
      </c>
      <c r="K71" s="14">
        <v>0</v>
      </c>
    </row>
    <row r="72" spans="1:11">
      <c r="A72" s="2" t="s">
        <v>503</v>
      </c>
      <c r="B72" s="3" t="s">
        <v>413</v>
      </c>
      <c r="D72" s="14">
        <v>6.5772087806985612E-14</v>
      </c>
      <c r="E72" s="14">
        <v>1.4910126022312512E-6</v>
      </c>
      <c r="F72" s="14">
        <v>3.7967837713756677E-5</v>
      </c>
      <c r="G72" s="14">
        <v>1.7437339521458997E-8</v>
      </c>
      <c r="H72" s="14">
        <v>0</v>
      </c>
      <c r="I72" s="14">
        <v>4.9009265454022333E-7</v>
      </c>
      <c r="J72" s="14">
        <v>3.3619624178309831E-8</v>
      </c>
      <c r="K72" s="14">
        <v>0</v>
      </c>
    </row>
    <row r="73" spans="1:11">
      <c r="A73" s="2" t="s">
        <v>504</v>
      </c>
      <c r="B73" s="3" t="s">
        <v>414</v>
      </c>
      <c r="D73" s="14">
        <v>6.7794613947285559E-14</v>
      </c>
      <c r="E73" s="14">
        <v>1.0910756870129318E-5</v>
      </c>
      <c r="F73" s="14">
        <v>2.9018130445902905E-5</v>
      </c>
      <c r="G73" s="14">
        <v>1.6773889891299257E-9</v>
      </c>
      <c r="H73" s="14">
        <v>0</v>
      </c>
      <c r="I73" s="14">
        <v>4.7929881971998357E-8</v>
      </c>
      <c r="J73" s="14">
        <v>2.1505345212038701E-8</v>
      </c>
      <c r="K73" s="14">
        <v>0</v>
      </c>
    </row>
    <row r="74" spans="1:11">
      <c r="A74" s="2" t="s">
        <v>505</v>
      </c>
      <c r="B74" s="3" t="s">
        <v>415</v>
      </c>
      <c r="D74" s="14">
        <v>6.5771202116951474E-14</v>
      </c>
      <c r="E74" s="14">
        <v>3.9771820064353036E-5</v>
      </c>
      <c r="F74" s="14">
        <v>2.1434335109818359E-7</v>
      </c>
      <c r="G74" s="14">
        <v>1.9564753273568483E-11</v>
      </c>
      <c r="H74" s="14">
        <v>0</v>
      </c>
      <c r="I74" s="14">
        <v>1.072247882747926E-8</v>
      </c>
      <c r="J74" s="14">
        <v>3.0944751968328036E-9</v>
      </c>
      <c r="K74" s="14">
        <v>0</v>
      </c>
    </row>
    <row r="75" spans="1:11">
      <c r="A75" s="2" t="s">
        <v>506</v>
      </c>
      <c r="B75" s="3" t="s">
        <v>416</v>
      </c>
      <c r="D75" s="14">
        <v>2.7840354879447603E-13</v>
      </c>
      <c r="E75" s="14">
        <v>1.2352488355851771E-5</v>
      </c>
      <c r="F75" s="14">
        <v>2.7577126009157746E-5</v>
      </c>
      <c r="G75" s="14">
        <v>1.6147800035964563E-9</v>
      </c>
      <c r="H75" s="14">
        <v>0</v>
      </c>
      <c r="I75" s="14">
        <v>4.65463839223371E-8</v>
      </c>
      <c r="J75" s="14">
        <v>2.2224192660999881E-8</v>
      </c>
      <c r="K75" s="14">
        <v>0</v>
      </c>
    </row>
    <row r="76" spans="1:11">
      <c r="A76" s="2" t="s">
        <v>507</v>
      </c>
      <c r="B76" s="3" t="s">
        <v>417</v>
      </c>
      <c r="D76" s="14">
        <v>1.7676189940007552E-12</v>
      </c>
      <c r="E76" s="14">
        <v>3.5598258994730292E-5</v>
      </c>
      <c r="F76" s="14">
        <v>4.3698175930192622E-6</v>
      </c>
      <c r="G76" s="14">
        <v>3.1778224054306254E-10</v>
      </c>
      <c r="H76" s="14">
        <v>0</v>
      </c>
      <c r="I76" s="14">
        <v>1.7438024965933303E-8</v>
      </c>
      <c r="J76" s="14">
        <v>1.416583742497684E-8</v>
      </c>
      <c r="K76" s="14">
        <v>0</v>
      </c>
    </row>
    <row r="77" spans="1:11">
      <c r="A77" s="2" t="s">
        <v>508</v>
      </c>
      <c r="B77" s="3" t="s">
        <v>418</v>
      </c>
      <c r="D77" s="14">
        <v>2.073729706763774E-12</v>
      </c>
      <c r="E77" s="14">
        <v>1.1311813804422507E-5</v>
      </c>
      <c r="F77" s="14">
        <v>2.8617177568206216E-5</v>
      </c>
      <c r="G77" s="14">
        <v>1.6653024163082795E-9</v>
      </c>
      <c r="H77" s="14">
        <v>0</v>
      </c>
      <c r="I77" s="14">
        <v>4.75538343710598E-8</v>
      </c>
      <c r="J77" s="14">
        <v>2.1787416854205386E-8</v>
      </c>
      <c r="K77" s="14">
        <v>0</v>
      </c>
    </row>
    <row r="78" spans="1:11">
      <c r="A78" s="2" t="s">
        <v>509</v>
      </c>
      <c r="B78" s="3" t="s">
        <v>419</v>
      </c>
      <c r="D78" s="14">
        <v>2.6398569242508931E-13</v>
      </c>
      <c r="E78" s="14">
        <v>1.6509733987182115E-6</v>
      </c>
      <c r="F78" s="14">
        <v>3.7892619259681574E-5</v>
      </c>
      <c r="G78" s="14">
        <v>1.4622410954278045E-8</v>
      </c>
      <c r="H78" s="14">
        <v>0</v>
      </c>
      <c r="I78" s="14">
        <v>4.0994770489355292E-7</v>
      </c>
      <c r="J78" s="14">
        <v>3.1836961766696432E-8</v>
      </c>
      <c r="K78" s="14">
        <v>0</v>
      </c>
    </row>
    <row r="79" spans="1:11">
      <c r="A79" s="2" t="s">
        <v>510</v>
      </c>
      <c r="B79" s="3" t="s">
        <v>420</v>
      </c>
      <c r="D79" s="14">
        <v>6.6310224338828106E-18</v>
      </c>
      <c r="E79" s="14">
        <v>1.6509737255567258E-6</v>
      </c>
      <c r="F79" s="14">
        <v>3.7892626761175778E-5</v>
      </c>
      <c r="G79" s="14">
        <v>1.4620099768995897E-8</v>
      </c>
      <c r="H79" s="14">
        <v>0</v>
      </c>
      <c r="I79" s="14">
        <v>4.0994748380352199E-7</v>
      </c>
      <c r="J79" s="14">
        <v>3.1831929688354934E-8</v>
      </c>
      <c r="K79" s="14">
        <v>0</v>
      </c>
    </row>
    <row r="80" spans="1:11">
      <c r="A80" s="2" t="s">
        <v>511</v>
      </c>
      <c r="B80" s="3" t="s">
        <v>421</v>
      </c>
      <c r="D80" s="14">
        <v>3.1282949488741641E-13</v>
      </c>
      <c r="E80" s="14">
        <v>2.6667811686129467E-5</v>
      </c>
      <c r="F80" s="14">
        <v>1.3279506323975025E-5</v>
      </c>
      <c r="G80" s="14">
        <v>8.6845293909597793E-10</v>
      </c>
      <c r="H80" s="14">
        <v>0</v>
      </c>
      <c r="I80" s="14">
        <v>2.9861991113473715E-8</v>
      </c>
      <c r="J80" s="14">
        <v>2.1951233013445544E-8</v>
      </c>
      <c r="K80" s="14">
        <v>0</v>
      </c>
    </row>
    <row r="81" spans="1:11">
      <c r="A81" s="2" t="s">
        <v>512</v>
      </c>
      <c r="B81" s="3" t="s">
        <v>422</v>
      </c>
      <c r="D81" s="14">
        <v>1.2403610076120543E-13</v>
      </c>
      <c r="E81" s="14">
        <v>3.9038020826834792E-5</v>
      </c>
      <c r="F81" s="14">
        <v>9.4324028712918327E-7</v>
      </c>
      <c r="G81" s="14">
        <v>7.7087986276540673E-11</v>
      </c>
      <c r="H81" s="14">
        <v>0</v>
      </c>
      <c r="I81" s="14">
        <v>1.2022725027107236E-8</v>
      </c>
      <c r="J81" s="14">
        <v>6.638948986544259E-9</v>
      </c>
      <c r="K81" s="14">
        <v>0</v>
      </c>
    </row>
    <row r="82" spans="1:11">
      <c r="A82" s="2" t="s">
        <v>513</v>
      </c>
      <c r="B82" s="3" t="s">
        <v>423</v>
      </c>
      <c r="D82" s="14">
        <v>3.9738824841868735E-17</v>
      </c>
      <c r="E82" s="14">
        <v>3.7567706692265024E-5</v>
      </c>
      <c r="F82" s="14">
        <v>2.4070728528639948E-6</v>
      </c>
      <c r="G82" s="14">
        <v>1.8305637548479773E-10</v>
      </c>
      <c r="H82" s="14">
        <v>0</v>
      </c>
      <c r="I82" s="14">
        <v>1.4418059341393598E-8</v>
      </c>
      <c r="J82" s="14">
        <v>1.0619339114371972E-8</v>
      </c>
      <c r="K82" s="14">
        <v>0</v>
      </c>
    </row>
    <row r="83" spans="1:11">
      <c r="A83" s="2" t="s">
        <v>514</v>
      </c>
      <c r="B83" s="3" t="s">
        <v>424</v>
      </c>
      <c r="D83" s="14">
        <v>9.4724693612058162E-14</v>
      </c>
      <c r="E83" s="14">
        <v>1.1218192691685578E-6</v>
      </c>
      <c r="F83" s="14">
        <v>3.8013463923136042E-5</v>
      </c>
      <c r="G83" s="14">
        <v>2.8177457607341481E-8</v>
      </c>
      <c r="H83" s="14">
        <v>0</v>
      </c>
      <c r="I83" s="14">
        <v>7.9765136034781498E-7</v>
      </c>
      <c r="J83" s="14">
        <v>3.8887895015555873E-8</v>
      </c>
      <c r="K83" s="14">
        <v>0</v>
      </c>
    </row>
    <row r="84" spans="1:11">
      <c r="A84" s="2" t="s">
        <v>403</v>
      </c>
      <c r="B84" s="3" t="s">
        <v>404</v>
      </c>
      <c r="D84" s="14">
        <v>2.7144784832094504E-48</v>
      </c>
      <c r="E84" s="14">
        <v>1.7299201924524378E-5</v>
      </c>
      <c r="F84" s="14">
        <v>1.8739613023599291E-6</v>
      </c>
      <c r="G84" s="14">
        <v>4.3356695441489135E-7</v>
      </c>
      <c r="H84" s="14">
        <v>0</v>
      </c>
      <c r="I84" s="14">
        <v>6.17986809941505E-8</v>
      </c>
      <c r="J84" s="14">
        <v>2.033147113770665E-5</v>
      </c>
      <c r="K84" s="14">
        <v>0</v>
      </c>
    </row>
    <row r="85" spans="1:11">
      <c r="A85" s="2" t="s">
        <v>405</v>
      </c>
      <c r="B85" s="3" t="s">
        <v>406</v>
      </c>
      <c r="D85" s="14">
        <v>2.1961556927212546E-12</v>
      </c>
      <c r="E85" s="14">
        <v>8.0423721147568736E-6</v>
      </c>
      <c r="F85" s="14">
        <v>1.2595923823550404E-5</v>
      </c>
      <c r="G85" s="14">
        <v>6.5849702589328839E-7</v>
      </c>
      <c r="H85" s="14">
        <v>0</v>
      </c>
      <c r="I85" s="14">
        <v>1.6225403699995055E-5</v>
      </c>
      <c r="J85" s="14">
        <v>2.4778011396486894E-6</v>
      </c>
      <c r="K85" s="14">
        <v>0</v>
      </c>
    </row>
    <row r="86" spans="1:11">
      <c r="A86" s="2" t="s">
        <v>407</v>
      </c>
      <c r="B86" s="3" t="s">
        <v>408</v>
      </c>
      <c r="D86" s="14">
        <v>6.1412319231950829E-9</v>
      </c>
      <c r="E86" s="14">
        <v>8.4967954505499749E-8</v>
      </c>
      <c r="F86" s="14">
        <v>4.1061018125319331E-6</v>
      </c>
      <c r="G86" s="14">
        <v>1.7443164201748646E-5</v>
      </c>
      <c r="H86" s="14">
        <v>0</v>
      </c>
      <c r="I86" s="14">
        <v>2.4691124701563122E-6</v>
      </c>
      <c r="J86" s="14">
        <v>1.5890512329134417E-5</v>
      </c>
      <c r="K86" s="14">
        <v>0</v>
      </c>
    </row>
    <row r="87" spans="1:11">
      <c r="A87" s="2" t="s">
        <v>409</v>
      </c>
      <c r="B87" s="3" t="s">
        <v>410</v>
      </c>
      <c r="D87" s="14">
        <v>8.5782139766999214E-10</v>
      </c>
      <c r="E87" s="14">
        <v>3.3215174596984486E-8</v>
      </c>
      <c r="F87" s="14">
        <v>2.4961523588382921E-6</v>
      </c>
      <c r="G87" s="14">
        <v>2.2221155854377746E-5</v>
      </c>
      <c r="H87" s="14">
        <v>0</v>
      </c>
      <c r="I87" s="14">
        <v>3.1738374217087448E-6</v>
      </c>
      <c r="J87" s="14">
        <v>1.2074781369080561E-5</v>
      </c>
      <c r="K87" s="14">
        <v>0</v>
      </c>
    </row>
    <row r="88" spans="1:11">
      <c r="A88" s="2" t="s">
        <v>301</v>
      </c>
      <c r="B88" s="3" t="s">
        <v>302</v>
      </c>
      <c r="D88" s="14">
        <v>1.1858555001484893E-10</v>
      </c>
      <c r="E88" s="14">
        <v>1.0434975572297549E-8</v>
      </c>
      <c r="F88" s="14">
        <v>1.2957045598177003E-6</v>
      </c>
      <c r="G88" s="14">
        <v>2.6754789752480909E-5</v>
      </c>
      <c r="H88" s="14">
        <v>0</v>
      </c>
      <c r="I88" s="14">
        <v>3.8607600908930042E-6</v>
      </c>
      <c r="J88" s="14">
        <v>8.078192035686084E-6</v>
      </c>
      <c r="K88" s="14">
        <v>0</v>
      </c>
    </row>
    <row r="89" spans="1:11">
      <c r="A89" s="2" t="s">
        <v>303</v>
      </c>
      <c r="B89" s="3" t="s">
        <v>304</v>
      </c>
      <c r="D89" s="14">
        <v>1.3908215164646163E-17</v>
      </c>
      <c r="E89" s="14">
        <v>1.0727173150527981E-7</v>
      </c>
      <c r="F89" s="14">
        <v>1.2217107894684657E-6</v>
      </c>
      <c r="G89" s="14">
        <v>3.1774189784890026E-6</v>
      </c>
      <c r="H89" s="14">
        <v>0</v>
      </c>
      <c r="I89" s="14">
        <v>3.415334448904193E-5</v>
      </c>
      <c r="J89" s="14">
        <v>1.3402540114814193E-6</v>
      </c>
      <c r="K89" s="14">
        <v>0</v>
      </c>
    </row>
    <row r="90" spans="1:11">
      <c r="A90" s="2" t="s">
        <v>425</v>
      </c>
      <c r="B90" s="3" t="s">
        <v>426</v>
      </c>
      <c r="D90" s="14">
        <v>6.393208432694274E-18</v>
      </c>
      <c r="E90" s="14">
        <v>3.8982578514276713E-5</v>
      </c>
      <c r="F90" s="14">
        <v>3.6566644758536978E-9</v>
      </c>
      <c r="G90" s="14">
        <v>1.2277512914319671E-9</v>
      </c>
      <c r="H90" s="14">
        <v>0</v>
      </c>
      <c r="I90" s="14">
        <v>1.0178679277216716E-8</v>
      </c>
      <c r="J90" s="14">
        <v>1.0023583906723984E-6</v>
      </c>
      <c r="K90" s="14">
        <v>0</v>
      </c>
    </row>
    <row r="91" spans="1:11">
      <c r="A91" s="2" t="s">
        <v>427</v>
      </c>
      <c r="B91" s="3" t="s">
        <v>428</v>
      </c>
      <c r="D91" s="14">
        <v>3.5117071395348426E-9</v>
      </c>
      <c r="E91" s="14">
        <v>3.0635004965134282E-5</v>
      </c>
      <c r="F91" s="14">
        <v>2.3431090715505763E-7</v>
      </c>
      <c r="G91" s="14">
        <v>6.5900401539612636E-8</v>
      </c>
      <c r="H91" s="14">
        <v>0</v>
      </c>
      <c r="I91" s="14">
        <v>1.6436129823689375E-8</v>
      </c>
      <c r="J91" s="14">
        <v>9.0448358892078249E-6</v>
      </c>
      <c r="K91" s="14">
        <v>0</v>
      </c>
    </row>
    <row r="92" spans="1:11">
      <c r="A92" s="2" t="s">
        <v>429</v>
      </c>
      <c r="B92" s="3" t="s">
        <v>430</v>
      </c>
      <c r="D92" s="14">
        <v>4.2585282377304624E-8</v>
      </c>
      <c r="E92" s="14">
        <v>1.0729987001235094E-5</v>
      </c>
      <c r="F92" s="14">
        <v>4.0582028005005257E-6</v>
      </c>
      <c r="G92" s="14">
        <v>8.5630662017813308E-7</v>
      </c>
      <c r="H92" s="14">
        <v>0</v>
      </c>
      <c r="I92" s="14">
        <v>1.1700987053138851E-7</v>
      </c>
      <c r="J92" s="14">
        <v>2.4195908425177558E-5</v>
      </c>
      <c r="K92" s="14">
        <v>0</v>
      </c>
    </row>
    <row r="93" spans="1:11">
      <c r="A93" s="2" t="s">
        <v>431</v>
      </c>
      <c r="B93" s="3" t="s">
        <v>432</v>
      </c>
      <c r="D93" s="14">
        <v>4.8223234373190916E-22</v>
      </c>
      <c r="E93" s="14">
        <v>3.9966090558636053E-5</v>
      </c>
      <c r="F93" s="14">
        <v>1.7450031629636876E-8</v>
      </c>
      <c r="G93" s="14">
        <v>1.398035308242447E-11</v>
      </c>
      <c r="H93" s="14">
        <v>0</v>
      </c>
      <c r="I93" s="14">
        <v>1.0324311116635216E-8</v>
      </c>
      <c r="J93" s="14">
        <v>6.121118264588706E-9</v>
      </c>
      <c r="K93" s="14">
        <v>0</v>
      </c>
    </row>
    <row r="94" spans="1:11">
      <c r="A94" s="2" t="s">
        <v>433</v>
      </c>
      <c r="B94" s="3" t="s">
        <v>434</v>
      </c>
      <c r="D94" s="14">
        <v>1.0152560066171793E-22</v>
      </c>
      <c r="E94" s="14">
        <v>3.9989431684735517E-5</v>
      </c>
      <c r="F94" s="14">
        <v>6.7647193371914345E-11</v>
      </c>
      <c r="G94" s="14">
        <v>9.4394224863896255E-14</v>
      </c>
      <c r="H94" s="14">
        <v>0</v>
      </c>
      <c r="I94" s="14">
        <v>1.0346311997483646E-8</v>
      </c>
      <c r="J94" s="14">
        <v>1.5426167939791985E-10</v>
      </c>
      <c r="K94" s="14">
        <v>0</v>
      </c>
    </row>
    <row r="95" spans="1:11">
      <c r="A95" s="2" t="s">
        <v>435</v>
      </c>
      <c r="B95" s="3" t="s">
        <v>436</v>
      </c>
      <c r="D95" s="14">
        <v>5.4555635298813156E-13</v>
      </c>
      <c r="E95" s="14">
        <v>3.7650234361990969E-5</v>
      </c>
      <c r="F95" s="14">
        <v>1.4965286121645691E-8</v>
      </c>
      <c r="G95" s="14">
        <v>5.1905845630425305E-9</v>
      </c>
      <c r="H95" s="14">
        <v>0</v>
      </c>
      <c r="I95" s="14">
        <v>1.0458890004333936E-8</v>
      </c>
      <c r="J95" s="14">
        <v>2.3191503317636579E-6</v>
      </c>
      <c r="K95" s="14">
        <v>0</v>
      </c>
    </row>
    <row r="96" spans="1:11">
      <c r="A96" s="2" t="s">
        <v>437</v>
      </c>
      <c r="B96" s="163" t="s">
        <v>438</v>
      </c>
      <c r="D96" s="14">
        <v>1.0962828959970827E-11</v>
      </c>
      <c r="E96" s="14">
        <v>1.1804899738692911E-7</v>
      </c>
      <c r="F96" s="14">
        <v>4.8394594280378774E-6</v>
      </c>
      <c r="G96" s="14">
        <v>1.5606028965168557E-5</v>
      </c>
      <c r="H96" s="14">
        <v>0</v>
      </c>
      <c r="I96" s="14">
        <v>2.2016996188557609E-6</v>
      </c>
      <c r="J96" s="14">
        <v>1.723475202772192E-5</v>
      </c>
      <c r="K96" s="14">
        <v>0</v>
      </c>
    </row>
    <row r="97" spans="1:11">
      <c r="A97" s="2" t="s">
        <v>439</v>
      </c>
      <c r="B97" s="3" t="s">
        <v>440</v>
      </c>
      <c r="D97" s="14">
        <v>1.8022780123735813E-9</v>
      </c>
      <c r="E97" s="14">
        <v>2.720203837070677E-5</v>
      </c>
      <c r="F97" s="14">
        <v>4.631226261805523E-7</v>
      </c>
      <c r="G97" s="14">
        <v>1.2279807382602675E-7</v>
      </c>
      <c r="H97" s="14">
        <v>0</v>
      </c>
      <c r="I97" s="14">
        <v>2.3031721410598885E-8</v>
      </c>
      <c r="J97" s="14">
        <v>1.2187206929863685E-5</v>
      </c>
      <c r="K97" s="14">
        <v>0</v>
      </c>
    </row>
    <row r="98" spans="1:11">
      <c r="A98" s="2" t="s">
        <v>441</v>
      </c>
      <c r="B98" s="3" t="s">
        <v>442</v>
      </c>
      <c r="D98" s="14">
        <v>1.1680957080670184E-21</v>
      </c>
      <c r="E98" s="14">
        <v>3.0048174501437904E-5</v>
      </c>
      <c r="F98" s="14">
        <v>2.6702544229676933E-7</v>
      </c>
      <c r="G98" s="14">
        <v>7.4275947138566308E-8</v>
      </c>
      <c r="H98" s="14">
        <v>0</v>
      </c>
      <c r="I98" s="14">
        <v>1.7383081668431167E-8</v>
      </c>
      <c r="J98" s="14">
        <v>9.5931410274583367E-6</v>
      </c>
      <c r="K98" s="14">
        <v>0</v>
      </c>
    </row>
    <row r="99" spans="1:11">
      <c r="A99" s="2" t="s">
        <v>443</v>
      </c>
      <c r="B99" s="3" t="s">
        <v>444</v>
      </c>
      <c r="D99" s="14">
        <v>1.7051141533527384E-33</v>
      </c>
      <c r="E99" s="14">
        <v>3.5160344675300415E-5</v>
      </c>
      <c r="F99" s="14">
        <v>5.9982929745179547E-8</v>
      </c>
      <c r="G99" s="14">
        <v>1.8841836442107012E-8</v>
      </c>
      <c r="H99" s="14">
        <v>0</v>
      </c>
      <c r="I99" s="14">
        <v>1.1462139166912661E-8</v>
      </c>
      <c r="J99" s="14">
        <v>4.7493684193453858E-6</v>
      </c>
      <c r="K99" s="14">
        <v>0</v>
      </c>
    </row>
    <row r="100" spans="1:11">
      <c r="A100" s="2" t="s">
        <v>445</v>
      </c>
      <c r="B100" s="3" t="s">
        <v>446</v>
      </c>
      <c r="D100" s="14">
        <v>9.4852618391568005E-12</v>
      </c>
      <c r="E100" s="14">
        <v>6.3951242762028334E-7</v>
      </c>
      <c r="F100" s="14">
        <v>1.0028212747848328E-5</v>
      </c>
      <c r="G100" s="14">
        <v>6.4627758624762698E-6</v>
      </c>
      <c r="H100" s="14">
        <v>0</v>
      </c>
      <c r="I100" s="14">
        <v>8.9434571917314941E-7</v>
      </c>
      <c r="J100" s="14">
        <v>2.1975143757620136E-5</v>
      </c>
      <c r="K100" s="14">
        <v>0</v>
      </c>
    </row>
    <row r="101" spans="1:11">
      <c r="A101" s="2" t="s">
        <v>447</v>
      </c>
      <c r="B101" s="3" t="s">
        <v>448</v>
      </c>
      <c r="D101" s="14">
        <v>3.2712051407068958E-13</v>
      </c>
      <c r="E101" s="14">
        <v>1.3097470970603441E-5</v>
      </c>
      <c r="F101" s="14">
        <v>3.0802218334426209E-6</v>
      </c>
      <c r="G101" s="14">
        <v>6.7309683788048326E-7</v>
      </c>
      <c r="H101" s="14">
        <v>0</v>
      </c>
      <c r="I101" s="14">
        <v>9.2879957502771558E-8</v>
      </c>
      <c r="J101" s="14">
        <v>2.3056330073450174E-5</v>
      </c>
      <c r="K101" s="14">
        <v>0</v>
      </c>
    </row>
    <row r="102" spans="1:11">
      <c r="A102" s="2" t="s">
        <v>449</v>
      </c>
      <c r="B102" s="3" t="s">
        <v>450</v>
      </c>
      <c r="D102" s="14">
        <v>2.5572560905485853E-8</v>
      </c>
      <c r="E102" s="14">
        <v>5.0766109961289568E-6</v>
      </c>
      <c r="F102" s="14">
        <v>8.3955361604923212E-6</v>
      </c>
      <c r="G102" s="14">
        <v>1.5890735242862565E-6</v>
      </c>
      <c r="H102" s="14">
        <v>0</v>
      </c>
      <c r="I102" s="14">
        <v>2.1550042053598017E-7</v>
      </c>
      <c r="J102" s="14">
        <v>2.4697706337651008E-5</v>
      </c>
      <c r="K102" s="14">
        <v>0</v>
      </c>
    </row>
    <row r="103" spans="1:11">
      <c r="A103" s="2" t="s">
        <v>451</v>
      </c>
      <c r="B103" s="3" t="s">
        <v>452</v>
      </c>
      <c r="D103" s="14">
        <v>1.9370149316999299E-23</v>
      </c>
      <c r="E103" s="14">
        <v>3.9521181752494738E-5</v>
      </c>
      <c r="F103" s="14">
        <v>4.6240707748261699E-7</v>
      </c>
      <c r="G103" s="14">
        <v>4.4874506014073689E-11</v>
      </c>
      <c r="H103" s="14">
        <v>0</v>
      </c>
      <c r="I103" s="14">
        <v>1.1181730663595193E-8</v>
      </c>
      <c r="J103" s="14">
        <v>5.1845648530389797E-9</v>
      </c>
      <c r="K103" s="14">
        <v>0</v>
      </c>
    </row>
    <row r="104" spans="1:11">
      <c r="A104" s="2" t="s">
        <v>453</v>
      </c>
      <c r="B104" s="3" t="s">
        <v>454</v>
      </c>
      <c r="D104" s="14">
        <v>4.0725273282017446E-24</v>
      </c>
      <c r="E104" s="14">
        <v>4.0211400281631693E-6</v>
      </c>
      <c r="F104" s="14">
        <v>3.5609325475401897E-5</v>
      </c>
      <c r="G104" s="14">
        <v>3.7707643938479648E-8</v>
      </c>
      <c r="H104" s="14">
        <v>0</v>
      </c>
      <c r="I104" s="14">
        <v>8.1595324381797197E-8</v>
      </c>
      <c r="J104" s="14">
        <v>2.5023152811466097E-7</v>
      </c>
      <c r="K104" s="14">
        <v>0</v>
      </c>
    </row>
    <row r="105" spans="1:11">
      <c r="A105" s="2" t="s">
        <v>455</v>
      </c>
      <c r="B105" s="163">
        <v>354656</v>
      </c>
      <c r="D105" s="14">
        <v>1.4708318835377011E-14</v>
      </c>
      <c r="E105" s="14">
        <v>3.8783116079682024E-5</v>
      </c>
      <c r="F105" s="14">
        <v>3.9213648396818058E-9</v>
      </c>
      <c r="G105" s="14">
        <v>1.5168156672260139E-9</v>
      </c>
      <c r="H105" s="14">
        <v>0</v>
      </c>
      <c r="I105" s="14">
        <v>1.0162434046049025E-8</v>
      </c>
      <c r="J105" s="14">
        <v>1.2012832910567011E-6</v>
      </c>
      <c r="K105" s="14">
        <v>0</v>
      </c>
    </row>
    <row r="106" spans="1:11">
      <c r="A106" s="2" t="s">
        <v>457</v>
      </c>
      <c r="B106" s="3" t="s">
        <v>458</v>
      </c>
      <c r="D106" s="14">
        <v>2.1878768576722474E-14</v>
      </c>
      <c r="E106" s="14">
        <v>3.7539356902738985E-5</v>
      </c>
      <c r="F106" s="14">
        <v>1.6226416320657279E-8</v>
      </c>
      <c r="G106" s="14">
        <v>5.6027095941255716E-9</v>
      </c>
      <c r="H106" s="14">
        <v>0</v>
      </c>
      <c r="I106" s="14">
        <v>1.0466965243550329E-8</v>
      </c>
      <c r="J106" s="14">
        <v>2.4283469842239219E-6</v>
      </c>
      <c r="K106" s="14">
        <v>0</v>
      </c>
    </row>
    <row r="107" spans="1:11">
      <c r="A107" s="2" t="s">
        <v>459</v>
      </c>
      <c r="B107" s="3" t="s">
        <v>460</v>
      </c>
      <c r="D107" s="14">
        <v>7.5152953657400291E-24</v>
      </c>
      <c r="E107" s="14">
        <v>3.4323988873960686E-6</v>
      </c>
      <c r="F107" s="14">
        <v>1.1647947300802549E-5</v>
      </c>
      <c r="G107" s="14">
        <v>2.038626146038864E-6</v>
      </c>
      <c r="H107" s="14">
        <v>0</v>
      </c>
      <c r="I107" s="14">
        <v>4.2927649116297541E-7</v>
      </c>
      <c r="J107" s="14">
        <v>2.2451751174599542E-5</v>
      </c>
      <c r="K107" s="14">
        <v>0</v>
      </c>
    </row>
    <row r="108" spans="1:11">
      <c r="A108" s="2" t="s">
        <v>461</v>
      </c>
      <c r="B108" s="3" t="s">
        <v>462</v>
      </c>
      <c r="D108" s="14">
        <v>4.3864407840491092E-14</v>
      </c>
      <c r="E108" s="14">
        <v>3.9987434314399923E-5</v>
      </c>
      <c r="F108" s="14">
        <v>3.503957753632914E-11</v>
      </c>
      <c r="G108" s="14">
        <v>1.015594740322768E-12</v>
      </c>
      <c r="H108" s="14">
        <v>0</v>
      </c>
      <c r="I108" s="14">
        <v>1.0314283879868062E-8</v>
      </c>
      <c r="J108" s="14">
        <v>2.2153026835276498E-9</v>
      </c>
      <c r="K108" s="14">
        <v>0</v>
      </c>
    </row>
    <row r="109" spans="1:11">
      <c r="A109" s="2" t="s">
        <v>463</v>
      </c>
      <c r="B109" s="3" t="s">
        <v>464</v>
      </c>
      <c r="D109" s="14">
        <v>1.1817180088990751E-16</v>
      </c>
      <c r="E109" s="14">
        <v>3.8853285025335862E-5</v>
      </c>
      <c r="F109" s="14">
        <v>2.4261120933608718E-7</v>
      </c>
      <c r="G109" s="14">
        <v>1.2059156699805946E-8</v>
      </c>
      <c r="H109" s="14">
        <v>0</v>
      </c>
      <c r="I109" s="14">
        <v>1.2569036052929492E-7</v>
      </c>
      <c r="J109" s="14">
        <v>7.6635424798078859E-7</v>
      </c>
      <c r="K109" s="14">
        <v>0</v>
      </c>
    </row>
    <row r="110" spans="1:11">
      <c r="A110" s="2" t="s">
        <v>465</v>
      </c>
      <c r="B110" s="3" t="s">
        <v>466</v>
      </c>
      <c r="D110" s="14">
        <v>8.3298770152398389E-16</v>
      </c>
      <c r="E110" s="14">
        <v>3.9739293788875294E-5</v>
      </c>
      <c r="F110" s="14">
        <v>8.9622013198582262E-10</v>
      </c>
      <c r="G110" s="14">
        <v>1.7146726513422794E-10</v>
      </c>
      <c r="H110" s="14">
        <v>0</v>
      </c>
      <c r="I110" s="14">
        <v>1.0240014591517757E-8</v>
      </c>
      <c r="J110" s="14">
        <v>2.493985083030796E-7</v>
      </c>
      <c r="K110" s="14">
        <v>0</v>
      </c>
    </row>
    <row r="111" spans="1:11">
      <c r="A111" s="2" t="s">
        <v>467</v>
      </c>
      <c r="B111" s="3" t="s">
        <v>468</v>
      </c>
      <c r="D111" s="14">
        <v>1.4803321024648293E-34</v>
      </c>
      <c r="E111" s="14">
        <v>3.9989430782444085E-5</v>
      </c>
      <c r="F111" s="14">
        <v>6.3676586284076854E-11</v>
      </c>
      <c r="G111" s="14">
        <v>5.2607991495550914E-14</v>
      </c>
      <c r="H111" s="14">
        <v>0</v>
      </c>
      <c r="I111" s="14">
        <v>1.028153151089944E-8</v>
      </c>
      <c r="J111" s="14">
        <v>2.2395685074583531E-10</v>
      </c>
      <c r="K111" s="14">
        <v>0</v>
      </c>
    </row>
    <row r="112" spans="1:11">
      <c r="A112" s="2" t="s">
        <v>469</v>
      </c>
      <c r="B112" s="3" t="s">
        <v>470</v>
      </c>
      <c r="D112" s="14">
        <v>9.3581882516068711E-18</v>
      </c>
      <c r="E112" s="14">
        <v>3.9666277134685876E-5</v>
      </c>
      <c r="F112" s="14">
        <v>3.0907650468554013E-10</v>
      </c>
      <c r="G112" s="14">
        <v>1.4439812287036996E-10</v>
      </c>
      <c r="H112" s="14">
        <v>0</v>
      </c>
      <c r="I112" s="14">
        <v>1.0216093354124784E-8</v>
      </c>
      <c r="J112" s="14">
        <v>3.2305329732309343E-7</v>
      </c>
      <c r="K112" s="14">
        <v>0</v>
      </c>
    </row>
    <row r="113" spans="1:11">
      <c r="A113" s="2" t="s">
        <v>471</v>
      </c>
      <c r="B113" s="3" t="s">
        <v>472</v>
      </c>
      <c r="D113" s="14">
        <v>1.1548230106725087E-13</v>
      </c>
      <c r="E113" s="14">
        <v>3.8160591118134652E-5</v>
      </c>
      <c r="F113" s="14">
        <v>8.8062222884882343E-9</v>
      </c>
      <c r="G113" s="14">
        <v>3.2054218956207525E-9</v>
      </c>
      <c r="H113" s="14">
        <v>0</v>
      </c>
      <c r="I113" s="14">
        <v>1.0217618275947512E-8</v>
      </c>
      <c r="J113" s="14">
        <v>1.8171795039229917E-6</v>
      </c>
      <c r="K113" s="14">
        <v>0</v>
      </c>
    </row>
    <row r="114" spans="1:11">
      <c r="A114" s="2" t="s">
        <v>473</v>
      </c>
      <c r="B114" s="3" t="s">
        <v>474</v>
      </c>
      <c r="D114" s="14">
        <v>9.1853506056790224E-21</v>
      </c>
      <c r="E114" s="14">
        <v>3.9822134130376103E-5</v>
      </c>
      <c r="F114" s="14">
        <v>8.9991000705016298E-11</v>
      </c>
      <c r="G114" s="14">
        <v>4.5338556089368137E-11</v>
      </c>
      <c r="H114" s="14">
        <v>0</v>
      </c>
      <c r="I114" s="14">
        <v>1.0243844027569341E-8</v>
      </c>
      <c r="J114" s="14">
        <v>1.6748669603952992E-7</v>
      </c>
      <c r="K114" s="14">
        <v>0</v>
      </c>
    </row>
    <row r="115" spans="1:11">
      <c r="A115" s="2" t="s">
        <v>475</v>
      </c>
      <c r="B115" s="3" t="s">
        <v>476</v>
      </c>
      <c r="D115" s="14">
        <v>4.8703638891057617E-17</v>
      </c>
      <c r="E115" s="14">
        <v>3.9874529450926973E-5</v>
      </c>
      <c r="F115" s="14">
        <v>1.121682957746777E-7</v>
      </c>
      <c r="G115" s="14">
        <v>1.34355043752702E-11</v>
      </c>
      <c r="H115" s="14">
        <v>0</v>
      </c>
      <c r="I115" s="14">
        <v>1.0523362686002982E-8</v>
      </c>
      <c r="J115" s="14">
        <v>2.7654550592735183E-9</v>
      </c>
      <c r="K115" s="14">
        <v>0</v>
      </c>
    </row>
    <row r="116" spans="1:11">
      <c r="A116" s="2" t="s">
        <v>477</v>
      </c>
      <c r="B116" s="3" t="s">
        <v>478</v>
      </c>
      <c r="D116" s="14">
        <v>5.0064333044976743E-21</v>
      </c>
      <c r="E116" s="14">
        <v>2.0014153563965541E-5</v>
      </c>
      <c r="F116" s="14">
        <v>1.222628975083981E-5</v>
      </c>
      <c r="G116" s="14">
        <v>2.9612713464925247E-7</v>
      </c>
      <c r="H116" s="14">
        <v>0</v>
      </c>
      <c r="I116" s="14">
        <v>4.6045830669136446E-6</v>
      </c>
      <c r="J116" s="14">
        <v>2.8588464836317551E-6</v>
      </c>
      <c r="K116" s="14">
        <v>0</v>
      </c>
    </row>
    <row r="117" spans="1:11">
      <c r="A117" s="2" t="s">
        <v>291</v>
      </c>
      <c r="B117" s="3" t="s">
        <v>479</v>
      </c>
      <c r="D117" s="14">
        <v>1.4533184464687282E-14</v>
      </c>
      <c r="E117" s="14">
        <v>2.3406714096719703E-5</v>
      </c>
      <c r="F117" s="14">
        <v>8.437912176174906E-7</v>
      </c>
      <c r="G117" s="14">
        <v>2.1170472750083456E-7</v>
      </c>
      <c r="H117" s="14">
        <v>0</v>
      </c>
      <c r="I117" s="14">
        <v>3.3810397717484043E-8</v>
      </c>
      <c r="J117" s="14">
        <v>1.5503979545911317E-5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17"/>
  <sheetViews>
    <sheetView tabSelected="1" topLeftCell="A88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1.0161672025477108E-8</v>
      </c>
      <c r="B2">
        <f>'Mass Balance'!E2</f>
        <v>3.905436048528232E-5</v>
      </c>
      <c r="C2">
        <f>SUM('Mass Balance'!E2:H2)</f>
        <v>3.9057716336996389E-5</v>
      </c>
      <c r="D2">
        <f>Concentrations!F2/Concentrations!E2</f>
        <v>1.0003040382004165</v>
      </c>
    </row>
    <row r="3" spans="1:4">
      <c r="A3">
        <f>'Mass Balance'!I3</f>
        <v>5.2168515009776775E-8</v>
      </c>
      <c r="B3">
        <f>'Mass Balance'!E3</f>
        <v>2.3607747471011399E-5</v>
      </c>
      <c r="C3">
        <f>SUM('Mass Balance'!E3:H3)</f>
        <v>2.4769394651002199E-5</v>
      </c>
      <c r="D3">
        <f>Concentrations!F3/Concentrations!E3</f>
        <v>0.95347321310179434</v>
      </c>
    </row>
    <row r="4" spans="1:4">
      <c r="A4">
        <f>'Mass Balance'!I4</f>
        <v>1.1594579339870571E-8</v>
      </c>
      <c r="B4">
        <f>'Mass Balance'!E4</f>
        <v>3.9985898727637833E-5</v>
      </c>
      <c r="C4">
        <f>SUM('Mass Balance'!E4:H4)</f>
        <v>3.998758217455508E-5</v>
      </c>
      <c r="D4">
        <f>Concentrations!F4/Concentrations!E4</f>
        <v>1.0003478763736682</v>
      </c>
    </row>
    <row r="5" spans="1:4">
      <c r="A5">
        <f>'Mass Balance'!I5</f>
        <v>1.5409472040509639E-8</v>
      </c>
      <c r="B5">
        <f>'Mass Balance'!E5</f>
        <v>3.6932997082803121E-5</v>
      </c>
      <c r="C5">
        <f>SUM('Mass Balance'!E5:H5)</f>
        <v>3.9971947196570439E-5</v>
      </c>
      <c r="D5">
        <f>Concentrations!F5/Concentrations!E5</f>
        <v>0.92433326992500109</v>
      </c>
    </row>
    <row r="6" spans="1:4">
      <c r="A6">
        <f>'Mass Balance'!I6</f>
        <v>2.1255818003268108E-8</v>
      </c>
      <c r="B6">
        <f>'Mass Balance'!E6</f>
        <v>3.304669125371215E-5</v>
      </c>
      <c r="C6">
        <f>SUM('Mass Balance'!E6:H6)</f>
        <v>3.9907075783256009E-5</v>
      </c>
      <c r="D6">
        <f>Concentrations!F6/Concentrations!E6</f>
        <v>0.82841397299118713</v>
      </c>
    </row>
    <row r="7" spans="1:4">
      <c r="A7">
        <f>'Mass Balance'!I7</f>
        <v>3.9549095782911931E-8</v>
      </c>
      <c r="B7">
        <f>'Mass Balance'!E7</f>
        <v>2.1515707223372882E-5</v>
      </c>
      <c r="C7">
        <f>SUM('Mass Balance'!E7:H7)</f>
        <v>3.9218155455124972E-5</v>
      </c>
      <c r="D7">
        <f>Concentrations!F7/Concentrations!E7</f>
        <v>0.5488299469472826</v>
      </c>
    </row>
    <row r="8" spans="1:4">
      <c r="A8">
        <f>'Mass Balance'!I8</f>
        <v>2.5564208407136253E-8</v>
      </c>
      <c r="B8">
        <f>'Mass Balance'!E8</f>
        <v>2.9936232024554093E-5</v>
      </c>
      <c r="C8">
        <f>SUM('Mass Balance'!E8:H8)</f>
        <v>3.9929274235020119E-5</v>
      </c>
      <c r="D8">
        <f>Concentrations!F8/Concentrations!E8</f>
        <v>0.75002382313076277</v>
      </c>
    </row>
    <row r="9" spans="1:4">
      <c r="A9">
        <f>'Mass Balance'!I9</f>
        <v>1.4402086824783924E-8</v>
      </c>
      <c r="B9">
        <f>'Mass Balance'!E9</f>
        <v>3.7583900390902972E-5</v>
      </c>
      <c r="C9">
        <f>SUM('Mass Balance'!E9:H9)</f>
        <v>3.9933430298644025E-5</v>
      </c>
      <c r="D9">
        <f>Concentrations!F9/Concentrations!E9</f>
        <v>0.94153088105625038</v>
      </c>
    </row>
    <row r="10" spans="1:4">
      <c r="A10">
        <f>'Mass Balance'!I10</f>
        <v>3.3845149970598809E-7</v>
      </c>
      <c r="B10">
        <f>'Mass Balance'!E10</f>
        <v>1.9746212734580374E-6</v>
      </c>
      <c r="C10">
        <f>SUM('Mass Balance'!E10:H10)</f>
        <v>1.866133649836813E-5</v>
      </c>
      <c r="D10">
        <f>Concentrations!F10/Concentrations!E10</f>
        <v>0.10585476341410867</v>
      </c>
    </row>
    <row r="11" spans="1:4">
      <c r="A11">
        <f>'Mass Balance'!I11</f>
        <v>3.7031785325674363E-6</v>
      </c>
      <c r="B11">
        <f>'Mass Balance'!E11</f>
        <v>1.9386126236124996E-7</v>
      </c>
      <c r="C11">
        <f>SUM('Mass Balance'!E11:H11)</f>
        <v>3.0697278397928525E-5</v>
      </c>
      <c r="D11">
        <f>Concentrations!F11/Concentrations!E11</f>
        <v>6.3177218577935863E-3</v>
      </c>
    </row>
    <row r="12" spans="1:4">
      <c r="A12">
        <f>'Mass Balance'!I12</f>
        <v>9.4787448596452541E-9</v>
      </c>
      <c r="B12">
        <f>'Mass Balance'!E12</f>
        <v>3.6835016732940068E-5</v>
      </c>
      <c r="C12">
        <f>SUM('Mass Balance'!E12:H12)</f>
        <v>3.6835171051559434E-5</v>
      </c>
      <c r="D12">
        <f>Concentrations!F12/Concentrations!E12</f>
        <v>1.000385800963896</v>
      </c>
    </row>
    <row r="13" spans="1:4">
      <c r="A13">
        <f>'Mass Balance'!I13</f>
        <v>2.884042564595689E-8</v>
      </c>
      <c r="B13">
        <f>'Mass Balance'!E13</f>
        <v>2.4981487671719945E-5</v>
      </c>
      <c r="C13">
        <f>SUM('Mass Balance'!E13:H13)</f>
        <v>2.5819705728003385E-5</v>
      </c>
      <c r="D13">
        <f>Concentrations!F13/Concentrations!E13</f>
        <v>0.96791305509794789</v>
      </c>
    </row>
    <row r="14" spans="1:4">
      <c r="A14">
        <f>'Mass Balance'!I14</f>
        <v>1.2304236800485274E-7</v>
      </c>
      <c r="B14">
        <f>'Mass Balance'!E14</f>
        <v>3.2437304449036587E-6</v>
      </c>
      <c r="C14">
        <f>SUM('Mass Balance'!E14:H14)</f>
        <v>3.9589942205083285E-5</v>
      </c>
      <c r="D14">
        <f>Concentrations!F14/Concentrations!E14</f>
        <v>8.1965148045166039E-2</v>
      </c>
    </row>
    <row r="15" spans="1:4">
      <c r="A15">
        <f>'Mass Balance'!I15</f>
        <v>1.1149490722443733E-8</v>
      </c>
      <c r="B15">
        <f>'Mass Balance'!E15</f>
        <v>3.1215442662193866E-5</v>
      </c>
      <c r="C15">
        <f>SUM('Mass Balance'!E15:H15)</f>
        <v>3.1319127095611158E-5</v>
      </c>
      <c r="D15">
        <f>Concentrations!F15/Concentrations!E15</f>
        <v>0.99707812228781312</v>
      </c>
    </row>
    <row r="16" spans="1:4">
      <c r="A16">
        <f>'Mass Balance'!I16</f>
        <v>3.2019792803809364E-8</v>
      </c>
      <c r="B16">
        <f>'Mass Balance'!E16</f>
        <v>2.3919350508346535E-5</v>
      </c>
      <c r="C16">
        <f>SUM('Mass Balance'!E16:H16)</f>
        <v>2.4896743522565429E-5</v>
      </c>
      <c r="D16">
        <f>Concentrations!F16/Concentrations!E16</f>
        <v>0.96111681605375665</v>
      </c>
    </row>
    <row r="17" spans="1:4">
      <c r="A17">
        <f>'Mass Balance'!I17</f>
        <v>2.9921562643869211E-8</v>
      </c>
      <c r="B17">
        <f>'Mass Balance'!E17</f>
        <v>2.45350086195693E-5</v>
      </c>
      <c r="C17">
        <f>SUM('Mass Balance'!E17:H17)</f>
        <v>2.5421380695744886E-5</v>
      </c>
      <c r="D17">
        <f>Concentrations!F17/Concentrations!E17</f>
        <v>0.96550920546992725</v>
      </c>
    </row>
    <row r="18" spans="1:4">
      <c r="A18">
        <f>'Mass Balance'!I18</f>
        <v>2.0351977423372374E-6</v>
      </c>
      <c r="B18">
        <f>'Mass Balance'!E18</f>
        <v>1.4439270409369889E-7</v>
      </c>
      <c r="C18">
        <f>SUM('Mass Balance'!E18:H18)</f>
        <v>1.9935944633466621E-5</v>
      </c>
      <c r="D18">
        <f>Concentrations!F18/Concentrations!E18</f>
        <v>7.2456569655418761E-3</v>
      </c>
    </row>
    <row r="19" spans="1:4">
      <c r="A19">
        <f>'Mass Balance'!I19</f>
        <v>1.0443012608926096E-8</v>
      </c>
      <c r="B19">
        <f>'Mass Balance'!E19</f>
        <v>3.6406848510428657E-5</v>
      </c>
      <c r="C19">
        <f>SUM('Mass Balance'!E19:H19)</f>
        <v>3.6440568896873671E-5</v>
      </c>
      <c r="D19">
        <f>Concentrations!F19/Concentrations!E19</f>
        <v>0.999464278244938</v>
      </c>
    </row>
    <row r="20" spans="1:4">
      <c r="A20">
        <f>'Mass Balance'!I20</f>
        <v>1.0848656345972953E-8</v>
      </c>
      <c r="B20">
        <f>'Mass Balance'!E20</f>
        <v>3.4950662341836788E-5</v>
      </c>
      <c r="C20">
        <f>SUM('Mass Balance'!E20:H20)</f>
        <v>3.5010465587592939E-5</v>
      </c>
      <c r="D20">
        <f>Concentrations!F20/Concentrations!E20</f>
        <v>0.99868117247035748</v>
      </c>
    </row>
    <row r="21" spans="1:4">
      <c r="A21">
        <f>'Mass Balance'!I21</f>
        <v>8.6448761126535885E-8</v>
      </c>
      <c r="B21">
        <f>'Mass Balance'!E21</f>
        <v>1.639249909783423E-5</v>
      </c>
      <c r="C21">
        <f>SUM('Mass Balance'!E21:H21)</f>
        <v>2.906265980939411E-5</v>
      </c>
      <c r="D21">
        <f>Concentrations!F21/Concentrations!E21</f>
        <v>0.56425984921748729</v>
      </c>
    </row>
    <row r="22" spans="1:4">
      <c r="A22">
        <f>'Mass Balance'!I22</f>
        <v>9.499771622093841E-9</v>
      </c>
      <c r="B22">
        <f>'Mass Balance'!E22</f>
        <v>3.6187542323737436E-5</v>
      </c>
      <c r="C22">
        <f>SUM('Mass Balance'!E22:H22)</f>
        <v>3.6193138866586393E-5</v>
      </c>
      <c r="D22">
        <f>Concentrations!F22/Concentrations!E22</f>
        <v>1.0002353017912216</v>
      </c>
    </row>
    <row r="23" spans="1:4">
      <c r="A23">
        <f>'Mass Balance'!I23</f>
        <v>1.3011563552538495E-8</v>
      </c>
      <c r="B23">
        <f>'Mass Balance'!E23</f>
        <v>3.0097648969513663E-5</v>
      </c>
      <c r="C23">
        <f>SUM('Mass Balance'!E23:H23)</f>
        <v>3.0277994225521317E-5</v>
      </c>
      <c r="D23">
        <f>Concentrations!F23/Concentrations!E23</f>
        <v>0.99443135462023413</v>
      </c>
    </row>
    <row r="24" spans="1:4">
      <c r="A24">
        <f>'Mass Balance'!I24</f>
        <v>4.4942966526478281E-8</v>
      </c>
      <c r="B24">
        <f>'Mass Balance'!E24</f>
        <v>2.0471643867205508E-5</v>
      </c>
      <c r="C24">
        <f>SUM('Mass Balance'!E24:H24)</f>
        <v>2.2020499354170419E-5</v>
      </c>
      <c r="D24">
        <f>Concentrations!F24/Concentrations!E24</f>
        <v>0.93002557825139121</v>
      </c>
    </row>
    <row r="25" spans="1:4">
      <c r="A25">
        <f>'Mass Balance'!I25</f>
        <v>1.7909003290035403E-6</v>
      </c>
      <c r="B25">
        <f>'Mass Balance'!E25</f>
        <v>1.9340126016544064E-7</v>
      </c>
      <c r="C25">
        <f>SUM('Mass Balance'!E25:H25)</f>
        <v>1.9069502493286174E-5</v>
      </c>
      <c r="D25">
        <f>Concentrations!F25/Concentrations!E25</f>
        <v>1.0145869572868194E-2</v>
      </c>
    </row>
    <row r="26" spans="1:4">
      <c r="A26">
        <f>'Mass Balance'!I26</f>
        <v>7.8156894051426099E-8</v>
      </c>
      <c r="B26">
        <f>'Mass Balance'!E26</f>
        <v>9.4116871897114171E-6</v>
      </c>
      <c r="C26">
        <f>SUM('Mass Balance'!E26:H26)</f>
        <v>1.2617340182954503E-5</v>
      </c>
      <c r="D26">
        <f>Concentrations!F26/Concentrations!E26</f>
        <v>0.7462236522295177</v>
      </c>
    </row>
    <row r="27" spans="1:4">
      <c r="A27">
        <f>'Mass Balance'!I27</f>
        <v>3.6035384314496929E-8</v>
      </c>
      <c r="B27">
        <f>'Mass Balance'!E27</f>
        <v>8.8920075283939257E-7</v>
      </c>
      <c r="C27">
        <f>SUM('Mass Balance'!E27:H27)</f>
        <v>2.5537324367120093E-6</v>
      </c>
      <c r="D27">
        <f>Concentrations!F27/Concentrations!E27</f>
        <v>0.34833231597096376</v>
      </c>
    </row>
    <row r="28" spans="1:4">
      <c r="A28">
        <f>'Mass Balance'!I28</f>
        <v>1.4879857435731204E-8</v>
      </c>
      <c r="B28">
        <f>'Mass Balance'!E28</f>
        <v>1.3337569006849093E-6</v>
      </c>
      <c r="C28">
        <f>SUM('Mass Balance'!E28:H28)</f>
        <v>1.9599068778116688E-6</v>
      </c>
      <c r="D28">
        <f>Concentrations!F28/Concentrations!E28</f>
        <v>0.68078594465769415</v>
      </c>
    </row>
    <row r="29" spans="1:4">
      <c r="A29">
        <f>'Mass Balance'!I29</f>
        <v>7.711829797089698E-10</v>
      </c>
      <c r="B29">
        <f>'Mass Balance'!E29</f>
        <v>2.3772070583739319E-6</v>
      </c>
      <c r="C29">
        <f>SUM('Mass Balance'!E29:H29)</f>
        <v>2.3824071134103152E-6</v>
      </c>
      <c r="D29">
        <f>Concentrations!F29/Concentrations!E29</f>
        <v>0.99820645128398888</v>
      </c>
    </row>
    <row r="30" spans="1:4">
      <c r="A30">
        <f>'Mass Balance'!I30</f>
        <v>5.2592250036334561E-9</v>
      </c>
      <c r="B30">
        <f>'Mass Balance'!E30</f>
        <v>5.0475375001010083E-7</v>
      </c>
      <c r="C30">
        <f>SUM('Mass Balance'!E30:H30)</f>
        <v>7.2480292236834153E-7</v>
      </c>
      <c r="D30">
        <f>Concentrations!F30/Concentrations!E30</f>
        <v>0.69667296359957642</v>
      </c>
    </row>
    <row r="31" spans="1:4">
      <c r="A31">
        <f>'Mass Balance'!I31</f>
        <v>8.9254751512271711E-11</v>
      </c>
      <c r="B31">
        <f>'Mass Balance'!E31</f>
        <v>1.798814045313441E-8</v>
      </c>
      <c r="C31">
        <f>SUM('Mass Balance'!E31:H31)</f>
        <v>2.1461723393297506E-8</v>
      </c>
      <c r="D31">
        <f>Concentrations!F31/Concentrations!E31</f>
        <v>0.83847673156790348</v>
      </c>
    </row>
    <row r="32" spans="1:4">
      <c r="A32">
        <f>'Mass Balance'!I32</f>
        <v>2.5652017310011874E-8</v>
      </c>
      <c r="B32">
        <f>'Mass Balance'!E32</f>
        <v>2.6056407045617968E-5</v>
      </c>
      <c r="C32">
        <f>SUM('Mass Balance'!E32:H32)</f>
        <v>2.67568822906253E-5</v>
      </c>
      <c r="D32">
        <f>Concentrations!F32/Concentrations!E32</f>
        <v>0.97420052731428086</v>
      </c>
    </row>
    <row r="33" spans="1:4">
      <c r="A33">
        <f>'Mass Balance'!I33</f>
        <v>1.6738597423872276E-8</v>
      </c>
      <c r="B33">
        <f>'Mass Balance'!E33</f>
        <v>3.0441330823440584E-5</v>
      </c>
      <c r="C33">
        <f>SUM('Mass Balance'!E33:H33)</f>
        <v>3.0754689706604218E-5</v>
      </c>
      <c r="D33">
        <f>Concentrations!F33/Concentrations!E33</f>
        <v>0.99019703955724414</v>
      </c>
    </row>
    <row r="34" spans="1:4">
      <c r="A34">
        <f>'Mass Balance'!I34</f>
        <v>9.404415238165191E-8</v>
      </c>
      <c r="B34">
        <f>'Mass Balance'!E34</f>
        <v>1.2966585294823757E-5</v>
      </c>
      <c r="C34">
        <f>SUM('Mass Balance'!E34:H34)</f>
        <v>1.6775228215506308E-5</v>
      </c>
      <c r="D34">
        <f>Concentrations!F34/Concentrations!E34</f>
        <v>0.7732617400586479</v>
      </c>
    </row>
    <row r="35" spans="1:4">
      <c r="A35">
        <f>'Mass Balance'!I35</f>
        <v>2.5715527667123218E-7</v>
      </c>
      <c r="B35">
        <f>'Mass Balance'!E35</f>
        <v>3.1607874283939406E-6</v>
      </c>
      <c r="C35">
        <f>SUM('Mass Balance'!E35:H35)</f>
        <v>1.5581424937364365E-5</v>
      </c>
      <c r="D35">
        <f>Concentrations!F35/Concentrations!E35</f>
        <v>0.2029352336531943</v>
      </c>
    </row>
    <row r="36" spans="1:4">
      <c r="A36">
        <f>'Mass Balance'!I36</f>
        <v>7.0888437314035374E-7</v>
      </c>
      <c r="B36">
        <f>'Mass Balance'!E36</f>
        <v>8.6693658548599686E-7</v>
      </c>
      <c r="C36">
        <f>SUM('Mass Balance'!E36:H36)</f>
        <v>1.7149388832062103E-5</v>
      </c>
      <c r="D36">
        <f>Concentrations!F36/Concentrations!E36</f>
        <v>5.0571754617127318E-2</v>
      </c>
    </row>
    <row r="37" spans="1:4">
      <c r="A37">
        <f>'Mass Balance'!I37</f>
        <v>1.9406434976935754E-6</v>
      </c>
      <c r="B37">
        <f>'Mass Balance'!E37</f>
        <v>1.5472662362923588E-7</v>
      </c>
      <c r="C37">
        <f>SUM('Mass Balance'!E37:H37)</f>
        <v>1.9426367472443713E-5</v>
      </c>
      <c r="D37">
        <f>Concentrations!F37/Concentrations!E37</f>
        <v>7.9678800475457261E-3</v>
      </c>
    </row>
    <row r="38" spans="1:4">
      <c r="A38">
        <f>'Mass Balance'!I38</f>
        <v>1.0702968578952099E-6</v>
      </c>
      <c r="B38">
        <f>'Mass Balance'!E38</f>
        <v>4.9123932200054324E-7</v>
      </c>
      <c r="C38">
        <f>SUM('Mass Balance'!E38:H38)</f>
        <v>1.728078765101594E-5</v>
      </c>
      <c r="D38">
        <f>Concentrations!F38/Concentrations!E38</f>
        <v>2.8437992026032605E-2</v>
      </c>
    </row>
    <row r="39" spans="1:4">
      <c r="A39">
        <f>'Mass Balance'!I39</f>
        <v>7.0906236953048158E-7</v>
      </c>
      <c r="B39">
        <f>'Mass Balance'!E39</f>
        <v>6.5538955378754965E-7</v>
      </c>
      <c r="C39">
        <f>SUM('Mass Balance'!E39:H39)</f>
        <v>1.5132439199121411E-5</v>
      </c>
      <c r="D39">
        <f>Concentrations!F39/Concentrations!E39</f>
        <v>4.3327129345484813E-2</v>
      </c>
    </row>
    <row r="40" spans="1:4">
      <c r="A40">
        <f>'Mass Balance'!I40</f>
        <v>1.0702968578952099E-6</v>
      </c>
      <c r="B40">
        <f>'Mass Balance'!E40</f>
        <v>4.9123932200054324E-7</v>
      </c>
      <c r="C40">
        <f>SUM('Mass Balance'!E40:H40)</f>
        <v>1.728078765101594E-5</v>
      </c>
      <c r="D40">
        <f>Concentrations!F40/Concentrations!E40</f>
        <v>2.8437992026032605E-2</v>
      </c>
    </row>
    <row r="41" spans="1:4">
      <c r="A41">
        <f>'Mass Balance'!I41</f>
        <v>1.06765081516413E-8</v>
      </c>
      <c r="B41">
        <f>'Mass Balance'!E41</f>
        <v>3.9792532783025293E-5</v>
      </c>
      <c r="C41">
        <f>SUM('Mass Balance'!E41:H41)</f>
        <v>3.9981827925444676E-5</v>
      </c>
      <c r="D41">
        <f>Concentrations!F41/Concentrations!E41</f>
        <v>0.99565361613967018</v>
      </c>
    </row>
    <row r="42" spans="1:4">
      <c r="A42">
        <f>'Mass Balance'!I42</f>
        <v>1.9958652285694597E-6</v>
      </c>
      <c r="B42">
        <f>'Mass Balance'!E42</f>
        <v>1.4160215067297336E-7</v>
      </c>
      <c r="C42">
        <f>SUM('Mass Balance'!E42:H42)</f>
        <v>1.9550659803173432E-5</v>
      </c>
      <c r="D42">
        <f>Concentrations!F42/Concentrations!E42</f>
        <v>7.2456569655418761E-3</v>
      </c>
    </row>
    <row r="43" spans="1:4">
      <c r="A43">
        <f>'Mass Balance'!I43</f>
        <v>4.8952263790017705E-8</v>
      </c>
      <c r="B43">
        <f>'Mass Balance'!E43</f>
        <v>1.9685748664262639E-5</v>
      </c>
      <c r="C43">
        <f>SUM('Mass Balance'!E43:H43)</f>
        <v>2.1412544277794893E-5</v>
      </c>
      <c r="D43">
        <f>Concentrations!F43/Concentrations!E43</f>
        <v>0.91971442972599593</v>
      </c>
    </row>
    <row r="44" spans="1:4">
      <c r="A44">
        <f>'Mass Balance'!I44</f>
        <v>5.0418346573624329E-7</v>
      </c>
      <c r="B44">
        <f>'Mass Balance'!E44</f>
        <v>1.3007480551473601E-6</v>
      </c>
      <c r="C44">
        <f>SUM('Mass Balance'!E44:H44)</f>
        <v>1.7647232157541393E-5</v>
      </c>
      <c r="D44">
        <f>Concentrations!F44/Concentrations!E44</f>
        <v>7.3737078138436107E-2</v>
      </c>
    </row>
    <row r="45" spans="1:4">
      <c r="A45">
        <f>'Mass Balance'!I45</f>
        <v>2.6106633903396308E-6</v>
      </c>
      <c r="B45">
        <f>'Mass Balance'!E45</f>
        <v>7.113791146206888E-8</v>
      </c>
      <c r="C45">
        <f>SUM('Mass Balance'!E45:H45)</f>
        <v>2.2230533326665334E-5</v>
      </c>
      <c r="D45">
        <f>Concentrations!F45/Concentrations!E45</f>
        <v>3.2012571914110167E-3</v>
      </c>
    </row>
    <row r="46" spans="1:4">
      <c r="A46">
        <f>'Mass Balance'!I46</f>
        <v>2.1178701136783578E-6</v>
      </c>
      <c r="B46">
        <f>'Mass Balance'!E46</f>
        <v>1.3062337504150462E-7</v>
      </c>
      <c r="C46">
        <f>SUM('Mass Balance'!E46:H46)</f>
        <v>2.0242153002574417E-5</v>
      </c>
      <c r="D46">
        <f>Concentrations!F46/Concentrations!E46</f>
        <v>6.4555542634555877E-3</v>
      </c>
    </row>
    <row r="47" spans="1:4">
      <c r="A47">
        <f>'Mass Balance'!I47</f>
        <v>1.5367362491434564E-6</v>
      </c>
      <c r="B47">
        <f>'Mass Balance'!E47</f>
        <v>2.6466983225579064E-7</v>
      </c>
      <c r="C47">
        <f>SUM('Mass Balance'!E47:H47)</f>
        <v>1.8290905620730458E-5</v>
      </c>
      <c r="D47">
        <f>Concentrations!F47/Concentrations!E47</f>
        <v>1.4475666589305136E-2</v>
      </c>
    </row>
    <row r="48" spans="1:4">
      <c r="A48">
        <f>'Mass Balance'!I48</f>
        <v>1.7877456521260534E-7</v>
      </c>
      <c r="B48">
        <f>'Mass Balance'!E48</f>
        <v>6.6922882605006571E-6</v>
      </c>
      <c r="C48">
        <f>SUM('Mass Balance'!E48:H48)</f>
        <v>1.4722334662120201E-5</v>
      </c>
      <c r="D48">
        <f>Concentrations!F48/Concentrations!E48</f>
        <v>0.4547443291613536</v>
      </c>
    </row>
    <row r="49" spans="1:4">
      <c r="A49">
        <f>'Mass Balance'!I49</f>
        <v>5.3879872368011712E-7</v>
      </c>
      <c r="B49">
        <f>'Mass Balance'!E49</f>
        <v>1.2085220278469865E-6</v>
      </c>
      <c r="C49">
        <f>SUM('Mass Balance'!E49:H49)</f>
        <v>1.753299914720215E-5</v>
      </c>
      <c r="D49">
        <f>Concentrations!F49/Concentrations!E49</f>
        <v>6.895530717026728E-2</v>
      </c>
    </row>
    <row r="50" spans="1:4">
      <c r="A50">
        <f>'Mass Balance'!I50</f>
        <v>6.0001869472841088E-7</v>
      </c>
      <c r="B50">
        <f>'Mass Balance'!E50</f>
        <v>1.0658290734885054E-6</v>
      </c>
      <c r="C50">
        <f>SUM('Mass Balance'!E50:H50)</f>
        <v>1.7354163947762477E-5</v>
      </c>
      <c r="D50">
        <f>Concentrations!F50/Concentrations!E50</f>
        <v>6.1440282663387719E-2</v>
      </c>
    </row>
    <row r="51" spans="1:4">
      <c r="A51">
        <f>'Mass Balance'!I51</f>
        <v>2.1751097021607831E-7</v>
      </c>
      <c r="B51">
        <f>'Mass Balance'!E51</f>
        <v>5.0064781036901567E-6</v>
      </c>
      <c r="C51">
        <f>SUM('Mass Balance'!E51:H51)</f>
        <v>1.5099525296201298E-5</v>
      </c>
      <c r="D51">
        <f>Concentrations!F51/Concentrations!E51</f>
        <v>0.33169457264537167</v>
      </c>
    </row>
    <row r="52" spans="1:4">
      <c r="A52">
        <f>'Mass Balance'!I52</f>
        <v>1.8229073079879474E-7</v>
      </c>
      <c r="B52">
        <f>'Mass Balance'!E52</f>
        <v>6.5155898132097094E-6</v>
      </c>
      <c r="C52">
        <f>SUM('Mass Balance'!E52:H52)</f>
        <v>1.4729594074525961E-5</v>
      </c>
      <c r="D52">
        <f>Concentrations!F52/Concentrations!E52</f>
        <v>0.44251938025974885</v>
      </c>
    </row>
    <row r="53" spans="1:4">
      <c r="A53">
        <f>'Mass Balance'!I53</f>
        <v>8.2641460834369631E-7</v>
      </c>
      <c r="B53">
        <f>'Mass Balance'!E53</f>
        <v>7.1221709734322104E-7</v>
      </c>
      <c r="C53">
        <f>SUM('Mass Balance'!E53:H53)</f>
        <v>1.7113176430112101E-5</v>
      </c>
      <c r="D53">
        <f>Concentrations!F53/Concentrations!E53</f>
        <v>4.1634284508650317E-2</v>
      </c>
    </row>
    <row r="54" spans="1:4">
      <c r="A54">
        <f>'Mass Balance'!I54</f>
        <v>5.6885202285960206E-7</v>
      </c>
      <c r="B54">
        <f>'Mass Balance'!E54</f>
        <v>1.1354715958190075E-6</v>
      </c>
      <c r="C54">
        <f>SUM('Mass Balance'!E54:H54)</f>
        <v>1.7441446476756822E-5</v>
      </c>
      <c r="D54">
        <f>Concentrations!F54/Concentrations!E54</f>
        <v>6.512730593821664E-2</v>
      </c>
    </row>
    <row r="55" spans="1:4">
      <c r="A55">
        <f>'Mass Balance'!I55</f>
        <v>1.510331746073602E-6</v>
      </c>
      <c r="B55">
        <f>'Mass Balance'!E55</f>
        <v>2.7255169438071827E-7</v>
      </c>
      <c r="C55">
        <f>SUM('Mass Balance'!E55:H55)</f>
        <v>1.8198923343752481E-5</v>
      </c>
      <c r="D55">
        <f>Concentrations!F55/Concentrations!E55</f>
        <v>1.4982094392090275E-2</v>
      </c>
    </row>
    <row r="56" spans="1:4">
      <c r="A56">
        <f>'Mass Balance'!I56</f>
        <v>5.1563217804961964E-7</v>
      </c>
      <c r="B56">
        <f>'Mass Balance'!E56</f>
        <v>1.2696568099424635E-6</v>
      </c>
      <c r="C56">
        <f>SUM('Mass Balance'!E56:H56)</f>
        <v>1.7611596919462492E-5</v>
      </c>
      <c r="D56">
        <f>Concentrations!F56/Concentrations!E56</f>
        <v>7.2120204192343509E-2</v>
      </c>
    </row>
    <row r="57" spans="1:4">
      <c r="A57">
        <f>'Mass Balance'!I57</f>
        <v>1.6198366660335934E-7</v>
      </c>
      <c r="B57">
        <f>'Mass Balance'!E57</f>
        <v>7.464160163765828E-6</v>
      </c>
      <c r="C57">
        <f>SUM('Mass Balance'!E57:H57)</f>
        <v>1.4635072705040777E-5</v>
      </c>
      <c r="D57">
        <f>Concentrations!F57/Concentrations!E57</f>
        <v>0.51021756278682484</v>
      </c>
    </row>
    <row r="58" spans="1:4">
      <c r="A58">
        <f>'Mass Balance'!I58</f>
        <v>5.7502136358796759E-7</v>
      </c>
      <c r="B58">
        <f>'Mass Balance'!E58</f>
        <v>1.1213220202504228E-6</v>
      </c>
      <c r="C58">
        <f>SUM('Mass Balance'!E58:H58)</f>
        <v>1.7424394153897097E-5</v>
      </c>
      <c r="D58">
        <f>Concentrations!F58/Concentrations!E58</f>
        <v>6.4378670328433418E-2</v>
      </c>
    </row>
    <row r="59" spans="1:4">
      <c r="A59">
        <f>'Mass Balance'!I59</f>
        <v>1.8236034052979583E-7</v>
      </c>
      <c r="B59">
        <f>'Mass Balance'!E59</f>
        <v>6.5180778632176478E-6</v>
      </c>
      <c r="C59">
        <f>SUM('Mass Balance'!E59:H59)</f>
        <v>1.4735218732876882E-5</v>
      </c>
      <c r="D59">
        <f>Concentrations!F59/Concentrations!E59</f>
        <v>0.44251938025974874</v>
      </c>
    </row>
    <row r="60" spans="1:4">
      <c r="A60">
        <f>'Mass Balance'!I60</f>
        <v>7.5349917453304391E-7</v>
      </c>
      <c r="B60">
        <f>'Mass Balance'!E60</f>
        <v>8.011199095358295E-7</v>
      </c>
      <c r="C60">
        <f>SUM('Mass Balance'!E60:H60)</f>
        <v>1.7104876623891893E-5</v>
      </c>
      <c r="D60">
        <f>Concentrations!F60/Concentrations!E60</f>
        <v>4.685402634239362E-2</v>
      </c>
    </row>
    <row r="61" spans="1:4">
      <c r="A61">
        <f>'Mass Balance'!I61</f>
        <v>5.1783644812865617E-7</v>
      </c>
      <c r="B61">
        <f>'Mass Balance'!E61</f>
        <v>2.0876120728955504E-5</v>
      </c>
      <c r="C61">
        <f>SUM('Mass Balance'!E61:H61)</f>
        <v>2.4785562390104339E-5</v>
      </c>
      <c r="D61">
        <f>Concentrations!F61/Concentrations!E61</f>
        <v>0.8425978769837803</v>
      </c>
    </row>
    <row r="62" spans="1:4">
      <c r="A62">
        <f>'Mass Balance'!I62</f>
        <v>8.9415914269724887E-8</v>
      </c>
      <c r="B62">
        <f>'Mass Balance'!E62</f>
        <v>1.3487913025304498E-5</v>
      </c>
      <c r="C62">
        <f>SUM('Mass Balance'!E62:H62)</f>
        <v>1.7077331797073797E-5</v>
      </c>
      <c r="D62">
        <f>Concentrations!F62/Concentrations!E62</f>
        <v>0.79012186237772697</v>
      </c>
    </row>
    <row r="63" spans="1:4">
      <c r="A63">
        <f>'Mass Balance'!I63</f>
        <v>5.619003127848727E-8</v>
      </c>
      <c r="B63">
        <f>'Mass Balance'!E63</f>
        <v>3.8146528787314104E-5</v>
      </c>
      <c r="C63">
        <f>SUM('Mass Balance'!E63:H63)</f>
        <v>3.829536570096981E-5</v>
      </c>
      <c r="D63">
        <f>Concentrations!F63/Concentrations!E63</f>
        <v>0.99650192474120602</v>
      </c>
    </row>
    <row r="64" spans="1:4">
      <c r="A64">
        <f>'Mass Balance'!I64</f>
        <v>1.0421250671051789E-8</v>
      </c>
      <c r="B64">
        <f>'Mass Balance'!E64</f>
        <v>3.9764980282562251E-5</v>
      </c>
      <c r="C64">
        <f>SUM('Mass Balance'!E64:H64)</f>
        <v>3.9814599997917759E-5</v>
      </c>
      <c r="D64">
        <f>Concentrations!F64/Concentrations!E64</f>
        <v>0.99914323665702387</v>
      </c>
    </row>
    <row r="65" spans="1:4">
      <c r="A65">
        <f>'Mass Balance'!I65</f>
        <v>1.4333839324841555E-8</v>
      </c>
      <c r="B65">
        <f>'Mass Balance'!E65</f>
        <v>3.9901693266093434E-5</v>
      </c>
      <c r="C65">
        <f>SUM('Mass Balance'!E65:H65)</f>
        <v>3.9908339735424564E-5</v>
      </c>
      <c r="D65">
        <f>Concentrations!F65/Concentrations!E65</f>
        <v>1.0002233837153989</v>
      </c>
    </row>
    <row r="66" spans="1:4">
      <c r="A66">
        <f>'Mass Balance'!I66</f>
        <v>4.7067416041478898E-7</v>
      </c>
      <c r="B66">
        <f>'Mass Balance'!E66</f>
        <v>3.7684569617231882E-5</v>
      </c>
      <c r="C66">
        <f>SUM('Mass Balance'!E66:H66)</f>
        <v>3.8687137531270529E-5</v>
      </c>
      <c r="D66">
        <f>Concentrations!F66/Concentrations!E66</f>
        <v>0.97446512471319247</v>
      </c>
    </row>
    <row r="67" spans="1:4">
      <c r="A67">
        <f>'Mass Balance'!I67</f>
        <v>1.3639615423736255E-8</v>
      </c>
      <c r="B67">
        <f>'Mass Balance'!E67</f>
        <v>3.9893770911717478E-5</v>
      </c>
      <c r="C67">
        <f>SUM('Mass Balance'!E67:H67)</f>
        <v>3.9899428928265924E-5</v>
      </c>
      <c r="D67">
        <f>Concentrations!F67/Concentrations!E67</f>
        <v>1.0002481297752626</v>
      </c>
    </row>
    <row r="68" spans="1:4">
      <c r="A68">
        <f>'Mass Balance'!I68</f>
        <v>1.0719085354388373E-8</v>
      </c>
      <c r="B68">
        <f>'Mass Balance'!E68</f>
        <v>3.9953477034457476E-5</v>
      </c>
      <c r="C68">
        <f>SUM('Mass Balance'!E68:H68)</f>
        <v>3.9954164156758761E-5</v>
      </c>
      <c r="D68">
        <f>Concentrations!F68/Concentrations!E68</f>
        <v>1.0003727875631208</v>
      </c>
    </row>
    <row r="69" spans="1:4">
      <c r="A69">
        <f>'Mass Balance'!I69</f>
        <v>4.5996279541585609E-7</v>
      </c>
      <c r="B69">
        <f>'Mass Balance'!E69</f>
        <v>1.4400971944056964E-6</v>
      </c>
      <c r="C69">
        <f>SUM('Mass Balance'!E69:H69)</f>
        <v>1.7853183958025008E-5</v>
      </c>
      <c r="D69">
        <f>Concentrations!F69/Concentrations!E69</f>
        <v>8.0694783867548553E-2</v>
      </c>
    </row>
    <row r="70" spans="1:4">
      <c r="A70">
        <f>'Mass Balance'!I70</f>
        <v>1.054664658196757E-8</v>
      </c>
      <c r="B70">
        <f>'Mass Balance'!E70</f>
        <v>3.9863180644559554E-5</v>
      </c>
      <c r="C70">
        <f>SUM('Mass Balance'!E70:H70)</f>
        <v>3.9987125290277056E-5</v>
      </c>
      <c r="D70">
        <f>Concentrations!F70/Concentrations!E70</f>
        <v>0.99728916940116086</v>
      </c>
    </row>
    <row r="71" spans="1:4">
      <c r="A71">
        <f>'Mass Balance'!I71</f>
        <v>1.0765124570521562E-8</v>
      </c>
      <c r="B71">
        <f>'Mass Balance'!E71</f>
        <v>3.9749187836701998E-5</v>
      </c>
      <c r="C71">
        <f>SUM('Mass Balance'!E71:H71)</f>
        <v>3.9985966343039141E-5</v>
      </c>
      <c r="D71">
        <f>Concentrations!F71/Concentrations!E71</f>
        <v>0.99446614250097498</v>
      </c>
    </row>
    <row r="72" spans="1:4">
      <c r="A72">
        <f>'Mass Balance'!I72</f>
        <v>4.9009265454022333E-7</v>
      </c>
      <c r="B72">
        <f>'Mass Balance'!E72</f>
        <v>1.4910126022312512E-6</v>
      </c>
      <c r="C72">
        <f>SUM('Mass Balance'!E72:H72)</f>
        <v>3.947628765550939E-5</v>
      </c>
      <c r="D72">
        <f>Concentrations!F72/Concentrations!E72</f>
        <v>3.7784558119696519E-2</v>
      </c>
    </row>
    <row r="73" spans="1:4">
      <c r="A73">
        <f>'Mass Balance'!I73</f>
        <v>4.7929881971998357E-8</v>
      </c>
      <c r="B73">
        <f>'Mass Balance'!E73</f>
        <v>1.0910756870129318E-5</v>
      </c>
      <c r="C73">
        <f>SUM('Mass Balance'!E73:H73)</f>
        <v>3.993056470502135E-5</v>
      </c>
      <c r="D73">
        <f>Concentrations!F73/Concentrations!E73</f>
        <v>0.27334980256430963</v>
      </c>
    </row>
    <row r="74" spans="1:4">
      <c r="A74">
        <f>'Mass Balance'!I74</f>
        <v>1.072247882747926E-8</v>
      </c>
      <c r="B74">
        <f>'Mass Balance'!E74</f>
        <v>3.9771820064353036E-5</v>
      </c>
      <c r="C74">
        <f>SUM('Mass Balance'!E74:H74)</f>
        <v>3.9986182980204495E-5</v>
      </c>
      <c r="D74">
        <f>Concentrations!F74/Concentrations!E74</f>
        <v>0.99502697662021289</v>
      </c>
    </row>
    <row r="75" spans="1:4">
      <c r="A75">
        <f>'Mass Balance'!I75</f>
        <v>4.65463839223371E-8</v>
      </c>
      <c r="B75">
        <f>'Mass Balance'!E75</f>
        <v>1.2352488355851771E-5</v>
      </c>
      <c r="C75">
        <f>SUM('Mass Balance'!E75:H75)</f>
        <v>3.9931229145013119E-5</v>
      </c>
      <c r="D75">
        <f>Concentrations!F75/Concentrations!E75</f>
        <v>0.30946469699293011</v>
      </c>
    </row>
    <row r="76" spans="1:4">
      <c r="A76">
        <f>'Mass Balance'!I76</f>
        <v>1.7438024965933303E-8</v>
      </c>
      <c r="B76">
        <f>'Mass Balance'!E76</f>
        <v>3.5598258994730292E-5</v>
      </c>
      <c r="C76">
        <f>SUM('Mass Balance'!E76:H76)</f>
        <v>3.9968394369990095E-5</v>
      </c>
      <c r="D76">
        <f>Concentrations!F76/Concentrations!E76</f>
        <v>0.89100757219607429</v>
      </c>
    </row>
    <row r="77" spans="1:4">
      <c r="A77">
        <f>'Mass Balance'!I77</f>
        <v>4.75538343710598E-8</v>
      </c>
      <c r="B77">
        <f>'Mass Balance'!E77</f>
        <v>1.1311813804422507E-5</v>
      </c>
      <c r="C77">
        <f>SUM('Mass Balance'!E77:H77)</f>
        <v>3.9930656675045035E-5</v>
      </c>
      <c r="D77">
        <f>Concentrations!F77/Concentrations!E77</f>
        <v>0.28339692516937948</v>
      </c>
    </row>
    <row r="78" spans="1:4">
      <c r="A78">
        <f>'Mass Balance'!I78</f>
        <v>4.0994770489355292E-7</v>
      </c>
      <c r="B78">
        <f>'Mass Balance'!E78</f>
        <v>1.6509733987182115E-6</v>
      </c>
      <c r="C78">
        <f>SUM('Mass Balance'!E78:H78)</f>
        <v>3.9558215069354059E-5</v>
      </c>
      <c r="D78">
        <f>Concentrations!F78/Concentrations!E78</f>
        <v>4.1751561901800516E-2</v>
      </c>
    </row>
    <row r="79" spans="1:4">
      <c r="A79">
        <f>'Mass Balance'!I79</f>
        <v>4.0994748380352199E-7</v>
      </c>
      <c r="B79">
        <f>'Mass Balance'!E79</f>
        <v>1.6509737255567258E-6</v>
      </c>
      <c r="C79">
        <f>SUM('Mass Balance'!E79:H79)</f>
        <v>3.9558220586501501E-5</v>
      </c>
      <c r="D79">
        <f>Concentrations!F79/Concentrations!E79</f>
        <v>4.1751564344186823E-2</v>
      </c>
    </row>
    <row r="80" spans="1:4">
      <c r="A80">
        <f>'Mass Balance'!I80</f>
        <v>2.9861991113473715E-8</v>
      </c>
      <c r="B80">
        <f>'Mass Balance'!E80</f>
        <v>2.6667811686129467E-5</v>
      </c>
      <c r="C80">
        <f>SUM('Mass Balance'!E80:H80)</f>
        <v>3.9948186463043591E-5</v>
      </c>
      <c r="D80">
        <f>Concentrations!F80/Concentrations!E80</f>
        <v>0.66782035136800788</v>
      </c>
    </row>
    <row r="81" spans="1:4">
      <c r="A81">
        <f>'Mass Balance'!I81</f>
        <v>1.2022725027107236E-8</v>
      </c>
      <c r="B81">
        <f>'Mass Balance'!E81</f>
        <v>3.9038020826834792E-5</v>
      </c>
      <c r="C81">
        <f>SUM('Mass Balance'!E81:H81)</f>
        <v>3.9981338201950253E-5</v>
      </c>
      <c r="D81">
        <f>Concentrations!F81/Concentrations!E81</f>
        <v>0.97678684857263531</v>
      </c>
    </row>
    <row r="82" spans="1:4">
      <c r="A82">
        <f>'Mass Balance'!I82</f>
        <v>1.4418059341393598E-8</v>
      </c>
      <c r="B82">
        <f>'Mass Balance'!E82</f>
        <v>3.7567706692265024E-5</v>
      </c>
      <c r="C82">
        <f>SUM('Mass Balance'!E82:H82)</f>
        <v>3.9974962601504502E-5</v>
      </c>
      <c r="D82">
        <f>Concentrations!F82/Concentrations!E82</f>
        <v>0.94014741610326824</v>
      </c>
    </row>
    <row r="83" spans="1:4">
      <c r="A83">
        <f>'Mass Balance'!I83</f>
        <v>7.9765136034781498E-7</v>
      </c>
      <c r="B83">
        <f>'Mass Balance'!E83</f>
        <v>1.1218192691685578E-6</v>
      </c>
      <c r="C83">
        <f>SUM('Mass Balance'!E83:H83)</f>
        <v>3.9163460649911937E-5</v>
      </c>
      <c r="D83">
        <f>Concentrations!F83/Concentrations!E83</f>
        <v>2.8655709968526483E-2</v>
      </c>
    </row>
    <row r="84" spans="1:4">
      <c r="A84">
        <f>'Mass Balance'!I84</f>
        <v>6.17986809941505E-8</v>
      </c>
      <c r="B84">
        <f>'Mass Balance'!E84</f>
        <v>1.7299201924524378E-5</v>
      </c>
      <c r="C84">
        <f>SUM('Mass Balance'!E84:H84)</f>
        <v>1.9606730181299198E-5</v>
      </c>
      <c r="D84">
        <f>Concentrations!F84/Concentrations!E84</f>
        <v>0.88265347232576219</v>
      </c>
    </row>
    <row r="85" spans="1:4">
      <c r="A85">
        <f>'Mass Balance'!I85</f>
        <v>1.6225403699995055E-5</v>
      </c>
      <c r="B85">
        <f>'Mass Balance'!E85</f>
        <v>8.0423721147568736E-6</v>
      </c>
      <c r="C85">
        <f>SUM('Mass Balance'!E85:H85)</f>
        <v>2.1296792964200566E-5</v>
      </c>
      <c r="D85">
        <f>Concentrations!F85/Concentrations!E85</f>
        <v>0.37778028782758005</v>
      </c>
    </row>
    <row r="86" spans="1:4">
      <c r="A86">
        <f>'Mass Balance'!I86</f>
        <v>2.4691124701563122E-6</v>
      </c>
      <c r="B86">
        <f>'Mass Balance'!E86</f>
        <v>8.4967954505499749E-8</v>
      </c>
      <c r="C86">
        <f>SUM('Mass Balance'!E86:H86)</f>
        <v>2.163423396878608E-5</v>
      </c>
      <c r="D86">
        <f>Concentrations!F86/Concentrations!E86</f>
        <v>3.9290086006088312E-3</v>
      </c>
    </row>
    <row r="87" spans="1:4">
      <c r="A87">
        <f>'Mass Balance'!I87</f>
        <v>3.1738374217087448E-6</v>
      </c>
      <c r="B87">
        <f>'Mass Balance'!E87</f>
        <v>3.3215174596984486E-8</v>
      </c>
      <c r="C87">
        <f>SUM('Mass Balance'!E87:H87)</f>
        <v>2.4750523387813021E-5</v>
      </c>
      <c r="D87">
        <f>Concentrations!F87/Concentrations!E87</f>
        <v>1.3425222460896708E-3</v>
      </c>
    </row>
    <row r="88" spans="1:4">
      <c r="A88">
        <f>'Mass Balance'!I88</f>
        <v>3.8607600908930042E-6</v>
      </c>
      <c r="B88">
        <f>'Mass Balance'!E88</f>
        <v>1.0434975572297549E-8</v>
      </c>
      <c r="C88">
        <f>SUM('Mass Balance'!E88:H88)</f>
        <v>2.8060929287870907E-5</v>
      </c>
      <c r="D88">
        <f>Concentrations!F88/Concentrations!E88</f>
        <v>3.7201352181030864E-4</v>
      </c>
    </row>
    <row r="89" spans="1:4">
      <c r="A89">
        <f>'Mass Balance'!I89</f>
        <v>3.415334448904193E-5</v>
      </c>
      <c r="B89">
        <f>'Mass Balance'!E89</f>
        <v>1.0727173150527981E-7</v>
      </c>
      <c r="C89">
        <f>SUM('Mass Balance'!E89:H89)</f>
        <v>4.5064014994627479E-6</v>
      </c>
      <c r="D89">
        <f>Concentrations!F89/Concentrations!E89</f>
        <v>2.3813583108137883E-2</v>
      </c>
    </row>
    <row r="90" spans="1:4">
      <c r="A90">
        <f>'Mass Balance'!I90</f>
        <v>1.0178679277216716E-8</v>
      </c>
      <c r="B90">
        <f>'Mass Balance'!E90</f>
        <v>3.8982578514276713E-5</v>
      </c>
      <c r="C90">
        <f>SUM('Mass Balance'!E90:H90)</f>
        <v>3.8987462930044001E-5</v>
      </c>
      <c r="D90">
        <f>Concentrations!F90/Concentrations!E90</f>
        <v>1.0002646614722241</v>
      </c>
    </row>
    <row r="91" spans="1:4">
      <c r="A91">
        <f>'Mass Balance'!I91</f>
        <v>1.6436129823689375E-8</v>
      </c>
      <c r="B91">
        <f>'Mass Balance'!E91</f>
        <v>3.0635004965134282E-5</v>
      </c>
      <c r="C91">
        <f>SUM('Mass Balance'!E91:H91)</f>
        <v>3.0935216273828952E-5</v>
      </c>
      <c r="D91">
        <f>Concentrations!F91/Concentrations!E91</f>
        <v>0.99068169111119397</v>
      </c>
    </row>
    <row r="92" spans="1:4">
      <c r="A92">
        <f>'Mass Balance'!I92</f>
        <v>1.1700987053138851E-7</v>
      </c>
      <c r="B92">
        <f>'Mass Balance'!E92</f>
        <v>1.0729987001235094E-5</v>
      </c>
      <c r="C92">
        <f>SUM('Mass Balance'!E92:H92)</f>
        <v>1.5644496421913753E-5</v>
      </c>
      <c r="D92">
        <f>Concentrations!F92/Concentrations!E92</f>
        <v>0.68613084890735809</v>
      </c>
    </row>
    <row r="93" spans="1:4">
      <c r="A93">
        <f>'Mass Balance'!I93</f>
        <v>1.0324311116635216E-8</v>
      </c>
      <c r="B93">
        <f>'Mass Balance'!E93</f>
        <v>3.9966090558636053E-5</v>
      </c>
      <c r="C93">
        <f>SUM('Mass Balance'!E93:H93)</f>
        <v>3.998355457061877E-5</v>
      </c>
      <c r="D93">
        <f>Concentrations!F93/Concentrations!E93</f>
        <v>0.99995304181843969</v>
      </c>
    </row>
    <row r="94" spans="1:4">
      <c r="A94">
        <f>'Mass Balance'!I94</f>
        <v>1.0346311997483646E-8</v>
      </c>
      <c r="B94">
        <f>'Mass Balance'!E94</f>
        <v>3.9989431684735517E-5</v>
      </c>
      <c r="C94">
        <f>SUM('Mass Balance'!E94:H94)</f>
        <v>3.9989499426323112E-5</v>
      </c>
      <c r="D94">
        <f>Concentrations!F94/Concentrations!E94</f>
        <v>1.0003882973894691</v>
      </c>
    </row>
    <row r="95" spans="1:4">
      <c r="A95">
        <f>'Mass Balance'!I95</f>
        <v>1.0458890004333936E-8</v>
      </c>
      <c r="B95">
        <f>'Mass Balance'!E95</f>
        <v>3.7650234361990969E-5</v>
      </c>
      <c r="C95">
        <f>SUM('Mass Balance'!E95:H95)</f>
        <v>3.7670390232675658E-5</v>
      </c>
      <c r="D95">
        <f>Concentrations!F95/Concentrations!E95</f>
        <v>0.99985472464838177</v>
      </c>
    </row>
    <row r="96" spans="1:4">
      <c r="A96">
        <f>'Mass Balance'!I96</f>
        <v>2.2016996188557609E-6</v>
      </c>
      <c r="B96">
        <f>'Mass Balance'!E96</f>
        <v>1.1804899738692911E-7</v>
      </c>
      <c r="C96">
        <f>SUM('Mass Balance'!E96:H96)</f>
        <v>2.0563537390593362E-5</v>
      </c>
      <c r="D96">
        <f>Concentrations!F96/Concentrations!E96</f>
        <v>5.742933879149207E-3</v>
      </c>
    </row>
    <row r="97" spans="1:4">
      <c r="A97">
        <f>'Mass Balance'!I97</f>
        <v>2.3031721410598885E-8</v>
      </c>
      <c r="B97">
        <f>'Mass Balance'!E97</f>
        <v>2.720203837070677E-5</v>
      </c>
      <c r="C97">
        <f>SUM('Mass Balance'!E97:H97)</f>
        <v>2.778795907071335E-5</v>
      </c>
      <c r="D97">
        <f>Concentrations!F97/Concentrations!E97</f>
        <v>0.97929635205464494</v>
      </c>
    </row>
    <row r="98" spans="1:4">
      <c r="A98">
        <f>'Mass Balance'!I98</f>
        <v>1.7383081668431167E-8</v>
      </c>
      <c r="B98">
        <f>'Mass Balance'!E98</f>
        <v>3.0048174501437904E-5</v>
      </c>
      <c r="C98">
        <f>SUM('Mass Balance'!E98:H98)</f>
        <v>3.0389475890873241E-5</v>
      </c>
      <c r="D98">
        <f>Concentrations!F98/Concentrations!E98</f>
        <v>0.98915470467762645</v>
      </c>
    </row>
    <row r="99" spans="1:4">
      <c r="A99">
        <f>'Mass Balance'!I99</f>
        <v>1.1462139166912661E-8</v>
      </c>
      <c r="B99">
        <f>'Mass Balance'!E99</f>
        <v>3.5160344675300415E-5</v>
      </c>
      <c r="C99">
        <f>SUM('Mass Balance'!E99:H99)</f>
        <v>3.5239169441487702E-5</v>
      </c>
      <c r="D99">
        <f>Concentrations!F99/Concentrations!E99</f>
        <v>0.99815226882852781</v>
      </c>
    </row>
    <row r="100" spans="1:4">
      <c r="A100">
        <f>'Mass Balance'!I100</f>
        <v>8.9434571917314941E-7</v>
      </c>
      <c r="B100">
        <f>'Mass Balance'!E100</f>
        <v>6.3951242762028334E-7</v>
      </c>
      <c r="C100">
        <f>SUM('Mass Balance'!E100:H100)</f>
        <v>1.7130501037944881E-5</v>
      </c>
      <c r="D100">
        <f>Concentrations!F100/Concentrations!E100</f>
        <v>3.7346358460614348E-2</v>
      </c>
    </row>
    <row r="101" spans="1:4">
      <c r="A101">
        <f>'Mass Balance'!I101</f>
        <v>9.2879957502771558E-8</v>
      </c>
      <c r="B101">
        <f>'Mass Balance'!E101</f>
        <v>1.3097470970603441E-5</v>
      </c>
      <c r="C101">
        <f>SUM('Mass Balance'!E101:H101)</f>
        <v>1.6850789641926546E-5</v>
      </c>
      <c r="D101">
        <f>Concentrations!F101/Concentrations!E101</f>
        <v>0.77756468144100499</v>
      </c>
    </row>
    <row r="102" spans="1:4">
      <c r="A102">
        <f>'Mass Balance'!I102</f>
        <v>2.1550042053598017E-7</v>
      </c>
      <c r="B102">
        <f>'Mass Balance'!E102</f>
        <v>5.0766109961289568E-6</v>
      </c>
      <c r="C102">
        <f>SUM('Mass Balance'!E102:H102)</f>
        <v>1.5061220680907535E-5</v>
      </c>
      <c r="D102">
        <f>Concentrations!F102/Concentrations!E102</f>
        <v>0.33719649566104481</v>
      </c>
    </row>
    <row r="103" spans="1:4">
      <c r="A103">
        <f>'Mass Balance'!I103</f>
        <v>1.1181730663595193E-8</v>
      </c>
      <c r="B103">
        <f>'Mass Balance'!E103</f>
        <v>3.9521181752494738E-5</v>
      </c>
      <c r="C103">
        <f>SUM('Mass Balance'!E103:H103)</f>
        <v>3.9983633704483372E-5</v>
      </c>
      <c r="D103">
        <f>Concentrations!F103/Concentrations!E103</f>
        <v>0.98881945024768447</v>
      </c>
    </row>
    <row r="104" spans="1:4">
      <c r="A104">
        <f>'Mass Balance'!I104</f>
        <v>8.1595324381797197E-8</v>
      </c>
      <c r="B104">
        <f>'Mass Balance'!E104</f>
        <v>4.0211400281631693E-6</v>
      </c>
      <c r="C104">
        <f>SUM('Mass Balance'!E104:H104)</f>
        <v>3.9668173147503551E-5</v>
      </c>
      <c r="D104">
        <f>Concentrations!F104/Concentrations!E104</f>
        <v>0.10140896143075606</v>
      </c>
    </row>
    <row r="105" spans="1:4">
      <c r="A105">
        <f>'Mass Balance'!I105</f>
        <v>1.0162434046049025E-8</v>
      </c>
      <c r="B105">
        <f>'Mass Balance'!E105</f>
        <v>3.8783116079682024E-5</v>
      </c>
      <c r="C105">
        <f>SUM('Mass Balance'!E105:H105)</f>
        <v>3.8788554260188929E-5</v>
      </c>
      <c r="D105">
        <f>Concentrations!F105/Concentrations!E105</f>
        <v>1.0002497367076915</v>
      </c>
    </row>
    <row r="106" spans="1:4">
      <c r="A106">
        <f>'Mass Balance'!I106</f>
        <v>1.0466965243550329E-8</v>
      </c>
      <c r="B106">
        <f>'Mass Balance'!E106</f>
        <v>3.7539356902738985E-5</v>
      </c>
      <c r="C106">
        <f>SUM('Mass Balance'!E106:H106)</f>
        <v>3.7561186028653766E-5</v>
      </c>
      <c r="D106">
        <f>Concentrations!F106/Concentrations!E106</f>
        <v>0.99980860360114343</v>
      </c>
    </row>
    <row r="107" spans="1:4">
      <c r="A107">
        <f>'Mass Balance'!I107</f>
        <v>4.2927649116297541E-7</v>
      </c>
      <c r="B107">
        <f>'Mass Balance'!E107</f>
        <v>3.4323988873960686E-6</v>
      </c>
      <c r="C107">
        <f>SUM('Mass Balance'!E107:H107)</f>
        <v>1.7118972334237483E-5</v>
      </c>
      <c r="D107">
        <f>Concentrations!F107/Concentrations!E107</f>
        <v>0.20058081925595375</v>
      </c>
    </row>
    <row r="108" spans="1:4">
      <c r="A108">
        <f>'Mass Balance'!I108</f>
        <v>1.0314283879868062E-8</v>
      </c>
      <c r="B108">
        <f>'Mass Balance'!E108</f>
        <v>3.9987434314399923E-5</v>
      </c>
      <c r="C108">
        <f>SUM('Mass Balance'!E108:H108)</f>
        <v>3.9987470369572199E-5</v>
      </c>
      <c r="D108">
        <f>Concentrations!F108/Concentrations!E108</f>
        <v>1.0003890900211099</v>
      </c>
    </row>
    <row r="109" spans="1:4">
      <c r="A109">
        <f>'Mass Balance'!I109</f>
        <v>1.2569036052929492E-7</v>
      </c>
      <c r="B109">
        <f>'Mass Balance'!E109</f>
        <v>3.8853285025335862E-5</v>
      </c>
      <c r="C109">
        <f>SUM('Mass Balance'!E109:H109)</f>
        <v>3.9107955391371759E-5</v>
      </c>
      <c r="D109">
        <f>Concentrations!F109/Concentrations!E109</f>
        <v>0.99387546876421706</v>
      </c>
    </row>
    <row r="110" spans="1:4">
      <c r="A110">
        <f>'Mass Balance'!I110</f>
        <v>1.0240014591517757E-8</v>
      </c>
      <c r="B110">
        <f>'Mass Balance'!E110</f>
        <v>3.9739293788875294E-5</v>
      </c>
      <c r="C110">
        <f>SUM('Mass Balance'!E110:H110)</f>
        <v>3.974036147627242E-5</v>
      </c>
      <c r="D110">
        <f>Concentrations!F110/Concentrations!E110</f>
        <v>1.0003631149818706</v>
      </c>
    </row>
    <row r="111" spans="1:4">
      <c r="A111">
        <f>'Mass Balance'!I111</f>
        <v>1.028153151089944E-8</v>
      </c>
      <c r="B111">
        <f>'Mass Balance'!E111</f>
        <v>3.9989430782444085E-5</v>
      </c>
      <c r="C111">
        <f>SUM('Mass Balance'!E111:H111)</f>
        <v>3.9989494511638357E-5</v>
      </c>
      <c r="D111">
        <f>Concentrations!F111/Concentrations!E111</f>
        <v>1.0003883977645762</v>
      </c>
    </row>
    <row r="112" spans="1:4">
      <c r="A112">
        <f>'Mass Balance'!I112</f>
        <v>1.0216093354124784E-8</v>
      </c>
      <c r="B112">
        <f>'Mass Balance'!E112</f>
        <v>3.9666277134685876E-5</v>
      </c>
      <c r="C112">
        <f>SUM('Mass Balance'!E112:H112)</f>
        <v>3.9666730609313435E-5</v>
      </c>
      <c r="D112">
        <f>Concentrations!F112/Concentrations!E112</f>
        <v>1.0003785554610216</v>
      </c>
    </row>
    <row r="113" spans="1:4">
      <c r="A113">
        <f>'Mass Balance'!I113</f>
        <v>1.0217618275947512E-8</v>
      </c>
      <c r="B113">
        <f>'Mass Balance'!E113</f>
        <v>3.8160591118134652E-5</v>
      </c>
      <c r="C113">
        <f>SUM('Mass Balance'!E113:H113)</f>
        <v>3.8172602762318763E-5</v>
      </c>
      <c r="D113">
        <f>Concentrations!F113/Concentrations!E113</f>
        <v>1.0000752026892545</v>
      </c>
    </row>
    <row r="114" spans="1:4">
      <c r="A114">
        <f>'Mass Balance'!I114</f>
        <v>1.0243844027569341E-8</v>
      </c>
      <c r="B114">
        <f>'Mass Balance'!E114</f>
        <v>3.9822134130376103E-5</v>
      </c>
      <c r="C114">
        <f>SUM('Mass Balance'!E114:H114)</f>
        <v>3.9822269459932902E-5</v>
      </c>
      <c r="D114">
        <f>Concentrations!F114/Concentrations!E114</f>
        <v>1.0003865923705357</v>
      </c>
    </row>
    <row r="115" spans="1:4">
      <c r="A115">
        <f>'Mass Balance'!I115</f>
        <v>1.0523362686002982E-8</v>
      </c>
      <c r="B115">
        <f>'Mass Balance'!E115</f>
        <v>3.9874529450926973E-5</v>
      </c>
      <c r="C115">
        <f>SUM('Mass Balance'!E115:H115)</f>
        <v>3.9986711182206028E-5</v>
      </c>
      <c r="D115">
        <f>Concentrations!F115/Concentrations!E115</f>
        <v>0.99758342260323307</v>
      </c>
    </row>
    <row r="116" spans="1:4">
      <c r="A116">
        <f>'Mass Balance'!I116</f>
        <v>4.6045830669136446E-6</v>
      </c>
      <c r="B116">
        <f>'Mass Balance'!E116</f>
        <v>2.0014153563965541E-5</v>
      </c>
      <c r="C116">
        <f>SUM('Mass Balance'!E116:H116)</f>
        <v>3.2536570449454609E-5</v>
      </c>
      <c r="D116">
        <f>Concentrations!F116/Concentrations!E116</f>
        <v>0.61536783526514116</v>
      </c>
    </row>
    <row r="117" spans="1:4">
      <c r="A117">
        <f>'Mass Balance'!I117</f>
        <v>3.3810397717484043E-8</v>
      </c>
      <c r="B117">
        <f>'Mass Balance'!E117</f>
        <v>2.3406714096719703E-5</v>
      </c>
      <c r="C117">
        <f>SUM('Mass Balance'!E117:H117)</f>
        <v>2.4462210041838029E-5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0.9702908754628663</v>
      </c>
      <c r="M2" s="115">
        <v>0.92580831135906594</v>
      </c>
      <c r="N2" s="115">
        <v>1.1369958451460955</v>
      </c>
      <c r="O2" s="115">
        <v>0.81130283267096692</v>
      </c>
      <c r="P2" s="115">
        <v>0.93898877327879671</v>
      </c>
      <c r="Q2" s="111">
        <v>0.81130283267096703</v>
      </c>
      <c r="R2" s="68">
        <v>0.93898877327879671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0.82889802053525763</v>
      </c>
      <c r="M3" s="115">
        <v>4.7529623733397202</v>
      </c>
      <c r="N3" s="115">
        <v>304.9898195696403</v>
      </c>
      <c r="O3" s="115">
        <v>3.0215424625304732</v>
      </c>
      <c r="P3" s="115">
        <v>2.7995286955540197</v>
      </c>
      <c r="Q3" s="111">
        <v>3.0215424625304732</v>
      </c>
      <c r="R3" s="68">
        <v>2.7995286955540197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1.0954031082391813</v>
      </c>
      <c r="M4" s="115">
        <v>1.0563574471456425</v>
      </c>
      <c r="N4" s="115">
        <v>3.0500174255674501</v>
      </c>
      <c r="O4" s="115">
        <v>0.82536607139961538</v>
      </c>
      <c r="P4" s="115">
        <v>0.95934094722964847</v>
      </c>
      <c r="Q4" s="111">
        <v>0.82536607139961538</v>
      </c>
      <c r="R4" s="68">
        <v>0.95934094722964847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0.92547589257340679</v>
      </c>
      <c r="M5" s="115">
        <v>1.4039242019414759</v>
      </c>
      <c r="N5" s="115">
        <v>75.633639610216804</v>
      </c>
      <c r="O5" s="115">
        <v>4.4142842718024324</v>
      </c>
      <c r="P5" s="115">
        <v>7.2166196512907321</v>
      </c>
      <c r="Q5" s="111">
        <v>4.4142842718024333</v>
      </c>
      <c r="R5" s="68">
        <v>7.2166196512907321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0.83217826414992047</v>
      </c>
      <c r="M6" s="115">
        <v>1.9365723399478958</v>
      </c>
      <c r="N6" s="115">
        <v>162.55376705162948</v>
      </c>
      <c r="O6" s="115">
        <v>8.911887243307655</v>
      </c>
      <c r="P6" s="115">
        <v>15.078303712239952</v>
      </c>
      <c r="Q6" s="111">
        <v>8.911887243307655</v>
      </c>
      <c r="R6" s="68">
        <v>15.078303712239954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0.5447302553720168</v>
      </c>
      <c r="M7" s="115">
        <v>3.6032339452361453</v>
      </c>
      <c r="N7" s="115">
        <v>420.29499085010821</v>
      </c>
      <c r="O7" s="115">
        <v>21.748736869648258</v>
      </c>
      <c r="P7" s="115">
        <v>37.326086583871245</v>
      </c>
      <c r="Q7" s="111">
        <v>21.748736869648258</v>
      </c>
      <c r="R7" s="68">
        <v>37.326086583871245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0.75559041282603501</v>
      </c>
      <c r="M8" s="115">
        <v>2.3291006201836963</v>
      </c>
      <c r="N8" s="115">
        <v>228.16984416288565</v>
      </c>
      <c r="O8" s="115">
        <v>12.581722764236943</v>
      </c>
      <c r="P8" s="115">
        <v>21.52303136003006</v>
      </c>
      <c r="Q8" s="111">
        <v>12.581722764236943</v>
      </c>
      <c r="R8" s="68">
        <v>21.52303136003006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0.94057159313292882</v>
      </c>
      <c r="M9" s="115">
        <v>1.3121434789343953</v>
      </c>
      <c r="N9" s="115">
        <v>60.312770620702921</v>
      </c>
      <c r="O9" s="115">
        <v>3.6047130728018471</v>
      </c>
      <c r="P9" s="115">
        <v>5.7955969321625123</v>
      </c>
      <c r="Q9" s="111">
        <v>3.6047130728018471</v>
      </c>
      <c r="R9" s="68">
        <v>5.7955969321625131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4.9905593375051203E-2</v>
      </c>
      <c r="M10" s="115">
        <v>30.835595818694248</v>
      </c>
      <c r="N10" s="115">
        <v>3269.2878359305582</v>
      </c>
      <c r="O10" s="115">
        <v>35.423396527766975</v>
      </c>
      <c r="P10" s="115">
        <v>36.136794881088839</v>
      </c>
      <c r="Q10" s="111">
        <v>35.423396527766982</v>
      </c>
      <c r="R10" s="68">
        <v>36.136794881088839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4.9143290434015639E-3</v>
      </c>
      <c r="M11" s="115">
        <v>337.38871470184364</v>
      </c>
      <c r="N11" s="115">
        <v>41929.421171894166</v>
      </c>
      <c r="O11" s="115">
        <v>170.20619820292944</v>
      </c>
      <c r="P11" s="115">
        <v>78.128237487480519</v>
      </c>
      <c r="Q11" s="111">
        <v>170.20619820292947</v>
      </c>
      <c r="R11" s="68">
        <v>78.128237487480533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0.91517080239366877</v>
      </c>
      <c r="M12" s="115">
        <v>0.86358827074027456</v>
      </c>
      <c r="N12" s="115">
        <v>6.1396826921836983E-2</v>
      </c>
      <c r="O12" s="115">
        <v>0.75642072868233701</v>
      </c>
      <c r="P12" s="115">
        <v>0.87898763226895194</v>
      </c>
      <c r="Q12" s="111">
        <v>0.75642072868233712</v>
      </c>
      <c r="R12" s="68">
        <v>0.87898763226895205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0.62882698016758398</v>
      </c>
      <c r="M13" s="115">
        <v>2.6275898001054019</v>
      </c>
      <c r="N13" s="115">
        <v>214.08569272342191</v>
      </c>
      <c r="O13" s="115">
        <v>2.5724159456828808</v>
      </c>
      <c r="P13" s="115">
        <v>2.4315703028294302</v>
      </c>
      <c r="Q13" s="111">
        <v>2.5724159456828808</v>
      </c>
      <c r="R13" s="68">
        <v>2.4315703028294307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8.2406971082139818E-2</v>
      </c>
      <c r="M14" s="115">
        <v>11.210128280325506</v>
      </c>
      <c r="N14" s="115">
        <v>1540.7836991438107</v>
      </c>
      <c r="O14" s="115">
        <v>45.567648883577888</v>
      </c>
      <c r="P14" s="115">
        <v>76.342074678935802</v>
      </c>
      <c r="Q14" s="111">
        <v>45.567648883577888</v>
      </c>
      <c r="R14" s="68">
        <v>76.342074678935802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0.77906557591406023</v>
      </c>
      <c r="M15" s="115">
        <v>1.015806370485034</v>
      </c>
      <c r="N15" s="115">
        <v>29.668722398461345</v>
      </c>
      <c r="O15" s="115">
        <v>0.91374951649480063</v>
      </c>
      <c r="P15" s="115">
        <v>0.97304046493589791</v>
      </c>
      <c r="Q15" s="111">
        <v>0.91374951649480063</v>
      </c>
      <c r="R15" s="68">
        <v>0.97304046493589791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0.60241250919740597</v>
      </c>
      <c r="M16" s="115">
        <v>2.9172551752741764</v>
      </c>
      <c r="N16" s="115">
        <v>247.17169167087374</v>
      </c>
      <c r="O16" s="115">
        <v>2.8785502491478843</v>
      </c>
      <c r="P16" s="115">
        <v>2.7099195357081913</v>
      </c>
      <c r="Q16" s="111">
        <v>2.8785502491478843</v>
      </c>
      <c r="R16" s="68">
        <v>2.7099195357081913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0.61771603775714279</v>
      </c>
      <c r="M17" s="115">
        <v>2.7260898910230691</v>
      </c>
      <c r="N17" s="115">
        <v>225.54622463122118</v>
      </c>
      <c r="O17" s="115">
        <v>2.6767880619977649</v>
      </c>
      <c r="P17" s="115">
        <v>2.5260002622417104</v>
      </c>
      <c r="Q17" s="111">
        <v>2.6767880619977649</v>
      </c>
      <c r="R17" s="68">
        <v>2.5260002622417104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3.6500757664298237E-3</v>
      </c>
      <c r="M18" s="115">
        <v>185.42253483393199</v>
      </c>
      <c r="N18" s="115">
        <v>19895.488029296794</v>
      </c>
      <c r="O18" s="115">
        <v>119.99113671989957</v>
      </c>
      <c r="P18" s="115">
        <v>51.398390925409153</v>
      </c>
      <c r="Q18" s="111">
        <v>119.99113671989957</v>
      </c>
      <c r="R18" s="68">
        <v>51.398390925409153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0.90591489342198572</v>
      </c>
      <c r="M19" s="115">
        <v>0.95144065314559911</v>
      </c>
      <c r="N19" s="115">
        <v>10.251618443153548</v>
      </c>
      <c r="O19" s="115">
        <v>0.83946493540372313</v>
      </c>
      <c r="P19" s="115">
        <v>0.94294514090299342</v>
      </c>
      <c r="Q19" s="111">
        <v>0.83946493540372324</v>
      </c>
      <c r="R19" s="68">
        <v>0.94294514090299353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0.87068242370788795</v>
      </c>
      <c r="M20" s="115">
        <v>0.98839799070453283</v>
      </c>
      <c r="N20" s="115">
        <v>17.663011732644858</v>
      </c>
      <c r="O20" s="115">
        <v>0.87799465717029879</v>
      </c>
      <c r="P20" s="115">
        <v>0.96567088996567851</v>
      </c>
      <c r="Q20" s="111">
        <v>0.87799465717029879</v>
      </c>
      <c r="R20" s="68">
        <v>0.96567088996567862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0.41436844488389962</v>
      </c>
      <c r="M21" s="115">
        <v>7.8761626390794355</v>
      </c>
      <c r="N21" s="115">
        <v>843.4327616708581</v>
      </c>
      <c r="O21" s="115">
        <v>17.941244079012979</v>
      </c>
      <c r="P21" s="115">
        <v>26.36508000389632</v>
      </c>
      <c r="Q21" s="111">
        <v>17.941244079012982</v>
      </c>
      <c r="R21" s="68">
        <v>26.36508000389632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0.8991977798082067</v>
      </c>
      <c r="M22" s="115">
        <v>0.86550397431612991</v>
      </c>
      <c r="N22" s="115">
        <v>1.8470916117877194</v>
      </c>
      <c r="O22" s="115">
        <v>0.7587823024591126</v>
      </c>
      <c r="P22" s="115">
        <v>0.87557817891691503</v>
      </c>
      <c r="Q22" s="111">
        <v>0.7587823024591126</v>
      </c>
      <c r="R22" s="68">
        <v>0.87557817891691514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0.75277217363973681</v>
      </c>
      <c r="M23" s="115">
        <v>1.185455863022822</v>
      </c>
      <c r="N23" s="115">
        <v>50.153577806259882</v>
      </c>
      <c r="O23" s="115">
        <v>1.0843657005452274</v>
      </c>
      <c r="P23" s="115">
        <v>1.1146781676789688</v>
      </c>
      <c r="Q23" s="111">
        <v>1.0843657005452276</v>
      </c>
      <c r="R23" s="68">
        <v>1.1146781676789688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0.51625900328817476</v>
      </c>
      <c r="M24" s="115">
        <v>4.0946580290158785</v>
      </c>
      <c r="N24" s="115">
        <v>379.66631302043288</v>
      </c>
      <c r="O24" s="115">
        <v>4.1353026044721526</v>
      </c>
      <c r="P24" s="115">
        <v>3.8730899661730733</v>
      </c>
      <c r="Q24" s="111">
        <v>4.1353026044721526</v>
      </c>
      <c r="R24" s="68">
        <v>3.8730899661730733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4.8888680748773675E-3</v>
      </c>
      <c r="M25" s="115">
        <v>163.16511743836921</v>
      </c>
      <c r="N25" s="115">
        <v>17489.953167479467</v>
      </c>
      <c r="O25" s="115">
        <v>107.36043268426938</v>
      </c>
      <c r="P25" s="115">
        <v>48.210671984389791</v>
      </c>
      <c r="Q25" s="111">
        <v>107.36043268426938</v>
      </c>
      <c r="R25" s="68">
        <v>48.210671984389791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0.23771384439746163</v>
      </c>
      <c r="M26" s="115">
        <v>7.1207082772800758</v>
      </c>
      <c r="N26" s="115">
        <v>727.23844816808094</v>
      </c>
      <c r="O26" s="115">
        <v>7.5511741955505416</v>
      </c>
      <c r="P26" s="115">
        <v>7.2031363489057352</v>
      </c>
      <c r="Q26" s="111">
        <v>7.5511741955505425</v>
      </c>
      <c r="R26" s="68">
        <v>7.2031363489057361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2.2469943979464429E-2</v>
      </c>
      <c r="M27" s="115">
        <v>3.2831071715102884</v>
      </c>
      <c r="N27" s="115">
        <v>345.18281708697845</v>
      </c>
      <c r="O27" s="115">
        <v>3.6574611849770067</v>
      </c>
      <c r="P27" s="115">
        <v>3.6297867385574909</v>
      </c>
      <c r="Q27" s="111">
        <v>3.6574611849770067</v>
      </c>
      <c r="R27" s="68">
        <v>3.6297867385574909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3.3692157553611241E-2</v>
      </c>
      <c r="M28" s="115">
        <v>1.3556721424682219</v>
      </c>
      <c r="N28" s="115">
        <v>139.69022808515578</v>
      </c>
      <c r="O28" s="115">
        <v>1.4513329103534687</v>
      </c>
      <c r="P28" s="115">
        <v>1.3938396915474518</v>
      </c>
      <c r="Q28" s="111">
        <v>1.4513329103534689</v>
      </c>
      <c r="R28" s="68">
        <v>1.393839691547452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5.9256342179988784E-2</v>
      </c>
      <c r="M29" s="115">
        <v>7.026083998806211E-2</v>
      </c>
      <c r="N29" s="115">
        <v>1.5180160316437636</v>
      </c>
      <c r="O29" s="115">
        <v>6.2658225257735845E-2</v>
      </c>
      <c r="P29" s="115">
        <v>6.8173608077717135E-2</v>
      </c>
      <c r="Q29" s="111">
        <v>6.2658225257735845E-2</v>
      </c>
      <c r="R29" s="68">
        <v>6.8173608077717135E-2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1.2750233445843225E-2</v>
      </c>
      <c r="M30" s="115">
        <v>0.4791567969782668</v>
      </c>
      <c r="N30" s="115">
        <v>49.282065455802041</v>
      </c>
      <c r="O30" s="115">
        <v>0.51185374080410029</v>
      </c>
      <c r="P30" s="115">
        <v>0.49078741993195751</v>
      </c>
      <c r="Q30" s="111">
        <v>0.51185374080410029</v>
      </c>
      <c r="R30" s="68">
        <v>0.49078741993195751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4.5415769032797275E-4</v>
      </c>
      <c r="M31" s="115">
        <v>8.1318104511909368E-3</v>
      </c>
      <c r="N31" s="115">
        <v>0.81155062577569315</v>
      </c>
      <c r="O31" s="115">
        <v>8.4748312598201727E-3</v>
      </c>
      <c r="P31" s="115">
        <v>8.0018135984689688E-3</v>
      </c>
      <c r="Q31" s="111">
        <v>8.4748312598201727E-3</v>
      </c>
      <c r="R31" s="68">
        <v>8.0018135984689688E-3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0.65544672102322421</v>
      </c>
      <c r="M32" s="115">
        <v>2.3371007024427728</v>
      </c>
      <c r="N32" s="115">
        <v>180.90221191780353</v>
      </c>
      <c r="O32" s="115">
        <v>2.2674316882425063</v>
      </c>
      <c r="P32" s="115">
        <v>2.1564509705282218</v>
      </c>
      <c r="Q32" s="111">
        <v>2.2674316882425067</v>
      </c>
      <c r="R32" s="68">
        <v>2.1564509705282218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0.76302781486315152</v>
      </c>
      <c r="M33" s="115">
        <v>1.5250179868688296</v>
      </c>
      <c r="N33" s="115">
        <v>84.86976153144893</v>
      </c>
      <c r="O33" s="115">
        <v>1.4225035730187181</v>
      </c>
      <c r="P33" s="115">
        <v>1.4145177846508585</v>
      </c>
      <c r="Q33" s="111">
        <v>1.4225035730187181</v>
      </c>
      <c r="R33" s="68">
        <v>1.4145177846508585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0.32747359112180918</v>
      </c>
      <c r="M34" s="115">
        <v>8.568162571214641</v>
      </c>
      <c r="N34" s="115">
        <v>870.71287888277061</v>
      </c>
      <c r="O34" s="115">
        <v>9.045791780124425</v>
      </c>
      <c r="P34" s="115">
        <v>8.6037069080763615</v>
      </c>
      <c r="Q34" s="111">
        <v>9.045791780124425</v>
      </c>
      <c r="R34" s="68">
        <v>8.6037069080763615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7.9879331107564538E-2</v>
      </c>
      <c r="M35" s="115">
        <v>23.428869959113719</v>
      </c>
      <c r="N35" s="115">
        <v>2475.395723805319</v>
      </c>
      <c r="O35" s="115">
        <v>26.663943987762845</v>
      </c>
      <c r="P35" s="115">
        <v>26.955267581049981</v>
      </c>
      <c r="Q35" s="111">
        <v>26.663943987762849</v>
      </c>
      <c r="R35" s="68">
        <v>26.955267581049981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2.1912417371829966E-2</v>
      </c>
      <c r="M36" s="115">
        <v>64.584946532466631</v>
      </c>
      <c r="N36" s="115">
        <v>6881.3980172699403</v>
      </c>
      <c r="O36" s="115">
        <v>52.777052865179122</v>
      </c>
      <c r="P36" s="115">
        <v>37.190609264665703</v>
      </c>
      <c r="Q36" s="111">
        <v>52.777052865179122</v>
      </c>
      <c r="R36" s="68">
        <v>37.190609264665703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3.9112859578525061E-3</v>
      </c>
      <c r="M37" s="115">
        <v>176.80789884234471</v>
      </c>
      <c r="N37" s="115">
        <v>18965.941022301726</v>
      </c>
      <c r="O37" s="115">
        <v>114.9044968568053</v>
      </c>
      <c r="P37" s="115">
        <v>49.825651855011195</v>
      </c>
      <c r="Q37" s="111">
        <v>114.90449685680531</v>
      </c>
      <c r="R37" s="68">
        <v>49.825651855011195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1.241696230985166E-2</v>
      </c>
      <c r="M38" s="115">
        <v>97.512468831560668</v>
      </c>
      <c r="N38" s="115">
        <v>10416.035954230794</v>
      </c>
      <c r="O38" s="115">
        <v>70.659032166503152</v>
      </c>
      <c r="P38" s="115">
        <v>40.112638659499332</v>
      </c>
      <c r="Q38" s="111">
        <v>70.659032166503152</v>
      </c>
      <c r="R38" s="68">
        <v>40.112638659499332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1.6565637350438121E-2</v>
      </c>
      <c r="M39" s="115">
        <v>64.601163404745037</v>
      </c>
      <c r="N39" s="115">
        <v>6888.2493825639503</v>
      </c>
      <c r="O39" s="115">
        <v>50.701503875684622</v>
      </c>
      <c r="P39" s="115">
        <v>33.474172431967851</v>
      </c>
      <c r="Q39" s="111">
        <v>50.701503875684622</v>
      </c>
      <c r="R39" s="68">
        <v>33.474172431967851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1.241696230985166E-2</v>
      </c>
      <c r="M40" s="115">
        <v>97.512468831560668</v>
      </c>
      <c r="N40" s="115">
        <v>10416.035954230794</v>
      </c>
      <c r="O40" s="115">
        <v>70.659032166503152</v>
      </c>
      <c r="P40" s="115">
        <v>40.112638659499332</v>
      </c>
      <c r="Q40" s="111">
        <v>70.659032166503152</v>
      </c>
      <c r="R40" s="68">
        <v>40.112638659499332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0.98937097964654985</v>
      </c>
      <c r="M41" s="115">
        <v>0.97271393509851489</v>
      </c>
      <c r="N41" s="115">
        <v>5.6905206274424565</v>
      </c>
      <c r="O41" s="115">
        <v>1.0482603141635669</v>
      </c>
      <c r="P41" s="115">
        <v>1.3461499403702148</v>
      </c>
      <c r="Q41" s="111">
        <v>1.0482603141635669</v>
      </c>
      <c r="R41" s="68">
        <v>1.3461499403702148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3.5795338960503595E-3</v>
      </c>
      <c r="M42" s="115">
        <v>181.83903321514759</v>
      </c>
      <c r="N42" s="115">
        <v>19510.985068945483</v>
      </c>
      <c r="O42" s="115">
        <v>117.67217137374762</v>
      </c>
      <c r="P42" s="115">
        <v>50.405058495512868</v>
      </c>
      <c r="Q42" s="111">
        <v>117.67217137374762</v>
      </c>
      <c r="R42" s="68">
        <v>50.405058495512868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0.49656038053753992</v>
      </c>
      <c r="M43" s="115">
        <v>4.4599365697902433</v>
      </c>
      <c r="N43" s="115">
        <v>420.10832045110232</v>
      </c>
      <c r="O43" s="115">
        <v>4.5279399038367716</v>
      </c>
      <c r="P43" s="115">
        <v>4.2417602543654223</v>
      </c>
      <c r="Q43" s="111">
        <v>4.5279399038367716</v>
      </c>
      <c r="R43" s="68">
        <v>4.2417602543654223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3.2876069210640305E-2</v>
      </c>
      <c r="M44" s="115">
        <v>45.935082519701474</v>
      </c>
      <c r="N44" s="115">
        <v>4883.8524231443334</v>
      </c>
      <c r="O44" s="115">
        <v>43.017454929940335</v>
      </c>
      <c r="P44" s="115">
        <v>36.272646960337738</v>
      </c>
      <c r="Q44" s="111">
        <v>43.017454929940335</v>
      </c>
      <c r="R44" s="68">
        <v>36.272646960337738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1.7983529686563377E-3</v>
      </c>
      <c r="M45" s="115">
        <v>237.85198527146781</v>
      </c>
      <c r="N45" s="115">
        <v>25578.228197427194</v>
      </c>
      <c r="O45" s="115">
        <v>149.87800939903028</v>
      </c>
      <c r="P45" s="115">
        <v>59.37114320969318</v>
      </c>
      <c r="Q45" s="111">
        <v>149.8780093990303</v>
      </c>
      <c r="R45" s="68">
        <v>59.371143209693187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3.3020227265132263E-3</v>
      </c>
      <c r="M46" s="115">
        <v>192.95463863687661</v>
      </c>
      <c r="N46" s="115">
        <v>20710.483976418789</v>
      </c>
      <c r="O46" s="115">
        <v>124.27089638457852</v>
      </c>
      <c r="P46" s="115">
        <v>52.499760973547062</v>
      </c>
      <c r="Q46" s="111">
        <v>124.27089638457852</v>
      </c>
      <c r="R46" s="68">
        <v>52.499760973547062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6.6902899395572413E-3</v>
      </c>
      <c r="M47" s="115">
        <v>140.00876905461519</v>
      </c>
      <c r="N47" s="115">
        <v>14991.109940644812</v>
      </c>
      <c r="O47" s="115">
        <v>94.310993459287218</v>
      </c>
      <c r="P47" s="115">
        <v>45.112464869796604</v>
      </c>
      <c r="Q47" s="111">
        <v>94.310993459287218</v>
      </c>
      <c r="R47" s="68">
        <v>45.112464869796611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0.16910026704658465</v>
      </c>
      <c r="M48" s="115">
        <v>16.287770154209671</v>
      </c>
      <c r="N48" s="115">
        <v>1705.0769613227637</v>
      </c>
      <c r="O48" s="115">
        <v>17.91554491544602</v>
      </c>
      <c r="P48" s="115">
        <v>17.586772029940018</v>
      </c>
      <c r="Q48" s="111">
        <v>17.91554491544602</v>
      </c>
      <c r="R48" s="68">
        <v>17.586772029940018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3.0545306330111714E-2</v>
      </c>
      <c r="M49" s="115">
        <v>49.088805000010673</v>
      </c>
      <c r="N49" s="115">
        <v>5221.3633663390483</v>
      </c>
      <c r="O49" s="115">
        <v>44.657068573510884</v>
      </c>
      <c r="P49" s="115">
        <v>36.403876562621647</v>
      </c>
      <c r="Q49" s="111">
        <v>44.657068573510884</v>
      </c>
      <c r="R49" s="68">
        <v>36.403876562621647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2.6939072778995595E-2</v>
      </c>
      <c r="M50" s="115">
        <v>54.666426268987863</v>
      </c>
      <c r="N50" s="115">
        <v>5818.5786585649139</v>
      </c>
      <c r="O50" s="115">
        <v>47.557908158437371</v>
      </c>
      <c r="P50" s="115">
        <v>36.642734504634873</v>
      </c>
      <c r="Q50" s="111">
        <v>47.557908158437371</v>
      </c>
      <c r="R50" s="68">
        <v>36.642734504634873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0.12651412064777851</v>
      </c>
      <c r="M51" s="115">
        <v>19.816961572164569</v>
      </c>
      <c r="N51" s="115">
        <v>2084.7868936741597</v>
      </c>
      <c r="O51" s="115">
        <v>22.123530024592196</v>
      </c>
      <c r="P51" s="115">
        <v>21.996500309044347</v>
      </c>
      <c r="Q51" s="111">
        <v>22.123530024592196</v>
      </c>
      <c r="R51" s="68">
        <v>21.99650030904435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0.16463703373166469</v>
      </c>
      <c r="M52" s="115">
        <v>16.608120517382901</v>
      </c>
      <c r="N52" s="115">
        <v>1739.5746996836601</v>
      </c>
      <c r="O52" s="115">
        <v>18.293746406000022</v>
      </c>
      <c r="P52" s="115">
        <v>17.97966137171186</v>
      </c>
      <c r="Q52" s="111">
        <v>18.293746406000022</v>
      </c>
      <c r="R52" s="68">
        <v>17.97966137171186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1.8002069063867941E-2</v>
      </c>
      <c r="M53" s="115">
        <v>75.292876124607901</v>
      </c>
      <c r="N53" s="115">
        <v>8029.7447864984942</v>
      </c>
      <c r="O53" s="115">
        <v>58.546937597724138</v>
      </c>
      <c r="P53" s="115">
        <v>38.042529243868017</v>
      </c>
      <c r="Q53" s="111">
        <v>58.546937597724146</v>
      </c>
      <c r="R53" s="68">
        <v>38.042529243868017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2.8699134480285396E-2</v>
      </c>
      <c r="M54" s="115">
        <v>51.826897126421478</v>
      </c>
      <c r="N54" s="115">
        <v>5514.4934056565817</v>
      </c>
      <c r="O54" s="115">
        <v>46.080577094123861</v>
      </c>
      <c r="P54" s="115">
        <v>36.519409869959297</v>
      </c>
      <c r="Q54" s="111">
        <v>46.080577094123861</v>
      </c>
      <c r="R54" s="68">
        <v>36.519409869959297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6.8895130437692364E-3</v>
      </c>
      <c r="M55" s="115">
        <v>137.60311097609346</v>
      </c>
      <c r="N55" s="115">
        <v>14731.882058980618</v>
      </c>
      <c r="O55" s="115">
        <v>92.939741204587492</v>
      </c>
      <c r="P55" s="115">
        <v>44.767379525624094</v>
      </c>
      <c r="Q55" s="111">
        <v>92.939741204587506</v>
      </c>
      <c r="R55" s="68">
        <v>44.767379525624094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3.2090325983113434E-2</v>
      </c>
      <c r="M56" s="115">
        <v>46.978150332509081</v>
      </c>
      <c r="N56" s="115">
        <v>4995.4623882748865</v>
      </c>
      <c r="O56" s="115">
        <v>43.562981169649404</v>
      </c>
      <c r="P56" s="115">
        <v>36.321637804247395</v>
      </c>
      <c r="Q56" s="111">
        <v>43.562981169649404</v>
      </c>
      <c r="R56" s="68">
        <v>36.321637804247395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0.18859490617856886</v>
      </c>
      <c r="M57" s="115">
        <v>14.757987117653002</v>
      </c>
      <c r="N57" s="115">
        <v>1540.6723796731771</v>
      </c>
      <c r="O57" s="115">
        <v>16.129889186008182</v>
      </c>
      <c r="P57" s="115">
        <v>15.749053102770459</v>
      </c>
      <c r="Q57" s="111">
        <v>16.129889186008185</v>
      </c>
      <c r="R57" s="68">
        <v>15.749053102770461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2.8341536471628515E-2</v>
      </c>
      <c r="M58" s="115">
        <v>52.388972630099083</v>
      </c>
      <c r="N58" s="115">
        <v>5574.6768545931109</v>
      </c>
      <c r="O58" s="115">
        <v>46.373742675566241</v>
      </c>
      <c r="P58" s="115">
        <v>36.545010300106085</v>
      </c>
      <c r="Q58" s="111">
        <v>46.373742675566241</v>
      </c>
      <c r="R58" s="68">
        <v>36.545010300106092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0.16469990220325764</v>
      </c>
      <c r="M59" s="115">
        <v>16.614462511825423</v>
      </c>
      <c r="N59" s="115">
        <v>1740.238975515847</v>
      </c>
      <c r="O59" s="115">
        <v>18.300732075324753</v>
      </c>
      <c r="P59" s="115">
        <v>17.986527104193655</v>
      </c>
      <c r="Q59" s="111">
        <v>18.300732075324753</v>
      </c>
      <c r="R59" s="68">
        <v>17.986527104193655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2.0248988974965538E-2</v>
      </c>
      <c r="M60" s="115">
        <v>68.649706134570337</v>
      </c>
      <c r="N60" s="115">
        <v>7317.232793105949</v>
      </c>
      <c r="O60" s="115">
        <v>54.940978336117929</v>
      </c>
      <c r="P60" s="115">
        <v>37.464879952992675</v>
      </c>
      <c r="Q60" s="111">
        <v>54.940978336117929</v>
      </c>
      <c r="R60" s="68">
        <v>37.464879952992675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1.945457965637168</v>
      </c>
      <c r="M61" s="115">
        <v>47.178976688106431</v>
      </c>
      <c r="N61" s="115">
        <v>1494.7011191993352</v>
      </c>
      <c r="O61" s="115">
        <v>8.2679740321201933</v>
      </c>
      <c r="P61" s="115">
        <v>8.3139699460803946</v>
      </c>
      <c r="Q61" s="111">
        <v>8.2679740321201933</v>
      </c>
      <c r="R61" s="68">
        <v>8.3139699460803946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0.34061881922116843</v>
      </c>
      <c r="M62" s="115">
        <v>8.1464936470230409</v>
      </c>
      <c r="N62" s="115">
        <v>824.81035354782352</v>
      </c>
      <c r="O62" s="115">
        <v>8.574887259987392</v>
      </c>
      <c r="P62" s="115">
        <v>8.1406595569243159</v>
      </c>
      <c r="Q62" s="111">
        <v>8.574887259987392</v>
      </c>
      <c r="R62" s="68">
        <v>8.1406595569243159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2.7802764661878698</v>
      </c>
      <c r="M63" s="115">
        <v>5.119354161669758</v>
      </c>
      <c r="N63" s="115">
        <v>114.85748400444353</v>
      </c>
      <c r="O63" s="115">
        <v>1.0923114231820101</v>
      </c>
      <c r="P63" s="115">
        <v>1.2227124571243826</v>
      </c>
      <c r="Q63" s="111">
        <v>1.0923114231820104</v>
      </c>
      <c r="R63" s="68">
        <v>1.2227124571243826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0.9881323289096271</v>
      </c>
      <c r="M64" s="115">
        <v>0.9494579693013655</v>
      </c>
      <c r="N64" s="115">
        <v>2.2719364804378395</v>
      </c>
      <c r="O64" s="115">
        <v>0.8809457330545698</v>
      </c>
      <c r="P64" s="115">
        <v>1.0532475861567749</v>
      </c>
      <c r="Q64" s="111">
        <v>0.88094573305456991</v>
      </c>
      <c r="R64" s="68">
        <v>1.0532475861567752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1.2918282046897602</v>
      </c>
      <c r="M65" s="115">
        <v>1.3059255944644272</v>
      </c>
      <c r="N65" s="115">
        <v>9.5581905441840007</v>
      </c>
      <c r="O65" s="115">
        <v>0.83386363560729559</v>
      </c>
      <c r="P65" s="115">
        <v>0.96847120701019473</v>
      </c>
      <c r="Q65" s="111">
        <v>0.83386363560729559</v>
      </c>
      <c r="R65" s="68">
        <v>0.96847120701019473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4.7454997299733206</v>
      </c>
      <c r="M66" s="115">
        <v>42.882121029044185</v>
      </c>
      <c r="N66" s="115">
        <v>1078.9931850478893</v>
      </c>
      <c r="O66" s="115">
        <v>2.5773405206659921</v>
      </c>
      <c r="P66" s="115">
        <v>3.1425704141307755</v>
      </c>
      <c r="Q66" s="111">
        <v>2.5773405206659921</v>
      </c>
      <c r="R66" s="68">
        <v>3.1425704141307755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1.2430263576598017</v>
      </c>
      <c r="M67" s="115">
        <v>1.2426763323374868</v>
      </c>
      <c r="N67" s="115">
        <v>7.9562340006864058</v>
      </c>
      <c r="O67" s="115">
        <v>0.8318032869236256</v>
      </c>
      <c r="P67" s="115">
        <v>0.96593125965056925</v>
      </c>
      <c r="Q67" s="111">
        <v>0.83180328692362571</v>
      </c>
      <c r="R67" s="68">
        <v>0.96593125965056925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1.0274079151323696</v>
      </c>
      <c r="M68" s="115">
        <v>0.97659305342459668</v>
      </c>
      <c r="N68" s="115">
        <v>1.0549250890456934</v>
      </c>
      <c r="O68" s="115">
        <v>0.82272873097737342</v>
      </c>
      <c r="P68" s="115">
        <v>0.95605024118894233</v>
      </c>
      <c r="Q68" s="111">
        <v>0.82272873097737342</v>
      </c>
      <c r="R68" s="68">
        <v>0.95605024118894244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3.6397695859872237E-2</v>
      </c>
      <c r="M69" s="115">
        <v>41.906231360774065</v>
      </c>
      <c r="N69" s="115">
        <v>4452.7996139644156</v>
      </c>
      <c r="O69" s="115">
        <v>40.965701459894909</v>
      </c>
      <c r="P69" s="115">
        <v>36.185076751624322</v>
      </c>
      <c r="Q69" s="111">
        <v>40.965701459894916</v>
      </c>
      <c r="R69" s="68">
        <v>36.185076751624329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0.99082468475469188</v>
      </c>
      <c r="M70" s="115">
        <v>0.96088252386730777</v>
      </c>
      <c r="N70" s="115">
        <v>3.8090541078885516</v>
      </c>
      <c r="O70" s="115">
        <v>0.97037984249609988</v>
      </c>
      <c r="P70" s="115">
        <v>1.2114310978957823</v>
      </c>
      <c r="Q70" s="111">
        <v>0.97037984249609999</v>
      </c>
      <c r="R70" s="68">
        <v>1.2114310978957823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0.98849586659891597</v>
      </c>
      <c r="M71" s="115">
        <v>0.98078758842215386</v>
      </c>
      <c r="N71" s="115">
        <v>6.9781166979936264</v>
      </c>
      <c r="O71" s="115">
        <v>1.1047071727571427</v>
      </c>
      <c r="P71" s="115">
        <v>1.4442423543720515</v>
      </c>
      <c r="Q71" s="111">
        <v>1.1047071727571427</v>
      </c>
      <c r="R71" s="68">
        <v>1.4442423543720517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3.789699458460899E-2</v>
      </c>
      <c r="M72" s="115">
        <v>44.651298700822096</v>
      </c>
      <c r="N72" s="115">
        <v>6263.9278603338307</v>
      </c>
      <c r="O72" s="115">
        <v>59.788288169906998</v>
      </c>
      <c r="P72" s="115">
        <v>84.28837842450416</v>
      </c>
      <c r="Q72" s="111">
        <v>59.788288169906998</v>
      </c>
      <c r="R72" s="68">
        <v>84.28837842450416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0.27694591851530098</v>
      </c>
      <c r="M73" s="115">
        <v>4.3667895382651567</v>
      </c>
      <c r="N73" s="115">
        <v>577.1654312260074</v>
      </c>
      <c r="O73" s="115">
        <v>34.74356392768042</v>
      </c>
      <c r="P73" s="115">
        <v>60.609709131940406</v>
      </c>
      <c r="Q73" s="111">
        <v>34.74356392768042</v>
      </c>
      <c r="R73" s="68">
        <v>60.609709131940413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0.98896152502447487</v>
      </c>
      <c r="M74" s="115">
        <v>0.97690222553564676</v>
      </c>
      <c r="N74" s="115">
        <v>6.3582983024271016</v>
      </c>
      <c r="O74" s="115">
        <v>1.0780473368341501</v>
      </c>
      <c r="P74" s="115">
        <v>1.3980013634913004</v>
      </c>
      <c r="Q74" s="111">
        <v>1.0780473368341501</v>
      </c>
      <c r="R74" s="68">
        <v>1.3980013634913004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0.31347049154695833</v>
      </c>
      <c r="M75" s="115">
        <v>4.2407419754315869</v>
      </c>
      <c r="N75" s="115">
        <v>554.72774314514447</v>
      </c>
      <c r="O75" s="115">
        <v>33.075513967063408</v>
      </c>
      <c r="P75" s="115">
        <v>57.653277524893795</v>
      </c>
      <c r="Q75" s="111">
        <v>33.075513967063408</v>
      </c>
      <c r="R75" s="68">
        <v>57.653277524893795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0.89390281327252274</v>
      </c>
      <c r="M76" s="115">
        <v>1.5887413416484422</v>
      </c>
      <c r="N76" s="115">
        <v>105.97385356022988</v>
      </c>
      <c r="O76" s="115">
        <v>5.9805097134442917</v>
      </c>
      <c r="P76" s="115">
        <v>9.9567508323238076</v>
      </c>
      <c r="Q76" s="111">
        <v>5.9805097134442926</v>
      </c>
      <c r="R76" s="68">
        <v>9.9567508323238076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0.28710830789944325</v>
      </c>
      <c r="M77" s="115">
        <v>4.3325286416781887</v>
      </c>
      <c r="N77" s="115">
        <v>571.03432750783077</v>
      </c>
      <c r="O77" s="115">
        <v>34.279747204598671</v>
      </c>
      <c r="P77" s="115">
        <v>59.78720160240524</v>
      </c>
      <c r="Q77" s="111">
        <v>34.279747204598671</v>
      </c>
      <c r="R77" s="68">
        <v>59.78720160240524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4.1962459998684434E-2</v>
      </c>
      <c r="M78" s="115">
        <v>37.349462909398042</v>
      </c>
      <c r="N78" s="115">
        <v>5238.2414044807938</v>
      </c>
      <c r="O78" s="115">
        <v>56.989232508373831</v>
      </c>
      <c r="P78" s="115">
        <v>83.15206654655799</v>
      </c>
      <c r="Q78" s="111">
        <v>56.989232508373838</v>
      </c>
      <c r="R78" s="68">
        <v>83.152066546558004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4.196246848801756E-2</v>
      </c>
      <c r="M79" s="115">
        <v>37.349442766355864</v>
      </c>
      <c r="N79" s="115">
        <v>5238.2395580687553</v>
      </c>
      <c r="O79" s="115">
        <v>56.989229035507314</v>
      </c>
      <c r="P79" s="115">
        <v>83.152079942790024</v>
      </c>
      <c r="Q79" s="111">
        <v>56.989229035507314</v>
      </c>
      <c r="R79" s="68">
        <v>83.152079942790024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0.67422550489483035</v>
      </c>
      <c r="M80" s="115">
        <v>2.7206624556736259</v>
      </c>
      <c r="N80" s="115">
        <v>294.24752121798196</v>
      </c>
      <c r="O80" s="115">
        <v>16.425018949900732</v>
      </c>
      <c r="P80" s="115">
        <v>28.283498233467661</v>
      </c>
      <c r="Q80" s="111">
        <v>16.425018949900732</v>
      </c>
      <c r="R80" s="68">
        <v>28.283498233467661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0.9733463717200731</v>
      </c>
      <c r="M81" s="115">
        <v>1.0953648894959216</v>
      </c>
      <c r="N81" s="115">
        <v>25.40114096825776</v>
      </c>
      <c r="O81" s="115">
        <v>1.9421037940996966</v>
      </c>
      <c r="P81" s="115">
        <v>2.9007363642668174</v>
      </c>
      <c r="Q81" s="111">
        <v>1.9421037940996966</v>
      </c>
      <c r="R81" s="68">
        <v>2.9007363642668174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0.94022384899593003</v>
      </c>
      <c r="M82" s="115">
        <v>1.3135987009287169</v>
      </c>
      <c r="N82" s="115">
        <v>60.872323444984609</v>
      </c>
      <c r="O82" s="115">
        <v>3.6700780504880921</v>
      </c>
      <c r="P82" s="115">
        <v>5.9160547121406344</v>
      </c>
      <c r="Q82" s="111">
        <v>3.6700780504880925</v>
      </c>
      <c r="R82" s="68">
        <v>5.9160547121406344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2.851351052001342E-2</v>
      </c>
      <c r="M83" s="115">
        <v>72.672317815945249</v>
      </c>
      <c r="N83" s="115">
        <v>10199.25215084397</v>
      </c>
      <c r="O83" s="115">
        <v>70.25620220609818</v>
      </c>
      <c r="P83" s="115">
        <v>88.153306733366222</v>
      </c>
      <c r="Q83" s="111">
        <v>70.25620220609818</v>
      </c>
      <c r="R83" s="68">
        <v>88.153306733366236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0.43660513140289081</v>
      </c>
      <c r="M84" s="115">
        <v>5.6303463004874725</v>
      </c>
      <c r="N84" s="115">
        <v>549.48446052226484</v>
      </c>
      <c r="O84" s="115">
        <v>5.7983150683655884</v>
      </c>
      <c r="P84" s="115">
        <v>5.4480167009629339</v>
      </c>
      <c r="Q84" s="111">
        <v>5.7983150683655884</v>
      </c>
      <c r="R84" s="68">
        <v>5.4480167009629339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1.1112520676779989</v>
      </c>
      <c r="M85" s="115">
        <v>1478.261998906255</v>
      </c>
      <c r="N85" s="115">
        <v>37909.269171119988</v>
      </c>
      <c r="O85" s="115">
        <v>37.643961023073942</v>
      </c>
      <c r="P85" s="115">
        <v>33.91399872309286</v>
      </c>
      <c r="Q85" s="111">
        <v>37.643961023073942</v>
      </c>
      <c r="R85" s="68">
        <v>33.91399872309286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2.1479531743714446E-3</v>
      </c>
      <c r="M86" s="115">
        <v>224.95558219354157</v>
      </c>
      <c r="N86" s="115">
        <v>24178.230320943316</v>
      </c>
      <c r="O86" s="115">
        <v>142.5092747771026</v>
      </c>
      <c r="P86" s="115">
        <v>57.349236904778515</v>
      </c>
      <c r="Q86" s="111">
        <v>142.5092747771026</v>
      </c>
      <c r="R86" s="68">
        <v>57.349236904778522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8.3970632284710209E-4</v>
      </c>
      <c r="M87" s="115">
        <v>289.16157267754596</v>
      </c>
      <c r="N87" s="115">
        <v>31164.910693686896</v>
      </c>
      <c r="O87" s="115">
        <v>179.23497840960232</v>
      </c>
      <c r="P87" s="115">
        <v>67.712409986345733</v>
      </c>
      <c r="Q87" s="111">
        <v>179.23497840960232</v>
      </c>
      <c r="R87" s="68">
        <v>67.712409986345733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2.6381912457752217E-4</v>
      </c>
      <c r="M88" s="115">
        <v>351.7456351032256</v>
      </c>
      <c r="N88" s="115">
        <v>38027.7634542663</v>
      </c>
      <c r="O88" s="115">
        <v>214.96860366099048</v>
      </c>
      <c r="P88" s="115">
        <v>78.407158934135353</v>
      </c>
      <c r="Q88" s="111">
        <v>214.96860366099048</v>
      </c>
      <c r="R88" s="68">
        <v>78.407158934135353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1.453892738116931E-2</v>
      </c>
      <c r="M89" s="115">
        <v>3111.6385285205843</v>
      </c>
      <c r="N89" s="115">
        <v>80638.851047083852</v>
      </c>
      <c r="O89" s="115">
        <v>61.603514750855688</v>
      </c>
      <c r="P89" s="115">
        <v>21.256973456630842</v>
      </c>
      <c r="Q89" s="111">
        <v>61.603514750855695</v>
      </c>
      <c r="R89" s="68">
        <v>21.256973456630842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0.96856472339550215</v>
      </c>
      <c r="M90" s="115">
        <v>0.92735780586886984</v>
      </c>
      <c r="N90" s="115">
        <v>1.4773693246205206</v>
      </c>
      <c r="O90" s="115">
        <v>0.81206219959301273</v>
      </c>
      <c r="P90" s="115">
        <v>0.93915745281852681</v>
      </c>
      <c r="Q90" s="111">
        <v>0.81206219959301273</v>
      </c>
      <c r="R90" s="68">
        <v>0.93915745281852692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0.76772903252739355</v>
      </c>
      <c r="M91" s="115">
        <v>1.4974608075518747</v>
      </c>
      <c r="N91" s="115">
        <v>81.505572466446139</v>
      </c>
      <c r="O91" s="115">
        <v>1.3941393806529607</v>
      </c>
      <c r="P91" s="115">
        <v>1.3903404482344843</v>
      </c>
      <c r="Q91" s="111">
        <v>1.3941393806529609</v>
      </c>
      <c r="R91" s="68">
        <v>1.3903404482344845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0.27104843818626784</v>
      </c>
      <c r="M92" s="115">
        <v>10.660520274361197</v>
      </c>
      <c r="N92" s="115">
        <v>1097.8134388624239</v>
      </c>
      <c r="O92" s="115">
        <v>11.40450560616331</v>
      </c>
      <c r="P92" s="115">
        <v>10.946828139723364</v>
      </c>
      <c r="Q92" s="111">
        <v>11.40450560616331</v>
      </c>
      <c r="R92" s="68">
        <v>10.946828139723365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0.99285132979791269</v>
      </c>
      <c r="M93" s="115">
        <v>0.94062601281297531</v>
      </c>
      <c r="N93" s="115">
        <v>0.6219879384077639</v>
      </c>
      <c r="O93" s="115">
        <v>0.84301139745610087</v>
      </c>
      <c r="P93" s="115">
        <v>0.99139178971098862</v>
      </c>
      <c r="Q93" s="111">
        <v>0.84301139745610087</v>
      </c>
      <c r="R93" s="68">
        <v>0.99139178971098862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0.9984892730490964</v>
      </c>
      <c r="M94" s="115">
        <v>0.9426304662430437</v>
      </c>
      <c r="N94" s="115">
        <v>0.15093177900392571</v>
      </c>
      <c r="O94" s="115">
        <v>0.82209864195628402</v>
      </c>
      <c r="P94" s="115">
        <v>0.95553508104596274</v>
      </c>
      <c r="Q94" s="111">
        <v>0.82209864195628413</v>
      </c>
      <c r="R94" s="68">
        <v>0.95553508104596274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0.94596977455619813</v>
      </c>
      <c r="M95" s="115">
        <v>0.95288720884966616</v>
      </c>
      <c r="N95" s="115">
        <v>6.3851627072571295</v>
      </c>
      <c r="O95" s="115">
        <v>0.82262007612924681</v>
      </c>
      <c r="P95" s="115">
        <v>0.9357538238990627</v>
      </c>
      <c r="Q95" s="111">
        <v>0.82262007612924692</v>
      </c>
      <c r="R95" s="68">
        <v>0.9357538238990627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2.9841729078199809E-3</v>
      </c>
      <c r="M96" s="115">
        <v>200.5921664409403</v>
      </c>
      <c r="N96" s="115">
        <v>21537.319459828639</v>
      </c>
      <c r="O96" s="115">
        <v>128.61853552713023</v>
      </c>
      <c r="P96" s="115">
        <v>53.636881925585115</v>
      </c>
      <c r="Q96" s="111">
        <v>128.61853552713023</v>
      </c>
      <c r="R96" s="68">
        <v>53.636881925585115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0.68376152504823451</v>
      </c>
      <c r="M97" s="115">
        <v>2.0983711197703068</v>
      </c>
      <c r="N97" s="115">
        <v>152.99977633171679</v>
      </c>
      <c r="O97" s="115">
        <v>2.0172220554689222</v>
      </c>
      <c r="P97" s="115">
        <v>1.9335098230109393</v>
      </c>
      <c r="Q97" s="111">
        <v>2.0172220554689222</v>
      </c>
      <c r="R97" s="68">
        <v>1.9335098230109393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0.75347269253995008</v>
      </c>
      <c r="M98" s="115">
        <v>1.5837355747477375</v>
      </c>
      <c r="N98" s="115">
        <v>91.991444777851783</v>
      </c>
      <c r="O98" s="115">
        <v>1.483003170192424</v>
      </c>
      <c r="P98" s="115">
        <v>1.4663293360673302</v>
      </c>
      <c r="Q98" s="111">
        <v>1.483003170192424</v>
      </c>
      <c r="R98" s="68">
        <v>1.4663293360673302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0.87649497381922647</v>
      </c>
      <c r="M99" s="115">
        <v>1.044291104857203</v>
      </c>
      <c r="N99" s="115">
        <v>22.983833709841981</v>
      </c>
      <c r="O99" s="115">
        <v>0.931700375644547</v>
      </c>
      <c r="P99" s="115">
        <v>1.0125376391384993</v>
      </c>
      <c r="Q99" s="111">
        <v>0.931700375644547</v>
      </c>
      <c r="R99" s="68">
        <v>1.0125376391384993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1.6164515515746609E-2</v>
      </c>
      <c r="M100" s="115">
        <v>81.481935055862735</v>
      </c>
      <c r="N100" s="115">
        <v>8693.9739699999518</v>
      </c>
      <c r="O100" s="115">
        <v>61.902966129975994</v>
      </c>
      <c r="P100" s="115">
        <v>38.580574053327553</v>
      </c>
      <c r="Q100" s="111">
        <v>61.902966129975994</v>
      </c>
      <c r="R100" s="68">
        <v>38.58057405332756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0.33077418791432683</v>
      </c>
      <c r="M101" s="115">
        <v>8.462095253532393</v>
      </c>
      <c r="N101" s="115">
        <v>859.16542498867761</v>
      </c>
      <c r="O101" s="115">
        <v>8.9271436569185543</v>
      </c>
      <c r="P101" s="115">
        <v>8.4868513790296536</v>
      </c>
      <c r="Q101" s="111">
        <v>8.9271436569185543</v>
      </c>
      <c r="R101" s="68">
        <v>8.4868513790296536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0.12828594769777632</v>
      </c>
      <c r="M102" s="115">
        <v>19.633784669823264</v>
      </c>
      <c r="N102" s="115">
        <v>2065.1102066969811</v>
      </c>
      <c r="O102" s="115">
        <v>21.90351070916844</v>
      </c>
      <c r="P102" s="115">
        <v>21.764405421074542</v>
      </c>
      <c r="Q102" s="111">
        <v>21.90351070916844</v>
      </c>
      <c r="R102" s="68">
        <v>21.764405421074542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0.98373444080617756</v>
      </c>
      <c r="M103" s="115">
        <v>1.0187436829077254</v>
      </c>
      <c r="N103" s="115">
        <v>13.054046300422923</v>
      </c>
      <c r="O103" s="115">
        <v>1.3726784993282248</v>
      </c>
      <c r="P103" s="115">
        <v>1.9096113993623003</v>
      </c>
      <c r="Q103" s="111">
        <v>1.3726784993282251</v>
      </c>
      <c r="R103" s="68">
        <v>1.9096113993623003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0.10214304684073108</v>
      </c>
      <c r="M104" s="115">
        <v>7.4339763467380831</v>
      </c>
      <c r="N104" s="115">
        <v>1015.6080041032834</v>
      </c>
      <c r="O104" s="115">
        <v>43.364701845476702</v>
      </c>
      <c r="P104" s="115">
        <v>74.452654476979859</v>
      </c>
      <c r="Q104" s="111">
        <v>43.364701845476702</v>
      </c>
      <c r="R104" s="68">
        <v>74.452654476979859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0.96366409890792459</v>
      </c>
      <c r="M105" s="115">
        <v>0.92587773743158031</v>
      </c>
      <c r="N105" s="115">
        <v>1.802735649713161</v>
      </c>
      <c r="O105" s="115">
        <v>0.81163378757451765</v>
      </c>
      <c r="P105" s="115">
        <v>0.93713864301144323</v>
      </c>
      <c r="Q105" s="111">
        <v>0.81163378757451765</v>
      </c>
      <c r="R105" s="68">
        <v>0.93713864301144323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0.94191010517958917</v>
      </c>
      <c r="M106" s="115">
        <v>0.95362292670830262</v>
      </c>
      <c r="N106" s="115">
        <v>6.8668250115285678</v>
      </c>
      <c r="O106" s="115">
        <v>0.82437701130158336</v>
      </c>
      <c r="P106" s="115">
        <v>0.93623341308797758</v>
      </c>
      <c r="Q106" s="111">
        <v>0.82437701130158347</v>
      </c>
      <c r="R106" s="68">
        <v>0.93623341308797769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0.12774365647828084</v>
      </c>
      <c r="M107" s="115">
        <v>39.110467489338134</v>
      </c>
      <c r="N107" s="115">
        <v>2853.0444938211581</v>
      </c>
      <c r="O107" s="115">
        <v>26.791404475983754</v>
      </c>
      <c r="P107" s="115">
        <v>26.958471000714049</v>
      </c>
      <c r="Q107" s="111">
        <v>26.791404475983754</v>
      </c>
      <c r="R107" s="68">
        <v>26.958471000714049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0.99593297267789516</v>
      </c>
      <c r="M108" s="115">
        <v>0.93971245261188618</v>
      </c>
      <c r="N108" s="115">
        <v>7.8119126109921916E-2</v>
      </c>
      <c r="O108" s="115">
        <v>0.82197512430205333</v>
      </c>
      <c r="P108" s="115">
        <v>0.95539196401742332</v>
      </c>
      <c r="Q108" s="111">
        <v>0.82197512430205333</v>
      </c>
      <c r="R108" s="68">
        <v>0.95539196401742343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3.8842980646966034</v>
      </c>
      <c r="M109" s="115">
        <v>11.45138124355821</v>
      </c>
      <c r="N109" s="115">
        <v>273.07804471524719</v>
      </c>
      <c r="O109" s="115">
        <v>1.2831293139073858</v>
      </c>
      <c r="P109" s="115">
        <v>1.4920784855354532</v>
      </c>
      <c r="Q109" s="111">
        <v>1.2831293139073858</v>
      </c>
      <c r="R109" s="68">
        <v>1.4920784855354532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0.98714951001933682</v>
      </c>
      <c r="M110" s="115">
        <v>0.93294593581612217</v>
      </c>
      <c r="N110" s="115">
        <v>0.22200118869947544</v>
      </c>
      <c r="O110" s="115">
        <v>0.81836263402601239</v>
      </c>
      <c r="P110" s="115">
        <v>0.95079924850629771</v>
      </c>
      <c r="Q110" s="111">
        <v>0.8183626340260125</v>
      </c>
      <c r="R110" s="68">
        <v>0.95079924850629782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0.99332535919578346</v>
      </c>
      <c r="M111" s="115">
        <v>0.93672845398136295</v>
      </c>
      <c r="N111" s="115">
        <v>3.2334984215233254E-3</v>
      </c>
      <c r="O111" s="115">
        <v>0.82200662683814185</v>
      </c>
      <c r="P111" s="115">
        <v>0.95548004203418957</v>
      </c>
      <c r="Q111" s="111">
        <v>0.82200662683814185</v>
      </c>
      <c r="R111" s="68">
        <v>0.95548004203418957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0.98532649680876327</v>
      </c>
      <c r="M112" s="115">
        <v>0.93076652278833683</v>
      </c>
      <c r="N112" s="115">
        <v>0.16761419239517097</v>
      </c>
      <c r="O112" s="115">
        <v>0.81539269042873641</v>
      </c>
      <c r="P112" s="115">
        <v>0.9471275861001841</v>
      </c>
      <c r="Q112" s="111">
        <v>0.81539269042873641</v>
      </c>
      <c r="R112" s="68">
        <v>0.9471275861001841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0.94853024982648526</v>
      </c>
      <c r="M113" s="115">
        <v>0.930905455170145</v>
      </c>
      <c r="N113" s="115">
        <v>3.8387023668167566</v>
      </c>
      <c r="O113" s="115">
        <v>0.8170862700167657</v>
      </c>
      <c r="P113" s="115">
        <v>0.9368447971626318</v>
      </c>
      <c r="Q113" s="111">
        <v>0.8170862700167657</v>
      </c>
      <c r="R113" s="68">
        <v>0.93684479716263191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0.98917814813095817</v>
      </c>
      <c r="M114" s="115">
        <v>0.93329482758467019</v>
      </c>
      <c r="N114" s="115">
        <v>5.2100063126069004E-2</v>
      </c>
      <c r="O114" s="115">
        <v>0.81757471621113809</v>
      </c>
      <c r="P114" s="115">
        <v>0.95009610207879147</v>
      </c>
      <c r="Q114" s="111">
        <v>0.81757471621113809</v>
      </c>
      <c r="R114" s="68">
        <v>0.95009610207879158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0.99105186638439136</v>
      </c>
      <c r="M115" s="115">
        <v>0.95876117766062141</v>
      </c>
      <c r="N115" s="115">
        <v>3.4728004746463474</v>
      </c>
      <c r="O115" s="115">
        <v>0.95635472723116699</v>
      </c>
      <c r="P115" s="115">
        <v>1.1871366137661359</v>
      </c>
      <c r="Q115" s="111">
        <v>0.95635472723116699</v>
      </c>
      <c r="R115" s="68">
        <v>1.1871366137661361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2.7304540249896823</v>
      </c>
      <c r="M116" s="115">
        <v>419.51376338498949</v>
      </c>
      <c r="N116" s="115">
        <v>10789.804752000828</v>
      </c>
      <c r="O116" s="115">
        <v>21.535893988349756</v>
      </c>
      <c r="P116" s="115">
        <v>28.004419485419273</v>
      </c>
      <c r="Q116" s="111">
        <v>21.535893988349759</v>
      </c>
      <c r="R116" s="68">
        <v>28.004419485419273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0.58964644322278481</v>
      </c>
      <c r="M117" s="115">
        <v>3.08039337805066</v>
      </c>
      <c r="N117" s="115">
        <v>265.60105604736248</v>
      </c>
      <c r="O117" s="115">
        <v>3.0512791544225899</v>
      </c>
      <c r="P117" s="115">
        <v>2.8680514357160334</v>
      </c>
      <c r="Q117" s="111">
        <v>3.0512791544225899</v>
      </c>
      <c r="R117" s="68">
        <v>2.8680514357160334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2025-02-02T13:49:20Z</dcterms:modified>
</cp:coreProperties>
</file>