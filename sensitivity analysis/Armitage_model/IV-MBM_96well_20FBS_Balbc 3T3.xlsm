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16A4B2DB-5C99-4364-AFCE-D95311D40FE9}" xr6:coauthVersionLast="47" xr6:coauthVersionMax="47" xr10:uidLastSave="{00000000-0000-0000-0000-000000000000}"/>
  <bookViews>
    <workbookView xWindow="43080" yWindow="-120" windowWidth="29040" windowHeight="15720" tabRatio="841" firstSheet="2" activeTab="1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<sst xmlns="http://schemas.openxmlformats.org/spreadsheetml/2006/main" count="2915" uniqueCount="495">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</sst>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4.8000000000000001E-2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4.8000000000000001E-2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4.8000000000000001E-2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3.2000000000000003E-4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4.5440000000000005E-5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53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1.522027882117044E-5</v>
      </c>
      <c r="J2" s="67" t="s">
        <v>231</v>
      </c>
      <c r="K2" s="68">
        <v>8.464705386936687E-3</v>
      </c>
      <c r="L2" s="67" t="s">
        <v>231</v>
      </c>
      <c r="M2" s="68">
        <v>5.8903811117138778E-2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9.257208418411609E-4</v>
      </c>
      <c r="J3" s="67" t="s">
        <v>231</v>
      </c>
      <c r="K3" s="68">
        <v>0.44049798093581721</v>
      </c>
      <c r="L3" s="67" t="s">
        <v>231</v>
      </c>
      <c r="M3" s="68">
        <v>3.3141675763370517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2.1366797592652083E-3</v>
      </c>
      <c r="J4" s="67" t="s">
        <v>231</v>
      </c>
      <c r="K4" s="68">
        <v>4.9936381221049049E-2</v>
      </c>
      <c r="L4" s="67" t="s">
        <v>231</v>
      </c>
      <c r="M4" s="68">
        <v>0.36988269139116919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1.5899044907212306E-3</v>
      </c>
      <c r="J5" s="67" t="s">
        <v>231</v>
      </c>
      <c r="K5" s="68">
        <v>0.14300104685553749</v>
      </c>
      <c r="L5" s="67" t="s">
        <v>231</v>
      </c>
      <c r="M5" s="68">
        <v>1.0714321732406866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2.4514026029210951E-3</v>
      </c>
      <c r="J6" s="67" t="s">
        <v>231</v>
      </c>
      <c r="K6" s="68">
        <v>0.50028078014087485</v>
      </c>
      <c r="L6" s="67" t="s">
        <v>231</v>
      </c>
      <c r="M6" s="68">
        <v>3.7680123059342785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3.6617953997805918E-4</v>
      </c>
      <c r="J7" s="67" t="s">
        <v>231</v>
      </c>
      <c r="K7" s="68">
        <v>0.45134389054395624</v>
      </c>
      <c r="L7" s="67" t="s">
        <v>231</v>
      </c>
      <c r="M7" s="68">
        <v>3.3963062968962219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7.3230629663160703E-4</v>
      </c>
      <c r="J8" s="67" t="s">
        <v>231</v>
      </c>
      <c r="K8" s="68">
        <v>0.37180525124417441</v>
      </c>
      <c r="L8" s="67" t="s">
        <v>231</v>
      </c>
      <c r="M8" s="68">
        <v>2.7945284274616689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2.434971456212382E-4</v>
      </c>
      <c r="J9" s="67" t="s">
        <v>231</v>
      </c>
      <c r="K9" s="68">
        <v>9.0914553302036127E-2</v>
      </c>
      <c r="L9" s="67" t="s">
        <v>231</v>
      </c>
      <c r="M9" s="68">
        <v>0.67873690263520214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9.5461098674729742E-4</v>
      </c>
      <c r="J10" s="67" t="s">
        <v>231</v>
      </c>
      <c r="K10" s="68">
        <v>0.15261618216709924</v>
      </c>
      <c r="L10" s="67" t="s">
        <v>231</v>
      </c>
      <c r="M10" s="68">
        <v>1.1436645805006036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2.3399752124656821E-4</v>
      </c>
      <c r="J11" s="67" t="s">
        <v>231</v>
      </c>
      <c r="K11" s="68">
        <v>0.16949743531979616</v>
      </c>
      <c r="L11" s="67" t="s">
        <v>231</v>
      </c>
      <c r="M11" s="68">
        <v>1.2705201786451905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5.108690536320741E-4</v>
      </c>
      <c r="J12" s="67" t="s">
        <v>231</v>
      </c>
      <c r="K12" s="68">
        <v>9.3085268938900054E-2</v>
      </c>
      <c r="L12" s="67" t="s">
        <v>231</v>
      </c>
      <c r="M12" s="68">
        <v>0.6954698681315068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1.1322139263016586E-2</v>
      </c>
      <c r="J13" s="67" t="s">
        <v>232</v>
      </c>
      <c r="K13" s="68">
        <v>9.1185873034748802E-2</v>
      </c>
      <c r="L13" s="67" t="s">
        <v>231</v>
      </c>
      <c r="M13" s="68">
        <v>0.68081438966081609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2.19634030222791E-3</v>
      </c>
      <c r="J14" s="67" t="s">
        <v>231</v>
      </c>
      <c r="K14" s="68">
        <v>0.22805593100237945</v>
      </c>
      <c r="L14" s="67" t="s">
        <v>231</v>
      </c>
      <c r="M14" s="68">
        <v>1.7109157337483096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1.1245156620645956E-3</v>
      </c>
      <c r="J15" s="67" t="s">
        <v>231</v>
      </c>
      <c r="K15" s="68">
        <v>0.16092611191495368</v>
      </c>
      <c r="L15" s="67" t="s">
        <v>231</v>
      </c>
      <c r="M15" s="68">
        <v>1.2061043385755215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7.7157964297872733E-4</v>
      </c>
      <c r="J16" s="67" t="s">
        <v>231</v>
      </c>
      <c r="K16" s="68">
        <v>0.36773019336513785</v>
      </c>
      <c r="L16" s="67" t="s">
        <v>231</v>
      </c>
      <c r="M16" s="68">
        <v>2.7637526119372229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6.6927681913052611E-4</v>
      </c>
      <c r="J17" s="67" t="s">
        <v>231</v>
      </c>
      <c r="K17" s="68">
        <v>0.14616624635050152</v>
      </c>
      <c r="L17" s="67" t="s">
        <v>231</v>
      </c>
      <c r="M17" s="68">
        <v>1.0952084958600317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1.8303734285188874E-3</v>
      </c>
      <c r="J18" s="67" t="s">
        <v>231</v>
      </c>
      <c r="K18" s="68">
        <v>8.9237769071527598E-2</v>
      </c>
      <c r="L18" s="67" t="s">
        <v>231</v>
      </c>
      <c r="M18" s="68">
        <v>0.66598131836310759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6.833895716594463E-3</v>
      </c>
      <c r="J19" s="67" t="s">
        <v>231</v>
      </c>
      <c r="K19" s="68">
        <v>0.16262099467243382</v>
      </c>
      <c r="L19" s="67" t="s">
        <v>231</v>
      </c>
      <c r="M19" s="68">
        <v>1.2188408592902822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1.1715340757691077E-3</v>
      </c>
      <c r="J20" s="67" t="s">
        <v>231</v>
      </c>
      <c r="K20" s="68">
        <v>9.1196469444918327E-2</v>
      </c>
      <c r="L20" s="67" t="s">
        <v>231</v>
      </c>
      <c r="M20" s="68">
        <v>0.68089350486015643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3.1843657886990837E-3</v>
      </c>
      <c r="J21" s="67" t="s">
        <v>231</v>
      </c>
      <c r="K21" s="68">
        <v>0.2101491541239503</v>
      </c>
      <c r="L21" s="67" t="s">
        <v>231</v>
      </c>
      <c r="M21" s="68">
        <v>1.576189346770122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1.0282571845194456E-4</v>
      </c>
      <c r="J22" s="67" t="s">
        <v>231</v>
      </c>
      <c r="K22" s="68">
        <v>2.5428844008264971E-2</v>
      </c>
      <c r="L22" s="67" t="s">
        <v>231</v>
      </c>
      <c r="M22" s="68">
        <v>0.18604351783565942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3.338205362248756E-5</v>
      </c>
      <c r="J23" s="67" t="s">
        <v>231</v>
      </c>
      <c r="K23" s="68">
        <v>1.2680502592385645E-2</v>
      </c>
      <c r="L23" s="67" t="s">
        <v>231</v>
      </c>
      <c r="M23" s="68">
        <v>9.0491852845745818E-2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9.728961845819363E-5</v>
      </c>
      <c r="J24" s="67" t="s">
        <v>231</v>
      </c>
      <c r="K24" s="68">
        <v>7.5138452032101524E-2</v>
      </c>
      <c r="L24" s="67" t="s">
        <v>231</v>
      </c>
      <c r="M24" s="68">
        <v>0.55936118137286217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4.3190796437571788E-4</v>
      </c>
      <c r="J25" s="67" t="s">
        <v>231</v>
      </c>
      <c r="K25" s="68">
        <v>9.2918973533742677E-2</v>
      </c>
      <c r="L25" s="67" t="s">
        <v>231</v>
      </c>
      <c r="M25" s="68">
        <v>0.69483572313159792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8.4533589585287594E-4</v>
      </c>
      <c r="J26" s="67" t="s">
        <v>231</v>
      </c>
      <c r="K26" s="68">
        <v>0.19862203903084619</v>
      </c>
      <c r="L26" s="67" t="s">
        <v>231</v>
      </c>
      <c r="M26" s="68">
        <v>1.4894877430321192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5.1036098750502248E-4</v>
      </c>
      <c r="J27" s="67" t="s">
        <v>231</v>
      </c>
      <c r="K27" s="68">
        <v>0.43246188334580893</v>
      </c>
      <c r="L27" s="67" t="s">
        <v>231</v>
      </c>
      <c r="M27" s="68">
        <v>3.2532768607178477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2.9186627720455982E-4</v>
      </c>
      <c r="J28" s="67" t="s">
        <v>231</v>
      </c>
      <c r="K28" s="68">
        <v>0.28417570378530888</v>
      </c>
      <c r="L28" s="67" t="s">
        <v>231</v>
      </c>
      <c r="M28" s="68">
        <v>2.1334944618994625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1.8379338531114407E-4</v>
      </c>
      <c r="J29" s="67" t="s">
        <v>231</v>
      </c>
      <c r="K29" s="68">
        <v>0.2173066405326057</v>
      </c>
      <c r="L29" s="67" t="s">
        <v>231</v>
      </c>
      <c r="M29" s="68">
        <v>1.630139570136151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2.9186627720455982E-4</v>
      </c>
      <c r="J30" s="67" t="s">
        <v>231</v>
      </c>
      <c r="K30" s="68">
        <v>0.28417570378530888</v>
      </c>
      <c r="L30" s="67" t="s">
        <v>231</v>
      </c>
      <c r="M30" s="68">
        <v>2.1334944618994625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8.2447559223978447E-8</v>
      </c>
      <c r="J31" s="67" t="s">
        <v>231</v>
      </c>
      <c r="K31" s="68">
        <v>7.6584374126609873E-4</v>
      </c>
      <c r="L31" s="67" t="s">
        <v>231</v>
      </c>
      <c r="M31" s="68">
        <v>1.1556678330539279E-3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1.0226109094470066E-5</v>
      </c>
      <c r="J32" s="67" t="s">
        <v>231</v>
      </c>
      <c r="K32" s="68">
        <v>4.0007676379491909E-2</v>
      </c>
      <c r="L32" s="67" t="s">
        <v>231</v>
      </c>
      <c r="M32" s="68">
        <v>0.29488526724177949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8.1324899454262485E-8</v>
      </c>
      <c r="J33" s="67" t="s">
        <v>231</v>
      </c>
      <c r="K33" s="68">
        <v>6.8315096064162147E-4</v>
      </c>
      <c r="L33" s="67" t="s">
        <v>231</v>
      </c>
      <c r="M33" s="68">
        <v>5.9125176963169756E-4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1.9327971622640977E-10</v>
      </c>
      <c r="J34" s="67" t="s">
        <v>231</v>
      </c>
      <c r="K34" s="68">
        <v>5.6295178385489305E-3</v>
      </c>
      <c r="L34" s="67" t="s">
        <v>231</v>
      </c>
      <c r="M34" s="68">
        <v>4.4945710775984068E-2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1.971216718889024E-7</v>
      </c>
      <c r="J35" s="67" t="s">
        <v>231</v>
      </c>
      <c r="K35" s="68">
        <v>7.691544924354898E-3</v>
      </c>
      <c r="L35" s="67" t="s">
        <v>231</v>
      </c>
      <c r="M35" s="68">
        <v>6.3569121746872126E-2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1.7955483304837204E-7</v>
      </c>
      <c r="J36" s="67" t="s">
        <v>231</v>
      </c>
      <c r="K36" s="68">
        <v>9.1745473105879945E-3</v>
      </c>
      <c r="L36" s="67" t="s">
        <v>231</v>
      </c>
      <c r="M36" s="68">
        <v>7.7211055533366199E-2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2.0035762677234392E-6</v>
      </c>
      <c r="J37" s="67" t="s">
        <v>231</v>
      </c>
      <c r="K37" s="68">
        <v>2.3509225163193932E-2</v>
      </c>
      <c r="L37" s="67" t="s">
        <v>231</v>
      </c>
      <c r="M37" s="68">
        <v>0.18108750057035411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1.0517921321275031E-6</v>
      </c>
      <c r="J38" s="67" t="s">
        <v>231</v>
      </c>
      <c r="K38" s="68">
        <v>5.1463497713861144E-3</v>
      </c>
      <c r="L38" s="67" t="s">
        <v>231</v>
      </c>
      <c r="M38" s="68">
        <v>4.0291295118004167E-2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2.1752786158197565E-4</v>
      </c>
      <c r="J39" s="67" t="s">
        <v>231</v>
      </c>
      <c r="K39" s="68">
        <v>9.5321381901185526E-2</v>
      </c>
      <c r="L39" s="67" t="s">
        <v>231</v>
      </c>
      <c r="M39" s="68">
        <v>0.7134832350799416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6.808835420645639E-10</v>
      </c>
      <c r="J40" s="67" t="s">
        <v>231</v>
      </c>
      <c r="K40" s="68">
        <v>0.55505455780352198</v>
      </c>
      <c r="L40" s="67" t="s">
        <v>231</v>
      </c>
      <c r="M40" s="68">
        <v>4.6769202825410474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2.6796800685760767E-8</v>
      </c>
      <c r="J41" s="67" t="s">
        <v>231</v>
      </c>
      <c r="K41" s="68">
        <v>5.8375186807907832E-4</v>
      </c>
      <c r="L41" s="67" t="s">
        <v>231</v>
      </c>
      <c r="M41" s="68">
        <v>6.580792863612663E-5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1.1327196298089458E-3</v>
      </c>
      <c r="J42" s="67" t="s">
        <v>231</v>
      </c>
      <c r="K42" s="68">
        <v>2.9444539766722868E-2</v>
      </c>
      <c r="L42" s="67" t="s">
        <v>231</v>
      </c>
      <c r="M42" s="68">
        <v>0.21614209993182656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4.6817309216710422E-9</v>
      </c>
      <c r="J43" s="67" t="s">
        <v>231</v>
      </c>
      <c r="K43" s="68">
        <v>1.9334235124481309E-2</v>
      </c>
      <c r="L43" s="67" t="s">
        <v>231</v>
      </c>
      <c r="M43" s="68">
        <v>0.16364720055641821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1.1734120208932141E-6</v>
      </c>
      <c r="J44" s="67" t="s">
        <v>231</v>
      </c>
      <c r="K44" s="68">
        <v>4.8294031452738315E-3</v>
      </c>
      <c r="L44" s="67" t="s">
        <v>231</v>
      </c>
      <c r="M44" s="68">
        <v>3.1992527902142236E-2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9.9843773184853476E-5</v>
      </c>
      <c r="J45" s="67" t="s">
        <v>231</v>
      </c>
      <c r="K45" s="68">
        <v>3.3248479412084295E-2</v>
      </c>
      <c r="L45" s="67" t="s">
        <v>231</v>
      </c>
      <c r="M45" s="68">
        <v>0.24466998470041887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2.2379717489657472E-6</v>
      </c>
      <c r="J46" s="67" t="s">
        <v>231</v>
      </c>
      <c r="K46" s="68">
        <v>3.0790009630737379E-2</v>
      </c>
      <c r="L46" s="67" t="s">
        <v>231</v>
      </c>
      <c r="M46" s="68">
        <v>0.22623955984149199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2.3470813821832698E-3</v>
      </c>
      <c r="J47" s="142" t="s">
        <v>231</v>
      </c>
      <c r="K47" s="143">
        <v>0.44162556803478814</v>
      </c>
      <c r="L47" s="142" t="s">
        <v>231</v>
      </c>
      <c r="M47" s="143">
        <v>3.3226511852629463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1.8937576724188542E-6</v>
      </c>
      <c r="J48" s="142" t="s">
        <v>231</v>
      </c>
      <c r="K48" s="143">
        <v>2.0288276645491817E-3</v>
      </c>
      <c r="L48" s="142" t="s">
        <v>231</v>
      </c>
      <c r="M48" s="143">
        <v>1.0704791173725697E-2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5.3681142493065427E-6</v>
      </c>
      <c r="J49" s="142" t="s">
        <v>231</v>
      </c>
      <c r="K49" s="143">
        <v>3.0828351505887961E-3</v>
      </c>
      <c r="L49" s="142" t="s">
        <v>231</v>
      </c>
      <c r="M49" s="143">
        <v>1.8651605474377782E-2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8.0736446938998686E-6</v>
      </c>
      <c r="J50" s="142" t="s">
        <v>231</v>
      </c>
      <c r="K50" s="143">
        <v>8.8401184620391787E-2</v>
      </c>
      <c r="L50" s="142" t="s">
        <v>231</v>
      </c>
      <c r="M50" s="143">
        <v>0.65965604896260699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4.1544636411057541E-8</v>
      </c>
      <c r="J51" s="142" t="s">
        <v>231</v>
      </c>
      <c r="K51" s="143">
        <v>8.3334507986526955E-4</v>
      </c>
      <c r="L51" s="142" t="s">
        <v>231</v>
      </c>
      <c r="M51" s="143">
        <v>1.911112436302995E-3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1.2073426901037901E-5</v>
      </c>
      <c r="J52" s="142" t="s">
        <v>231</v>
      </c>
      <c r="K52" s="143">
        <v>7.8029036723541636E-3</v>
      </c>
      <c r="L52" s="142" t="s">
        <v>231</v>
      </c>
      <c r="M52" s="143">
        <v>5.4216651279269577E-2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1.8936525525853958E-4</v>
      </c>
      <c r="J53" s="142" t="s">
        <v>231</v>
      </c>
      <c r="K53" s="143">
        <v>4.6485447461909558E-2</v>
      </c>
      <c r="L53" s="142" t="s">
        <v>231</v>
      </c>
      <c r="M53" s="143">
        <v>0.34398669051090058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8.1175404327747051E-4</v>
      </c>
      <c r="J54" s="67" t="s">
        <v>231</v>
      </c>
      <c r="K54" s="68">
        <v>0.41016421188842972</v>
      </c>
      <c r="L54" s="67" t="s">
        <v>231</v>
      </c>
      <c r="M54" s="68">
        <v>3.0844769803291441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2.0514001636827162E-4</v>
      </c>
      <c r="J55" s="67" t="s">
        <v>231</v>
      </c>
      <c r="K55" s="68">
        <v>6.7975914794898881E-2</v>
      </c>
      <c r="L55" s="67" t="s">
        <v>231</v>
      </c>
      <c r="M55" s="68">
        <v>0.50623856562672775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6.1139697810991619E-5</v>
      </c>
      <c r="J56" s="67" t="s">
        <v>231</v>
      </c>
      <c r="K56" s="68">
        <v>4.0425328902014876E-2</v>
      </c>
      <c r="L56" s="67" t="s">
        <v>231</v>
      </c>
      <c r="M56" s="68">
        <v>0.30199940158061805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3.007588429925439E-5</v>
      </c>
      <c r="J57" s="67" t="s">
        <v>231</v>
      </c>
      <c r="K57" s="68">
        <v>2.0641374586646288E-2</v>
      </c>
      <c r="L57" s="67" t="s">
        <v>231</v>
      </c>
      <c r="M57" s="68">
        <v>0.15383878823457461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3.2780618624170027E-7</v>
      </c>
      <c r="J58" s="67" t="s">
        <v>231</v>
      </c>
      <c r="K58" s="68">
        <v>3.0565382141519012E-4</v>
      </c>
      <c r="L58" s="67" t="s">
        <v>231</v>
      </c>
      <c r="M58" s="68">
        <v>1.9234459049360705E-3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7.3250222876872065E-6</v>
      </c>
      <c r="J59" s="67" t="s">
        <v>231</v>
      </c>
      <c r="K59" s="68">
        <v>8.0317845850824097E-3</v>
      </c>
      <c r="L59" s="67" t="s">
        <v>231</v>
      </c>
      <c r="M59" s="68">
        <v>5.985056448237399E-2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1.1532977354087188E-7</v>
      </c>
      <c r="J60" s="67" t="s">
        <v>231</v>
      </c>
      <c r="K60" s="68">
        <v>1.4021871606583028E-4</v>
      </c>
      <c r="L60" s="67" t="s">
        <v>231</v>
      </c>
      <c r="M60" s="68">
        <v>1.0424790609227378E-3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4.1111114474729427E-2</v>
      </c>
      <c r="J61" s="67" t="s">
        <v>232</v>
      </c>
      <c r="K61" s="68">
        <v>5.9406526701156585E-2</v>
      </c>
      <c r="L61" s="67" t="s">
        <v>231</v>
      </c>
      <c r="M61" s="68">
        <v>0.44101168354202896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3.7997289062624079E-5</v>
      </c>
      <c r="J62" s="67" t="s">
        <v>231</v>
      </c>
      <c r="K62" s="68">
        <v>0.22405070384478748</v>
      </c>
      <c r="L62" s="67" t="s">
        <v>231</v>
      </c>
      <c r="M62" s="68">
        <v>1.6807763489688723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2.3874598939140033E-4</v>
      </c>
      <c r="J63" s="67" t="s">
        <v>231</v>
      </c>
      <c r="K63" s="68">
        <v>0.48764747426442645</v>
      </c>
      <c r="L63" s="67" t="s">
        <v>231</v>
      </c>
      <c r="M63" s="68">
        <v>3.6718989165069051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1.680344119249577E-4</v>
      </c>
      <c r="J64" s="67" t="s">
        <v>231</v>
      </c>
      <c r="K64" s="68">
        <v>0.54171099282165402</v>
      </c>
      <c r="L64" s="67" t="s">
        <v>231</v>
      </c>
      <c r="M64" s="68">
        <v>4.0844168470989963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2.5214658672460837E-4</v>
      </c>
      <c r="J65" s="67" t="s">
        <v>231</v>
      </c>
      <c r="K65" s="68">
        <v>0.57821550535967825</v>
      </c>
      <c r="L65" s="67" t="s">
        <v>231</v>
      </c>
      <c r="M65" s="68">
        <v>4.366180959641663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1.004306013922354E-6</v>
      </c>
      <c r="J66" s="67" t="s">
        <v>231</v>
      </c>
      <c r="K66" s="68">
        <v>0.56004022504184059</v>
      </c>
      <c r="L66" s="67" t="s">
        <v>231</v>
      </c>
      <c r="M66" s="68">
        <v>4.2253489185534052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4.0784543390522349E-4</v>
      </c>
      <c r="J67" s="67" t="s">
        <v>231</v>
      </c>
      <c r="K67" s="68">
        <v>6.0566914382879401E-3</v>
      </c>
      <c r="L67" s="67" t="s">
        <v>231</v>
      </c>
      <c r="M67" s="68">
        <v>4.0877784994934732E-2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1.6676696160641851E-4</v>
      </c>
      <c r="J68" s="67" t="s">
        <v>231</v>
      </c>
      <c r="K68" s="68">
        <v>9.9906955317514458E-3</v>
      </c>
      <c r="L68" s="67" t="s">
        <v>231</v>
      </c>
      <c r="M68" s="68">
        <v>7.0376814112636535E-2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1.9948105627718338E-7</v>
      </c>
      <c r="J69" s="67" t="s">
        <v>231</v>
      </c>
      <c r="K69" s="68">
        <v>0.36145467679583743</v>
      </c>
      <c r="L69" s="67" t="s">
        <v>231</v>
      </c>
      <c r="M69" s="68">
        <v>2.7163704530573036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2.3828194996192441E-4</v>
      </c>
      <c r="J70" s="67" t="s">
        <v>231</v>
      </c>
      <c r="K70" s="68">
        <v>9.3610799023691557E-2</v>
      </c>
      <c r="L70" s="67" t="s">
        <v>231</v>
      </c>
      <c r="M70" s="68">
        <v>0.699811138971969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3.1125939135489227E-4</v>
      </c>
      <c r="J71" s="67" t="s">
        <v>231</v>
      </c>
      <c r="K71" s="68">
        <v>9.1286752274568322E-3</v>
      </c>
      <c r="L71" s="67" t="s">
        <v>231</v>
      </c>
      <c r="M71" s="68">
        <v>6.3975189241742059E-2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1.4534283512362726E-6</v>
      </c>
      <c r="J72" s="67" t="s">
        <v>231</v>
      </c>
      <c r="K72" s="68">
        <v>9.2609548455489688E-2</v>
      </c>
      <c r="L72" s="67" t="s">
        <v>231</v>
      </c>
      <c r="M72" s="68">
        <v>0.69216975542851877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5.9419431275989512E-3</v>
      </c>
      <c r="J73" s="67" t="s">
        <v>231</v>
      </c>
      <c r="K73" s="68">
        <v>6.133827850152538E-2</v>
      </c>
      <c r="L73" s="67" t="s">
        <v>231</v>
      </c>
      <c r="M73" s="68">
        <v>0.45559706645445414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5.0040067665300669E-2</v>
      </c>
      <c r="J74" s="67" t="s">
        <v>232</v>
      </c>
      <c r="K74" s="68">
        <v>9.3430041715434162E-2</v>
      </c>
      <c r="L74" s="67" t="s">
        <v>231</v>
      </c>
      <c r="M74" s="68">
        <v>0.69841518039590911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2.2297191935568342E-13</v>
      </c>
      <c r="J75" s="67" t="s">
        <v>231</v>
      </c>
      <c r="K75" s="68">
        <v>6.3485789210897481E-2</v>
      </c>
      <c r="L75" s="67" t="s">
        <v>231</v>
      </c>
      <c r="M75" s="68">
        <v>0.53915476161529929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1.2266755538700167E-13</v>
      </c>
      <c r="J76" s="67" t="s">
        <v>231</v>
      </c>
      <c r="K76" s="68">
        <v>6.3485789236871079E-2</v>
      </c>
      <c r="L76" s="67" t="s">
        <v>231</v>
      </c>
      <c r="M76" s="68">
        <v>0.53915476183588074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2.8992331058946826E-7</v>
      </c>
      <c r="J77" s="67" t="s">
        <v>231</v>
      </c>
      <c r="K77" s="68">
        <v>8.3391746974868591E-2</v>
      </c>
      <c r="L77" s="67" t="s">
        <v>231</v>
      </c>
      <c r="M77" s="68">
        <v>0.62182900343318936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1.0891927296006897E-3</v>
      </c>
      <c r="J78" s="67" t="s">
        <v>231</v>
      </c>
      <c r="K78" s="68">
        <v>2.6777978018739441E-2</v>
      </c>
      <c r="L78" s="67" t="s">
        <v>231</v>
      </c>
      <c r="M78" s="68">
        <v>0.19629236872855038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2.0520140976114144E-5</v>
      </c>
      <c r="J79" s="67" t="s">
        <v>231</v>
      </c>
      <c r="K79" s="68">
        <v>4.7338154987996109E-2</v>
      </c>
      <c r="L79" s="67" t="s">
        <v>231</v>
      </c>
      <c r="M79" s="68">
        <v>0.35041457731729608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1.3027021348778874E-14</v>
      </c>
      <c r="J80" s="67" t="s">
        <v>231</v>
      </c>
      <c r="K80" s="68">
        <v>0.12102405250269771</v>
      </c>
      <c r="L80" s="67" t="s">
        <v>231</v>
      </c>
      <c r="M80" s="68">
        <v>1.0278327579508679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2.2415067491198216E-5</v>
      </c>
      <c r="J81" s="67" t="s">
        <v>231</v>
      </c>
      <c r="K81" s="68">
        <v>8.3967754698372767E-4</v>
      </c>
      <c r="L81" s="67" t="s">
        <v>231</v>
      </c>
      <c r="M81" s="68">
        <v>1.7150501399444281E-3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3.7887659516225396E-5</v>
      </c>
      <c r="J82" s="67" t="s">
        <v>231</v>
      </c>
      <c r="K82" s="68">
        <v>1.2208054661351485E-2</v>
      </c>
      <c r="L82" s="67" t="s">
        <v>231</v>
      </c>
      <c r="M82" s="68">
        <v>8.6951825340128561E-2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3.2463808740297358E-5</v>
      </c>
      <c r="J83" s="67" t="s">
        <v>231</v>
      </c>
      <c r="K83" s="68">
        <v>8.1878724375323952E-2</v>
      </c>
      <c r="L83" s="67" t="s">
        <v>231</v>
      </c>
      <c r="M83" s="68">
        <v>0.61020378016499299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6.2897586106021455E-6</v>
      </c>
      <c r="J84" s="67" t="s">
        <v>231</v>
      </c>
      <c r="K84" s="68">
        <v>1.5530412510727748E-3</v>
      </c>
      <c r="L84" s="67" t="s">
        <v>231</v>
      </c>
      <c r="M84" s="68">
        <v>7.0875375461040037E-3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3.3328173103044547E-8</v>
      </c>
      <c r="J85" s="67" t="s">
        <v>231</v>
      </c>
      <c r="K85" s="68">
        <v>6.5999394325751679E-4</v>
      </c>
      <c r="L85" s="67" t="s">
        <v>231</v>
      </c>
      <c r="M85" s="68">
        <v>3.4833875943980635E-4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2.4660996314858052E-6</v>
      </c>
      <c r="J86" s="67" t="s">
        <v>231</v>
      </c>
      <c r="K86" s="68">
        <v>1.5108216278452366E-3</v>
      </c>
      <c r="L86" s="67" t="s">
        <v>231</v>
      </c>
      <c r="M86" s="68">
        <v>6.7702372558530637E-3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2.6884396941160888E-3</v>
      </c>
      <c r="J87" s="67" t="s">
        <v>231</v>
      </c>
      <c r="K87" s="68">
        <v>0.46068515318137787</v>
      </c>
      <c r="L87" s="67" t="s">
        <v>231</v>
      </c>
      <c r="M87" s="68">
        <v>3.4671461456223582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1.1614400416854723E-4</v>
      </c>
      <c r="J88" s="67" t="s">
        <v>231</v>
      </c>
      <c r="K88" s="68">
        <v>2.1884708055512663E-2</v>
      </c>
      <c r="L88" s="67" t="s">
        <v>231</v>
      </c>
      <c r="M88" s="68">
        <v>0.15946858376480275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3.072395414323422E-5</v>
      </c>
      <c r="J89" s="67" t="s">
        <v>231</v>
      </c>
      <c r="K89" s="68">
        <v>1.3675701846721388E-2</v>
      </c>
      <c r="L89" s="67" t="s">
        <v>231</v>
      </c>
      <c r="M89" s="68">
        <v>9.7948604287655797E-2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1.8872286008053287E-6</v>
      </c>
      <c r="J90" s="67" t="s">
        <v>231</v>
      </c>
      <c r="K90" s="68">
        <v>3.8436368412062528E-3</v>
      </c>
      <c r="L90" s="67" t="s">
        <v>231</v>
      </c>
      <c r="M90" s="68">
        <v>2.4273094750584475E-2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2.2875903618073744E-3</v>
      </c>
      <c r="J91" s="67" t="s">
        <v>231</v>
      </c>
      <c r="K91" s="68">
        <v>0.24437017688569201</v>
      </c>
      <c r="L91" s="67" t="s">
        <v>231</v>
      </c>
      <c r="M91" s="68">
        <v>1.8337063826930864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2.2115945326842537E-2</v>
      </c>
      <c r="J92" s="67" t="s">
        <v>232</v>
      </c>
      <c r="K92" s="68">
        <v>7.4718079055231312E-2</v>
      </c>
      <c r="L92" s="67" t="s">
        <v>231</v>
      </c>
      <c r="M92" s="68">
        <v>0.55619369925838003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6.1927585339512725E-3</v>
      </c>
      <c r="J93" s="67" t="s">
        <v>231</v>
      </c>
      <c r="K93" s="68">
        <v>9.3004465589033303E-2</v>
      </c>
      <c r="L93" s="67" t="s">
        <v>231</v>
      </c>
      <c r="M93" s="68">
        <v>0.69484235783787962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6.4794901183390354E-9</v>
      </c>
      <c r="J94" s="67" t="s">
        <v>231</v>
      </c>
      <c r="K94" s="68">
        <v>1.9495932490614827E-3</v>
      </c>
      <c r="L94" s="67" t="s">
        <v>231</v>
      </c>
      <c r="M94" s="68">
        <v>1.1873621729636451E-2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4.5440747297646722E-5</v>
      </c>
      <c r="J95" s="67" t="s">
        <v>231</v>
      </c>
      <c r="K95" s="68">
        <v>0.12648815976467628</v>
      </c>
      <c r="L95" s="67" t="s">
        <v>231</v>
      </c>
      <c r="M95" s="68">
        <v>0.94741721548773328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9.8904248679230185E-8</v>
      </c>
      <c r="J96" s="67" t="s">
        <v>231</v>
      </c>
      <c r="K96" s="68">
        <v>8.5601661475663939E-4</v>
      </c>
      <c r="L96" s="67" t="s">
        <v>231</v>
      </c>
      <c r="M96" s="68">
        <v>1.8386393871348025E-3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3.5737933427604255E-8</v>
      </c>
      <c r="J97" s="67" t="s">
        <v>231</v>
      </c>
      <c r="K97" s="68">
        <v>1.5748781520908092E-3</v>
      </c>
      <c r="L97" s="67" t="s">
        <v>231</v>
      </c>
      <c r="M97" s="68">
        <v>7.2516352314187403E-3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9.1566628883283523E-6</v>
      </c>
      <c r="J98" s="67" t="s">
        <v>231</v>
      </c>
      <c r="K98" s="68">
        <v>9.3919824351461581E-2</v>
      </c>
      <c r="L98" s="67" t="s">
        <v>231</v>
      </c>
      <c r="M98" s="68">
        <v>0.70244962200910122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4.2213248324314875E-8</v>
      </c>
      <c r="J99" s="67" t="s">
        <v>231</v>
      </c>
      <c r="K99" s="68">
        <v>6.3812701603971594E-4</v>
      </c>
      <c r="L99" s="67" t="s">
        <v>231</v>
      </c>
      <c r="M99" s="68">
        <v>1.7913917219807457E-4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6.0948272087218743E-5</v>
      </c>
      <c r="J100" s="67" t="s">
        <v>231</v>
      </c>
      <c r="K100" s="68">
        <v>4.269732994329313E-2</v>
      </c>
      <c r="L100" s="67" t="s">
        <v>231</v>
      </c>
      <c r="M100" s="68">
        <v>0.31554857117266921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1.3205097449334377E-5</v>
      </c>
      <c r="J101" s="67" t="s">
        <v>231</v>
      </c>
      <c r="K101" s="68">
        <v>6.7393896345272939E-4</v>
      </c>
      <c r="L101" s="67" t="s">
        <v>231</v>
      </c>
      <c r="M101" s="68">
        <v>4.5545455181845713E-4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6.4697003083019377E-11</v>
      </c>
      <c r="J102" s="67" t="s">
        <v>231</v>
      </c>
      <c r="K102" s="68">
        <v>6.203488096167925E-4</v>
      </c>
      <c r="L102" s="67" t="s">
        <v>231</v>
      </c>
      <c r="M102" s="68">
        <v>3.8332356914072649E-5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9.2334675390066787E-9</v>
      </c>
      <c r="J103" s="67" t="s">
        <v>231</v>
      </c>
      <c r="K103" s="68">
        <v>6.3682489517692545E-4</v>
      </c>
      <c r="L103" s="67" t="s">
        <v>231</v>
      </c>
      <c r="M103" s="68">
        <v>1.6898312670666273E-4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4.332191173463625E-7</v>
      </c>
      <c r="J104" s="67" t="s">
        <v>231</v>
      </c>
      <c r="K104" s="68">
        <v>1.1351729637895712E-3</v>
      </c>
      <c r="L104" s="67" t="s">
        <v>231</v>
      </c>
      <c r="M104" s="68">
        <v>3.9444602542292396E-3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5.8220671144414042E-8</v>
      </c>
      <c r="J105" s="67" t="s">
        <v>231</v>
      </c>
      <c r="K105" s="68">
        <v>6.2217206650405307E-4</v>
      </c>
      <c r="L105" s="67" t="s">
        <v>231</v>
      </c>
      <c r="M105" s="68">
        <v>5.317043064503433E-5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5.5243589067775697E-7</v>
      </c>
      <c r="J106" s="67" t="s">
        <v>231</v>
      </c>
      <c r="K106" s="68">
        <v>5.6271837410546257E-3</v>
      </c>
      <c r="L106" s="67" t="s">
        <v>231</v>
      </c>
      <c r="M106" s="68">
        <v>3.7641153795610525E-2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6.4690126226019009E-5</v>
      </c>
      <c r="J107" s="67" t="s">
        <v>231</v>
      </c>
      <c r="K107" s="68">
        <v>9.3638358203549932E-2</v>
      </c>
      <c r="L107" s="67" t="s">
        <v>231</v>
      </c>
      <c r="M107" s="68">
        <v>0.70061845139967072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8.1571937013668041E-5</v>
      </c>
      <c r="J108" s="67" t="s">
        <v>231</v>
      </c>
      <c r="K108" s="68">
        <v>3.5275884064066322E-2</v>
      </c>
      <c r="L108" s="67" t="s">
        <v>231</v>
      </c>
      <c r="M108" s="68">
        <v>0.25987253166019786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0.91327049442111974</v>
      </c>
      <c r="F2" s="14">
        <v>0.86362139901781976</v>
      </c>
      <c r="G2" s="14">
        <v>1.1222041812889122E-6</v>
      </c>
      <c r="H2" s="14">
        <v>11.669262108885176</v>
      </c>
      <c r="I2" s="14">
        <v>31.470277003498524</v>
      </c>
      <c r="J2" s="14">
        <v>0</v>
      </c>
      <c r="K2" s="14">
        <v>1.1579148005564488</v>
      </c>
      <c r="L2" s="14">
        <v>0.86362139901781976</v>
      </c>
      <c r="M2" s="14">
        <v>0.70860135789412115</v>
      </c>
      <c r="N2" s="14">
        <v>8.4647053869366875</v>
      </c>
      <c r="O2" s="14">
        <v>1558.4369087889136</v>
      </c>
      <c r="P2" s="8">
        <v>8.4647053869366875</v>
      </c>
      <c r="Q2" s="54">
        <v>0.13430759289979224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0.82481271369418852</v>
      </c>
      <c r="F3" s="14">
        <v>6.0155378556344351E-4</v>
      </c>
      <c r="G3" s="14">
        <v>3.6475642610795148E-5</v>
      </c>
      <c r="H3" s="14">
        <v>63.150161294577039</v>
      </c>
      <c r="I3" s="14">
        <v>1584.2788881764809</v>
      </c>
      <c r="J3" s="14">
        <v>0</v>
      </c>
      <c r="K3" s="14">
        <v>1662.3617438685933</v>
      </c>
      <c r="L3" s="14">
        <v>6.0155378556344362E-4</v>
      </c>
      <c r="M3" s="14">
        <v>4.9357488105480549E-4</v>
      </c>
      <c r="N3" s="14">
        <v>440.49798093581722</v>
      </c>
      <c r="O3" s="14">
        <v>160742.11822328906</v>
      </c>
      <c r="P3" s="8">
        <v>440.49798093581722</v>
      </c>
      <c r="Q3" s="54">
        <v>5.0679419877750778E-2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0.81187266889747789</v>
      </c>
      <c r="F4" s="14">
        <v>0.4334749538564221</v>
      </c>
      <c r="G4" s="14">
        <v>5.9867689386435348E-14</v>
      </c>
      <c r="H4" s="14">
        <v>87.209542670250286</v>
      </c>
      <c r="I4" s="14">
        <v>192.76189176358167</v>
      </c>
      <c r="J4" s="14">
        <v>0</v>
      </c>
      <c r="K4" s="14">
        <v>2.3069383619594901</v>
      </c>
      <c r="L4" s="14">
        <v>0.4334749538564221</v>
      </c>
      <c r="M4" s="14">
        <v>0.35566619963919432</v>
      </c>
      <c r="N4" s="14">
        <v>49.936381221049047</v>
      </c>
      <c r="O4" s="14">
        <v>15845.812489063284</v>
      </c>
      <c r="P4" s="8">
        <v>49.936381221049054</v>
      </c>
      <c r="Q4" s="54">
        <v>0.27543630257215312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0.90364248460597529</v>
      </c>
      <c r="F5" s="14">
        <v>7.1368190127423462E-3</v>
      </c>
      <c r="G5" s="14">
        <v>1.3708602101852198E-6</v>
      </c>
      <c r="H5" s="14">
        <v>197.49890101800921</v>
      </c>
      <c r="I5" s="14">
        <v>530.66672217554878</v>
      </c>
      <c r="J5" s="14">
        <v>0</v>
      </c>
      <c r="K5" s="14">
        <v>140.11844747843011</v>
      </c>
      <c r="L5" s="14">
        <v>7.1368190127423471E-3</v>
      </c>
      <c r="M5" s="14">
        <v>5.8557599999550956E-3</v>
      </c>
      <c r="N5" s="14">
        <v>143.00104685553748</v>
      </c>
      <c r="O5" s="14">
        <v>50134.73701708288</v>
      </c>
      <c r="P5" s="8">
        <v>143.00104685553748</v>
      </c>
      <c r="Q5" s="54">
        <v>8.0801952296863558E-2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0.81635429105309021</v>
      </c>
      <c r="F6" s="14">
        <v>2.6209112348176062E-4</v>
      </c>
      <c r="G6" s="14">
        <v>1.1578193413437483E-7</v>
      </c>
      <c r="H6" s="14">
        <v>39.238492371205439</v>
      </c>
      <c r="I6" s="14">
        <v>1784.3066055441973</v>
      </c>
      <c r="J6" s="14">
        <v>0</v>
      </c>
      <c r="K6" s="14">
        <v>3815.4668754723843</v>
      </c>
      <c r="L6" s="14">
        <v>2.6209112348176062E-4</v>
      </c>
      <c r="M6" s="14">
        <v>2.150457668167846E-4</v>
      </c>
      <c r="N6" s="14">
        <v>500.28078014087481</v>
      </c>
      <c r="O6" s="14">
        <v>177344.53375213873</v>
      </c>
      <c r="P6" s="8">
        <v>500.28078014087487</v>
      </c>
      <c r="Q6" s="54">
        <v>3.7676407306304428E-2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0.82505462906784488</v>
      </c>
      <c r="F7" s="14">
        <v>5.3573108983521577E-4</v>
      </c>
      <c r="G7" s="14">
        <v>1.7459642140782209E-7</v>
      </c>
      <c r="H7" s="14">
        <v>59.23888155201638</v>
      </c>
      <c r="I7" s="14">
        <v>1621.3023832091465</v>
      </c>
      <c r="J7" s="14">
        <v>0</v>
      </c>
      <c r="K7" s="14">
        <v>1866.6081154774638</v>
      </c>
      <c r="L7" s="14">
        <v>5.3573108983521577E-4</v>
      </c>
      <c r="M7" s="14">
        <v>4.3956735920979453E-4</v>
      </c>
      <c r="N7" s="14">
        <v>451.34389054395621</v>
      </c>
      <c r="O7" s="14">
        <v>159996.89575892704</v>
      </c>
      <c r="P7" s="8">
        <v>451.34389054395626</v>
      </c>
      <c r="Q7" s="54">
        <v>4.8804966733745091E-2</v>
      </c>
    </row>
    <row r="8" spans="1:20">
      <c r="A8" s="2" t="s">
        <v>323</v>
      </c>
      <c r="B8" s="16" t="s">
        <v>324</v>
      </c>
      <c r="D8" s="14">
        <v>1</v>
      </c>
      <c r="E8" s="14">
        <v>0.84130747629547953</v>
      </c>
      <c r="F8" s="14">
        <v>1.233924342231422E-3</v>
      </c>
      <c r="G8" s="14">
        <v>1.7050496093217303E-6</v>
      </c>
      <c r="H8" s="14">
        <v>93.219878350466033</v>
      </c>
      <c r="I8" s="14">
        <v>1347.6145849884842</v>
      </c>
      <c r="J8" s="14">
        <v>0</v>
      </c>
      <c r="K8" s="14">
        <v>810.42245928271871</v>
      </c>
      <c r="L8" s="14">
        <v>1.233924342231422E-3</v>
      </c>
      <c r="M8" s="14">
        <v>1.0124349228008817E-3</v>
      </c>
      <c r="N8" s="14">
        <v>371.80525124417437</v>
      </c>
      <c r="O8" s="14">
        <v>118992.55260818558</v>
      </c>
      <c r="P8" s="8">
        <v>371.80525124417443</v>
      </c>
      <c r="Q8" s="54">
        <v>6.335278373397138E-2</v>
      </c>
    </row>
    <row r="9" spans="1:20">
      <c r="A9" s="2" t="s">
        <v>325</v>
      </c>
      <c r="B9" s="16" t="s">
        <v>326</v>
      </c>
      <c r="D9" s="14">
        <v>1</v>
      </c>
      <c r="E9" s="14">
        <v>0.86549242956589034</v>
      </c>
      <c r="F9" s="14">
        <v>6.6625650491742863E-2</v>
      </c>
      <c r="G9" s="14">
        <v>1.2595921632020758E-6</v>
      </c>
      <c r="H9" s="14">
        <v>189.84600486309415</v>
      </c>
      <c r="I9" s="14">
        <v>345.19033947293104</v>
      </c>
      <c r="J9" s="14">
        <v>0</v>
      </c>
      <c r="K9" s="14">
        <v>15.009234320705556</v>
      </c>
      <c r="L9" s="14">
        <v>6.6625650491742863E-2</v>
      </c>
      <c r="M9" s="14">
        <v>5.4666346228475021E-2</v>
      </c>
      <c r="N9" s="14">
        <v>90.914553302036126</v>
      </c>
      <c r="O9" s="14">
        <v>27669.844297474698</v>
      </c>
      <c r="P9" s="8">
        <v>90.914553302036126</v>
      </c>
      <c r="Q9" s="54">
        <v>0.16852278708165433</v>
      </c>
    </row>
    <row r="10" spans="1:20">
      <c r="A10" s="2" t="s">
        <v>275</v>
      </c>
      <c r="B10" s="16" t="s">
        <v>276</v>
      </c>
      <c r="D10" s="14">
        <v>1</v>
      </c>
      <c r="E10" s="14">
        <v>0.90050501268826488</v>
      </c>
      <c r="F10" s="14">
        <v>6.6203152609745301E-3</v>
      </c>
      <c r="G10" s="14">
        <v>1.7568195628265015E-8</v>
      </c>
      <c r="H10" s="14">
        <v>192.97394315286886</v>
      </c>
      <c r="I10" s="14">
        <v>565.66048546118384</v>
      </c>
      <c r="J10" s="14">
        <v>0</v>
      </c>
      <c r="K10" s="14">
        <v>151.05020842357845</v>
      </c>
      <c r="L10" s="14">
        <v>6.6203152609745301E-3</v>
      </c>
      <c r="M10" s="14">
        <v>5.4319686716296023E-3</v>
      </c>
      <c r="N10" s="14">
        <v>152.61618216709925</v>
      </c>
      <c r="O10" s="14">
        <v>56542.769331088602</v>
      </c>
      <c r="P10" s="8">
        <v>152.61618216709925</v>
      </c>
      <c r="Q10" s="54">
        <v>8.1050526791311001E-2</v>
      </c>
    </row>
    <row r="11" spans="1:20">
      <c r="A11" s="2" t="s">
        <v>327</v>
      </c>
      <c r="B11" s="16" t="s">
        <v>328</v>
      </c>
      <c r="D11" s="14">
        <v>1</v>
      </c>
      <c r="E11" s="14">
        <v>0.89496077098654658</v>
      </c>
      <c r="F11" s="14">
        <v>5.8205170666452621E-3</v>
      </c>
      <c r="G11" s="14">
        <v>9.1077280552463607E-7</v>
      </c>
      <c r="H11" s="14">
        <v>185.00419107122036</v>
      </c>
      <c r="I11" s="14">
        <v>626.9584177859266</v>
      </c>
      <c r="J11" s="14">
        <v>0</v>
      </c>
      <c r="K11" s="14">
        <v>171.80604206635616</v>
      </c>
      <c r="L11" s="14">
        <v>5.820517066645263E-3</v>
      </c>
      <c r="M11" s="14">
        <v>4.7757342531824379E-3</v>
      </c>
      <c r="N11" s="14">
        <v>169.49743531979618</v>
      </c>
      <c r="O11" s="14">
        <v>64563.268087663564</v>
      </c>
      <c r="P11" s="8">
        <v>169.49743531979618</v>
      </c>
      <c r="Q11" s="54">
        <v>8.1178072983570868E-2</v>
      </c>
    </row>
    <row r="12" spans="1:20">
      <c r="A12" s="2" t="s">
        <v>329</v>
      </c>
      <c r="B12" s="16" t="s">
        <v>330</v>
      </c>
      <c r="D12" s="14">
        <v>1</v>
      </c>
      <c r="E12" s="14">
        <v>0.88334850710682244</v>
      </c>
      <c r="F12" s="14">
        <v>4.1769407855677801E-2</v>
      </c>
      <c r="G12" s="14">
        <v>6.4373453126391607E-7</v>
      </c>
      <c r="H12" s="14">
        <v>201.22332386722408</v>
      </c>
      <c r="I12" s="14">
        <v>351.99418530602082</v>
      </c>
      <c r="J12" s="14">
        <v>0</v>
      </c>
      <c r="K12" s="14">
        <v>23.94096663891461</v>
      </c>
      <c r="L12" s="14">
        <v>4.1769407855677801E-2</v>
      </c>
      <c r="M12" s="14">
        <v>3.4271799145583641E-2</v>
      </c>
      <c r="N12" s="14">
        <v>93.085268938900043</v>
      </c>
      <c r="O12" s="14">
        <v>25542.597796834172</v>
      </c>
      <c r="P12" s="8">
        <v>93.085268938900057</v>
      </c>
      <c r="Q12" s="54">
        <v>0.13891063266486564</v>
      </c>
    </row>
    <row r="13" spans="1:20">
      <c r="A13" s="2" t="s">
        <v>277</v>
      </c>
      <c r="B13" s="16" t="s">
        <v>278</v>
      </c>
      <c r="D13" s="14">
        <v>1</v>
      </c>
      <c r="E13" s="14">
        <v>0.86720134201057564</v>
      </c>
      <c r="F13" s="14">
        <v>6.3774744356783014E-2</v>
      </c>
      <c r="G13" s="14">
        <v>1.9559475921899048E-6</v>
      </c>
      <c r="H13" s="14">
        <v>191.04194296456674</v>
      </c>
      <c r="I13" s="14">
        <v>346.08748681753025</v>
      </c>
      <c r="J13" s="14">
        <v>0</v>
      </c>
      <c r="K13" s="14">
        <v>15.680188295316013</v>
      </c>
      <c r="L13" s="14">
        <v>6.3774744356783014E-2</v>
      </c>
      <c r="M13" s="14">
        <v>5.2327177744740459E-2</v>
      </c>
      <c r="N13" s="14">
        <v>91.185873034748795</v>
      </c>
      <c r="O13" s="14">
        <v>37106.26731403033</v>
      </c>
      <c r="P13" s="8">
        <v>91.185873034748809</v>
      </c>
      <c r="Q13" s="54">
        <v>0.16557161965896203</v>
      </c>
    </row>
    <row r="14" spans="1:20">
      <c r="A14" s="2" t="s">
        <v>331</v>
      </c>
      <c r="B14" s="16" t="s">
        <v>332</v>
      </c>
      <c r="D14" s="14">
        <v>1</v>
      </c>
      <c r="E14" s="14">
        <v>0.87742782504572259</v>
      </c>
      <c r="F14" s="14">
        <v>3.7953219321900339E-3</v>
      </c>
      <c r="G14" s="14">
        <v>5.9642674218492523E-7</v>
      </c>
      <c r="H14" s="14">
        <v>157.77152381846383</v>
      </c>
      <c r="I14" s="14">
        <v>838.27360366755192</v>
      </c>
      <c r="J14" s="14">
        <v>0</v>
      </c>
      <c r="K14" s="14">
        <v>263.48225996811942</v>
      </c>
      <c r="L14" s="14">
        <v>3.7953219321900343E-3</v>
      </c>
      <c r="M14" s="14">
        <v>3.1140616453619232E-3</v>
      </c>
      <c r="N14" s="14">
        <v>228.05593100237945</v>
      </c>
      <c r="O14" s="14">
        <v>86868.784678116368</v>
      </c>
      <c r="P14" s="8">
        <v>228.05593100237945</v>
      </c>
      <c r="Q14" s="54">
        <v>7.9284043458500916E-2</v>
      </c>
    </row>
    <row r="15" spans="1:20">
      <c r="A15" s="2" t="s">
        <v>333</v>
      </c>
      <c r="B15" s="16" t="s">
        <v>334</v>
      </c>
      <c r="D15" s="14">
        <v>1</v>
      </c>
      <c r="E15" s="14">
        <v>0.89777857320439114</v>
      </c>
      <c r="F15" s="14">
        <v>6.2110479162398894E-3</v>
      </c>
      <c r="G15" s="14">
        <v>9.9383289493674492E-10</v>
      </c>
      <c r="H15" s="14">
        <v>189.05356865454192</v>
      </c>
      <c r="I15" s="14">
        <v>595.85700653475647</v>
      </c>
      <c r="J15" s="14">
        <v>0</v>
      </c>
      <c r="K15" s="14">
        <v>161.00342703609195</v>
      </c>
      <c r="L15" s="14">
        <v>6.2110479162398894E-3</v>
      </c>
      <c r="M15" s="14">
        <v>5.0961648152748297E-3</v>
      </c>
      <c r="N15" s="14">
        <v>160.92611191495368</v>
      </c>
      <c r="O15" s="14">
        <v>61872.871509061399</v>
      </c>
      <c r="P15" s="8">
        <v>160.92611191495371</v>
      </c>
      <c r="Q15" s="54">
        <v>8.116000226323386E-2</v>
      </c>
    </row>
    <row r="16" spans="1:20">
      <c r="A16" s="2" t="s">
        <v>335</v>
      </c>
      <c r="B16" s="16" t="s">
        <v>336</v>
      </c>
      <c r="D16" s="14">
        <v>1</v>
      </c>
      <c r="E16" s="14">
        <v>0.84203631322870354</v>
      </c>
      <c r="F16" s="14">
        <v>1.2787898072762428E-3</v>
      </c>
      <c r="G16" s="14">
        <v>4.4373905455288128E-6</v>
      </c>
      <c r="H16" s="14">
        <v>94.950917586007208</v>
      </c>
      <c r="I16" s="14">
        <v>1333.3873690026426</v>
      </c>
      <c r="J16" s="14">
        <v>0</v>
      </c>
      <c r="K16" s="14">
        <v>781.98934204046327</v>
      </c>
      <c r="L16" s="14">
        <v>1.2787898072762428E-3</v>
      </c>
      <c r="M16" s="14">
        <v>1.0492470368701572E-3</v>
      </c>
      <c r="N16" s="14">
        <v>367.73019336513784</v>
      </c>
      <c r="O16" s="14">
        <v>137281.03578707326</v>
      </c>
      <c r="P16" s="8">
        <v>367.73019336513784</v>
      </c>
      <c r="Q16" s="54">
        <v>6.3967052090024068E-2</v>
      </c>
    </row>
    <row r="17" spans="1:21">
      <c r="A17" s="2" t="s">
        <v>337</v>
      </c>
      <c r="B17" s="16" t="s">
        <v>338</v>
      </c>
      <c r="D17" s="14">
        <v>1</v>
      </c>
      <c r="E17" s="14">
        <v>0.90263903860180672</v>
      </c>
      <c r="F17" s="14">
        <v>6.9617240410269421E-3</v>
      </c>
      <c r="G17" s="14">
        <v>3.5182386215708593E-7</v>
      </c>
      <c r="H17" s="14">
        <v>196.01838381732892</v>
      </c>
      <c r="I17" s="14">
        <v>542.19308558655553</v>
      </c>
      <c r="J17" s="14">
        <v>0</v>
      </c>
      <c r="K17" s="14">
        <v>143.64257964073039</v>
      </c>
      <c r="L17" s="14">
        <v>6.9617240410269421E-3</v>
      </c>
      <c r="M17" s="14">
        <v>5.7120945756626062E-3</v>
      </c>
      <c r="N17" s="14">
        <v>146.1662463505015</v>
      </c>
      <c r="O17" s="14">
        <v>56905.443029177244</v>
      </c>
      <c r="P17" s="8">
        <v>146.16624635050152</v>
      </c>
      <c r="Q17" s="54">
        <v>8.0901015833090825E-2</v>
      </c>
    </row>
    <row r="18" spans="1:21">
      <c r="A18" s="2" t="s">
        <v>279</v>
      </c>
      <c r="B18" s="16" t="s">
        <v>280</v>
      </c>
      <c r="D18" s="14">
        <v>1</v>
      </c>
      <c r="E18" s="14">
        <v>0.8553161914886086</v>
      </c>
      <c r="F18" s="14">
        <v>8.0694149173604277E-2</v>
      </c>
      <c r="G18" s="14">
        <v>3.8272826311614655E-5</v>
      </c>
      <c r="H18" s="14">
        <v>183.59550615403981</v>
      </c>
      <c r="I18" s="14">
        <v>339.4057671941286</v>
      </c>
      <c r="J18" s="14">
        <v>0</v>
      </c>
      <c r="K18" s="14">
        <v>12.392472195829388</v>
      </c>
      <c r="L18" s="14">
        <v>8.0694149173604277E-2</v>
      </c>
      <c r="M18" s="14">
        <v>6.6209549396942319E-2</v>
      </c>
      <c r="N18" s="14">
        <v>89.237769071527595</v>
      </c>
      <c r="O18" s="14">
        <v>25953.020379072372</v>
      </c>
      <c r="P18" s="8">
        <v>89.237769071527609</v>
      </c>
      <c r="Q18" s="54">
        <v>0.18151779930670323</v>
      </c>
    </row>
    <row r="19" spans="1:21">
      <c r="A19" s="2" t="s">
        <v>339</v>
      </c>
      <c r="B19" s="16" t="s">
        <v>340</v>
      </c>
      <c r="D19" s="14">
        <v>1</v>
      </c>
      <c r="E19" s="14">
        <v>0.89722877994861094</v>
      </c>
      <c r="F19" s="14">
        <v>6.1315038413258301E-3</v>
      </c>
      <c r="G19" s="14">
        <v>3.4815728931800465E-9</v>
      </c>
      <c r="H19" s="14">
        <v>188.25521019751324</v>
      </c>
      <c r="I19" s="14">
        <v>602.01065158665642</v>
      </c>
      <c r="J19" s="14">
        <v>0</v>
      </c>
      <c r="K19" s="14">
        <v>163.09212647965455</v>
      </c>
      <c r="L19" s="14">
        <v>6.1315038413258301E-3</v>
      </c>
      <c r="M19" s="14">
        <v>5.0308989018078435E-3</v>
      </c>
      <c r="N19" s="14">
        <v>162.62099467243382</v>
      </c>
      <c r="O19" s="14">
        <v>56209.946808526744</v>
      </c>
      <c r="P19" s="8">
        <v>162.62099467243382</v>
      </c>
      <c r="Q19" s="54">
        <v>8.1171612873772406E-2</v>
      </c>
    </row>
    <row r="20" spans="1:21">
      <c r="A20" s="2" t="s">
        <v>281</v>
      </c>
      <c r="B20" s="16" t="s">
        <v>282</v>
      </c>
      <c r="D20" s="14">
        <v>1</v>
      </c>
      <c r="E20" s="14">
        <v>0.86730211662416079</v>
      </c>
      <c r="F20" s="14">
        <v>6.3782155409911861E-2</v>
      </c>
      <c r="G20" s="14">
        <v>2.9607905032519007E-7</v>
      </c>
      <c r="H20" s="14">
        <v>191.06414331994921</v>
      </c>
      <c r="I20" s="14">
        <v>346.12770450523567</v>
      </c>
      <c r="J20" s="14">
        <v>0</v>
      </c>
      <c r="K20" s="14">
        <v>15.678366363965777</v>
      </c>
      <c r="L20" s="14">
        <v>6.3782155409911861E-2</v>
      </c>
      <c r="M20" s="14">
        <v>5.2333258513832678E-2</v>
      </c>
      <c r="N20" s="14">
        <v>91.196469444918321</v>
      </c>
      <c r="O20" s="14">
        <v>26561.883690526909</v>
      </c>
      <c r="P20" s="8">
        <v>91.196469444918321</v>
      </c>
      <c r="Q20" s="54">
        <v>0.16559086019190805</v>
      </c>
    </row>
    <row r="21" spans="1:21">
      <c r="A21" s="2" t="s">
        <v>341</v>
      </c>
      <c r="B21" s="16" t="s">
        <v>342</v>
      </c>
      <c r="D21" s="14">
        <v>1</v>
      </c>
      <c r="E21" s="14">
        <v>0.88228831984209588</v>
      </c>
      <c r="F21" s="14">
        <v>4.3158703298598229E-3</v>
      </c>
      <c r="G21" s="14">
        <v>5.0215394107664976E-6</v>
      </c>
      <c r="H21" s="14">
        <v>165.96189605655741</v>
      </c>
      <c r="I21" s="14">
        <v>773.86563004141647</v>
      </c>
      <c r="J21" s="14">
        <v>0</v>
      </c>
      <c r="K21" s="14">
        <v>231.70297612543874</v>
      </c>
      <c r="L21" s="14">
        <v>4.3158703298598229E-3</v>
      </c>
      <c r="M21" s="14">
        <v>3.5411716056499847E-3</v>
      </c>
      <c r="N21" s="14">
        <v>210.1491541239503</v>
      </c>
      <c r="O21" s="14">
        <v>70458.808394678053</v>
      </c>
      <c r="P21" s="8">
        <v>210.14915412395032</v>
      </c>
      <c r="Q21" s="54">
        <v>8.0179908927178231E-2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0.84766785503123054</v>
      </c>
      <c r="F22" s="14">
        <v>0.67018475242712805</v>
      </c>
      <c r="G22" s="14">
        <v>2.5914511734230277E-5</v>
      </c>
      <c r="H22" s="14">
        <v>40.598925803964867</v>
      </c>
      <c r="I22" s="14">
        <v>98.032869195511651</v>
      </c>
      <c r="J22" s="14">
        <v>0</v>
      </c>
      <c r="K22" s="14">
        <v>1.4921258598892611</v>
      </c>
      <c r="L22" s="14">
        <v>0.67018475242712805</v>
      </c>
      <c r="M22" s="14">
        <v>0.54988658936645862</v>
      </c>
      <c r="N22" s="14">
        <v>25.428844008264971</v>
      </c>
      <c r="O22" s="14">
        <v>4175.4161861571083</v>
      </c>
      <c r="P22" s="8">
        <v>25.428844008264971</v>
      </c>
      <c r="Q22" s="54">
        <v>0.22780943850356572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0.89212808576954006</v>
      </c>
      <c r="F23" s="14">
        <v>0.81176342659664436</v>
      </c>
      <c r="G23" s="14">
        <v>1.0578838041809116E-6</v>
      </c>
      <c r="H23" s="14">
        <v>18.544258843317909</v>
      </c>
      <c r="I23" s="14">
        <v>48.113466844237529</v>
      </c>
      <c r="J23" s="14">
        <v>0</v>
      </c>
      <c r="K23" s="14">
        <v>1.2318859993391744</v>
      </c>
      <c r="L23" s="14">
        <v>0.81176342659664447</v>
      </c>
      <c r="M23" s="14">
        <v>0.66605189152254674</v>
      </c>
      <c r="N23" s="14">
        <v>12.680502592385645</v>
      </c>
      <c r="O23" s="14">
        <v>1916.7847718650141</v>
      </c>
      <c r="P23" s="8">
        <v>12.680502592385645</v>
      </c>
      <c r="Q23" s="54">
        <v>0.1659841624553659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0.81920279550638753</v>
      </c>
      <c r="F24" s="14">
        <v>0.20833024464286448</v>
      </c>
      <c r="G24" s="14">
        <v>9.5922571210468052E-7</v>
      </c>
      <c r="H24" s="14">
        <v>142.72246037660193</v>
      </c>
      <c r="I24" s="14">
        <v>288.23684447421715</v>
      </c>
      <c r="J24" s="14">
        <v>0</v>
      </c>
      <c r="K24" s="14">
        <v>4.8000711644834668</v>
      </c>
      <c r="L24" s="14">
        <v>0.20833024464286448</v>
      </c>
      <c r="M24" s="14">
        <v>0.17093496572947031</v>
      </c>
      <c r="N24" s="14">
        <v>75.138452032101526</v>
      </c>
      <c r="O24" s="14">
        <v>13243.152170657893</v>
      </c>
      <c r="P24" s="8">
        <v>75.138452032101526</v>
      </c>
      <c r="Q24" s="54">
        <v>0.25069720646958837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0.89371110462845527</v>
      </c>
      <c r="F25" s="14">
        <v>2.2189225229502122E-2</v>
      </c>
      <c r="G25" s="14">
        <v>1.5689555006712279E-4</v>
      </c>
      <c r="H25" s="14">
        <v>209.98203411014956</v>
      </c>
      <c r="I25" s="14">
        <v>349.49366595115129</v>
      </c>
      <c r="J25" s="14">
        <v>0</v>
      </c>
      <c r="K25" s="14">
        <v>45.066918274840454</v>
      </c>
      <c r="L25" s="14">
        <v>2.2189225229502122E-2</v>
      </c>
      <c r="M25" s="14">
        <v>1.820625930080649E-2</v>
      </c>
      <c r="N25" s="14">
        <v>92.918973533742687</v>
      </c>
      <c r="O25" s="14">
        <v>17868.318610538718</v>
      </c>
      <c r="P25" s="8">
        <v>92.918973533742687</v>
      </c>
      <c r="Q25" s="54">
        <v>0.10491541653767747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0.88576437863239188</v>
      </c>
      <c r="F26" s="14">
        <v>4.6930689381460208E-3</v>
      </c>
      <c r="G26" s="14">
        <v>4.0445054172486673E-6</v>
      </c>
      <c r="H26" s="14">
        <v>171.33138821042192</v>
      </c>
      <c r="I26" s="14">
        <v>732.30854967012033</v>
      </c>
      <c r="J26" s="14">
        <v>0</v>
      </c>
      <c r="K26" s="14">
        <v>213.08018552036145</v>
      </c>
      <c r="L26" s="14">
        <v>4.6930689381460217E-3</v>
      </c>
      <c r="M26" s="14">
        <v>3.8506630637488103E-3</v>
      </c>
      <c r="N26" s="14">
        <v>198.62203903084617</v>
      </c>
      <c r="O26" s="14">
        <v>44167.582819289266</v>
      </c>
      <c r="P26" s="8">
        <v>198.6220390308462</v>
      </c>
      <c r="Q26" s="54">
        <v>8.0629525597647647E-2</v>
      </c>
    </row>
    <row r="27" spans="1:21">
      <c r="A27" s="2" t="s">
        <v>353</v>
      </c>
      <c r="B27" s="16" t="s">
        <v>354</v>
      </c>
      <c r="D27" s="14">
        <v>1</v>
      </c>
      <c r="E27" s="14">
        <v>0.82708977297012876</v>
      </c>
      <c r="F27" s="14">
        <v>6.6377520303446372E-4</v>
      </c>
      <c r="G27" s="14">
        <v>2.5377539470321751E-5</v>
      </c>
      <c r="H27" s="14">
        <v>66.729984539528203</v>
      </c>
      <c r="I27" s="14">
        <v>1556.9626521696568</v>
      </c>
      <c r="J27" s="14">
        <v>0</v>
      </c>
      <c r="K27" s="14">
        <v>1506.5341329842945</v>
      </c>
      <c r="L27" s="14">
        <v>6.6377520303446383E-4</v>
      </c>
      <c r="M27" s="14">
        <v>5.4462755408977753E-4</v>
      </c>
      <c r="N27" s="14">
        <v>432.46188334580893</v>
      </c>
      <c r="O27" s="14">
        <v>102229.66460411577</v>
      </c>
      <c r="P27" s="8">
        <v>432.46188334580893</v>
      </c>
      <c r="Q27" s="54">
        <v>5.2393594554063887E-2</v>
      </c>
    </row>
    <row r="28" spans="1:21">
      <c r="A28" s="2" t="s">
        <v>355</v>
      </c>
      <c r="B28" s="16" t="s">
        <v>356</v>
      </c>
      <c r="D28" s="14">
        <v>1</v>
      </c>
      <c r="E28" s="14">
        <v>0.86224851547718229</v>
      </c>
      <c r="F28" s="14">
        <v>2.5164686239554823E-3</v>
      </c>
      <c r="G28" s="14">
        <v>1.4747554423769684E-6</v>
      </c>
      <c r="H28" s="14">
        <v>132.15741031493619</v>
      </c>
      <c r="I28" s="14">
        <v>1038.8400647432602</v>
      </c>
      <c r="J28" s="14">
        <v>0</v>
      </c>
      <c r="K28" s="14">
        <v>397.38226436861407</v>
      </c>
      <c r="L28" s="14">
        <v>2.5164686239554823E-3</v>
      </c>
      <c r="M28" s="14">
        <v>2.0647625059554732E-3</v>
      </c>
      <c r="N28" s="14">
        <v>284.17570378530888</v>
      </c>
      <c r="O28" s="14">
        <v>73431.001858123811</v>
      </c>
      <c r="P28" s="8">
        <v>284.17570378530894</v>
      </c>
      <c r="Q28" s="54">
        <v>7.4739242288883664E-2</v>
      </c>
    </row>
    <row r="29" spans="1:21">
      <c r="A29" s="2" t="s">
        <v>357</v>
      </c>
      <c r="B29" s="16" t="s">
        <v>358</v>
      </c>
      <c r="D29" s="14">
        <v>1</v>
      </c>
      <c r="E29" s="14">
        <v>0.86038094808841825</v>
      </c>
      <c r="F29" s="14">
        <v>3.879044748626367E-3</v>
      </c>
      <c r="G29" s="14">
        <v>3.0538892086295726E-4</v>
      </c>
      <c r="H29" s="14">
        <v>157.1175830255122</v>
      </c>
      <c r="I29" s="14">
        <v>799.24874023915197</v>
      </c>
      <c r="J29" s="14">
        <v>0</v>
      </c>
      <c r="K29" s="14">
        <v>257.79542768979815</v>
      </c>
      <c r="L29" s="14">
        <v>3.8790447486263674E-3</v>
      </c>
      <c r="M29" s="14">
        <v>3.1827562162479342E-3</v>
      </c>
      <c r="N29" s="14">
        <v>217.30664053260568</v>
      </c>
      <c r="O29" s="14">
        <v>51369.116755502655</v>
      </c>
      <c r="P29" s="8">
        <v>217.30664053260571</v>
      </c>
      <c r="Q29" s="54">
        <v>7.7925923969185018E-2</v>
      </c>
    </row>
    <row r="30" spans="1:21">
      <c r="A30" s="2" t="s">
        <v>359</v>
      </c>
      <c r="B30" s="16" t="s">
        <v>360</v>
      </c>
      <c r="D30" s="14">
        <v>1</v>
      </c>
      <c r="E30" s="14">
        <v>0.86224851547718229</v>
      </c>
      <c r="F30" s="14">
        <v>2.5164686239554823E-3</v>
      </c>
      <c r="G30" s="14">
        <v>1.4747554423769684E-6</v>
      </c>
      <c r="H30" s="14">
        <v>132.15741031493619</v>
      </c>
      <c r="I30" s="14">
        <v>1038.8400647432602</v>
      </c>
      <c r="J30" s="14">
        <v>0</v>
      </c>
      <c r="K30" s="14">
        <v>397.38226436861407</v>
      </c>
      <c r="L30" s="14">
        <v>2.5164686239554823E-3</v>
      </c>
      <c r="M30" s="14">
        <v>2.0647625059554732E-3</v>
      </c>
      <c r="N30" s="14">
        <v>284.17570378530888</v>
      </c>
      <c r="O30" s="14">
        <v>73431.001858123811</v>
      </c>
      <c r="P30" s="8">
        <v>284.17570378530894</v>
      </c>
      <c r="Q30" s="54">
        <v>7.4739242288883664E-2</v>
      </c>
    </row>
    <row r="31" spans="1:21">
      <c r="A31" s="2" t="s">
        <v>283</v>
      </c>
      <c r="B31" s="16" t="s">
        <v>284</v>
      </c>
      <c r="D31" s="14">
        <v>1</v>
      </c>
      <c r="E31" s="14">
        <v>0.98976250007189059</v>
      </c>
      <c r="F31" s="14">
        <v>0.9927800131186334</v>
      </c>
      <c r="G31" s="14">
        <v>2.9523069775293583E-10</v>
      </c>
      <c r="H31" s="14">
        <v>0.17295496160870752</v>
      </c>
      <c r="I31" s="14">
        <v>0.64267320914419335</v>
      </c>
      <c r="J31" s="14">
        <v>0</v>
      </c>
      <c r="K31" s="14">
        <v>1.0072724941940423</v>
      </c>
      <c r="L31" s="14">
        <v>0.9927800131186334</v>
      </c>
      <c r="M31" s="14">
        <v>0.81457600076383874</v>
      </c>
      <c r="N31" s="14">
        <v>0.76584374126609878</v>
      </c>
      <c r="O31" s="14">
        <v>148.71919611646373</v>
      </c>
      <c r="P31" s="8">
        <v>0.76584374126609878</v>
      </c>
      <c r="Q31" s="54">
        <v>1.5987854823608566E-2</v>
      </c>
    </row>
    <row r="32" spans="1:21">
      <c r="A32" s="2" t="s">
        <v>361</v>
      </c>
      <c r="B32" s="16" t="s">
        <v>362</v>
      </c>
      <c r="D32" s="14">
        <v>1</v>
      </c>
      <c r="E32" s="14">
        <v>0.82243494429174113</v>
      </c>
      <c r="F32" s="14">
        <v>0.52913485098194069</v>
      </c>
      <c r="G32" s="14">
        <v>2.8770584498518823E-10</v>
      </c>
      <c r="H32" s="14">
        <v>67.343903704398016</v>
      </c>
      <c r="I32" s="14">
        <v>153.73705741924863</v>
      </c>
      <c r="J32" s="14">
        <v>0</v>
      </c>
      <c r="K32" s="14">
        <v>1.8898774067598316</v>
      </c>
      <c r="L32" s="14">
        <v>0.52913485098194069</v>
      </c>
      <c r="M32" s="14">
        <v>0.43415514523068233</v>
      </c>
      <c r="N32" s="14">
        <v>40.007676379491912</v>
      </c>
      <c r="O32" s="14">
        <v>10245.565844024082</v>
      </c>
      <c r="P32" s="8">
        <v>40.007676379491912</v>
      </c>
      <c r="Q32" s="54">
        <v>0.26362012660385958</v>
      </c>
    </row>
    <row r="33" spans="1:17">
      <c r="A33" s="2" t="s">
        <v>364</v>
      </c>
      <c r="B33" s="16" t="s">
        <v>365</v>
      </c>
      <c r="D33" s="14">
        <v>1</v>
      </c>
      <c r="E33" s="14">
        <v>0.99975729640884203</v>
      </c>
      <c r="F33" s="14">
        <v>0.99945074872439521</v>
      </c>
      <c r="G33" s="14">
        <v>1.3410523522898356E-12</v>
      </c>
      <c r="H33" s="14">
        <v>1.1941569145050182</v>
      </c>
      <c r="I33" s="14">
        <v>3.3810402094962421E-3</v>
      </c>
      <c r="J33" s="14">
        <v>0</v>
      </c>
      <c r="K33" s="14">
        <v>1.0005495531183559</v>
      </c>
      <c r="L33" s="14">
        <v>0.99945074872439532</v>
      </c>
      <c r="M33" s="14">
        <v>0.82004933932836632</v>
      </c>
      <c r="N33" s="14">
        <v>0.68315096064162151</v>
      </c>
      <c r="O33" s="14">
        <v>202.31515699401618</v>
      </c>
      <c r="P33" s="8">
        <v>0.68315096064162151</v>
      </c>
      <c r="Q33" s="54">
        <v>3.8552303806138605E-5</v>
      </c>
    </row>
    <row r="34" spans="1:17">
      <c r="A34" s="2" t="s">
        <v>285</v>
      </c>
      <c r="B34" s="16" t="s">
        <v>286</v>
      </c>
      <c r="D34" s="14">
        <v>1</v>
      </c>
      <c r="E34" s="14">
        <v>0.99811657218653771</v>
      </c>
      <c r="F34" s="14">
        <v>0.54883455832869787</v>
      </c>
      <c r="G34" s="14">
        <v>3.981220246226896E-12</v>
      </c>
      <c r="H34" s="14">
        <v>128.29255360987813</v>
      </c>
      <c r="I34" s="14">
        <v>9.7552313245293704E-2</v>
      </c>
      <c r="J34" s="14">
        <v>0</v>
      </c>
      <c r="K34" s="14">
        <v>1.822042699069796</v>
      </c>
      <c r="L34" s="14">
        <v>0.54883455832869787</v>
      </c>
      <c r="M34" s="14">
        <v>0.45031875510869662</v>
      </c>
      <c r="N34" s="14">
        <v>5.6295178385489306</v>
      </c>
      <c r="O34" s="14">
        <v>1244.3486230328556</v>
      </c>
      <c r="P34" s="8">
        <v>5.6295178385489306</v>
      </c>
      <c r="Q34" s="54">
        <v>1.3117092230567967E-4</v>
      </c>
    </row>
    <row r="35" spans="1:17">
      <c r="A35" s="2" t="s">
        <v>287</v>
      </c>
      <c r="B35" s="16" t="s">
        <v>288</v>
      </c>
      <c r="D35" s="14">
        <v>1</v>
      </c>
      <c r="E35" s="14">
        <v>0.99734036844669816</v>
      </c>
      <c r="F35" s="14">
        <v>0.32475448340520435</v>
      </c>
      <c r="G35" s="14">
        <v>1.1590962213754744E-13</v>
      </c>
      <c r="H35" s="14">
        <v>191.48517474207765</v>
      </c>
      <c r="I35" s="14">
        <v>0.34333975545914264</v>
      </c>
      <c r="J35" s="14">
        <v>0</v>
      </c>
      <c r="K35" s="14">
        <v>3.0792492516639864</v>
      </c>
      <c r="L35" s="14">
        <v>0.32475448340520435</v>
      </c>
      <c r="M35" s="14">
        <v>0.26646105363397021</v>
      </c>
      <c r="N35" s="14">
        <v>7.6915449243548979</v>
      </c>
      <c r="O35" s="14">
        <v>1771.0551342819588</v>
      </c>
      <c r="P35" s="8">
        <v>7.6915449243548988</v>
      </c>
      <c r="Q35" s="54">
        <v>3.1733947103118517E-4</v>
      </c>
    </row>
    <row r="36" spans="1:17">
      <c r="A36" s="2" t="s">
        <v>366</v>
      </c>
      <c r="B36" s="16" t="s">
        <v>305</v>
      </c>
      <c r="D36" s="14">
        <v>1</v>
      </c>
      <c r="E36" s="14">
        <v>0.99684256179931785</v>
      </c>
      <c r="F36" s="14">
        <v>0.10827921986764558</v>
      </c>
      <c r="G36" s="14">
        <v>2.0425212922450413E-10</v>
      </c>
      <c r="H36" s="14">
        <v>252.59521429728107</v>
      </c>
      <c r="I36" s="14">
        <v>0.66962015486966908</v>
      </c>
      <c r="J36" s="14">
        <v>0</v>
      </c>
      <c r="K36" s="14">
        <v>9.2353823865959104</v>
      </c>
      <c r="L36" s="14">
        <v>0.10827921986764558</v>
      </c>
      <c r="M36" s="14">
        <v>8.8843099901403197E-2</v>
      </c>
      <c r="N36" s="14">
        <v>9.1745473105879949</v>
      </c>
      <c r="O36" s="14">
        <v>1892.5256192280915</v>
      </c>
      <c r="P36" s="8">
        <v>9.1745473105879949</v>
      </c>
      <c r="Q36" s="54">
        <v>3.5451002183192553E-4</v>
      </c>
    </row>
    <row r="37" spans="1:17">
      <c r="A37" s="2" t="s">
        <v>289</v>
      </c>
      <c r="B37" s="16" t="s">
        <v>290</v>
      </c>
      <c r="D37" s="14">
        <v>1</v>
      </c>
      <c r="E37" s="14">
        <v>0.96158687268864984</v>
      </c>
      <c r="F37" s="14">
        <v>0.21626649343112975</v>
      </c>
      <c r="G37" s="14">
        <v>4.8216037904735068E-17</v>
      </c>
      <c r="H37" s="14">
        <v>205.07335597572728</v>
      </c>
      <c r="I37" s="14">
        <v>64.824676027666101</v>
      </c>
      <c r="J37" s="14">
        <v>0</v>
      </c>
      <c r="K37" s="14">
        <v>4.6239247889708395</v>
      </c>
      <c r="L37" s="14">
        <v>0.21626649343112975</v>
      </c>
      <c r="M37" s="14">
        <v>0.17744665786024197</v>
      </c>
      <c r="N37" s="14">
        <v>23.509225163193932</v>
      </c>
      <c r="O37" s="14">
        <v>8191.0842313600297</v>
      </c>
      <c r="P37" s="8">
        <v>23.509225163193932</v>
      </c>
      <c r="Q37" s="54">
        <v>4.9424280414599252E-2</v>
      </c>
    </row>
    <row r="38" spans="1:17">
      <c r="A38" s="2" t="s">
        <v>291</v>
      </c>
      <c r="B38" s="16" t="s">
        <v>292</v>
      </c>
      <c r="D38" s="14">
        <v>1</v>
      </c>
      <c r="E38" s="14">
        <v>0.99755931912713691</v>
      </c>
      <c r="F38" s="14">
        <v>0.61528905755128871</v>
      </c>
      <c r="G38" s="14">
        <v>1.3416415089542295E-14</v>
      </c>
      <c r="H38" s="14">
        <v>109.23937118881186</v>
      </c>
      <c r="I38" s="14">
        <v>0.84500222918543444</v>
      </c>
      <c r="J38" s="14">
        <v>0</v>
      </c>
      <c r="K38" s="14">
        <v>1.6252523715922624</v>
      </c>
      <c r="L38" s="14">
        <v>0.61528905755128871</v>
      </c>
      <c r="M38" s="14">
        <v>0.50484467172083247</v>
      </c>
      <c r="N38" s="14">
        <v>5.1463497713861148</v>
      </c>
      <c r="O38" s="14">
        <v>1586.7740250114805</v>
      </c>
      <c r="P38" s="8">
        <v>5.1463497713861148</v>
      </c>
      <c r="Q38" s="54">
        <v>1.270158312128247E-3</v>
      </c>
    </row>
    <row r="39" spans="1:17">
      <c r="A39" s="2" t="s">
        <v>367</v>
      </c>
      <c r="B39" s="16" t="s">
        <v>368</v>
      </c>
      <c r="D39" s="14">
        <v>1</v>
      </c>
      <c r="E39" s="14">
        <v>0.92115497197053609</v>
      </c>
      <c r="F39" s="14">
        <v>1.0777642477746424E-2</v>
      </c>
      <c r="G39" s="14">
        <v>1.6746045254663593E-7</v>
      </c>
      <c r="H39" s="14">
        <v>220.2844153471232</v>
      </c>
      <c r="I39" s="14">
        <v>356.23857393922742</v>
      </c>
      <c r="J39" s="14">
        <v>0</v>
      </c>
      <c r="K39" s="14">
        <v>92.784669937306845</v>
      </c>
      <c r="L39" s="14">
        <v>1.0777642477746424E-2</v>
      </c>
      <c r="M39" s="14">
        <v>8.8430556529909415E-3</v>
      </c>
      <c r="N39" s="14">
        <v>95.321381901185532</v>
      </c>
      <c r="O39" s="14">
        <v>26531.753438375978</v>
      </c>
      <c r="P39" s="8">
        <v>95.321381901185532</v>
      </c>
      <c r="Q39" s="54">
        <v>7.7328741743050169E-2</v>
      </c>
    </row>
    <row r="40" spans="1:17">
      <c r="A40" s="2" t="s">
        <v>369</v>
      </c>
      <c r="B40" s="16" t="s">
        <v>370</v>
      </c>
      <c r="D40" s="14">
        <v>1</v>
      </c>
      <c r="E40" s="14">
        <v>0.82136705281504252</v>
      </c>
      <c r="F40" s="14">
        <v>8.41924368741311E-4</v>
      </c>
      <c r="G40" s="14">
        <v>8.5468521540026369E-15</v>
      </c>
      <c r="H40" s="14">
        <v>217.47687305484033</v>
      </c>
      <c r="I40" s="14">
        <v>145.67836960028959</v>
      </c>
      <c r="J40" s="14">
        <v>0</v>
      </c>
      <c r="K40" s="14">
        <v>1187.755144200202</v>
      </c>
      <c r="L40" s="14">
        <v>8.41924368741311E-4</v>
      </c>
      <c r="M40" s="14">
        <v>6.9079894455224573E-4</v>
      </c>
      <c r="N40" s="14">
        <v>555.0545578035219</v>
      </c>
      <c r="O40" s="14">
        <v>225851.69957025305</v>
      </c>
      <c r="P40" s="8">
        <v>555.05455780352202</v>
      </c>
      <c r="Q40" s="54">
        <v>1.6247818995713977E-3</v>
      </c>
    </row>
    <row r="41" spans="1:17">
      <c r="A41" s="2" t="s">
        <v>371</v>
      </c>
      <c r="B41" s="16" t="s">
        <v>372</v>
      </c>
      <c r="D41" s="14">
        <v>1</v>
      </c>
      <c r="E41" s="14">
        <v>0.93287146685723776</v>
      </c>
      <c r="F41" s="14">
        <v>0.93647938422869959</v>
      </c>
      <c r="G41" s="14">
        <v>9.2812550840039884E-4</v>
      </c>
      <c r="H41" s="14">
        <v>8.1166762052101264E-3</v>
      </c>
      <c r="I41" s="14">
        <v>3.7621438039428703E-2</v>
      </c>
      <c r="J41" s="14">
        <v>0</v>
      </c>
      <c r="K41" s="14">
        <v>1.0678291661739219</v>
      </c>
      <c r="L41" s="14">
        <v>0.93647938422869959</v>
      </c>
      <c r="M41" s="14">
        <v>0.76838133475964798</v>
      </c>
      <c r="N41" s="14">
        <v>0.58375186807907831</v>
      </c>
      <c r="O41" s="14">
        <v>81.836174386005979</v>
      </c>
      <c r="P41" s="8">
        <v>0.58375186807907831</v>
      </c>
      <c r="Q41" s="54">
        <v>3.1567151311181394E-3</v>
      </c>
    </row>
    <row r="42" spans="1:17">
      <c r="A42" s="2" t="s">
        <v>293</v>
      </c>
      <c r="B42" s="16" t="s">
        <v>294</v>
      </c>
      <c r="D42" s="14">
        <v>1</v>
      </c>
      <c r="E42" s="14">
        <v>0.83989046448093907</v>
      </c>
      <c r="F42" s="14">
        <v>0.63078210856022943</v>
      </c>
      <c r="G42" s="14">
        <v>2.3322110796933852E-10</v>
      </c>
      <c r="H42" s="14">
        <v>47.856327367609708</v>
      </c>
      <c r="I42" s="14">
        <v>113.65709126979678</v>
      </c>
      <c r="J42" s="14">
        <v>0</v>
      </c>
      <c r="K42" s="14">
        <v>1.5853334874740128</v>
      </c>
      <c r="L42" s="14">
        <v>0.63078210856022954</v>
      </c>
      <c r="M42" s="14">
        <v>0.51755672007366826</v>
      </c>
      <c r="N42" s="14">
        <v>29.444539766722869</v>
      </c>
      <c r="O42" s="14">
        <v>9727.2981573345678</v>
      </c>
      <c r="P42" s="8">
        <v>29.444539766722869</v>
      </c>
      <c r="Q42" s="54">
        <v>0.2410996263491712</v>
      </c>
    </row>
    <row r="43" spans="1:17">
      <c r="A43" s="2" t="s">
        <v>373</v>
      </c>
      <c r="B43" s="16" t="s">
        <v>374</v>
      </c>
      <c r="D43" s="14">
        <v>1</v>
      </c>
      <c r="E43" s="14">
        <v>0.99363606930378512</v>
      </c>
      <c r="F43" s="14">
        <v>8.7992900316244613E-3</v>
      </c>
      <c r="G43" s="14">
        <v>4.7646439477295491E-10</v>
      </c>
      <c r="H43" s="14">
        <v>279.68400670629813</v>
      </c>
      <c r="I43" s="14">
        <v>2.1865084973168059</v>
      </c>
      <c r="J43" s="14">
        <v>0</v>
      </c>
      <c r="K43" s="14">
        <v>113.64553235613569</v>
      </c>
      <c r="L43" s="14">
        <v>8.7992900316244613E-3</v>
      </c>
      <c r="M43" s="14">
        <v>7.2198174709478709E-3</v>
      </c>
      <c r="N43" s="14">
        <v>19.334235124481307</v>
      </c>
      <c r="O43" s="14">
        <v>5149.4801830543511</v>
      </c>
      <c r="P43" s="8">
        <v>19.33423512448131</v>
      </c>
      <c r="Q43" s="54">
        <v>2.8310736619695129E-4</v>
      </c>
    </row>
    <row r="44" spans="1:17">
      <c r="A44" s="2" t="s">
        <v>375</v>
      </c>
      <c r="B44" s="16" t="s">
        <v>376</v>
      </c>
      <c r="D44" s="14">
        <v>1</v>
      </c>
      <c r="E44" s="14">
        <v>0.86650762172322515</v>
      </c>
      <c r="F44" s="14">
        <v>0.84183806159097285</v>
      </c>
      <c r="G44" s="14">
        <v>1.0410630800851918E-3</v>
      </c>
      <c r="H44" s="14">
        <v>6.0876343285941132</v>
      </c>
      <c r="I44" s="14">
        <v>17.191181604824077</v>
      </c>
      <c r="J44" s="14">
        <v>0</v>
      </c>
      <c r="K44" s="14">
        <v>1.1878769155556119</v>
      </c>
      <c r="L44" s="14">
        <v>0.84183806159097285</v>
      </c>
      <c r="M44" s="14">
        <v>0.6907281295353932</v>
      </c>
      <c r="N44" s="14">
        <v>4.8294031452738313</v>
      </c>
      <c r="O44" s="14">
        <v>721.51282990391041</v>
      </c>
      <c r="P44" s="8">
        <v>4.8294031452738313</v>
      </c>
      <c r="Q44" s="54">
        <v>9.4516085862917862E-2</v>
      </c>
    </row>
    <row r="45" spans="1:17">
      <c r="A45" s="2" t="s">
        <v>377</v>
      </c>
      <c r="B45" s="16" t="s">
        <v>378</v>
      </c>
      <c r="D45" s="14">
        <v>1</v>
      </c>
      <c r="E45" s="14">
        <v>0.8317288568560931</v>
      </c>
      <c r="F45" s="14">
        <v>0.59216221850740758</v>
      </c>
      <c r="G45" s="14">
        <v>8.9291307517039319E-6</v>
      </c>
      <c r="H45" s="14">
        <v>54.875778546409066</v>
      </c>
      <c r="I45" s="14">
        <v>128.42153764112931</v>
      </c>
      <c r="J45" s="14">
        <v>0</v>
      </c>
      <c r="K45" s="14">
        <v>1.6887264481691864</v>
      </c>
      <c r="L45" s="14">
        <v>0.59216221850740758</v>
      </c>
      <c r="M45" s="14">
        <v>0.48586910028532793</v>
      </c>
      <c r="N45" s="14">
        <v>33.248479412084293</v>
      </c>
      <c r="O45" s="14">
        <v>7389.1420645416138</v>
      </c>
      <c r="P45" s="8">
        <v>33.248479412084293</v>
      </c>
      <c r="Q45" s="54">
        <v>0.2512105449270729</v>
      </c>
    </row>
    <row r="46" spans="1:17">
      <c r="A46" s="2" t="s">
        <v>379</v>
      </c>
      <c r="B46" s="16" t="s">
        <v>380</v>
      </c>
      <c r="D46" s="14">
        <v>1</v>
      </c>
      <c r="E46" s="14">
        <v>0.83537542841042378</v>
      </c>
      <c r="F46" s="14">
        <v>0.61550069432417709</v>
      </c>
      <c r="G46" s="14">
        <v>2.674835231535686E-5</v>
      </c>
      <c r="H46" s="14">
        <v>50.334823162873022</v>
      </c>
      <c r="I46" s="14">
        <v>118.88463204407249</v>
      </c>
      <c r="J46" s="14">
        <v>0</v>
      </c>
      <c r="K46" s="14">
        <v>1.6246935368578339</v>
      </c>
      <c r="L46" s="14">
        <v>0.6155006943241772</v>
      </c>
      <c r="M46" s="14">
        <v>0.50501831969298738</v>
      </c>
      <c r="N46" s="14">
        <v>30.790009630737377</v>
      </c>
      <c r="O46" s="14">
        <v>3958.3636381275974</v>
      </c>
      <c r="P46" s="8">
        <v>30.79000963073738</v>
      </c>
      <c r="Q46" s="54">
        <v>0.24463901415306433</v>
      </c>
    </row>
    <row r="47" spans="1:17">
      <c r="A47" s="2" t="s">
        <v>381</v>
      </c>
      <c r="B47" s="16" t="s">
        <v>382</v>
      </c>
      <c r="D47" s="14">
        <v>1</v>
      </c>
      <c r="E47" s="14">
        <v>0.82692406996658951</v>
      </c>
      <c r="F47" s="14">
        <v>6.0309364344541942E-4</v>
      </c>
      <c r="G47" s="14">
        <v>4.2964843949878236E-10</v>
      </c>
      <c r="H47" s="14">
        <v>63.311813130125586</v>
      </c>
      <c r="I47" s="14">
        <v>1588.3343265957096</v>
      </c>
      <c r="J47" s="14">
        <v>0</v>
      </c>
      <c r="K47" s="14">
        <v>1658.1172938369743</v>
      </c>
      <c r="L47" s="14">
        <v>6.0309364344541942E-4</v>
      </c>
      <c r="M47" s="14">
        <v>4.948383344469667E-4</v>
      </c>
      <c r="N47" s="14">
        <v>441.62556803478816</v>
      </c>
      <c r="O47" s="14">
        <v>172803.66851633228</v>
      </c>
      <c r="P47" s="8">
        <v>441.62556803478816</v>
      </c>
      <c r="Q47" s="54">
        <v>5.080914909902004E-2</v>
      </c>
    </row>
    <row r="48" spans="1:17">
      <c r="A48" s="2" t="s">
        <v>383</v>
      </c>
      <c r="B48" s="16" t="s">
        <v>384</v>
      </c>
      <c r="D48" s="14">
        <v>1</v>
      </c>
      <c r="E48" s="14">
        <v>0.95587222007490913</v>
      </c>
      <c r="F48" s="14">
        <v>0.95077597615998333</v>
      </c>
      <c r="G48" s="14">
        <v>1.3715343447535605E-4</v>
      </c>
      <c r="H48" s="14">
        <v>1.8731743387762367</v>
      </c>
      <c r="I48" s="14">
        <v>5.8215062811514873</v>
      </c>
      <c r="J48" s="14">
        <v>0</v>
      </c>
      <c r="K48" s="14">
        <v>1.051772473299992</v>
      </c>
      <c r="L48" s="14">
        <v>0.95077597615998333</v>
      </c>
      <c r="M48" s="14">
        <v>0.78011168843926637</v>
      </c>
      <c r="N48" s="14">
        <v>2.0288276645491816</v>
      </c>
      <c r="O48" s="14">
        <v>188.9447203994653</v>
      </c>
      <c r="P48" s="8">
        <v>2.0288276645491821</v>
      </c>
      <c r="Q48" s="54">
        <v>5.4204503454655946E-2</v>
      </c>
    </row>
    <row r="49" spans="1:17">
      <c r="A49" s="2" t="s">
        <v>385</v>
      </c>
      <c r="B49" s="16" t="s">
        <v>386</v>
      </c>
      <c r="D49" s="14">
        <v>1</v>
      </c>
      <c r="E49" s="14">
        <v>0.93522011920291237</v>
      </c>
      <c r="F49" s="14">
        <v>0.92303085860014944</v>
      </c>
      <c r="G49" s="14">
        <v>2.6052218275862546E-4</v>
      </c>
      <c r="H49" s="14">
        <v>3.397944026168576</v>
      </c>
      <c r="I49" s="14">
        <v>10.084941684889944</v>
      </c>
      <c r="J49" s="14">
        <v>0</v>
      </c>
      <c r="K49" s="14">
        <v>1.0833873978130921</v>
      </c>
      <c r="L49" s="14">
        <v>0.92303085860014944</v>
      </c>
      <c r="M49" s="14">
        <v>0.75734681948142268</v>
      </c>
      <c r="N49" s="14">
        <v>3.0828351505887959</v>
      </c>
      <c r="O49" s="14">
        <v>342.56464193342703</v>
      </c>
      <c r="P49" s="8">
        <v>3.0828351505887963</v>
      </c>
      <c r="Q49" s="54">
        <v>7.2890913209272448E-2</v>
      </c>
    </row>
    <row r="50" spans="1:17">
      <c r="A50" s="2" t="s">
        <v>387</v>
      </c>
      <c r="B50" s="16" t="s">
        <v>388</v>
      </c>
      <c r="D50" s="14">
        <v>1</v>
      </c>
      <c r="E50" s="14">
        <v>0.84998302001346582</v>
      </c>
      <c r="F50" s="14">
        <v>8.5738829294302335E-2</v>
      </c>
      <c r="G50" s="14">
        <v>8.2993873958625531E-5</v>
      </c>
      <c r="H50" s="14">
        <v>180.97456825415779</v>
      </c>
      <c r="I50" s="14">
        <v>336.41451059435667</v>
      </c>
      <c r="J50" s="14">
        <v>0</v>
      </c>
      <c r="K50" s="14">
        <v>11.663326969014884</v>
      </c>
      <c r="L50" s="14">
        <v>8.5738829294302349E-2</v>
      </c>
      <c r="M50" s="14">
        <v>7.0348709435975071E-2</v>
      </c>
      <c r="N50" s="14">
        <v>88.401184620391788</v>
      </c>
      <c r="O50" s="14">
        <v>17454.813903296359</v>
      </c>
      <c r="P50" s="8">
        <v>88.401184620391803</v>
      </c>
      <c r="Q50" s="54">
        <v>0.18547044756944778</v>
      </c>
    </row>
    <row r="51" spans="1:17">
      <c r="A51" s="2" t="s">
        <v>295</v>
      </c>
      <c r="B51" s="16" t="s">
        <v>296</v>
      </c>
      <c r="D51" s="14">
        <v>1</v>
      </c>
      <c r="E51" s="14">
        <v>0.93420754980080067</v>
      </c>
      <c r="F51" s="14">
        <v>0.93641042195708735</v>
      </c>
      <c r="G51" s="14">
        <v>7.5199460748754461E-4</v>
      </c>
      <c r="H51" s="14">
        <v>0.29729406453220836</v>
      </c>
      <c r="I51" s="14">
        <v>1.0569231474226881</v>
      </c>
      <c r="J51" s="14">
        <v>0</v>
      </c>
      <c r="K51" s="14">
        <v>1.0679078068247159</v>
      </c>
      <c r="L51" s="14">
        <v>0.93641042195708735</v>
      </c>
      <c r="M51" s="14">
        <v>0.76832475121579025</v>
      </c>
      <c r="N51" s="14">
        <v>0.83334507986526951</v>
      </c>
      <c r="O51" s="14">
        <v>48.400682238574852</v>
      </c>
      <c r="P51" s="8">
        <v>0.83334507986526962</v>
      </c>
      <c r="Q51" s="54">
        <v>2.0617851599223035E-2</v>
      </c>
    </row>
    <row r="52" spans="1:17">
      <c r="A52" s="2" t="s">
        <v>389</v>
      </c>
      <c r="B52" s="16" t="s">
        <v>390</v>
      </c>
      <c r="D52" s="14">
        <v>1</v>
      </c>
      <c r="E52" s="14">
        <v>0.85928237496528326</v>
      </c>
      <c r="F52" s="14">
        <v>0.81371568912387482</v>
      </c>
      <c r="G52" s="14">
        <v>8.5933238164140129E-4</v>
      </c>
      <c r="H52" s="14">
        <v>10.723404530134795</v>
      </c>
      <c r="I52" s="14">
        <v>28.972759434375455</v>
      </c>
      <c r="J52" s="14">
        <v>0</v>
      </c>
      <c r="K52" s="14">
        <v>1.2289304647384847</v>
      </c>
      <c r="L52" s="14">
        <v>0.81371568912387493</v>
      </c>
      <c r="M52" s="14">
        <v>0.66765372292613934</v>
      </c>
      <c r="N52" s="14">
        <v>7.8029036723541632</v>
      </c>
      <c r="O52" s="14">
        <v>836.08112849274858</v>
      </c>
      <c r="P52" s="8">
        <v>7.8029036723541632</v>
      </c>
      <c r="Q52" s="54">
        <v>0.12490788663146421</v>
      </c>
    </row>
    <row r="53" spans="1:17">
      <c r="A53" s="2" t="s">
        <v>391</v>
      </c>
      <c r="B53" s="16" t="s">
        <v>392</v>
      </c>
      <c r="D53" s="14">
        <v>1</v>
      </c>
      <c r="E53" s="14">
        <v>0.81289230238244325</v>
      </c>
      <c r="F53" s="14">
        <v>0.4638757176360836</v>
      </c>
      <c r="G53" s="14">
        <v>2.6685179404785986E-5</v>
      </c>
      <c r="H53" s="14">
        <v>80.323317851733464</v>
      </c>
      <c r="I53" s="14">
        <v>179.51420082750798</v>
      </c>
      <c r="J53" s="14">
        <v>0</v>
      </c>
      <c r="K53" s="14">
        <v>2.1557498312177503</v>
      </c>
      <c r="L53" s="14">
        <v>0.4638757176360836</v>
      </c>
      <c r="M53" s="14">
        <v>0.38061002632040664</v>
      </c>
      <c r="N53" s="14">
        <v>46.485447461909558</v>
      </c>
      <c r="O53" s="14">
        <v>7531.572197778587</v>
      </c>
      <c r="P53" s="8">
        <v>46.485447461909558</v>
      </c>
      <c r="Q53" s="54">
        <v>0.27258302699425707</v>
      </c>
    </row>
    <row r="54" spans="1:17">
      <c r="A54" s="2" t="s">
        <v>393</v>
      </c>
      <c r="B54" s="16" t="s">
        <v>394</v>
      </c>
      <c r="D54" s="14">
        <v>1</v>
      </c>
      <c r="E54" s="14">
        <v>0.83308319875771641</v>
      </c>
      <c r="F54" s="14">
        <v>8.5302455609408796E-4</v>
      </c>
      <c r="G54" s="14">
        <v>2.0072895382190798E-6</v>
      </c>
      <c r="H54" s="14">
        <v>76.626948913713818</v>
      </c>
      <c r="I54" s="14">
        <v>1480.6032699330026</v>
      </c>
      <c r="J54" s="14">
        <v>0</v>
      </c>
      <c r="K54" s="14">
        <v>1172.2991945025562</v>
      </c>
      <c r="L54" s="14">
        <v>8.5302455609408796E-4</v>
      </c>
      <c r="M54" s="14">
        <v>6.9990664827519918E-4</v>
      </c>
      <c r="N54" s="14">
        <v>410.16421188842975</v>
      </c>
      <c r="O54" s="14">
        <v>95728.225412640604</v>
      </c>
      <c r="P54" s="8">
        <v>410.16421188842975</v>
      </c>
      <c r="Q54" s="54">
        <v>5.6837989072496813E-2</v>
      </c>
    </row>
    <row r="55" spans="1:17">
      <c r="A55" s="2" t="s">
        <v>395</v>
      </c>
      <c r="B55" s="16" t="s">
        <v>396</v>
      </c>
      <c r="D55" s="14">
        <v>1</v>
      </c>
      <c r="E55" s="14">
        <v>0.72108699516809549</v>
      </c>
      <c r="F55" s="14">
        <v>0.16385331300622458</v>
      </c>
      <c r="G55" s="14">
        <v>1.7700425832702412E-3</v>
      </c>
      <c r="H55" s="14">
        <v>130.42331271147754</v>
      </c>
      <c r="I55" s="14">
        <v>260.5028012453464</v>
      </c>
      <c r="J55" s="14">
        <v>0</v>
      </c>
      <c r="K55" s="14">
        <v>6.103019717166239</v>
      </c>
      <c r="L55" s="14">
        <v>0.16385331300622458</v>
      </c>
      <c r="M55" s="14">
        <v>0.13444164332160727</v>
      </c>
      <c r="N55" s="14">
        <v>67.97591479489887</v>
      </c>
      <c r="O55" s="14">
        <v>8712.4729992621888</v>
      </c>
      <c r="P55" s="8">
        <v>67.975914794898884</v>
      </c>
      <c r="Q55" s="54">
        <v>0.21321237002979188</v>
      </c>
    </row>
    <row r="56" spans="1:17">
      <c r="A56" s="2" t="s">
        <v>397</v>
      </c>
      <c r="B56" s="16" t="s">
        <v>398</v>
      </c>
      <c r="D56" s="14">
        <v>1</v>
      </c>
      <c r="E56" s="14">
        <v>0.38345414430497288</v>
      </c>
      <c r="F56" s="14">
        <v>1.9456561107801501E-2</v>
      </c>
      <c r="G56" s="14">
        <v>8.067418191306722E-3</v>
      </c>
      <c r="H56" s="14">
        <v>86.95730717371768</v>
      </c>
      <c r="I56" s="14">
        <v>152.95485024996239</v>
      </c>
      <c r="J56" s="14">
        <v>0</v>
      </c>
      <c r="K56" s="14">
        <v>51.396544048014206</v>
      </c>
      <c r="L56" s="14">
        <v>1.9456561107801501E-2</v>
      </c>
      <c r="M56" s="14">
        <v>1.5964108388951133E-2</v>
      </c>
      <c r="N56" s="14">
        <v>40.425328902014876</v>
      </c>
      <c r="O56" s="14">
        <v>7335.1759292705992</v>
      </c>
      <c r="P56" s="8">
        <v>40.425328902014876</v>
      </c>
      <c r="Q56" s="54">
        <v>6.2224763287858642E-2</v>
      </c>
    </row>
    <row r="57" spans="1:17">
      <c r="A57" s="2" t="s">
        <v>399</v>
      </c>
      <c r="B57" s="16" t="s">
        <v>400</v>
      </c>
      <c r="D57" s="14">
        <v>1</v>
      </c>
      <c r="E57" s="14">
        <v>0.20898471554091985</v>
      </c>
      <c r="F57" s="14">
        <v>3.6735491122552692E-2</v>
      </c>
      <c r="G57" s="14">
        <v>1.0700260186015961E-2</v>
      </c>
      <c r="H57" s="14">
        <v>40.473042250075288</v>
      </c>
      <c r="I57" s="14">
        <v>78.926532116564275</v>
      </c>
      <c r="J57" s="14">
        <v>0</v>
      </c>
      <c r="K57" s="14">
        <v>27.221631437127538</v>
      </c>
      <c r="L57" s="14">
        <v>3.6735491122552692E-2</v>
      </c>
      <c r="M57" s="14">
        <v>3.0141470466054483E-2</v>
      </c>
      <c r="N57" s="14">
        <v>20.64137458664629</v>
      </c>
      <c r="O57" s="14">
        <v>3034.2820642370043</v>
      </c>
      <c r="P57" s="8">
        <v>20.64137458664629</v>
      </c>
      <c r="Q57" s="54">
        <v>5.6626930512377542E-2</v>
      </c>
    </row>
    <row r="58" spans="1:17">
      <c r="A58" s="2" t="s">
        <v>297</v>
      </c>
      <c r="B58" s="16" t="s">
        <v>298</v>
      </c>
      <c r="D58" s="14">
        <v>1</v>
      </c>
      <c r="E58" s="14">
        <v>7.6685628339379044E-2</v>
      </c>
      <c r="F58" s="14">
        <v>7.5332083081172341E-2</v>
      </c>
      <c r="G58" s="14">
        <v>1.3128299153369783E-2</v>
      </c>
      <c r="H58" s="14">
        <v>0.35610656214622999</v>
      </c>
      <c r="I58" s="14">
        <v>1.0376171648290604</v>
      </c>
      <c r="J58" s="14">
        <v>0</v>
      </c>
      <c r="K58" s="14">
        <v>13.274556591279614</v>
      </c>
      <c r="L58" s="14">
        <v>7.5332083081172355E-2</v>
      </c>
      <c r="M58" s="14">
        <v>6.1809974168101911E-2</v>
      </c>
      <c r="N58" s="14">
        <v>0.3056538214151901</v>
      </c>
      <c r="O58" s="14">
        <v>25.959179052792098</v>
      </c>
      <c r="P58" s="8">
        <v>0.30565382141519015</v>
      </c>
      <c r="Q58" s="54">
        <v>6.7769947230130754E-3</v>
      </c>
    </row>
    <row r="59" spans="1:17">
      <c r="A59" s="2" t="s">
        <v>401</v>
      </c>
      <c r="B59" s="16" t="s">
        <v>402</v>
      </c>
      <c r="D59" s="14">
        <v>1</v>
      </c>
      <c r="E59" s="14">
        <v>8.2080789908120566E-2</v>
      </c>
      <c r="F59" s="14">
        <v>1.5330921179604166E-2</v>
      </c>
      <c r="G59" s="14">
        <v>1.2873502998599348E-2</v>
      </c>
      <c r="H59" s="14">
        <v>15.669973096006631</v>
      </c>
      <c r="I59" s="14">
        <v>30.727372238561113</v>
      </c>
      <c r="J59" s="14">
        <v>0</v>
      </c>
      <c r="K59" s="14">
        <v>65.22765255165308</v>
      </c>
      <c r="L59" s="14">
        <v>1.5330921179604167E-2</v>
      </c>
      <c r="M59" s="14">
        <v>1.2579020827865219E-2</v>
      </c>
      <c r="N59" s="14">
        <v>8.0317845850824092</v>
      </c>
      <c r="O59" s="14">
        <v>1331.910837744216</v>
      </c>
      <c r="P59" s="8">
        <v>8.0317845850824092</v>
      </c>
      <c r="Q59" s="54">
        <v>2.2726126596317866E-2</v>
      </c>
    </row>
    <row r="60" spans="1:17">
      <c r="A60" s="2" t="s">
        <v>299</v>
      </c>
      <c r="B60" s="16" t="s">
        <v>300</v>
      </c>
      <c r="D60" s="14">
        <v>1</v>
      </c>
      <c r="E60" s="14">
        <v>1.6911395836334915E-3</v>
      </c>
      <c r="F60" s="14">
        <v>5.7789287579370664E-4</v>
      </c>
      <c r="G60" s="14">
        <v>1.4255938995415158E-2</v>
      </c>
      <c r="H60" s="14">
        <v>0.25880182859098233</v>
      </c>
      <c r="I60" s="14">
        <v>0.53929266240070217</v>
      </c>
      <c r="J60" s="14">
        <v>0</v>
      </c>
      <c r="K60" s="14">
        <v>1730.4245161813953</v>
      </c>
      <c r="L60" s="14">
        <v>5.7789287579370664E-4</v>
      </c>
      <c r="M60" s="14">
        <v>4.7416110458873629E-4</v>
      </c>
      <c r="N60" s="14">
        <v>0.14021871606583028</v>
      </c>
      <c r="O60" s="14">
        <v>11.5175653376473</v>
      </c>
      <c r="P60" s="8">
        <v>0.14021871606583028</v>
      </c>
      <c r="Q60" s="54">
        <v>5.5721719706295302E-4</v>
      </c>
    </row>
    <row r="61" spans="1:17">
      <c r="A61" s="2" t="s">
        <v>403</v>
      </c>
      <c r="B61" s="16" t="s">
        <v>404</v>
      </c>
      <c r="D61" s="14">
        <v>1</v>
      </c>
      <c r="E61" s="14">
        <v>0.80888737012839607</v>
      </c>
      <c r="F61" s="14">
        <v>0.34724027796928658</v>
      </c>
      <c r="G61" s="14">
        <v>6.0517166131049336E-46</v>
      </c>
      <c r="H61" s="14">
        <v>106.86859387839856</v>
      </c>
      <c r="I61" s="14">
        <v>228.9324025183881</v>
      </c>
      <c r="J61" s="14">
        <v>0</v>
      </c>
      <c r="K61" s="14">
        <v>2.8798502461988296</v>
      </c>
      <c r="L61" s="14">
        <v>0.34724027796928658</v>
      </c>
      <c r="M61" s="14">
        <v>0.28491064807379962</v>
      </c>
      <c r="N61" s="14">
        <v>59.406526701156587</v>
      </c>
      <c r="O61" s="14">
        <v>71442.883076077909</v>
      </c>
      <c r="P61" s="8">
        <v>59.406526701156587</v>
      </c>
      <c r="Q61" s="54">
        <v>0.27536406612357395</v>
      </c>
    </row>
    <row r="62" spans="1:17">
      <c r="A62" s="2" t="s">
        <v>405</v>
      </c>
      <c r="B62" s="16" t="s">
        <v>406</v>
      </c>
      <c r="D62" s="14">
        <v>1</v>
      </c>
      <c r="E62" s="14">
        <v>0.87860475209256239</v>
      </c>
      <c r="F62" s="14">
        <v>3.9070586290774548E-3</v>
      </c>
      <c r="G62" s="14">
        <v>1.1968463948790131E-9</v>
      </c>
      <c r="H62" s="14">
        <v>159.628314600907</v>
      </c>
      <c r="I62" s="14">
        <v>823.88595433950866</v>
      </c>
      <c r="J62" s="14">
        <v>0</v>
      </c>
      <c r="K62" s="14">
        <v>255.94701665281195</v>
      </c>
      <c r="L62" s="14">
        <v>3.9070586290774548E-3</v>
      </c>
      <c r="M62" s="14">
        <v>3.2057416051580515E-3</v>
      </c>
      <c r="N62" s="14">
        <v>224.05070384478748</v>
      </c>
      <c r="O62" s="14">
        <v>71440.807427948937</v>
      </c>
      <c r="P62" s="8">
        <v>224.05070384478751</v>
      </c>
      <c r="Q62" s="54">
        <v>7.951830223657233E-2</v>
      </c>
    </row>
    <row r="63" spans="1:17">
      <c r="A63" s="2" t="s">
        <v>407</v>
      </c>
      <c r="B63" s="16" t="s">
        <v>408</v>
      </c>
      <c r="D63" s="14">
        <v>1</v>
      </c>
      <c r="E63" s="14">
        <v>0.81848232216598094</v>
      </c>
      <c r="F63" s="14">
        <v>3.2272359372145857E-4</v>
      </c>
      <c r="G63" s="14">
        <v>2.5907124055018575E-7</v>
      </c>
      <c r="H63" s="14">
        <v>44.308874343823597</v>
      </c>
      <c r="I63" s="14">
        <v>1742.8013504910743</v>
      </c>
      <c r="J63" s="14">
        <v>0</v>
      </c>
      <c r="K63" s="14">
        <v>3098.6268728250961</v>
      </c>
      <c r="L63" s="14">
        <v>3.2272359372145857E-4</v>
      </c>
      <c r="M63" s="14">
        <v>2.6479470864845676E-4</v>
      </c>
      <c r="N63" s="14">
        <v>487.64747426442648</v>
      </c>
      <c r="O63" s="14">
        <v>236894.26652291574</v>
      </c>
      <c r="P63" s="8">
        <v>487.64747426442648</v>
      </c>
      <c r="Q63" s="54">
        <v>4.0723761732102418E-2</v>
      </c>
    </row>
    <row r="64" spans="1:17">
      <c r="A64" s="2" t="s">
        <v>409</v>
      </c>
      <c r="B64" s="16" t="s">
        <v>410</v>
      </c>
      <c r="D64" s="14">
        <v>1</v>
      </c>
      <c r="E64" s="14">
        <v>0.80995987697482108</v>
      </c>
      <c r="F64" s="14">
        <v>1.0887046024120927E-4</v>
      </c>
      <c r="G64" s="14">
        <v>3.1229033715393249E-8</v>
      </c>
      <c r="H64" s="14">
        <v>23.24502720875266</v>
      </c>
      <c r="I64" s="14">
        <v>1915.9634926418596</v>
      </c>
      <c r="J64" s="14">
        <v>0</v>
      </c>
      <c r="K64" s="14">
        <v>9185.2280020166891</v>
      </c>
      <c r="L64" s="14">
        <v>1.0887046024120927E-4</v>
      </c>
      <c r="M64" s="14">
        <v>8.9328212627912208E-5</v>
      </c>
      <c r="N64" s="14">
        <v>541.71099282165403</v>
      </c>
      <c r="O64" s="14">
        <v>305898.78053645982</v>
      </c>
      <c r="P64" s="8">
        <v>541.71099282165403</v>
      </c>
      <c r="Q64" s="54">
        <v>2.6704670863823166E-2</v>
      </c>
    </row>
    <row r="65" spans="1:17">
      <c r="A65" s="2" t="s">
        <v>301</v>
      </c>
      <c r="B65" s="16" t="s">
        <v>302</v>
      </c>
      <c r="D65" s="14">
        <v>1</v>
      </c>
      <c r="E65" s="14">
        <v>0.80518851989399987</v>
      </c>
      <c r="F65" s="14">
        <v>2.9964134057434492E-5</v>
      </c>
      <c r="G65" s="14">
        <v>3.7820757164707464E-9</v>
      </c>
      <c r="H65" s="14">
        <v>10.570650926598912</v>
      </c>
      <c r="I65" s="14">
        <v>2020.9655114525708</v>
      </c>
      <c r="J65" s="14">
        <v>0</v>
      </c>
      <c r="K65" s="14">
        <v>33373.232080834554</v>
      </c>
      <c r="L65" s="14">
        <v>2.9964134057434492E-5</v>
      </c>
      <c r="M65" s="14">
        <v>2.4585571994125E-5</v>
      </c>
      <c r="N65" s="14">
        <v>578.21550535967822</v>
      </c>
      <c r="O65" s="14">
        <v>372127.93493938172</v>
      </c>
      <c r="P65" s="8">
        <v>578.21550535967822</v>
      </c>
      <c r="Q65" s="54">
        <v>1.5651605832964474E-2</v>
      </c>
    </row>
    <row r="66" spans="1:17">
      <c r="A66" s="2" t="s">
        <v>303</v>
      </c>
      <c r="B66" s="16" t="s">
        <v>304</v>
      </c>
      <c r="D66" s="14">
        <v>1</v>
      </c>
      <c r="E66" s="14">
        <v>0.80746112930939695</v>
      </c>
      <c r="F66" s="14">
        <v>6.2754168239972832E-5</v>
      </c>
      <c r="G66" s="14">
        <v>3.6880012992984705E-15</v>
      </c>
      <c r="H66" s="14">
        <v>16.636523495604543</v>
      </c>
      <c r="I66" s="14">
        <v>1970.6965145133456</v>
      </c>
      <c r="J66" s="14">
        <v>0</v>
      </c>
      <c r="K66" s="14">
        <v>15935.19646656754</v>
      </c>
      <c r="L66" s="14">
        <v>6.2754168239972832E-5</v>
      </c>
      <c r="M66" s="14">
        <v>5.1489795040897708E-5</v>
      </c>
      <c r="N66" s="14">
        <v>560.04022504184059</v>
      </c>
      <c r="O66" s="14">
        <v>361399.55762175011</v>
      </c>
      <c r="P66" s="8">
        <v>560.04022504184059</v>
      </c>
      <c r="Q66" s="54">
        <v>2.1321597883129588E-2</v>
      </c>
    </row>
    <row r="67" spans="1:17">
      <c r="A67" s="2" t="s">
        <v>411</v>
      </c>
      <c r="B67" s="16" t="s">
        <v>412</v>
      </c>
      <c r="D67" s="14">
        <v>1</v>
      </c>
      <c r="E67" s="14">
        <v>0.92462276816110911</v>
      </c>
      <c r="F67" s="14">
        <v>0.89204621550199703</v>
      </c>
      <c r="G67" s="14">
        <v>5.6639034660640885E-5</v>
      </c>
      <c r="H67" s="14">
        <v>7.8792948973799328</v>
      </c>
      <c r="I67" s="14">
        <v>21.925248575482861</v>
      </c>
      <c r="J67" s="14">
        <v>0</v>
      </c>
      <c r="K67" s="14">
        <v>1.1210181519992797</v>
      </c>
      <c r="L67" s="14">
        <v>0.89204621550199714</v>
      </c>
      <c r="M67" s="14">
        <v>0.73192391981938865</v>
      </c>
      <c r="N67" s="14">
        <v>6.05669143828794</v>
      </c>
      <c r="O67" s="14">
        <v>1817.613100630211</v>
      </c>
      <c r="P67" s="8">
        <v>6.05669143828794</v>
      </c>
      <c r="Q67" s="54">
        <v>0.11115897304383011</v>
      </c>
    </row>
    <row r="68" spans="1:17">
      <c r="A68" s="2" t="s">
        <v>413</v>
      </c>
      <c r="B68" s="16" t="s">
        <v>414</v>
      </c>
      <c r="D68" s="14">
        <v>1</v>
      </c>
      <c r="E68" s="14">
        <v>0.89669982691352013</v>
      </c>
      <c r="F68" s="14">
        <v>0.83592940586290165</v>
      </c>
      <c r="G68" s="14">
        <v>1.2486999391606927E-4</v>
      </c>
      <c r="H68" s="14">
        <v>14.145868054012796</v>
      </c>
      <c r="I68" s="14">
        <v>37.522068645251871</v>
      </c>
      <c r="J68" s="14">
        <v>0</v>
      </c>
      <c r="K68" s="14">
        <v>1.1962732654053889</v>
      </c>
      <c r="L68" s="14">
        <v>0.83592940586290165</v>
      </c>
      <c r="M68" s="14">
        <v>0.68588007751051083</v>
      </c>
      <c r="N68" s="14">
        <v>9.9906955317514452</v>
      </c>
      <c r="O68" s="14">
        <v>3278.4467387442364</v>
      </c>
      <c r="P68" s="8">
        <v>9.9906955317514452</v>
      </c>
      <c r="Q68" s="54">
        <v>0.1461796015075113</v>
      </c>
    </row>
    <row r="69" spans="1:17">
      <c r="A69" s="2" t="s">
        <v>415</v>
      </c>
      <c r="B69" s="16" t="s">
        <v>416</v>
      </c>
      <c r="D69" s="14">
        <v>1</v>
      </c>
      <c r="E69" s="14">
        <v>0.84287727155303238</v>
      </c>
      <c r="F69" s="14">
        <v>1.3482455571589536E-3</v>
      </c>
      <c r="G69" s="14">
        <v>1.3180062980622541E-5</v>
      </c>
      <c r="H69" s="14">
        <v>97.541402956961349</v>
      </c>
      <c r="I69" s="14">
        <v>1311.433183769949</v>
      </c>
      <c r="J69" s="14">
        <v>0</v>
      </c>
      <c r="K69" s="14">
        <v>741.70465067744578</v>
      </c>
      <c r="L69" s="14">
        <v>1.3482455571589536E-3</v>
      </c>
      <c r="M69" s="14">
        <v>1.1062354796489214E-3</v>
      </c>
      <c r="N69" s="14">
        <v>361.45467679583743</v>
      </c>
      <c r="O69" s="14">
        <v>167743.88640741221</v>
      </c>
      <c r="P69" s="8">
        <v>361.45467679583743</v>
      </c>
      <c r="Q69" s="54">
        <v>6.4855403941849757E-2</v>
      </c>
    </row>
    <row r="70" spans="1:17">
      <c r="A70" s="2" t="s">
        <v>417</v>
      </c>
      <c r="B70" s="16" t="s">
        <v>418</v>
      </c>
      <c r="D70" s="14">
        <v>1</v>
      </c>
      <c r="E70" s="14">
        <v>0.89488894466010682</v>
      </c>
      <c r="F70" s="14">
        <v>2.758549941317805E-2</v>
      </c>
      <c r="G70" s="14">
        <v>3.7984755790066457E-5</v>
      </c>
      <c r="H70" s="14">
        <v>208.4398974925567</v>
      </c>
      <c r="I70" s="14">
        <v>352.72644531586712</v>
      </c>
      <c r="J70" s="14">
        <v>0</v>
      </c>
      <c r="K70" s="14">
        <v>36.250929701214083</v>
      </c>
      <c r="L70" s="14">
        <v>2.7585499413178054E-2</v>
      </c>
      <c r="M70" s="14">
        <v>2.2633902268512592E-2</v>
      </c>
      <c r="N70" s="14">
        <v>93.610799023691555</v>
      </c>
      <c r="O70" s="14">
        <v>29398.471433390332</v>
      </c>
      <c r="P70" s="8">
        <v>93.610799023691555</v>
      </c>
      <c r="Q70" s="54">
        <v>0.11599466679521137</v>
      </c>
    </row>
    <row r="71" spans="1:17">
      <c r="A71" s="2" t="s">
        <v>419</v>
      </c>
      <c r="B71" s="16" t="s">
        <v>420</v>
      </c>
      <c r="D71" s="14">
        <v>1</v>
      </c>
      <c r="E71" s="14">
        <v>0.8891064140224656</v>
      </c>
      <c r="F71" s="14">
        <v>0.83443320764165418</v>
      </c>
      <c r="G71" s="14">
        <v>3.0580182077125941E-4</v>
      </c>
      <c r="H71" s="14">
        <v>12.776490583900015</v>
      </c>
      <c r="I71" s="14">
        <v>34.140411387072866</v>
      </c>
      <c r="J71" s="14">
        <v>0</v>
      </c>
      <c r="K71" s="14">
        <v>1.1984182686428366</v>
      </c>
      <c r="L71" s="14">
        <v>0.8344332076416543</v>
      </c>
      <c r="M71" s="14">
        <v>0.68465244686997728</v>
      </c>
      <c r="N71" s="14">
        <v>9.1286752274568315</v>
      </c>
      <c r="O71" s="14">
        <v>1953.9016456848601</v>
      </c>
      <c r="P71" s="8">
        <v>9.1286752274568315</v>
      </c>
      <c r="Q71" s="54">
        <v>0.13850605192121601</v>
      </c>
    </row>
    <row r="72" spans="1:17">
      <c r="A72" s="2" t="s">
        <v>421</v>
      </c>
      <c r="B72" s="16" t="s">
        <v>422</v>
      </c>
      <c r="D72" s="14">
        <v>1</v>
      </c>
      <c r="E72" s="14">
        <v>0.88202904668836546</v>
      </c>
      <c r="F72" s="14">
        <v>3.2139019174786371E-2</v>
      </c>
      <c r="G72" s="14">
        <v>1.6052441889502611E-4</v>
      </c>
      <c r="H72" s="14">
        <v>203.85089321371521</v>
      </c>
      <c r="I72" s="14">
        <v>349.43772521787997</v>
      </c>
      <c r="J72" s="14">
        <v>0</v>
      </c>
      <c r="K72" s="14">
        <v>31.114826328754852</v>
      </c>
      <c r="L72" s="14">
        <v>3.2139019174786371E-2</v>
      </c>
      <c r="M72" s="14">
        <v>2.6370065232912219E-2</v>
      </c>
      <c r="N72" s="14">
        <v>92.609548455489687</v>
      </c>
      <c r="O72" s="14">
        <v>38346.835728964616</v>
      </c>
      <c r="P72" s="8">
        <v>92.609548455489701</v>
      </c>
      <c r="Q72" s="54">
        <v>0.12335870157316162</v>
      </c>
    </row>
    <row r="73" spans="1:17">
      <c r="A73" s="2" t="s">
        <v>423</v>
      </c>
      <c r="B73" s="16" t="s">
        <v>424</v>
      </c>
      <c r="D73" s="14">
        <v>1</v>
      </c>
      <c r="E73" s="14">
        <v>0.79923409360389075</v>
      </c>
      <c r="F73" s="14">
        <v>0.31912506703217131</v>
      </c>
      <c r="G73" s="14">
        <v>1.7599867843127805E-4</v>
      </c>
      <c r="H73" s="14">
        <v>111.29634930713802</v>
      </c>
      <c r="I73" s="14">
        <v>236.2316535021138</v>
      </c>
      <c r="J73" s="14">
        <v>0</v>
      </c>
      <c r="K73" s="14">
        <v>3.1335676927541045</v>
      </c>
      <c r="L73" s="14">
        <v>0.31912506703217131</v>
      </c>
      <c r="M73" s="14">
        <v>0.26184211749989655</v>
      </c>
      <c r="N73" s="14">
        <v>61.33827850152538</v>
      </c>
      <c r="O73" s="14">
        <v>26263.210705998121</v>
      </c>
      <c r="P73" s="8">
        <v>61.33827850152538</v>
      </c>
      <c r="Q73" s="54">
        <v>0.27010839965669059</v>
      </c>
    </row>
    <row r="74" spans="1:17">
      <c r="A74" s="2" t="s">
        <v>425</v>
      </c>
      <c r="B74" s="16" t="s">
        <v>426</v>
      </c>
      <c r="D74" s="14">
        <v>1</v>
      </c>
      <c r="E74" s="14">
        <v>0.89212344127671117</v>
      </c>
      <c r="F74" s="14">
        <v>2.8849193085302042E-2</v>
      </c>
      <c r="G74" s="14">
        <v>5.8741111243018153E-5</v>
      </c>
      <c r="H74" s="14">
        <v>207.35459814376696</v>
      </c>
      <c r="I74" s="14">
        <v>352.18498888606064</v>
      </c>
      <c r="J74" s="14">
        <v>0</v>
      </c>
      <c r="K74" s="14">
        <v>34.663014561383889</v>
      </c>
      <c r="L74" s="14">
        <v>2.8849193085302042E-2</v>
      </c>
      <c r="M74" s="14">
        <v>2.3670762926490327E-2</v>
      </c>
      <c r="N74" s="14">
        <v>93.430041715434157</v>
      </c>
      <c r="O74" s="14">
        <v>49347.879433258007</v>
      </c>
      <c r="P74" s="8">
        <v>93.430041715434157</v>
      </c>
      <c r="Q74" s="54">
        <v>0.11818730813974175</v>
      </c>
    </row>
    <row r="75" spans="1:17">
      <c r="A75" s="2" t="s">
        <v>427</v>
      </c>
      <c r="B75" s="16" t="s">
        <v>428</v>
      </c>
      <c r="D75" s="14">
        <v>1</v>
      </c>
      <c r="E75" s="14">
        <v>0.97964998738966158</v>
      </c>
      <c r="F75" s="14">
        <v>4.2498872476909189E-3</v>
      </c>
      <c r="G75" s="14">
        <v>5.9952304075935139E-12</v>
      </c>
      <c r="H75" s="14">
        <v>277.12608603060033</v>
      </c>
      <c r="I75" s="14">
        <v>0.99012319040213492</v>
      </c>
      <c r="J75" s="14">
        <v>0</v>
      </c>
      <c r="K75" s="14">
        <v>235.30036015504356</v>
      </c>
      <c r="L75" s="14">
        <v>4.2498872476909189E-3</v>
      </c>
      <c r="M75" s="14">
        <v>3.4870324867303992E-3</v>
      </c>
      <c r="N75" s="14">
        <v>63.485789210897487</v>
      </c>
      <c r="O75" s="14">
        <v>35811.698835975163</v>
      </c>
      <c r="P75" s="8">
        <v>63.485789210897487</v>
      </c>
      <c r="Q75" s="54">
        <v>5.5295429095733302E-5</v>
      </c>
    </row>
    <row r="76" spans="1:17">
      <c r="A76" s="2" t="s">
        <v>429</v>
      </c>
      <c r="B76" s="16" t="s">
        <v>430</v>
      </c>
      <c r="D76" s="14">
        <v>1</v>
      </c>
      <c r="E76" s="14">
        <v>0.97964998779046053</v>
      </c>
      <c r="F76" s="14">
        <v>4.2498872494296531E-3</v>
      </c>
      <c r="G76" s="14">
        <v>1.5059337920768945E-13</v>
      </c>
      <c r="H76" s="14">
        <v>277.12608614397942</v>
      </c>
      <c r="I76" s="14">
        <v>0.99012319080721889</v>
      </c>
      <c r="J76" s="14">
        <v>0</v>
      </c>
      <c r="K76" s="14">
        <v>235.30036005877633</v>
      </c>
      <c r="L76" s="14">
        <v>4.2498872494296531E-3</v>
      </c>
      <c r="M76" s="14">
        <v>3.4870324881570301E-3</v>
      </c>
      <c r="N76" s="14">
        <v>63.485789236871078</v>
      </c>
      <c r="O76" s="14">
        <v>31751.147771036332</v>
      </c>
      <c r="P76" s="8">
        <v>63.485789236871085</v>
      </c>
      <c r="Q76" s="54">
        <v>5.5295429118356021E-5</v>
      </c>
    </row>
    <row r="77" spans="1:17">
      <c r="A77" s="2" t="s">
        <v>431</v>
      </c>
      <c r="B77" s="16" t="s">
        <v>432</v>
      </c>
      <c r="D77" s="14">
        <v>1</v>
      </c>
      <c r="E77" s="14">
        <v>0.82295443974000049</v>
      </c>
      <c r="F77" s="14">
        <v>0.11751436944549808</v>
      </c>
      <c r="G77" s="14">
        <v>3.0549173308397077E-4</v>
      </c>
      <c r="H77" s="14">
        <v>166.25356801874219</v>
      </c>
      <c r="I77" s="14">
        <v>318.2937752505423</v>
      </c>
      <c r="J77" s="14">
        <v>0</v>
      </c>
      <c r="K77" s="14">
        <v>8.5095976323456277</v>
      </c>
      <c r="L77" s="14">
        <v>0.11751436944549809</v>
      </c>
      <c r="M77" s="14">
        <v>9.6420540130031179E-2</v>
      </c>
      <c r="N77" s="14">
        <v>83.391746974868582</v>
      </c>
      <c r="O77" s="14">
        <v>30359.599403670658</v>
      </c>
      <c r="P77" s="8">
        <v>83.391746974868582</v>
      </c>
      <c r="Q77" s="54">
        <v>0.20636124785946172</v>
      </c>
    </row>
    <row r="78" spans="1:17">
      <c r="A78" s="2" t="s">
        <v>433</v>
      </c>
      <c r="B78" s="16" t="s">
        <v>434</v>
      </c>
      <c r="D78" s="14">
        <v>1</v>
      </c>
      <c r="E78" s="14">
        <v>0.81778641349803571</v>
      </c>
      <c r="F78" s="14">
        <v>0.62904746399576994</v>
      </c>
      <c r="G78" s="14">
        <v>4.4292674365373246E-4</v>
      </c>
      <c r="H78" s="14">
        <v>43.182065898594239</v>
      </c>
      <c r="I78" s="14">
        <v>103.31433546919186</v>
      </c>
      <c r="J78" s="14">
        <v>0</v>
      </c>
      <c r="K78" s="14">
        <v>1.5897051609554289</v>
      </c>
      <c r="L78" s="14">
        <v>0.62904746399577005</v>
      </c>
      <c r="M78" s="14">
        <v>0.51613344420852925</v>
      </c>
      <c r="N78" s="14">
        <v>26.777978018739443</v>
      </c>
      <c r="O78" s="14">
        <v>7070.72509584815</v>
      </c>
      <c r="P78" s="8">
        <v>26.777978018739443</v>
      </c>
      <c r="Q78" s="54">
        <v>0.22822361836833002</v>
      </c>
    </row>
    <row r="79" spans="1:17">
      <c r="A79" s="2" t="s">
        <v>435</v>
      </c>
      <c r="B79" s="16" t="s">
        <v>436</v>
      </c>
      <c r="D79" s="14">
        <v>1</v>
      </c>
      <c r="E79" s="14">
        <v>0.80746375670432735</v>
      </c>
      <c r="F79" s="14">
        <v>0.45094353459792602</v>
      </c>
      <c r="G79" s="14">
        <v>1.0570868061722034E-4</v>
      </c>
      <c r="H79" s="14">
        <v>82.088470649266327</v>
      </c>
      <c r="I79" s="14">
        <v>182.78448749815581</v>
      </c>
      <c r="J79" s="14">
        <v>0</v>
      </c>
      <c r="K79" s="14">
        <v>2.2175725412975003</v>
      </c>
      <c r="L79" s="14">
        <v>0.45094353459792602</v>
      </c>
      <c r="M79" s="14">
        <v>0.36999917013759831</v>
      </c>
      <c r="N79" s="14">
        <v>47.338154987996113</v>
      </c>
      <c r="O79" s="14">
        <v>18940.469192247125</v>
      </c>
      <c r="P79" s="8">
        <v>47.338154987996113</v>
      </c>
      <c r="Q79" s="54">
        <v>0.27198148169009329</v>
      </c>
    </row>
    <row r="80" spans="1:17">
      <c r="A80" s="2" t="s">
        <v>437</v>
      </c>
      <c r="B80" s="16" t="s">
        <v>438</v>
      </c>
      <c r="D80" s="14">
        <v>1</v>
      </c>
      <c r="E80" s="14">
        <v>0.96123097182837414</v>
      </c>
      <c r="F80" s="14">
        <v>2.8273945590320164E-3</v>
      </c>
      <c r="G80" s="14">
        <v>2.1062741042242708E-12</v>
      </c>
      <c r="H80" s="14">
        <v>272.19893265519966</v>
      </c>
      <c r="I80" s="14">
        <v>1.8680919216747864</v>
      </c>
      <c r="J80" s="14">
        <v>0</v>
      </c>
      <c r="K80" s="14">
        <v>353.68250844422607</v>
      </c>
      <c r="L80" s="14">
        <v>2.8273945590320164E-3</v>
      </c>
      <c r="M80" s="14">
        <v>2.3198772356857696E-3</v>
      </c>
      <c r="N80" s="14">
        <v>121.0240525026977</v>
      </c>
      <c r="O80" s="14">
        <v>62216.044910586839</v>
      </c>
      <c r="P80" s="8">
        <v>121.02405250269771</v>
      </c>
      <c r="Q80" s="54">
        <v>6.6129957317231824E-5</v>
      </c>
    </row>
    <row r="81" spans="1:17">
      <c r="A81" s="2" t="s">
        <v>440</v>
      </c>
      <c r="B81" s="16" t="s">
        <v>441</v>
      </c>
      <c r="D81" s="14">
        <v>1</v>
      </c>
      <c r="E81" s="14">
        <v>0.98729721310308283</v>
      </c>
      <c r="F81" s="14">
        <v>0.98986694350313464</v>
      </c>
      <c r="G81" s="14">
        <v>2.0888406425730242E-15</v>
      </c>
      <c r="H81" s="14">
        <v>0.26380123311078912</v>
      </c>
      <c r="I81" s="14">
        <v>0.95002272085210837</v>
      </c>
      <c r="J81" s="14">
        <v>0</v>
      </c>
      <c r="K81" s="14">
        <v>1.0102367864321284</v>
      </c>
      <c r="L81" s="14">
        <v>0.98986694350313476</v>
      </c>
      <c r="M81" s="14">
        <v>0.81218582714432208</v>
      </c>
      <c r="N81" s="14">
        <v>0.83967754698372776</v>
      </c>
      <c r="O81" s="14">
        <v>232.80899667670835</v>
      </c>
      <c r="P81" s="8">
        <v>0.83967754698372776</v>
      </c>
      <c r="Q81" s="54">
        <v>1.9894544130777556E-2</v>
      </c>
    </row>
    <row r="82" spans="1:17">
      <c r="A82" s="2" t="s">
        <v>442</v>
      </c>
      <c r="B82" s="16" t="s">
        <v>443</v>
      </c>
      <c r="D82" s="14">
        <v>1</v>
      </c>
      <c r="E82" s="14">
        <v>0.89425148650876085</v>
      </c>
      <c r="F82" s="14">
        <v>0.81737001818050281</v>
      </c>
      <c r="G82" s="14">
        <v>1.0406559964835566E-6</v>
      </c>
      <c r="H82" s="14">
        <v>17.761461687804101</v>
      </c>
      <c r="I82" s="14">
        <v>46.252570538849902</v>
      </c>
      <c r="J82" s="14">
        <v>0</v>
      </c>
      <c r="K82" s="14">
        <v>1.223436115538026</v>
      </c>
      <c r="L82" s="14">
        <v>0.81737001818050281</v>
      </c>
      <c r="M82" s="14">
        <v>0.67065209991710262</v>
      </c>
      <c r="N82" s="14">
        <v>12.208054661351486</v>
      </c>
      <c r="O82" s="14">
        <v>2016.6485495086517</v>
      </c>
      <c r="P82" s="8">
        <v>12.208054661351486</v>
      </c>
      <c r="Q82" s="54">
        <v>0.16283054412776443</v>
      </c>
    </row>
    <row r="83" spans="1:17">
      <c r="A83" s="2" t="s">
        <v>444</v>
      </c>
      <c r="B83" s="16" t="s">
        <v>445</v>
      </c>
      <c r="D83" s="14">
        <v>1</v>
      </c>
      <c r="E83" s="14">
        <v>0.83149418693701982</v>
      </c>
      <c r="F83" s="14">
        <v>0.14916086517791236</v>
      </c>
      <c r="G83" s="14">
        <v>6.5751154284748666E-6</v>
      </c>
      <c r="H83" s="14">
        <v>160.27836137998645</v>
      </c>
      <c r="I83" s="14">
        <v>313.1353257804542</v>
      </c>
      <c r="J83" s="14">
        <v>0</v>
      </c>
      <c r="K83" s="14">
        <v>6.7041713575960094</v>
      </c>
      <c r="L83" s="14">
        <v>0.14916086517791236</v>
      </c>
      <c r="M83" s="14">
        <v>0.12238648987847708</v>
      </c>
      <c r="N83" s="14">
        <v>81.878724375323955</v>
      </c>
      <c r="O83" s="14">
        <v>14757.821281408391</v>
      </c>
      <c r="P83" s="8">
        <v>81.878724375323955</v>
      </c>
      <c r="Q83" s="54">
        <v>0.22695098109261327</v>
      </c>
    </row>
    <row r="84" spans="1:17">
      <c r="A84" s="2" t="s">
        <v>446</v>
      </c>
      <c r="B84" s="16" t="s">
        <v>447</v>
      </c>
      <c r="D84" s="14">
        <v>1</v>
      </c>
      <c r="E84" s="14">
        <v>0.97233346958748257</v>
      </c>
      <c r="F84" s="14">
        <v>0.97041024427412481</v>
      </c>
      <c r="G84" s="14">
        <v>6.5309124257288843E-17</v>
      </c>
      <c r="H84" s="14">
        <v>1.2037751466833848</v>
      </c>
      <c r="I84" s="14">
        <v>3.8708161409084445</v>
      </c>
      <c r="J84" s="14">
        <v>0</v>
      </c>
      <c r="K84" s="14">
        <v>1.030492006757419</v>
      </c>
      <c r="L84" s="14">
        <v>0.97041024427412481</v>
      </c>
      <c r="M84" s="14">
        <v>0.79622160542691944</v>
      </c>
      <c r="N84" s="14">
        <v>1.5530412510727747</v>
      </c>
      <c r="O84" s="14">
        <v>603.96221212969135</v>
      </c>
      <c r="P84" s="8">
        <v>1.5530412510727749</v>
      </c>
      <c r="Q84" s="54">
        <v>4.3471291539471477E-2</v>
      </c>
    </row>
    <row r="85" spans="1:17">
      <c r="A85" s="2" t="s">
        <v>448</v>
      </c>
      <c r="B85" s="16" t="s">
        <v>449</v>
      </c>
      <c r="D85" s="14">
        <v>1</v>
      </c>
      <c r="E85" s="14">
        <v>0.9946531967376826</v>
      </c>
      <c r="F85" s="14">
        <v>0.99830167737373154</v>
      </c>
      <c r="G85" s="14">
        <v>4.461493745726614E-10</v>
      </c>
      <c r="H85" s="14">
        <v>4.7979067264617224E-2</v>
      </c>
      <c r="I85" s="14">
        <v>0.19602387568650778</v>
      </c>
      <c r="J85" s="14">
        <v>0</v>
      </c>
      <c r="K85" s="14">
        <v>1.0017012118328161</v>
      </c>
      <c r="L85" s="14">
        <v>0.99830167737373166</v>
      </c>
      <c r="M85" s="14">
        <v>0.8191065262851468</v>
      </c>
      <c r="N85" s="14">
        <v>0.65999394325751681</v>
      </c>
      <c r="O85" s="14">
        <v>118.29731438947732</v>
      </c>
      <c r="P85" s="8">
        <v>0.65999394325751692</v>
      </c>
      <c r="Q85" s="54">
        <v>8.2169183520301517E-3</v>
      </c>
    </row>
    <row r="86" spans="1:17">
      <c r="A86" s="2" t="s">
        <v>450</v>
      </c>
      <c r="B86" s="16" t="s">
        <v>451</v>
      </c>
      <c r="D86" s="14">
        <v>1</v>
      </c>
      <c r="E86" s="14">
        <v>0.97301986903660664</v>
      </c>
      <c r="F86" s="14">
        <v>0.97136821480041291</v>
      </c>
      <c r="G86" s="14">
        <v>1.641656823066413E-10</v>
      </c>
      <c r="H86" s="14">
        <v>1.1461828035429578</v>
      </c>
      <c r="I86" s="14">
        <v>3.6992276547003038</v>
      </c>
      <c r="J86" s="14">
        <v>0</v>
      </c>
      <c r="K86" s="14">
        <v>1.0294757279096991</v>
      </c>
      <c r="L86" s="14">
        <v>0.97136821480041291</v>
      </c>
      <c r="M86" s="14">
        <v>0.79700762024373883</v>
      </c>
      <c r="N86" s="14">
        <v>1.5108216278452367</v>
      </c>
      <c r="O86" s="14">
        <v>394.46041881411281</v>
      </c>
      <c r="P86" s="8">
        <v>1.5108216278452367</v>
      </c>
      <c r="Q86" s="54">
        <v>4.239465048141601E-2</v>
      </c>
    </row>
    <row r="87" spans="1:17">
      <c r="A87" s="2" t="s">
        <v>452</v>
      </c>
      <c r="B87" s="16" t="s">
        <v>453</v>
      </c>
      <c r="D87" s="14">
        <v>1</v>
      </c>
      <c r="E87" s="14">
        <v>0.82331835751244442</v>
      </c>
      <c r="F87" s="14">
        <v>4.7528285507791466E-4</v>
      </c>
      <c r="G87" s="14">
        <v>4.9023084796002685E-10</v>
      </c>
      <c r="H87" s="14">
        <v>55.356949290418129</v>
      </c>
      <c r="I87" s="14">
        <v>1652.8343082016884</v>
      </c>
      <c r="J87" s="14">
        <v>0</v>
      </c>
      <c r="K87" s="14">
        <v>2104.0102526653664</v>
      </c>
      <c r="L87" s="14">
        <v>4.7528285507791466E-4</v>
      </c>
      <c r="M87" s="14">
        <v>3.8996958259142898E-4</v>
      </c>
      <c r="N87" s="14">
        <v>460.68515318137787</v>
      </c>
      <c r="O87" s="14">
        <v>191783.2292694076</v>
      </c>
      <c r="P87" s="8">
        <v>460.68515318137787</v>
      </c>
      <c r="Q87" s="54">
        <v>4.6819774645368406E-2</v>
      </c>
    </row>
    <row r="88" spans="1:17">
      <c r="A88" s="2" t="s">
        <v>454</v>
      </c>
      <c r="B88" s="16" t="s">
        <v>455</v>
      </c>
      <c r="D88" s="14">
        <v>1</v>
      </c>
      <c r="E88" s="14">
        <v>0.85898889662165345</v>
      </c>
      <c r="F88" s="14">
        <v>0.70907983878992809</v>
      </c>
      <c r="G88" s="14">
        <v>5.2179945958536686E-7</v>
      </c>
      <c r="H88" s="14">
        <v>34.298500800221376</v>
      </c>
      <c r="I88" s="14">
        <v>84.20391963096111</v>
      </c>
      <c r="J88" s="14">
        <v>0</v>
      </c>
      <c r="K88" s="14">
        <v>1.4102784274709295</v>
      </c>
      <c r="L88" s="14">
        <v>0.70907983878992809</v>
      </c>
      <c r="M88" s="14">
        <v>0.58180000772713603</v>
      </c>
      <c r="N88" s="14">
        <v>21.884708055512661</v>
      </c>
      <c r="O88" s="14">
        <v>4185.8881097779067</v>
      </c>
      <c r="P88" s="8">
        <v>21.884708055512661</v>
      </c>
      <c r="Q88" s="54">
        <v>0.21435435334145841</v>
      </c>
    </row>
    <row r="89" spans="1:17">
      <c r="A89" s="2" t="s">
        <v>456</v>
      </c>
      <c r="B89" s="16" t="s">
        <v>457</v>
      </c>
      <c r="D89" s="14">
        <v>1</v>
      </c>
      <c r="E89" s="14">
        <v>0.88789407799088416</v>
      </c>
      <c r="F89" s="14">
        <v>0.80016260653587201</v>
      </c>
      <c r="G89" s="14">
        <v>3.4548304572071852E-19</v>
      </c>
      <c r="H89" s="14">
        <v>20.202180725730798</v>
      </c>
      <c r="I89" s="14">
        <v>52.030191302421912</v>
      </c>
      <c r="J89" s="14">
        <v>0</v>
      </c>
      <c r="K89" s="14">
        <v>1.24974597891956</v>
      </c>
      <c r="L89" s="14">
        <v>0.80016260653587201</v>
      </c>
      <c r="M89" s="14">
        <v>0.656533418662683</v>
      </c>
      <c r="N89" s="14">
        <v>13.675701846721388</v>
      </c>
      <c r="O89" s="14">
        <v>5367.1659467642758</v>
      </c>
      <c r="P89" s="8">
        <v>13.675701846721388</v>
      </c>
      <c r="Q89" s="54">
        <v>0.17236751586906399</v>
      </c>
    </row>
    <row r="90" spans="1:17">
      <c r="A90" s="2" t="s">
        <v>458</v>
      </c>
      <c r="B90" s="16" t="s">
        <v>459</v>
      </c>
      <c r="D90" s="14">
        <v>1</v>
      </c>
      <c r="E90" s="14">
        <v>0.9458692240880191</v>
      </c>
      <c r="F90" s="14">
        <v>0.92867798666061896</v>
      </c>
      <c r="G90" s="14">
        <v>5.0021146176287504E-31</v>
      </c>
      <c r="H90" s="14">
        <v>4.5011672587401046</v>
      </c>
      <c r="I90" s="14">
        <v>13.091286335386357</v>
      </c>
      <c r="J90" s="14">
        <v>0</v>
      </c>
      <c r="K90" s="14">
        <v>1.0767995089404927</v>
      </c>
      <c r="L90" s="14">
        <v>0.92867798666061896</v>
      </c>
      <c r="M90" s="14">
        <v>0.76198028805503792</v>
      </c>
      <c r="N90" s="14">
        <v>3.8436368412062527</v>
      </c>
      <c r="O90" s="14">
        <v>3001.6497547716112</v>
      </c>
      <c r="P90" s="8">
        <v>3.8436368412062527</v>
      </c>
      <c r="Q90" s="54">
        <v>8.4641299396471303E-2</v>
      </c>
    </row>
    <row r="91" spans="1:17">
      <c r="A91" s="2" t="s">
        <v>460</v>
      </c>
      <c r="B91" s="16" t="s">
        <v>461</v>
      </c>
      <c r="D91" s="14">
        <v>1</v>
      </c>
      <c r="E91" s="14">
        <v>0.87291747642899253</v>
      </c>
      <c r="F91" s="14">
        <v>3.3734151938858105E-3</v>
      </c>
      <c r="G91" s="14">
        <v>5.5572288844341935E-10</v>
      </c>
      <c r="H91" s="14">
        <v>150.28990040993284</v>
      </c>
      <c r="I91" s="14">
        <v>896.78217514365974</v>
      </c>
      <c r="J91" s="14">
        <v>0</v>
      </c>
      <c r="K91" s="14">
        <v>296.43549415810503</v>
      </c>
      <c r="L91" s="14">
        <v>3.3734151938858105E-3</v>
      </c>
      <c r="M91" s="14">
        <v>2.7678871665833076E-3</v>
      </c>
      <c r="N91" s="14">
        <v>244.37017688569202</v>
      </c>
      <c r="O91" s="14">
        <v>74875.022197776023</v>
      </c>
      <c r="P91" s="8">
        <v>244.37017688569202</v>
      </c>
      <c r="Q91" s="54">
        <v>7.821444490717408E-2</v>
      </c>
    </row>
    <row r="92" spans="1:17">
      <c r="A92" s="2" t="s">
        <v>462</v>
      </c>
      <c r="B92" s="16" t="s">
        <v>463</v>
      </c>
      <c r="D92" s="14">
        <v>1</v>
      </c>
      <c r="E92" s="14">
        <v>0.81866899818660943</v>
      </c>
      <c r="F92" s="14">
        <v>0.21205380259460435</v>
      </c>
      <c r="G92" s="14">
        <v>5.8823999925624694E-11</v>
      </c>
      <c r="H92" s="14">
        <v>141.68571454253473</v>
      </c>
      <c r="I92" s="14">
        <v>286.670652867331</v>
      </c>
      <c r="J92" s="14">
        <v>0</v>
      </c>
      <c r="K92" s="14">
        <v>4.7157843328646099</v>
      </c>
      <c r="L92" s="14">
        <v>0.21205380259460435</v>
      </c>
      <c r="M92" s="14">
        <v>0.17399014502887286</v>
      </c>
      <c r="N92" s="14">
        <v>74.718079055231314</v>
      </c>
      <c r="O92" s="14">
        <v>25166.543387383012</v>
      </c>
      <c r="P92" s="8">
        <v>74.718079055231314</v>
      </c>
      <c r="Q92" s="54">
        <v>0.25187393983685824</v>
      </c>
    </row>
    <row r="93" spans="1:17">
      <c r="A93" s="2" t="s">
        <v>464</v>
      </c>
      <c r="B93" s="16" t="s">
        <v>465</v>
      </c>
      <c r="D93" s="14">
        <v>1</v>
      </c>
      <c r="E93" s="14">
        <v>0.88242700553962972</v>
      </c>
      <c r="F93" s="14">
        <v>4.2719512233930779E-2</v>
      </c>
      <c r="G93" s="14">
        <v>2.3900928517973284E-6</v>
      </c>
      <c r="H93" s="14">
        <v>200.71798355127706</v>
      </c>
      <c r="I93" s="14">
        <v>351.75757296152187</v>
      </c>
      <c r="J93" s="14">
        <v>0</v>
      </c>
      <c r="K93" s="14">
        <v>23.408506972739524</v>
      </c>
      <c r="L93" s="14">
        <v>4.2719512233930779E-2</v>
      </c>
      <c r="M93" s="14">
        <v>3.5051359787940203E-2</v>
      </c>
      <c r="N93" s="14">
        <v>93.004465589033302</v>
      </c>
      <c r="O93" s="14">
        <v>43255.446900803494</v>
      </c>
      <c r="P93" s="8">
        <v>93.004465589033302</v>
      </c>
      <c r="Q93" s="54">
        <v>0.14023081435560589</v>
      </c>
    </row>
    <row r="94" spans="1:17">
      <c r="A94" s="2" t="s">
        <v>466</v>
      </c>
      <c r="B94" s="16" t="s">
        <v>467</v>
      </c>
      <c r="D94" s="14">
        <v>1</v>
      </c>
      <c r="E94" s="14">
        <v>0.99930887339897911</v>
      </c>
      <c r="F94" s="14">
        <v>0.89779219022404233</v>
      </c>
      <c r="G94" s="14">
        <v>2.0370994988528362E-20</v>
      </c>
      <c r="H94" s="14">
        <v>29.843916981067519</v>
      </c>
      <c r="I94" s="14">
        <v>3.6312481890081176E-2</v>
      </c>
      <c r="J94" s="14">
        <v>0</v>
      </c>
      <c r="K94" s="14">
        <v>1.1138435050882451</v>
      </c>
      <c r="L94" s="14">
        <v>0.89779219022404244</v>
      </c>
      <c r="M94" s="14">
        <v>0.73663849207882681</v>
      </c>
      <c r="N94" s="14">
        <v>1.9495932490614827</v>
      </c>
      <c r="O94" s="14">
        <v>644.80847119459474</v>
      </c>
      <c r="P94" s="8">
        <v>1.9495932490614827</v>
      </c>
      <c r="Q94" s="54">
        <v>1.076108181135366E-4</v>
      </c>
    </row>
    <row r="95" spans="1:17">
      <c r="A95" s="2" t="s">
        <v>468</v>
      </c>
      <c r="B95" s="16" t="s">
        <v>469</v>
      </c>
      <c r="D95" s="14">
        <v>1</v>
      </c>
      <c r="E95" s="14">
        <v>0.90947674154355485</v>
      </c>
      <c r="F95" s="14">
        <v>8.1628397753395095E-3</v>
      </c>
      <c r="G95" s="14">
        <v>2.3156331580803939E-20</v>
      </c>
      <c r="H95" s="14">
        <v>205.3720186989606</v>
      </c>
      <c r="I95" s="14">
        <v>470.43371892729584</v>
      </c>
      <c r="J95" s="14">
        <v>0</v>
      </c>
      <c r="K95" s="14">
        <v>122.50638595419545</v>
      </c>
      <c r="L95" s="14">
        <v>8.1628397753395095E-3</v>
      </c>
      <c r="M95" s="14">
        <v>6.6976100356660679E-3</v>
      </c>
      <c r="N95" s="14">
        <v>126.48815976467627</v>
      </c>
      <c r="O95" s="14">
        <v>62485.15092375008</v>
      </c>
      <c r="P95" s="8">
        <v>126.48815976467628</v>
      </c>
      <c r="Q95" s="54">
        <v>8.0075275730797674E-2</v>
      </c>
    </row>
    <row r="96" spans="1:17">
      <c r="A96" s="2" t="s">
        <v>470</v>
      </c>
      <c r="B96" s="166">
        <v>354656</v>
      </c>
      <c r="D96" s="14">
        <v>1</v>
      </c>
      <c r="E96" s="14">
        <v>0.98680395505661966</v>
      </c>
      <c r="F96" s="14">
        <v>0.98927391832981115</v>
      </c>
      <c r="G96" s="14">
        <v>4.1670148386801593E-12</v>
      </c>
      <c r="H96" s="14">
        <v>0.28418199535770333</v>
      </c>
      <c r="I96" s="14">
        <v>1.0177795725232239</v>
      </c>
      <c r="J96" s="14">
        <v>0</v>
      </c>
      <c r="K96" s="14">
        <v>1.0108423779010545</v>
      </c>
      <c r="L96" s="14">
        <v>0.98927391832981126</v>
      </c>
      <c r="M96" s="14">
        <v>0.81169924998961007</v>
      </c>
      <c r="N96" s="14">
        <v>0.85601661475663937</v>
      </c>
      <c r="O96" s="14">
        <v>168.79791626386171</v>
      </c>
      <c r="P96" s="8">
        <v>0.85601661475663937</v>
      </c>
      <c r="Q96" s="54">
        <v>2.0675390935947349E-2</v>
      </c>
    </row>
    <row r="97" spans="1:17">
      <c r="A97" s="2" t="s">
        <v>472</v>
      </c>
      <c r="B97" s="16" t="s">
        <v>473</v>
      </c>
      <c r="D97" s="14">
        <v>1</v>
      </c>
      <c r="E97" s="14">
        <v>0.97198397673231562</v>
      </c>
      <c r="F97" s="14">
        <v>0.9699200794938726</v>
      </c>
      <c r="G97" s="14">
        <v>6.5285154761972324E-12</v>
      </c>
      <c r="H97" s="14">
        <v>1.2336329202676395</v>
      </c>
      <c r="I97" s="14">
        <v>3.9595252886114047</v>
      </c>
      <c r="J97" s="14">
        <v>0</v>
      </c>
      <c r="K97" s="14">
        <v>1.0310127825395921</v>
      </c>
      <c r="L97" s="14">
        <v>0.96992007949387271</v>
      </c>
      <c r="M97" s="14">
        <v>0.79581942522472249</v>
      </c>
      <c r="N97" s="14">
        <v>1.5748781520908093</v>
      </c>
      <c r="O97" s="14">
        <v>252.26398240190582</v>
      </c>
      <c r="P97" s="8">
        <v>1.5748781520908093</v>
      </c>
      <c r="Q97" s="54">
        <v>4.4019298883230931E-2</v>
      </c>
    </row>
    <row r="98" spans="1:17">
      <c r="A98" s="2" t="s">
        <v>474</v>
      </c>
      <c r="B98" s="16" t="s">
        <v>475</v>
      </c>
      <c r="D98" s="14">
        <v>1</v>
      </c>
      <c r="E98" s="14">
        <v>0.90765077367121705</v>
      </c>
      <c r="F98" s="14">
        <v>1.9494638361268864E-2</v>
      </c>
      <c r="G98" s="14">
        <v>5.4921661969226367E-22</v>
      </c>
      <c r="H98" s="14">
        <v>214.34590117664175</v>
      </c>
      <c r="I98" s="14">
        <v>352.83556449536667</v>
      </c>
      <c r="J98" s="14">
        <v>0</v>
      </c>
      <c r="K98" s="14">
        <v>51.296155459172731</v>
      </c>
      <c r="L98" s="14">
        <v>1.9494638361268864E-2</v>
      </c>
      <c r="M98" s="14">
        <v>1.5995350775421104E-2</v>
      </c>
      <c r="N98" s="14">
        <v>93.919824351461585</v>
      </c>
      <c r="O98" s="14">
        <v>49911.812255097226</v>
      </c>
      <c r="P98" s="8">
        <v>93.919824351461585</v>
      </c>
      <c r="Q98" s="54">
        <v>9.9671812058104284E-2</v>
      </c>
    </row>
    <row r="99" spans="1:17">
      <c r="A99" s="2" t="s">
        <v>476</v>
      </c>
      <c r="B99" s="16" t="s">
        <v>477</v>
      </c>
      <c r="D99" s="14">
        <v>1</v>
      </c>
      <c r="E99" s="14">
        <v>0.99624730270744399</v>
      </c>
      <c r="F99" s="14">
        <v>1.0000243225222467</v>
      </c>
      <c r="G99" s="14">
        <v>1.9432069303766792E-9</v>
      </c>
      <c r="H99" s="14">
        <v>2.3566254475270713E-2</v>
      </c>
      <c r="I99" s="14">
        <v>0.10147235361105673</v>
      </c>
      <c r="J99" s="14">
        <v>0</v>
      </c>
      <c r="K99" s="14">
        <v>0.99997567806932397</v>
      </c>
      <c r="L99" s="14">
        <v>1.0000243225222467</v>
      </c>
      <c r="M99" s="14">
        <v>0.8205199566295035</v>
      </c>
      <c r="N99" s="14">
        <v>0.63812701603971589</v>
      </c>
      <c r="O99" s="14">
        <v>82.420485391689709</v>
      </c>
      <c r="P99" s="8">
        <v>0.638127016039716</v>
      </c>
      <c r="Q99" s="54">
        <v>5.6773769967009904E-3</v>
      </c>
    </row>
    <row r="100" spans="1:17">
      <c r="A100" s="2" t="s">
        <v>478</v>
      </c>
      <c r="B100" s="16" t="s">
        <v>479</v>
      </c>
      <c r="D100" s="14">
        <v>1</v>
      </c>
      <c r="E100" s="14">
        <v>0.818300439882928</v>
      </c>
      <c r="F100" s="14">
        <v>0.5012405732480657</v>
      </c>
      <c r="G100" s="14">
        <v>6.9102650531708238E-13</v>
      </c>
      <c r="H100" s="14">
        <v>72.85615004714596</v>
      </c>
      <c r="I100" s="14">
        <v>164.93901199930031</v>
      </c>
      <c r="J100" s="14">
        <v>0</v>
      </c>
      <c r="K100" s="14">
        <v>1.9950499887109026</v>
      </c>
      <c r="L100" s="14">
        <v>0.50124057324806581</v>
      </c>
      <c r="M100" s="14">
        <v>0.41126789035003797</v>
      </c>
      <c r="N100" s="14">
        <v>42.697329943293134</v>
      </c>
      <c r="O100" s="14">
        <v>12800.659516999282</v>
      </c>
      <c r="P100" s="8">
        <v>42.697329943293134</v>
      </c>
      <c r="Q100" s="54">
        <v>0.26885826317895395</v>
      </c>
    </row>
    <row r="101" spans="1:17">
      <c r="A101" s="2" t="s">
        <v>480</v>
      </c>
      <c r="B101" s="16" t="s">
        <v>481</v>
      </c>
      <c r="D101" s="14">
        <v>1</v>
      </c>
      <c r="E101" s="14">
        <v>0.9938238457728672</v>
      </c>
      <c r="F101" s="14">
        <v>0.99739008539279383</v>
      </c>
      <c r="G101" s="14">
        <v>5.2453386750227458E-13</v>
      </c>
      <c r="H101" s="14">
        <v>6.3906502031499141E-2</v>
      </c>
      <c r="I101" s="14">
        <v>0.25562434794985761</v>
      </c>
      <c r="J101" s="14">
        <v>0</v>
      </c>
      <c r="K101" s="14">
        <v>1.0026167440858189</v>
      </c>
      <c r="L101" s="14">
        <v>0.99739008539279395</v>
      </c>
      <c r="M101" s="14">
        <v>0.81835856506478744</v>
      </c>
      <c r="N101" s="14">
        <v>0.67393896345272941</v>
      </c>
      <c r="O101" s="14">
        <v>160.50530353590202</v>
      </c>
      <c r="P101" s="8">
        <v>0.67393896345272941</v>
      </c>
      <c r="Q101" s="54">
        <v>9.5367899553769654E-3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0.99829695193922308</v>
      </c>
      <c r="F102" s="14">
        <v>1.0021795193965959</v>
      </c>
      <c r="G102" s="14">
        <v>3.2771325748395767E-29</v>
      </c>
      <c r="H102" s="14">
        <v>4.5338330419871864E-3</v>
      </c>
      <c r="I102" s="14">
        <v>2.2045639126286262E-2</v>
      </c>
      <c r="J102" s="14">
        <v>0</v>
      </c>
      <c r="K102" s="14">
        <v>0.99782522057733913</v>
      </c>
      <c r="L102" s="14">
        <v>1.0021795193965959</v>
      </c>
      <c r="M102" s="14">
        <v>0.82228829566490702</v>
      </c>
      <c r="N102" s="14">
        <v>0.62034880961679251</v>
      </c>
      <c r="O102" s="14">
        <v>285.6272024118598</v>
      </c>
      <c r="P102" s="8">
        <v>0.62034880961679251</v>
      </c>
      <c r="Q102" s="54">
        <v>2.4072583067189977E-3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0.9963611860697229</v>
      </c>
      <c r="F103" s="14">
        <v>1.000145860132402</v>
      </c>
      <c r="G103" s="14">
        <v>2.6207272792963195E-15</v>
      </c>
      <c r="H103" s="14">
        <v>2.2140801667480677E-2</v>
      </c>
      <c r="I103" s="14">
        <v>9.5774636511372274E-2</v>
      </c>
      <c r="J103" s="14">
        <v>0</v>
      </c>
      <c r="K103" s="14">
        <v>0.9998541611396734</v>
      </c>
      <c r="L103" s="14">
        <v>1.000145860132402</v>
      </c>
      <c r="M103" s="14">
        <v>0.8206196782386358</v>
      </c>
      <c r="N103" s="14">
        <v>0.63682489517692542</v>
      </c>
      <c r="O103" s="14">
        <v>130.70830973506395</v>
      </c>
      <c r="P103" s="8">
        <v>0.63682489517692553</v>
      </c>
      <c r="Q103" s="54">
        <v>5.4960479418187406E-3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0.97994315777171603</v>
      </c>
      <c r="F104" s="14">
        <v>0.98068060049861283</v>
      </c>
      <c r="G104" s="14">
        <v>3.2962191031905196E-11</v>
      </c>
      <c r="H104" s="14">
        <v>0.64296537264027454</v>
      </c>
      <c r="I104" s="14">
        <v>2.1669293657616082</v>
      </c>
      <c r="J104" s="14">
        <v>0</v>
      </c>
      <c r="K104" s="14">
        <v>1.0196999915074942</v>
      </c>
      <c r="L104" s="14">
        <v>0.98068060049861294</v>
      </c>
      <c r="M104" s="14">
        <v>0.8046484327091119</v>
      </c>
      <c r="N104" s="14">
        <v>1.1351729637895711</v>
      </c>
      <c r="O104" s="14">
        <v>171.59274520643157</v>
      </c>
      <c r="P104" s="8">
        <v>1.1351729637895711</v>
      </c>
      <c r="Q104" s="54">
        <v>3.1509735316028763E-2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0.99799577958565311</v>
      </c>
      <c r="F105" s="14">
        <v>1.0018672445144998</v>
      </c>
      <c r="G105" s="14">
        <v>2.6073459926549144E-18</v>
      </c>
      <c r="H105" s="14">
        <v>6.4323575596863377E-3</v>
      </c>
      <c r="I105" s="14">
        <v>3.0480869291405872E-2</v>
      </c>
      <c r="J105" s="14">
        <v>0</v>
      </c>
      <c r="K105" s="14">
        <v>0.99813623558937226</v>
      </c>
      <c r="L105" s="14">
        <v>1.0018672445144998</v>
      </c>
      <c r="M105" s="14">
        <v>0.82203207412414703</v>
      </c>
      <c r="N105" s="14">
        <v>0.6221720665040531</v>
      </c>
      <c r="O105" s="14">
        <v>211.14031248881545</v>
      </c>
      <c r="P105" s="8">
        <v>0.6221720665040531</v>
      </c>
      <c r="Q105" s="54">
        <v>2.8882005649047359E-3</v>
      </c>
    </row>
    <row r="106" spans="1:17">
      <c r="A106" s="2" t="s">
        <v>490</v>
      </c>
      <c r="B106" s="16" t="s">
        <v>491</v>
      </c>
      <c r="D106" s="14">
        <v>1</v>
      </c>
      <c r="E106" s="14">
        <v>0.9315185957962181</v>
      </c>
      <c r="F106" s="14">
        <v>0.90199250154026345</v>
      </c>
      <c r="G106" s="14">
        <v>1.5406053967323099E-10</v>
      </c>
      <c r="H106" s="14">
        <v>7.2087991782039165</v>
      </c>
      <c r="I106" s="14">
        <v>20.207849461490831</v>
      </c>
      <c r="J106" s="14">
        <v>0</v>
      </c>
      <c r="K106" s="14">
        <v>1.1086566665381106</v>
      </c>
      <c r="L106" s="14">
        <v>0.90199250154026345</v>
      </c>
      <c r="M106" s="14">
        <v>0.74008484751378623</v>
      </c>
      <c r="N106" s="14">
        <v>5.6271837410546253</v>
      </c>
      <c r="O106" s="14">
        <v>1081.1508121688253</v>
      </c>
      <c r="P106" s="8">
        <v>5.6271837410546262</v>
      </c>
      <c r="Q106" s="54">
        <v>0.10668911139585076</v>
      </c>
    </row>
    <row r="107" spans="1:17">
      <c r="A107" s="2" t="s">
        <v>492</v>
      </c>
      <c r="B107" s="16" t="s">
        <v>493</v>
      </c>
      <c r="D107" s="14">
        <v>1</v>
      </c>
      <c r="E107" s="14">
        <v>0.91573335860043548</v>
      </c>
      <c r="F107" s="14">
        <v>1.4345033627659539E-2</v>
      </c>
      <c r="G107" s="14">
        <v>2.5545244180210464E-18</v>
      </c>
      <c r="H107" s="14">
        <v>218.31399180547828</v>
      </c>
      <c r="I107" s="14">
        <v>350.86394443019742</v>
      </c>
      <c r="J107" s="14">
        <v>0</v>
      </c>
      <c r="K107" s="14">
        <v>69.710537176562525</v>
      </c>
      <c r="L107" s="14">
        <v>1.4345033627659541E-2</v>
      </c>
      <c r="M107" s="14">
        <v>1.1770100091494652E-2</v>
      </c>
      <c r="N107" s="14">
        <v>93.638358203549942</v>
      </c>
      <c r="O107" s="14">
        <v>42567.997639333807</v>
      </c>
      <c r="P107" s="8">
        <v>93.638358203549942</v>
      </c>
      <c r="Q107" s="54">
        <v>8.6883786839085361E-2</v>
      </c>
    </row>
    <row r="108" spans="1:17">
      <c r="A108" s="2" t="s">
        <v>291</v>
      </c>
      <c r="B108" s="16" t="s">
        <v>494</v>
      </c>
      <c r="D108" s="14">
        <v>1</v>
      </c>
      <c r="E108" s="14">
        <v>0.82871997542200071</v>
      </c>
      <c r="F108" s="14">
        <v>0.57277015098004413</v>
      </c>
      <c r="G108" s="14">
        <v>3.9499251414136152E-12</v>
      </c>
      <c r="H108" s="14">
        <v>58.662474348074952</v>
      </c>
      <c r="I108" s="14">
        <v>136.27542592702702</v>
      </c>
      <c r="J108" s="14">
        <v>0</v>
      </c>
      <c r="K108" s="14">
        <v>1.7459010360245553</v>
      </c>
      <c r="L108" s="14">
        <v>0.57277015098004413</v>
      </c>
      <c r="M108" s="14">
        <v>0.4699579088791262</v>
      </c>
      <c r="N108" s="14">
        <v>35.275884064066318</v>
      </c>
      <c r="O108" s="14">
        <v>10876.613333473568</v>
      </c>
      <c r="P108" s="8">
        <v>35.275884064066325</v>
      </c>
      <c r="Q108" s="54">
        <v>0.2559867862416052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7.8554292690223871E-5</v>
      </c>
      <c r="E2" s="20">
        <v>0.91327049442111974</v>
      </c>
      <c r="F2" s="20">
        <v>4.1057131803901616E-2</v>
      </c>
      <c r="G2" s="20">
        <v>1.1958705261329441E-2</v>
      </c>
      <c r="H2" s="20">
        <v>0</v>
      </c>
      <c r="I2" s="20">
        <v>0.86025465735588869</v>
      </c>
      <c r="J2" s="20">
        <v>2.7087057238197403E-3</v>
      </c>
      <c r="K2" s="20">
        <v>8.3942245562370135E-2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2.5532949827556614E-3</v>
      </c>
      <c r="E3" s="20">
        <v>0.82481271369418852</v>
      </c>
      <c r="F3" s="20">
        <v>0.22218752749883988</v>
      </c>
      <c r="G3" s="20">
        <v>0.60202597750706288</v>
      </c>
      <c r="H3" s="20">
        <v>0</v>
      </c>
      <c r="I3" s="20">
        <v>5.9920868828580308E-4</v>
      </c>
      <c r="J3" s="20">
        <v>0.14095935389946154</v>
      </c>
      <c r="K3" s="20">
        <v>3.1674637423594235E-2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4.1907382570504757E-12</v>
      </c>
      <c r="E4" s="20">
        <v>0.81187266889747789</v>
      </c>
      <c r="F4" s="20">
        <v>0.30683805493100863</v>
      </c>
      <c r="G4" s="20">
        <v>7.3249518870161054E-2</v>
      </c>
      <c r="H4" s="20">
        <v>0</v>
      </c>
      <c r="I4" s="20">
        <v>0.43178509509630819</v>
      </c>
      <c r="J4" s="20">
        <v>1.5979641990735698E-2</v>
      </c>
      <c r="K4" s="20">
        <v>0.1721476891075957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9.5960214712965407E-5</v>
      </c>
      <c r="E5" s="20">
        <v>0.90364248460597529</v>
      </c>
      <c r="F5" s="20">
        <v>0.69488013334176368</v>
      </c>
      <c r="G5" s="20">
        <v>0.20165335442670856</v>
      </c>
      <c r="H5" s="20">
        <v>0</v>
      </c>
      <c r="I5" s="20">
        <v>7.1089968375030715E-3</v>
      </c>
      <c r="J5" s="20">
        <v>4.5760334993772002E-2</v>
      </c>
      <c r="K5" s="20">
        <v>5.0501220185539715E-2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8.1047353894062396E-6</v>
      </c>
      <c r="E6" s="20">
        <v>0.81635429105309032</v>
      </c>
      <c r="F6" s="20">
        <v>0.13805671155884924</v>
      </c>
      <c r="G6" s="20">
        <v>0.67803651010679511</v>
      </c>
      <c r="H6" s="20">
        <v>0</v>
      </c>
      <c r="I6" s="20">
        <v>2.6106938744597933E-4</v>
      </c>
      <c r="J6" s="20">
        <v>0.16008984964507997</v>
      </c>
      <c r="K6" s="20">
        <v>2.3547754566440263E-2</v>
      </c>
      <c r="L6" s="20">
        <v>0</v>
      </c>
    </row>
    <row r="7" spans="1:14">
      <c r="A7" s="2" t="s">
        <v>321</v>
      </c>
      <c r="B7" s="3" t="s">
        <v>322</v>
      </c>
      <c r="D7" s="20">
        <v>1.2221749498547549E-5</v>
      </c>
      <c r="E7" s="20">
        <v>0.82505462906784499</v>
      </c>
      <c r="F7" s="20">
        <v>0.20842608085261446</v>
      </c>
      <c r="G7" s="20">
        <v>0.61609490561947589</v>
      </c>
      <c r="H7" s="20">
        <v>0</v>
      </c>
      <c r="I7" s="20">
        <v>5.336425957546022E-4</v>
      </c>
      <c r="J7" s="20">
        <v>0.144430044974066</v>
      </c>
      <c r="K7" s="20">
        <v>3.0503104208590679E-2</v>
      </c>
      <c r="L7" s="20">
        <v>0</v>
      </c>
    </row>
    <row r="8" spans="1:14">
      <c r="A8" s="2" t="s">
        <v>323</v>
      </c>
      <c r="B8" s="3" t="s">
        <v>324</v>
      </c>
      <c r="D8" s="20">
        <v>1.1935347265252115E-4</v>
      </c>
      <c r="E8" s="20">
        <v>0.84130747629547953</v>
      </c>
      <c r="F8" s="20">
        <v>0.32798481998827977</v>
      </c>
      <c r="G8" s="20">
        <v>0.51209354229562409</v>
      </c>
      <c r="H8" s="20">
        <v>0</v>
      </c>
      <c r="I8" s="20">
        <v>1.229114011575667E-3</v>
      </c>
      <c r="J8" s="20">
        <v>0.11897768039813582</v>
      </c>
      <c r="K8" s="20">
        <v>3.9595489833732109E-2</v>
      </c>
      <c r="L8" s="20">
        <v>0</v>
      </c>
    </row>
    <row r="9" spans="1:14">
      <c r="A9" s="2" t="s">
        <v>325</v>
      </c>
      <c r="B9" s="3" t="s">
        <v>326</v>
      </c>
      <c r="D9" s="20">
        <v>8.8171451424145332E-5</v>
      </c>
      <c r="E9" s="20">
        <v>0.86549242956589034</v>
      </c>
      <c r="F9" s="20">
        <v>0.66795418351031066</v>
      </c>
      <c r="G9" s="20">
        <v>0.13117232899971382</v>
      </c>
      <c r="H9" s="20">
        <v>0</v>
      </c>
      <c r="I9" s="20">
        <v>6.6365917055865864E-2</v>
      </c>
      <c r="J9" s="20">
        <v>2.9092657056651563E-2</v>
      </c>
      <c r="K9" s="20">
        <v>0.10532674192603395</v>
      </c>
      <c r="L9" s="20">
        <v>0</v>
      </c>
    </row>
    <row r="10" spans="1:14">
      <c r="A10" s="2" t="s">
        <v>275</v>
      </c>
      <c r="B10" s="3" t="s">
        <v>276</v>
      </c>
      <c r="D10" s="20">
        <v>1.2297736939785512E-6</v>
      </c>
      <c r="E10" s="20">
        <v>0.90050501268826499</v>
      </c>
      <c r="F10" s="20">
        <v>0.67895952158905393</v>
      </c>
      <c r="G10" s="20">
        <v>0.21495098447524993</v>
      </c>
      <c r="H10" s="20">
        <v>0</v>
      </c>
      <c r="I10" s="20">
        <v>6.5945066239611475E-3</v>
      </c>
      <c r="J10" s="20">
        <v>4.8837178293471763E-2</v>
      </c>
      <c r="K10" s="20">
        <v>5.0656579244569372E-2</v>
      </c>
      <c r="L10" s="20">
        <v>0</v>
      </c>
    </row>
    <row r="11" spans="1:14">
      <c r="A11" s="2" t="s">
        <v>327</v>
      </c>
      <c r="B11" s="3" t="s">
        <v>328</v>
      </c>
      <c r="D11" s="20">
        <v>6.3754096386724543E-5</v>
      </c>
      <c r="E11" s="20">
        <v>0.89496077098654658</v>
      </c>
      <c r="F11" s="20">
        <v>0.65091874586498177</v>
      </c>
      <c r="G11" s="20">
        <v>0.23824419875865216</v>
      </c>
      <c r="H11" s="20">
        <v>0</v>
      </c>
      <c r="I11" s="20">
        <v>5.7978263629126529E-3</v>
      </c>
      <c r="J11" s="20">
        <v>5.4239179302334781E-2</v>
      </c>
      <c r="K11" s="20">
        <v>5.0736295614731794E-2</v>
      </c>
      <c r="L11" s="20">
        <v>0</v>
      </c>
    </row>
    <row r="12" spans="1:14">
      <c r="A12" s="2" t="s">
        <v>329</v>
      </c>
      <c r="B12" s="3" t="s">
        <v>330</v>
      </c>
      <c r="D12" s="20">
        <v>4.5061417188474136E-5</v>
      </c>
      <c r="E12" s="20">
        <v>0.88334850710682244</v>
      </c>
      <c r="F12" s="20">
        <v>0.70798414269444132</v>
      </c>
      <c r="G12" s="20">
        <v>0.13375779041628794</v>
      </c>
      <c r="H12" s="20">
        <v>0</v>
      </c>
      <c r="I12" s="20">
        <v>4.160657399609323E-2</v>
      </c>
      <c r="J12" s="20">
        <v>2.9787286060448018E-2</v>
      </c>
      <c r="K12" s="20">
        <v>8.6819145415541005E-2</v>
      </c>
      <c r="L12" s="20">
        <v>0</v>
      </c>
    </row>
    <row r="13" spans="1:14">
      <c r="A13" s="2" t="s">
        <v>277</v>
      </c>
      <c r="B13" s="3" t="s">
        <v>278</v>
      </c>
      <c r="D13" s="20">
        <v>1.3691633145329339E-4</v>
      </c>
      <c r="E13" s="20">
        <v>0.86720134201057575</v>
      </c>
      <c r="F13" s="20">
        <v>0.67216197212653173</v>
      </c>
      <c r="G13" s="20">
        <v>0.13151324499066153</v>
      </c>
      <c r="H13" s="20">
        <v>0</v>
      </c>
      <c r="I13" s="20">
        <v>6.3526124893382524E-2</v>
      </c>
      <c r="J13" s="20">
        <v>2.9179479371119619E-2</v>
      </c>
      <c r="K13" s="20">
        <v>0.10348226228685126</v>
      </c>
      <c r="L13" s="20">
        <v>0</v>
      </c>
    </row>
    <row r="14" spans="1:14">
      <c r="A14" s="2" t="s">
        <v>331</v>
      </c>
      <c r="B14" s="3" t="s">
        <v>332</v>
      </c>
      <c r="D14" s="20">
        <v>4.174987195294478E-5</v>
      </c>
      <c r="E14" s="20">
        <v>0.87742782504572259</v>
      </c>
      <c r="F14" s="20">
        <v>0.55510332940288321</v>
      </c>
      <c r="G14" s="20">
        <v>0.3185439693936698</v>
      </c>
      <c r="H14" s="20">
        <v>0</v>
      </c>
      <c r="I14" s="20">
        <v>3.7805262491695845E-3</v>
      </c>
      <c r="J14" s="20">
        <v>7.2977897920761439E-2</v>
      </c>
      <c r="K14" s="20">
        <v>4.9552527161563061E-2</v>
      </c>
      <c r="L14" s="20">
        <v>0</v>
      </c>
    </row>
    <row r="15" spans="1:14">
      <c r="A15" s="2" t="s">
        <v>333</v>
      </c>
      <c r="B15" s="3" t="s">
        <v>334</v>
      </c>
      <c r="D15" s="20">
        <v>6.9568302645572158E-8</v>
      </c>
      <c r="E15" s="20">
        <v>0.89777857320439114</v>
      </c>
      <c r="F15" s="20">
        <v>0.66516607595414046</v>
      </c>
      <c r="G15" s="20">
        <v>0.2264256624832075</v>
      </c>
      <c r="H15" s="20">
        <v>0</v>
      </c>
      <c r="I15" s="20">
        <v>6.1868347670432193E-3</v>
      </c>
      <c r="J15" s="20">
        <v>5.1496355812785187E-2</v>
      </c>
      <c r="K15" s="20">
        <v>5.0725001414521159E-2</v>
      </c>
      <c r="L15" s="20">
        <v>0</v>
      </c>
    </row>
    <row r="16" spans="1:14">
      <c r="A16" s="2" t="s">
        <v>335</v>
      </c>
      <c r="B16" s="3" t="s">
        <v>336</v>
      </c>
      <c r="D16" s="20">
        <v>3.1061733818701698E-4</v>
      </c>
      <c r="E16" s="20">
        <v>0.84203631322870354</v>
      </c>
      <c r="F16" s="20">
        <v>0.33407530843460781</v>
      </c>
      <c r="G16" s="20">
        <v>0.50668720022100422</v>
      </c>
      <c r="H16" s="20">
        <v>0</v>
      </c>
      <c r="I16" s="20">
        <v>1.2738045730915572E-3</v>
      </c>
      <c r="J16" s="20">
        <v>0.11767366187684414</v>
      </c>
      <c r="K16" s="20">
        <v>3.9979407556265043E-2</v>
      </c>
      <c r="L16" s="20">
        <v>0</v>
      </c>
    </row>
    <row r="17" spans="1:12">
      <c r="A17" s="2" t="s">
        <v>337</v>
      </c>
      <c r="B17" s="3" t="s">
        <v>338</v>
      </c>
      <c r="D17" s="20">
        <v>2.4627670350996023E-5</v>
      </c>
      <c r="E17" s="20">
        <v>0.90263903860180683</v>
      </c>
      <c r="F17" s="20">
        <v>0.68967108162289026</v>
      </c>
      <c r="G17" s="20">
        <v>0.20603337252289114</v>
      </c>
      <c r="H17" s="20">
        <v>0</v>
      </c>
      <c r="I17" s="20">
        <v>6.9345844560254029E-3</v>
      </c>
      <c r="J17" s="20">
        <v>4.6773198832160488E-2</v>
      </c>
      <c r="K17" s="20">
        <v>5.0563134895681761E-2</v>
      </c>
      <c r="L17" s="20">
        <v>0</v>
      </c>
    </row>
    <row r="18" spans="1:12">
      <c r="A18" s="2" t="s">
        <v>279</v>
      </c>
      <c r="B18" s="3" t="s">
        <v>280</v>
      </c>
      <c r="D18" s="20">
        <v>2.6790978418130265E-3</v>
      </c>
      <c r="E18" s="20">
        <v>0.85531619148860871</v>
      </c>
      <c r="F18" s="20">
        <v>0.64596242885237387</v>
      </c>
      <c r="G18" s="20">
        <v>0.12897419153376888</v>
      </c>
      <c r="H18" s="20">
        <v>0</v>
      </c>
      <c r="I18" s="20">
        <v>8.0379571102465908E-2</v>
      </c>
      <c r="J18" s="20">
        <v>2.8556086102888834E-2</v>
      </c>
      <c r="K18" s="20">
        <v>0.11344862456668951</v>
      </c>
      <c r="L18" s="20">
        <v>0</v>
      </c>
    </row>
    <row r="19" spans="1:12">
      <c r="A19" s="2" t="s">
        <v>339</v>
      </c>
      <c r="B19" s="3" t="s">
        <v>340</v>
      </c>
      <c r="D19" s="20">
        <v>2.4371010252260329E-7</v>
      </c>
      <c r="E19" s="20">
        <v>0.89722877994861105</v>
      </c>
      <c r="F19" s="20">
        <v>0.66235713155893072</v>
      </c>
      <c r="G19" s="20">
        <v>0.22876404760292948</v>
      </c>
      <c r="H19" s="20">
        <v>0</v>
      </c>
      <c r="I19" s="20">
        <v>6.1076007867508055E-3</v>
      </c>
      <c r="J19" s="20">
        <v>5.203871829517883E-2</v>
      </c>
      <c r="K19" s="20">
        <v>5.0732258046107752E-2</v>
      </c>
      <c r="L19" s="20">
        <v>0</v>
      </c>
    </row>
    <row r="20" spans="1:12">
      <c r="A20" s="2" t="s">
        <v>281</v>
      </c>
      <c r="B20" s="3" t="s">
        <v>282</v>
      </c>
      <c r="D20" s="20">
        <v>2.0725533522763307E-5</v>
      </c>
      <c r="E20" s="20">
        <v>0.8673021166241609</v>
      </c>
      <c r="F20" s="20">
        <v>0.67224008185690942</v>
      </c>
      <c r="G20" s="20">
        <v>0.13152852771198958</v>
      </c>
      <c r="H20" s="20">
        <v>0</v>
      </c>
      <c r="I20" s="20">
        <v>6.3533507055261867E-2</v>
      </c>
      <c r="J20" s="20">
        <v>2.9182870222373869E-2</v>
      </c>
      <c r="K20" s="20">
        <v>0.10349428761994253</v>
      </c>
      <c r="L20" s="20">
        <v>0</v>
      </c>
    </row>
    <row r="21" spans="1:12">
      <c r="A21" s="2" t="s">
        <v>341</v>
      </c>
      <c r="B21" s="3" t="s">
        <v>342</v>
      </c>
      <c r="D21" s="20">
        <v>3.5150775875365488E-4</v>
      </c>
      <c r="E21" s="20">
        <v>0.88228831984209588</v>
      </c>
      <c r="F21" s="20">
        <v>0.58392033508539165</v>
      </c>
      <c r="G21" s="20">
        <v>0.29406893941573836</v>
      </c>
      <c r="H21" s="20">
        <v>0</v>
      </c>
      <c r="I21" s="20">
        <v>4.2990453409658975E-3</v>
      </c>
      <c r="J21" s="20">
        <v>6.7247729319664107E-2</v>
      </c>
      <c r="K21" s="20">
        <v>5.0112443079486382E-2</v>
      </c>
      <c r="L21" s="20">
        <v>0</v>
      </c>
    </row>
    <row r="22" spans="1:12">
      <c r="A22" s="2" t="s">
        <v>343</v>
      </c>
      <c r="B22" s="3" t="s">
        <v>344</v>
      </c>
      <c r="D22" s="20">
        <v>1.8140158213961197E-3</v>
      </c>
      <c r="E22" s="20">
        <v>0.84766785503123054</v>
      </c>
      <c r="F22" s="20">
        <v>0.14284326054867003</v>
      </c>
      <c r="G22" s="20">
        <v>3.7252490294294435E-2</v>
      </c>
      <c r="H22" s="20">
        <v>0</v>
      </c>
      <c r="I22" s="20">
        <v>0.66757210418826607</v>
      </c>
      <c r="J22" s="20">
        <v>8.1372300826447926E-3</v>
      </c>
      <c r="K22" s="20">
        <v>0.14238089906472856</v>
      </c>
      <c r="L22" s="20">
        <v>0</v>
      </c>
    </row>
    <row r="23" spans="1:12">
      <c r="A23" s="2" t="s">
        <v>345</v>
      </c>
      <c r="B23" s="3" t="s">
        <v>346</v>
      </c>
      <c r="D23" s="20">
        <v>7.4051866292663838E-5</v>
      </c>
      <c r="E23" s="20">
        <v>0.89212808576954006</v>
      </c>
      <c r="F23" s="20">
        <v>6.5246120314329734E-2</v>
      </c>
      <c r="G23" s="20">
        <v>1.8283117400810265E-2</v>
      </c>
      <c r="H23" s="20">
        <v>0</v>
      </c>
      <c r="I23" s="20">
        <v>0.80859884805440008</v>
      </c>
      <c r="J23" s="20">
        <v>4.0577608295634072E-3</v>
      </c>
      <c r="K23" s="20">
        <v>0.1037401015346037</v>
      </c>
      <c r="L23" s="20">
        <v>0</v>
      </c>
    </row>
    <row r="24" spans="1:12">
      <c r="A24" s="2" t="s">
        <v>347</v>
      </c>
      <c r="B24" s="3" t="s">
        <v>348</v>
      </c>
      <c r="D24" s="20">
        <v>6.7145799847327648E-5</v>
      </c>
      <c r="E24" s="20">
        <v>0.81920279550638764</v>
      </c>
      <c r="F24" s="20">
        <v>0.50215470458903633</v>
      </c>
      <c r="G24" s="20">
        <v>0.10953000090020254</v>
      </c>
      <c r="H24" s="20">
        <v>0</v>
      </c>
      <c r="I24" s="20">
        <v>0.20751809001714874</v>
      </c>
      <c r="J24" s="20">
        <v>2.4044304650272495E-2</v>
      </c>
      <c r="K24" s="20">
        <v>0.15668575404349272</v>
      </c>
      <c r="L24" s="20">
        <v>0</v>
      </c>
    </row>
    <row r="25" spans="1:12">
      <c r="A25" s="2" t="s">
        <v>349</v>
      </c>
      <c r="B25" s="3" t="s">
        <v>350</v>
      </c>
      <c r="D25" s="20">
        <v>1.0982688504698598E-2</v>
      </c>
      <c r="E25" s="20">
        <v>0.89371110462845527</v>
      </c>
      <c r="F25" s="20">
        <v>0.73880078881315037</v>
      </c>
      <c r="G25" s="20">
        <v>0.13280759306143752</v>
      </c>
      <c r="H25" s="20">
        <v>0</v>
      </c>
      <c r="I25" s="20">
        <v>2.2102722753867429E-2</v>
      </c>
      <c r="J25" s="20">
        <v>2.9734071530797664E-2</v>
      </c>
      <c r="K25" s="20">
        <v>6.5572135336048415E-2</v>
      </c>
      <c r="L25" s="20">
        <v>0</v>
      </c>
    </row>
    <row r="26" spans="1:12">
      <c r="A26" s="2" t="s">
        <v>351</v>
      </c>
      <c r="B26" s="3" t="s">
        <v>352</v>
      </c>
      <c r="D26" s="20">
        <v>2.8311537920740681E-4</v>
      </c>
      <c r="E26" s="20">
        <v>0.88576437863239188</v>
      </c>
      <c r="F26" s="20">
        <v>0.60281235627954854</v>
      </c>
      <c r="G26" s="20">
        <v>0.27827724887464578</v>
      </c>
      <c r="H26" s="20">
        <v>0</v>
      </c>
      <c r="I26" s="20">
        <v>4.6747734781975529E-3</v>
      </c>
      <c r="J26" s="20">
        <v>6.3559052489870788E-2</v>
      </c>
      <c r="K26" s="20">
        <v>5.0393453498529785E-2</v>
      </c>
      <c r="L26" s="20">
        <v>0</v>
      </c>
    </row>
    <row r="27" spans="1:12">
      <c r="A27" s="2" t="s">
        <v>353</v>
      </c>
      <c r="B27" s="3" t="s">
        <v>354</v>
      </c>
      <c r="D27" s="20">
        <v>1.776427762922523E-3</v>
      </c>
      <c r="E27" s="20">
        <v>0.82708977297012876</v>
      </c>
      <c r="F27" s="20">
        <v>0.23478277760387609</v>
      </c>
      <c r="G27" s="20">
        <v>0.59164580782446974</v>
      </c>
      <c r="H27" s="20">
        <v>0</v>
      </c>
      <c r="I27" s="20">
        <v>6.6118754178295426E-4</v>
      </c>
      <c r="J27" s="20">
        <v>0.13838780267065889</v>
      </c>
      <c r="K27" s="20">
        <v>3.2745996596289927E-2</v>
      </c>
      <c r="L27" s="20">
        <v>0</v>
      </c>
    </row>
    <row r="28" spans="1:12">
      <c r="A28" s="2" t="s">
        <v>355</v>
      </c>
      <c r="B28" s="3" t="s">
        <v>356</v>
      </c>
      <c r="D28" s="20">
        <v>1.0323288096638782E-4</v>
      </c>
      <c r="E28" s="20">
        <v>0.86224851547718229</v>
      </c>
      <c r="F28" s="20">
        <v>0.4649826324520715</v>
      </c>
      <c r="G28" s="20">
        <v>0.3947592246024389</v>
      </c>
      <c r="H28" s="20">
        <v>0</v>
      </c>
      <c r="I28" s="20">
        <v>2.5066584226718543E-3</v>
      </c>
      <c r="J28" s="20">
        <v>9.0936225211298863E-2</v>
      </c>
      <c r="K28" s="20">
        <v>4.6712026430552292E-2</v>
      </c>
      <c r="L28" s="20">
        <v>0</v>
      </c>
    </row>
    <row r="29" spans="1:12">
      <c r="A29" s="2" t="s">
        <v>357</v>
      </c>
      <c r="B29" s="3" t="s">
        <v>358</v>
      </c>
      <c r="D29" s="20">
        <v>2.1377224460407015E-2</v>
      </c>
      <c r="E29" s="20">
        <v>0.86038094808841836</v>
      </c>
      <c r="F29" s="20">
        <v>0.55280250411696219</v>
      </c>
      <c r="G29" s="20">
        <v>0.30371452129087784</v>
      </c>
      <c r="H29" s="20">
        <v>0</v>
      </c>
      <c r="I29" s="20">
        <v>3.8639226805783221E-3</v>
      </c>
      <c r="J29" s="20">
        <v>6.9538124970433837E-2</v>
      </c>
      <c r="K29" s="20">
        <v>4.8703702480740629E-2</v>
      </c>
      <c r="L29" s="20">
        <v>0</v>
      </c>
    </row>
    <row r="30" spans="1:12">
      <c r="A30" s="2" t="s">
        <v>359</v>
      </c>
      <c r="B30" s="3" t="s">
        <v>360</v>
      </c>
      <c r="D30" s="20">
        <v>1.0323288096638782E-4</v>
      </c>
      <c r="E30" s="20">
        <v>0.86224851547718229</v>
      </c>
      <c r="F30" s="20">
        <v>0.4649826324520715</v>
      </c>
      <c r="G30" s="20">
        <v>0.3947592246024389</v>
      </c>
      <c r="H30" s="20">
        <v>0</v>
      </c>
      <c r="I30" s="20">
        <v>2.5066584226718543E-3</v>
      </c>
      <c r="J30" s="20">
        <v>9.0936225211298863E-2</v>
      </c>
      <c r="K30" s="20">
        <v>4.6712026430552292E-2</v>
      </c>
      <c r="L30" s="20">
        <v>0</v>
      </c>
    </row>
    <row r="31" spans="1:12">
      <c r="A31" s="2" t="s">
        <v>283</v>
      </c>
      <c r="B31" s="3" t="s">
        <v>284</v>
      </c>
      <c r="D31" s="20">
        <v>2.0666148842705511E-8</v>
      </c>
      <c r="E31" s="20">
        <v>0.98976250007189059</v>
      </c>
      <c r="F31" s="20">
        <v>6.085247369240766E-4</v>
      </c>
      <c r="G31" s="20">
        <v>2.4421581947479352E-4</v>
      </c>
      <c r="H31" s="20">
        <v>0</v>
      </c>
      <c r="I31" s="20">
        <v>0.98890975951549176</v>
      </c>
      <c r="J31" s="20">
        <v>2.4506999720515167E-4</v>
      </c>
      <c r="K31" s="20">
        <v>9.992409264755352E-3</v>
      </c>
      <c r="L31" s="20">
        <v>0</v>
      </c>
    </row>
    <row r="32" spans="1:12">
      <c r="A32" s="2" t="s">
        <v>361</v>
      </c>
      <c r="B32" s="3" t="s">
        <v>362</v>
      </c>
      <c r="D32" s="20">
        <v>2.0139409148963179E-8</v>
      </c>
      <c r="E32" s="20">
        <v>0.82243494429174124</v>
      </c>
      <c r="F32" s="20">
        <v>0.23694279079355401</v>
      </c>
      <c r="G32" s="20">
        <v>5.842008181931449E-2</v>
      </c>
      <c r="H32" s="20">
        <v>0</v>
      </c>
      <c r="I32" s="20">
        <v>0.52707207167887271</v>
      </c>
      <c r="J32" s="20">
        <v>1.2802456441437415E-2</v>
      </c>
      <c r="K32" s="20">
        <v>0.16476257912741221</v>
      </c>
      <c r="L32" s="20">
        <v>0</v>
      </c>
    </row>
    <row r="33" spans="1:12">
      <c r="A33" s="2" t="s">
        <v>364</v>
      </c>
      <c r="B33" s="3" t="s">
        <v>365</v>
      </c>
      <c r="D33" s="20">
        <v>9.3873664660288513E-11</v>
      </c>
      <c r="E33" s="20">
        <v>0.99975729640884214</v>
      </c>
      <c r="F33" s="20">
        <v>4.2015216879944571E-3</v>
      </c>
      <c r="G33" s="20">
        <v>1.2847952796085723E-6</v>
      </c>
      <c r="H33" s="20">
        <v>0</v>
      </c>
      <c r="I33" s="20">
        <v>0.99555448992556805</v>
      </c>
      <c r="J33" s="20">
        <v>2.1860830740531891E-4</v>
      </c>
      <c r="K33" s="20">
        <v>2.4095189878836631E-5</v>
      </c>
      <c r="L33" s="20">
        <v>0</v>
      </c>
    </row>
    <row r="34" spans="1:12">
      <c r="A34" s="2" t="s">
        <v>285</v>
      </c>
      <c r="B34" s="3" t="s">
        <v>286</v>
      </c>
      <c r="D34" s="20">
        <v>2.7868541723588278E-10</v>
      </c>
      <c r="E34" s="20">
        <v>0.99811657218653782</v>
      </c>
      <c r="F34" s="20">
        <v>0.45138452062099532</v>
      </c>
      <c r="G34" s="20">
        <v>3.7069879033211611E-5</v>
      </c>
      <c r="H34" s="20">
        <v>0</v>
      </c>
      <c r="I34" s="20">
        <v>0.54669498168650932</v>
      </c>
      <c r="J34" s="20">
        <v>1.801445708335658E-3</v>
      </c>
      <c r="K34" s="20">
        <v>8.1981826441049777E-5</v>
      </c>
      <c r="L34" s="20">
        <v>0</v>
      </c>
    </row>
    <row r="35" spans="1:12">
      <c r="A35" s="2" t="s">
        <v>287</v>
      </c>
      <c r="B35" s="3" t="s">
        <v>288</v>
      </c>
      <c r="D35" s="20">
        <v>8.1136735496283238E-12</v>
      </c>
      <c r="E35" s="20">
        <v>0.99734036844669816</v>
      </c>
      <c r="F35" s="20">
        <v>0.67372143881252622</v>
      </c>
      <c r="G35" s="20">
        <v>1.3046910707447423E-4</v>
      </c>
      <c r="H35" s="20">
        <v>0</v>
      </c>
      <c r="I35" s="20">
        <v>0.32348846052709751</v>
      </c>
      <c r="J35" s="20">
        <v>2.4612943757935679E-3</v>
      </c>
      <c r="K35" s="20">
        <v>1.9833716939449071E-4</v>
      </c>
      <c r="L35" s="20">
        <v>0</v>
      </c>
    </row>
    <row r="36" spans="1:12">
      <c r="A36" s="2" t="s">
        <v>366</v>
      </c>
      <c r="B36" s="3" t="s">
        <v>305</v>
      </c>
      <c r="D36" s="20">
        <v>1.4297649045715292E-8</v>
      </c>
      <c r="E36" s="20">
        <v>0.99684256179931796</v>
      </c>
      <c r="F36" s="20">
        <v>0.88873100198355393</v>
      </c>
      <c r="G36" s="20">
        <v>2.5445565885047429E-4</v>
      </c>
      <c r="H36" s="20">
        <v>0</v>
      </c>
      <c r="I36" s="20">
        <v>0.10785710415691355</v>
      </c>
      <c r="J36" s="20">
        <v>2.9358551393881588E-3</v>
      </c>
      <c r="K36" s="20">
        <v>2.2156876364495343E-4</v>
      </c>
      <c r="L36" s="20">
        <v>0</v>
      </c>
    </row>
    <row r="37" spans="1:12">
      <c r="A37" s="2" t="s">
        <v>289</v>
      </c>
      <c r="B37" s="3" t="s">
        <v>290</v>
      </c>
      <c r="D37" s="20">
        <v>3.3751226533314557E-15</v>
      </c>
      <c r="E37" s="20">
        <v>0.96158687268864984</v>
      </c>
      <c r="F37" s="20">
        <v>0.72153009566499893</v>
      </c>
      <c r="G37" s="20">
        <v>2.463337689051312E-2</v>
      </c>
      <c r="H37" s="20">
        <v>0</v>
      </c>
      <c r="I37" s="20">
        <v>0.21542340013313782</v>
      </c>
      <c r="J37" s="20">
        <v>7.5229520522220594E-3</v>
      </c>
      <c r="K37" s="20">
        <v>3.089017525912453E-2</v>
      </c>
      <c r="L37" s="20">
        <v>0</v>
      </c>
    </row>
    <row r="38" spans="1:12">
      <c r="A38" s="2" t="s">
        <v>291</v>
      </c>
      <c r="B38" s="3" t="s">
        <v>292</v>
      </c>
      <c r="D38" s="20">
        <v>9.3914905626796084E-13</v>
      </c>
      <c r="E38" s="20">
        <v>0.99755931912713691</v>
      </c>
      <c r="F38" s="20">
        <v>0.38434780359071569</v>
      </c>
      <c r="G38" s="20">
        <v>3.2110084709046515E-4</v>
      </c>
      <c r="H38" s="20">
        <v>0</v>
      </c>
      <c r="I38" s="20">
        <v>0.61289041468933081</v>
      </c>
      <c r="J38" s="20">
        <v>1.6468319268435568E-3</v>
      </c>
      <c r="K38" s="20">
        <v>7.9384894508015432E-4</v>
      </c>
      <c r="L38" s="20">
        <v>0</v>
      </c>
    </row>
    <row r="39" spans="1:12">
      <c r="A39" s="2" t="s">
        <v>367</v>
      </c>
      <c r="B39" s="3" t="s">
        <v>368</v>
      </c>
      <c r="D39" s="20">
        <v>1.1722231678264518E-5</v>
      </c>
      <c r="E39" s="20">
        <v>0.92115497197053609</v>
      </c>
      <c r="F39" s="20">
        <v>0.77504868695731843</v>
      </c>
      <c r="G39" s="20">
        <v>0.13537065809690643</v>
      </c>
      <c r="H39" s="20">
        <v>0</v>
      </c>
      <c r="I39" s="20">
        <v>1.0735626916311178E-2</v>
      </c>
      <c r="J39" s="20">
        <v>3.0502842208379375E-2</v>
      </c>
      <c r="K39" s="20">
        <v>4.8330463589406347E-2</v>
      </c>
      <c r="L39" s="20">
        <v>0</v>
      </c>
    </row>
    <row r="40" spans="1:12">
      <c r="A40" s="2" t="s">
        <v>369</v>
      </c>
      <c r="B40" s="3" t="s">
        <v>370</v>
      </c>
      <c r="D40" s="20">
        <v>5.9827965078018475E-13</v>
      </c>
      <c r="E40" s="20">
        <v>0.82136705281504252</v>
      </c>
      <c r="F40" s="20">
        <v>0.76517063015615028</v>
      </c>
      <c r="G40" s="20">
        <v>5.5357780448110051E-2</v>
      </c>
      <c r="H40" s="20">
        <v>0</v>
      </c>
      <c r="I40" s="20">
        <v>8.3864221078220984E-4</v>
      </c>
      <c r="J40" s="20">
        <v>0.17761745849712707</v>
      </c>
      <c r="K40" s="20">
        <v>1.0154886872321236E-3</v>
      </c>
      <c r="L40" s="20">
        <v>0</v>
      </c>
    </row>
    <row r="41" spans="1:12">
      <c r="A41" s="2" t="s">
        <v>371</v>
      </c>
      <c r="B41" s="3" t="s">
        <v>372</v>
      </c>
      <c r="D41" s="20">
        <v>6.4968785588027933E-2</v>
      </c>
      <c r="E41" s="20">
        <v>0.93287146685723776</v>
      </c>
      <c r="F41" s="20">
        <v>2.8557713560411311E-5</v>
      </c>
      <c r="G41" s="20">
        <v>1.429614645498291E-5</v>
      </c>
      <c r="H41" s="20">
        <v>0</v>
      </c>
      <c r="I41" s="20">
        <v>0.93282861299722242</v>
      </c>
      <c r="J41" s="20">
        <v>1.8680059778530508E-4</v>
      </c>
      <c r="K41" s="20">
        <v>1.9729469569488372E-3</v>
      </c>
      <c r="L41" s="20">
        <v>0</v>
      </c>
    </row>
    <row r="42" spans="1:12">
      <c r="A42" s="2" t="s">
        <v>293</v>
      </c>
      <c r="B42" s="3" t="s">
        <v>294</v>
      </c>
      <c r="D42" s="20">
        <v>1.6325477557853701E-8</v>
      </c>
      <c r="E42" s="20">
        <v>0.83989046448093918</v>
      </c>
      <c r="F42" s="20">
        <v>0.16837770221019804</v>
      </c>
      <c r="G42" s="20">
        <v>4.3189694682522782E-2</v>
      </c>
      <c r="H42" s="20">
        <v>0</v>
      </c>
      <c r="I42" s="20">
        <v>0.62832306758821832</v>
      </c>
      <c r="J42" s="20">
        <v>9.4222527253513197E-3</v>
      </c>
      <c r="K42" s="20">
        <v>0.15068726646823197</v>
      </c>
      <c r="L42" s="20">
        <v>0</v>
      </c>
    </row>
    <row r="43" spans="1:12">
      <c r="A43" s="2" t="s">
        <v>373</v>
      </c>
      <c r="B43" s="3" t="s">
        <v>374</v>
      </c>
      <c r="D43" s="20">
        <v>3.3352507634106856E-8</v>
      </c>
      <c r="E43" s="20">
        <v>0.99363606930378512</v>
      </c>
      <c r="F43" s="20">
        <v>0.98404020919543955</v>
      </c>
      <c r="G43" s="20">
        <v>8.308732289803865E-4</v>
      </c>
      <c r="H43" s="20">
        <v>0</v>
      </c>
      <c r="I43" s="20">
        <v>8.7649868793651768E-3</v>
      </c>
      <c r="J43" s="20">
        <v>6.1869552398340199E-3</v>
      </c>
      <c r="K43" s="20">
        <v>1.7694210387309453E-4</v>
      </c>
      <c r="L43" s="20">
        <v>0</v>
      </c>
    </row>
    <row r="44" spans="1:12">
      <c r="A44" s="2" t="s">
        <v>375</v>
      </c>
      <c r="B44" s="3" t="s">
        <v>376</v>
      </c>
      <c r="D44" s="20">
        <v>7.2874415605963444E-2</v>
      </c>
      <c r="E44" s="20">
        <v>0.86650762172322515</v>
      </c>
      <c r="F44" s="20">
        <v>2.1418732621725532E-2</v>
      </c>
      <c r="G44" s="20">
        <v>6.5326490098331497E-3</v>
      </c>
      <c r="H44" s="20">
        <v>0</v>
      </c>
      <c r="I44" s="20">
        <v>0.83855624009166652</v>
      </c>
      <c r="J44" s="20">
        <v>1.5454090064876262E-3</v>
      </c>
      <c r="K44" s="20">
        <v>5.9072553664323652E-2</v>
      </c>
      <c r="L44" s="20">
        <v>0</v>
      </c>
    </row>
    <row r="45" spans="1:12">
      <c r="A45" s="2" t="s">
        <v>377</v>
      </c>
      <c r="B45" s="3" t="s">
        <v>378</v>
      </c>
      <c r="D45" s="20">
        <v>6.2503915261927538E-4</v>
      </c>
      <c r="E45" s="20">
        <v>0.8317288568560931</v>
      </c>
      <c r="F45" s="20">
        <v>0.19307493923768568</v>
      </c>
      <c r="G45" s="20">
        <v>4.8800184303629146E-2</v>
      </c>
      <c r="H45" s="20">
        <v>0</v>
      </c>
      <c r="I45" s="20">
        <v>0.58985373331477831</v>
      </c>
      <c r="J45" s="20">
        <v>1.0639513411866976E-2</v>
      </c>
      <c r="K45" s="20">
        <v>0.15700659057942057</v>
      </c>
      <c r="L45" s="20">
        <v>0</v>
      </c>
    </row>
    <row r="46" spans="1:12">
      <c r="A46" s="2" t="s">
        <v>379</v>
      </c>
      <c r="B46" s="3" t="s">
        <v>380</v>
      </c>
      <c r="D46" s="20">
        <v>1.8723846620749807E-3</v>
      </c>
      <c r="E46" s="20">
        <v>0.83537542841042378</v>
      </c>
      <c r="F46" s="20">
        <v>0.17709804181625247</v>
      </c>
      <c r="G46" s="20">
        <v>4.5176160176747554E-2</v>
      </c>
      <c r="H46" s="20">
        <v>0</v>
      </c>
      <c r="I46" s="20">
        <v>0.61310122641742382</v>
      </c>
      <c r="J46" s="20">
        <v>9.8528030818359619E-3</v>
      </c>
      <c r="K46" s="20">
        <v>0.1528993838456652</v>
      </c>
      <c r="L46" s="20">
        <v>0</v>
      </c>
    </row>
    <row r="47" spans="1:12">
      <c r="A47" s="2" t="s">
        <v>381</v>
      </c>
      <c r="B47" s="3" t="s">
        <v>382</v>
      </c>
      <c r="D47" s="20">
        <v>3.0075390764914772E-8</v>
      </c>
      <c r="E47" s="20">
        <v>0.82692406996658951</v>
      </c>
      <c r="F47" s="20">
        <v>0.2227562833170339</v>
      </c>
      <c r="G47" s="20">
        <v>0.60356704410636985</v>
      </c>
      <c r="H47" s="20">
        <v>0</v>
      </c>
      <c r="I47" s="20">
        <v>6.0074254318581179E-4</v>
      </c>
      <c r="J47" s="20">
        <v>0.14132018177113223</v>
      </c>
      <c r="K47" s="20">
        <v>3.1755718186887522E-2</v>
      </c>
      <c r="L47" s="20">
        <v>0</v>
      </c>
    </row>
    <row r="48" spans="1:12">
      <c r="A48" s="2" t="s">
        <v>383</v>
      </c>
      <c r="B48" s="3" t="s">
        <v>384</v>
      </c>
      <c r="D48" s="20">
        <v>9.6007404132749264E-3</v>
      </c>
      <c r="E48" s="20">
        <v>0.95587222007490924</v>
      </c>
      <c r="F48" s="20">
        <v>6.5905765935503121E-3</v>
      </c>
      <c r="G48" s="20">
        <v>2.2121723868375655E-3</v>
      </c>
      <c r="H48" s="20">
        <v>0</v>
      </c>
      <c r="I48" s="20">
        <v>0.94706947109452133</v>
      </c>
      <c r="J48" s="20">
        <v>6.4922485265573823E-4</v>
      </c>
      <c r="K48" s="20">
        <v>3.3877814659159962E-2</v>
      </c>
      <c r="L48" s="20">
        <v>0</v>
      </c>
    </row>
    <row r="49" spans="1:12">
      <c r="A49" s="2" t="s">
        <v>385</v>
      </c>
      <c r="B49" s="3" t="s">
        <v>386</v>
      </c>
      <c r="D49" s="20">
        <v>1.8236552793103787E-2</v>
      </c>
      <c r="E49" s="20">
        <v>0.93522011920291237</v>
      </c>
      <c r="F49" s="20">
        <v>1.195532626167152E-2</v>
      </c>
      <c r="G49" s="20">
        <v>3.8322778402581797E-3</v>
      </c>
      <c r="H49" s="20">
        <v>0</v>
      </c>
      <c r="I49" s="20">
        <v>0.91943251510098267</v>
      </c>
      <c r="J49" s="20">
        <v>9.8650724818841488E-4</v>
      </c>
      <c r="K49" s="20">
        <v>4.5556820755795271E-2</v>
      </c>
      <c r="L49" s="20">
        <v>0</v>
      </c>
    </row>
    <row r="50" spans="1:12">
      <c r="A50" s="2" t="s">
        <v>387</v>
      </c>
      <c r="B50" s="3" t="s">
        <v>388</v>
      </c>
      <c r="D50" s="20">
        <v>5.8095711771037877E-3</v>
      </c>
      <c r="E50" s="20">
        <v>0.84998302001346593</v>
      </c>
      <c r="F50" s="20">
        <v>0.63674092094542889</v>
      </c>
      <c r="G50" s="20">
        <v>0.12783751402585555</v>
      </c>
      <c r="H50" s="20">
        <v>0</v>
      </c>
      <c r="I50" s="20">
        <v>8.540458504218143E-2</v>
      </c>
      <c r="J50" s="20">
        <v>2.828837907852538E-2</v>
      </c>
      <c r="K50" s="20">
        <v>0.11591902973090486</v>
      </c>
      <c r="L50" s="20">
        <v>0</v>
      </c>
    </row>
    <row r="51" spans="1:12">
      <c r="A51" s="2" t="s">
        <v>295</v>
      </c>
      <c r="B51" s="3" t="s">
        <v>296</v>
      </c>
      <c r="D51" s="20">
        <v>5.2639622524128134E-2</v>
      </c>
      <c r="E51" s="20">
        <v>0.93420754980080067</v>
      </c>
      <c r="F51" s="20">
        <v>1.045999436650122E-3</v>
      </c>
      <c r="G51" s="20">
        <v>4.0163079602062153E-4</v>
      </c>
      <c r="H51" s="20">
        <v>0</v>
      </c>
      <c r="I51" s="20">
        <v>0.93275991956812998</v>
      </c>
      <c r="J51" s="20">
        <v>2.6667042555688627E-4</v>
      </c>
      <c r="K51" s="20">
        <v>1.2886157249514396E-2</v>
      </c>
      <c r="L51" s="20">
        <v>0</v>
      </c>
    </row>
    <row r="52" spans="1:12">
      <c r="A52" s="2" t="s">
        <v>389</v>
      </c>
      <c r="B52" s="3" t="s">
        <v>390</v>
      </c>
      <c r="D52" s="20">
        <v>6.015326671489811E-2</v>
      </c>
      <c r="E52" s="20">
        <v>0.85928237496528337</v>
      </c>
      <c r="F52" s="20">
        <v>3.772922649882627E-2</v>
      </c>
      <c r="G52" s="20">
        <v>1.1009648585062676E-2</v>
      </c>
      <c r="H52" s="20">
        <v>0</v>
      </c>
      <c r="I52" s="20">
        <v>0.8105434998813944</v>
      </c>
      <c r="J52" s="20">
        <v>2.4969291751533325E-3</v>
      </c>
      <c r="K52" s="20">
        <v>7.8067429144665121E-2</v>
      </c>
      <c r="L52" s="20">
        <v>0</v>
      </c>
    </row>
    <row r="53" spans="1:12">
      <c r="A53" s="2" t="s">
        <v>391</v>
      </c>
      <c r="B53" s="3" t="s">
        <v>392</v>
      </c>
      <c r="D53" s="20">
        <v>1.8679625583350194E-3</v>
      </c>
      <c r="E53" s="20">
        <v>0.81289230238244325</v>
      </c>
      <c r="F53" s="20">
        <v>0.28260956152953909</v>
      </c>
      <c r="G53" s="20">
        <v>6.8215396314453045E-2</v>
      </c>
      <c r="H53" s="20">
        <v>0</v>
      </c>
      <c r="I53" s="20">
        <v>0.46206734453845116</v>
      </c>
      <c r="J53" s="20">
        <v>1.4875343187811063E-2</v>
      </c>
      <c r="K53" s="20">
        <v>0.17036439187141064</v>
      </c>
      <c r="L53" s="20">
        <v>0</v>
      </c>
    </row>
    <row r="54" spans="1:12">
      <c r="A54" s="2" t="s">
        <v>393</v>
      </c>
      <c r="B54" s="3" t="s">
        <v>394</v>
      </c>
      <c r="D54" s="20">
        <v>1.4051026767533561E-4</v>
      </c>
      <c r="E54" s="20">
        <v>0.83308319875771641</v>
      </c>
      <c r="F54" s="20">
        <v>0.26960425705801072</v>
      </c>
      <c r="G54" s="20">
        <v>0.56262924257454106</v>
      </c>
      <c r="H54" s="20">
        <v>0</v>
      </c>
      <c r="I54" s="20">
        <v>8.4969912516461086E-4</v>
      </c>
      <c r="J54" s="20">
        <v>0.13125254780429754</v>
      </c>
      <c r="K54" s="20">
        <v>3.5523743170310498E-2</v>
      </c>
      <c r="L54" s="20">
        <v>0</v>
      </c>
    </row>
    <row r="55" spans="1:12">
      <c r="A55" s="2" t="s">
        <v>395</v>
      </c>
      <c r="B55" s="3" t="s">
        <v>396</v>
      </c>
      <c r="D55" s="20">
        <v>0.12390298082891692</v>
      </c>
      <c r="E55" s="20">
        <v>0.72108699516809549</v>
      </c>
      <c r="F55" s="20">
        <v>0.45888138344406271</v>
      </c>
      <c r="G55" s="20">
        <v>9.8991064473231652E-2</v>
      </c>
      <c r="H55" s="20">
        <v>0</v>
      </c>
      <c r="I55" s="20">
        <v>0.16321454725080112</v>
      </c>
      <c r="J55" s="20">
        <v>2.1752292734367643E-2</v>
      </c>
      <c r="K55" s="20">
        <v>0.13325773126861989</v>
      </c>
      <c r="L55" s="20">
        <v>0</v>
      </c>
    </row>
    <row r="56" spans="1:12">
      <c r="A56" s="2" t="s">
        <v>397</v>
      </c>
      <c r="B56" s="3" t="s">
        <v>398</v>
      </c>
      <c r="D56" s="20">
        <v>0.56471927339147066</v>
      </c>
      <c r="E56" s="20">
        <v>0.38345414430497293</v>
      </c>
      <c r="F56" s="20">
        <v>0.30595058956000837</v>
      </c>
      <c r="G56" s="20">
        <v>5.8122843094985714E-2</v>
      </c>
      <c r="H56" s="20">
        <v>0</v>
      </c>
      <c r="I56" s="20">
        <v>1.938071164997885E-2</v>
      </c>
      <c r="J56" s="20">
        <v>1.2936105248644764E-2</v>
      </c>
      <c r="K56" s="20">
        <v>3.8890477054911651E-2</v>
      </c>
      <c r="L56" s="20">
        <v>0</v>
      </c>
    </row>
    <row r="57" spans="1:12">
      <c r="A57" s="2" t="s">
        <v>399</v>
      </c>
      <c r="B57" s="3" t="s">
        <v>400</v>
      </c>
      <c r="D57" s="20">
        <v>0.74901821302111748</v>
      </c>
      <c r="E57" s="20">
        <v>0.20898471554091988</v>
      </c>
      <c r="F57" s="20">
        <v>0.14240035185266492</v>
      </c>
      <c r="G57" s="20">
        <v>2.9992082204294428E-2</v>
      </c>
      <c r="H57" s="20">
        <v>0</v>
      </c>
      <c r="I57" s="20">
        <v>3.6592281483960536E-2</v>
      </c>
      <c r="J57" s="20">
        <v>6.6052398677268137E-3</v>
      </c>
      <c r="K57" s="20">
        <v>3.5391831570235961E-2</v>
      </c>
      <c r="L57" s="20">
        <v>0</v>
      </c>
    </row>
    <row r="58" spans="1:12">
      <c r="A58" s="2" t="s">
        <v>297</v>
      </c>
      <c r="B58" s="3" t="s">
        <v>298</v>
      </c>
      <c r="D58" s="20">
        <v>0.9189809407358851</v>
      </c>
      <c r="E58" s="20">
        <v>7.6685628339379044E-2</v>
      </c>
      <c r="F58" s="20">
        <v>1.2529253282552958E-3</v>
      </c>
      <c r="G58" s="20">
        <v>3.9429452263504299E-4</v>
      </c>
      <c r="H58" s="20">
        <v>0</v>
      </c>
      <c r="I58" s="20">
        <v>7.5038408488488709E-2</v>
      </c>
      <c r="J58" s="20">
        <v>9.7809222852860851E-5</v>
      </c>
      <c r="K58" s="20">
        <v>4.2356217018831716E-3</v>
      </c>
      <c r="L58" s="20">
        <v>0</v>
      </c>
    </row>
    <row r="59" spans="1:12">
      <c r="A59" s="2" t="s">
        <v>401</v>
      </c>
      <c r="B59" s="3" t="s">
        <v>402</v>
      </c>
      <c r="D59" s="20">
        <v>0.90114520990195457</v>
      </c>
      <c r="E59" s="20">
        <v>8.2080789908120566E-2</v>
      </c>
      <c r="F59" s="20">
        <v>5.513323334098974E-2</v>
      </c>
      <c r="G59" s="20">
        <v>1.1676401450653226E-2</v>
      </c>
      <c r="H59" s="20">
        <v>0</v>
      </c>
      <c r="I59" s="20">
        <v>1.5271155116477598E-2</v>
      </c>
      <c r="J59" s="20">
        <v>2.5701710672263712E-3</v>
      </c>
      <c r="K59" s="20">
        <v>1.4203829122698665E-2</v>
      </c>
      <c r="L59" s="20">
        <v>0</v>
      </c>
    </row>
    <row r="60" spans="1:12">
      <c r="A60" s="2" t="s">
        <v>299</v>
      </c>
      <c r="B60" s="3" t="s">
        <v>300</v>
      </c>
      <c r="D60" s="20">
        <v>0.99791572967906117</v>
      </c>
      <c r="E60" s="20">
        <v>1.6911395836334917E-3</v>
      </c>
      <c r="F60" s="20">
        <v>9.1056835371451238E-4</v>
      </c>
      <c r="G60" s="20">
        <v>2.0493121171226685E-4</v>
      </c>
      <c r="H60" s="20">
        <v>0</v>
      </c>
      <c r="I60" s="20">
        <v>5.7564001820671238E-4</v>
      </c>
      <c r="J60" s="20">
        <v>4.4869989141065699E-5</v>
      </c>
      <c r="K60" s="20">
        <v>3.4826074816434561E-4</v>
      </c>
      <c r="L60" s="20">
        <v>0</v>
      </c>
    </row>
    <row r="61" spans="1:12">
      <c r="A61" s="2" t="s">
        <v>403</v>
      </c>
      <c r="B61" s="3" t="s">
        <v>404</v>
      </c>
      <c r="D61" s="20">
        <v>4.2362016291734549E-44</v>
      </c>
      <c r="E61" s="20">
        <v>0.80888737012839607</v>
      </c>
      <c r="F61" s="20">
        <v>0.37600646070175753</v>
      </c>
      <c r="G61" s="20">
        <v>8.6994312956987493E-2</v>
      </c>
      <c r="H61" s="20">
        <v>0</v>
      </c>
      <c r="I61" s="20">
        <v>0.34588659646965109</v>
      </c>
      <c r="J61" s="20">
        <v>1.9010088544370113E-2</v>
      </c>
      <c r="K61" s="20">
        <v>0.17210254132723368</v>
      </c>
      <c r="L61" s="20">
        <v>0</v>
      </c>
    </row>
    <row r="62" spans="1:12">
      <c r="A62" s="2" t="s">
        <v>405</v>
      </c>
      <c r="B62" s="3" t="s">
        <v>406</v>
      </c>
      <c r="D62" s="20">
        <v>8.3779247641530943E-8</v>
      </c>
      <c r="E62" s="20">
        <v>0.8786047520925625</v>
      </c>
      <c r="F62" s="20">
        <v>0.56163626209183126</v>
      </c>
      <c r="G62" s="20">
        <v>0.31307666264901335</v>
      </c>
      <c r="H62" s="20">
        <v>0</v>
      </c>
      <c r="I62" s="20">
        <v>3.8918273517178593E-3</v>
      </c>
      <c r="J62" s="20">
        <v>7.1696225230332006E-2</v>
      </c>
      <c r="K62" s="20">
        <v>4.9698938897857703E-2</v>
      </c>
      <c r="L62" s="20">
        <v>0</v>
      </c>
    </row>
    <row r="63" spans="1:12">
      <c r="A63" s="2" t="s">
        <v>407</v>
      </c>
      <c r="B63" s="3" t="s">
        <v>408</v>
      </c>
      <c r="D63" s="20">
        <v>1.8134986838513005E-5</v>
      </c>
      <c r="E63" s="20">
        <v>0.81848232216598105</v>
      </c>
      <c r="F63" s="20">
        <v>0.15589634349130899</v>
      </c>
      <c r="G63" s="20">
        <v>0.66226451318660839</v>
      </c>
      <c r="H63" s="20">
        <v>0</v>
      </c>
      <c r="I63" s="20">
        <v>3.2146548806369487E-4</v>
      </c>
      <c r="J63" s="20">
        <v>0.15604719176461651</v>
      </c>
      <c r="K63" s="20">
        <v>2.5452351082564009E-2</v>
      </c>
      <c r="L63" s="20">
        <v>0</v>
      </c>
    </row>
    <row r="64" spans="1:12">
      <c r="A64" s="2" t="s">
        <v>409</v>
      </c>
      <c r="B64" s="3" t="s">
        <v>410</v>
      </c>
      <c r="D64" s="20">
        <v>2.1860323600775281E-6</v>
      </c>
      <c r="E64" s="20">
        <v>0.80995987697482108</v>
      </c>
      <c r="F64" s="20">
        <v>8.1785303731275377E-2</v>
      </c>
      <c r="G64" s="20">
        <v>0.72806612720390673</v>
      </c>
      <c r="H64" s="20">
        <v>0</v>
      </c>
      <c r="I64" s="20">
        <v>1.0844603963900495E-4</v>
      </c>
      <c r="J64" s="20">
        <v>0.17334751770292933</v>
      </c>
      <c r="K64" s="20">
        <v>1.6690419289889475E-2</v>
      </c>
      <c r="L64" s="20">
        <v>0</v>
      </c>
    </row>
    <row r="65" spans="1:12">
      <c r="A65" s="2" t="s">
        <v>301</v>
      </c>
      <c r="B65" s="3" t="s">
        <v>302</v>
      </c>
      <c r="D65" s="20">
        <v>2.6474530015295232E-7</v>
      </c>
      <c r="E65" s="20">
        <v>0.80518851989399987</v>
      </c>
      <c r="F65" s="20">
        <v>3.7191778220145619E-2</v>
      </c>
      <c r="G65" s="20">
        <v>0.76796689435197707</v>
      </c>
      <c r="H65" s="20">
        <v>0</v>
      </c>
      <c r="I65" s="20">
        <v>2.9847321877224988E-5</v>
      </c>
      <c r="J65" s="20">
        <v>0.18502896171509706</v>
      </c>
      <c r="K65" s="20">
        <v>9.7822536456027946E-3</v>
      </c>
      <c r="L65" s="20">
        <v>0</v>
      </c>
    </row>
    <row r="66" spans="1:12">
      <c r="A66" s="2" t="s">
        <v>303</v>
      </c>
      <c r="B66" s="3" t="s">
        <v>304</v>
      </c>
      <c r="D66" s="20">
        <v>2.5816009095089304E-13</v>
      </c>
      <c r="E66" s="20">
        <v>0.80746112930939706</v>
      </c>
      <c r="F66" s="20">
        <v>5.8533944266935034E-2</v>
      </c>
      <c r="G66" s="20">
        <v>0.74886467551507152</v>
      </c>
      <c r="H66" s="20">
        <v>0</v>
      </c>
      <c r="I66" s="20">
        <v>6.2509527390506125E-5</v>
      </c>
      <c r="J66" s="20">
        <v>0.17921287201338901</v>
      </c>
      <c r="K66" s="20">
        <v>1.3325998676955992E-2</v>
      </c>
      <c r="L66" s="20">
        <v>0</v>
      </c>
    </row>
    <row r="67" spans="1:12">
      <c r="A67" s="2" t="s">
        <v>411</v>
      </c>
      <c r="B67" s="3" t="s">
        <v>412</v>
      </c>
      <c r="D67" s="20">
        <v>3.9647324262448626E-3</v>
      </c>
      <c r="E67" s="20">
        <v>0.92462276816110922</v>
      </c>
      <c r="F67" s="20">
        <v>2.7722511166941563E-2</v>
      </c>
      <c r="G67" s="20">
        <v>8.33159445868349E-3</v>
      </c>
      <c r="H67" s="20">
        <v>0</v>
      </c>
      <c r="I67" s="20">
        <v>0.88856866253548417</v>
      </c>
      <c r="J67" s="20">
        <v>1.9381412602521412E-3</v>
      </c>
      <c r="K67" s="20">
        <v>6.9474358152393806E-2</v>
      </c>
      <c r="L67" s="20">
        <v>0</v>
      </c>
    </row>
    <row r="68" spans="1:12">
      <c r="A68" s="2" t="s">
        <v>413</v>
      </c>
      <c r="B68" s="3" t="s">
        <v>414</v>
      </c>
      <c r="D68" s="20">
        <v>8.74089957412485E-3</v>
      </c>
      <c r="E68" s="20">
        <v>0.89669982691352013</v>
      </c>
      <c r="F68" s="20">
        <v>4.9770822161238633E-2</v>
      </c>
      <c r="G68" s="20">
        <v>1.4258386085195713E-2</v>
      </c>
      <c r="H68" s="20">
        <v>0</v>
      </c>
      <c r="I68" s="20">
        <v>0.8326706186670858</v>
      </c>
      <c r="J68" s="20">
        <v>3.1970225701604626E-3</v>
      </c>
      <c r="K68" s="20">
        <v>9.1362250942194551E-2</v>
      </c>
      <c r="L68" s="20">
        <v>0</v>
      </c>
    </row>
    <row r="69" spans="1:12">
      <c r="A69" s="2" t="s">
        <v>415</v>
      </c>
      <c r="B69" s="3" t="s">
        <v>416</v>
      </c>
      <c r="D69" s="20">
        <v>9.2260440864357801E-4</v>
      </c>
      <c r="E69" s="20">
        <v>0.84287727155303249</v>
      </c>
      <c r="F69" s="20">
        <v>0.34318967216377283</v>
      </c>
      <c r="G69" s="20">
        <v>0.49834460983258072</v>
      </c>
      <c r="H69" s="20">
        <v>0</v>
      </c>
      <c r="I69" s="20">
        <v>1.3429895566789251E-3</v>
      </c>
      <c r="J69" s="20">
        <v>0.115665496574668</v>
      </c>
      <c r="K69" s="20">
        <v>4.0534627463656096E-2</v>
      </c>
      <c r="L69" s="20">
        <v>0</v>
      </c>
    </row>
    <row r="70" spans="1:12">
      <c r="A70" s="2" t="s">
        <v>417</v>
      </c>
      <c r="B70" s="3" t="s">
        <v>418</v>
      </c>
      <c r="D70" s="20">
        <v>2.658932905304653E-3</v>
      </c>
      <c r="E70" s="20">
        <v>0.89488894466010682</v>
      </c>
      <c r="F70" s="20">
        <v>0.73337493533781162</v>
      </c>
      <c r="G70" s="20">
        <v>0.13403604922002951</v>
      </c>
      <c r="H70" s="20">
        <v>0</v>
      </c>
      <c r="I70" s="20">
        <v>2.7477960102265723E-2</v>
      </c>
      <c r="J70" s="20">
        <v>2.9955455687581303E-2</v>
      </c>
      <c r="K70" s="20">
        <v>7.2496666747007096E-2</v>
      </c>
      <c r="L70" s="20">
        <v>0</v>
      </c>
    </row>
    <row r="71" spans="1:12">
      <c r="A71" s="2" t="s">
        <v>419</v>
      </c>
      <c r="B71" s="3" t="s">
        <v>420</v>
      </c>
      <c r="D71" s="20">
        <v>2.140612745398816E-2</v>
      </c>
      <c r="E71" s="20">
        <v>0.8891064140224656</v>
      </c>
      <c r="F71" s="20">
        <v>4.4952804470393827E-2</v>
      </c>
      <c r="G71" s="20">
        <v>1.297335632708769E-2</v>
      </c>
      <c r="H71" s="20">
        <v>0</v>
      </c>
      <c r="I71" s="20">
        <v>0.83118025322498412</v>
      </c>
      <c r="J71" s="20">
        <v>2.9211760727861865E-3</v>
      </c>
      <c r="K71" s="20">
        <v>8.6566282450760007E-2</v>
      </c>
      <c r="L71" s="20">
        <v>0</v>
      </c>
    </row>
    <row r="72" spans="1:12">
      <c r="A72" s="2" t="s">
        <v>421</v>
      </c>
      <c r="B72" s="3" t="s">
        <v>422</v>
      </c>
      <c r="D72" s="20">
        <v>1.123670932265183E-2</v>
      </c>
      <c r="E72" s="20">
        <v>0.88202904668836557</v>
      </c>
      <c r="F72" s="20">
        <v>0.71722898268313573</v>
      </c>
      <c r="G72" s="20">
        <v>0.13278633558279443</v>
      </c>
      <c r="H72" s="20">
        <v>0</v>
      </c>
      <c r="I72" s="20">
        <v>3.2013728422435384E-2</v>
      </c>
      <c r="J72" s="20">
        <v>2.9635055505756704E-2</v>
      </c>
      <c r="K72" s="20">
        <v>7.7099188483226E-2</v>
      </c>
      <c r="L72" s="20">
        <v>0</v>
      </c>
    </row>
    <row r="73" spans="1:12">
      <c r="A73" s="2" t="s">
        <v>423</v>
      </c>
      <c r="B73" s="3" t="s">
        <v>424</v>
      </c>
      <c r="D73" s="20">
        <v>1.2319907490189467E-2</v>
      </c>
      <c r="E73" s="20">
        <v>0.79923409360389075</v>
      </c>
      <c r="F73" s="20">
        <v>0.39158507540223447</v>
      </c>
      <c r="G73" s="20">
        <v>8.9768028330803259E-2</v>
      </c>
      <c r="H73" s="20">
        <v>0</v>
      </c>
      <c r="I73" s="20">
        <v>0.31788098987085306</v>
      </c>
      <c r="J73" s="20">
        <v>1.9628249120488123E-2</v>
      </c>
      <c r="K73" s="20">
        <v>0.1688177497854316</v>
      </c>
      <c r="L73" s="20">
        <v>0</v>
      </c>
    </row>
    <row r="74" spans="1:12">
      <c r="A74" s="2" t="s">
        <v>425</v>
      </c>
      <c r="B74" s="3" t="s">
        <v>426</v>
      </c>
      <c r="D74" s="20">
        <v>4.1118777870112712E-3</v>
      </c>
      <c r="E74" s="20">
        <v>0.89212344127671117</v>
      </c>
      <c r="F74" s="20">
        <v>0.72955641810902983</v>
      </c>
      <c r="G74" s="20">
        <v>0.13383029577670305</v>
      </c>
      <c r="H74" s="20">
        <v>0</v>
      </c>
      <c r="I74" s="20">
        <v>2.8736727390978298E-2</v>
      </c>
      <c r="J74" s="20">
        <v>2.9897613348938933E-2</v>
      </c>
      <c r="K74" s="20">
        <v>7.3867067587338589E-2</v>
      </c>
      <c r="L74" s="20">
        <v>0</v>
      </c>
    </row>
    <row r="75" spans="1:12">
      <c r="A75" s="2" t="s">
        <v>427</v>
      </c>
      <c r="B75" s="3" t="s">
        <v>428</v>
      </c>
      <c r="D75" s="20">
        <v>4.196661285315461E-10</v>
      </c>
      <c r="E75" s="20">
        <v>0.97964998738966158</v>
      </c>
      <c r="F75" s="20">
        <v>0.97504042109006428</v>
      </c>
      <c r="G75" s="20">
        <v>3.7624681235281132E-4</v>
      </c>
      <c r="H75" s="20">
        <v>0</v>
      </c>
      <c r="I75" s="20">
        <v>4.2333194872445209E-3</v>
      </c>
      <c r="J75" s="20">
        <v>2.0315452547487199E-2</v>
      </c>
      <c r="K75" s="20">
        <v>3.4559643184833307E-5</v>
      </c>
      <c r="L75" s="20">
        <v>0</v>
      </c>
    </row>
    <row r="76" spans="1:12">
      <c r="A76" s="2" t="s">
        <v>429</v>
      </c>
      <c r="B76" s="3" t="s">
        <v>430</v>
      </c>
      <c r="D76" s="20">
        <v>1.0541536544538264E-11</v>
      </c>
      <c r="E76" s="20">
        <v>0.97964998779046053</v>
      </c>
      <c r="F76" s="20">
        <v>0.97504042148897729</v>
      </c>
      <c r="G76" s="20">
        <v>3.7624681250674326E-4</v>
      </c>
      <c r="H76" s="20">
        <v>0</v>
      </c>
      <c r="I76" s="20">
        <v>4.2333194889764766E-3</v>
      </c>
      <c r="J76" s="20">
        <v>2.0315452555798752E-2</v>
      </c>
      <c r="K76" s="20">
        <v>3.455964319897251E-5</v>
      </c>
      <c r="L76" s="20">
        <v>0</v>
      </c>
    </row>
    <row r="77" spans="1:12">
      <c r="A77" s="2" t="s">
        <v>431</v>
      </c>
      <c r="B77" s="3" t="s">
        <v>432</v>
      </c>
      <c r="D77" s="20">
        <v>2.1384421315877956E-2</v>
      </c>
      <c r="E77" s="20">
        <v>0.82295443974000049</v>
      </c>
      <c r="F77" s="20">
        <v>0.58494655371714266</v>
      </c>
      <c r="G77" s="20">
        <v>0.1209516345952061</v>
      </c>
      <c r="H77" s="20">
        <v>0</v>
      </c>
      <c r="I77" s="20">
        <v>0.11705625142765175</v>
      </c>
      <c r="J77" s="20">
        <v>2.6685359031957952E-2</v>
      </c>
      <c r="K77" s="20">
        <v>0.12897577991216355</v>
      </c>
      <c r="L77" s="20">
        <v>0</v>
      </c>
    </row>
    <row r="78" spans="1:12">
      <c r="A78" s="2" t="s">
        <v>433</v>
      </c>
      <c r="B78" s="3" t="s">
        <v>434</v>
      </c>
      <c r="D78" s="20">
        <v>3.100487205576128E-2</v>
      </c>
      <c r="E78" s="20">
        <v>0.81778641349803582</v>
      </c>
      <c r="F78" s="20">
        <v>0.15193178065761401</v>
      </c>
      <c r="G78" s="20">
        <v>3.9259447478292915E-2</v>
      </c>
      <c r="H78" s="20">
        <v>0</v>
      </c>
      <c r="I78" s="20">
        <v>0.62659518536212888</v>
      </c>
      <c r="J78" s="20">
        <v>8.5689529659966224E-3</v>
      </c>
      <c r="K78" s="20">
        <v>0.14263976148020624</v>
      </c>
      <c r="L78" s="20">
        <v>0</v>
      </c>
    </row>
    <row r="79" spans="1:12">
      <c r="A79" s="2" t="s">
        <v>435</v>
      </c>
      <c r="B79" s="3" t="s">
        <v>436</v>
      </c>
      <c r="D79" s="20">
        <v>7.3996076432054246E-3</v>
      </c>
      <c r="E79" s="20">
        <v>0.80746375670432735</v>
      </c>
      <c r="F79" s="20">
        <v>0.28882007513237867</v>
      </c>
      <c r="G79" s="20">
        <v>6.9458105249299226E-2</v>
      </c>
      <c r="H79" s="20">
        <v>0</v>
      </c>
      <c r="I79" s="20">
        <v>0.44918557632264944</v>
      </c>
      <c r="J79" s="20">
        <v>1.5148209596158757E-2</v>
      </c>
      <c r="K79" s="20">
        <v>0.16998842605630829</v>
      </c>
      <c r="L79" s="20">
        <v>0</v>
      </c>
    </row>
    <row r="80" spans="1:12">
      <c r="A80" s="2" t="s">
        <v>437</v>
      </c>
      <c r="B80" s="3" t="s">
        <v>438</v>
      </c>
      <c r="D80" s="20">
        <v>1.4743918729569899E-10</v>
      </c>
      <c r="E80" s="20">
        <v>0.96123097182837414</v>
      </c>
      <c r="F80" s="20">
        <v>0.95770472465405465</v>
      </c>
      <c r="G80" s="20">
        <v>7.0987493023641902E-4</v>
      </c>
      <c r="H80" s="20">
        <v>0</v>
      </c>
      <c r="I80" s="20">
        <v>2.8163722440830859E-3</v>
      </c>
      <c r="J80" s="20">
        <v>3.872769680086327E-2</v>
      </c>
      <c r="K80" s="20">
        <v>4.1331223323269885E-5</v>
      </c>
      <c r="L80" s="20">
        <v>0</v>
      </c>
    </row>
    <row r="81" spans="1:12">
      <c r="A81" s="2" t="s">
        <v>440</v>
      </c>
      <c r="B81" s="3" t="s">
        <v>441</v>
      </c>
      <c r="D81" s="20">
        <v>1.4621884498011173E-13</v>
      </c>
      <c r="E81" s="20">
        <v>0.98729721310308283</v>
      </c>
      <c r="F81" s="20">
        <v>9.2815825857700074E-4</v>
      </c>
      <c r="G81" s="20">
        <v>3.6100863392380127E-4</v>
      </c>
      <c r="H81" s="20">
        <v>0</v>
      </c>
      <c r="I81" s="20">
        <v>0.98600804621058202</v>
      </c>
      <c r="J81" s="20">
        <v>2.6869681503479287E-4</v>
      </c>
      <c r="K81" s="20">
        <v>1.2434090081735972E-2</v>
      </c>
      <c r="L81" s="20">
        <v>0</v>
      </c>
    </row>
    <row r="82" spans="1:12">
      <c r="A82" s="2" t="s">
        <v>442</v>
      </c>
      <c r="B82" s="3" t="s">
        <v>443</v>
      </c>
      <c r="D82" s="20">
        <v>7.2845919753848967E-5</v>
      </c>
      <c r="E82" s="20">
        <v>0.89425148650876085</v>
      </c>
      <c r="F82" s="20">
        <v>6.2491926802369965E-2</v>
      </c>
      <c r="G82" s="20">
        <v>1.7575976804762965E-2</v>
      </c>
      <c r="H82" s="20">
        <v>0</v>
      </c>
      <c r="I82" s="20">
        <v>0.81418358290162796</v>
      </c>
      <c r="J82" s="20">
        <v>3.9065774916324765E-3</v>
      </c>
      <c r="K82" s="20">
        <v>0.10176909007985277</v>
      </c>
      <c r="L82" s="20">
        <v>0</v>
      </c>
    </row>
    <row r="83" spans="1:12">
      <c r="A83" s="2" t="s">
        <v>444</v>
      </c>
      <c r="B83" s="3" t="s">
        <v>445</v>
      </c>
      <c r="D83" s="20">
        <v>4.6025807999324072E-4</v>
      </c>
      <c r="E83" s="20">
        <v>0.83149418693701993</v>
      </c>
      <c r="F83" s="20">
        <v>0.5639233866793445</v>
      </c>
      <c r="G83" s="20">
        <v>0.11899142379657261</v>
      </c>
      <c r="H83" s="20">
        <v>0</v>
      </c>
      <c r="I83" s="20">
        <v>0.14857937646110278</v>
      </c>
      <c r="J83" s="20">
        <v>2.6201191800103669E-2</v>
      </c>
      <c r="K83" s="20">
        <v>0.14184436318288327</v>
      </c>
      <c r="L83" s="20">
        <v>0</v>
      </c>
    </row>
    <row r="84" spans="1:12">
      <c r="A84" s="2" t="s">
        <v>446</v>
      </c>
      <c r="B84" s="3" t="s">
        <v>447</v>
      </c>
      <c r="D84" s="20">
        <v>4.5716386980102204E-15</v>
      </c>
      <c r="E84" s="20">
        <v>0.97233346958748268</v>
      </c>
      <c r="F84" s="20">
        <v>4.2353624760908216E-3</v>
      </c>
      <c r="G84" s="20">
        <v>1.4709101335452091E-3</v>
      </c>
      <c r="H84" s="20">
        <v>0</v>
      </c>
      <c r="I84" s="20">
        <v>0.9666271969778466</v>
      </c>
      <c r="J84" s="20">
        <v>4.9697320034328802E-4</v>
      </c>
      <c r="K84" s="20">
        <v>2.7169557212169668E-2</v>
      </c>
      <c r="L84" s="20">
        <v>0</v>
      </c>
    </row>
    <row r="85" spans="1:12">
      <c r="A85" s="2" t="s">
        <v>448</v>
      </c>
      <c r="B85" s="3" t="s">
        <v>449</v>
      </c>
      <c r="D85" s="20">
        <v>3.1230456220086307E-8</v>
      </c>
      <c r="E85" s="20">
        <v>0.99465319673768271</v>
      </c>
      <c r="F85" s="20">
        <v>1.6880955026382926E-4</v>
      </c>
      <c r="G85" s="20">
        <v>7.4489072760872981E-5</v>
      </c>
      <c r="H85" s="20">
        <v>0</v>
      </c>
      <c r="I85" s="20">
        <v>0.99440989811465796</v>
      </c>
      <c r="J85" s="20">
        <v>2.1119806184240542E-4</v>
      </c>
      <c r="K85" s="20">
        <v>5.1355739700188448E-3</v>
      </c>
      <c r="L85" s="20">
        <v>0</v>
      </c>
    </row>
    <row r="86" spans="1:12">
      <c r="A86" s="2" t="s">
        <v>450</v>
      </c>
      <c r="B86" s="3" t="s">
        <v>451</v>
      </c>
      <c r="D86" s="20">
        <v>1.1491597761464893E-8</v>
      </c>
      <c r="E86" s="20">
        <v>0.97301986903660675</v>
      </c>
      <c r="F86" s="20">
        <v>4.0327295759855436E-3</v>
      </c>
      <c r="G86" s="20">
        <v>1.4057065087861157E-3</v>
      </c>
      <c r="H86" s="20">
        <v>0</v>
      </c>
      <c r="I86" s="20">
        <v>0.96758143295183507</v>
      </c>
      <c r="J86" s="20">
        <v>4.8346292091047574E-4</v>
      </c>
      <c r="K86" s="20">
        <v>2.6496656550885005E-2</v>
      </c>
      <c r="L86" s="20">
        <v>0</v>
      </c>
    </row>
    <row r="87" spans="1:12">
      <c r="A87" s="2" t="s">
        <v>452</v>
      </c>
      <c r="B87" s="3" t="s">
        <v>453</v>
      </c>
      <c r="D87" s="20">
        <v>3.4316159357201882E-8</v>
      </c>
      <c r="E87" s="20">
        <v>0.82331835751244453</v>
      </c>
      <c r="F87" s="20">
        <v>0.19476789038340717</v>
      </c>
      <c r="G87" s="20">
        <v>0.62807703711664165</v>
      </c>
      <c r="H87" s="20">
        <v>0</v>
      </c>
      <c r="I87" s="20">
        <v>4.7343001239567899E-4</v>
      </c>
      <c r="J87" s="20">
        <v>0.14741924901804093</v>
      </c>
      <c r="K87" s="20">
        <v>2.926235915335525E-2</v>
      </c>
      <c r="L87" s="20">
        <v>0</v>
      </c>
    </row>
    <row r="88" spans="1:12">
      <c r="A88" s="2" t="s">
        <v>454</v>
      </c>
      <c r="B88" s="3" t="s">
        <v>455</v>
      </c>
      <c r="D88" s="20">
        <v>3.6525962170975693E-5</v>
      </c>
      <c r="E88" s="20">
        <v>0.85898889662165356</v>
      </c>
      <c r="F88" s="20">
        <v>0.12067584521549891</v>
      </c>
      <c r="G88" s="20">
        <v>3.199748945976523E-2</v>
      </c>
      <c r="H88" s="20">
        <v>0</v>
      </c>
      <c r="I88" s="20">
        <v>0.70631556194638945</v>
      </c>
      <c r="J88" s="20">
        <v>7.003106577764053E-3</v>
      </c>
      <c r="K88" s="20">
        <v>0.13397147083841149</v>
      </c>
      <c r="L88" s="20">
        <v>0</v>
      </c>
    </row>
    <row r="89" spans="1:12">
      <c r="A89" s="2" t="s">
        <v>456</v>
      </c>
      <c r="B89" s="3" t="s">
        <v>457</v>
      </c>
      <c r="D89" s="20">
        <v>2.4183813200450302E-17</v>
      </c>
      <c r="E89" s="20">
        <v>0.88789407799088427</v>
      </c>
      <c r="F89" s="20">
        <v>7.1079352665411252E-2</v>
      </c>
      <c r="G89" s="20">
        <v>1.9771472694920331E-2</v>
      </c>
      <c r="H89" s="20">
        <v>0</v>
      </c>
      <c r="I89" s="20">
        <v>0.79704325263055265</v>
      </c>
      <c r="J89" s="20">
        <v>4.3762245909508444E-3</v>
      </c>
      <c r="K89" s="20">
        <v>0.107729697418165</v>
      </c>
      <c r="L89" s="20">
        <v>0</v>
      </c>
    </row>
    <row r="90" spans="1:12">
      <c r="A90" s="2" t="s">
        <v>458</v>
      </c>
      <c r="B90" s="3" t="s">
        <v>459</v>
      </c>
      <c r="D90" s="20">
        <v>3.5014802323401263E-29</v>
      </c>
      <c r="E90" s="20">
        <v>0.94586922408801921</v>
      </c>
      <c r="F90" s="20">
        <v>1.5836906883151185E-2</v>
      </c>
      <c r="G90" s="20">
        <v>4.9746888074468166E-3</v>
      </c>
      <c r="H90" s="20">
        <v>0</v>
      </c>
      <c r="I90" s="20">
        <v>0.92505762839742123</v>
      </c>
      <c r="J90" s="20">
        <v>1.2299637891860012E-3</v>
      </c>
      <c r="K90" s="20">
        <v>5.2900812122794565E-2</v>
      </c>
      <c r="L90" s="20">
        <v>0</v>
      </c>
    </row>
    <row r="91" spans="1:12">
      <c r="A91" s="2" t="s">
        <v>460</v>
      </c>
      <c r="B91" s="3" t="s">
        <v>461</v>
      </c>
      <c r="D91" s="20">
        <v>3.8900602191039359E-8</v>
      </c>
      <c r="E91" s="20">
        <v>0.87291747642899253</v>
      </c>
      <c r="F91" s="20">
        <v>0.52877998560230777</v>
      </c>
      <c r="G91" s="20">
        <v>0.34077722655459075</v>
      </c>
      <c r="H91" s="20">
        <v>0</v>
      </c>
      <c r="I91" s="20">
        <v>3.3602642720939662E-3</v>
      </c>
      <c r="J91" s="20">
        <v>7.8198456603421451E-2</v>
      </c>
      <c r="K91" s="20">
        <v>4.8884028066983803E-2</v>
      </c>
      <c r="L91" s="20">
        <v>0</v>
      </c>
    </row>
    <row r="92" spans="1:12">
      <c r="A92" s="2" t="s">
        <v>462</v>
      </c>
      <c r="B92" s="3" t="s">
        <v>463</v>
      </c>
      <c r="D92" s="20">
        <v>4.1176799947937291E-9</v>
      </c>
      <c r="E92" s="20">
        <v>0.81866899818660954</v>
      </c>
      <c r="F92" s="20">
        <v>0.4985070180464542</v>
      </c>
      <c r="G92" s="20">
        <v>0.1089348480895858</v>
      </c>
      <c r="H92" s="20">
        <v>0</v>
      </c>
      <c r="I92" s="20">
        <v>0.21122713205056953</v>
      </c>
      <c r="J92" s="20">
        <v>2.3909785297674024E-2</v>
      </c>
      <c r="K92" s="20">
        <v>0.15742121239803639</v>
      </c>
      <c r="L92" s="20">
        <v>0</v>
      </c>
    </row>
    <row r="93" spans="1:12">
      <c r="A93" s="2" t="s">
        <v>464</v>
      </c>
      <c r="B93" s="3" t="s">
        <v>465</v>
      </c>
      <c r="D93" s="20">
        <v>1.6730649962581304E-4</v>
      </c>
      <c r="E93" s="20">
        <v>0.88242700553962972</v>
      </c>
      <c r="F93" s="20">
        <v>0.70620615332681336</v>
      </c>
      <c r="G93" s="20">
        <v>0.13366787772537833</v>
      </c>
      <c r="H93" s="20">
        <v>0</v>
      </c>
      <c r="I93" s="20">
        <v>4.2552974487438021E-2</v>
      </c>
      <c r="J93" s="20">
        <v>2.9761428988490664E-2</v>
      </c>
      <c r="K93" s="20">
        <v>8.7644258972253669E-2</v>
      </c>
      <c r="L93" s="20">
        <v>0</v>
      </c>
    </row>
    <row r="94" spans="1:12">
      <c r="A94" s="2" t="s">
        <v>466</v>
      </c>
      <c r="B94" s="3" t="s">
        <v>467</v>
      </c>
      <c r="D94" s="20">
        <v>1.4259696491969859E-18</v>
      </c>
      <c r="E94" s="20">
        <v>0.99930887339897922</v>
      </c>
      <c r="F94" s="20">
        <v>0.10500283750618797</v>
      </c>
      <c r="G94" s="20">
        <v>1.3798743118230849E-5</v>
      </c>
      <c r="H94" s="20">
        <v>0</v>
      </c>
      <c r="I94" s="20">
        <v>0.89429223714967299</v>
      </c>
      <c r="J94" s="20">
        <v>6.2386983969967458E-4</v>
      </c>
      <c r="K94" s="20">
        <v>6.725676132096037E-5</v>
      </c>
      <c r="L94" s="20">
        <v>0</v>
      </c>
    </row>
    <row r="95" spans="1:12">
      <c r="A95" s="2" t="s">
        <v>468</v>
      </c>
      <c r="B95" s="3" t="s">
        <v>469</v>
      </c>
      <c r="D95" s="20">
        <v>1.620943210656276E-18</v>
      </c>
      <c r="E95" s="20">
        <v>0.90947674154355485</v>
      </c>
      <c r="F95" s="20">
        <v>0.72258091059042306</v>
      </c>
      <c r="G95" s="20">
        <v>0.17876481319237247</v>
      </c>
      <c r="H95" s="20">
        <v>0</v>
      </c>
      <c r="I95" s="20">
        <v>8.1310177607593261E-3</v>
      </c>
      <c r="J95" s="20">
        <v>4.0476211124696411E-2</v>
      </c>
      <c r="K95" s="20">
        <v>5.0047047331748543E-2</v>
      </c>
      <c r="L95" s="20">
        <v>0</v>
      </c>
    </row>
    <row r="96" spans="1:12">
      <c r="A96" s="2" t="s">
        <v>470</v>
      </c>
      <c r="B96" s="165">
        <v>354656</v>
      </c>
      <c r="D96" s="20">
        <v>2.9169103870761124E-10</v>
      </c>
      <c r="E96" s="20">
        <v>0.98680395505661966</v>
      </c>
      <c r="F96" s="20">
        <v>9.998659324665436E-4</v>
      </c>
      <c r="G96" s="20">
        <v>3.8675623755882519E-4</v>
      </c>
      <c r="H96" s="20">
        <v>0</v>
      </c>
      <c r="I96" s="20">
        <v>0.98541733288659428</v>
      </c>
      <c r="J96" s="20">
        <v>2.7392531672212461E-4</v>
      </c>
      <c r="K96" s="20">
        <v>1.2922119334967092E-2</v>
      </c>
      <c r="L96" s="20">
        <v>0</v>
      </c>
    </row>
    <row r="97" spans="1:12">
      <c r="A97" s="2" t="s">
        <v>472</v>
      </c>
      <c r="B97" s="3" t="s">
        <v>473</v>
      </c>
      <c r="D97" s="20">
        <v>4.5699608333380643E-10</v>
      </c>
      <c r="E97" s="20">
        <v>0.97198397673231574</v>
      </c>
      <c r="F97" s="20">
        <v>4.3404140666696636E-3</v>
      </c>
      <c r="G97" s="20">
        <v>1.5046196096723341E-3</v>
      </c>
      <c r="H97" s="20">
        <v>0</v>
      </c>
      <c r="I97" s="20">
        <v>0.9661389430559737</v>
      </c>
      <c r="J97" s="20">
        <v>5.03961008669059E-4</v>
      </c>
      <c r="K97" s="20">
        <v>2.751206180201933E-2</v>
      </c>
      <c r="L97" s="20">
        <v>0</v>
      </c>
    </row>
    <row r="98" spans="1:12">
      <c r="A98" s="2" t="s">
        <v>474</v>
      </c>
      <c r="B98" s="3" t="s">
        <v>475</v>
      </c>
      <c r="D98" s="20">
        <v>3.8445163378458466E-20</v>
      </c>
      <c r="E98" s="20">
        <v>0.90765077367121705</v>
      </c>
      <c r="F98" s="20">
        <v>0.75415461869989642</v>
      </c>
      <c r="G98" s="20">
        <v>0.13407751450823935</v>
      </c>
      <c r="H98" s="20">
        <v>0</v>
      </c>
      <c r="I98" s="20">
        <v>1.9418640463081293E-2</v>
      </c>
      <c r="J98" s="20">
        <v>3.0054343792467714E-2</v>
      </c>
      <c r="K98" s="20">
        <v>6.2294882536315176E-2</v>
      </c>
      <c r="L98" s="20">
        <v>0</v>
      </c>
    </row>
    <row r="99" spans="1:12">
      <c r="A99" s="2" t="s">
        <v>476</v>
      </c>
      <c r="B99" s="3" t="s">
        <v>477</v>
      </c>
      <c r="D99" s="20">
        <v>1.3602448512636756E-7</v>
      </c>
      <c r="E99" s="20">
        <v>0.9962473027074441</v>
      </c>
      <c r="F99" s="20">
        <v>8.2915509745792493E-5</v>
      </c>
      <c r="G99" s="20">
        <v>3.8559494372201564E-5</v>
      </c>
      <c r="H99" s="20">
        <v>0</v>
      </c>
      <c r="I99" s="20">
        <v>0.99612582770332614</v>
      </c>
      <c r="J99" s="20">
        <v>2.0420064513270911E-4</v>
      </c>
      <c r="K99" s="20">
        <v>3.548360622938119E-3</v>
      </c>
      <c r="L99" s="20">
        <v>0</v>
      </c>
    </row>
    <row r="100" spans="1:12">
      <c r="A100" s="2" t="s">
        <v>478</v>
      </c>
      <c r="B100" s="3" t="s">
        <v>479</v>
      </c>
      <c r="D100" s="20">
        <v>4.8371855372195779E-11</v>
      </c>
      <c r="E100" s="20">
        <v>0.818300439882928</v>
      </c>
      <c r="F100" s="20">
        <v>0.25633707832587838</v>
      </c>
      <c r="G100" s="20">
        <v>6.2676824559734126E-2</v>
      </c>
      <c r="H100" s="20">
        <v>0</v>
      </c>
      <c r="I100" s="20">
        <v>0.49928653699731546</v>
      </c>
      <c r="J100" s="20">
        <v>1.3663145581853805E-2</v>
      </c>
      <c r="K100" s="20">
        <v>0.1680364144868462</v>
      </c>
      <c r="L100" s="20">
        <v>0</v>
      </c>
    </row>
    <row r="101" spans="1:12">
      <c r="A101" s="2" t="s">
        <v>480</v>
      </c>
      <c r="B101" s="3" t="s">
        <v>481</v>
      </c>
      <c r="D101" s="20">
        <v>3.6717370725159229E-11</v>
      </c>
      <c r="E101" s="20">
        <v>0.9938238457728672</v>
      </c>
      <c r="F101" s="20">
        <v>2.2484863674762662E-4</v>
      </c>
      <c r="G101" s="20">
        <v>9.7137252220945899E-5</v>
      </c>
      <c r="H101" s="20">
        <v>0</v>
      </c>
      <c r="I101" s="20">
        <v>0.99350185988389861</v>
      </c>
      <c r="J101" s="20">
        <v>2.1566046830487346E-4</v>
      </c>
      <c r="K101" s="20">
        <v>5.960493722110603E-3</v>
      </c>
      <c r="L101" s="20">
        <v>0</v>
      </c>
    </row>
    <row r="102" spans="1:12">
      <c r="A102" s="2" t="s">
        <v>482</v>
      </c>
      <c r="B102" s="3" t="s">
        <v>483</v>
      </c>
      <c r="D102" s="20">
        <v>2.2939928023877041E-27</v>
      </c>
      <c r="E102" s="20">
        <v>0.99829695193922308</v>
      </c>
      <c r="F102" s="20">
        <v>1.5951838174927719E-5</v>
      </c>
      <c r="G102" s="20">
        <v>8.3773428679887814E-6</v>
      </c>
      <c r="H102" s="20">
        <v>0</v>
      </c>
      <c r="I102" s="20">
        <v>0.99827262275818018</v>
      </c>
      <c r="J102" s="20">
        <v>1.9851161907737366E-4</v>
      </c>
      <c r="K102" s="20">
        <v>1.5045364416993734E-3</v>
      </c>
      <c r="L102" s="20">
        <v>0</v>
      </c>
    </row>
    <row r="103" spans="1:12">
      <c r="A103" s="2" t="s">
        <v>484</v>
      </c>
      <c r="B103" s="3" t="s">
        <v>485</v>
      </c>
      <c r="D103" s="20">
        <v>1.8345090955074242E-13</v>
      </c>
      <c r="E103" s="20">
        <v>0.99636118606972301</v>
      </c>
      <c r="F103" s="20">
        <v>7.7900196586864025E-5</v>
      </c>
      <c r="G103" s="20">
        <v>3.6394361874321474E-5</v>
      </c>
      <c r="H103" s="20">
        <v>0</v>
      </c>
      <c r="I103" s="20">
        <v>0.99624689151126178</v>
      </c>
      <c r="J103" s="20">
        <v>2.0378396645661618E-4</v>
      </c>
      <c r="K103" s="20">
        <v>3.435029963636713E-3</v>
      </c>
      <c r="L103" s="20">
        <v>0</v>
      </c>
    </row>
    <row r="104" spans="1:12">
      <c r="A104" s="2" t="s">
        <v>486</v>
      </c>
      <c r="B104" s="3" t="s">
        <v>487</v>
      </c>
      <c r="D104" s="20">
        <v>2.3073533722333639E-9</v>
      </c>
      <c r="E104" s="20">
        <v>0.97994315777171614</v>
      </c>
      <c r="F104" s="20">
        <v>2.2622093670975423E-3</v>
      </c>
      <c r="G104" s="20">
        <v>8.234331589894112E-4</v>
      </c>
      <c r="H104" s="20">
        <v>0</v>
      </c>
      <c r="I104" s="20">
        <v>0.97685751524562914</v>
      </c>
      <c r="J104" s="20">
        <v>3.6325534841266281E-4</v>
      </c>
      <c r="K104" s="20">
        <v>1.9693584572517974E-2</v>
      </c>
      <c r="L104" s="20">
        <v>0</v>
      </c>
    </row>
    <row r="105" spans="1:12">
      <c r="A105" s="2" t="s">
        <v>488</v>
      </c>
      <c r="B105" s="3" t="s">
        <v>489</v>
      </c>
      <c r="D105" s="20">
        <v>1.8251421948584406E-16</v>
      </c>
      <c r="E105" s="20">
        <v>0.99799577958565322</v>
      </c>
      <c r="F105" s="20">
        <v>2.2631606838000417E-5</v>
      </c>
      <c r="G105" s="20">
        <v>1.1582730330734233E-5</v>
      </c>
      <c r="H105" s="20">
        <v>0</v>
      </c>
      <c r="I105" s="20">
        <v>0.99796156524848445</v>
      </c>
      <c r="J105" s="20">
        <v>1.99095061281297E-4</v>
      </c>
      <c r="K105" s="20">
        <v>1.8051253530654598E-3</v>
      </c>
      <c r="L105" s="20">
        <v>0</v>
      </c>
    </row>
    <row r="106" spans="1:12">
      <c r="A106" s="2" t="s">
        <v>490</v>
      </c>
      <c r="B106" s="3" t="s">
        <v>491</v>
      </c>
      <c r="D106" s="20">
        <v>1.0784237777126172E-8</v>
      </c>
      <c r="E106" s="20">
        <v>0.93151859579621821</v>
      </c>
      <c r="F106" s="20">
        <v>2.5363439028592664E-2</v>
      </c>
      <c r="G106" s="20">
        <v>7.6789827953665166E-3</v>
      </c>
      <c r="H106" s="20">
        <v>0</v>
      </c>
      <c r="I106" s="20">
        <v>0.89847617397225898</v>
      </c>
      <c r="J106" s="20">
        <v>1.8006987971374805E-3</v>
      </c>
      <c r="K106" s="20">
        <v>6.6680694622406722E-2</v>
      </c>
      <c r="L106" s="20">
        <v>0</v>
      </c>
    </row>
    <row r="107" spans="1:12">
      <c r="A107" s="2" t="s">
        <v>492</v>
      </c>
      <c r="B107" s="3" t="s">
        <v>493</v>
      </c>
      <c r="D107" s="20">
        <v>1.7881670926147329E-16</v>
      </c>
      <c r="E107" s="20">
        <v>0.91573335860043548</v>
      </c>
      <c r="F107" s="20">
        <v>0.76811594876839495</v>
      </c>
      <c r="G107" s="20">
        <v>0.13332829888347505</v>
      </c>
      <c r="H107" s="20">
        <v>0</v>
      </c>
      <c r="I107" s="20">
        <v>1.4289110948565473E-2</v>
      </c>
      <c r="J107" s="20">
        <v>2.9964274625135987E-2</v>
      </c>
      <c r="K107" s="20">
        <v>5.4302366774428346E-2</v>
      </c>
      <c r="L107" s="20">
        <v>0</v>
      </c>
    </row>
    <row r="108" spans="1:12">
      <c r="A108" s="2" t="s">
        <v>291</v>
      </c>
      <c r="B108" s="3" t="s">
        <v>494</v>
      </c>
      <c r="D108" s="20">
        <v>2.7649475989895312E-10</v>
      </c>
      <c r="E108" s="20">
        <v>0.82871997542200071</v>
      </c>
      <c r="F108" s="20">
        <v>0.20639804974626694</v>
      </c>
      <c r="G108" s="20">
        <v>5.1784661852270278E-2</v>
      </c>
      <c r="H108" s="20">
        <v>0</v>
      </c>
      <c r="I108" s="20">
        <v>0.57053726382346348</v>
      </c>
      <c r="J108" s="20">
        <v>1.1288282900501224E-2</v>
      </c>
      <c r="K108" s="20">
        <v>0.15999174140100322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1.178314390353358E-8</v>
      </c>
      <c r="E2" s="14">
        <v>1.290381986033833E-4</v>
      </c>
      <c r="F2" s="14">
        <v>6.1585697705852414E-6</v>
      </c>
      <c r="G2" s="14">
        <v>1.7938057891994159E-6</v>
      </c>
      <c r="H2" s="14">
        <v>0</v>
      </c>
      <c r="I2" s="14">
        <v>4.0630585857296098E-7</v>
      </c>
      <c r="J2" s="14">
        <v>1.2591336834355518E-5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3.8299424741334913E-7</v>
      </c>
      <c r="E3" s="14">
        <v>8.9881303242870442E-8</v>
      </c>
      <c r="F3" s="14">
        <v>3.3328129124825974E-5</v>
      </c>
      <c r="G3" s="14">
        <v>9.0303896626059416E-5</v>
      </c>
      <c r="H3" s="14">
        <v>0</v>
      </c>
      <c r="I3" s="14">
        <v>2.1143903084919225E-5</v>
      </c>
      <c r="J3" s="14">
        <v>4.7511956135391344E-6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6.2861073855757122E-16</v>
      </c>
      <c r="E4" s="14">
        <v>6.4767764264446215E-5</v>
      </c>
      <c r="F4" s="14">
        <v>4.6025708239651287E-5</v>
      </c>
      <c r="G4" s="14">
        <v>1.0987427830524156E-5</v>
      </c>
      <c r="H4" s="14">
        <v>0</v>
      </c>
      <c r="I4" s="14">
        <v>2.3969462986103545E-6</v>
      </c>
      <c r="J4" s="14">
        <v>2.5822153366139349E-5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1.4394032206944808E-8</v>
      </c>
      <c r="E5" s="14">
        <v>1.0663495256254606E-6</v>
      </c>
      <c r="F5" s="14">
        <v>1.0423202000126453E-4</v>
      </c>
      <c r="G5" s="14">
        <v>3.0248003164006281E-5</v>
      </c>
      <c r="H5" s="14">
        <v>0</v>
      </c>
      <c r="I5" s="14">
        <v>6.8640502490657995E-6</v>
      </c>
      <c r="J5" s="14">
        <v>7.5751830278309565E-6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1.2157103084109357E-9</v>
      </c>
      <c r="E6" s="14">
        <v>3.9160408116896898E-8</v>
      </c>
      <c r="F6" s="14">
        <v>2.0708506733827383E-5</v>
      </c>
      <c r="G6" s="14">
        <v>1.0170547651601925E-4</v>
      </c>
      <c r="H6" s="14">
        <v>0</v>
      </c>
      <c r="I6" s="14">
        <v>2.4013477446761992E-5</v>
      </c>
      <c r="J6" s="14">
        <v>3.5321631849660386E-6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1.8332624247821321E-9</v>
      </c>
      <c r="E7" s="14">
        <v>8.0046389363190307E-8</v>
      </c>
      <c r="F7" s="14">
        <v>3.1263912127892167E-5</v>
      </c>
      <c r="G7" s="14">
        <v>9.2414235842921364E-5</v>
      </c>
      <c r="H7" s="14">
        <v>0</v>
      </c>
      <c r="I7" s="14">
        <v>2.1664506746109899E-5</v>
      </c>
      <c r="J7" s="14">
        <v>4.5754656312886011E-6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1.7903020897878169E-8</v>
      </c>
      <c r="E8" s="14">
        <v>1.8436710173635001E-7</v>
      </c>
      <c r="F8" s="14">
        <v>4.9197722998241954E-5</v>
      </c>
      <c r="G8" s="14">
        <v>7.6814031344343598E-5</v>
      </c>
      <c r="H8" s="14">
        <v>0</v>
      </c>
      <c r="I8" s="14">
        <v>1.7846652059720371E-5</v>
      </c>
      <c r="J8" s="14">
        <v>5.9393234750598155E-6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1.3225717713621797E-8</v>
      </c>
      <c r="E9" s="14">
        <v>9.9548875583798766E-6</v>
      </c>
      <c r="F9" s="14">
        <v>1.0019312752654658E-4</v>
      </c>
      <c r="G9" s="14">
        <v>1.9675849349957069E-5</v>
      </c>
      <c r="H9" s="14">
        <v>0</v>
      </c>
      <c r="I9" s="14">
        <v>4.3638985584977343E-6</v>
      </c>
      <c r="J9" s="14">
        <v>1.5799011288905089E-5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1.8446605409678266E-10</v>
      </c>
      <c r="E10" s="14">
        <v>9.8917599359417185E-7</v>
      </c>
      <c r="F10" s="14">
        <v>1.0184392823835807E-4</v>
      </c>
      <c r="G10" s="14">
        <v>3.2242647671287486E-5</v>
      </c>
      <c r="H10" s="14">
        <v>0</v>
      </c>
      <c r="I10" s="14">
        <v>7.3255767440207635E-6</v>
      </c>
      <c r="J10" s="14">
        <v>7.5984868866854041E-6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9.5631144580086802E-9</v>
      </c>
      <c r="E11" s="14">
        <v>8.6967395443689777E-7</v>
      </c>
      <c r="F11" s="14">
        <v>9.7637811879747256E-5</v>
      </c>
      <c r="G11" s="14">
        <v>3.5736629813797813E-5</v>
      </c>
      <c r="H11" s="14">
        <v>0</v>
      </c>
      <c r="I11" s="14">
        <v>8.135876895350216E-6</v>
      </c>
      <c r="J11" s="14">
        <v>7.6104443422097678E-6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6.7592125782711187E-9</v>
      </c>
      <c r="E12" s="14">
        <v>6.2409860994139837E-6</v>
      </c>
      <c r="F12" s="14">
        <v>1.0619762140416619E-4</v>
      </c>
      <c r="G12" s="14">
        <v>2.0063668562443187E-5</v>
      </c>
      <c r="H12" s="14">
        <v>0</v>
      </c>
      <c r="I12" s="14">
        <v>4.468092909067202E-6</v>
      </c>
      <c r="J12" s="14">
        <v>1.3022871812331148E-5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2.0537449717994004E-8</v>
      </c>
      <c r="E13" s="14">
        <v>9.5289187340073767E-6</v>
      </c>
      <c r="F13" s="14">
        <v>1.0082429581897974E-4</v>
      </c>
      <c r="G13" s="14">
        <v>1.9726986748599226E-5</v>
      </c>
      <c r="H13" s="14">
        <v>0</v>
      </c>
      <c r="I13" s="14">
        <v>4.3769219056679419E-6</v>
      </c>
      <c r="J13" s="14">
        <v>1.5522339343027685E-5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6.2624807929417161E-9</v>
      </c>
      <c r="E14" s="14">
        <v>5.6707893737543759E-7</v>
      </c>
      <c r="F14" s="14">
        <v>8.3265499410432479E-5</v>
      </c>
      <c r="G14" s="14">
        <v>4.7781595409050462E-5</v>
      </c>
      <c r="H14" s="14">
        <v>0</v>
      </c>
      <c r="I14" s="14">
        <v>1.0946684688114214E-5</v>
      </c>
      <c r="J14" s="14">
        <v>7.4328790742344584E-6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1.0435245396835821E-11</v>
      </c>
      <c r="E15" s="14">
        <v>9.2802521505648274E-7</v>
      </c>
      <c r="F15" s="14">
        <v>9.9774911393121044E-5</v>
      </c>
      <c r="G15" s="14">
        <v>3.3963849372481121E-5</v>
      </c>
      <c r="H15" s="14">
        <v>0</v>
      </c>
      <c r="I15" s="14">
        <v>7.7244533719177761E-6</v>
      </c>
      <c r="J15" s="14">
        <v>7.6087502121781718E-6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4.6592600728052543E-8</v>
      </c>
      <c r="E16" s="14">
        <v>1.9107068596373352E-7</v>
      </c>
      <c r="F16" s="14">
        <v>5.0111296265191167E-5</v>
      </c>
      <c r="G16" s="14">
        <v>7.6003080033150623E-5</v>
      </c>
      <c r="H16" s="14">
        <v>0</v>
      </c>
      <c r="I16" s="14">
        <v>1.7651049281526618E-5</v>
      </c>
      <c r="J16" s="14">
        <v>5.9969111334397555E-6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3.6941505526494031E-9</v>
      </c>
      <c r="E17" s="14">
        <v>1.0401876684038102E-6</v>
      </c>
      <c r="F17" s="14">
        <v>1.0345066224343351E-4</v>
      </c>
      <c r="G17" s="14">
        <v>3.0905005878433668E-5</v>
      </c>
      <c r="H17" s="14">
        <v>0</v>
      </c>
      <c r="I17" s="14">
        <v>7.0159798248240723E-6</v>
      </c>
      <c r="J17" s="14">
        <v>7.5844702343522634E-6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4.018646762719539E-7</v>
      </c>
      <c r="E18" s="14">
        <v>1.2056935665369883E-5</v>
      </c>
      <c r="F18" s="14">
        <v>9.6894364327856062E-5</v>
      </c>
      <c r="G18" s="14">
        <v>1.9346128730065328E-5</v>
      </c>
      <c r="H18" s="14">
        <v>0</v>
      </c>
      <c r="I18" s="14">
        <v>4.2834129154333241E-6</v>
      </c>
      <c r="J18" s="14">
        <v>1.7017293685003423E-5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3.6556515378390487E-11</v>
      </c>
      <c r="E19" s="14">
        <v>9.1614011801262063E-7</v>
      </c>
      <c r="F19" s="14">
        <v>9.9353569733839583E-5</v>
      </c>
      <c r="G19" s="14">
        <v>3.4314607140439415E-5</v>
      </c>
      <c r="H19" s="14">
        <v>0</v>
      </c>
      <c r="I19" s="14">
        <v>7.8058077442768239E-6</v>
      </c>
      <c r="J19" s="14">
        <v>7.609838706916161E-6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3.1088300284144956E-9</v>
      </c>
      <c r="E20" s="14">
        <v>9.5300260582892784E-6</v>
      </c>
      <c r="F20" s="14">
        <v>1.0083601227853639E-4</v>
      </c>
      <c r="G20" s="14">
        <v>1.9729279156798433E-5</v>
      </c>
      <c r="H20" s="14">
        <v>0</v>
      </c>
      <c r="I20" s="14">
        <v>4.3774305333560794E-6</v>
      </c>
      <c r="J20" s="14">
        <v>1.5524143142991376E-5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5.2726163813048219E-8</v>
      </c>
      <c r="E21" s="14">
        <v>6.4485680114488452E-7</v>
      </c>
      <c r="F21" s="14">
        <v>8.7588050262808742E-5</v>
      </c>
      <c r="G21" s="14">
        <v>4.4110340912360742E-5</v>
      </c>
      <c r="H21" s="14">
        <v>0</v>
      </c>
      <c r="I21" s="14">
        <v>1.0087159397949614E-5</v>
      </c>
      <c r="J21" s="14">
        <v>7.5168664619229561E-6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2.7210237320941792E-7</v>
      </c>
      <c r="E22" s="14">
        <v>1.001358156282399E-4</v>
      </c>
      <c r="F22" s="14">
        <v>2.1426489082300498E-5</v>
      </c>
      <c r="G22" s="14">
        <v>5.5878735441441642E-6</v>
      </c>
      <c r="H22" s="14">
        <v>0</v>
      </c>
      <c r="I22" s="14">
        <v>1.2205845123967186E-6</v>
      </c>
      <c r="J22" s="14">
        <v>2.1357134859709282E-5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1.1107779943899572E-8</v>
      </c>
      <c r="E23" s="14">
        <v>1.2128982720815999E-4</v>
      </c>
      <c r="F23" s="14">
        <v>9.7869180471494592E-6</v>
      </c>
      <c r="G23" s="14">
        <v>2.7424676101215391E-6</v>
      </c>
      <c r="H23" s="14">
        <v>0</v>
      </c>
      <c r="I23" s="14">
        <v>6.0866412443451104E-7</v>
      </c>
      <c r="J23" s="14">
        <v>1.5561015230190551E-5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1.0071869977099145E-8</v>
      </c>
      <c r="E24" s="14">
        <v>3.1127713502572307E-5</v>
      </c>
      <c r="F24" s="14">
        <v>7.5323205688355437E-5</v>
      </c>
      <c r="G24" s="14">
        <v>1.642950013503038E-5</v>
      </c>
      <c r="H24" s="14">
        <v>0</v>
      </c>
      <c r="I24" s="14">
        <v>3.6066456975408733E-6</v>
      </c>
      <c r="J24" s="14">
        <v>2.3502863106523904E-5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1.6474032757047892E-6</v>
      </c>
      <c r="E25" s="14">
        <v>3.315408413080114E-6</v>
      </c>
      <c r="F25" s="14">
        <v>1.1082011832197253E-4</v>
      </c>
      <c r="G25" s="14">
        <v>1.9921138959215623E-5</v>
      </c>
      <c r="H25" s="14">
        <v>0</v>
      </c>
      <c r="I25" s="14">
        <v>4.4601107296196488E-6</v>
      </c>
      <c r="J25" s="14">
        <v>9.8358203004072597E-6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4.2467306881111012E-8</v>
      </c>
      <c r="E26" s="14">
        <v>7.0121602172963285E-7</v>
      </c>
      <c r="F26" s="14">
        <v>9.0421853441932271E-5</v>
      </c>
      <c r="G26" s="14">
        <v>4.174158733119686E-5</v>
      </c>
      <c r="H26" s="14">
        <v>0</v>
      </c>
      <c r="I26" s="14">
        <v>9.5338578734806169E-6</v>
      </c>
      <c r="J26" s="14">
        <v>7.5590180247794661E-6</v>
      </c>
      <c r="K26" s="14">
        <v>0</v>
      </c>
    </row>
    <row r="27" spans="1:13">
      <c r="A27" s="2" t="s">
        <v>353</v>
      </c>
      <c r="B27" s="3" t="s">
        <v>354</v>
      </c>
      <c r="D27" s="14">
        <v>2.6646416443837839E-7</v>
      </c>
      <c r="E27" s="14">
        <v>9.9178131267443124E-8</v>
      </c>
      <c r="F27" s="14">
        <v>3.5217416640581409E-5</v>
      </c>
      <c r="G27" s="14">
        <v>8.8746871173670441E-5</v>
      </c>
      <c r="H27" s="14">
        <v>0</v>
      </c>
      <c r="I27" s="14">
        <v>2.075817040059883E-5</v>
      </c>
      <c r="J27" s="14">
        <v>4.9118994894434883E-6</v>
      </c>
      <c r="K27" s="14">
        <v>0</v>
      </c>
    </row>
    <row r="28" spans="1:13">
      <c r="A28" s="2" t="s">
        <v>355</v>
      </c>
      <c r="B28" s="3" t="s">
        <v>356</v>
      </c>
      <c r="D28" s="14">
        <v>1.5484932144958169E-8</v>
      </c>
      <c r="E28" s="14">
        <v>3.7599876340077808E-7</v>
      </c>
      <c r="F28" s="14">
        <v>6.9747394867810712E-5</v>
      </c>
      <c r="G28" s="14">
        <v>5.9213883690365827E-5</v>
      </c>
      <c r="H28" s="14">
        <v>0</v>
      </c>
      <c r="I28" s="14">
        <v>1.3640433781694827E-5</v>
      </c>
      <c r="J28" s="14">
        <v>7.0068039645828425E-6</v>
      </c>
      <c r="K28" s="14">
        <v>0</v>
      </c>
    </row>
    <row r="29" spans="1:13">
      <c r="A29" s="2" t="s">
        <v>357</v>
      </c>
      <c r="B29" s="3" t="s">
        <v>358</v>
      </c>
      <c r="D29" s="14">
        <v>3.2065836690610515E-6</v>
      </c>
      <c r="E29" s="14">
        <v>5.7958840208674823E-7</v>
      </c>
      <c r="F29" s="14">
        <v>8.292037561754431E-5</v>
      </c>
      <c r="G29" s="14">
        <v>4.5557178193631669E-5</v>
      </c>
      <c r="H29" s="14">
        <v>0</v>
      </c>
      <c r="I29" s="14">
        <v>1.0430718745565074E-5</v>
      </c>
      <c r="J29" s="14">
        <v>7.3055553721110938E-6</v>
      </c>
      <c r="K29" s="14">
        <v>0</v>
      </c>
    </row>
    <row r="30" spans="1:13">
      <c r="A30" s="2" t="s">
        <v>359</v>
      </c>
      <c r="B30" s="3" t="s">
        <v>360</v>
      </c>
      <c r="D30" s="14">
        <v>1.5484932144958169E-8</v>
      </c>
      <c r="E30" s="14">
        <v>3.7599876340077808E-7</v>
      </c>
      <c r="F30" s="14">
        <v>6.9747394867810712E-5</v>
      </c>
      <c r="G30" s="14">
        <v>5.9213883690365827E-5</v>
      </c>
      <c r="H30" s="14">
        <v>0</v>
      </c>
      <c r="I30" s="14">
        <v>1.3640433781694827E-5</v>
      </c>
      <c r="J30" s="14">
        <v>7.0068039645828425E-6</v>
      </c>
      <c r="K30" s="14">
        <v>0</v>
      </c>
    </row>
    <row r="31" spans="1:13">
      <c r="A31" s="2" t="s">
        <v>283</v>
      </c>
      <c r="B31" s="3" t="s">
        <v>284</v>
      </c>
      <c r="D31" s="14">
        <v>3.0999223264058263E-12</v>
      </c>
      <c r="E31" s="14">
        <v>1.4833646392732375E-4</v>
      </c>
      <c r="F31" s="14">
        <v>9.1278710538611482E-8</v>
      </c>
      <c r="G31" s="14">
        <v>3.6632372921219017E-8</v>
      </c>
      <c r="H31" s="14">
        <v>0</v>
      </c>
      <c r="I31" s="14">
        <v>3.6760499580772743E-8</v>
      </c>
      <c r="J31" s="14">
        <v>1.4988613897133025E-6</v>
      </c>
      <c r="K31" s="14">
        <v>0</v>
      </c>
    </row>
    <row r="32" spans="1:13">
      <c r="A32" s="2" t="s">
        <v>361</v>
      </c>
      <c r="B32" s="3" t="s">
        <v>362</v>
      </c>
      <c r="D32" s="14">
        <v>3.0209113723444763E-12</v>
      </c>
      <c r="E32" s="14">
        <v>7.9060810751830897E-5</v>
      </c>
      <c r="F32" s="14">
        <v>3.5541418619033098E-5</v>
      </c>
      <c r="G32" s="14">
        <v>8.7630122728971716E-6</v>
      </c>
      <c r="H32" s="14">
        <v>0</v>
      </c>
      <c r="I32" s="14">
        <v>1.9203684662156118E-6</v>
      </c>
      <c r="J32" s="14">
        <v>2.471438686911183E-5</v>
      </c>
      <c r="K32" s="14">
        <v>0</v>
      </c>
    </row>
    <row r="33" spans="1:11">
      <c r="A33" s="2" t="s">
        <v>364</v>
      </c>
      <c r="B33" s="3" t="s">
        <v>365</v>
      </c>
      <c r="D33" s="14">
        <v>1.4081049699043275E-14</v>
      </c>
      <c r="E33" s="14">
        <v>1.493331734888352E-4</v>
      </c>
      <c r="F33" s="14">
        <v>6.3022825319916838E-7</v>
      </c>
      <c r="G33" s="14">
        <v>1.927192919412858E-10</v>
      </c>
      <c r="H33" s="14">
        <v>0</v>
      </c>
      <c r="I33" s="14">
        <v>3.279124611079783E-8</v>
      </c>
      <c r="J33" s="14">
        <v>3.614278481825494E-9</v>
      </c>
      <c r="K33" s="14">
        <v>0</v>
      </c>
    </row>
    <row r="34" spans="1:11">
      <c r="A34" s="2" t="s">
        <v>285</v>
      </c>
      <c r="B34" s="3" t="s">
        <v>286</v>
      </c>
      <c r="D34" s="14">
        <v>4.1802812585382408E-14</v>
      </c>
      <c r="E34" s="14">
        <v>8.2004247252976376E-5</v>
      </c>
      <c r="F34" s="14">
        <v>6.7707678093149279E-5</v>
      </c>
      <c r="G34" s="14">
        <v>5.5604818549817403E-9</v>
      </c>
      <c r="H34" s="14">
        <v>0</v>
      </c>
      <c r="I34" s="14">
        <v>2.7021685625034866E-7</v>
      </c>
      <c r="J34" s="14">
        <v>1.2297273966157466E-8</v>
      </c>
      <c r="K34" s="14">
        <v>0</v>
      </c>
    </row>
    <row r="35" spans="1:11">
      <c r="A35" s="2" t="s">
        <v>287</v>
      </c>
      <c r="B35" s="3" t="s">
        <v>288</v>
      </c>
      <c r="D35" s="14">
        <v>1.2170510324442482E-15</v>
      </c>
      <c r="E35" s="14">
        <v>4.8523269079064622E-5</v>
      </c>
      <c r="F35" s="14">
        <v>1.010582158218789E-4</v>
      </c>
      <c r="G35" s="14">
        <v>1.9570366061171128E-8</v>
      </c>
      <c r="H35" s="14">
        <v>0</v>
      </c>
      <c r="I35" s="14">
        <v>3.6919415636903508E-7</v>
      </c>
      <c r="J35" s="14">
        <v>2.9750575409173605E-8</v>
      </c>
      <c r="K35" s="14">
        <v>0</v>
      </c>
    </row>
    <row r="36" spans="1:11">
      <c r="A36" s="2" t="s">
        <v>366</v>
      </c>
      <c r="B36" s="3" t="s">
        <v>305</v>
      </c>
      <c r="D36" s="14">
        <v>2.1446473568572936E-12</v>
      </c>
      <c r="E36" s="14">
        <v>1.6178565623537028E-5</v>
      </c>
      <c r="F36" s="14">
        <v>1.3330965029753307E-4</v>
      </c>
      <c r="G36" s="14">
        <v>3.8168348827571141E-8</v>
      </c>
      <c r="H36" s="14">
        <v>0</v>
      </c>
      <c r="I36" s="14">
        <v>4.4037827090822377E-7</v>
      </c>
      <c r="J36" s="14">
        <v>3.3235314546743006E-8</v>
      </c>
      <c r="K36" s="14">
        <v>0</v>
      </c>
    </row>
    <row r="37" spans="1:11">
      <c r="A37" s="2" t="s">
        <v>289</v>
      </c>
      <c r="B37" s="3" t="s">
        <v>290</v>
      </c>
      <c r="D37" s="14">
        <v>5.0626839799971827E-19</v>
      </c>
      <c r="E37" s="14">
        <v>3.2313510019970667E-5</v>
      </c>
      <c r="F37" s="14">
        <v>1.0822951434974983E-4</v>
      </c>
      <c r="G37" s="14">
        <v>3.6950065335769676E-6</v>
      </c>
      <c r="H37" s="14">
        <v>0</v>
      </c>
      <c r="I37" s="14">
        <v>1.1284428078333087E-6</v>
      </c>
      <c r="J37" s="14">
        <v>4.6335262888686783E-6</v>
      </c>
      <c r="K37" s="14">
        <v>0</v>
      </c>
    </row>
    <row r="38" spans="1:11">
      <c r="A38" s="2" t="s">
        <v>291</v>
      </c>
      <c r="B38" s="3" t="s">
        <v>292</v>
      </c>
      <c r="D38" s="14">
        <v>1.4087235844019411E-16</v>
      </c>
      <c r="E38" s="14">
        <v>9.19335622033996E-5</v>
      </c>
      <c r="F38" s="14">
        <v>5.7652170538607341E-5</v>
      </c>
      <c r="G38" s="14">
        <v>4.8165127063569769E-8</v>
      </c>
      <c r="H38" s="14">
        <v>0</v>
      </c>
      <c r="I38" s="14">
        <v>2.4702478902653347E-7</v>
      </c>
      <c r="J38" s="14">
        <v>1.1907734176202313E-7</v>
      </c>
      <c r="K38" s="14">
        <v>0</v>
      </c>
    </row>
    <row r="39" spans="1:11">
      <c r="A39" s="2" t="s">
        <v>367</v>
      </c>
      <c r="B39" s="3" t="s">
        <v>368</v>
      </c>
      <c r="D39" s="14">
        <v>1.7583347517396774E-9</v>
      </c>
      <c r="E39" s="14">
        <v>1.6103440374466765E-6</v>
      </c>
      <c r="F39" s="14">
        <v>1.1625730304359775E-4</v>
      </c>
      <c r="G39" s="14">
        <v>2.0305598714535963E-5</v>
      </c>
      <c r="H39" s="14">
        <v>0</v>
      </c>
      <c r="I39" s="14">
        <v>4.5754263312569053E-6</v>
      </c>
      <c r="J39" s="14">
        <v>7.249569538410951E-6</v>
      </c>
      <c r="K39" s="14">
        <v>0</v>
      </c>
    </row>
    <row r="40" spans="1:11">
      <c r="A40" s="2" t="s">
        <v>369</v>
      </c>
      <c r="B40" s="3" t="s">
        <v>370</v>
      </c>
      <c r="D40" s="14">
        <v>8.9741947617027687E-17</v>
      </c>
      <c r="E40" s="14">
        <v>1.2579633161733146E-7</v>
      </c>
      <c r="F40" s="14">
        <v>1.1477559452342253E-4</v>
      </c>
      <c r="G40" s="14">
        <v>8.3036670672165057E-6</v>
      </c>
      <c r="H40" s="14">
        <v>0</v>
      </c>
      <c r="I40" s="14">
        <v>2.6642618774569052E-5</v>
      </c>
      <c r="J40" s="14">
        <v>1.5232330308481849E-7</v>
      </c>
      <c r="K40" s="14">
        <v>0</v>
      </c>
    </row>
    <row r="41" spans="1:11">
      <c r="A41" s="2" t="s">
        <v>371</v>
      </c>
      <c r="B41" s="3" t="s">
        <v>372</v>
      </c>
      <c r="D41" s="14">
        <v>9.7453178382041885E-6</v>
      </c>
      <c r="E41" s="14">
        <v>1.3992429194958333E-4</v>
      </c>
      <c r="F41" s="14">
        <v>4.2836570340616957E-9</v>
      </c>
      <c r="G41" s="14">
        <v>2.1444219682474361E-9</v>
      </c>
      <c r="H41" s="14">
        <v>0</v>
      </c>
      <c r="I41" s="14">
        <v>2.8020089667795757E-8</v>
      </c>
      <c r="J41" s="14">
        <v>2.9594204354232554E-7</v>
      </c>
      <c r="K41" s="14">
        <v>0</v>
      </c>
    </row>
    <row r="42" spans="1:11">
      <c r="A42" s="2" t="s">
        <v>293</v>
      </c>
      <c r="B42" s="3" t="s">
        <v>294</v>
      </c>
      <c r="D42" s="14">
        <v>2.4488216336780546E-12</v>
      </c>
      <c r="E42" s="14">
        <v>9.4248460138232729E-5</v>
      </c>
      <c r="F42" s="14">
        <v>2.52566553315297E-5</v>
      </c>
      <c r="G42" s="14">
        <v>6.4784542023784158E-6</v>
      </c>
      <c r="H42" s="14">
        <v>0</v>
      </c>
      <c r="I42" s="14">
        <v>1.4133379088026977E-6</v>
      </c>
      <c r="J42" s="14">
        <v>2.2603089970234791E-5</v>
      </c>
      <c r="K42" s="14">
        <v>0</v>
      </c>
    </row>
    <row r="43" spans="1:11">
      <c r="A43" s="2" t="s">
        <v>373</v>
      </c>
      <c r="B43" s="3" t="s">
        <v>374</v>
      </c>
      <c r="D43" s="14">
        <v>5.0028761451160268E-12</v>
      </c>
      <c r="E43" s="14">
        <v>1.3147480319047764E-6</v>
      </c>
      <c r="F43" s="14">
        <v>1.4760603137931592E-4</v>
      </c>
      <c r="G43" s="14">
        <v>1.2463098434705795E-7</v>
      </c>
      <c r="H43" s="14">
        <v>0</v>
      </c>
      <c r="I43" s="14">
        <v>9.280432859751029E-7</v>
      </c>
      <c r="J43" s="14">
        <v>2.6541315580964176E-8</v>
      </c>
      <c r="K43" s="14">
        <v>0</v>
      </c>
    </row>
    <row r="44" spans="1:11">
      <c r="A44" s="2" t="s">
        <v>375</v>
      </c>
      <c r="B44" s="3" t="s">
        <v>376</v>
      </c>
      <c r="D44" s="14">
        <v>1.0931162340894514E-5</v>
      </c>
      <c r="E44" s="14">
        <v>1.2578343601374995E-4</v>
      </c>
      <c r="F44" s="14">
        <v>3.2128098932588293E-6</v>
      </c>
      <c r="G44" s="14">
        <v>9.798973514749722E-7</v>
      </c>
      <c r="H44" s="14">
        <v>0</v>
      </c>
      <c r="I44" s="14">
        <v>2.3181135097314388E-7</v>
      </c>
      <c r="J44" s="14">
        <v>8.8608830496485468E-6</v>
      </c>
      <c r="K44" s="14">
        <v>0</v>
      </c>
    </row>
    <row r="45" spans="1:11">
      <c r="A45" s="2" t="s">
        <v>377</v>
      </c>
      <c r="B45" s="3" t="s">
        <v>378</v>
      </c>
      <c r="D45" s="14">
        <v>9.3755872892891279E-8</v>
      </c>
      <c r="E45" s="14">
        <v>8.8478059997216724E-5</v>
      </c>
      <c r="F45" s="14">
        <v>2.8961240885652848E-5</v>
      </c>
      <c r="G45" s="14">
        <v>7.3200276455443707E-6</v>
      </c>
      <c r="H45" s="14">
        <v>0</v>
      </c>
      <c r="I45" s="14">
        <v>1.5959270117800461E-6</v>
      </c>
      <c r="J45" s="14">
        <v>2.3550988586913079E-5</v>
      </c>
      <c r="K45" s="14">
        <v>0</v>
      </c>
    </row>
    <row r="46" spans="1:11">
      <c r="A46" s="2" t="s">
        <v>379</v>
      </c>
      <c r="B46" s="3" t="s">
        <v>380</v>
      </c>
      <c r="D46" s="14">
        <v>2.8085769931124703E-7</v>
      </c>
      <c r="E46" s="14">
        <v>9.1965183962613553E-5</v>
      </c>
      <c r="F46" s="14">
        <v>2.6564706272437868E-5</v>
      </c>
      <c r="G46" s="14">
        <v>6.7764240265121319E-6</v>
      </c>
      <c r="H46" s="14">
        <v>0</v>
      </c>
      <c r="I46" s="14">
        <v>1.4779204622753941E-6</v>
      </c>
      <c r="J46" s="14">
        <v>2.2934907576849775E-5</v>
      </c>
      <c r="K46" s="14">
        <v>0</v>
      </c>
    </row>
    <row r="47" spans="1:11">
      <c r="A47" s="2" t="s">
        <v>381</v>
      </c>
      <c r="B47" s="3" t="s">
        <v>382</v>
      </c>
      <c r="D47" s="14">
        <v>4.5113086147372155E-12</v>
      </c>
      <c r="E47" s="14">
        <v>9.0111381477871753E-8</v>
      </c>
      <c r="F47" s="14">
        <v>3.3413442497555077E-5</v>
      </c>
      <c r="G47" s="14">
        <v>9.0535056615955467E-5</v>
      </c>
      <c r="H47" s="14">
        <v>0</v>
      </c>
      <c r="I47" s="14">
        <v>2.1198027265669831E-5</v>
      </c>
      <c r="J47" s="14">
        <v>4.7633577280331274E-6</v>
      </c>
      <c r="K47" s="14">
        <v>0</v>
      </c>
    </row>
    <row r="48" spans="1:11">
      <c r="A48" s="2" t="s">
        <v>383</v>
      </c>
      <c r="B48" s="3" t="s">
        <v>384</v>
      </c>
      <c r="D48" s="14">
        <v>1.4401110619912388E-6</v>
      </c>
      <c r="E48" s="14">
        <v>1.4206042066417817E-4</v>
      </c>
      <c r="F48" s="14">
        <v>9.8858648903254677E-7</v>
      </c>
      <c r="G48" s="14">
        <v>3.3182585802563475E-7</v>
      </c>
      <c r="H48" s="14">
        <v>0</v>
      </c>
      <c r="I48" s="14">
        <v>9.7383727898360718E-8</v>
      </c>
      <c r="J48" s="14">
        <v>5.0816721988739933E-6</v>
      </c>
      <c r="K48" s="14">
        <v>0</v>
      </c>
    </row>
    <row r="49" spans="1:11">
      <c r="A49" s="2" t="s">
        <v>385</v>
      </c>
      <c r="B49" s="3" t="s">
        <v>386</v>
      </c>
      <c r="D49" s="14">
        <v>2.7354829189655676E-6</v>
      </c>
      <c r="E49" s="14">
        <v>1.3791487726514737E-4</v>
      </c>
      <c r="F49" s="14">
        <v>1.7932989392507278E-6</v>
      </c>
      <c r="G49" s="14">
        <v>5.7484167603872685E-7</v>
      </c>
      <c r="H49" s="14">
        <v>0</v>
      </c>
      <c r="I49" s="14">
        <v>1.4797608722826222E-7</v>
      </c>
      <c r="J49" s="14">
        <v>6.8335231133692896E-6</v>
      </c>
      <c r="K49" s="14">
        <v>0</v>
      </c>
    </row>
    <row r="50" spans="1:11">
      <c r="A50" s="2" t="s">
        <v>387</v>
      </c>
      <c r="B50" s="3" t="s">
        <v>388</v>
      </c>
      <c r="D50" s="14">
        <v>8.7143567656556809E-7</v>
      </c>
      <c r="E50" s="14">
        <v>1.2810687756327213E-5</v>
      </c>
      <c r="F50" s="14">
        <v>9.5511138141814313E-5</v>
      </c>
      <c r="G50" s="14">
        <v>1.9175627103878332E-5</v>
      </c>
      <c r="H50" s="14">
        <v>0</v>
      </c>
      <c r="I50" s="14">
        <v>4.2432568617788068E-6</v>
      </c>
      <c r="J50" s="14">
        <v>1.7387854459635725E-5</v>
      </c>
      <c r="K50" s="14">
        <v>0</v>
      </c>
    </row>
    <row r="51" spans="1:11">
      <c r="A51" s="2" t="s">
        <v>295</v>
      </c>
      <c r="B51" s="3" t="s">
        <v>296</v>
      </c>
      <c r="D51" s="14">
        <v>7.8959433786192189E-6</v>
      </c>
      <c r="E51" s="14">
        <v>1.3991398793521947E-4</v>
      </c>
      <c r="F51" s="14">
        <v>1.5689991549751829E-7</v>
      </c>
      <c r="G51" s="14">
        <v>6.0244619403093214E-8</v>
      </c>
      <c r="H51" s="14">
        <v>0</v>
      </c>
      <c r="I51" s="14">
        <v>4.0000563833532934E-8</v>
      </c>
      <c r="J51" s="14">
        <v>1.932923587427159E-6</v>
      </c>
      <c r="K51" s="14">
        <v>0</v>
      </c>
    </row>
    <row r="52" spans="1:11">
      <c r="A52" s="2" t="s">
        <v>389</v>
      </c>
      <c r="B52" s="3" t="s">
        <v>390</v>
      </c>
      <c r="D52" s="14">
        <v>9.0229900072347142E-6</v>
      </c>
      <c r="E52" s="14">
        <v>1.2158152498220913E-4</v>
      </c>
      <c r="F52" s="14">
        <v>5.6593839748239395E-6</v>
      </c>
      <c r="G52" s="14">
        <v>1.6514472877594009E-6</v>
      </c>
      <c r="H52" s="14">
        <v>0</v>
      </c>
      <c r="I52" s="14">
        <v>3.7453937627299986E-7</v>
      </c>
      <c r="J52" s="14">
        <v>1.1710114371699765E-5</v>
      </c>
      <c r="K52" s="14">
        <v>0</v>
      </c>
    </row>
    <row r="53" spans="1:11">
      <c r="A53" s="2" t="s">
        <v>391</v>
      </c>
      <c r="B53" s="3" t="s">
        <v>392</v>
      </c>
      <c r="D53" s="14">
        <v>2.8019438375025286E-7</v>
      </c>
      <c r="E53" s="14">
        <v>6.9310101680767659E-5</v>
      </c>
      <c r="F53" s="14">
        <v>4.2391434229430856E-5</v>
      </c>
      <c r="G53" s="14">
        <v>1.0232309447167954E-5</v>
      </c>
      <c r="H53" s="14">
        <v>0</v>
      </c>
      <c r="I53" s="14">
        <v>2.2313014781716591E-6</v>
      </c>
      <c r="J53" s="14">
        <v>2.5554658780711592E-5</v>
      </c>
      <c r="K53" s="14">
        <v>0</v>
      </c>
    </row>
    <row r="54" spans="1:11">
      <c r="A54" s="2" t="s">
        <v>393</v>
      </c>
      <c r="B54" s="3" t="s">
        <v>394</v>
      </c>
      <c r="D54" s="14">
        <v>2.107654015130034E-8</v>
      </c>
      <c r="E54" s="14">
        <v>1.2745486877469162E-7</v>
      </c>
      <c r="F54" s="14">
        <v>4.0440638558701601E-5</v>
      </c>
      <c r="G54" s="14">
        <v>8.4394386386181153E-5</v>
      </c>
      <c r="H54" s="14">
        <v>0</v>
      </c>
      <c r="I54" s="14">
        <v>1.9687882170644629E-5</v>
      </c>
      <c r="J54" s="14">
        <v>5.3285614755465745E-6</v>
      </c>
      <c r="K54" s="14">
        <v>0</v>
      </c>
    </row>
    <row r="55" spans="1:11">
      <c r="A55" s="2" t="s">
        <v>395</v>
      </c>
      <c r="B55" s="3" t="s">
        <v>396</v>
      </c>
      <c r="D55" s="14">
        <v>1.8585447124337534E-5</v>
      </c>
      <c r="E55" s="14">
        <v>2.4482182087620166E-5</v>
      </c>
      <c r="F55" s="14">
        <v>6.88322075166094E-5</v>
      </c>
      <c r="G55" s="14">
        <v>1.4848659670984744E-5</v>
      </c>
      <c r="H55" s="14">
        <v>0</v>
      </c>
      <c r="I55" s="14">
        <v>3.2628439101551457E-6</v>
      </c>
      <c r="J55" s="14">
        <v>1.9988659690292982E-5</v>
      </c>
      <c r="K55" s="14">
        <v>0</v>
      </c>
    </row>
    <row r="56" spans="1:11">
      <c r="A56" s="2" t="s">
        <v>397</v>
      </c>
      <c r="B56" s="3" t="s">
        <v>398</v>
      </c>
      <c r="D56" s="14">
        <v>8.4707891008720582E-5</v>
      </c>
      <c r="E56" s="14">
        <v>2.9071067474968269E-6</v>
      </c>
      <c r="F56" s="14">
        <v>4.5892588434001246E-5</v>
      </c>
      <c r="G56" s="14">
        <v>8.7184264642478559E-6</v>
      </c>
      <c r="H56" s="14">
        <v>0</v>
      </c>
      <c r="I56" s="14">
        <v>1.9404157872967142E-6</v>
      </c>
      <c r="J56" s="14">
        <v>5.8335715582367464E-6</v>
      </c>
      <c r="K56" s="14">
        <v>0</v>
      </c>
    </row>
    <row r="57" spans="1:11">
      <c r="A57" s="2" t="s">
        <v>399</v>
      </c>
      <c r="B57" s="3" t="s">
        <v>400</v>
      </c>
      <c r="D57" s="14">
        <v>1.123527319531676E-4</v>
      </c>
      <c r="E57" s="14">
        <v>5.4888422225940792E-6</v>
      </c>
      <c r="F57" s="14">
        <v>2.1360052777899732E-5</v>
      </c>
      <c r="G57" s="14">
        <v>4.4988123306441631E-6</v>
      </c>
      <c r="H57" s="14">
        <v>0</v>
      </c>
      <c r="I57" s="14">
        <v>9.9078598015902183E-7</v>
      </c>
      <c r="J57" s="14">
        <v>5.3087747355353928E-6</v>
      </c>
      <c r="K57" s="14">
        <v>0</v>
      </c>
    </row>
    <row r="58" spans="1:11">
      <c r="A58" s="2" t="s">
        <v>297</v>
      </c>
      <c r="B58" s="3" t="s">
        <v>298</v>
      </c>
      <c r="D58" s="14">
        <v>1.3784714111038273E-4</v>
      </c>
      <c r="E58" s="14">
        <v>1.1255761273273305E-5</v>
      </c>
      <c r="F58" s="14">
        <v>1.8793879923829433E-7</v>
      </c>
      <c r="G58" s="14">
        <v>5.9144178395256438E-8</v>
      </c>
      <c r="H58" s="14">
        <v>0</v>
      </c>
      <c r="I58" s="14">
        <v>1.4671383427929124E-8</v>
      </c>
      <c r="J58" s="14">
        <v>6.3534325528247561E-7</v>
      </c>
      <c r="K58" s="14">
        <v>0</v>
      </c>
    </row>
    <row r="59" spans="1:11">
      <c r="A59" s="2" t="s">
        <v>401</v>
      </c>
      <c r="B59" s="3" t="s">
        <v>402</v>
      </c>
      <c r="D59" s="14">
        <v>1.3517178148529316E-4</v>
      </c>
      <c r="E59" s="14">
        <v>2.2906732674716394E-6</v>
      </c>
      <c r="F59" s="14">
        <v>8.2699850011484592E-6</v>
      </c>
      <c r="G59" s="14">
        <v>1.7514602175979835E-6</v>
      </c>
      <c r="H59" s="14">
        <v>0</v>
      </c>
      <c r="I59" s="14">
        <v>3.8552566008395565E-7</v>
      </c>
      <c r="J59" s="14">
        <v>2.1305743684047993E-6</v>
      </c>
      <c r="K59" s="14">
        <v>0</v>
      </c>
    </row>
    <row r="60" spans="1:11">
      <c r="A60" s="2" t="s">
        <v>299</v>
      </c>
      <c r="B60" s="3" t="s">
        <v>300</v>
      </c>
      <c r="D60" s="14">
        <v>1.4968735945185917E-4</v>
      </c>
      <c r="E60" s="14">
        <v>8.6346002731006856E-8</v>
      </c>
      <c r="F60" s="14">
        <v>1.3658525305717683E-7</v>
      </c>
      <c r="G60" s="14">
        <v>3.0739681756840022E-8</v>
      </c>
      <c r="H60" s="14">
        <v>0</v>
      </c>
      <c r="I60" s="14">
        <v>6.7304983711598539E-9</v>
      </c>
      <c r="J60" s="14">
        <v>5.2239112224651837E-8</v>
      </c>
      <c r="K60" s="14">
        <v>0</v>
      </c>
    </row>
    <row r="61" spans="1:11">
      <c r="A61" s="2" t="s">
        <v>403</v>
      </c>
      <c r="B61" s="3" t="s">
        <v>404</v>
      </c>
      <c r="D61" s="14">
        <v>6.354302443760182E-48</v>
      </c>
      <c r="E61" s="14">
        <v>5.1882989470447656E-5</v>
      </c>
      <c r="F61" s="14">
        <v>5.6400969105263623E-5</v>
      </c>
      <c r="G61" s="14">
        <v>1.3049146943548122E-5</v>
      </c>
      <c r="H61" s="14">
        <v>0</v>
      </c>
      <c r="I61" s="14">
        <v>2.8515132816555162E-6</v>
      </c>
      <c r="J61" s="14">
        <v>2.5815381199085047E-5</v>
      </c>
      <c r="K61" s="14">
        <v>0</v>
      </c>
    </row>
    <row r="62" spans="1:11">
      <c r="A62" s="2" t="s">
        <v>405</v>
      </c>
      <c r="B62" s="3" t="s">
        <v>406</v>
      </c>
      <c r="D62" s="14">
        <v>1.2566887146229638E-11</v>
      </c>
      <c r="E62" s="14">
        <v>5.837741027576788E-7</v>
      </c>
      <c r="F62" s="14">
        <v>8.4245439313774666E-5</v>
      </c>
      <c r="G62" s="14">
        <v>4.696149939735199E-5</v>
      </c>
      <c r="H62" s="14">
        <v>0</v>
      </c>
      <c r="I62" s="14">
        <v>1.07544337845498E-5</v>
      </c>
      <c r="J62" s="14">
        <v>7.4548408346786537E-6</v>
      </c>
      <c r="K62" s="14">
        <v>0</v>
      </c>
    </row>
    <row r="63" spans="1:11">
      <c r="A63" s="2" t="s">
        <v>407</v>
      </c>
      <c r="B63" s="3" t="s">
        <v>408</v>
      </c>
      <c r="D63" s="14">
        <v>2.7202480257769503E-9</v>
      </c>
      <c r="E63" s="14">
        <v>4.8219823209554222E-8</v>
      </c>
      <c r="F63" s="14">
        <v>2.3384451523696343E-5</v>
      </c>
      <c r="G63" s="14">
        <v>9.9339676977991235E-5</v>
      </c>
      <c r="H63" s="14">
        <v>0</v>
      </c>
      <c r="I63" s="14">
        <v>2.3407078764692473E-5</v>
      </c>
      <c r="J63" s="14">
        <v>3.8178526623846003E-6</v>
      </c>
      <c r="K63" s="14">
        <v>0</v>
      </c>
    </row>
    <row r="64" spans="1:11">
      <c r="A64" s="2" t="s">
        <v>409</v>
      </c>
      <c r="B64" s="3" t="s">
        <v>410</v>
      </c>
      <c r="D64" s="14">
        <v>3.2790485401162912E-10</v>
      </c>
      <c r="E64" s="14">
        <v>1.6266905945850741E-8</v>
      </c>
      <c r="F64" s="14">
        <v>1.2267795559691305E-5</v>
      </c>
      <c r="G64" s="14">
        <v>1.0920991908058599E-4</v>
      </c>
      <c r="H64" s="14">
        <v>0</v>
      </c>
      <c r="I64" s="14">
        <v>2.6002127655439394E-5</v>
      </c>
      <c r="J64" s="14">
        <v>2.5035628934834212E-6</v>
      </c>
      <c r="K64" s="14">
        <v>0</v>
      </c>
    </row>
    <row r="65" spans="1:11">
      <c r="A65" s="2" t="s">
        <v>301</v>
      </c>
      <c r="B65" s="3" t="s">
        <v>302</v>
      </c>
      <c r="D65" s="14">
        <v>3.9711795022942843E-11</v>
      </c>
      <c r="E65" s="14">
        <v>4.4770982815837477E-9</v>
      </c>
      <c r="F65" s="14">
        <v>5.5787667330218426E-6</v>
      </c>
      <c r="G65" s="14">
        <v>1.1519503415279653E-4</v>
      </c>
      <c r="H65" s="14">
        <v>0</v>
      </c>
      <c r="I65" s="14">
        <v>2.7754344257264557E-5</v>
      </c>
      <c r="J65" s="14">
        <v>1.467338046840419E-6</v>
      </c>
      <c r="K65" s="14">
        <v>0</v>
      </c>
    </row>
    <row r="66" spans="1:11">
      <c r="A66" s="2" t="s">
        <v>303</v>
      </c>
      <c r="B66" s="3" t="s">
        <v>304</v>
      </c>
      <c r="D66" s="14">
        <v>3.872401364263395E-17</v>
      </c>
      <c r="E66" s="14">
        <v>9.376429108575916E-9</v>
      </c>
      <c r="F66" s="14">
        <v>8.7800916400402529E-6</v>
      </c>
      <c r="G66" s="14">
        <v>1.123297013272607E-4</v>
      </c>
      <c r="H66" s="14">
        <v>0</v>
      </c>
      <c r="I66" s="14">
        <v>2.6881930802008348E-5</v>
      </c>
      <c r="J66" s="14">
        <v>1.9988998015433984E-6</v>
      </c>
      <c r="K66" s="14">
        <v>0</v>
      </c>
    </row>
    <row r="67" spans="1:11">
      <c r="A67" s="2" t="s">
        <v>411</v>
      </c>
      <c r="B67" s="3" t="s">
        <v>412</v>
      </c>
      <c r="D67" s="14">
        <v>5.9470986393672938E-7</v>
      </c>
      <c r="E67" s="14">
        <v>1.3328529938032258E-4</v>
      </c>
      <c r="F67" s="14">
        <v>4.1583766750412336E-6</v>
      </c>
      <c r="G67" s="14">
        <v>1.2497391688025231E-6</v>
      </c>
      <c r="H67" s="14">
        <v>0</v>
      </c>
      <c r="I67" s="14">
        <v>2.907211890378211E-7</v>
      </c>
      <c r="J67" s="14">
        <v>1.042115372285907E-5</v>
      </c>
      <c r="K67" s="14">
        <v>0</v>
      </c>
    </row>
    <row r="68" spans="1:11">
      <c r="A68" s="2" t="s">
        <v>413</v>
      </c>
      <c r="B68" s="3" t="s">
        <v>414</v>
      </c>
      <c r="D68" s="14">
        <v>1.3111349361187273E-6</v>
      </c>
      <c r="E68" s="14">
        <v>1.2490059280006286E-4</v>
      </c>
      <c r="F68" s="14">
        <v>7.4656233241857929E-6</v>
      </c>
      <c r="G68" s="14">
        <v>2.1387579127793567E-6</v>
      </c>
      <c r="H68" s="14">
        <v>0</v>
      </c>
      <c r="I68" s="14">
        <v>4.7955338552406937E-7</v>
      </c>
      <c r="J68" s="14">
        <v>1.370433764132918E-5</v>
      </c>
      <c r="K68" s="14">
        <v>0</v>
      </c>
    </row>
    <row r="69" spans="1:11">
      <c r="A69" s="2" t="s">
        <v>415</v>
      </c>
      <c r="B69" s="3" t="s">
        <v>416</v>
      </c>
      <c r="D69" s="14">
        <v>1.3839066129653668E-7</v>
      </c>
      <c r="E69" s="14">
        <v>2.0144843350183873E-7</v>
      </c>
      <c r="F69" s="14">
        <v>5.1478450824565915E-5</v>
      </c>
      <c r="G69" s="14">
        <v>7.4751691474887091E-5</v>
      </c>
      <c r="H69" s="14">
        <v>0</v>
      </c>
      <c r="I69" s="14">
        <v>1.7349824486200195E-5</v>
      </c>
      <c r="J69" s="14">
        <v>6.0801941195484134E-6</v>
      </c>
      <c r="K69" s="14">
        <v>0</v>
      </c>
    </row>
    <row r="70" spans="1:11">
      <c r="A70" s="2" t="s">
        <v>417</v>
      </c>
      <c r="B70" s="3" t="s">
        <v>418</v>
      </c>
      <c r="D70" s="14">
        <v>3.9883993579569785E-7</v>
      </c>
      <c r="E70" s="14">
        <v>4.1216940153398574E-6</v>
      </c>
      <c r="F70" s="14">
        <v>1.1000624030067171E-4</v>
      </c>
      <c r="G70" s="14">
        <v>2.0105407383004424E-5</v>
      </c>
      <c r="H70" s="14">
        <v>0</v>
      </c>
      <c r="I70" s="14">
        <v>4.4933183531371946E-6</v>
      </c>
      <c r="J70" s="14">
        <v>1.0874500012051062E-5</v>
      </c>
      <c r="K70" s="14">
        <v>0</v>
      </c>
    </row>
    <row r="71" spans="1:11">
      <c r="A71" s="2" t="s">
        <v>419</v>
      </c>
      <c r="B71" s="3" t="s">
        <v>420</v>
      </c>
      <c r="D71" s="14">
        <v>3.2109191180982238E-6</v>
      </c>
      <c r="E71" s="14">
        <v>1.2467703798374759E-4</v>
      </c>
      <c r="F71" s="14">
        <v>6.7429206705590723E-6</v>
      </c>
      <c r="G71" s="14">
        <v>1.9460034490631533E-6</v>
      </c>
      <c r="H71" s="14">
        <v>0</v>
      </c>
      <c r="I71" s="14">
        <v>4.3817641091792793E-7</v>
      </c>
      <c r="J71" s="14">
        <v>1.2984942367613998E-5</v>
      </c>
      <c r="K71" s="14">
        <v>0</v>
      </c>
    </row>
    <row r="72" spans="1:11">
      <c r="A72" s="2" t="s">
        <v>421</v>
      </c>
      <c r="B72" s="3" t="s">
        <v>422</v>
      </c>
      <c r="D72" s="14">
        <v>1.6855063983977742E-6</v>
      </c>
      <c r="E72" s="14">
        <v>4.802059263365307E-6</v>
      </c>
      <c r="F72" s="14">
        <v>1.0758434740247034E-4</v>
      </c>
      <c r="G72" s="14">
        <v>1.991795033741916E-5</v>
      </c>
      <c r="H72" s="14">
        <v>0</v>
      </c>
      <c r="I72" s="14">
        <v>4.4452583258635051E-6</v>
      </c>
      <c r="J72" s="14">
        <v>1.1564878272483899E-5</v>
      </c>
      <c r="K72" s="14">
        <v>0</v>
      </c>
    </row>
    <row r="73" spans="1:11">
      <c r="A73" s="2" t="s">
        <v>423</v>
      </c>
      <c r="B73" s="3" t="s">
        <v>424</v>
      </c>
      <c r="D73" s="14">
        <v>1.8479861235284197E-6</v>
      </c>
      <c r="E73" s="14">
        <v>4.7682148480627955E-5</v>
      </c>
      <c r="F73" s="14">
        <v>5.8737761310335164E-5</v>
      </c>
      <c r="G73" s="14">
        <v>1.3465204249620486E-5</v>
      </c>
      <c r="H73" s="14">
        <v>0</v>
      </c>
      <c r="I73" s="14">
        <v>2.9442373680732181E-6</v>
      </c>
      <c r="J73" s="14">
        <v>2.5322662467814738E-5</v>
      </c>
      <c r="K73" s="14">
        <v>0</v>
      </c>
    </row>
    <row r="74" spans="1:11">
      <c r="A74" s="2" t="s">
        <v>425</v>
      </c>
      <c r="B74" s="3" t="s">
        <v>426</v>
      </c>
      <c r="D74" s="14">
        <v>6.1678166805169057E-7</v>
      </c>
      <c r="E74" s="14">
        <v>4.3105091086467445E-6</v>
      </c>
      <c r="F74" s="14">
        <v>1.0943346271635446E-4</v>
      </c>
      <c r="G74" s="14">
        <v>2.0074544366505453E-5</v>
      </c>
      <c r="H74" s="14">
        <v>0</v>
      </c>
      <c r="I74" s="14">
        <v>4.4846420023408392E-6</v>
      </c>
      <c r="J74" s="14">
        <v>1.1080060138100787E-5</v>
      </c>
      <c r="K74" s="14">
        <v>0</v>
      </c>
    </row>
    <row r="75" spans="1:11">
      <c r="A75" s="2" t="s">
        <v>427</v>
      </c>
      <c r="B75" s="3" t="s">
        <v>428</v>
      </c>
      <c r="D75" s="14">
        <v>6.2949919279731902E-14</v>
      </c>
      <c r="E75" s="14">
        <v>6.3499792308667809E-7</v>
      </c>
      <c r="F75" s="14">
        <v>1.4625606316350962E-4</v>
      </c>
      <c r="G75" s="14">
        <v>5.6437021852921687E-8</v>
      </c>
      <c r="H75" s="14">
        <v>0</v>
      </c>
      <c r="I75" s="14">
        <v>3.0473178821230793E-6</v>
      </c>
      <c r="J75" s="14">
        <v>5.1839464777249953E-9</v>
      </c>
      <c r="K75" s="14">
        <v>0</v>
      </c>
    </row>
    <row r="76" spans="1:11">
      <c r="A76" s="2" t="s">
        <v>429</v>
      </c>
      <c r="B76" s="3" t="s">
        <v>430</v>
      </c>
      <c r="D76" s="14">
        <v>1.5812304816807393E-15</v>
      </c>
      <c r="E76" s="14">
        <v>6.3499792334647135E-7</v>
      </c>
      <c r="F76" s="14">
        <v>1.4625606322334658E-4</v>
      </c>
      <c r="G76" s="14">
        <v>5.6437021876011481E-8</v>
      </c>
      <c r="H76" s="14">
        <v>0</v>
      </c>
      <c r="I76" s="14">
        <v>3.0473178833698123E-6</v>
      </c>
      <c r="J76" s="14">
        <v>5.1839464798458757E-9</v>
      </c>
      <c r="K76" s="14">
        <v>0</v>
      </c>
    </row>
    <row r="77" spans="1:11">
      <c r="A77" s="2" t="s">
        <v>431</v>
      </c>
      <c r="B77" s="3" t="s">
        <v>432</v>
      </c>
      <c r="D77" s="14">
        <v>3.207663197381693E-6</v>
      </c>
      <c r="E77" s="14">
        <v>1.7558437714147758E-5</v>
      </c>
      <c r="F77" s="14">
        <v>8.7741983057571381E-5</v>
      </c>
      <c r="G77" s="14">
        <v>1.8142745189280911E-5</v>
      </c>
      <c r="H77" s="14">
        <v>0</v>
      </c>
      <c r="I77" s="14">
        <v>4.0028038547936926E-6</v>
      </c>
      <c r="J77" s="14">
        <v>1.9346366986824533E-5</v>
      </c>
      <c r="K77" s="14">
        <v>0</v>
      </c>
    </row>
    <row r="78" spans="1:11">
      <c r="A78" s="2" t="s">
        <v>433</v>
      </c>
      <c r="B78" s="3" t="s">
        <v>434</v>
      </c>
      <c r="D78" s="14">
        <v>4.6507308083641913E-6</v>
      </c>
      <c r="E78" s="14">
        <v>9.3989277804319314E-5</v>
      </c>
      <c r="F78" s="14">
        <v>2.2789767098642096E-5</v>
      </c>
      <c r="G78" s="14">
        <v>5.8889171217439366E-6</v>
      </c>
      <c r="H78" s="14">
        <v>0</v>
      </c>
      <c r="I78" s="14">
        <v>1.2853429448994932E-6</v>
      </c>
      <c r="J78" s="14">
        <v>2.1395964222030932E-5</v>
      </c>
      <c r="K78" s="14">
        <v>0</v>
      </c>
    </row>
    <row r="79" spans="1:11">
      <c r="A79" s="2" t="s">
        <v>435</v>
      </c>
      <c r="B79" s="3" t="s">
        <v>436</v>
      </c>
      <c r="D79" s="14">
        <v>1.1099411464808135E-6</v>
      </c>
      <c r="E79" s="14">
        <v>6.7377836448397405E-5</v>
      </c>
      <c r="F79" s="14">
        <v>4.3323011269856798E-5</v>
      </c>
      <c r="G79" s="14">
        <v>1.0418715787394882E-5</v>
      </c>
      <c r="H79" s="14">
        <v>0</v>
      </c>
      <c r="I79" s="14">
        <v>2.2722314394238132E-6</v>
      </c>
      <c r="J79" s="14">
        <v>2.5498263908446239E-5</v>
      </c>
      <c r="K79" s="14">
        <v>0</v>
      </c>
    </row>
    <row r="80" spans="1:11">
      <c r="A80" s="2" t="s">
        <v>437</v>
      </c>
      <c r="B80" s="3" t="s">
        <v>438</v>
      </c>
      <c r="D80" s="14">
        <v>2.2115878094354847E-14</v>
      </c>
      <c r="E80" s="14">
        <v>4.2245583661246286E-7</v>
      </c>
      <c r="F80" s="14">
        <v>1.4365570869810817E-4</v>
      </c>
      <c r="G80" s="14">
        <v>1.0648123953546283E-7</v>
      </c>
      <c r="H80" s="14">
        <v>0</v>
      </c>
      <c r="I80" s="14">
        <v>5.8091545201294897E-6</v>
      </c>
      <c r="J80" s="14">
        <v>6.1996834984904815E-9</v>
      </c>
      <c r="K80" s="14">
        <v>0</v>
      </c>
    </row>
    <row r="81" spans="1:11">
      <c r="A81" s="2" t="s">
        <v>440</v>
      </c>
      <c r="B81" s="3" t="s">
        <v>441</v>
      </c>
      <c r="D81" s="14">
        <v>2.1932826747016756E-17</v>
      </c>
      <c r="E81" s="14">
        <v>1.479012069315873E-4</v>
      </c>
      <c r="F81" s="14">
        <v>1.3922373878655009E-7</v>
      </c>
      <c r="G81" s="14">
        <v>5.4151295088570183E-8</v>
      </c>
      <c r="H81" s="14">
        <v>0</v>
      </c>
      <c r="I81" s="14">
        <v>4.0304522255218931E-8</v>
      </c>
      <c r="J81" s="14">
        <v>1.8651135122603953E-6</v>
      </c>
      <c r="K81" s="14">
        <v>0</v>
      </c>
    </row>
    <row r="82" spans="1:11">
      <c r="A82" s="2" t="s">
        <v>442</v>
      </c>
      <c r="B82" s="3" t="s">
        <v>443</v>
      </c>
      <c r="D82" s="14">
        <v>1.0926887963077344E-8</v>
      </c>
      <c r="E82" s="14">
        <v>1.2212753743524418E-4</v>
      </c>
      <c r="F82" s="14">
        <v>9.3737890203554941E-6</v>
      </c>
      <c r="G82" s="14">
        <v>2.6363965207144443E-6</v>
      </c>
      <c r="H82" s="14">
        <v>0</v>
      </c>
      <c r="I82" s="14">
        <v>5.859866237448713E-7</v>
      </c>
      <c r="J82" s="14">
        <v>1.5265363511977911E-5</v>
      </c>
      <c r="K82" s="14">
        <v>0</v>
      </c>
    </row>
    <row r="83" spans="1:11">
      <c r="A83" s="2" t="s">
        <v>444</v>
      </c>
      <c r="B83" s="3" t="s">
        <v>445</v>
      </c>
      <c r="D83" s="14">
        <v>6.9038711998986103E-8</v>
      </c>
      <c r="E83" s="14">
        <v>2.2286906469165415E-5</v>
      </c>
      <c r="F83" s="14">
        <v>8.458850800190165E-5</v>
      </c>
      <c r="G83" s="14">
        <v>1.7848713569485888E-5</v>
      </c>
      <c r="H83" s="14">
        <v>0</v>
      </c>
      <c r="I83" s="14">
        <v>3.9301787700155498E-6</v>
      </c>
      <c r="J83" s="14">
        <v>2.1276654477432489E-5</v>
      </c>
      <c r="K83" s="14">
        <v>0</v>
      </c>
    </row>
    <row r="84" spans="1:11">
      <c r="A84" s="2" t="s">
        <v>446</v>
      </c>
      <c r="B84" s="3" t="s">
        <v>447</v>
      </c>
      <c r="D84" s="14">
        <v>6.8574580470153286E-19</v>
      </c>
      <c r="E84" s="14">
        <v>1.4499407954667696E-4</v>
      </c>
      <c r="F84" s="14">
        <v>6.3530437141362319E-7</v>
      </c>
      <c r="G84" s="14">
        <v>2.2063652003178134E-7</v>
      </c>
      <c r="H84" s="14">
        <v>0</v>
      </c>
      <c r="I84" s="14">
        <v>7.4545980051493189E-8</v>
      </c>
      <c r="J84" s="14">
        <v>4.0754335818254494E-6</v>
      </c>
      <c r="K84" s="14">
        <v>0</v>
      </c>
    </row>
    <row r="85" spans="1:11">
      <c r="A85" s="2" t="s">
        <v>448</v>
      </c>
      <c r="B85" s="3" t="s">
        <v>449</v>
      </c>
      <c r="D85" s="14">
        <v>4.6845684330129454E-12</v>
      </c>
      <c r="E85" s="14">
        <v>1.4916148471719867E-4</v>
      </c>
      <c r="F85" s="14">
        <v>2.5321432539574385E-8</v>
      </c>
      <c r="G85" s="14">
        <v>1.1173360914130944E-8</v>
      </c>
      <c r="H85" s="14">
        <v>0</v>
      </c>
      <c r="I85" s="14">
        <v>3.1679709276360804E-8</v>
      </c>
      <c r="J85" s="14">
        <v>7.7033609550282663E-7</v>
      </c>
      <c r="K85" s="14">
        <v>0</v>
      </c>
    </row>
    <row r="86" spans="1:11">
      <c r="A86" s="2" t="s">
        <v>450</v>
      </c>
      <c r="B86" s="3" t="s">
        <v>451</v>
      </c>
      <c r="D86" s="14">
        <v>1.7237396642197336E-12</v>
      </c>
      <c r="E86" s="14">
        <v>1.4513721494277524E-4</v>
      </c>
      <c r="F86" s="14">
        <v>6.0490943639783142E-7</v>
      </c>
      <c r="G86" s="14">
        <v>2.1085597631791731E-7</v>
      </c>
      <c r="H86" s="14">
        <v>0</v>
      </c>
      <c r="I86" s="14">
        <v>7.2519438136571347E-8</v>
      </c>
      <c r="J86" s="14">
        <v>3.9744984826327497E-6</v>
      </c>
      <c r="K86" s="14">
        <v>0</v>
      </c>
    </row>
    <row r="87" spans="1:11">
      <c r="A87" s="2" t="s">
        <v>452</v>
      </c>
      <c r="B87" s="3" t="s">
        <v>453</v>
      </c>
      <c r="D87" s="14">
        <v>5.1474239035802814E-12</v>
      </c>
      <c r="E87" s="14">
        <v>7.1014501859351831E-8</v>
      </c>
      <c r="F87" s="14">
        <v>2.921518355751107E-5</v>
      </c>
      <c r="G87" s="14">
        <v>9.4211555567496233E-5</v>
      </c>
      <c r="H87" s="14">
        <v>0</v>
      </c>
      <c r="I87" s="14">
        <v>2.2112887352706136E-5</v>
      </c>
      <c r="J87" s="14">
        <v>4.389353873003287E-6</v>
      </c>
      <c r="K87" s="14">
        <v>0</v>
      </c>
    </row>
    <row r="88" spans="1:11">
      <c r="A88" s="2" t="s">
        <v>454</v>
      </c>
      <c r="B88" s="3" t="s">
        <v>455</v>
      </c>
      <c r="D88" s="14">
        <v>5.4788943256463527E-9</v>
      </c>
      <c r="E88" s="14">
        <v>1.0594733429195839E-4</v>
      </c>
      <c r="F88" s="14">
        <v>1.8101376782324834E-5</v>
      </c>
      <c r="G88" s="14">
        <v>4.799623418964783E-6</v>
      </c>
      <c r="H88" s="14">
        <v>0</v>
      </c>
      <c r="I88" s="14">
        <v>1.0504659866646077E-6</v>
      </c>
      <c r="J88" s="14">
        <v>2.009572062576172E-5</v>
      </c>
      <c r="K88" s="14">
        <v>0</v>
      </c>
    </row>
    <row r="89" spans="1:11">
      <c r="A89" s="2" t="s">
        <v>456</v>
      </c>
      <c r="B89" s="3" t="s">
        <v>457</v>
      </c>
      <c r="D89" s="14">
        <v>3.6275719800675445E-21</v>
      </c>
      <c r="E89" s="14">
        <v>1.1955648789458288E-4</v>
      </c>
      <c r="F89" s="14">
        <v>1.0661902899811686E-5</v>
      </c>
      <c r="G89" s="14">
        <v>2.9657209042380491E-6</v>
      </c>
      <c r="H89" s="14">
        <v>0</v>
      </c>
      <c r="I89" s="14">
        <v>6.5643368864262663E-7</v>
      </c>
      <c r="J89" s="14">
        <v>1.6159454612724746E-5</v>
      </c>
      <c r="K89" s="14">
        <v>0</v>
      </c>
    </row>
    <row r="90" spans="1:11">
      <c r="A90" s="2" t="s">
        <v>458</v>
      </c>
      <c r="B90" s="3" t="s">
        <v>459</v>
      </c>
      <c r="D90" s="14">
        <v>5.2522203485101878E-33</v>
      </c>
      <c r="E90" s="14">
        <v>1.3875864425961316E-4</v>
      </c>
      <c r="F90" s="14">
        <v>2.3755360324726772E-6</v>
      </c>
      <c r="G90" s="14">
        <v>7.4620332111702239E-7</v>
      </c>
      <c r="H90" s="14">
        <v>0</v>
      </c>
      <c r="I90" s="14">
        <v>1.8449456837790013E-7</v>
      </c>
      <c r="J90" s="14">
        <v>7.9351218184191837E-6</v>
      </c>
      <c r="K90" s="14">
        <v>0</v>
      </c>
    </row>
    <row r="91" spans="1:11">
      <c r="A91" s="2" t="s">
        <v>460</v>
      </c>
      <c r="B91" s="3" t="s">
        <v>461</v>
      </c>
      <c r="D91" s="14">
        <v>5.835090328655903E-12</v>
      </c>
      <c r="E91" s="14">
        <v>5.0403964081409477E-7</v>
      </c>
      <c r="F91" s="14">
        <v>7.9316997840346156E-5</v>
      </c>
      <c r="G91" s="14">
        <v>5.1116583983188606E-5</v>
      </c>
      <c r="H91" s="14">
        <v>0</v>
      </c>
      <c r="I91" s="14">
        <v>1.1729768490513215E-5</v>
      </c>
      <c r="J91" s="14">
        <v>7.3326042100475691E-6</v>
      </c>
      <c r="K91" s="14">
        <v>0</v>
      </c>
    </row>
    <row r="92" spans="1:11">
      <c r="A92" s="2" t="s">
        <v>462</v>
      </c>
      <c r="B92" s="3" t="s">
        <v>463</v>
      </c>
      <c r="D92" s="14">
        <v>6.1765199921905935E-13</v>
      </c>
      <c r="E92" s="14">
        <v>3.1684069807585422E-5</v>
      </c>
      <c r="F92" s="14">
        <v>7.477605270696812E-5</v>
      </c>
      <c r="G92" s="14">
        <v>1.6340227213437866E-5</v>
      </c>
      <c r="H92" s="14">
        <v>0</v>
      </c>
      <c r="I92" s="14">
        <v>3.5864677946511029E-6</v>
      </c>
      <c r="J92" s="14">
        <v>2.3613181859705455E-5</v>
      </c>
      <c r="K92" s="14">
        <v>0</v>
      </c>
    </row>
    <row r="93" spans="1:11">
      <c r="A93" s="2" t="s">
        <v>464</v>
      </c>
      <c r="B93" s="3" t="s">
        <v>465</v>
      </c>
      <c r="D93" s="14">
        <v>2.5095974943871951E-8</v>
      </c>
      <c r="E93" s="14">
        <v>6.3829461731157022E-6</v>
      </c>
      <c r="F93" s="14">
        <v>1.0593092299902199E-4</v>
      </c>
      <c r="G93" s="14">
        <v>2.0050181658806747E-5</v>
      </c>
      <c r="H93" s="14">
        <v>0</v>
      </c>
      <c r="I93" s="14">
        <v>4.4642143482735988E-6</v>
      </c>
      <c r="J93" s="14">
        <v>1.3146638845838049E-5</v>
      </c>
      <c r="K93" s="14">
        <v>0</v>
      </c>
    </row>
    <row r="94" spans="1:11">
      <c r="A94" s="2" t="s">
        <v>466</v>
      </c>
      <c r="B94" s="3" t="s">
        <v>467</v>
      </c>
      <c r="D94" s="14">
        <v>2.1389544737954784E-22</v>
      </c>
      <c r="E94" s="14">
        <v>1.3414383557245092E-4</v>
      </c>
      <c r="F94" s="14">
        <v>1.5750425625928192E-5</v>
      </c>
      <c r="G94" s="14">
        <v>2.069811467734627E-9</v>
      </c>
      <c r="H94" s="14">
        <v>0</v>
      </c>
      <c r="I94" s="14">
        <v>9.3580475954951163E-8</v>
      </c>
      <c r="J94" s="14">
        <v>1.0088514198144054E-8</v>
      </c>
      <c r="K94" s="14">
        <v>0</v>
      </c>
    </row>
    <row r="95" spans="1:11">
      <c r="A95" s="2" t="s">
        <v>468</v>
      </c>
      <c r="B95" s="3" t="s">
        <v>469</v>
      </c>
      <c r="D95" s="14">
        <v>2.4314148159844134E-22</v>
      </c>
      <c r="E95" s="14">
        <v>1.2196526641138988E-6</v>
      </c>
      <c r="F95" s="14">
        <v>1.0838713658856345E-4</v>
      </c>
      <c r="G95" s="14">
        <v>2.6814721978855865E-5</v>
      </c>
      <c r="H95" s="14">
        <v>0</v>
      </c>
      <c r="I95" s="14">
        <v>6.0714316687044605E-6</v>
      </c>
      <c r="J95" s="14">
        <v>7.5070570997622805E-6</v>
      </c>
      <c r="K95" s="14">
        <v>0</v>
      </c>
    </row>
    <row r="96" spans="1:11">
      <c r="A96" s="2" t="s">
        <v>470</v>
      </c>
      <c r="B96" s="165">
        <v>354656</v>
      </c>
      <c r="D96" s="14">
        <v>4.3753655806141681E-14</v>
      </c>
      <c r="E96" s="14">
        <v>1.4781259993298912E-4</v>
      </c>
      <c r="F96" s="14">
        <v>1.499798898699815E-7</v>
      </c>
      <c r="G96" s="14">
        <v>5.8013435633823764E-8</v>
      </c>
      <c r="H96" s="14">
        <v>0</v>
      </c>
      <c r="I96" s="14">
        <v>4.1088797508318689E-8</v>
      </c>
      <c r="J96" s="14">
        <v>1.9383179002450634E-6</v>
      </c>
      <c r="K96" s="14">
        <v>0</v>
      </c>
    </row>
    <row r="97" spans="1:11">
      <c r="A97" s="2" t="s">
        <v>472</v>
      </c>
      <c r="B97" s="3" t="s">
        <v>473</v>
      </c>
      <c r="D97" s="14">
        <v>6.8549412500070944E-14</v>
      </c>
      <c r="E97" s="14">
        <v>1.4492084145839603E-4</v>
      </c>
      <c r="F97" s="14">
        <v>6.5106211000044934E-7</v>
      </c>
      <c r="G97" s="14">
        <v>2.2569294145085007E-7</v>
      </c>
      <c r="H97" s="14">
        <v>0</v>
      </c>
      <c r="I97" s="14">
        <v>7.5594151300358836E-8</v>
      </c>
      <c r="J97" s="14">
        <v>4.126809270302899E-6</v>
      </c>
      <c r="K97" s="14">
        <v>0</v>
      </c>
    </row>
    <row r="98" spans="1:11">
      <c r="A98" s="2" t="s">
        <v>474</v>
      </c>
      <c r="B98" s="3" t="s">
        <v>475</v>
      </c>
      <c r="D98" s="14">
        <v>5.7667745067687685E-24</v>
      </c>
      <c r="E98" s="14">
        <v>2.9127960694621936E-6</v>
      </c>
      <c r="F98" s="14">
        <v>1.1312319280498444E-4</v>
      </c>
      <c r="G98" s="14">
        <v>2.0111627176235901E-5</v>
      </c>
      <c r="H98" s="14">
        <v>0</v>
      </c>
      <c r="I98" s="14">
        <v>4.5081515688701561E-6</v>
      </c>
      <c r="J98" s="14">
        <v>9.3442323804472745E-6</v>
      </c>
      <c r="K98" s="14">
        <v>0</v>
      </c>
    </row>
    <row r="99" spans="1:11">
      <c r="A99" s="2" t="s">
        <v>476</v>
      </c>
      <c r="B99" s="3" t="s">
        <v>477</v>
      </c>
      <c r="D99" s="14">
        <v>2.0403672768955132E-11</v>
      </c>
      <c r="E99" s="14">
        <v>1.4941887415549889E-4</v>
      </c>
      <c r="F99" s="14">
        <v>1.2437326461868872E-8</v>
      </c>
      <c r="G99" s="14">
        <v>5.7839241558302342E-9</v>
      </c>
      <c r="H99" s="14">
        <v>0</v>
      </c>
      <c r="I99" s="14">
        <v>3.0630096769906363E-8</v>
      </c>
      <c r="J99" s="14">
        <v>5.322540934407178E-7</v>
      </c>
      <c r="K99" s="14">
        <v>0</v>
      </c>
    </row>
    <row r="100" spans="1:11">
      <c r="A100" s="2" t="s">
        <v>478</v>
      </c>
      <c r="B100" s="3" t="s">
        <v>479</v>
      </c>
      <c r="D100" s="14">
        <v>7.255778305829365E-15</v>
      </c>
      <c r="E100" s="14">
        <v>7.4892980549597302E-5</v>
      </c>
      <c r="F100" s="14">
        <v>3.8450561748881752E-5</v>
      </c>
      <c r="G100" s="14">
        <v>9.4015236839601171E-6</v>
      </c>
      <c r="H100" s="14">
        <v>0</v>
      </c>
      <c r="I100" s="14">
        <v>2.0494718372780706E-6</v>
      </c>
      <c r="J100" s="14">
        <v>2.5205462173026927E-5</v>
      </c>
      <c r="K100" s="14">
        <v>0</v>
      </c>
    </row>
    <row r="101" spans="1:11">
      <c r="A101" s="2" t="s">
        <v>480</v>
      </c>
      <c r="B101" s="3" t="s">
        <v>481</v>
      </c>
      <c r="D101" s="14">
        <v>5.5076056087738841E-15</v>
      </c>
      <c r="E101" s="14">
        <v>1.4902527898258476E-4</v>
      </c>
      <c r="F101" s="14">
        <v>3.3727295512143986E-8</v>
      </c>
      <c r="G101" s="14">
        <v>1.4570587833141882E-8</v>
      </c>
      <c r="H101" s="14">
        <v>0</v>
      </c>
      <c r="I101" s="14">
        <v>3.2349070245731011E-8</v>
      </c>
      <c r="J101" s="14">
        <v>8.9407405831659028E-7</v>
      </c>
      <c r="K101" s="14">
        <v>0</v>
      </c>
    </row>
    <row r="102" spans="1:11">
      <c r="A102" s="2" t="s">
        <v>482</v>
      </c>
      <c r="B102" s="3" t="s">
        <v>483</v>
      </c>
      <c r="D102" s="14">
        <v>3.4409892035815556E-31</v>
      </c>
      <c r="E102" s="14">
        <v>1.4974089341372702E-4</v>
      </c>
      <c r="F102" s="14">
        <v>2.3927757262391575E-9</v>
      </c>
      <c r="G102" s="14">
        <v>1.2566014301983169E-9</v>
      </c>
      <c r="H102" s="14">
        <v>0</v>
      </c>
      <c r="I102" s="14">
        <v>2.9776742861606043E-8</v>
      </c>
      <c r="J102" s="14">
        <v>2.2568046625490595E-7</v>
      </c>
      <c r="K102" s="14">
        <v>0</v>
      </c>
    </row>
    <row r="103" spans="1:11">
      <c r="A103" s="2" t="s">
        <v>484</v>
      </c>
      <c r="B103" s="3" t="s">
        <v>485</v>
      </c>
      <c r="D103" s="14">
        <v>2.7517636432611357E-17</v>
      </c>
      <c r="E103" s="14">
        <v>1.4943703372668926E-4</v>
      </c>
      <c r="F103" s="14">
        <v>1.1685029488029601E-8</v>
      </c>
      <c r="G103" s="14">
        <v>5.4591542811482195E-9</v>
      </c>
      <c r="H103" s="14">
        <v>0</v>
      </c>
      <c r="I103" s="14">
        <v>3.0567594968492425E-8</v>
      </c>
      <c r="J103" s="14">
        <v>5.1525449454550685E-7</v>
      </c>
      <c r="K103" s="14">
        <v>0</v>
      </c>
    </row>
    <row r="104" spans="1:11">
      <c r="A104" s="2" t="s">
        <v>486</v>
      </c>
      <c r="B104" s="3" t="s">
        <v>487</v>
      </c>
      <c r="D104" s="14">
        <v>3.4610300583500457E-13</v>
      </c>
      <c r="E104" s="14">
        <v>1.4652862728684434E-4</v>
      </c>
      <c r="F104" s="14">
        <v>3.3933140506463128E-7</v>
      </c>
      <c r="G104" s="14">
        <v>1.2351497384841166E-7</v>
      </c>
      <c r="H104" s="14">
        <v>0</v>
      </c>
      <c r="I104" s="14">
        <v>5.4488302261899412E-8</v>
      </c>
      <c r="J104" s="14">
        <v>2.9540376858776953E-6</v>
      </c>
      <c r="K104" s="14">
        <v>0</v>
      </c>
    </row>
    <row r="105" spans="1:11">
      <c r="A105" s="2" t="s">
        <v>488</v>
      </c>
      <c r="B105" s="3" t="s">
        <v>489</v>
      </c>
      <c r="D105" s="14">
        <v>2.7377132922876604E-20</v>
      </c>
      <c r="E105" s="14">
        <v>1.4969423478727265E-4</v>
      </c>
      <c r="F105" s="14">
        <v>3.3947410257000617E-9</v>
      </c>
      <c r="G105" s="14">
        <v>1.7374095496101346E-9</v>
      </c>
      <c r="H105" s="14">
        <v>0</v>
      </c>
      <c r="I105" s="14">
        <v>2.9864259192194544E-8</v>
      </c>
      <c r="J105" s="14">
        <v>2.7076880295981891E-7</v>
      </c>
      <c r="K105" s="14">
        <v>0</v>
      </c>
    </row>
    <row r="106" spans="1:11">
      <c r="A106" s="2" t="s">
        <v>490</v>
      </c>
      <c r="B106" s="3" t="s">
        <v>491</v>
      </c>
      <c r="D106" s="14">
        <v>1.6176356665689255E-12</v>
      </c>
      <c r="E106" s="14">
        <v>1.3477142609583882E-4</v>
      </c>
      <c r="F106" s="14">
        <v>3.8045158542888991E-6</v>
      </c>
      <c r="G106" s="14">
        <v>1.1518474193049773E-6</v>
      </c>
      <c r="H106" s="14">
        <v>0</v>
      </c>
      <c r="I106" s="14">
        <v>2.7010481957062204E-7</v>
      </c>
      <c r="J106" s="14">
        <v>1.0002104193361006E-5</v>
      </c>
      <c r="K106" s="14">
        <v>0</v>
      </c>
    </row>
    <row r="107" spans="1:11">
      <c r="A107" s="2" t="s">
        <v>492</v>
      </c>
      <c r="B107" s="3" t="s">
        <v>493</v>
      </c>
      <c r="D107" s="14">
        <v>2.6822506389220989E-20</v>
      </c>
      <c r="E107" s="14">
        <v>2.1433666422848208E-6</v>
      </c>
      <c r="F107" s="14">
        <v>1.1521739231525922E-4</v>
      </c>
      <c r="G107" s="14">
        <v>1.9999244832521254E-5</v>
      </c>
      <c r="H107" s="14">
        <v>0</v>
      </c>
      <c r="I107" s="14">
        <v>4.4946411937703976E-6</v>
      </c>
      <c r="J107" s="14">
        <v>8.1453550161642501E-6</v>
      </c>
      <c r="K107" s="14">
        <v>0</v>
      </c>
    </row>
    <row r="108" spans="1:11">
      <c r="A108" s="2" t="s">
        <v>291</v>
      </c>
      <c r="B108" s="3" t="s">
        <v>494</v>
      </c>
      <c r="D108" s="14">
        <v>4.1474213984842957E-14</v>
      </c>
      <c r="E108" s="14">
        <v>8.5580589573519512E-5</v>
      </c>
      <c r="F108" s="14">
        <v>3.0959707461940036E-5</v>
      </c>
      <c r="G108" s="14">
        <v>7.7676992778405396E-6</v>
      </c>
      <c r="H108" s="14">
        <v>0</v>
      </c>
      <c r="I108" s="14">
        <v>1.6932424350751833E-6</v>
      </c>
      <c r="J108" s="14">
        <v>2.3998761210150478E-5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0.85871620979561458</v>
      </c>
      <c r="M2" s="115">
        <v>8.4647053869366875</v>
      </c>
      <c r="N2" s="115">
        <v>58.90381111713878</v>
      </c>
      <c r="O2" s="115">
        <v>1.2570282617269668</v>
      </c>
      <c r="P2" s="115">
        <v>1.2901855518908041</v>
      </c>
      <c r="Q2" s="111">
        <v>1.2570282617269668</v>
      </c>
      <c r="R2" s="68">
        <v>1.2901855518908041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5.9819185847456594E-4</v>
      </c>
      <c r="M3" s="115">
        <v>440.49798093581722</v>
      </c>
      <c r="N3" s="115">
        <v>3314.1675763370517</v>
      </c>
      <c r="O3" s="115">
        <v>19.98798592823325</v>
      </c>
      <c r="P3" s="115">
        <v>8.5618850077993454</v>
      </c>
      <c r="Q3" s="111">
        <v>19.98798592823325</v>
      </c>
      <c r="R3" s="68">
        <v>8.5618850077993454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0.43104422822928284</v>
      </c>
      <c r="M4" s="115">
        <v>49.936381221049047</v>
      </c>
      <c r="N4" s="115">
        <v>369.8826913911692</v>
      </c>
      <c r="O4" s="115">
        <v>3.9866065882490722</v>
      </c>
      <c r="P4" s="115">
        <v>3.7346408598526866</v>
      </c>
      <c r="Q4" s="111">
        <v>3.9866065882490727</v>
      </c>
      <c r="R4" s="68">
        <v>3.734640859852687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7.0968972954737856E-3</v>
      </c>
      <c r="M5" s="115">
        <v>143.00104685553748</v>
      </c>
      <c r="N5" s="115">
        <v>1071.4321732406868</v>
      </c>
      <c r="O5" s="115">
        <v>9.4372804969391986</v>
      </c>
      <c r="P5" s="115">
        <v>7.9575870838631007</v>
      </c>
      <c r="Q5" s="111">
        <v>9.4372804969391986</v>
      </c>
      <c r="R5" s="68">
        <v>7.9575870838631007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2.606267072700879E-4</v>
      </c>
      <c r="M6" s="115">
        <v>500.28078014087481</v>
      </c>
      <c r="N6" s="115">
        <v>3768.0123059342782</v>
      </c>
      <c r="O6" s="115">
        <v>22.07901890019437</v>
      </c>
      <c r="P6" s="115">
        <v>8.7461569466337181</v>
      </c>
      <c r="Q6" s="111">
        <v>22.07901890019437</v>
      </c>
      <c r="R6" s="68">
        <v>8.7461569466337181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5.3273713145453175E-4</v>
      </c>
      <c r="M7" s="115">
        <v>451.34389054395621</v>
      </c>
      <c r="N7" s="115">
        <v>3396.3062968962217</v>
      </c>
      <c r="O7" s="115">
        <v>20.379148473422781</v>
      </c>
      <c r="P7" s="115">
        <v>8.6094206674757086</v>
      </c>
      <c r="Q7" s="111">
        <v>20.379148473422784</v>
      </c>
      <c r="R7" s="68">
        <v>8.6094206674757086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1.2270267543509742E-3</v>
      </c>
      <c r="M8" s="115">
        <v>371.80525124417437</v>
      </c>
      <c r="N8" s="115">
        <v>2794.5284274616688</v>
      </c>
      <c r="O8" s="115">
        <v>17.580736402283591</v>
      </c>
      <c r="P8" s="115">
        <v>8.4095217772840858</v>
      </c>
      <c r="Q8" s="111">
        <v>17.580736402283591</v>
      </c>
      <c r="R8" s="68">
        <v>8.4095217772840858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6.625267396006139E-2</v>
      </c>
      <c r="M9" s="115">
        <v>90.914553302036126</v>
      </c>
      <c r="N9" s="115">
        <v>678.73690263520211</v>
      </c>
      <c r="O9" s="115">
        <v>7.1316085670984863</v>
      </c>
      <c r="P9" s="115">
        <v>7.0007345390982101</v>
      </c>
      <c r="Q9" s="111">
        <v>7.1316085670984872</v>
      </c>
      <c r="R9" s="68">
        <v>7.0007345390982101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6.583284083435224E-3</v>
      </c>
      <c r="M10" s="115">
        <v>152.61618216709925</v>
      </c>
      <c r="N10" s="115">
        <v>1143.6645805006037</v>
      </c>
      <c r="O10" s="115">
        <v>9.7814888589760365</v>
      </c>
      <c r="P10" s="115">
        <v>7.9737458009512068</v>
      </c>
      <c r="Q10" s="111">
        <v>9.7814888589760365</v>
      </c>
      <c r="R10" s="68">
        <v>7.9737458009512068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5.7879615625170584E-3</v>
      </c>
      <c r="M11" s="115">
        <v>169.49743531979618</v>
      </c>
      <c r="N11" s="115">
        <v>1270.5201786451903</v>
      </c>
      <c r="O11" s="115">
        <v>10.384543290569198</v>
      </c>
      <c r="P11" s="115">
        <v>8.0011522264716302</v>
      </c>
      <c r="Q11" s="111">
        <v>10.384543290569198</v>
      </c>
      <c r="R11" s="68">
        <v>8.0011522264716302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4.1535616988439182E-2</v>
      </c>
      <c r="M12" s="115">
        <v>93.085268938900043</v>
      </c>
      <c r="N12" s="115">
        <v>695.46986813150681</v>
      </c>
      <c r="O12" s="115">
        <v>7.3802500176362633</v>
      </c>
      <c r="P12" s="115">
        <v>7.337873820918551</v>
      </c>
      <c r="Q12" s="111">
        <v>7.3802500176362633</v>
      </c>
      <c r="R12" s="68">
        <v>7.337873820918551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6.3417733311981847E-2</v>
      </c>
      <c r="M13" s="115">
        <v>91.185873034748795</v>
      </c>
      <c r="N13" s="115">
        <v>680.81438966081612</v>
      </c>
      <c r="O13" s="115">
        <v>7.1595923970816067</v>
      </c>
      <c r="P13" s="115">
        <v>7.0366694717485485</v>
      </c>
      <c r="Q13" s="111">
        <v>7.1595923970816067</v>
      </c>
      <c r="R13" s="68">
        <v>7.0366694717485485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3.7740977108138085E-3</v>
      </c>
      <c r="M14" s="115">
        <v>228.05593100237945</v>
      </c>
      <c r="N14" s="115">
        <v>1710.9157337483095</v>
      </c>
      <c r="O14" s="115">
        <v>12.474727324728216</v>
      </c>
      <c r="P14" s="115">
        <v>8.105807041881901</v>
      </c>
      <c r="Q14" s="111">
        <v>12.474727324728216</v>
      </c>
      <c r="R14" s="68">
        <v>8.105807041881901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6.1763070443568019E-3</v>
      </c>
      <c r="M15" s="115">
        <v>160.92611191495368</v>
      </c>
      <c r="N15" s="115">
        <v>1206.1043385755215</v>
      </c>
      <c r="O15" s="115">
        <v>10.078529407665364</v>
      </c>
      <c r="P15" s="115">
        <v>7.9873554008051766</v>
      </c>
      <c r="Q15" s="111">
        <v>10.078529407665364</v>
      </c>
      <c r="R15" s="68">
        <v>7.9873554008051775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1.2716413407009776E-3</v>
      </c>
      <c r="M16" s="115">
        <v>367.73019336513784</v>
      </c>
      <c r="N16" s="115">
        <v>2763.7526119372228</v>
      </c>
      <c r="O16" s="115">
        <v>17.435820588202699</v>
      </c>
      <c r="P16" s="115">
        <v>8.3985170121630635</v>
      </c>
      <c r="Q16" s="111">
        <v>17.435820588202702</v>
      </c>
      <c r="R16" s="68">
        <v>8.3985170121630635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6.9227822339399565E-3</v>
      </c>
      <c r="M17" s="115">
        <v>146.1662463505015</v>
      </c>
      <c r="N17" s="115">
        <v>1095.2084958600317</v>
      </c>
      <c r="O17" s="115">
        <v>9.5507769599015599</v>
      </c>
      <c r="P17" s="115">
        <v>7.9631800251628029</v>
      </c>
      <c r="Q17" s="111">
        <v>9.5507769599015599</v>
      </c>
      <c r="R17" s="68">
        <v>7.9631800251628038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8.0242381304024391E-2</v>
      </c>
      <c r="M18" s="115">
        <v>89.237769071527595</v>
      </c>
      <c r="N18" s="115">
        <v>665.98131836310756</v>
      </c>
      <c r="O18" s="115">
        <v>6.9724134779564926</v>
      </c>
      <c r="P18" s="115">
        <v>6.8077907326271418</v>
      </c>
      <c r="Q18" s="111">
        <v>6.9724134779564926</v>
      </c>
      <c r="R18" s="68">
        <v>6.8077907326271427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6.0972080964183575E-3</v>
      </c>
      <c r="M19" s="115">
        <v>162.62099467243382</v>
      </c>
      <c r="N19" s="115">
        <v>1218.8408592902822</v>
      </c>
      <c r="O19" s="115">
        <v>10.139101125587858</v>
      </c>
      <c r="P19" s="115">
        <v>7.9901585183818931</v>
      </c>
      <c r="Q19" s="111">
        <v>10.139101125587858</v>
      </c>
      <c r="R19" s="68">
        <v>7.9901585183818931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6.3425102878032255E-2</v>
      </c>
      <c r="M20" s="115">
        <v>91.196469444918321</v>
      </c>
      <c r="N20" s="115">
        <v>680.89350486015633</v>
      </c>
      <c r="O20" s="115">
        <v>7.1604243897484663</v>
      </c>
      <c r="P20" s="115">
        <v>7.0374871799468526</v>
      </c>
      <c r="Q20" s="111">
        <v>7.1604243897484663</v>
      </c>
      <c r="R20" s="68">
        <v>7.0374871799468526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4.2917338149418014E-3</v>
      </c>
      <c r="M21" s="115">
        <v>210.1491541239503</v>
      </c>
      <c r="N21" s="115">
        <v>1576.189346770122</v>
      </c>
      <c r="O21" s="115">
        <v>11.834717741398947</v>
      </c>
      <c r="P21" s="115">
        <v>8.0702290510102586</v>
      </c>
      <c r="Q21" s="111">
        <v>11.834717741398947</v>
      </c>
      <c r="R21" s="68">
        <v>8.0702290510102586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0.66641685601884115</v>
      </c>
      <c r="M22" s="115">
        <v>25.428844008264971</v>
      </c>
      <c r="N22" s="115">
        <v>186.04351783565943</v>
      </c>
      <c r="O22" s="115">
        <v>2.3318729122248425</v>
      </c>
      <c r="P22" s="115">
        <v>2.2177380826027853</v>
      </c>
      <c r="Q22" s="111">
        <v>2.3318729122248425</v>
      </c>
      <c r="R22" s="68">
        <v>2.2177380826027853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0.80717600740772488</v>
      </c>
      <c r="M23" s="115">
        <v>12.680502592385645</v>
      </c>
      <c r="N23" s="115">
        <v>90.491852845745811</v>
      </c>
      <c r="O23" s="115">
        <v>1.5167355449026183</v>
      </c>
      <c r="P23" s="115">
        <v>1.5082207479619691</v>
      </c>
      <c r="Q23" s="111">
        <v>1.5167355449026183</v>
      </c>
      <c r="R23" s="68">
        <v>1.5082207479619691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0.20716327913301275</v>
      </c>
      <c r="M24" s="115">
        <v>75.138452032101526</v>
      </c>
      <c r="N24" s="115">
        <v>559.36118137286223</v>
      </c>
      <c r="O24" s="115">
        <v>5.8111748422462055</v>
      </c>
      <c r="P24" s="115">
        <v>5.5271717887790608</v>
      </c>
      <c r="Q24" s="111">
        <v>5.8111748422462055</v>
      </c>
      <c r="R24" s="68">
        <v>5.5271717887790608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2.2065051570750518E-2</v>
      </c>
      <c r="M25" s="115">
        <v>92.918973533742687</v>
      </c>
      <c r="N25" s="115">
        <v>694.83572313159789</v>
      </c>
      <c r="O25" s="115">
        <v>7.4844844499435297</v>
      </c>
      <c r="P25" s="115">
        <v>7.5662580579611554</v>
      </c>
      <c r="Q25" s="111">
        <v>7.4844844499435306</v>
      </c>
      <c r="R25" s="68">
        <v>7.5662580579611554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4.6668220084534855E-3</v>
      </c>
      <c r="M26" s="115">
        <v>198.62203903084617</v>
      </c>
      <c r="N26" s="115">
        <v>1489.4877430321192</v>
      </c>
      <c r="O26" s="115">
        <v>11.423663208952092</v>
      </c>
      <c r="P26" s="115">
        <v>8.0499567844490425</v>
      </c>
      <c r="Q26" s="111">
        <v>11.423663208952094</v>
      </c>
      <c r="R26" s="68">
        <v>8.0499567844490425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6.6006543038481149E-4</v>
      </c>
      <c r="M27" s="115">
        <v>432.46188334580893</v>
      </c>
      <c r="N27" s="115">
        <v>3253.2768607178477</v>
      </c>
      <c r="O27" s="115">
        <v>19.709865193459546</v>
      </c>
      <c r="P27" s="115">
        <v>8.5467227837250235</v>
      </c>
      <c r="Q27" s="111">
        <v>19.709865193459546</v>
      </c>
      <c r="R27" s="68">
        <v>8.5467227837250235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2.5023982377873331E-3</v>
      </c>
      <c r="M28" s="115">
        <v>284.17570378530888</v>
      </c>
      <c r="N28" s="115">
        <v>2133.4944618994627</v>
      </c>
      <c r="O28" s="115">
        <v>14.472939079014836</v>
      </c>
      <c r="P28" s="115">
        <v>8.2161863503797825</v>
      </c>
      <c r="Q28" s="111">
        <v>14.472939079014838</v>
      </c>
      <c r="R28" s="68">
        <v>8.2161863503797825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3.8573519490762128E-3</v>
      </c>
      <c r="M29" s="115">
        <v>217.30664053260568</v>
      </c>
      <c r="N29" s="115">
        <v>1630.1395701361512</v>
      </c>
      <c r="O29" s="115">
        <v>11.998771116268829</v>
      </c>
      <c r="P29" s="115">
        <v>7.9218347113037124</v>
      </c>
      <c r="Q29" s="111">
        <v>11.998771116268831</v>
      </c>
      <c r="R29" s="68">
        <v>7.9218347113037133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2.5023982377873331E-3</v>
      </c>
      <c r="M30" s="115">
        <v>284.17570378530888</v>
      </c>
      <c r="N30" s="115">
        <v>2133.4944618994627</v>
      </c>
      <c r="O30" s="115">
        <v>14.472939079014836</v>
      </c>
      <c r="P30" s="115">
        <v>8.2161863503797825</v>
      </c>
      <c r="Q30" s="111">
        <v>14.472939079014838</v>
      </c>
      <c r="R30" s="68">
        <v>8.2161863503797825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0.98627006066227618</v>
      </c>
      <c r="M31" s="115">
        <v>0.76584374126609878</v>
      </c>
      <c r="N31" s="115">
        <v>1.1556678330539278</v>
      </c>
      <c r="O31" s="115">
        <v>0.82462622056714352</v>
      </c>
      <c r="P31" s="115">
        <v>0.95440904688410544</v>
      </c>
      <c r="Q31" s="111">
        <v>0.82462622056714352</v>
      </c>
      <c r="R31" s="68">
        <v>0.95440904688410555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0.52724438278820629</v>
      </c>
      <c r="M32" s="115">
        <v>40.007676379491912</v>
      </c>
      <c r="N32" s="115">
        <v>294.8852672417795</v>
      </c>
      <c r="O32" s="115">
        <v>3.0195537728332273</v>
      </c>
      <c r="P32" s="115">
        <v>2.7736556891786655</v>
      </c>
      <c r="Q32" s="111">
        <v>3.0195537728332273</v>
      </c>
      <c r="R32" s="68">
        <v>2.7736556891786659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0.99279359284877411</v>
      </c>
      <c r="M33" s="115">
        <v>0.68315096064162151</v>
      </c>
      <c r="N33" s="115">
        <v>0.59125176963169757</v>
      </c>
      <c r="O33" s="115">
        <v>0.84209700306976565</v>
      </c>
      <c r="P33" s="115">
        <v>0.98994884348540535</v>
      </c>
      <c r="Q33" s="111">
        <v>0.84209700306976565</v>
      </c>
      <c r="R33" s="68">
        <v>0.98994884348540535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0.54580798509664774</v>
      </c>
      <c r="M34" s="115">
        <v>5.6295178385489306</v>
      </c>
      <c r="N34" s="115">
        <v>44.945710775984068</v>
      </c>
      <c r="O34" s="115">
        <v>2.6229073044947038</v>
      </c>
      <c r="P34" s="115">
        <v>4.2879725768658155</v>
      </c>
      <c r="Q34" s="111">
        <v>2.6229073044947038</v>
      </c>
      <c r="R34" s="68">
        <v>4.2879725768658163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0.32297831550012385</v>
      </c>
      <c r="M35" s="115">
        <v>7.6915449243548979</v>
      </c>
      <c r="N35" s="115">
        <v>63.569121746872128</v>
      </c>
      <c r="O35" s="115">
        <v>3.5001570610631223</v>
      </c>
      <c r="P35" s="115">
        <v>5.924425890236054</v>
      </c>
      <c r="Q35" s="111">
        <v>3.5001570610631227</v>
      </c>
      <c r="R35" s="68">
        <v>5.924425890236054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0.10768964814931473</v>
      </c>
      <c r="M36" s="115">
        <v>9.1745473105879949</v>
      </c>
      <c r="N36" s="115">
        <v>77.211055533366206</v>
      </c>
      <c r="O36" s="115">
        <v>4.3375562339962412</v>
      </c>
      <c r="P36" s="115">
        <v>7.5029786912539871</v>
      </c>
      <c r="Q36" s="111">
        <v>4.3375562339962412</v>
      </c>
      <c r="R36" s="68">
        <v>7.5029786912539871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0.21506408154462187</v>
      </c>
      <c r="M37" s="115">
        <v>23.509225163193932</v>
      </c>
      <c r="N37" s="115">
        <v>181.08750057035411</v>
      </c>
      <c r="O37" s="115">
        <v>4.244504232945669</v>
      </c>
      <c r="P37" s="115">
        <v>6.3414150525828257</v>
      </c>
      <c r="Q37" s="111">
        <v>4.244504232945669</v>
      </c>
      <c r="R37" s="68">
        <v>6.3414150525828257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0.61188065985026074</v>
      </c>
      <c r="M38" s="115">
        <v>5.1463497713861148</v>
      </c>
      <c r="N38" s="115">
        <v>40.291295118004165</v>
      </c>
      <c r="O38" s="115">
        <v>2.3639379262719178</v>
      </c>
      <c r="P38" s="115">
        <v>3.7946058509213523</v>
      </c>
      <c r="Q38" s="111">
        <v>2.3639379262719182</v>
      </c>
      <c r="R38" s="68">
        <v>3.7946058509213523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1.0717341893284013E-2</v>
      </c>
      <c r="M39" s="115">
        <v>95.321381901185532</v>
      </c>
      <c r="N39" s="115">
        <v>713.48323507994155</v>
      </c>
      <c r="O39" s="115">
        <v>7.7307355058741267</v>
      </c>
      <c r="P39" s="115">
        <v>7.8864262221930543</v>
      </c>
      <c r="Q39" s="111">
        <v>7.7307355058741276</v>
      </c>
      <c r="R39" s="68">
        <v>7.8864262221930543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8.3734155127756875E-4</v>
      </c>
      <c r="M40" s="115">
        <v>555.0545578035219</v>
      </c>
      <c r="N40" s="115">
        <v>4676.9202825410475</v>
      </c>
      <c r="O40" s="115">
        <v>16.507461288094675</v>
      </c>
      <c r="P40" s="115">
        <v>10.824663487408481</v>
      </c>
      <c r="Q40" s="111">
        <v>16.507461288094675</v>
      </c>
      <c r="R40" s="68">
        <v>10.824663487408481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0.93012830036106231</v>
      </c>
      <c r="M41" s="115">
        <v>0.58375186807907831</v>
      </c>
      <c r="N41" s="115">
        <v>6.5807928636126625E-2</v>
      </c>
      <c r="O41" s="115">
        <v>0.76893348139859885</v>
      </c>
      <c r="P41" s="115">
        <v>0.89350527262787294</v>
      </c>
      <c r="Q41" s="111">
        <v>0.76893348139859885</v>
      </c>
      <c r="R41" s="68">
        <v>0.89350527262787294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0.6272382226433586</v>
      </c>
      <c r="M42" s="115">
        <v>29.444539766722869</v>
      </c>
      <c r="N42" s="115">
        <v>216.14209993182655</v>
      </c>
      <c r="O42" s="115">
        <v>2.5971253722046774</v>
      </c>
      <c r="P42" s="115">
        <v>2.454926831866338</v>
      </c>
      <c r="Q42" s="111">
        <v>2.5971253722046774</v>
      </c>
      <c r="R42" s="68">
        <v>2.454926831866338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8.7514471633185903E-3</v>
      </c>
      <c r="M43" s="115">
        <v>19.334235124481307</v>
      </c>
      <c r="N43" s="115">
        <v>163.64720055641823</v>
      </c>
      <c r="O43" s="115">
        <v>4.9245570410843014</v>
      </c>
      <c r="P43" s="115">
        <v>8.2768046011152894</v>
      </c>
      <c r="Q43" s="111">
        <v>4.9245570410843014</v>
      </c>
      <c r="R43" s="68">
        <v>8.2768046011152894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0.83701125519789299</v>
      </c>
      <c r="M44" s="115">
        <v>4.8294031452738313</v>
      </c>
      <c r="N44" s="115">
        <v>31.992527902142232</v>
      </c>
      <c r="O44" s="115">
        <v>0.98531903428187217</v>
      </c>
      <c r="P44" s="115">
        <v>1.0492539518988389</v>
      </c>
      <c r="Q44" s="111">
        <v>0.98531903428187217</v>
      </c>
      <c r="R44" s="68">
        <v>1.0492539518988389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0.58883704372346712</v>
      </c>
      <c r="M45" s="115">
        <v>33.248479412084293</v>
      </c>
      <c r="N45" s="115">
        <v>244.66998470041887</v>
      </c>
      <c r="O45" s="115">
        <v>2.8494154838581482</v>
      </c>
      <c r="P45" s="115">
        <v>2.6824915380033394</v>
      </c>
      <c r="Q45" s="111">
        <v>2.8494154838581482</v>
      </c>
      <c r="R45" s="68">
        <v>2.6824915380033394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0.61204337461250558</v>
      </c>
      <c r="M46" s="115">
        <v>30.790009630737377</v>
      </c>
      <c r="N46" s="115">
        <v>226.239559841492</v>
      </c>
      <c r="O46" s="115">
        <v>2.6850165810822677</v>
      </c>
      <c r="P46" s="115">
        <v>2.5337652555411063</v>
      </c>
      <c r="Q46" s="111">
        <v>2.6850165810822682</v>
      </c>
      <c r="R46" s="68">
        <v>2.5337652555411063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5.9972311049277588E-4</v>
      </c>
      <c r="M47" s="115">
        <v>441.62556803478816</v>
      </c>
      <c r="N47" s="115">
        <v>3322.651185262946</v>
      </c>
      <c r="O47" s="115">
        <v>20.039151191282148</v>
      </c>
      <c r="P47" s="115">
        <v>8.5838017281828485</v>
      </c>
      <c r="Q47" s="111">
        <v>20.039151191282148</v>
      </c>
      <c r="R47" s="68">
        <v>8.5838017281828485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0.9451180465734782</v>
      </c>
      <c r="M48" s="115">
        <v>2.0288276645491816</v>
      </c>
      <c r="N48" s="115">
        <v>10.704791173725697</v>
      </c>
      <c r="O48" s="115">
        <v>0.87657347773837668</v>
      </c>
      <c r="P48" s="115">
        <v>0.9846280250887709</v>
      </c>
      <c r="Q48" s="111">
        <v>0.87657347773837668</v>
      </c>
      <c r="R48" s="68">
        <v>0.9846280250887709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0.91765309544115226</v>
      </c>
      <c r="M49" s="115">
        <v>3.0828351505887959</v>
      </c>
      <c r="N49" s="115">
        <v>18.651605474377781</v>
      </c>
      <c r="O49" s="115">
        <v>0.92713576835176836</v>
      </c>
      <c r="P49" s="115">
        <v>1.0197192149537289</v>
      </c>
      <c r="Q49" s="111">
        <v>0.92713576835176836</v>
      </c>
      <c r="R49" s="68">
        <v>1.0197192149537289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8.5258805883962313E-2</v>
      </c>
      <c r="M50" s="115">
        <v>88.401184620391788</v>
      </c>
      <c r="N50" s="115">
        <v>659.65604896260697</v>
      </c>
      <c r="O50" s="115">
        <v>6.8986380015238327</v>
      </c>
      <c r="P50" s="115">
        <v>6.7238336346105205</v>
      </c>
      <c r="Q50" s="111">
        <v>6.8986380015238327</v>
      </c>
      <c r="R50" s="68">
        <v>6.7238336346105214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0.93038826641779904</v>
      </c>
      <c r="M51" s="115">
        <v>0.83334507986526951</v>
      </c>
      <c r="N51" s="115">
        <v>1.911112436302995</v>
      </c>
      <c r="O51" s="115">
        <v>0.78508195555753968</v>
      </c>
      <c r="P51" s="115">
        <v>0.90592601688234808</v>
      </c>
      <c r="Q51" s="111">
        <v>0.78508195555753968</v>
      </c>
      <c r="R51" s="68">
        <v>0.9059260168823482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0.80909257841969373</v>
      </c>
      <c r="M52" s="115">
        <v>7.8029036723541632</v>
      </c>
      <c r="N52" s="115">
        <v>54.216651279269577</v>
      </c>
      <c r="O52" s="115">
        <v>1.172213022822941</v>
      </c>
      <c r="P52" s="115">
        <v>1.204981182780599</v>
      </c>
      <c r="Q52" s="111">
        <v>1.172213022822941</v>
      </c>
      <c r="R52" s="68">
        <v>1.2049811827805992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0.46127398040039641</v>
      </c>
      <c r="M53" s="115">
        <v>46.485447461909558</v>
      </c>
      <c r="N53" s="115">
        <v>343.98669051090059</v>
      </c>
      <c r="O53" s="115">
        <v>3.7466823059883323</v>
      </c>
      <c r="P53" s="115">
        <v>3.509111432393925</v>
      </c>
      <c r="Q53" s="111">
        <v>3.7466823059883327</v>
      </c>
      <c r="R53" s="68">
        <v>3.509111432393925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8.4825673209006503E-4</v>
      </c>
      <c r="M54" s="115">
        <v>410.16421188842975</v>
      </c>
      <c r="N54" s="115">
        <v>3084.4769803291442</v>
      </c>
      <c r="O54" s="115">
        <v>18.933771865584063</v>
      </c>
      <c r="P54" s="115">
        <v>8.502293088957412</v>
      </c>
      <c r="Q54" s="111">
        <v>18.933771865584063</v>
      </c>
      <c r="R54" s="68">
        <v>8.5022930889574138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0.16293556282282784</v>
      </c>
      <c r="M55" s="115">
        <v>67.97591479489887</v>
      </c>
      <c r="N55" s="115">
        <v>506.23856562672773</v>
      </c>
      <c r="O55" s="115">
        <v>5.2564541976327916</v>
      </c>
      <c r="P55" s="115">
        <v>5.014181280526846</v>
      </c>
      <c r="Q55" s="111">
        <v>5.2564541976327916</v>
      </c>
      <c r="R55" s="68">
        <v>5.014181280526846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1.9347656826583352E-2</v>
      </c>
      <c r="M56" s="115">
        <v>40.425328902014876</v>
      </c>
      <c r="N56" s="115">
        <v>301.99940158061804</v>
      </c>
      <c r="O56" s="115">
        <v>3.1999017172661635</v>
      </c>
      <c r="P56" s="115">
        <v>3.1756894278819479</v>
      </c>
      <c r="Q56" s="111">
        <v>3.1999017172661635</v>
      </c>
      <c r="R56" s="68">
        <v>3.1756894278819479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3.6529767115527682E-2</v>
      </c>
      <c r="M57" s="115">
        <v>20.64137458664629</v>
      </c>
      <c r="N57" s="115">
        <v>153.83878823457462</v>
      </c>
      <c r="O57" s="115">
        <v>1.5983315319496005</v>
      </c>
      <c r="P57" s="115">
        <v>1.5350150979079069</v>
      </c>
      <c r="Q57" s="111">
        <v>1.5983315319496005</v>
      </c>
      <c r="R57" s="68">
        <v>1.5350150979079071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7.4896129510536993E-2</v>
      </c>
      <c r="M58" s="115">
        <v>0.3056538214151901</v>
      </c>
      <c r="N58" s="115">
        <v>1.9234459049360704</v>
      </c>
      <c r="O58" s="115">
        <v>7.9392907762674075E-2</v>
      </c>
      <c r="P58" s="115">
        <v>8.6381332310312378E-2</v>
      </c>
      <c r="Q58" s="111">
        <v>7.9392907762674075E-2</v>
      </c>
      <c r="R58" s="68">
        <v>8.6381332310312392E-2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1.5245062814995602E-2</v>
      </c>
      <c r="M59" s="115">
        <v>8.0317845850824092</v>
      </c>
      <c r="N59" s="115">
        <v>59.85056448237399</v>
      </c>
      <c r="O59" s="115">
        <v>0.62162036100160001</v>
      </c>
      <c r="P59" s="115">
        <v>0.59603638467870579</v>
      </c>
      <c r="Q59" s="111">
        <v>0.62162036100160001</v>
      </c>
      <c r="R59" s="68">
        <v>0.59603638467870579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5.7465489126196567E-4</v>
      </c>
      <c r="M60" s="115">
        <v>0.14021871606583028</v>
      </c>
      <c r="N60" s="115">
        <v>1.0424790609227377</v>
      </c>
      <c r="O60" s="115">
        <v>1.0886362295354673E-2</v>
      </c>
      <c r="P60" s="115">
        <v>1.0278746464938733E-2</v>
      </c>
      <c r="Q60" s="111">
        <v>1.0886362295354673E-2</v>
      </c>
      <c r="R60" s="68">
        <v>1.0278746464938733E-2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0.34529404225231658</v>
      </c>
      <c r="M61" s="115">
        <v>59.406526701156587</v>
      </c>
      <c r="N61" s="115">
        <v>441.011683542029</v>
      </c>
      <c r="O61" s="115">
        <v>4.6536797193073847</v>
      </c>
      <c r="P61" s="115">
        <v>4.3725331467483795</v>
      </c>
      <c r="Q61" s="111">
        <v>4.6536797193073847</v>
      </c>
      <c r="R61" s="68">
        <v>4.3725331467483795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3.885209295999224E-3</v>
      </c>
      <c r="M62" s="115">
        <v>224.05070384478748</v>
      </c>
      <c r="N62" s="115">
        <v>1680.7763489688723</v>
      </c>
      <c r="O62" s="115">
        <v>12.332095166193403</v>
      </c>
      <c r="P62" s="115">
        <v>8.0986089661453065</v>
      </c>
      <c r="Q62" s="111">
        <v>12.332095166193403</v>
      </c>
      <c r="R62" s="68">
        <v>8.0986089661453082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3.2092029512017747E-4</v>
      </c>
      <c r="M63" s="115">
        <v>487.64747426442648</v>
      </c>
      <c r="N63" s="115">
        <v>3671.8989165069052</v>
      </c>
      <c r="O63" s="115">
        <v>21.642595206521801</v>
      </c>
      <c r="P63" s="115">
        <v>8.709512568037205</v>
      </c>
      <c r="Q63" s="111">
        <v>21.642595206521801</v>
      </c>
      <c r="R63" s="68">
        <v>8.709512568037205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1.0826229526183667E-4</v>
      </c>
      <c r="M64" s="115">
        <v>541.71099282165403</v>
      </c>
      <c r="N64" s="115">
        <v>4084.4168470989962</v>
      </c>
      <c r="O64" s="115">
        <v>23.490212200540679</v>
      </c>
      <c r="P64" s="115">
        <v>8.8742660238692412</v>
      </c>
      <c r="Q64" s="111">
        <v>23.490212200540679</v>
      </c>
      <c r="R64" s="68">
        <v>8.874266023869243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2.9796804900187063E-5</v>
      </c>
      <c r="M65" s="115">
        <v>578.21550535967822</v>
      </c>
      <c r="N65" s="115">
        <v>4366.1809596416624</v>
      </c>
      <c r="O65" s="115">
        <v>24.68175193511339</v>
      </c>
      <c r="P65" s="115">
        <v>9.0023659910878244</v>
      </c>
      <c r="Q65" s="111">
        <v>24.681751935113393</v>
      </c>
      <c r="R65" s="68">
        <v>9.0023659910878262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6.2403664401335833E-5</v>
      </c>
      <c r="M66" s="115">
        <v>560.04022504184059</v>
      </c>
      <c r="N66" s="115">
        <v>4225.3489185534054</v>
      </c>
      <c r="O66" s="115">
        <v>24.09820930344371</v>
      </c>
      <c r="P66" s="115">
        <v>8.9362276837851304</v>
      </c>
      <c r="Q66" s="111">
        <v>24.09820930344371</v>
      </c>
      <c r="R66" s="68">
        <v>8.9362276837851304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0.88694945334016739</v>
      </c>
      <c r="M67" s="115">
        <v>6.05669143828794</v>
      </c>
      <c r="N67" s="115">
        <v>40.877784994934736</v>
      </c>
      <c r="O67" s="115">
        <v>1.109648274005093</v>
      </c>
      <c r="P67" s="115">
        <v>1.1683913768033474</v>
      </c>
      <c r="Q67" s="111">
        <v>1.1096482740050932</v>
      </c>
      <c r="R67" s="68">
        <v>1.1683913768033474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0.8311930173506058</v>
      </c>
      <c r="M68" s="115">
        <v>9.9906955317514452</v>
      </c>
      <c r="N68" s="115">
        <v>70.376814112636524</v>
      </c>
      <c r="O68" s="115">
        <v>1.3438123678753371</v>
      </c>
      <c r="P68" s="115">
        <v>1.3603556153121605</v>
      </c>
      <c r="Q68" s="111">
        <v>1.3438123678753371</v>
      </c>
      <c r="R68" s="68">
        <v>1.3603556153121605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1.3407087006312175E-3</v>
      </c>
      <c r="M69" s="115">
        <v>361.45467679583743</v>
      </c>
      <c r="N69" s="115">
        <v>2716.3704530573036</v>
      </c>
      <c r="O69" s="115">
        <v>17.211146642307934</v>
      </c>
      <c r="P69" s="115">
        <v>8.3792819841714863</v>
      </c>
      <c r="Q69" s="111">
        <v>17.211146642307934</v>
      </c>
      <c r="R69" s="68">
        <v>8.3792819841714863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2.7431118131191621E-2</v>
      </c>
      <c r="M70" s="115">
        <v>93.610799023691555</v>
      </c>
      <c r="N70" s="115">
        <v>699.81113897196906</v>
      </c>
      <c r="O70" s="115">
        <v>7.4990293738750617</v>
      </c>
      <c r="P70" s="115">
        <v>7.5389854348334211</v>
      </c>
      <c r="Q70" s="111">
        <v>7.4990293738750617</v>
      </c>
      <c r="R70" s="68">
        <v>7.538985434833422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0.82970044474418403</v>
      </c>
      <c r="M71" s="115">
        <v>9.1286752274568315</v>
      </c>
      <c r="N71" s="115">
        <v>63.975189241742058</v>
      </c>
      <c r="O71" s="115">
        <v>1.281647421343787</v>
      </c>
      <c r="P71" s="115">
        <v>1.3053895887002094</v>
      </c>
      <c r="Q71" s="111">
        <v>1.2816474213437872</v>
      </c>
      <c r="R71" s="68">
        <v>1.3053895887002094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3.1959145536709851E-2</v>
      </c>
      <c r="M72" s="115">
        <v>92.609548455489687</v>
      </c>
      <c r="N72" s="115">
        <v>692.16975542851878</v>
      </c>
      <c r="O72" s="115">
        <v>7.3882722438496282</v>
      </c>
      <c r="P72" s="115">
        <v>7.3956673005220175</v>
      </c>
      <c r="Q72" s="111">
        <v>7.3882722438496291</v>
      </c>
      <c r="R72" s="68">
        <v>7.3956673005220184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0.3173366186200331</v>
      </c>
      <c r="M73" s="115">
        <v>61.33827850152538</v>
      </c>
      <c r="N73" s="115">
        <v>455.59706645445414</v>
      </c>
      <c r="O73" s="115">
        <v>4.7873836834186365</v>
      </c>
      <c r="P73" s="115">
        <v>4.5045843289641754</v>
      </c>
      <c r="Q73" s="111">
        <v>4.7873836834186365</v>
      </c>
      <c r="R73" s="68">
        <v>4.5045843289641754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2.8687737363046872E-2</v>
      </c>
      <c r="M74" s="115">
        <v>93.430041715434157</v>
      </c>
      <c r="N74" s="115">
        <v>698.41518039590903</v>
      </c>
      <c r="O74" s="115">
        <v>7.4756364577549554</v>
      </c>
      <c r="P74" s="115">
        <v>7.5062062272834362</v>
      </c>
      <c r="Q74" s="111">
        <v>7.4756364577549554</v>
      </c>
      <c r="R74" s="68">
        <v>7.5062062272834362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4.2267995344414068E-3</v>
      </c>
      <c r="M75" s="115">
        <v>63.485789210897487</v>
      </c>
      <c r="N75" s="115">
        <v>539.15476161529932</v>
      </c>
      <c r="O75" s="115">
        <v>5.8657124671043679</v>
      </c>
      <c r="P75" s="115">
        <v>8.5585664911834254</v>
      </c>
      <c r="Q75" s="111">
        <v>5.8657124671043679</v>
      </c>
      <c r="R75" s="68">
        <v>8.5585664911834272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4.2267995361706945E-3</v>
      </c>
      <c r="M76" s="115">
        <v>63.485789236871078</v>
      </c>
      <c r="N76" s="115">
        <v>539.15476183588078</v>
      </c>
      <c r="O76" s="115">
        <v>5.8657124695041754</v>
      </c>
      <c r="P76" s="115">
        <v>8.5585664946849462</v>
      </c>
      <c r="Q76" s="111">
        <v>5.8657124695041754</v>
      </c>
      <c r="R76" s="68">
        <v>8.5585664946849462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0.11685634390858229</v>
      </c>
      <c r="M77" s="115">
        <v>83.391746974868582</v>
      </c>
      <c r="N77" s="115">
        <v>621.82900343318931</v>
      </c>
      <c r="O77" s="115">
        <v>6.4722925815023711</v>
      </c>
      <c r="P77" s="115">
        <v>6.2503166738787952</v>
      </c>
      <c r="Q77" s="111">
        <v>6.4722925815023711</v>
      </c>
      <c r="R77" s="68">
        <v>6.2503166738787952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0.62551228086357269</v>
      </c>
      <c r="M78" s="115">
        <v>26.777978018739443</v>
      </c>
      <c r="N78" s="115">
        <v>196.29236872855037</v>
      </c>
      <c r="O78" s="115">
        <v>2.400954509293221</v>
      </c>
      <c r="P78" s="115">
        <v>2.2752123842033556</v>
      </c>
      <c r="Q78" s="111">
        <v>2.400954509293221</v>
      </c>
      <c r="R78" s="68">
        <v>2.2752123842033556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0.44841451113797581</v>
      </c>
      <c r="M79" s="115">
        <v>47.338154987996113</v>
      </c>
      <c r="N79" s="115">
        <v>350.41457731729605</v>
      </c>
      <c r="O79" s="115">
        <v>3.8025774580546865</v>
      </c>
      <c r="P79" s="115">
        <v>3.5615288895356381</v>
      </c>
      <c r="Q79" s="111">
        <v>3.8025774580546869</v>
      </c>
      <c r="R79" s="68">
        <v>3.5615288895356385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2.8120347279115467E-3</v>
      </c>
      <c r="M80" s="115">
        <v>121.0240525026977</v>
      </c>
      <c r="N80" s="115">
        <v>1027.832757950868</v>
      </c>
      <c r="O80" s="115">
        <v>7.0800904957633284</v>
      </c>
      <c r="P80" s="115">
        <v>8.8836773570094216</v>
      </c>
      <c r="Q80" s="111">
        <v>7.0800904957633284</v>
      </c>
      <c r="R80" s="68">
        <v>8.8836773570094234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0.98346105733130151</v>
      </c>
      <c r="M81" s="115">
        <v>0.83967754698372776</v>
      </c>
      <c r="N81" s="115">
        <v>1.715050139944428</v>
      </c>
      <c r="O81" s="115">
        <v>0.82718729269002056</v>
      </c>
      <c r="P81" s="115">
        <v>0.95550415136333566</v>
      </c>
      <c r="Q81" s="111">
        <v>0.82718729269002056</v>
      </c>
      <c r="R81" s="68">
        <v>0.95550415136333577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0.81274909692097408</v>
      </c>
      <c r="M82" s="115">
        <v>12.208054661351486</v>
      </c>
      <c r="N82" s="115">
        <v>86.951825340128565</v>
      </c>
      <c r="O82" s="115">
        <v>1.4872966382296842</v>
      </c>
      <c r="P82" s="115">
        <v>1.4832438587922254</v>
      </c>
      <c r="Q82" s="111">
        <v>1.4872966382296842</v>
      </c>
      <c r="R82" s="68">
        <v>1.4832438587922256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0.14832553333009552</v>
      </c>
      <c r="M83" s="115">
        <v>81.878724375323955</v>
      </c>
      <c r="N83" s="115">
        <v>610.20378016499296</v>
      </c>
      <c r="O83" s="115">
        <v>6.3390300987796584</v>
      </c>
      <c r="P83" s="115">
        <v>6.0846366743309801</v>
      </c>
      <c r="Q83" s="111">
        <v>6.3390300987796584</v>
      </c>
      <c r="R83" s="68">
        <v>6.0846366743309801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0.96452408875582096</v>
      </c>
      <c r="M84" s="115">
        <v>1.5530412510727747</v>
      </c>
      <c r="N84" s="115">
        <v>7.087537546104004</v>
      </c>
      <c r="O84" s="115">
        <v>0.8596264144076724</v>
      </c>
      <c r="P84" s="115">
        <v>0.97602492270195285</v>
      </c>
      <c r="Q84" s="111">
        <v>0.85962641440767251</v>
      </c>
      <c r="R84" s="68">
        <v>0.97602492270195285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0.99159795624726155</v>
      </c>
      <c r="M85" s="115">
        <v>0.65999394325751681</v>
      </c>
      <c r="N85" s="115">
        <v>0.34833875943980636</v>
      </c>
      <c r="O85" s="115">
        <v>0.82208644338695325</v>
      </c>
      <c r="P85" s="115">
        <v>0.95425502434001286</v>
      </c>
      <c r="Q85" s="111">
        <v>0.82208644338695325</v>
      </c>
      <c r="R85" s="68">
        <v>0.95425502434001286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0.9654633456369387</v>
      </c>
      <c r="M86" s="115">
        <v>1.5108216278452367</v>
      </c>
      <c r="N86" s="115">
        <v>6.770237255853063</v>
      </c>
      <c r="O86" s="115">
        <v>0.85752722409270032</v>
      </c>
      <c r="P86" s="115">
        <v>0.97457277765407935</v>
      </c>
      <c r="Q86" s="111">
        <v>0.85752722409270032</v>
      </c>
      <c r="R86" s="68">
        <v>0.97457277765407935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4.7262680563242039E-4</v>
      </c>
      <c r="M87" s="115">
        <v>460.68515318137787</v>
      </c>
      <c r="N87" s="115">
        <v>3467.1461456223583</v>
      </c>
      <c r="O87" s="115">
        <v>20.705420678754699</v>
      </c>
      <c r="P87" s="115">
        <v>8.634635743707987</v>
      </c>
      <c r="Q87" s="111">
        <v>20.705420678754699</v>
      </c>
      <c r="R87" s="68">
        <v>8.634635743707987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0.70508989803597011</v>
      </c>
      <c r="M88" s="115">
        <v>21.884708055512661</v>
      </c>
      <c r="N88" s="115">
        <v>159.46858376480273</v>
      </c>
      <c r="O88" s="115">
        <v>2.1025098992779934</v>
      </c>
      <c r="P88" s="115">
        <v>2.0152583262762023</v>
      </c>
      <c r="Q88" s="111">
        <v>2.1025098992779938</v>
      </c>
      <c r="R88" s="68">
        <v>2.0152583262762027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0.79564409058360275</v>
      </c>
      <c r="M89" s="115">
        <v>13.675701846721388</v>
      </c>
      <c r="N89" s="115">
        <v>97.948604287655797</v>
      </c>
      <c r="O89" s="115">
        <v>1.5790391272285973</v>
      </c>
      <c r="P89" s="115">
        <v>1.5612855330262152</v>
      </c>
      <c r="Q89" s="111">
        <v>1.5790391272285973</v>
      </c>
      <c r="R89" s="68">
        <v>1.5612855330262152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0.92330697220110103</v>
      </c>
      <c r="M90" s="115">
        <v>3.8436368412062527</v>
      </c>
      <c r="N90" s="115">
        <v>24.273094750584473</v>
      </c>
      <c r="O90" s="115">
        <v>0.98396341457565828</v>
      </c>
      <c r="P90" s="115">
        <v>1.0693351841828513</v>
      </c>
      <c r="Q90" s="111">
        <v>0.98396341457565828</v>
      </c>
      <c r="R90" s="68">
        <v>1.0693351841828513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3.3545512481044392E-3</v>
      </c>
      <c r="M91" s="115">
        <v>244.37017688569202</v>
      </c>
      <c r="N91" s="115">
        <v>1833.7063826930864</v>
      </c>
      <c r="O91" s="115">
        <v>13.056384168144865</v>
      </c>
      <c r="P91" s="115">
        <v>8.1372966072442026</v>
      </c>
      <c r="Q91" s="111">
        <v>13.056384168144865</v>
      </c>
      <c r="R91" s="68">
        <v>8.1372966072442026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0.21086596210150088</v>
      </c>
      <c r="M92" s="115">
        <v>74.718079055231314</v>
      </c>
      <c r="N92" s="115">
        <v>556.19369925838009</v>
      </c>
      <c r="O92" s="115">
        <v>5.779121121427746</v>
      </c>
      <c r="P92" s="115">
        <v>5.4940912730756049</v>
      </c>
      <c r="Q92" s="111">
        <v>5.7791211214277469</v>
      </c>
      <c r="R92" s="68">
        <v>5.4940912730756049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4.2480401699800129E-2</v>
      </c>
      <c r="M93" s="115">
        <v>93.004465589033302</v>
      </c>
      <c r="N93" s="115">
        <v>694.8423578378796</v>
      </c>
      <c r="O93" s="115">
        <v>7.3698183161026032</v>
      </c>
      <c r="P93" s="115">
        <v>7.3230139150331439</v>
      </c>
      <c r="Q93" s="111">
        <v>7.3698183161026041</v>
      </c>
      <c r="R93" s="68">
        <v>7.3230139150331439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0.89256728165723009</v>
      </c>
      <c r="M94" s="115">
        <v>1.9495932490614827</v>
      </c>
      <c r="N94" s="115">
        <v>11.873621729636451</v>
      </c>
      <c r="O94" s="115">
        <v>1.2469131926744195</v>
      </c>
      <c r="P94" s="115">
        <v>1.7345466672285321</v>
      </c>
      <c r="Q94" s="111">
        <v>1.2469131926744195</v>
      </c>
      <c r="R94" s="68">
        <v>1.7345466672285321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8.1171756920795299E-3</v>
      </c>
      <c r="M95" s="115">
        <v>126.48815976467627</v>
      </c>
      <c r="N95" s="115">
        <v>947.41721548773319</v>
      </c>
      <c r="O95" s="115">
        <v>8.8469700445109769</v>
      </c>
      <c r="P95" s="115">
        <v>7.9326081118822342</v>
      </c>
      <c r="Q95" s="111">
        <v>8.8469700445109769</v>
      </c>
      <c r="R95" s="68">
        <v>7.9326081118822351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0.98288864607669102</v>
      </c>
      <c r="M96" s="115">
        <v>0.85601661475663937</v>
      </c>
      <c r="N96" s="115">
        <v>1.8386393871348026</v>
      </c>
      <c r="O96" s="115">
        <v>0.82779849058920796</v>
      </c>
      <c r="P96" s="115">
        <v>0.9558029323495445</v>
      </c>
      <c r="Q96" s="111">
        <v>0.82779849058920796</v>
      </c>
      <c r="R96" s="68">
        <v>0.9558029323495445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0.96404328828265651</v>
      </c>
      <c r="M97" s="115">
        <v>1.5748781520908093</v>
      </c>
      <c r="N97" s="115">
        <v>7.2516352314187404</v>
      </c>
      <c r="O97" s="115">
        <v>0.86071730784355094</v>
      </c>
      <c r="P97" s="115">
        <v>0.97678298204257141</v>
      </c>
      <c r="Q97" s="111">
        <v>0.86071730784355105</v>
      </c>
      <c r="R97" s="68">
        <v>0.97678298204257141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1.9385548283480058E-2</v>
      </c>
      <c r="M98" s="115">
        <v>93.919824351461585</v>
      </c>
      <c r="N98" s="115">
        <v>702.44962200910118</v>
      </c>
      <c r="O98" s="115">
        <v>7.5934964263641174</v>
      </c>
      <c r="P98" s="115">
        <v>7.7049349941201228</v>
      </c>
      <c r="Q98" s="111">
        <v>7.5934964263641183</v>
      </c>
      <c r="R98" s="68">
        <v>7.7049349941201237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0.99326930025313298</v>
      </c>
      <c r="M99" s="115">
        <v>0.63812701603971589</v>
      </c>
      <c r="N99" s="115">
        <v>0.17913917219807457</v>
      </c>
      <c r="O99" s="115">
        <v>0.82203960089568706</v>
      </c>
      <c r="P99" s="115">
        <v>0.95481116305671732</v>
      </c>
      <c r="Q99" s="111">
        <v>0.82203960089568717</v>
      </c>
      <c r="R99" s="68">
        <v>0.95481116305671732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0.49842849875981132</v>
      </c>
      <c r="M100" s="115">
        <v>42.697329943293134</v>
      </c>
      <c r="N100" s="115">
        <v>315.5485711726692</v>
      </c>
      <c r="O100" s="115">
        <v>3.4877924536001994</v>
      </c>
      <c r="P100" s="115">
        <v>3.267925061296149</v>
      </c>
      <c r="Q100" s="111">
        <v>3.4877924536001994</v>
      </c>
      <c r="R100" s="68">
        <v>3.267925061296149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0.99071622922853542</v>
      </c>
      <c r="M101" s="115">
        <v>0.67393896345272941</v>
      </c>
      <c r="N101" s="115">
        <v>0.45545455181845712</v>
      </c>
      <c r="O101" s="115">
        <v>0.82226859948405362</v>
      </c>
      <c r="P101" s="115">
        <v>0.9540866648347367</v>
      </c>
      <c r="Q101" s="111">
        <v>0.82226859948405362</v>
      </c>
      <c r="R101" s="68">
        <v>0.95408666483473681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0.99537465632519329</v>
      </c>
      <c r="M102" s="115">
        <v>0.62034880961679251</v>
      </c>
      <c r="N102" s="115">
        <v>3.8332356914072649E-2</v>
      </c>
      <c r="O102" s="115">
        <v>0.82260778070961049</v>
      </c>
      <c r="P102" s="115">
        <v>0.95599750975095477</v>
      </c>
      <c r="Q102" s="111">
        <v>0.82260778070961049</v>
      </c>
      <c r="R102" s="68">
        <v>0.95599750975095488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0.99338754423227993</v>
      </c>
      <c r="M103" s="115">
        <v>0.63682489517692542</v>
      </c>
      <c r="N103" s="115">
        <v>0.16898312670666274</v>
      </c>
      <c r="O103" s="115">
        <v>0.82205214459139986</v>
      </c>
      <c r="P103" s="115">
        <v>0.95486294210700795</v>
      </c>
      <c r="Q103" s="111">
        <v>0.82205214459139986</v>
      </c>
      <c r="R103" s="68">
        <v>0.95486294210700795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0.97456021831307893</v>
      </c>
      <c r="M104" s="115">
        <v>1.1351729637895711</v>
      </c>
      <c r="N104" s="115">
        <v>3.9444602542292393</v>
      </c>
      <c r="O104" s="115">
        <v>0.83959734524304763</v>
      </c>
      <c r="P104" s="115">
        <v>0.96265527088879799</v>
      </c>
      <c r="Q104" s="111">
        <v>0.83959734524304763</v>
      </c>
      <c r="R104" s="68">
        <v>0.96265527088879799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0.9950683147089262</v>
      </c>
      <c r="M105" s="115">
        <v>0.6221720665040531</v>
      </c>
      <c r="N105" s="115">
        <v>5.3170430645034329E-2</v>
      </c>
      <c r="O105" s="115">
        <v>0.82247679907198934</v>
      </c>
      <c r="P105" s="115">
        <v>0.95578833681526065</v>
      </c>
      <c r="Q105" s="111">
        <v>0.82247679907198934</v>
      </c>
      <c r="R105" s="68">
        <v>0.95578833681526065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0.8968301850468916</v>
      </c>
      <c r="M106" s="115">
        <v>5.6271837410546253</v>
      </c>
      <c r="N106" s="115">
        <v>37.641153795610528</v>
      </c>
      <c r="O106" s="115">
        <v>1.0872928421344945</v>
      </c>
      <c r="P106" s="115">
        <v>1.1514221370845805</v>
      </c>
      <c r="Q106" s="111">
        <v>1.0872928421344945</v>
      </c>
      <c r="R106" s="68">
        <v>1.1514221370845805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1.4264766996749247E-2</v>
      </c>
      <c r="M107" s="115">
        <v>93.638358203549942</v>
      </c>
      <c r="N107" s="115">
        <v>700.61845139967068</v>
      </c>
      <c r="O107" s="115">
        <v>7.6341890323110482</v>
      </c>
      <c r="P107" s="115">
        <v>7.808557700694605</v>
      </c>
      <c r="Q107" s="111">
        <v>7.6341890323110482</v>
      </c>
      <c r="R107" s="68">
        <v>7.8085577006946059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0.5695546098765556</v>
      </c>
      <c r="M108" s="115">
        <v>35.275884064066318</v>
      </c>
      <c r="N108" s="115">
        <v>259.87253166019786</v>
      </c>
      <c r="O108" s="115">
        <v>2.9854686967825419</v>
      </c>
      <c r="P108" s="115">
        <v>2.8061928616664931</v>
      </c>
      <c r="Q108" s="111">
        <v>2.9854686967825423</v>
      </c>
      <c r="R108" s="68">
        <v>2.8061928616664931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109"/>
  <sheetViews>
    <sheetView tabSelected="1" topLeftCell="A81" workbookViewId="0">
      <selection activeCell="A109" sqref="A109:D109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4.0630585857296098E-7</v>
      </c>
      <c r="B2">
        <f>'Mass Balance'!E2</f>
        <v>1.290381986033833E-4</v>
      </c>
      <c r="C2">
        <f>SUM('Mass Balance'!E2:H2)</f>
        <v>1.3699057416316794E-4</v>
      </c>
      <c r="D2">
        <f>Concentrations!F2/Concentrations!E2</f>
        <v>0.94563593622416298</v>
      </c>
    </row>
    <row r="3" spans="1:4">
      <c r="A3" s="164">
        <f>'Mass Balance'!I3</f>
        <v>2.1143903084919225E-5</v>
      </c>
      <c r="B3">
        <f>'Mass Balance'!E3</f>
        <v>8.9881303242870442E-8</v>
      </c>
      <c r="C3">
        <f>SUM('Mass Balance'!E3:H3)</f>
        <v>1.2372190705412826E-4</v>
      </c>
      <c r="D3">
        <f>Concentrations!F3/Concentrations!E3</f>
        <v>7.2932166972692724E-4</v>
      </c>
    </row>
    <row r="4" spans="1:4">
      <c r="A4" s="164">
        <f>'Mass Balance'!I4</f>
        <v>2.3969462986103545E-6</v>
      </c>
      <c r="B4">
        <f>'Mass Balance'!E4</f>
        <v>6.4767764264446215E-5</v>
      </c>
      <c r="C4">
        <f>SUM('Mass Balance'!E4:H4)</f>
        <v>1.2178090033462165E-4</v>
      </c>
      <c r="D4">
        <f>Concentrations!F4/Concentrations!E4</f>
        <v>0.53391987495413606</v>
      </c>
    </row>
    <row r="5" spans="1:4">
      <c r="A5" s="164">
        <f>'Mass Balance'!I5</f>
        <v>6.8640502490657995E-6</v>
      </c>
      <c r="B5">
        <f>'Mass Balance'!E5</f>
        <v>1.0663495256254606E-6</v>
      </c>
      <c r="C5">
        <f>SUM('Mass Balance'!E5:H5)</f>
        <v>1.3554637269089627E-4</v>
      </c>
      <c r="D5">
        <f>Concentrations!F5/Concentrations!E5</f>
        <v>7.8978347458445227E-3</v>
      </c>
    </row>
    <row r="6" spans="1:4">
      <c r="A6" s="164">
        <f>'Mass Balance'!I6</f>
        <v>2.4013477446761992E-5</v>
      </c>
      <c r="B6">
        <f>'Mass Balance'!E6</f>
        <v>3.9160408116896898E-8</v>
      </c>
      <c r="C6">
        <f>SUM('Mass Balance'!E6:H6)</f>
        <v>1.2245314365796352E-4</v>
      </c>
      <c r="D6">
        <f>Concentrations!F6/Concentrations!E6</f>
        <v>3.2105070844138674E-4</v>
      </c>
    </row>
    <row r="7" spans="1:4">
      <c r="A7" s="164">
        <f>'Mass Balance'!I7</f>
        <v>2.1664506746109899E-5</v>
      </c>
      <c r="B7">
        <f>'Mass Balance'!E7</f>
        <v>8.0046389363190307E-8</v>
      </c>
      <c r="C7">
        <f>SUM('Mass Balance'!E7:H7)</f>
        <v>1.2375819436017673E-4</v>
      </c>
      <c r="D7">
        <f>Concentrations!F7/Concentrations!E7</f>
        <v>6.4932802139476531E-4</v>
      </c>
    </row>
    <row r="8" spans="1:4">
      <c r="A8" s="164">
        <f>'Mass Balance'!I8</f>
        <v>1.7846652059720371E-5</v>
      </c>
      <c r="B8">
        <f>'Mass Balance'!E8</f>
        <v>1.8436710173635001E-7</v>
      </c>
      <c r="C8">
        <f>SUM('Mass Balance'!E8:H8)</f>
        <v>1.2619612144432191E-4</v>
      </c>
      <c r="D8">
        <f>Concentrations!F8/Concentrations!E8</f>
        <v>1.4666746427414959E-3</v>
      </c>
    </row>
    <row r="9" spans="1:4">
      <c r="A9" s="164">
        <f>'Mass Balance'!I9</f>
        <v>4.3638985584977343E-6</v>
      </c>
      <c r="B9">
        <f>'Mass Balance'!E9</f>
        <v>9.9548875583798766E-6</v>
      </c>
      <c r="C9">
        <f>SUM('Mass Balance'!E9:H9)</f>
        <v>1.2982386443488353E-4</v>
      </c>
      <c r="D9">
        <f>Concentrations!F9/Concentrations!E9</f>
        <v>7.6980049987451241E-2</v>
      </c>
    </row>
    <row r="10" spans="1:4">
      <c r="A10" s="164">
        <f>'Mass Balance'!I10</f>
        <v>7.3255767440207635E-6</v>
      </c>
      <c r="B10">
        <f>'Mass Balance'!E10</f>
        <v>9.8917599359417185E-7</v>
      </c>
      <c r="C10">
        <f>SUM('Mass Balance'!E10:H10)</f>
        <v>1.3507575190323972E-4</v>
      </c>
      <c r="D10">
        <f>Concentrations!F10/Concentrations!E10</f>
        <v>7.3517805761136147E-3</v>
      </c>
    </row>
    <row r="11" spans="1:4">
      <c r="A11" s="164">
        <f>'Mass Balance'!I11</f>
        <v>8.135876895350216E-6</v>
      </c>
      <c r="B11">
        <f>'Mass Balance'!E11</f>
        <v>8.6967395443689777E-7</v>
      </c>
      <c r="C11">
        <f>SUM('Mass Balance'!E11:H11)</f>
        <v>1.3424411564798197E-4</v>
      </c>
      <c r="D11">
        <f>Concentrations!F11/Concentrations!E11</f>
        <v>6.5036560878853969E-3</v>
      </c>
    </row>
    <row r="12" spans="1:4">
      <c r="A12" s="164">
        <f>'Mass Balance'!I12</f>
        <v>4.468092909067202E-6</v>
      </c>
      <c r="B12">
        <f>'Mass Balance'!E12</f>
        <v>6.2409860994139837E-6</v>
      </c>
      <c r="C12">
        <f>SUM('Mass Balance'!E12:H12)</f>
        <v>1.3250227606602334E-4</v>
      </c>
      <c r="D12">
        <f>Concentrations!F12/Concentrations!E12</f>
        <v>4.728530984048708E-2</v>
      </c>
    </row>
    <row r="13" spans="1:4">
      <c r="A13" s="164">
        <f>'Mass Balance'!I13</f>
        <v>4.3769219056679419E-6</v>
      </c>
      <c r="B13">
        <f>'Mass Balance'!E13</f>
        <v>9.5289187340073767E-6</v>
      </c>
      <c r="C13">
        <f>SUM('Mass Balance'!E13:H13)</f>
        <v>1.3008020130158635E-4</v>
      </c>
      <c r="D13">
        <f>Concentrations!F13/Concentrations!E13</f>
        <v>7.3540873690213074E-2</v>
      </c>
    </row>
    <row r="14" spans="1:4">
      <c r="A14" s="164">
        <f>'Mass Balance'!I14</f>
        <v>1.0946684688114214E-5</v>
      </c>
      <c r="B14">
        <f>'Mass Balance'!E14</f>
        <v>5.6707893737543759E-7</v>
      </c>
      <c r="C14">
        <f>SUM('Mass Balance'!E14:H14)</f>
        <v>1.3161417375685838E-4</v>
      </c>
      <c r="D14">
        <f>Concentrations!F14/Concentrations!E14</f>
        <v>4.3255089750456228E-3</v>
      </c>
    </row>
    <row r="15" spans="1:4">
      <c r="A15" s="164">
        <f>'Mass Balance'!I15</f>
        <v>7.7244533719177761E-6</v>
      </c>
      <c r="B15">
        <f>'Mass Balance'!E15</f>
        <v>9.2802521505648274E-7</v>
      </c>
      <c r="C15">
        <f>SUM('Mass Balance'!E15:H15)</f>
        <v>1.3466678598065865E-4</v>
      </c>
      <c r="D15">
        <f>Concentrations!F15/Concentrations!E15</f>
        <v>6.9182403118300557E-3</v>
      </c>
    </row>
    <row r="16" spans="1:4">
      <c r="A16" s="164">
        <f>'Mass Balance'!I16</f>
        <v>1.7651049281526618E-5</v>
      </c>
      <c r="B16">
        <f>'Mass Balance'!E16</f>
        <v>1.9107068596373352E-7</v>
      </c>
      <c r="C16">
        <f>SUM('Mass Balance'!E16:H16)</f>
        <v>1.2630544698430553E-4</v>
      </c>
      <c r="D16">
        <f>Concentrations!F16/Concentrations!E16</f>
        <v>1.5186872432767797E-3</v>
      </c>
    </row>
    <row r="17" spans="1:4">
      <c r="A17" s="164">
        <f>'Mass Balance'!I17</f>
        <v>7.0159798248240723E-6</v>
      </c>
      <c r="B17">
        <f>'Mass Balance'!E17</f>
        <v>1.0401876684038102E-6</v>
      </c>
      <c r="C17">
        <f>SUM('Mass Balance'!E17:H17)</f>
        <v>1.3539585579027099E-4</v>
      </c>
      <c r="D17">
        <f>Concentrations!F17/Concentrations!E17</f>
        <v>7.7126334484831213E-3</v>
      </c>
    </row>
    <row r="18" spans="1:4">
      <c r="A18" s="164">
        <f>'Mass Balance'!I18</f>
        <v>4.2834129154333241E-6</v>
      </c>
      <c r="B18">
        <f>'Mass Balance'!E18</f>
        <v>1.2056935665369883E-5</v>
      </c>
      <c r="C18">
        <f>SUM('Mass Balance'!E18:H18)</f>
        <v>1.2829742872329128E-4</v>
      </c>
      <c r="D18">
        <f>Concentrations!F18/Concentrations!E18</f>
        <v>9.4344231965447348E-2</v>
      </c>
    </row>
    <row r="19" spans="1:4">
      <c r="A19" s="164">
        <f>'Mass Balance'!I19</f>
        <v>7.8058077442768239E-6</v>
      </c>
      <c r="B19">
        <f>'Mass Balance'!E19</f>
        <v>9.1614011801262063E-7</v>
      </c>
      <c r="C19">
        <f>SUM('Mass Balance'!E19:H19)</f>
        <v>1.3458431699229161E-4</v>
      </c>
      <c r="D19">
        <f>Concentrations!F19/Concentrations!E19</f>
        <v>6.8338243025118008E-3</v>
      </c>
    </row>
    <row r="20" spans="1:4">
      <c r="A20" s="164">
        <f>'Mass Balance'!I20</f>
        <v>4.3774305333560794E-6</v>
      </c>
      <c r="B20">
        <f>'Mass Balance'!E20</f>
        <v>9.5300260582892784E-6</v>
      </c>
      <c r="C20">
        <f>SUM('Mass Balance'!E20:H20)</f>
        <v>1.300953174936241E-4</v>
      </c>
      <c r="D20">
        <f>Concentrations!F20/Concentrations!E20</f>
        <v>7.3540873690213074E-2</v>
      </c>
    </row>
    <row r="21" spans="1:4">
      <c r="A21" s="164">
        <f>'Mass Balance'!I21</f>
        <v>1.0087159397949614E-5</v>
      </c>
      <c r="B21">
        <f>'Mass Balance'!E21</f>
        <v>6.4485680114488452E-7</v>
      </c>
      <c r="C21">
        <f>SUM('Mass Balance'!E21:H21)</f>
        <v>1.3234324797631439E-4</v>
      </c>
      <c r="D21">
        <f>Concentrations!F21/Concentrations!E21</f>
        <v>4.8916779614992965E-3</v>
      </c>
    </row>
    <row r="22" spans="1:4">
      <c r="A22" s="164">
        <f>'Mass Balance'!I22</f>
        <v>1.2205845123967186E-6</v>
      </c>
      <c r="B22">
        <f>'Mass Balance'!E22</f>
        <v>1.001358156282399E-4</v>
      </c>
      <c r="C22">
        <f>SUM('Mass Balance'!E22:H22)</f>
        <v>1.2715017825468459E-4</v>
      </c>
      <c r="D22">
        <f>Concentrations!F22/Concentrations!E22</f>
        <v>0.79062187913500215</v>
      </c>
    </row>
    <row r="23" spans="1:4">
      <c r="A23" s="164">
        <f>'Mass Balance'!I23</f>
        <v>6.0866412443451104E-7</v>
      </c>
      <c r="B23">
        <f>'Mass Balance'!E23</f>
        <v>1.2128982720815999E-4</v>
      </c>
      <c r="C23">
        <f>SUM('Mass Balance'!E23:H23)</f>
        <v>1.3381921286543098E-4</v>
      </c>
      <c r="D23">
        <f>Concentrations!F23/Concentrations!E23</f>
        <v>0.90991802583642012</v>
      </c>
    </row>
    <row r="24" spans="1:4">
      <c r="A24" s="164">
        <f>'Mass Balance'!I24</f>
        <v>3.6066456975408733E-6</v>
      </c>
      <c r="B24">
        <f>'Mass Balance'!E24</f>
        <v>3.1127713502572307E-5</v>
      </c>
      <c r="C24">
        <f>SUM('Mass Balance'!E24:H24)</f>
        <v>1.2288041932595811E-4</v>
      </c>
      <c r="D24">
        <f>Concentrations!F24/Concentrations!E24</f>
        <v>0.25430851284398487</v>
      </c>
    </row>
    <row r="25" spans="1:4">
      <c r="A25" s="164">
        <f>'Mass Balance'!I25</f>
        <v>4.4601107296196488E-6</v>
      </c>
      <c r="B25">
        <f>'Mass Balance'!E25</f>
        <v>3.315408413080114E-6</v>
      </c>
      <c r="C25">
        <f>SUM('Mass Balance'!E25:H25)</f>
        <v>1.3405666569426828E-4</v>
      </c>
      <c r="D25">
        <f>Concentrations!F25/Concentrations!E25</f>
        <v>2.4828185657071927E-2</v>
      </c>
    </row>
    <row r="26" spans="1:4">
      <c r="A26" s="164">
        <f>'Mass Balance'!I26</f>
        <v>9.5338578734806169E-6</v>
      </c>
      <c r="B26">
        <f>'Mass Balance'!E26</f>
        <v>7.0121602172963285E-7</v>
      </c>
      <c r="C26">
        <f>SUM('Mass Balance'!E26:H26)</f>
        <v>1.3286465679485877E-4</v>
      </c>
      <c r="D26">
        <f>Concentrations!F26/Concentrations!E26</f>
        <v>5.2983265655727266E-3</v>
      </c>
    </row>
    <row r="27" spans="1:4">
      <c r="A27" s="164">
        <f>'Mass Balance'!I27</f>
        <v>2.075817040059883E-5</v>
      </c>
      <c r="B27">
        <f>'Mass Balance'!E27</f>
        <v>9.9178131267443124E-8</v>
      </c>
      <c r="C27">
        <f>SUM('Mass Balance'!E27:H27)</f>
        <v>1.240634659455193E-4</v>
      </c>
      <c r="D27">
        <f>Concentrations!F27/Concentrations!E27</f>
        <v>8.0254311530271656E-4</v>
      </c>
    </row>
    <row r="28" spans="1:4">
      <c r="A28" s="164">
        <f>'Mass Balance'!I28</f>
        <v>1.3640433781694827E-5</v>
      </c>
      <c r="B28">
        <f>'Mass Balance'!E28</f>
        <v>3.7599876340077808E-7</v>
      </c>
      <c r="C28">
        <f>SUM('Mass Balance'!E28:H28)</f>
        <v>1.2933727732157731E-4</v>
      </c>
      <c r="D28">
        <f>Concentrations!F28/Concentrations!E28</f>
        <v>2.9184957454671035E-3</v>
      </c>
    </row>
    <row r="29" spans="1:4">
      <c r="A29" s="164">
        <f>'Mass Balance'!I29</f>
        <v>1.0430718745565074E-5</v>
      </c>
      <c r="B29">
        <f>'Mass Balance'!E29</f>
        <v>5.7958840208674823E-7</v>
      </c>
      <c r="C29">
        <f>SUM('Mass Balance'!E29:H29)</f>
        <v>1.2905714221326273E-4</v>
      </c>
      <c r="D29">
        <f>Concentrations!F29/Concentrations!E29</f>
        <v>4.5085200424820789E-3</v>
      </c>
    </row>
    <row r="30" spans="1:4">
      <c r="A30" s="164">
        <f>'Mass Balance'!I30</f>
        <v>1.3640433781694827E-5</v>
      </c>
      <c r="B30">
        <f>'Mass Balance'!E30</f>
        <v>3.7599876340077808E-7</v>
      </c>
      <c r="C30">
        <f>SUM('Mass Balance'!E30:H30)</f>
        <v>1.2933727732157731E-4</v>
      </c>
      <c r="D30">
        <f>Concentrations!F30/Concentrations!E30</f>
        <v>2.9184957454671035E-3</v>
      </c>
    </row>
    <row r="31" spans="1:4">
      <c r="A31" s="164">
        <f>'Mass Balance'!I31</f>
        <v>3.6760499580772743E-8</v>
      </c>
      <c r="B31">
        <f>'Mass Balance'!E31</f>
        <v>1.4833646392732375E-4</v>
      </c>
      <c r="C31">
        <f>SUM('Mass Balance'!E31:H31)</f>
        <v>1.4846437501078358E-4</v>
      </c>
      <c r="D31">
        <f>Concentrations!F31/Concentrations!E31</f>
        <v>1.0030487243621815</v>
      </c>
    </row>
    <row r="32" spans="1:4">
      <c r="A32" s="164">
        <f>'Mass Balance'!I32</f>
        <v>1.9203684662156118E-6</v>
      </c>
      <c r="B32">
        <f>'Mass Balance'!E32</f>
        <v>7.9060810751830897E-5</v>
      </c>
      <c r="C32">
        <f>SUM('Mass Balance'!E32:H32)</f>
        <v>1.2336524164376116E-4</v>
      </c>
      <c r="D32">
        <f>Concentrations!F32/Concentrations!E32</f>
        <v>0.64337593466145504</v>
      </c>
    </row>
    <row r="33" spans="1:4">
      <c r="A33" s="164">
        <f>'Mass Balance'!I33</f>
        <v>3.279124611079783E-8</v>
      </c>
      <c r="B33">
        <f>'Mass Balance'!E33</f>
        <v>1.493331734888352E-4</v>
      </c>
      <c r="C33">
        <f>SUM('Mass Balance'!E33:H33)</f>
        <v>1.499635944613263E-4</v>
      </c>
      <c r="D33">
        <f>Concentrations!F33/Concentrations!E33</f>
        <v>0.99969337789726775</v>
      </c>
    </row>
    <row r="34" spans="1:4">
      <c r="A34" s="164">
        <f>'Mass Balance'!I34</f>
        <v>2.7021685625034866E-7</v>
      </c>
      <c r="B34">
        <f>'Mass Balance'!E34</f>
        <v>8.2004247252976376E-5</v>
      </c>
      <c r="C34">
        <f>SUM('Mass Balance'!E34:H34)</f>
        <v>1.4971748582798063E-4</v>
      </c>
      <c r="D34">
        <f>Concentrations!F34/Concentrations!E34</f>
        <v>0.54987019915558155</v>
      </c>
    </row>
    <row r="35" spans="1:4">
      <c r="A35" s="164">
        <f>'Mass Balance'!I35</f>
        <v>3.6919415636903508E-7</v>
      </c>
      <c r="B35">
        <f>'Mass Balance'!E35</f>
        <v>4.8523269079064622E-5</v>
      </c>
      <c r="C35">
        <f>SUM('Mass Balance'!E35:H35)</f>
        <v>1.496010552670047E-4</v>
      </c>
      <c r="D35">
        <f>Concentrations!F35/Concentrations!E35</f>
        <v>0.32562051399863751</v>
      </c>
    </row>
    <row r="36" spans="1:4">
      <c r="A36" s="164">
        <f>'Mass Balance'!I36</f>
        <v>4.4037827090822377E-7</v>
      </c>
      <c r="B36">
        <f>'Mass Balance'!E36</f>
        <v>1.6178565623537028E-5</v>
      </c>
      <c r="C36">
        <f>SUM('Mass Balance'!E36:H36)</f>
        <v>1.495263842698977E-4</v>
      </c>
      <c r="D36">
        <f>Concentrations!F36/Concentrations!E36</f>
        <v>0.10862218771257091</v>
      </c>
    </row>
    <row r="37" spans="1:4">
      <c r="A37" s="164">
        <f>'Mass Balance'!I37</f>
        <v>1.1284428078333087E-6</v>
      </c>
      <c r="B37">
        <f>'Mass Balance'!E37</f>
        <v>3.2313510019970667E-5</v>
      </c>
      <c r="C37">
        <f>SUM('Mass Balance'!E37:H37)</f>
        <v>1.4423803090329746E-4</v>
      </c>
      <c r="D37">
        <f>Concentrations!F37/Concentrations!E37</f>
        <v>0.22490582970047909</v>
      </c>
    </row>
    <row r="38" spans="1:4">
      <c r="A38" s="164">
        <f>'Mass Balance'!I38</f>
        <v>2.4702478902653347E-7</v>
      </c>
      <c r="B38">
        <f>'Mass Balance'!E38</f>
        <v>9.19335622033996E-5</v>
      </c>
      <c r="C38">
        <f>SUM('Mass Balance'!E38:H38)</f>
        <v>1.4963389786907052E-4</v>
      </c>
      <c r="D38">
        <f>Concentrations!F38/Concentrations!E38</f>
        <v>0.61679445598249316</v>
      </c>
    </row>
    <row r="39" spans="1:4">
      <c r="A39" s="164">
        <f>'Mass Balance'!I39</f>
        <v>4.5754263312569053E-6</v>
      </c>
      <c r="B39">
        <f>'Mass Balance'!E39</f>
        <v>1.6103440374466765E-6</v>
      </c>
      <c r="C39">
        <f>SUM('Mass Balance'!E39:H39)</f>
        <v>1.381732457955804E-4</v>
      </c>
      <c r="D39">
        <f>Concentrations!F39/Concentrations!E39</f>
        <v>1.1700140373438875E-2</v>
      </c>
    </row>
    <row r="40" spans="1:4">
      <c r="A40" s="164">
        <f>'Mass Balance'!I40</f>
        <v>2.6642618774569052E-5</v>
      </c>
      <c r="B40">
        <f>'Mass Balance'!E40</f>
        <v>1.2579633161733146E-7</v>
      </c>
      <c r="C40">
        <f>SUM('Mass Balance'!E40:H40)</f>
        <v>1.2320505792225638E-4</v>
      </c>
      <c r="D40">
        <f>Concentrations!F40/Concentrations!E40</f>
        <v>1.0250281720648681E-3</v>
      </c>
    </row>
    <row r="41" spans="1:4">
      <c r="A41" s="164">
        <f>'Mass Balance'!I41</f>
        <v>2.8020089667795757E-8</v>
      </c>
      <c r="B41">
        <f>'Mass Balance'!E41</f>
        <v>1.3992429194958333E-4</v>
      </c>
      <c r="C41">
        <f>SUM('Mass Balance'!E41:H41)</f>
        <v>1.3993072002858566E-4</v>
      </c>
      <c r="D41">
        <f>Concentrations!F41/Concentrations!E41</f>
        <v>1.0038675396339611</v>
      </c>
    </row>
    <row r="42" spans="1:4">
      <c r="A42" s="164">
        <f>'Mass Balance'!I42</f>
        <v>1.4133379088026977E-6</v>
      </c>
      <c r="B42">
        <f>'Mass Balance'!E42</f>
        <v>9.4248460138232729E-5</v>
      </c>
      <c r="C42">
        <f>SUM('Mass Balance'!E42:H42)</f>
        <v>1.2598356967214084E-4</v>
      </c>
      <c r="D42">
        <f>Concentrations!F42/Concentrations!E42</f>
        <v>0.75102901537292632</v>
      </c>
    </row>
    <row r="43" spans="1:4">
      <c r="A43" s="164">
        <f>'Mass Balance'!I43</f>
        <v>9.280432859751029E-7</v>
      </c>
      <c r="B43">
        <f>'Mass Balance'!E43</f>
        <v>1.3147480319047764E-6</v>
      </c>
      <c r="C43">
        <f>SUM('Mass Balance'!E43:H43)</f>
        <v>1.4904541039556773E-4</v>
      </c>
      <c r="D43">
        <f>Concentrations!F43/Concentrations!E43</f>
        <v>8.8556467538360335E-3</v>
      </c>
    </row>
    <row r="44" spans="1:4">
      <c r="A44" s="164">
        <f>'Mass Balance'!I44</f>
        <v>2.3181135097314388E-7</v>
      </c>
      <c r="B44">
        <f>'Mass Balance'!E44</f>
        <v>1.2578343601374995E-4</v>
      </c>
      <c r="C44">
        <f>SUM('Mass Balance'!E44:H44)</f>
        <v>1.2997614325848373E-4</v>
      </c>
      <c r="D44">
        <f>Concentrations!F44/Concentrations!E44</f>
        <v>0.97152989827926506</v>
      </c>
    </row>
    <row r="45" spans="1:4">
      <c r="A45" s="164">
        <f>'Mass Balance'!I45</f>
        <v>1.5959270117800461E-6</v>
      </c>
      <c r="B45">
        <f>'Mass Balance'!E45</f>
        <v>8.8478059997216724E-5</v>
      </c>
      <c r="C45">
        <f>SUM('Mass Balance'!E45:H45)</f>
        <v>1.2475932852841395E-4</v>
      </c>
      <c r="D45">
        <f>Concentrations!F45/Concentrations!E45</f>
        <v>0.71196546040949049</v>
      </c>
    </row>
    <row r="46" spans="1:4">
      <c r="A46" s="164">
        <f>'Mass Balance'!I46</f>
        <v>1.4779204622753941E-6</v>
      </c>
      <c r="B46">
        <f>'Mass Balance'!E46</f>
        <v>9.1965183962613553E-5</v>
      </c>
      <c r="C46">
        <f>SUM('Mass Balance'!E46:H46)</f>
        <v>1.2530631426156355E-4</v>
      </c>
      <c r="D46">
        <f>Concentrations!F46/Concentrations!E46</f>
        <v>0.73679530590858933</v>
      </c>
    </row>
    <row r="47" spans="1:4">
      <c r="A47" s="164">
        <f>'Mass Balance'!I47</f>
        <v>2.1198027265669831E-5</v>
      </c>
      <c r="B47">
        <f>'Mass Balance'!E47</f>
        <v>9.0111381477871753E-8</v>
      </c>
      <c r="C47">
        <f>SUM('Mass Balance'!E47:H47)</f>
        <v>1.2403861049498842E-4</v>
      </c>
      <c r="D47">
        <f>Concentrations!F47/Concentrations!E47</f>
        <v>7.2932166972692713E-4</v>
      </c>
    </row>
    <row r="48" spans="1:4">
      <c r="A48" s="164">
        <f>'Mass Balance'!I48</f>
        <v>9.7383727898360718E-8</v>
      </c>
      <c r="B48">
        <f>'Mass Balance'!E48</f>
        <v>1.4206042066417817E-4</v>
      </c>
      <c r="C48">
        <f>SUM('Mass Balance'!E48:H48)</f>
        <v>1.4338083301123635E-4</v>
      </c>
      <c r="D48">
        <f>Concentrations!F48/Concentrations!E48</f>
        <v>0.99466848831057519</v>
      </c>
    </row>
    <row r="49" spans="1:4">
      <c r="A49" s="164">
        <f>'Mass Balance'!I49</f>
        <v>1.4797608722826222E-7</v>
      </c>
      <c r="B49">
        <f>'Mass Balance'!E49</f>
        <v>1.3791487726514737E-4</v>
      </c>
      <c r="C49">
        <f>SUM('Mass Balance'!E49:H49)</f>
        <v>1.4028301788043682E-4</v>
      </c>
      <c r="D49">
        <f>Concentrations!F49/Concentrations!E49</f>
        <v>0.98696642602903817</v>
      </c>
    </row>
    <row r="50" spans="1:4">
      <c r="A50" s="164">
        <f>'Mass Balance'!I50</f>
        <v>4.2432568617788068E-6</v>
      </c>
      <c r="B50">
        <f>'Mass Balance'!E50</f>
        <v>1.2810687756327213E-5</v>
      </c>
      <c r="C50">
        <f>SUM('Mass Balance'!E50:H50)</f>
        <v>1.2749745300201986E-4</v>
      </c>
      <c r="D50">
        <f>Concentrations!F50/Concentrations!E50</f>
        <v>0.10087122598395439</v>
      </c>
    </row>
    <row r="51" spans="1:4">
      <c r="A51" s="164">
        <f>'Mass Balance'!I51</f>
        <v>4.0000563833532934E-8</v>
      </c>
      <c r="B51">
        <f>'Mass Balance'!E51</f>
        <v>1.3991398793521947E-4</v>
      </c>
      <c r="C51">
        <f>SUM('Mass Balance'!E51:H51)</f>
        <v>1.401311324701201E-4</v>
      </c>
      <c r="D51">
        <f>Concentrations!F51/Concentrations!E51</f>
        <v>1.002358011511207</v>
      </c>
    </row>
    <row r="52" spans="1:4">
      <c r="A52" s="164">
        <f>'Mass Balance'!I52</f>
        <v>3.7453937627299986E-7</v>
      </c>
      <c r="B52">
        <f>'Mass Balance'!E52</f>
        <v>1.2158152498220913E-4</v>
      </c>
      <c r="C52">
        <f>SUM('Mass Balance'!E52:H52)</f>
        <v>1.2889235624479248E-4</v>
      </c>
      <c r="D52">
        <f>Concentrations!F52/Concentrations!E52</f>
        <v>0.94697123184535303</v>
      </c>
    </row>
    <row r="53" spans="1:4">
      <c r="A53" s="164">
        <f>'Mass Balance'!I53</f>
        <v>2.2313014781716591E-6</v>
      </c>
      <c r="B53">
        <f>'Mass Balance'!E53</f>
        <v>6.9310101680767659E-5</v>
      </c>
      <c r="C53">
        <f>SUM('Mass Balance'!E53:H53)</f>
        <v>1.2193384535736646E-4</v>
      </c>
      <c r="D53">
        <f>Concentrations!F53/Concentrations!E53</f>
        <v>0.57064843187288905</v>
      </c>
    </row>
    <row r="54" spans="1:4">
      <c r="A54" s="164">
        <f>'Mass Balance'!I54</f>
        <v>1.9687882170644629E-5</v>
      </c>
      <c r="B54">
        <f>'Mass Balance'!E54</f>
        <v>1.2745486877469162E-7</v>
      </c>
      <c r="C54">
        <f>SUM('Mass Balance'!E54:H54)</f>
        <v>1.2496247981365745E-4</v>
      </c>
      <c r="D54">
        <f>Concentrations!F54/Concentrations!E54</f>
        <v>1.0239368137133337E-3</v>
      </c>
    </row>
    <row r="55" spans="1:4">
      <c r="A55" s="164">
        <f>'Mass Balance'!I55</f>
        <v>3.2628439101551457E-6</v>
      </c>
      <c r="B55">
        <f>'Mass Balance'!E55</f>
        <v>2.4482182087620166E-5</v>
      </c>
      <c r="C55">
        <f>SUM('Mass Balance'!E55:H55)</f>
        <v>1.0816304927521431E-4</v>
      </c>
      <c r="D55">
        <f>Concentrations!F55/Concentrations!E55</f>
        <v>0.22723099168919011</v>
      </c>
    </row>
    <row r="56" spans="1:4">
      <c r="A56" s="164">
        <f>'Mass Balance'!I56</f>
        <v>1.9404157872967142E-6</v>
      </c>
      <c r="B56">
        <f>'Mass Balance'!E56</f>
        <v>2.9071067474968269E-6</v>
      </c>
      <c r="C56">
        <f>SUM('Mass Balance'!E56:H56)</f>
        <v>5.7518121645745926E-5</v>
      </c>
      <c r="D56">
        <f>Concentrations!F56/Concentrations!E56</f>
        <v>5.0740255117250992E-2</v>
      </c>
    </row>
    <row r="57" spans="1:4">
      <c r="A57" s="164">
        <f>'Mass Balance'!I57</f>
        <v>9.9078598015902183E-7</v>
      </c>
      <c r="B57">
        <f>'Mass Balance'!E57</f>
        <v>5.4888422225940792E-6</v>
      </c>
      <c r="C57">
        <f>SUM('Mass Balance'!E57:H57)</f>
        <v>3.1347707331137973E-5</v>
      </c>
      <c r="D57">
        <f>Concentrations!F57/Concentrations!E57</f>
        <v>0.17578075519766789</v>
      </c>
    </row>
    <row r="58" spans="1:4">
      <c r="A58" s="164">
        <f>'Mass Balance'!I58</f>
        <v>1.4671383427929124E-8</v>
      </c>
      <c r="B58">
        <f>'Mass Balance'!E58</f>
        <v>1.1255761273273305E-5</v>
      </c>
      <c r="C58">
        <f>SUM('Mass Balance'!E58:H58)</f>
        <v>1.1502844250906856E-5</v>
      </c>
      <c r="D58">
        <f>Concentrations!F58/Concentrations!E58</f>
        <v>0.98234942729794861</v>
      </c>
    </row>
    <row r="59" spans="1:4">
      <c r="A59" s="164">
        <f>'Mass Balance'!I59</f>
        <v>3.8552566008395565E-7</v>
      </c>
      <c r="B59">
        <f>'Mass Balance'!E59</f>
        <v>2.2906732674716394E-6</v>
      </c>
      <c r="C59">
        <f>SUM('Mass Balance'!E59:H59)</f>
        <v>1.2312118486218082E-5</v>
      </c>
      <c r="D59">
        <f>Concentrations!F59/Concentrations!E59</f>
        <v>0.18677843130853469</v>
      </c>
    </row>
    <row r="60" spans="1:4">
      <c r="A60" s="164">
        <f>'Mass Balance'!I60</f>
        <v>6.7304983711598539E-9</v>
      </c>
      <c r="B60">
        <f>'Mass Balance'!E60</f>
        <v>8.6346002731006856E-8</v>
      </c>
      <c r="C60">
        <f>SUM('Mass Balance'!E60:H60)</f>
        <v>2.536709375450237E-7</v>
      </c>
      <c r="D60">
        <f>Concentrations!F60/Concentrations!E60</f>
        <v>0.34171802338874779</v>
      </c>
    </row>
    <row r="61" spans="1:4">
      <c r="A61" s="164">
        <f>'Mass Balance'!I61</f>
        <v>2.8515132816555162E-6</v>
      </c>
      <c r="B61">
        <f>'Mass Balance'!E61</f>
        <v>5.1882989470447656E-5</v>
      </c>
      <c r="C61">
        <f>SUM('Mass Balance'!E61:H61)</f>
        <v>1.213331055192594E-4</v>
      </c>
      <c r="D61">
        <f>Concentrations!F61/Concentrations!E61</f>
        <v>0.42928136943734024</v>
      </c>
    </row>
    <row r="62" spans="1:4">
      <c r="A62" s="164">
        <f>'Mass Balance'!I62</f>
        <v>1.07544337845498E-5</v>
      </c>
      <c r="B62">
        <f>'Mass Balance'!E62</f>
        <v>5.837741027576788E-7</v>
      </c>
      <c r="C62">
        <f>SUM('Mass Balance'!E62:H62)</f>
        <v>1.3179071281388432E-4</v>
      </c>
      <c r="D62">
        <f>Concentrations!F62/Concentrations!E62</f>
        <v>4.4468899351751291E-3</v>
      </c>
    </row>
    <row r="63" spans="1:4">
      <c r="A63" s="164">
        <f>'Mass Balance'!I63</f>
        <v>2.3407078764692473E-5</v>
      </c>
      <c r="B63">
        <f>'Mass Balance'!E63</f>
        <v>4.8219823209554222E-8</v>
      </c>
      <c r="C63">
        <f>SUM('Mass Balance'!E63:H63)</f>
        <v>1.2277234832489713E-4</v>
      </c>
      <c r="D63">
        <f>Concentrations!F63/Concentrations!E63</f>
        <v>3.9429513012256986E-4</v>
      </c>
    </row>
    <row r="64" spans="1:4">
      <c r="A64" s="164">
        <f>'Mass Balance'!I64</f>
        <v>2.6002127655439394E-5</v>
      </c>
      <c r="B64">
        <f>'Mass Balance'!E64</f>
        <v>1.6266905945850741E-8</v>
      </c>
      <c r="C64">
        <f>SUM('Mass Balance'!E64:H64)</f>
        <v>1.2149398154622315E-4</v>
      </c>
      <c r="D64">
        <f>Concentrations!F64/Concentrations!E64</f>
        <v>1.3441463378141346E-4</v>
      </c>
    </row>
    <row r="65" spans="1:4">
      <c r="A65" s="164">
        <f>'Mass Balance'!I65</f>
        <v>2.7754344257264557E-5</v>
      </c>
      <c r="B65">
        <f>'Mass Balance'!E65</f>
        <v>4.4770982815837477E-9</v>
      </c>
      <c r="C65">
        <f>SUM('Mass Balance'!E65:H65)</f>
        <v>1.2077827798409996E-4</v>
      </c>
      <c r="D65">
        <f>Concentrations!F65/Concentrations!E65</f>
        <v>3.7213811818105853E-5</v>
      </c>
    </row>
    <row r="66" spans="1:4">
      <c r="A66" s="164">
        <f>'Mass Balance'!I66</f>
        <v>2.6881930802008348E-5</v>
      </c>
      <c r="B66">
        <f>'Mass Balance'!E66</f>
        <v>9.376429108575916E-9</v>
      </c>
      <c r="C66">
        <f>SUM('Mass Balance'!E66:H66)</f>
        <v>1.2111916939640953E-4</v>
      </c>
      <c r="D66">
        <f>Concentrations!F66/Concentrations!E66</f>
        <v>7.7717881346988231E-5</v>
      </c>
    </row>
    <row r="67" spans="1:4">
      <c r="A67" s="164">
        <f>'Mass Balance'!I67</f>
        <v>2.907211890378211E-7</v>
      </c>
      <c r="B67">
        <f>'Mass Balance'!E67</f>
        <v>1.3328529938032258E-4</v>
      </c>
      <c r="C67">
        <f>SUM('Mass Balance'!E67:H67)</f>
        <v>1.3869341522416634E-4</v>
      </c>
      <c r="D67">
        <f>Concentrations!F67/Concentrations!E67</f>
        <v>0.96476773687511463</v>
      </c>
    </row>
    <row r="68" spans="1:4">
      <c r="A68" s="164">
        <f>'Mass Balance'!I68</f>
        <v>4.7955338552406937E-7</v>
      </c>
      <c r="B68">
        <f>'Mass Balance'!E68</f>
        <v>1.2490059280006286E-4</v>
      </c>
      <c r="C68">
        <f>SUM('Mass Balance'!E68:H68)</f>
        <v>1.3450497403702801E-4</v>
      </c>
      <c r="D68">
        <f>Concentrations!F68/Concentrations!E68</f>
        <v>0.9322288025193527</v>
      </c>
    </row>
    <row r="69" spans="1:4">
      <c r="A69" s="164">
        <f>'Mass Balance'!I69</f>
        <v>1.7349824486200195E-5</v>
      </c>
      <c r="B69">
        <f>'Mass Balance'!E69</f>
        <v>2.0144843350183873E-7</v>
      </c>
      <c r="C69">
        <f>SUM('Mass Balance'!E69:H69)</f>
        <v>1.2643159073295483E-4</v>
      </c>
      <c r="D69">
        <f>Concentrations!F69/Concentrations!E69</f>
        <v>1.5995751726402131E-3</v>
      </c>
    </row>
    <row r="70" spans="1:4">
      <c r="A70" s="164">
        <f>'Mass Balance'!I70</f>
        <v>4.4933183531371946E-6</v>
      </c>
      <c r="B70">
        <f>'Mass Balance'!E70</f>
        <v>4.1216940153398574E-6</v>
      </c>
      <c r="C70">
        <f>SUM('Mass Balance'!E70:H70)</f>
        <v>1.3423334169901599E-4</v>
      </c>
      <c r="D70">
        <f>Concentrations!F70/Concentrations!E70</f>
        <v>3.0825612024579726E-2</v>
      </c>
    </row>
    <row r="71" spans="1:4">
      <c r="A71" s="164">
        <f>'Mass Balance'!I71</f>
        <v>4.3817641091792793E-7</v>
      </c>
      <c r="B71">
        <f>'Mass Balance'!E71</f>
        <v>1.2467703798374759E-4</v>
      </c>
      <c r="C71">
        <f>SUM('Mass Balance'!E71:H71)</f>
        <v>1.333659621033698E-4</v>
      </c>
      <c r="D71">
        <f>Concentrations!F71/Concentrations!E71</f>
        <v>0.93850769095966735</v>
      </c>
    </row>
    <row r="72" spans="1:4">
      <c r="A72" s="164">
        <f>'Mass Balance'!I72</f>
        <v>4.4452583258635051E-6</v>
      </c>
      <c r="B72">
        <f>'Mass Balance'!E72</f>
        <v>4.802059263365307E-6</v>
      </c>
      <c r="C72">
        <f>SUM('Mass Balance'!E72:H72)</f>
        <v>1.3230435700325481E-4</v>
      </c>
      <c r="D72">
        <f>Concentrations!F72/Concentrations!E72</f>
        <v>3.6437597259925139E-2</v>
      </c>
    </row>
    <row r="73" spans="1:4">
      <c r="A73" s="164">
        <f>'Mass Balance'!I73</f>
        <v>2.9442373680732181E-6</v>
      </c>
      <c r="B73">
        <f>'Mass Balance'!E73</f>
        <v>4.7682148480627955E-5</v>
      </c>
      <c r="C73">
        <f>SUM('Mass Balance'!E73:H73)</f>
        <v>1.1988511404058361E-4</v>
      </c>
      <c r="D73">
        <f>Concentrations!F73/Concentrations!E73</f>
        <v>0.39928860591166576</v>
      </c>
    </row>
    <row r="74" spans="1:4">
      <c r="A74" s="164">
        <f>'Mass Balance'!I74</f>
        <v>4.4846420023408392E-6</v>
      </c>
      <c r="B74">
        <f>'Mass Balance'!E74</f>
        <v>4.3105091086467445E-6</v>
      </c>
      <c r="C74">
        <f>SUM('Mass Balance'!E74:H74)</f>
        <v>1.3381851619150665E-4</v>
      </c>
      <c r="D74">
        <f>Concentrations!F74/Concentrations!E74</f>
        <v>3.2337669598745414E-2</v>
      </c>
    </row>
    <row r="75" spans="1:4">
      <c r="A75" s="164">
        <f>'Mass Balance'!I75</f>
        <v>3.0473178821230793E-6</v>
      </c>
      <c r="B75">
        <f>'Mass Balance'!E75</f>
        <v>6.3499792308667809E-7</v>
      </c>
      <c r="C75">
        <f>SUM('Mass Balance'!E75:H75)</f>
        <v>1.4694749810844921E-4</v>
      </c>
      <c r="D75">
        <f>Concentrations!F75/Concentrations!E75</f>
        <v>4.3381690424097365E-3</v>
      </c>
    </row>
    <row r="76" spans="1:4">
      <c r="A76" s="164">
        <f>'Mass Balance'!I76</f>
        <v>3.0473178833698123E-6</v>
      </c>
      <c r="B76">
        <f>'Mass Balance'!E76</f>
        <v>6.3499792334647135E-7</v>
      </c>
      <c r="C76">
        <f>SUM('Mass Balance'!E76:H76)</f>
        <v>1.4694749816856906E-4</v>
      </c>
      <c r="D76">
        <f>Concentrations!F76/Concentrations!E76</f>
        <v>4.3381690424097374E-3</v>
      </c>
    </row>
    <row r="77" spans="1:4">
      <c r="A77" s="164">
        <f>'Mass Balance'!I77</f>
        <v>4.0028038547936926E-6</v>
      </c>
      <c r="B77">
        <f>'Mass Balance'!E77</f>
        <v>1.7558437714147758E-5</v>
      </c>
      <c r="C77">
        <f>SUM('Mass Balance'!E77:H77)</f>
        <v>1.2344316596100006E-4</v>
      </c>
      <c r="D77">
        <f>Concentrations!F77/Concentrations!E77</f>
        <v>0.14279571719987913</v>
      </c>
    </row>
    <row r="78" spans="1:4">
      <c r="A78" s="164">
        <f>'Mass Balance'!I78</f>
        <v>1.2853429448994932E-6</v>
      </c>
      <c r="B78">
        <f>'Mass Balance'!E78</f>
        <v>9.3989277804319314E-5</v>
      </c>
      <c r="C78">
        <f>SUM('Mass Balance'!E78:H78)</f>
        <v>1.2266796202470534E-4</v>
      </c>
      <c r="D78">
        <f>Concentrations!F78/Concentrations!E78</f>
        <v>0.76920752608869414</v>
      </c>
    </row>
    <row r="79" spans="1:4">
      <c r="A79" s="164">
        <f>'Mass Balance'!I79</f>
        <v>2.2722314394238132E-6</v>
      </c>
      <c r="B79">
        <f>'Mass Balance'!E79</f>
        <v>6.7377836448397405E-5</v>
      </c>
      <c r="C79">
        <f>SUM('Mass Balance'!E79:H79)</f>
        <v>1.2111956350564909E-4</v>
      </c>
      <c r="D79">
        <f>Concentrations!F79/Concentrations!E79</f>
        <v>0.5584690716502958</v>
      </c>
    </row>
    <row r="80" spans="1:4">
      <c r="A80" s="164">
        <f>'Mass Balance'!I80</f>
        <v>5.8091545201294897E-6</v>
      </c>
      <c r="B80">
        <f>'Mass Balance'!E80</f>
        <v>4.2245583661246286E-7</v>
      </c>
      <c r="C80">
        <f>SUM('Mass Balance'!E80:H80)</f>
        <v>1.4418464577425609E-4</v>
      </c>
      <c r="D80">
        <f>Concentrations!F80/Concentrations!E80</f>
        <v>2.9414309795428046E-3</v>
      </c>
    </row>
    <row r="81" spans="1:4">
      <c r="A81" s="164">
        <f>'Mass Balance'!I81</f>
        <v>4.0304522255218931E-8</v>
      </c>
      <c r="B81">
        <f>'Mass Balance'!E81</f>
        <v>1.479012069315873E-4</v>
      </c>
      <c r="C81">
        <f>SUM('Mass Balance'!E81:H81)</f>
        <v>1.4809458196546243E-4</v>
      </c>
      <c r="D81">
        <f>Concentrations!F81/Concentrations!E81</f>
        <v>1.0026027931264743</v>
      </c>
    </row>
    <row r="82" spans="1:4">
      <c r="A82" s="164">
        <f>'Mass Balance'!I82</f>
        <v>5.859866237448713E-7</v>
      </c>
      <c r="B82">
        <f>'Mass Balance'!E82</f>
        <v>1.2212753743524418E-4</v>
      </c>
      <c r="C82">
        <f>SUM('Mass Balance'!E82:H82)</f>
        <v>1.3413772297631412E-4</v>
      </c>
      <c r="D82">
        <f>Concentrations!F82/Concentrations!E82</f>
        <v>0.9140270164622144</v>
      </c>
    </row>
    <row r="83" spans="1:4">
      <c r="A83" s="164">
        <f>'Mass Balance'!I83</f>
        <v>3.9301787700155498E-6</v>
      </c>
      <c r="B83">
        <f>'Mass Balance'!E83</f>
        <v>2.2286906469165415E-5</v>
      </c>
      <c r="C83">
        <f>SUM('Mass Balance'!E83:H83)</f>
        <v>1.2472412804055295E-4</v>
      </c>
      <c r="D83">
        <f>Concentrations!F83/Concentrations!E83</f>
        <v>0.17938894525213356</v>
      </c>
    </row>
    <row r="84" spans="1:4">
      <c r="A84" s="164">
        <f>'Mass Balance'!I84</f>
        <v>7.4545980051493189E-8</v>
      </c>
      <c r="B84">
        <f>'Mass Balance'!E84</f>
        <v>1.4499407954667696E-4</v>
      </c>
      <c r="C84">
        <f>SUM('Mass Balance'!E84:H84)</f>
        <v>1.4585002043812235E-4</v>
      </c>
      <c r="D84">
        <f>Concentrations!F84/Concentrations!E84</f>
        <v>0.99802205172041059</v>
      </c>
    </row>
    <row r="85" spans="1:4">
      <c r="A85" s="164">
        <f>'Mass Balance'!I85</f>
        <v>3.1679709276360804E-8</v>
      </c>
      <c r="B85">
        <f>'Mass Balance'!E85</f>
        <v>1.4916148471719867E-4</v>
      </c>
      <c r="C85">
        <f>SUM('Mass Balance'!E85:H85)</f>
        <v>1.4919797951065236E-4</v>
      </c>
      <c r="D85">
        <f>Concentrations!F85/Concentrations!E85</f>
        <v>1.0036680932087843</v>
      </c>
    </row>
    <row r="86" spans="1:4">
      <c r="A86" s="164">
        <f>'Mass Balance'!I86</f>
        <v>7.2519438136571347E-8</v>
      </c>
      <c r="B86">
        <f>'Mass Balance'!E86</f>
        <v>1.4513721494277524E-4</v>
      </c>
      <c r="C86">
        <f>SUM('Mass Balance'!E86:H86)</f>
        <v>1.4595298035549099E-4</v>
      </c>
      <c r="D86">
        <f>Concentrations!F86/Concentrations!E86</f>
        <v>0.9983025482944875</v>
      </c>
    </row>
    <row r="87" spans="1:4">
      <c r="A87" s="164">
        <f>'Mass Balance'!I87</f>
        <v>2.2112887352706136E-5</v>
      </c>
      <c r="B87">
        <f>'Mass Balance'!E87</f>
        <v>7.1014501859351831E-8</v>
      </c>
      <c r="C87">
        <f>SUM('Mass Balance'!E87:H87)</f>
        <v>1.2349775362686667E-4</v>
      </c>
      <c r="D87">
        <f>Concentrations!F87/Concentrations!E87</f>
        <v>5.7727712584221204E-4</v>
      </c>
    </row>
    <row r="88" spans="1:4">
      <c r="A88" s="164">
        <f>'Mass Balance'!I88</f>
        <v>1.0504659866646077E-6</v>
      </c>
      <c r="B88">
        <f>'Mass Balance'!E88</f>
        <v>1.0594733429195839E-4</v>
      </c>
      <c r="C88">
        <f>SUM('Mass Balance'!E88:H88)</f>
        <v>1.28848334493248E-4</v>
      </c>
      <c r="D88">
        <f>Concentrations!F88/Concentrations!E88</f>
        <v>0.8254819609178794</v>
      </c>
    </row>
    <row r="89" spans="1:4">
      <c r="A89" s="164">
        <f>'Mass Balance'!I89</f>
        <v>6.5643368864262663E-7</v>
      </c>
      <c r="B89">
        <f>'Mass Balance'!E89</f>
        <v>1.1955648789458288E-4</v>
      </c>
      <c r="C89">
        <f>SUM('Mass Balance'!E89:H89)</f>
        <v>1.3318411169863263E-4</v>
      </c>
      <c r="D89">
        <f>Concentrations!F89/Concentrations!E89</f>
        <v>0.90119151188221702</v>
      </c>
    </row>
    <row r="90" spans="1:4">
      <c r="A90" s="164">
        <f>'Mass Balance'!I90</f>
        <v>1.8449456837790013E-7</v>
      </c>
      <c r="B90">
        <f>'Mass Balance'!E90</f>
        <v>1.3875864425961316E-4</v>
      </c>
      <c r="C90">
        <f>SUM('Mass Balance'!E90:H90)</f>
        <v>1.4188038361320288E-4</v>
      </c>
      <c r="D90">
        <f>Concentrations!F90/Concentrations!E90</f>
        <v>0.98182493204176779</v>
      </c>
    </row>
    <row r="91" spans="1:4">
      <c r="A91" s="164">
        <f>'Mass Balance'!I91</f>
        <v>1.1729768490513215E-5</v>
      </c>
      <c r="B91">
        <f>'Mass Balance'!E91</f>
        <v>5.0403964081409477E-7</v>
      </c>
      <c r="C91">
        <f>SUM('Mass Balance'!E91:H91)</f>
        <v>1.3093762146434886E-4</v>
      </c>
      <c r="D91">
        <f>Concentrations!F91/Concentrations!E91</f>
        <v>3.8645293340741366E-3</v>
      </c>
    </row>
    <row r="92" spans="1:4">
      <c r="A92" s="164">
        <f>'Mass Balance'!I92</f>
        <v>3.5864677946511029E-6</v>
      </c>
      <c r="B92">
        <f>'Mass Balance'!E92</f>
        <v>3.1684069807585422E-5</v>
      </c>
      <c r="C92">
        <f>SUM('Mass Balance'!E92:H92)</f>
        <v>1.2280034972799142E-4</v>
      </c>
      <c r="D92">
        <f>Concentrations!F92/Concentrations!E92</f>
        <v>0.25902263682185789</v>
      </c>
    </row>
    <row r="93" spans="1:4">
      <c r="A93" s="164">
        <f>'Mass Balance'!I93</f>
        <v>4.4642143482735988E-6</v>
      </c>
      <c r="B93">
        <f>'Mass Balance'!E93</f>
        <v>6.3829461731157022E-6</v>
      </c>
      <c r="C93">
        <f>SUM('Mass Balance'!E93:H93)</f>
        <v>1.3236405083094446E-4</v>
      </c>
      <c r="D93">
        <f>Concentrations!F93/Concentrations!E93</f>
        <v>4.8411383565722312E-2</v>
      </c>
    </row>
    <row r="94" spans="1:4">
      <c r="A94" s="164">
        <f>'Mass Balance'!I94</f>
        <v>9.3580475954951163E-8</v>
      </c>
      <c r="B94">
        <f>'Mass Balance'!E94</f>
        <v>1.3414383557245092E-4</v>
      </c>
      <c r="C94">
        <f>SUM('Mass Balance'!E94:H94)</f>
        <v>1.4989633100984684E-4</v>
      </c>
      <c r="D94">
        <f>Concentrations!F94/Concentrations!E94</f>
        <v>0.89841310742128699</v>
      </c>
    </row>
    <row r="95" spans="1:4">
      <c r="A95" s="164">
        <f>'Mass Balance'!I95</f>
        <v>6.0714316687044605E-6</v>
      </c>
      <c r="B95">
        <f>'Mass Balance'!E95</f>
        <v>1.2196526641138988E-6</v>
      </c>
      <c r="C95">
        <f>SUM('Mass Balance'!E95:H95)</f>
        <v>1.3642151123153322E-4</v>
      </c>
      <c r="D95">
        <f>Concentrations!F95/Concentrations!E95</f>
        <v>8.9753144885108549E-3</v>
      </c>
    </row>
    <row r="96" spans="1:4">
      <c r="A96" s="164">
        <f>'Mass Balance'!I96</f>
        <v>4.1088797508318689E-8</v>
      </c>
      <c r="B96">
        <f>'Mass Balance'!E96</f>
        <v>1.4781259993298912E-4</v>
      </c>
      <c r="C96">
        <f>SUM('Mass Balance'!E96:H96)</f>
        <v>1.4802059325849293E-4</v>
      </c>
      <c r="D96">
        <f>Concentrations!F96/Concentrations!E96</f>
        <v>1.0025029928797253</v>
      </c>
    </row>
    <row r="97" spans="1:4">
      <c r="A97" s="164">
        <f>'Mass Balance'!I97</f>
        <v>7.5594151300358836E-8</v>
      </c>
      <c r="B97">
        <f>'Mass Balance'!E97</f>
        <v>1.4492084145839603E-4</v>
      </c>
      <c r="C97">
        <f>SUM('Mass Balance'!E97:H97)</f>
        <v>1.4579759650984732E-4</v>
      </c>
      <c r="D97">
        <f>Concentrations!F97/Concentrations!E97</f>
        <v>0.99787661392795635</v>
      </c>
    </row>
    <row r="98" spans="1:4">
      <c r="A98" s="164">
        <f>'Mass Balance'!I98</f>
        <v>4.5081515688701561E-6</v>
      </c>
      <c r="B98">
        <f>'Mass Balance'!E98</f>
        <v>2.9127960694621936E-6</v>
      </c>
      <c r="C98">
        <f>SUM('Mass Balance'!E98:H98)</f>
        <v>1.3614761605068254E-4</v>
      </c>
      <c r="D98">
        <f>Concentrations!F98/Concentrations!E98</f>
        <v>2.1478126749584533E-2</v>
      </c>
    </row>
    <row r="99" spans="1:4">
      <c r="A99" s="164">
        <f>'Mass Balance'!I99</f>
        <v>3.0630096769906363E-8</v>
      </c>
      <c r="B99">
        <f>'Mass Balance'!E99</f>
        <v>1.4941887415549889E-4</v>
      </c>
      <c r="C99">
        <f>SUM('Mass Balance'!E99:H99)</f>
        <v>1.4943709540611661E-4</v>
      </c>
      <c r="D99">
        <f>Concentrations!F99/Concentrations!E99</f>
        <v>1.0037912472179731</v>
      </c>
    </row>
    <row r="100" spans="1:4">
      <c r="A100" s="164">
        <f>'Mass Balance'!I100</f>
        <v>2.0494718372780706E-6</v>
      </c>
      <c r="B100">
        <f>'Mass Balance'!E100</f>
        <v>7.4892980549597302E-5</v>
      </c>
      <c r="C100">
        <f>SUM('Mass Balance'!E100:H100)</f>
        <v>1.2274506598243919E-4</v>
      </c>
      <c r="D100">
        <f>Concentrations!F100/Concentrations!E100</f>
        <v>0.61253856018918529</v>
      </c>
    </row>
    <row r="101" spans="1:4">
      <c r="A101" s="164">
        <f>'Mass Balance'!I101</f>
        <v>3.2349070245731011E-8</v>
      </c>
      <c r="B101">
        <f>'Mass Balance'!E101</f>
        <v>1.4902527898258476E-4</v>
      </c>
      <c r="C101">
        <f>SUM('Mass Balance'!E101:H101)</f>
        <v>1.4907357686593005E-4</v>
      </c>
      <c r="D101">
        <f>Concentrations!F101/Concentrations!E101</f>
        <v>1.0035884021450032</v>
      </c>
    </row>
    <row r="102" spans="1:4">
      <c r="A102" s="164">
        <f>'Mass Balance'!I102</f>
        <v>2.9776742861606043E-8</v>
      </c>
      <c r="B102">
        <f>'Mass Balance'!E102</f>
        <v>1.4974089341372702E-4</v>
      </c>
      <c r="C102">
        <f>SUM('Mass Balance'!E102:H102)</f>
        <v>1.4974454279088344E-4</v>
      </c>
      <c r="D102">
        <f>Concentrations!F102/Concentrations!E102</f>
        <v>1.0038891909364551</v>
      </c>
    </row>
    <row r="103" spans="1:4">
      <c r="A103" s="164">
        <f>'Mass Balance'!I103</f>
        <v>3.0567594968492425E-8</v>
      </c>
      <c r="B103">
        <f>'Mass Balance'!E103</f>
        <v>1.4943703372668926E-4</v>
      </c>
      <c r="C103">
        <f>SUM('Mass Balance'!E103:H103)</f>
        <v>1.4945417791045843E-4</v>
      </c>
      <c r="D103">
        <f>Concentrations!F103/Concentrations!E103</f>
        <v>1.0037984960831405</v>
      </c>
    </row>
    <row r="104" spans="1:4">
      <c r="A104" s="164">
        <f>'Mass Balance'!I104</f>
        <v>5.4488302261899412E-8</v>
      </c>
      <c r="B104">
        <f>'Mass Balance'!E104</f>
        <v>1.4652862728684434E-4</v>
      </c>
      <c r="C104">
        <f>SUM('Mass Balance'!E104:H104)</f>
        <v>1.4699147366575738E-4</v>
      </c>
      <c r="D104">
        <f>Concentrations!F104/Concentrations!E104</f>
        <v>1.0007525362272784</v>
      </c>
    </row>
    <row r="105" spans="1:4">
      <c r="A105" s="164">
        <f>'Mass Balance'!I105</f>
        <v>2.9864259192194544E-8</v>
      </c>
      <c r="B105">
        <f>'Mass Balance'!E105</f>
        <v>1.4969423478727265E-4</v>
      </c>
      <c r="C105">
        <f>SUM('Mass Balance'!E105:H105)</f>
        <v>1.4969936693784796E-4</v>
      </c>
      <c r="D105">
        <f>Concentrations!F105/Concentrations!E105</f>
        <v>1.0038792397804068</v>
      </c>
    </row>
    <row r="106" spans="1:4">
      <c r="A106" s="164">
        <f>'Mass Balance'!I106</f>
        <v>2.7010481957062204E-7</v>
      </c>
      <c r="B106">
        <f>'Mass Balance'!E106</f>
        <v>1.3477142609583882E-4</v>
      </c>
      <c r="C106">
        <f>SUM('Mass Balance'!E106:H106)</f>
        <v>1.3972778936943269E-4</v>
      </c>
      <c r="D106">
        <f>Concentrations!F106/Concentrations!E106</f>
        <v>0.96830326910358977</v>
      </c>
    </row>
    <row r="107" spans="1:4">
      <c r="A107" s="164">
        <f>'Mass Balance'!I107</f>
        <v>4.4946411937703976E-6</v>
      </c>
      <c r="B107">
        <f>'Mass Balance'!E107</f>
        <v>2.1433666422848208E-6</v>
      </c>
      <c r="C107">
        <f>SUM('Mass Balance'!E107:H107)</f>
        <v>1.3736000379006529E-4</v>
      </c>
      <c r="D107">
        <f>Concentrations!F107/Concentrations!E107</f>
        <v>1.5665077058658019E-2</v>
      </c>
    </row>
    <row r="108" spans="1:4">
      <c r="A108" s="164">
        <f>'Mass Balance'!I108</f>
        <v>1.6932424350751833E-6</v>
      </c>
      <c r="B108">
        <f>'Mass Balance'!E108</f>
        <v>8.5580589573519512E-5</v>
      </c>
      <c r="C108">
        <f>SUM('Mass Balance'!E108:H108)</f>
        <v>1.2430799631330008E-4</v>
      </c>
      <c r="D108">
        <f>Concentrations!F108/Concentrations!E108</f>
        <v>0.69115041023160828</v>
      </c>
    </row>
    <row r="109" spans="1:4">
      <c r="A109" s="164"/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2024-10-28T23:14:29Z</dcterms:modified>
</cp:coreProperties>
</file>