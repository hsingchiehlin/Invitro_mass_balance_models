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D0936738-BC60-41C9-B5A9-AA3D0AA685D6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<sst xmlns="http://schemas.openxmlformats.org/spreadsheetml/2006/main" count="2915" uniqueCount="495">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</sst>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50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4.75</v>
      </c>
      <c r="K5" s="136">
        <v>5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0.95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0.47499999999999998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0.1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0.08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2.8000000000000001E-2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1.55E-2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0.01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1.15E-2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6.0000000000000001E-3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0.1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7" ht="13.15">
      <c r="A1" s="74" t="s">
        <v>132</v>
      </c>
      <c r="B1" s="75"/>
      <c r="F1" s="74" t="s">
        <v>131</v>
      </c>
      <c r="I1" s="76"/>
    </row>
    <row r="2" spans="1:17" ht="13.15" thickBot="1">
      <c r="B2" s="75"/>
      <c r="I2" s="76"/>
    </row>
    <row r="3" spans="1:17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7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7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7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7" ht="13.15" thickBot="1">
      <c r="B7" s="87"/>
      <c r="I7" s="76"/>
    </row>
    <row r="8" spans="1:17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7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5.0000000000000001E-3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7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2.4999999999999998E-2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7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7" ht="13.15" thickBot="1">
      <c r="A12" s="76" t="s">
        <v>22</v>
      </c>
      <c r="B12" s="138">
        <f>G13/1000000/G12*1000000</f>
        <v>0.1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7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0.1</v>
      </c>
      <c r="H13" s="75" t="s">
        <v>16</v>
      </c>
      <c r="K13" s="75"/>
      <c r="L13" s="76"/>
      <c r="M13" s="75"/>
    </row>
    <row r="14" spans="1:17" ht="13.15" thickBot="1">
      <c r="C14" s="76"/>
      <c r="D14" s="76"/>
      <c r="E14" s="76"/>
      <c r="F14" s="102" t="s">
        <v>164</v>
      </c>
      <c r="G14" s="88">
        <v>7.4</v>
      </c>
    </row>
    <row r="15" spans="1:17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7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O16"/>
      <c r="P16"/>
      <c r="Q16"/>
    </row>
    <row r="17" spans="1:17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O17"/>
      <c r="P17"/>
      <c r="Q17"/>
    </row>
    <row r="18" spans="1:17" ht="15">
      <c r="C18" s="76"/>
      <c r="D18" s="76"/>
      <c r="E18" s="76"/>
      <c r="K18" s="75"/>
      <c r="O18"/>
      <c r="P18"/>
      <c r="Q18"/>
    </row>
    <row r="19" spans="1:17" ht="13.15">
      <c r="A19" s="93" t="s">
        <v>15</v>
      </c>
      <c r="C19" s="76"/>
      <c r="D19" s="76"/>
      <c r="E19" s="76"/>
    </row>
    <row r="20" spans="1:17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7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6.6666666666666675E-4</v>
      </c>
      <c r="K21" s="76" t="s">
        <v>125</v>
      </c>
      <c r="M21" s="75"/>
    </row>
    <row r="22" spans="1:17" ht="13.15" thickBot="1">
      <c r="A22" s="75"/>
      <c r="C22" s="76"/>
      <c r="F22" s="102" t="s">
        <v>164</v>
      </c>
      <c r="G22" s="88">
        <v>7.4</v>
      </c>
      <c r="J22" s="95">
        <f>B12*(G9+G10)/B6</f>
        <v>2.0000000000000002E-5</v>
      </c>
      <c r="K22" s="78" t="s">
        <v>126</v>
      </c>
      <c r="L22" s="96"/>
    </row>
    <row r="23" spans="1:17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7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7">
      <c r="C25" s="96"/>
      <c r="F25" s="76" t="s">
        <v>137</v>
      </c>
    </row>
    <row r="26" spans="1:17">
      <c r="B26" s="75"/>
      <c r="F26" s="98" t="s">
        <v>152</v>
      </c>
      <c r="G26" s="76" t="b">
        <v>0</v>
      </c>
    </row>
    <row r="27" spans="1:17" ht="13.15">
      <c r="C27" s="96"/>
      <c r="F27" s="74"/>
      <c r="G27" s="75"/>
      <c r="H27" s="75"/>
      <c r="J27" s="99"/>
    </row>
    <row r="28" spans="1:17" ht="13.15">
      <c r="B28" s="100"/>
      <c r="C28" s="96"/>
      <c r="F28" s="6" t="s">
        <v>269</v>
      </c>
      <c r="G28" s="75"/>
      <c r="H28" s="75"/>
      <c r="J28" s="99"/>
    </row>
    <row r="29" spans="1:17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7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7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7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1.5236317795785402E-5</v>
      </c>
      <c r="J2" s="67" t="s">
        <v>231</v>
      </c>
      <c r="K2" s="68">
        <v>2.4866554914872024E-3</v>
      </c>
      <c r="L2" s="67" t="s">
        <v>231</v>
      </c>
      <c r="M2" s="68">
        <v>5.8965883352630172E-2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1.0027568870865072E-3</v>
      </c>
      <c r="J3" s="67" t="s">
        <v>231</v>
      </c>
      <c r="K3" s="68">
        <v>0.10420838783648891</v>
      </c>
      <c r="L3" s="67" t="s">
        <v>231</v>
      </c>
      <c r="M3" s="68">
        <v>3.5899638551089281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2.1549588374673171E-3</v>
      </c>
      <c r="J4" s="67" t="s">
        <v>231</v>
      </c>
      <c r="K4" s="68">
        <v>1.1342171742395246E-2</v>
      </c>
      <c r="L4" s="67" t="s">
        <v>231</v>
      </c>
      <c r="M4" s="68">
        <v>0.37304700022698223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1.6305343830321801E-3</v>
      </c>
      <c r="J5" s="67" t="s">
        <v>231</v>
      </c>
      <c r="K5" s="68">
        <v>3.2062215819061504E-2</v>
      </c>
      <c r="L5" s="67" t="s">
        <v>231</v>
      </c>
      <c r="M5" s="68">
        <v>1.0988125436159588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2.6857843730750583E-3</v>
      </c>
      <c r="J6" s="67" t="s">
        <v>231</v>
      </c>
      <c r="K6" s="68">
        <v>0.11967743246927412</v>
      </c>
      <c r="L6" s="67" t="s">
        <v>231</v>
      </c>
      <c r="M6" s="68">
        <v>4.1282768308941638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3.9746740727768785E-4</v>
      </c>
      <c r="J7" s="67" t="s">
        <v>231</v>
      </c>
      <c r="K7" s="68">
        <v>0.1069900090981797</v>
      </c>
      <c r="L7" s="67" t="s">
        <v>231</v>
      </c>
      <c r="M7" s="68">
        <v>3.6865005025379389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7.8307461817950892E-4</v>
      </c>
      <c r="J8" s="67" t="s">
        <v>231</v>
      </c>
      <c r="K8" s="68">
        <v>8.6849069091949324E-2</v>
      </c>
      <c r="L8" s="67" t="s">
        <v>231</v>
      </c>
      <c r="M8" s="68">
        <v>2.9882636424020603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2.474068880034011E-4</v>
      </c>
      <c r="J9" s="67" t="s">
        <v>231</v>
      </c>
      <c r="K9" s="68">
        <v>2.0254742754282129E-2</v>
      </c>
      <c r="L9" s="67" t="s">
        <v>231</v>
      </c>
      <c r="M9" s="68">
        <v>0.6896351266279328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9.8069235583785508E-4</v>
      </c>
      <c r="J10" s="67" t="s">
        <v>231</v>
      </c>
      <c r="K10" s="68">
        <v>3.4275027176564561E-2</v>
      </c>
      <c r="L10" s="67" t="s">
        <v>231</v>
      </c>
      <c r="M10" s="68">
        <v>1.1749111704245998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2.4111990101904397E-4</v>
      </c>
      <c r="J11" s="67" t="s">
        <v>231</v>
      </c>
      <c r="K11" s="68">
        <v>3.8178390141887529E-2</v>
      </c>
      <c r="L11" s="67" t="s">
        <v>231</v>
      </c>
      <c r="M11" s="68">
        <v>1.3091920721451629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5.1927863950226979E-4</v>
      </c>
      <c r="J12" s="67" t="s">
        <v>231</v>
      </c>
      <c r="K12" s="68">
        <v>2.0724436505470942E-2</v>
      </c>
      <c r="L12" s="67" t="s">
        <v>231</v>
      </c>
      <c r="M12" s="68">
        <v>0.70691822957482442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1.1504505063616756E-2</v>
      </c>
      <c r="J13" s="67" t="s">
        <v>232</v>
      </c>
      <c r="K13" s="68">
        <v>2.0313696557251858E-2</v>
      </c>
      <c r="L13" s="67" t="s">
        <v>231</v>
      </c>
      <c r="M13" s="68">
        <v>0.69178027325811176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2.2872630694117458E-3</v>
      </c>
      <c r="J14" s="67" t="s">
        <v>231</v>
      </c>
      <c r="K14" s="68">
        <v>5.1902396593459743E-2</v>
      </c>
      <c r="L14" s="67" t="s">
        <v>231</v>
      </c>
      <c r="M14" s="68">
        <v>1.7817431882975718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1.1569614792743188E-3</v>
      </c>
      <c r="J15" s="67" t="s">
        <v>231</v>
      </c>
      <c r="K15" s="68">
        <v>3.6193559197108011E-2</v>
      </c>
      <c r="L15" s="67" t="s">
        <v>231</v>
      </c>
      <c r="M15" s="68">
        <v>1.2409042459715889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8.2444365258870812E-4</v>
      </c>
      <c r="J16" s="67" t="s">
        <v>231</v>
      </c>
      <c r="K16" s="68">
        <v>8.5832929373573091E-2</v>
      </c>
      <c r="L16" s="67" t="s">
        <v>231</v>
      </c>
      <c r="M16" s="68">
        <v>2.9531083653796282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6.8676888742305966E-4</v>
      </c>
      <c r="J17" s="67" t="s">
        <v>231</v>
      </c>
      <c r="K17" s="68">
        <v>3.2789816588120101E-2</v>
      </c>
      <c r="L17" s="67" t="s">
        <v>231</v>
      </c>
      <c r="M17" s="68">
        <v>1.1238326185795879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1.8591970992796745E-3</v>
      </c>
      <c r="J18" s="67" t="s">
        <v>231</v>
      </c>
      <c r="K18" s="68">
        <v>1.9887516921714858E-2</v>
      </c>
      <c r="L18" s="67" t="s">
        <v>231</v>
      </c>
      <c r="M18" s="68">
        <v>0.67646881012530291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7.0332138977290664E-3</v>
      </c>
      <c r="J19" s="67" t="s">
        <v>231</v>
      </c>
      <c r="K19" s="68">
        <v>3.6585557311251717E-2</v>
      </c>
      <c r="L19" s="67" t="s">
        <v>231</v>
      </c>
      <c r="M19" s="68">
        <v>1.2543897106689126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1.1904062139699275E-3</v>
      </c>
      <c r="J20" s="67" t="s">
        <v>231</v>
      </c>
      <c r="K20" s="68">
        <v>2.0316095171565886E-2</v>
      </c>
      <c r="L20" s="67" t="s">
        <v>231</v>
      </c>
      <c r="M20" s="68">
        <v>0.69186195775413262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3.3054391162424222E-3</v>
      </c>
      <c r="J21" s="67" t="s">
        <v>231</v>
      </c>
      <c r="K21" s="68">
        <v>4.76750886098938E-2</v>
      </c>
      <c r="L21" s="67" t="s">
        <v>231</v>
      </c>
      <c r="M21" s="68">
        <v>1.6361179170772981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1.0324900879288749E-4</v>
      </c>
      <c r="J22" s="67" t="s">
        <v>231</v>
      </c>
      <c r="K22" s="68">
        <v>6.0812208125437988E-3</v>
      </c>
      <c r="L22" s="67" t="s">
        <v>231</v>
      </c>
      <c r="M22" s="68">
        <v>0.18680938094150956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3.3442639708724824E-5</v>
      </c>
      <c r="J23" s="67" t="s">
        <v>231</v>
      </c>
      <c r="K23" s="68">
        <v>3.375293266532256E-3</v>
      </c>
      <c r="L23" s="67" t="s">
        <v>231</v>
      </c>
      <c r="M23" s="68">
        <v>9.0656089212456006E-2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9.856928377137559E-5</v>
      </c>
      <c r="J24" s="67" t="s">
        <v>231</v>
      </c>
      <c r="K24" s="68">
        <v>1.6811113954229812E-2</v>
      </c>
      <c r="L24" s="67" t="s">
        <v>231</v>
      </c>
      <c r="M24" s="68">
        <v>0.56671854501234353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4.390100271624711E-4</v>
      </c>
      <c r="J25" s="67" t="s">
        <v>231</v>
      </c>
      <c r="K25" s="68">
        <v>2.0669308931019779E-2</v>
      </c>
      <c r="L25" s="67" t="s">
        <v>231</v>
      </c>
      <c r="M25" s="68">
        <v>0.70626122888556664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8.7564917910014882E-4</v>
      </c>
      <c r="J26" s="67" t="s">
        <v>231</v>
      </c>
      <c r="K26" s="68">
        <v>4.4968187818933761E-2</v>
      </c>
      <c r="L26" s="67" t="s">
        <v>231</v>
      </c>
      <c r="M26" s="68">
        <v>1.5428999594887738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5.519927905979665E-4</v>
      </c>
      <c r="J27" s="67" t="s">
        <v>231</v>
      </c>
      <c r="K27" s="68">
        <v>0.10215494661299399</v>
      </c>
      <c r="L27" s="67" t="s">
        <v>231</v>
      </c>
      <c r="M27" s="68">
        <v>3.5186572189116716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3.0707939841566253E-4</v>
      </c>
      <c r="J28" s="67" t="s">
        <v>231</v>
      </c>
      <c r="K28" s="68">
        <v>6.5328822377439755E-2</v>
      </c>
      <c r="L28" s="67" t="s">
        <v>231</v>
      </c>
      <c r="M28" s="68">
        <v>2.2446998747445539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1.910290745979458E-4</v>
      </c>
      <c r="J29" s="67" t="s">
        <v>231</v>
      </c>
      <c r="K29" s="68">
        <v>4.9360707666418452E-2</v>
      </c>
      <c r="L29" s="67" t="s">
        <v>231</v>
      </c>
      <c r="M29" s="68">
        <v>1.6943158918446701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3.0707939841566253E-4</v>
      </c>
      <c r="J30" s="67" t="s">
        <v>231</v>
      </c>
      <c r="K30" s="68">
        <v>6.5328822377439755E-2</v>
      </c>
      <c r="L30" s="67" t="s">
        <v>231</v>
      </c>
      <c r="M30" s="68">
        <v>2.2446998747445539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8.2418737488332736E-8</v>
      </c>
      <c r="J31" s="67" t="s">
        <v>231</v>
      </c>
      <c r="K31" s="68">
        <v>8.9184135721599657E-4</v>
      </c>
      <c r="L31" s="67" t="s">
        <v>231</v>
      </c>
      <c r="M31" s="68">
        <v>1.1552638386471555E-3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1.029472004014682E-5</v>
      </c>
      <c r="J32" s="67" t="s">
        <v>231</v>
      </c>
      <c r="K32" s="68">
        <v>9.2684458913393272E-3</v>
      </c>
      <c r="L32" s="67" t="s">
        <v>231</v>
      </c>
      <c r="M32" s="68">
        <v>0.29686376726213837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8.129506405806867E-8</v>
      </c>
      <c r="J33" s="67" t="s">
        <v>231</v>
      </c>
      <c r="K33" s="68">
        <v>8.7809218703160464E-4</v>
      </c>
      <c r="L33" s="67" t="s">
        <v>231</v>
      </c>
      <c r="M33" s="68">
        <v>5.9103485905553173E-4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1.9342205257900563E-10</v>
      </c>
      <c r="J34" s="67" t="s">
        <v>231</v>
      </c>
      <c r="K34" s="68">
        <v>1.5995183918730517E-3</v>
      </c>
      <c r="L34" s="67" t="s">
        <v>231</v>
      </c>
      <c r="M34" s="68">
        <v>4.4978809999542471E-2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1.9736109917334127E-7</v>
      </c>
      <c r="J35" s="67" t="s">
        <v>231</v>
      </c>
      <c r="K35" s="68">
        <v>1.8745007329464209E-3</v>
      </c>
      <c r="L35" s="67" t="s">
        <v>231</v>
      </c>
      <c r="M35" s="68">
        <v>6.3646333866920479E-2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1.7983956901980606E-7</v>
      </c>
      <c r="J36" s="67" t="s">
        <v>231</v>
      </c>
      <c r="K36" s="68">
        <v>2.0320835764352702E-3</v>
      </c>
      <c r="L36" s="67" t="s">
        <v>231</v>
      </c>
      <c r="M36" s="68">
        <v>7.7333495929592225E-2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2.0116558453263033E-6</v>
      </c>
      <c r="J37" s="67" t="s">
        <v>231</v>
      </c>
      <c r="K37" s="68">
        <v>5.2810663966736029E-3</v>
      </c>
      <c r="L37" s="67" t="s">
        <v>231</v>
      </c>
      <c r="M37" s="68">
        <v>0.18181775004342723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1.0524407842536055E-6</v>
      </c>
      <c r="J38" s="67" t="s">
        <v>231</v>
      </c>
      <c r="K38" s="68">
        <v>1.5467043231133261E-3</v>
      </c>
      <c r="L38" s="67" t="s">
        <v>231</v>
      </c>
      <c r="M38" s="68">
        <v>4.0316143216258003E-2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2.2120070958682637E-4</v>
      </c>
      <c r="J39" s="67" t="s">
        <v>231</v>
      </c>
      <c r="K39" s="68">
        <v>2.1200059020250184E-2</v>
      </c>
      <c r="L39" s="67" t="s">
        <v>231</v>
      </c>
      <c r="M39" s="68">
        <v>0.72553003891187384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7.5559166011290925E-10</v>
      </c>
      <c r="J40" s="67" t="s">
        <v>231</v>
      </c>
      <c r="K40" s="68">
        <v>0.13107561412512331</v>
      </c>
      <c r="L40" s="67" t="s">
        <v>231</v>
      </c>
      <c r="M40" s="68">
        <v>5.1900828000419414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2.6787318720901459E-8</v>
      </c>
      <c r="J41" s="67" t="s">
        <v>231</v>
      </c>
      <c r="K41" s="68">
        <v>8.1087209883637758E-4</v>
      </c>
      <c r="L41" s="67" t="s">
        <v>231</v>
      </c>
      <c r="M41" s="68">
        <v>6.5784642704566764E-5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1.1382035042899915E-3</v>
      </c>
      <c r="J42" s="67" t="s">
        <v>231</v>
      </c>
      <c r="K42" s="68">
        <v>6.939801939521986E-3</v>
      </c>
      <c r="L42" s="67" t="s">
        <v>231</v>
      </c>
      <c r="M42" s="68">
        <v>0.21718851611011389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4.6979058631316385E-9</v>
      </c>
      <c r="J43" s="67" t="s">
        <v>231</v>
      </c>
      <c r="K43" s="68">
        <v>4.1301364979828429E-3</v>
      </c>
      <c r="L43" s="67" t="s">
        <v>231</v>
      </c>
      <c r="M43" s="68">
        <v>0.16421258629376126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1.1739175953699587E-6</v>
      </c>
      <c r="J44" s="67" t="s">
        <v>231</v>
      </c>
      <c r="K44" s="68">
        <v>1.6728246234661366E-3</v>
      </c>
      <c r="L44" s="67" t="s">
        <v>231</v>
      </c>
      <c r="M44" s="68">
        <v>3.2006312152913378E-2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1.0039586104431872E-4</v>
      </c>
      <c r="J45" s="67" t="s">
        <v>231</v>
      </c>
      <c r="K45" s="68">
        <v>7.7532414012879145E-3</v>
      </c>
      <c r="L45" s="67" t="s">
        <v>231</v>
      </c>
      <c r="M45" s="68">
        <v>0.24602289158504306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2.2493528091270116E-6</v>
      </c>
      <c r="J46" s="67" t="s">
        <v>231</v>
      </c>
      <c r="K46" s="68">
        <v>7.2262106080792634E-3</v>
      </c>
      <c r="L46" s="67" t="s">
        <v>231</v>
      </c>
      <c r="M46" s="68">
        <v>0.22739008644782827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2.5429409972232463E-3</v>
      </c>
      <c r="J47" s="142" t="s">
        <v>231</v>
      </c>
      <c r="K47" s="143">
        <v>0.10449740057720935</v>
      </c>
      <c r="L47" s="142" t="s">
        <v>231</v>
      </c>
      <c r="M47" s="143">
        <v>3.599920302131987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1.8935501489193166E-6</v>
      </c>
      <c r="J48" s="142" t="s">
        <v>231</v>
      </c>
      <c r="K48" s="143">
        <v>1.1381049462345376E-3</v>
      </c>
      <c r="L48" s="142" t="s">
        <v>231</v>
      </c>
      <c r="M48" s="143">
        <v>1.0703618111428156E-2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5.3685827711148331E-6</v>
      </c>
      <c r="J49" s="142" t="s">
        <v>231</v>
      </c>
      <c r="K49" s="143">
        <v>1.3489720366525809E-3</v>
      </c>
      <c r="L49" s="142" t="s">
        <v>231</v>
      </c>
      <c r="M49" s="143">
        <v>1.8653233361475289E-2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8.1995479206407764E-6</v>
      </c>
      <c r="J50" s="142" t="s">
        <v>231</v>
      </c>
      <c r="K50" s="143">
        <v>1.9702754542351601E-2</v>
      </c>
      <c r="L50" s="142" t="s">
        <v>231</v>
      </c>
      <c r="M50" s="143">
        <v>0.6699429550938989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4.1531738959106967E-8</v>
      </c>
      <c r="J51" s="142" t="s">
        <v>231</v>
      </c>
      <c r="K51" s="143">
        <v>8.6555355361849461E-4</v>
      </c>
      <c r="L51" s="142" t="s">
        <v>231</v>
      </c>
      <c r="M51" s="143">
        <v>1.9105191351467279E-3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1.2085050336396408E-5</v>
      </c>
      <c r="J52" s="142" t="s">
        <v>231</v>
      </c>
      <c r="K52" s="143">
        <v>2.3049064149356182E-3</v>
      </c>
      <c r="L52" s="142" t="s">
        <v>231</v>
      </c>
      <c r="M52" s="143">
        <v>5.4268847208947597E-2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1.9086671619200049E-4</v>
      </c>
      <c r="J53" s="142" t="s">
        <v>231</v>
      </c>
      <c r="K53" s="143">
        <v>1.0596560899193426E-2</v>
      </c>
      <c r="L53" s="142" t="s">
        <v>231</v>
      </c>
      <c r="M53" s="143">
        <v>0.34671413159679293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8.7429002844544457E-4</v>
      </c>
      <c r="J54" s="67" t="s">
        <v>231</v>
      </c>
      <c r="K54" s="68">
        <v>9.6488848471680072E-2</v>
      </c>
      <c r="L54" s="67" t="s">
        <v>231</v>
      </c>
      <c r="M54" s="68">
        <v>3.3220992112132937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2.0758057954627294E-4</v>
      </c>
      <c r="J55" s="67" t="s">
        <v>231</v>
      </c>
      <c r="K55" s="68">
        <v>1.5171030920662991E-2</v>
      </c>
      <c r="L55" s="67" t="s">
        <v>231</v>
      </c>
      <c r="M55" s="68">
        <v>0.51226131645041284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6.1572698872518965E-5</v>
      </c>
      <c r="J56" s="67" t="s">
        <v>231</v>
      </c>
      <c r="K56" s="68">
        <v>8.9183426941634517E-3</v>
      </c>
      <c r="L56" s="67" t="s">
        <v>231</v>
      </c>
      <c r="M56" s="68">
        <v>0.30413820936258129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3.0183843463822016E-5</v>
      </c>
      <c r="J57" s="67" t="s">
        <v>231</v>
      </c>
      <c r="K57" s="68">
        <v>4.5590859805458928E-3</v>
      </c>
      <c r="L57" s="67" t="s">
        <v>231</v>
      </c>
      <c r="M57" s="68">
        <v>0.15439100165881339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3.2781160392973519E-7</v>
      </c>
      <c r="J58" s="67" t="s">
        <v>231</v>
      </c>
      <c r="K58" s="68">
        <v>1.2192559798712121E-4</v>
      </c>
      <c r="L58" s="67" t="s">
        <v>231</v>
      </c>
      <c r="M58" s="68">
        <v>1.9234776939330521E-3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7.3352271710350274E-6</v>
      </c>
      <c r="J59" s="67" t="s">
        <v>231</v>
      </c>
      <c r="K59" s="68">
        <v>1.7708967206642747E-3</v>
      </c>
      <c r="L59" s="67" t="s">
        <v>231</v>
      </c>
      <c r="M59" s="68">
        <v>5.9933945529537548E-2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1.1533255684524086E-7</v>
      </c>
      <c r="J60" s="67" t="s">
        <v>231</v>
      </c>
      <c r="K60" s="68">
        <v>3.110644542396511E-5</v>
      </c>
      <c r="L60" s="67" t="s">
        <v>231</v>
      </c>
      <c r="M60" s="68">
        <v>1.0425042195304044E-3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4.1533669051276777E-2</v>
      </c>
      <c r="J61" s="67" t="s">
        <v>232</v>
      </c>
      <c r="K61" s="68">
        <v>1.3390690852551903E-2</v>
      </c>
      <c r="L61" s="67" t="s">
        <v>231</v>
      </c>
      <c r="M61" s="68">
        <v>0.44554455762176437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3.9541510552878538E-5</v>
      </c>
      <c r="J62" s="67" t="s">
        <v>231</v>
      </c>
      <c r="K62" s="68">
        <v>5.0954512340272963E-2</v>
      </c>
      <c r="L62" s="67" t="s">
        <v>231</v>
      </c>
      <c r="M62" s="68">
        <v>1.7490836156823339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2.6094163407106388E-4</v>
      </c>
      <c r="J63" s="67" t="s">
        <v>231</v>
      </c>
      <c r="K63" s="68">
        <v>0.11638037090475634</v>
      </c>
      <c r="L63" s="67" t="s">
        <v>231</v>
      </c>
      <c r="M63" s="68">
        <v>4.0132665929155644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1.8557344117453554E-4</v>
      </c>
      <c r="J64" s="67" t="s">
        <v>231</v>
      </c>
      <c r="K64" s="68">
        <v>0.13059526880855751</v>
      </c>
      <c r="L64" s="67" t="s">
        <v>231</v>
      </c>
      <c r="M64" s="68">
        <v>4.510738489958257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2.8044599433374744E-4</v>
      </c>
      <c r="J65" s="67" t="s">
        <v>231</v>
      </c>
      <c r="K65" s="68">
        <v>0.14034231344974521</v>
      </c>
      <c r="L65" s="67" t="s">
        <v>231</v>
      </c>
      <c r="M65" s="68">
        <v>4.8562146986552017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1.1130780415202149E-6</v>
      </c>
      <c r="J66" s="67" t="s">
        <v>231</v>
      </c>
      <c r="K66" s="68">
        <v>0.13547546824462373</v>
      </c>
      <c r="L66" s="67" t="s">
        <v>231</v>
      </c>
      <c r="M66" s="68">
        <v>4.6829781299772213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4.080983728050785E-4</v>
      </c>
      <c r="J67" s="67" t="s">
        <v>231</v>
      </c>
      <c r="K67" s="68">
        <v>1.9787400446121435E-3</v>
      </c>
      <c r="L67" s="67" t="s">
        <v>231</v>
      </c>
      <c r="M67" s="68">
        <v>4.0903136711799931E-2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1.6698934707225823E-4</v>
      </c>
      <c r="J68" s="67" t="s">
        <v>231</v>
      </c>
      <c r="K68" s="68">
        <v>2.801663255655425E-3</v>
      </c>
      <c r="L68" s="67" t="s">
        <v>231</v>
      </c>
      <c r="M68" s="68">
        <v>7.0470662321178518E-2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2.1289916006150664E-7</v>
      </c>
      <c r="J69" s="67" t="s">
        <v>231</v>
      </c>
      <c r="K69" s="68">
        <v>8.4271034255114452E-2</v>
      </c>
      <c r="L69" s="67" t="s">
        <v>231</v>
      </c>
      <c r="M69" s="68">
        <v>2.8990872550234315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2.4222898267972406E-4</v>
      </c>
      <c r="J70" s="67" t="s">
        <v>231</v>
      </c>
      <c r="K70" s="68">
        <v>2.0830659894546206E-2</v>
      </c>
      <c r="L70" s="67" t="s">
        <v>231</v>
      </c>
      <c r="M70" s="68">
        <v>0.71140319393981011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3.116278730633455E-4</v>
      </c>
      <c r="J71" s="67" t="s">
        <v>231</v>
      </c>
      <c r="K71" s="68">
        <v>2.6111895399881253E-3</v>
      </c>
      <c r="L71" s="67" t="s">
        <v>231</v>
      </c>
      <c r="M71" s="68">
        <v>6.4050925710054885E-2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1.4772376337009192E-6</v>
      </c>
      <c r="J72" s="67" t="s">
        <v>231</v>
      </c>
      <c r="K72" s="68">
        <v>2.0608587401251446E-2</v>
      </c>
      <c r="L72" s="67" t="s">
        <v>231</v>
      </c>
      <c r="M72" s="68">
        <v>0.70350850852664359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6.0051415276492675E-3</v>
      </c>
      <c r="J73" s="67" t="s">
        <v>231</v>
      </c>
      <c r="K73" s="68">
        <v>1.3801549261949332E-2</v>
      </c>
      <c r="L73" s="67" t="s">
        <v>231</v>
      </c>
      <c r="M73" s="68">
        <v>0.46044278864486049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5.0867290359193212E-2</v>
      </c>
      <c r="J74" s="67" t="s">
        <v>232</v>
      </c>
      <c r="K74" s="68">
        <v>2.0790975644177114E-2</v>
      </c>
      <c r="L74" s="67" t="s">
        <v>231</v>
      </c>
      <c r="M74" s="68">
        <v>0.70996082599428978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2.2552587160238329E-13</v>
      </c>
      <c r="J75" s="67" t="s">
        <v>231</v>
      </c>
      <c r="K75" s="68">
        <v>1.3641008486148139E-2</v>
      </c>
      <c r="L75" s="67" t="s">
        <v>231</v>
      </c>
      <c r="M75" s="68">
        <v>0.54533031734772219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1.240726071070243E-13</v>
      </c>
      <c r="J76" s="67" t="s">
        <v>231</v>
      </c>
      <c r="K76" s="68">
        <v>1.3641008491792934E-2</v>
      </c>
      <c r="L76" s="67" t="s">
        <v>231</v>
      </c>
      <c r="M76" s="68">
        <v>0.54533031757338568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2.9417884480509819E-7</v>
      </c>
      <c r="J77" s="67" t="s">
        <v>231</v>
      </c>
      <c r="K77" s="68">
        <v>1.8598369359945365E-2</v>
      </c>
      <c r="L77" s="67" t="s">
        <v>231</v>
      </c>
      <c r="M77" s="68">
        <v>0.6309562950435148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1.0939565167590952E-3</v>
      </c>
      <c r="J78" s="67" t="s">
        <v>231</v>
      </c>
      <c r="K78" s="68">
        <v>6.3491170872559703E-3</v>
      </c>
      <c r="L78" s="67" t="s">
        <v>231</v>
      </c>
      <c r="M78" s="68">
        <v>0.19715088994341834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2.0686071301275571E-5</v>
      </c>
      <c r="J79" s="67" t="s">
        <v>231</v>
      </c>
      <c r="K79" s="68">
        <v>1.0776725569501719E-2</v>
      </c>
      <c r="L79" s="67" t="s">
        <v>231</v>
      </c>
      <c r="M79" s="68">
        <v>0.35324810584047939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1.3314488613736438E-14</v>
      </c>
      <c r="J80" s="67" t="s">
        <v>231</v>
      </c>
      <c r="K80" s="68">
        <v>2.6272953005694797E-2</v>
      </c>
      <c r="L80" s="67" t="s">
        <v>231</v>
      </c>
      <c r="M80" s="68">
        <v>1.0505139422255543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2.2407551018551551E-5</v>
      </c>
      <c r="J81" s="67" t="s">
        <v>231</v>
      </c>
      <c r="K81" s="68">
        <v>9.0590694697175107E-4</v>
      </c>
      <c r="L81" s="67" t="s">
        <v>231</v>
      </c>
      <c r="M81" s="68">
        <v>1.7144750300336679E-3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3.7953192668845166E-5</v>
      </c>
      <c r="J82" s="67" t="s">
        <v>231</v>
      </c>
      <c r="K82" s="68">
        <v>3.2754966914952948E-3</v>
      </c>
      <c r="L82" s="67" t="s">
        <v>231</v>
      </c>
      <c r="M82" s="68">
        <v>8.7102223314385649E-2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3.2930971866709795E-5</v>
      </c>
      <c r="J83" s="67" t="s">
        <v>231</v>
      </c>
      <c r="K83" s="68">
        <v>1.8281939133958012E-2</v>
      </c>
      <c r="L83" s="67" t="s">
        <v>231</v>
      </c>
      <c r="M83" s="68">
        <v>0.618984780200171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6.288488900200098E-6</v>
      </c>
      <c r="J84" s="67" t="s">
        <v>231</v>
      </c>
      <c r="K84" s="68">
        <v>1.0481135592455872E-3</v>
      </c>
      <c r="L84" s="67" t="s">
        <v>231</v>
      </c>
      <c r="M84" s="68">
        <v>7.0861067884701546E-3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3.3315820042665196E-8</v>
      </c>
      <c r="J85" s="67" t="s">
        <v>231</v>
      </c>
      <c r="K85" s="68">
        <v>8.7265345783126913E-4</v>
      </c>
      <c r="L85" s="67" t="s">
        <v>231</v>
      </c>
      <c r="M85" s="68">
        <v>3.4820964796062259E-4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2.4655825494330111E-6</v>
      </c>
      <c r="J86" s="67" t="s">
        <v>231</v>
      </c>
      <c r="K86" s="68">
        <v>1.0395564145513824E-3</v>
      </c>
      <c r="L86" s="67" t="s">
        <v>231</v>
      </c>
      <c r="M86" s="68">
        <v>6.7688176991841176E-3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2.9233278018652342E-3</v>
      </c>
      <c r="J87" s="67" t="s">
        <v>231</v>
      </c>
      <c r="K87" s="68">
        <v>0.10939431626335071</v>
      </c>
      <c r="L87" s="67" t="s">
        <v>231</v>
      </c>
      <c r="M87" s="68">
        <v>3.7700695845290793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1.1654769948184143E-4</v>
      </c>
      <c r="J88" s="67" t="s">
        <v>231</v>
      </c>
      <c r="K88" s="68">
        <v>5.3274465245538895E-3</v>
      </c>
      <c r="L88" s="67" t="s">
        <v>231</v>
      </c>
      <c r="M88" s="68">
        <v>0.16002286739179125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3.0785232320230501E-5</v>
      </c>
      <c r="J89" s="67" t="s">
        <v>231</v>
      </c>
      <c r="K89" s="68">
        <v>3.5857158902421727E-3</v>
      </c>
      <c r="L89" s="67" t="s">
        <v>231</v>
      </c>
      <c r="M89" s="68">
        <v>9.814396038935079E-2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1.8876380168208168E-6</v>
      </c>
      <c r="J90" s="67" t="s">
        <v>231</v>
      </c>
      <c r="K90" s="68">
        <v>1.5199354159927533E-3</v>
      </c>
      <c r="L90" s="67" t="s">
        <v>231</v>
      </c>
      <c r="M90" s="68">
        <v>2.4278360564027587E-2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2.3893714577278009E-3</v>
      </c>
      <c r="J91" s="67" t="s">
        <v>231</v>
      </c>
      <c r="K91" s="68">
        <v>5.5777510965040598E-2</v>
      </c>
      <c r="L91" s="67" t="s">
        <v>231</v>
      </c>
      <c r="M91" s="68">
        <v>1.9152929500885378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2.2405135559171067E-2</v>
      </c>
      <c r="J92" s="67" t="s">
        <v>232</v>
      </c>
      <c r="K92" s="68">
        <v>1.6719503381842974E-2</v>
      </c>
      <c r="L92" s="67" t="s">
        <v>231</v>
      </c>
      <c r="M92" s="68">
        <v>0.56346654166828469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6.2946060709342241E-3</v>
      </c>
      <c r="J93" s="67" t="s">
        <v>231</v>
      </c>
      <c r="K93" s="68">
        <v>2.0706992079295751E-2</v>
      </c>
      <c r="L93" s="67" t="s">
        <v>231</v>
      </c>
      <c r="M93" s="68">
        <v>0.70626989571929955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6.4788983184622051E-9</v>
      </c>
      <c r="J94" s="67" t="s">
        <v>231</v>
      </c>
      <c r="K94" s="68">
        <v>1.0727207807027567E-3</v>
      </c>
      <c r="L94" s="67" t="s">
        <v>231</v>
      </c>
      <c r="M94" s="68">
        <v>1.1872537260372852E-2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4.6464769276579701E-5</v>
      </c>
      <c r="J95" s="67" t="s">
        <v>231</v>
      </c>
      <c r="K95" s="68">
        <v>2.8279546985262825E-2</v>
      </c>
      <c r="L95" s="67" t="s">
        <v>231</v>
      </c>
      <c r="M95" s="68">
        <v>0.96876756973089873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9.8871392319770202E-8</v>
      </c>
      <c r="J96" s="67" t="s">
        <v>231</v>
      </c>
      <c r="K96" s="68">
        <v>9.0905705846369982E-4</v>
      </c>
      <c r="L96" s="67" t="s">
        <v>231</v>
      </c>
      <c r="M96" s="68">
        <v>1.8380285842883354E-3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3.5730863239244592E-8</v>
      </c>
      <c r="J97" s="67" t="s">
        <v>231</v>
      </c>
      <c r="K97" s="68">
        <v>1.0525433831728088E-3</v>
      </c>
      <c r="L97" s="67" t="s">
        <v>231</v>
      </c>
      <c r="M97" s="68">
        <v>7.2502006093775519E-3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9.3088969464868776E-6</v>
      </c>
      <c r="J98" s="67" t="s">
        <v>231</v>
      </c>
      <c r="K98" s="68">
        <v>2.0892774893309384E-2</v>
      </c>
      <c r="L98" s="67" t="s">
        <v>231</v>
      </c>
      <c r="M98" s="68">
        <v>0.71412819507819114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4.219740635665303E-8</v>
      </c>
      <c r="J99" s="67" t="s">
        <v>231</v>
      </c>
      <c r="K99" s="68">
        <v>8.6911240784700813E-4</v>
      </c>
      <c r="L99" s="67" t="s">
        <v>231</v>
      </c>
      <c r="M99" s="68">
        <v>1.7907194408638962E-4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6.1389581267225655E-5</v>
      </c>
      <c r="J100" s="67" t="s">
        <v>231</v>
      </c>
      <c r="K100" s="68">
        <v>9.7820395667852725E-3</v>
      </c>
      <c r="L100" s="67" t="s">
        <v>231</v>
      </c>
      <c r="M100" s="68">
        <v>0.31783336902546616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1.3200240827134494E-5</v>
      </c>
      <c r="J101" s="67" t="s">
        <v>231</v>
      </c>
      <c r="K101" s="68">
        <v>8.7504757325218108E-4</v>
      </c>
      <c r="L101" s="67" t="s">
        <v>231</v>
      </c>
      <c r="M101" s="68">
        <v>4.5528704296849326E-4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6.4672455834461828E-11</v>
      </c>
      <c r="J102" s="67" t="s">
        <v>231</v>
      </c>
      <c r="K102" s="68">
        <v>8.6678240165928805E-4</v>
      </c>
      <c r="L102" s="67" t="s">
        <v>231</v>
      </c>
      <c r="M102" s="68">
        <v>3.8317812903560152E-5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9.2299997306181388E-9</v>
      </c>
      <c r="J103" s="67" t="s">
        <v>231</v>
      </c>
      <c r="K103" s="68">
        <v>8.6891533242126038E-4</v>
      </c>
      <c r="L103" s="67" t="s">
        <v>231</v>
      </c>
      <c r="M103" s="68">
        <v>1.6891966180554736E-4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4.3309802874113776E-7</v>
      </c>
      <c r="J104" s="67" t="s">
        <v>231</v>
      </c>
      <c r="K104" s="68">
        <v>9.6399409468830464E-4</v>
      </c>
      <c r="L104" s="67" t="s">
        <v>231</v>
      </c>
      <c r="M104" s="68">
        <v>3.9433577424253406E-3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5.8198608400394629E-8</v>
      </c>
      <c r="J105" s="67" t="s">
        <v>231</v>
      </c>
      <c r="K105" s="68">
        <v>8.6695495424395834E-4</v>
      </c>
      <c r="L105" s="67" t="s">
        <v>231</v>
      </c>
      <c r="M105" s="68">
        <v>5.3150281691446798E-5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5.5273448828708019E-7</v>
      </c>
      <c r="J106" s="67" t="s">
        <v>231</v>
      </c>
      <c r="K106" s="68">
        <v>1.8917418218891732E-3</v>
      </c>
      <c r="L106" s="67" t="s">
        <v>231</v>
      </c>
      <c r="M106" s="68">
        <v>3.7661499248766633E-2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6.5762589918368479E-5</v>
      </c>
      <c r="J107" s="67" t="s">
        <v>231</v>
      </c>
      <c r="K107" s="68">
        <v>2.0823841235531181E-2</v>
      </c>
      <c r="L107" s="67" t="s">
        <v>231</v>
      </c>
      <c r="M107" s="68">
        <v>0.71223363744353474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8.2052894466478105E-5</v>
      </c>
      <c r="J108" s="67" t="s">
        <v>231</v>
      </c>
      <c r="K108" s="68">
        <v>8.1880886190905233E-3</v>
      </c>
      <c r="L108" s="67" t="s">
        <v>231</v>
      </c>
      <c r="M108" s="68">
        <v>0.2614047697736761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0.91423288955518522</v>
      </c>
      <c r="F2" s="14">
        <v>0.8645314744414393</v>
      </c>
      <c r="G2" s="14">
        <v>1.1233867486116252E-6</v>
      </c>
      <c r="H2" s="14">
        <v>11.681559058299758</v>
      </c>
      <c r="I2" s="14">
        <v>31.503440060490806</v>
      </c>
      <c r="J2" s="14">
        <v>0</v>
      </c>
      <c r="K2" s="14">
        <v>1.1566958862267966</v>
      </c>
      <c r="L2" s="14">
        <v>0.86453147444143941</v>
      </c>
      <c r="M2" s="14">
        <v>0.70934807477920103</v>
      </c>
      <c r="N2" s="14">
        <v>2.4866554914872028</v>
      </c>
      <c r="O2" s="14">
        <v>457.81814253770892</v>
      </c>
      <c r="P2" s="8">
        <v>2.4866554914872028</v>
      </c>
      <c r="Q2" s="54">
        <v>0.13444912487160604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0.89345145083735067</v>
      </c>
      <c r="F3" s="14">
        <v>6.5161350394464231E-4</v>
      </c>
      <c r="G3" s="14">
        <v>3.9511049320370394E-5</v>
      </c>
      <c r="H3" s="14">
        <v>68.40535104817954</v>
      </c>
      <c r="I3" s="14">
        <v>1716.1183959357231</v>
      </c>
      <c r="J3" s="14">
        <v>0</v>
      </c>
      <c r="K3" s="14">
        <v>1534.6520505581093</v>
      </c>
      <c r="L3" s="14">
        <v>6.5161350394464231E-4</v>
      </c>
      <c r="M3" s="14">
        <v>5.3464887998657903E-4</v>
      </c>
      <c r="N3" s="14">
        <v>104.20838783648891</v>
      </c>
      <c r="O3" s="14">
        <v>38026.682805413169</v>
      </c>
      <c r="P3" s="8">
        <v>104.20838783648891</v>
      </c>
      <c r="Q3" s="54">
        <v>5.4896827444102403E-2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0.81881815707397265</v>
      </c>
      <c r="F4" s="14">
        <v>0.43718328803511153</v>
      </c>
      <c r="G4" s="14">
        <v>6.0379851385129327E-14</v>
      </c>
      <c r="H4" s="14">
        <v>87.955611445192901</v>
      </c>
      <c r="I4" s="14">
        <v>194.41095015834304</v>
      </c>
      <c r="J4" s="14">
        <v>0</v>
      </c>
      <c r="K4" s="14">
        <v>2.2873701428396935</v>
      </c>
      <c r="L4" s="14">
        <v>0.43718328803511158</v>
      </c>
      <c r="M4" s="14">
        <v>0.35870888783280902</v>
      </c>
      <c r="N4" s="14">
        <v>11.342171742395246</v>
      </c>
      <c r="O4" s="14">
        <v>3599.0979372968591</v>
      </c>
      <c r="P4" s="8">
        <v>11.342171742395246</v>
      </c>
      <c r="Q4" s="54">
        <v>0.27779263214965966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0.92673500183038071</v>
      </c>
      <c r="F5" s="14">
        <v>7.3191998976462691E-3</v>
      </c>
      <c r="G5" s="14">
        <v>1.4058924420194259E-6</v>
      </c>
      <c r="H5" s="14">
        <v>202.54597090599503</v>
      </c>
      <c r="I5" s="14">
        <v>544.22787122621685</v>
      </c>
      <c r="J5" s="14">
        <v>0</v>
      </c>
      <c r="K5" s="14">
        <v>136.62695567606823</v>
      </c>
      <c r="L5" s="14">
        <v>7.3191998976462691E-3</v>
      </c>
      <c r="M5" s="14">
        <v>6.0054035160187645E-3</v>
      </c>
      <c r="N5" s="14">
        <v>32.062215819061507</v>
      </c>
      <c r="O5" s="14">
        <v>11240.692244004773</v>
      </c>
      <c r="P5" s="8">
        <v>32.062215819061507</v>
      </c>
      <c r="Q5" s="54">
        <v>8.2866840244218684E-2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0.89440697957590076</v>
      </c>
      <c r="F6" s="14">
        <v>2.8714999442776382E-4</v>
      </c>
      <c r="G6" s="14">
        <v>1.2685199445083515E-7</v>
      </c>
      <c r="H6" s="14">
        <v>42.990135324173266</v>
      </c>
      <c r="I6" s="14">
        <v>1954.9064654801052</v>
      </c>
      <c r="J6" s="14">
        <v>0</v>
      </c>
      <c r="K6" s="14">
        <v>3482.5005028915734</v>
      </c>
      <c r="L6" s="14">
        <v>2.8714999442776382E-4</v>
      </c>
      <c r="M6" s="14">
        <v>2.3560657042798021E-4</v>
      </c>
      <c r="N6" s="14">
        <v>119.67743246927412</v>
      </c>
      <c r="O6" s="14">
        <v>42424.453036032988</v>
      </c>
      <c r="P6" s="8">
        <v>119.67743246927412</v>
      </c>
      <c r="Q6" s="54">
        <v>4.1278697287954406E-2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0.89555064790812688</v>
      </c>
      <c r="F7" s="14">
        <v>5.8150613026498421E-4</v>
      </c>
      <c r="G7" s="14">
        <v>1.8951464885527943E-7</v>
      </c>
      <c r="H7" s="14">
        <v>64.300492217344555</v>
      </c>
      <c r="I7" s="14">
        <v>1759.8330444838286</v>
      </c>
      <c r="J7" s="14">
        <v>0</v>
      </c>
      <c r="K7" s="14">
        <v>1719.6723266602778</v>
      </c>
      <c r="L7" s="14">
        <v>5.8150613026498421E-4</v>
      </c>
      <c r="M7" s="14">
        <v>4.7712577988241956E-4</v>
      </c>
      <c r="N7" s="14">
        <v>106.9900090981797</v>
      </c>
      <c r="O7" s="14">
        <v>37926.888325213717</v>
      </c>
      <c r="P7" s="8">
        <v>106.9900090981797</v>
      </c>
      <c r="Q7" s="54">
        <v>5.2975061334933633E-2</v>
      </c>
    </row>
    <row r="8" spans="1:20">
      <c r="A8" s="2" t="s">
        <v>323</v>
      </c>
      <c r="B8" s="16" t="s">
        <v>324</v>
      </c>
      <c r="D8" s="14">
        <v>1</v>
      </c>
      <c r="E8" s="14">
        <v>0.89963248138376606</v>
      </c>
      <c r="F8" s="14">
        <v>1.3194681482321807E-3</v>
      </c>
      <c r="G8" s="14">
        <v>1.8232549384570007E-6</v>
      </c>
      <c r="H8" s="14">
        <v>99.682497585779728</v>
      </c>
      <c r="I8" s="14">
        <v>1441.0401514325142</v>
      </c>
      <c r="J8" s="14">
        <v>0</v>
      </c>
      <c r="K8" s="14">
        <v>757.88112152597</v>
      </c>
      <c r="L8" s="14">
        <v>1.3194681482321807E-3</v>
      </c>
      <c r="M8" s="14">
        <v>1.0826236156245043E-3</v>
      </c>
      <c r="N8" s="14">
        <v>86.849069091949318</v>
      </c>
      <c r="O8" s="14">
        <v>27795.176072187463</v>
      </c>
      <c r="P8" s="8">
        <v>86.849069091949318</v>
      </c>
      <c r="Q8" s="54">
        <v>6.7744818201454518E-2</v>
      </c>
    </row>
    <row r="9" spans="1:20">
      <c r="A9" s="2" t="s">
        <v>325</v>
      </c>
      <c r="B9" s="16" t="s">
        <v>326</v>
      </c>
      <c r="D9" s="14">
        <v>1</v>
      </c>
      <c r="E9" s="14">
        <v>0.87938931704143586</v>
      </c>
      <c r="F9" s="14">
        <v>6.769543358428036E-2</v>
      </c>
      <c r="G9" s="14">
        <v>1.2798169623558687E-6</v>
      </c>
      <c r="H9" s="14">
        <v>192.89429099147497</v>
      </c>
      <c r="I9" s="14">
        <v>350.73293134482856</v>
      </c>
      <c r="J9" s="14">
        <v>0</v>
      </c>
      <c r="K9" s="14">
        <v>14.772045129971827</v>
      </c>
      <c r="L9" s="14">
        <v>6.769543358428036E-2</v>
      </c>
      <c r="M9" s="14">
        <v>5.5544103255902033E-2</v>
      </c>
      <c r="N9" s="14">
        <v>20.25474275428213</v>
      </c>
      <c r="O9" s="14">
        <v>6164.530957265767</v>
      </c>
      <c r="P9" s="8">
        <v>20.25474275428213</v>
      </c>
      <c r="Q9" s="54">
        <v>0.17122869429601753</v>
      </c>
    </row>
    <row r="10" spans="1:20">
      <c r="A10" s="2" t="s">
        <v>275</v>
      </c>
      <c r="B10" s="16" t="s">
        <v>276</v>
      </c>
      <c r="D10" s="14">
        <v>1</v>
      </c>
      <c r="E10" s="14">
        <v>0.92510812739140336</v>
      </c>
      <c r="F10" s="14">
        <v>6.801191961760958E-3</v>
      </c>
      <c r="G10" s="14">
        <v>1.8048184441296764E-8</v>
      </c>
      <c r="H10" s="14">
        <v>198.2462736687574</v>
      </c>
      <c r="I10" s="14">
        <v>581.11515768481559</v>
      </c>
      <c r="J10" s="14">
        <v>0</v>
      </c>
      <c r="K10" s="14">
        <v>147.03305032741363</v>
      </c>
      <c r="L10" s="14">
        <v>6.801191961760958E-3</v>
      </c>
      <c r="M10" s="14">
        <v>5.5803780046248669E-3</v>
      </c>
      <c r="N10" s="14">
        <v>34.275027176564564</v>
      </c>
      <c r="O10" s="14">
        <v>12698.554818645403</v>
      </c>
      <c r="P10" s="8">
        <v>34.275027176564564</v>
      </c>
      <c r="Q10" s="54">
        <v>8.3264945788761632E-2</v>
      </c>
    </row>
    <row r="11" spans="1:20">
      <c r="A11" s="2" t="s">
        <v>327</v>
      </c>
      <c r="B11" s="16" t="s">
        <v>328</v>
      </c>
      <c r="D11" s="14">
        <v>1</v>
      </c>
      <c r="E11" s="14">
        <v>0.92220144626582523</v>
      </c>
      <c r="F11" s="14">
        <v>5.9976810502634526E-3</v>
      </c>
      <c r="G11" s="14">
        <v>9.3849476502588338E-7</v>
      </c>
      <c r="H11" s="14">
        <v>190.63531956048516</v>
      </c>
      <c r="I11" s="14">
        <v>646.04167956251842</v>
      </c>
      <c r="J11" s="14">
        <v>0</v>
      </c>
      <c r="K11" s="14">
        <v>166.73110684271452</v>
      </c>
      <c r="L11" s="14">
        <v>5.9976810502634526E-3</v>
      </c>
      <c r="M11" s="14">
        <v>4.9210973017411626E-3</v>
      </c>
      <c r="N11" s="14">
        <v>38.178390141887533</v>
      </c>
      <c r="O11" s="14">
        <v>14542.530588946382</v>
      </c>
      <c r="P11" s="8">
        <v>38.178390141887533</v>
      </c>
      <c r="Q11" s="54">
        <v>8.3648958409649823E-2</v>
      </c>
    </row>
    <row r="12" spans="1:20">
      <c r="A12" s="2" t="s">
        <v>329</v>
      </c>
      <c r="B12" s="16" t="s">
        <v>330</v>
      </c>
      <c r="D12" s="14">
        <v>1</v>
      </c>
      <c r="E12" s="14">
        <v>0.89788960148513652</v>
      </c>
      <c r="F12" s="14">
        <v>4.2456988008776148E-2</v>
      </c>
      <c r="G12" s="14">
        <v>6.5433126007296408E-7</v>
      </c>
      <c r="H12" s="14">
        <v>204.53572811077089</v>
      </c>
      <c r="I12" s="14">
        <v>357.78847898283533</v>
      </c>
      <c r="J12" s="14">
        <v>0</v>
      </c>
      <c r="K12" s="14">
        <v>23.553248755971413</v>
      </c>
      <c r="L12" s="14">
        <v>4.2456988008776148E-2</v>
      </c>
      <c r="M12" s="14">
        <v>3.483595866120083E-2</v>
      </c>
      <c r="N12" s="14">
        <v>20.724436505470944</v>
      </c>
      <c r="O12" s="14">
        <v>5686.785377101226</v>
      </c>
      <c r="P12" s="8">
        <v>20.724436505470944</v>
      </c>
      <c r="Q12" s="54">
        <v>0.14119728691681746</v>
      </c>
    </row>
    <row r="13" spans="1:20">
      <c r="A13" s="2" t="s">
        <v>277</v>
      </c>
      <c r="B13" s="16" t="s">
        <v>278</v>
      </c>
      <c r="D13" s="14">
        <v>1</v>
      </c>
      <c r="E13" s="14">
        <v>0.88116936195305129</v>
      </c>
      <c r="F13" s="14">
        <v>6.4801964747074975E-2</v>
      </c>
      <c r="G13" s="14">
        <v>1.9874520579357762E-6</v>
      </c>
      <c r="H13" s="14">
        <v>194.11905728612851</v>
      </c>
      <c r="I13" s="14">
        <v>351.66192113113573</v>
      </c>
      <c r="J13" s="14">
        <v>0</v>
      </c>
      <c r="K13" s="14">
        <v>15.431630875746524</v>
      </c>
      <c r="L13" s="14">
        <v>6.4801964747074975E-2</v>
      </c>
      <c r="M13" s="14">
        <v>5.3170012074975022E-2</v>
      </c>
      <c r="N13" s="14">
        <v>20.313696557251856</v>
      </c>
      <c r="O13" s="14">
        <v>8266.2525400424984</v>
      </c>
      <c r="P13" s="8">
        <v>20.313696557251859</v>
      </c>
      <c r="Q13" s="54">
        <v>0.16823848325022725</v>
      </c>
    </row>
    <row r="14" spans="1:20">
      <c r="A14" s="2" t="s">
        <v>331</v>
      </c>
      <c r="B14" s="16" t="s">
        <v>332</v>
      </c>
      <c r="D14" s="14">
        <v>1</v>
      </c>
      <c r="E14" s="14">
        <v>0.91375105135829671</v>
      </c>
      <c r="F14" s="14">
        <v>3.9524383736076873E-3</v>
      </c>
      <c r="G14" s="14">
        <v>6.2111725565721624E-7</v>
      </c>
      <c r="H14" s="14">
        <v>164.30285391964807</v>
      </c>
      <c r="I14" s="14">
        <v>872.97594720935479</v>
      </c>
      <c r="J14" s="14">
        <v>0</v>
      </c>
      <c r="K14" s="14">
        <v>253.00837242080132</v>
      </c>
      <c r="L14" s="14">
        <v>3.9524383736076873E-3</v>
      </c>
      <c r="M14" s="14">
        <v>3.2429756855451076E-3</v>
      </c>
      <c r="N14" s="14">
        <v>51.902396593459748</v>
      </c>
      <c r="O14" s="14">
        <v>19770.141886414753</v>
      </c>
      <c r="P14" s="8">
        <v>51.902396593459748</v>
      </c>
      <c r="Q14" s="54">
        <v>8.2566196327734376E-2</v>
      </c>
    </row>
    <row r="15" spans="1:20">
      <c r="A15" s="2" t="s">
        <v>333</v>
      </c>
      <c r="B15" s="16" t="s">
        <v>334</v>
      </c>
      <c r="D15" s="14">
        <v>1</v>
      </c>
      <c r="E15" s="14">
        <v>0.92368231155474445</v>
      </c>
      <c r="F15" s="14">
        <v>6.390256203122403E-3</v>
      </c>
      <c r="G15" s="14">
        <v>1.0225081028808697E-9</v>
      </c>
      <c r="H15" s="14">
        <v>194.50835931539334</v>
      </c>
      <c r="I15" s="14">
        <v>613.04935713453756</v>
      </c>
      <c r="J15" s="14">
        <v>0</v>
      </c>
      <c r="K15" s="14">
        <v>156.48824839157163</v>
      </c>
      <c r="L15" s="14">
        <v>6.390256203122403E-3</v>
      </c>
      <c r="M15" s="14">
        <v>5.2432052146619314E-3</v>
      </c>
      <c r="N15" s="14">
        <v>36.193559197108009</v>
      </c>
      <c r="O15" s="14">
        <v>13915.699640104089</v>
      </c>
      <c r="P15" s="8">
        <v>36.193559197108009</v>
      </c>
      <c r="Q15" s="54">
        <v>8.3501723847919401E-2</v>
      </c>
    </row>
    <row r="16" spans="1:20">
      <c r="A16" s="2" t="s">
        <v>335</v>
      </c>
      <c r="B16" s="16" t="s">
        <v>336</v>
      </c>
      <c r="D16" s="14">
        <v>1</v>
      </c>
      <c r="E16" s="14">
        <v>0.89972759132234081</v>
      </c>
      <c r="F16" s="14">
        <v>1.3664048153653827E-3</v>
      </c>
      <c r="G16" s="14">
        <v>4.7414139325851E-6</v>
      </c>
      <c r="H16" s="14">
        <v>101.45638499357796</v>
      </c>
      <c r="I16" s="14">
        <v>1424.7430745739548</v>
      </c>
      <c r="J16" s="14">
        <v>0</v>
      </c>
      <c r="K16" s="14">
        <v>731.84753797328767</v>
      </c>
      <c r="L16" s="14">
        <v>1.3664048153653827E-3</v>
      </c>
      <c r="M16" s="14">
        <v>1.1211351510072966E-3</v>
      </c>
      <c r="N16" s="14">
        <v>85.832929373573094</v>
      </c>
      <c r="O16" s="14">
        <v>32043.149193742309</v>
      </c>
      <c r="P16" s="8">
        <v>85.832929373573094</v>
      </c>
      <c r="Q16" s="54">
        <v>6.8349690858660439E-2</v>
      </c>
    </row>
    <row r="17" spans="1:21">
      <c r="A17" s="2" t="s">
        <v>337</v>
      </c>
      <c r="B17" s="16" t="s">
        <v>338</v>
      </c>
      <c r="D17" s="14">
        <v>1</v>
      </c>
      <c r="E17" s="14">
        <v>0.92623020933328593</v>
      </c>
      <c r="F17" s="14">
        <v>7.1436740934994244E-3</v>
      </c>
      <c r="G17" s="14">
        <v>3.6101905142389725E-7</v>
      </c>
      <c r="H17" s="14">
        <v>201.14147617361158</v>
      </c>
      <c r="I17" s="14">
        <v>556.36372202536199</v>
      </c>
      <c r="J17" s="14">
        <v>0</v>
      </c>
      <c r="K17" s="14">
        <v>139.98398959857036</v>
      </c>
      <c r="L17" s="14">
        <v>7.1436740934994252E-3</v>
      </c>
      <c r="M17" s="14">
        <v>5.8613845937162783E-3</v>
      </c>
      <c r="N17" s="14">
        <v>32.789816588120104</v>
      </c>
      <c r="O17" s="14">
        <v>12765.731394086917</v>
      </c>
      <c r="P17" s="8">
        <v>32.789816588120104</v>
      </c>
      <c r="Q17" s="54">
        <v>8.3015426572321541E-2</v>
      </c>
    </row>
    <row r="18" spans="1:21">
      <c r="A18" s="2" t="s">
        <v>279</v>
      </c>
      <c r="B18" s="16" t="s">
        <v>280</v>
      </c>
      <c r="D18" s="14">
        <v>1</v>
      </c>
      <c r="E18" s="14">
        <v>0.86878522022106075</v>
      </c>
      <c r="F18" s="14">
        <v>8.1964874344688021E-2</v>
      </c>
      <c r="G18" s="14">
        <v>3.8875524825208923E-5</v>
      </c>
      <c r="H18" s="14">
        <v>186.48666286561109</v>
      </c>
      <c r="I18" s="14">
        <v>344.75053451618925</v>
      </c>
      <c r="J18" s="14">
        <v>0</v>
      </c>
      <c r="K18" s="14">
        <v>12.200348112469324</v>
      </c>
      <c r="L18" s="14">
        <v>8.1964874344688035E-2</v>
      </c>
      <c r="M18" s="14">
        <v>6.7252179399816536E-2</v>
      </c>
      <c r="N18" s="14">
        <v>19.887516921714859</v>
      </c>
      <c r="O18" s="14">
        <v>5783.8865463423317</v>
      </c>
      <c r="P18" s="8">
        <v>19.887516921714859</v>
      </c>
      <c r="Q18" s="54">
        <v>0.1843762374827167</v>
      </c>
    </row>
    <row r="19" spans="1:21">
      <c r="A19" s="2" t="s">
        <v>339</v>
      </c>
      <c r="B19" s="16" t="s">
        <v>340</v>
      </c>
      <c r="D19" s="14">
        <v>1</v>
      </c>
      <c r="E19" s="14">
        <v>0.92339745677619556</v>
      </c>
      <c r="F19" s="14">
        <v>6.3103359809947553E-3</v>
      </c>
      <c r="G19" s="14">
        <v>3.5831168448782144E-9</v>
      </c>
      <c r="H19" s="14">
        <v>193.74588310821713</v>
      </c>
      <c r="I19" s="14">
        <v>619.56896284483651</v>
      </c>
      <c r="J19" s="14">
        <v>0</v>
      </c>
      <c r="K19" s="14">
        <v>158.47016751750846</v>
      </c>
      <c r="L19" s="14">
        <v>6.3103359809947562E-3</v>
      </c>
      <c r="M19" s="14">
        <v>5.1776306724061975E-3</v>
      </c>
      <c r="N19" s="14">
        <v>36.585557311251719</v>
      </c>
      <c r="O19" s="14">
        <v>12645.797884634156</v>
      </c>
      <c r="P19" s="8">
        <v>36.585557311251719</v>
      </c>
      <c r="Q19" s="54">
        <v>8.3539073383665133E-2</v>
      </c>
    </row>
    <row r="20" spans="1:21">
      <c r="A20" s="2" t="s">
        <v>281</v>
      </c>
      <c r="B20" s="16" t="s">
        <v>282</v>
      </c>
      <c r="D20" s="14">
        <v>1</v>
      </c>
      <c r="E20" s="14">
        <v>0.88127340926116704</v>
      </c>
      <c r="F20" s="14">
        <v>6.4809616477018939E-2</v>
      </c>
      <c r="G20" s="14">
        <v>3.0084856140615131E-7</v>
      </c>
      <c r="H20" s="14">
        <v>194.14197860663361</v>
      </c>
      <c r="I20" s="14">
        <v>351.70344490379557</v>
      </c>
      <c r="J20" s="14">
        <v>0</v>
      </c>
      <c r="K20" s="14">
        <v>15.42980894439629</v>
      </c>
      <c r="L20" s="14">
        <v>6.4809616477018939E-2</v>
      </c>
      <c r="M20" s="14">
        <v>5.3176290319394033E-2</v>
      </c>
      <c r="N20" s="14">
        <v>20.316095171565888</v>
      </c>
      <c r="O20" s="14">
        <v>5917.2658796702799</v>
      </c>
      <c r="P20" s="8">
        <v>20.316095171565888</v>
      </c>
      <c r="Q20" s="54">
        <v>0.16825834862691816</v>
      </c>
    </row>
    <row r="21" spans="1:21">
      <c r="A21" s="2" t="s">
        <v>341</v>
      </c>
      <c r="B21" s="16" t="s">
        <v>342</v>
      </c>
      <c r="D21" s="14">
        <v>1</v>
      </c>
      <c r="E21" s="14">
        <v>0.91583395807090739</v>
      </c>
      <c r="F21" s="14">
        <v>4.4799647890881285E-3</v>
      </c>
      <c r="G21" s="14">
        <v>5.2124642373078264E-6</v>
      </c>
      <c r="H21" s="14">
        <v>172.27196227830825</v>
      </c>
      <c r="I21" s="14">
        <v>803.28891025408757</v>
      </c>
      <c r="J21" s="14">
        <v>0</v>
      </c>
      <c r="K21" s="14">
        <v>223.21604009828488</v>
      </c>
      <c r="L21" s="14">
        <v>4.4799647890881285E-3</v>
      </c>
      <c r="M21" s="14">
        <v>3.6758111094468094E-3</v>
      </c>
      <c r="N21" s="14">
        <v>47.675088609893805</v>
      </c>
      <c r="O21" s="14">
        <v>15984.503709125192</v>
      </c>
      <c r="P21" s="8">
        <v>47.675088609893805</v>
      </c>
      <c r="Q21" s="54">
        <v>8.3228443241416414E-2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0.85115734793985742</v>
      </c>
      <c r="F22" s="14">
        <v>0.6729436218677749</v>
      </c>
      <c r="G22" s="14">
        <v>2.6021190906255495E-5</v>
      </c>
      <c r="H22" s="14">
        <v>40.766054547670251</v>
      </c>
      <c r="I22" s="14">
        <v>98.436429386970701</v>
      </c>
      <c r="J22" s="14">
        <v>0</v>
      </c>
      <c r="K22" s="14">
        <v>1.4860085860156762</v>
      </c>
      <c r="L22" s="14">
        <v>0.6729436218677749</v>
      </c>
      <c r="M22" s="14">
        <v>0.55215024174250926</v>
      </c>
      <c r="N22" s="14">
        <v>6.0812208125437985</v>
      </c>
      <c r="O22" s="14">
        <v>998.5364574196916</v>
      </c>
      <c r="P22" s="8">
        <v>6.0812208125437985</v>
      </c>
      <c r="Q22" s="54">
        <v>0.22874723438134756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0.89374723568015879</v>
      </c>
      <c r="F23" s="14">
        <v>0.81323672028684779</v>
      </c>
      <c r="G23" s="14">
        <v>1.0598037890959778E-6</v>
      </c>
      <c r="H23" s="14">
        <v>18.577915372607361</v>
      </c>
      <c r="I23" s="14">
        <v>48.200789412356443</v>
      </c>
      <c r="J23" s="14">
        <v>0</v>
      </c>
      <c r="K23" s="14">
        <v>1.2296542630874763</v>
      </c>
      <c r="L23" s="14">
        <v>0.8132367202868479</v>
      </c>
      <c r="M23" s="14">
        <v>0.66726072899535871</v>
      </c>
      <c r="N23" s="14">
        <v>3.3752932665322559</v>
      </c>
      <c r="O23" s="14">
        <v>510.2093301690158</v>
      </c>
      <c r="P23" s="8">
        <v>3.3752932665322564</v>
      </c>
      <c r="Q23" s="54">
        <v>0.16628541206973255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0.82997789585608928</v>
      </c>
      <c r="F24" s="14">
        <v>0.21107044438854178</v>
      </c>
      <c r="G24" s="14">
        <v>9.7184255540970481E-7</v>
      </c>
      <c r="H24" s="14">
        <v>144.59971084638772</v>
      </c>
      <c r="I24" s="14">
        <v>292.02806801584484</v>
      </c>
      <c r="J24" s="14">
        <v>0</v>
      </c>
      <c r="K24" s="14">
        <v>4.7377547476954387</v>
      </c>
      <c r="L24" s="14">
        <v>0.21107044438854181</v>
      </c>
      <c r="M24" s="14">
        <v>0.17318329962079854</v>
      </c>
      <c r="N24" s="14">
        <v>16.811113954229814</v>
      </c>
      <c r="O24" s="14">
        <v>2962.9588344330045</v>
      </c>
      <c r="P24" s="8">
        <v>16.811113954229814</v>
      </c>
      <c r="Q24" s="54">
        <v>0.25399466537953985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0.90840681043111193</v>
      </c>
      <c r="F25" s="14">
        <v>2.2554092941532194E-2</v>
      </c>
      <c r="G25" s="14">
        <v>1.5947545629587106E-4</v>
      </c>
      <c r="H25" s="14">
        <v>213.43486599412739</v>
      </c>
      <c r="I25" s="14">
        <v>355.24055224148708</v>
      </c>
      <c r="J25" s="14">
        <v>0</v>
      </c>
      <c r="K25" s="14">
        <v>44.337850455451118</v>
      </c>
      <c r="L25" s="14">
        <v>2.2554092941532194E-2</v>
      </c>
      <c r="M25" s="14">
        <v>1.8505633258527165E-2</v>
      </c>
      <c r="N25" s="14">
        <v>20.669308931019778</v>
      </c>
      <c r="O25" s="14">
        <v>3974.7081074351036</v>
      </c>
      <c r="P25" s="8">
        <v>20.669308931019778</v>
      </c>
      <c r="Q25" s="54">
        <v>0.10664058934532862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0.91752740517787934</v>
      </c>
      <c r="F26" s="14">
        <v>4.8613598254949692E-3</v>
      </c>
      <c r="G26" s="14">
        <v>4.1895391711796923E-6</v>
      </c>
      <c r="H26" s="14">
        <v>177.47523815864994</v>
      </c>
      <c r="I26" s="14">
        <v>758.56873405298427</v>
      </c>
      <c r="J26" s="14">
        <v>0</v>
      </c>
      <c r="K26" s="14">
        <v>205.70376106610931</v>
      </c>
      <c r="L26" s="14">
        <v>4.8613598254949692E-3</v>
      </c>
      <c r="M26" s="14">
        <v>3.9887457368186219E-3</v>
      </c>
      <c r="N26" s="14">
        <v>44.968187818933757</v>
      </c>
      <c r="O26" s="14">
        <v>9999.5759252962998</v>
      </c>
      <c r="P26" s="8">
        <v>44.968187818933764</v>
      </c>
      <c r="Q26" s="54">
        <v>8.3520856321358111E-2</v>
      </c>
    </row>
    <row r="27" spans="1:21">
      <c r="A27" s="2" t="s">
        <v>353</v>
      </c>
      <c r="B27" s="16" t="s">
        <v>354</v>
      </c>
      <c r="D27" s="14">
        <v>1</v>
      </c>
      <c r="E27" s="14">
        <v>0.89455817163596785</v>
      </c>
      <c r="F27" s="14">
        <v>7.1792150188423193E-4</v>
      </c>
      <c r="G27" s="14">
        <v>2.744766777573313E-5</v>
      </c>
      <c r="H27" s="14">
        <v>72.173366076831726</v>
      </c>
      <c r="I27" s="14">
        <v>1683.9691517751096</v>
      </c>
      <c r="J27" s="14">
        <v>0</v>
      </c>
      <c r="K27" s="14">
        <v>1392.9099454124644</v>
      </c>
      <c r="L27" s="14">
        <v>7.1792150188423193E-4</v>
      </c>
      <c r="M27" s="14">
        <v>5.8905459229601235E-4</v>
      </c>
      <c r="N27" s="14">
        <v>102.154946612994</v>
      </c>
      <c r="O27" s="14">
        <v>24148.407829845648</v>
      </c>
      <c r="P27" s="8">
        <v>102.154946612994</v>
      </c>
      <c r="Q27" s="54">
        <v>5.666751020437575E-2</v>
      </c>
    </row>
    <row r="28" spans="1:21">
      <c r="A28" s="2" t="s">
        <v>355</v>
      </c>
      <c r="B28" s="16" t="s">
        <v>356</v>
      </c>
      <c r="D28" s="14">
        <v>1</v>
      </c>
      <c r="E28" s="14">
        <v>0.90719201256661863</v>
      </c>
      <c r="F28" s="14">
        <v>2.6476360289974152E-3</v>
      </c>
      <c r="G28" s="14">
        <v>1.5516250057828491E-6</v>
      </c>
      <c r="H28" s="14">
        <v>139.04593036364824</v>
      </c>
      <c r="I28" s="14">
        <v>1092.9881491854121</v>
      </c>
      <c r="J28" s="14">
        <v>0</v>
      </c>
      <c r="K28" s="14">
        <v>377.69541925242328</v>
      </c>
      <c r="L28" s="14">
        <v>2.6476360289974157E-3</v>
      </c>
      <c r="M28" s="14">
        <v>2.1723853617923792E-3</v>
      </c>
      <c r="N28" s="14">
        <v>65.328822377439749</v>
      </c>
      <c r="O28" s="14">
        <v>16880.967702330432</v>
      </c>
      <c r="P28" s="8">
        <v>65.328822377439764</v>
      </c>
      <c r="Q28" s="54">
        <v>7.8634920690160093E-2</v>
      </c>
    </row>
    <row r="29" spans="1:21">
      <c r="A29" s="2" t="s">
        <v>357</v>
      </c>
      <c r="B29" s="16" t="s">
        <v>358</v>
      </c>
      <c r="D29" s="14">
        <v>1</v>
      </c>
      <c r="E29" s="14">
        <v>0.8942529462460922</v>
      </c>
      <c r="F29" s="14">
        <v>4.0317573311991553E-3</v>
      </c>
      <c r="G29" s="14">
        <v>3.17411656824076E-4</v>
      </c>
      <c r="H29" s="14">
        <v>163.30308317472216</v>
      </c>
      <c r="I29" s="14">
        <v>830.71404862034308</v>
      </c>
      <c r="J29" s="14">
        <v>0</v>
      </c>
      <c r="K29" s="14">
        <v>248.03080092684363</v>
      </c>
      <c r="L29" s="14">
        <v>4.0317573311991553E-3</v>
      </c>
      <c r="M29" s="14">
        <v>3.3080568902489073E-3</v>
      </c>
      <c r="N29" s="14">
        <v>49.360707666418456</v>
      </c>
      <c r="O29" s="14">
        <v>11668.377685264657</v>
      </c>
      <c r="P29" s="8">
        <v>49.360707666418456</v>
      </c>
      <c r="Q29" s="54">
        <v>8.0993758931109355E-2</v>
      </c>
    </row>
    <row r="30" spans="1:21">
      <c r="A30" s="2" t="s">
        <v>359</v>
      </c>
      <c r="B30" s="16" t="s">
        <v>360</v>
      </c>
      <c r="D30" s="14">
        <v>1</v>
      </c>
      <c r="E30" s="14">
        <v>0.90719201256661863</v>
      </c>
      <c r="F30" s="14">
        <v>2.6476360289974152E-3</v>
      </c>
      <c r="G30" s="14">
        <v>1.5516250057828491E-6</v>
      </c>
      <c r="H30" s="14">
        <v>139.04593036364824</v>
      </c>
      <c r="I30" s="14">
        <v>1092.9881491854121</v>
      </c>
      <c r="J30" s="14">
        <v>0</v>
      </c>
      <c r="K30" s="14">
        <v>377.69541925242328</v>
      </c>
      <c r="L30" s="14">
        <v>2.6476360289974157E-3</v>
      </c>
      <c r="M30" s="14">
        <v>2.1723853617923792E-3</v>
      </c>
      <c r="N30" s="14">
        <v>65.328822377439749</v>
      </c>
      <c r="O30" s="14">
        <v>16880.967702330432</v>
      </c>
      <c r="P30" s="8">
        <v>65.328822377439764</v>
      </c>
      <c r="Q30" s="54">
        <v>7.8634920690160093E-2</v>
      </c>
    </row>
    <row r="31" spans="1:21">
      <c r="A31" s="2" t="s">
        <v>283</v>
      </c>
      <c r="B31" s="16" t="s">
        <v>284</v>
      </c>
      <c r="D31" s="14">
        <v>1</v>
      </c>
      <c r="E31" s="14">
        <v>0.98941650228374967</v>
      </c>
      <c r="F31" s="14">
        <v>0.99243296047860663</v>
      </c>
      <c r="G31" s="14">
        <v>2.9512749201579545E-10</v>
      </c>
      <c r="H31" s="14">
        <v>0.17289450060502207</v>
      </c>
      <c r="I31" s="14">
        <v>0.64244854564275222</v>
      </c>
      <c r="J31" s="14">
        <v>0</v>
      </c>
      <c r="K31" s="14">
        <v>1.0076247362015709</v>
      </c>
      <c r="L31" s="14">
        <v>0.99243296047860663</v>
      </c>
      <c r="M31" s="14">
        <v>0.81429124407269671</v>
      </c>
      <c r="N31" s="14">
        <v>0.89184135721599656</v>
      </c>
      <c r="O31" s="14">
        <v>173.18667315777438</v>
      </c>
      <c r="P31" s="8">
        <v>0.89184135721599656</v>
      </c>
      <c r="Q31" s="54">
        <v>1.5982265844024391E-2</v>
      </c>
    </row>
    <row r="32" spans="1:21">
      <c r="A32" s="2" t="s">
        <v>361</v>
      </c>
      <c r="B32" s="16" t="s">
        <v>362</v>
      </c>
      <c r="D32" s="14">
        <v>1</v>
      </c>
      <c r="E32" s="14">
        <v>0.82795298040539644</v>
      </c>
      <c r="F32" s="14">
        <v>0.53268502262405937</v>
      </c>
      <c r="G32" s="14">
        <v>2.8963617546756474E-10</v>
      </c>
      <c r="H32" s="14">
        <v>67.795740163019559</v>
      </c>
      <c r="I32" s="14">
        <v>154.76853916833343</v>
      </c>
      <c r="J32" s="14">
        <v>0</v>
      </c>
      <c r="K32" s="14">
        <v>1.8772819912861463</v>
      </c>
      <c r="L32" s="14">
        <v>0.53268502262405937</v>
      </c>
      <c r="M32" s="14">
        <v>0.43706806106304069</v>
      </c>
      <c r="N32" s="14">
        <v>9.2684458913393275</v>
      </c>
      <c r="O32" s="14">
        <v>2373.5563083130883</v>
      </c>
      <c r="P32" s="8">
        <v>9.2684458913393275</v>
      </c>
      <c r="Q32" s="54">
        <v>0.26538885662801875</v>
      </c>
    </row>
    <row r="33" spans="1:17">
      <c r="A33" s="2" t="s">
        <v>364</v>
      </c>
      <c r="B33" s="16" t="s">
        <v>365</v>
      </c>
      <c r="D33" s="14">
        <v>1</v>
      </c>
      <c r="E33" s="14">
        <v>0.99939051876464968</v>
      </c>
      <c r="F33" s="14">
        <v>0.99908408354233535</v>
      </c>
      <c r="G33" s="14">
        <v>1.3405603648602079E-12</v>
      </c>
      <c r="H33" s="14">
        <v>1.1937188181175535</v>
      </c>
      <c r="I33" s="14">
        <v>3.3797998184859307E-3</v>
      </c>
      <c r="J33" s="14">
        <v>0</v>
      </c>
      <c r="K33" s="14">
        <v>1.0009167561296914</v>
      </c>
      <c r="L33" s="14">
        <v>0.99908408354233535</v>
      </c>
      <c r="M33" s="14">
        <v>0.81974849054648624</v>
      </c>
      <c r="N33" s="14">
        <v>0.87809218703160463</v>
      </c>
      <c r="O33" s="14">
        <v>260.04700118940968</v>
      </c>
      <c r="P33" s="8">
        <v>0.87809218703160463</v>
      </c>
      <c r="Q33" s="54">
        <v>3.8538160250278605E-5</v>
      </c>
    </row>
    <row r="34" spans="1:17">
      <c r="A34" s="2" t="s">
        <v>285</v>
      </c>
      <c r="B34" s="16" t="s">
        <v>286</v>
      </c>
      <c r="D34" s="14">
        <v>1</v>
      </c>
      <c r="E34" s="14">
        <v>0.99885161192647653</v>
      </c>
      <c r="F34" s="14">
        <v>0.54923873477688523</v>
      </c>
      <c r="G34" s="14">
        <v>3.9841521233001468E-12</v>
      </c>
      <c r="H34" s="14">
        <v>128.3870316777404</v>
      </c>
      <c r="I34" s="14">
        <v>9.7624153377955922E-2</v>
      </c>
      <c r="J34" s="14">
        <v>0</v>
      </c>
      <c r="K34" s="14">
        <v>1.8207018855038064</v>
      </c>
      <c r="L34" s="14">
        <v>0.54923873477688523</v>
      </c>
      <c r="M34" s="14">
        <v>0.45065038188443435</v>
      </c>
      <c r="N34" s="14">
        <v>1.5995183918730518</v>
      </c>
      <c r="O34" s="14">
        <v>353.55754533961931</v>
      </c>
      <c r="P34" s="8">
        <v>1.5995183918730518</v>
      </c>
      <c r="Q34" s="54">
        <v>1.3126752008123596E-4</v>
      </c>
    </row>
    <row r="35" spans="1:17">
      <c r="A35" s="2" t="s">
        <v>287</v>
      </c>
      <c r="B35" s="16" t="s">
        <v>288</v>
      </c>
      <c r="D35" s="14">
        <v>1</v>
      </c>
      <c r="E35" s="14">
        <v>0.99855175476353608</v>
      </c>
      <c r="F35" s="14">
        <v>0.32514893564034408</v>
      </c>
      <c r="G35" s="14">
        <v>1.1605040790606696E-13</v>
      </c>
      <c r="H35" s="14">
        <v>191.71775584267138</v>
      </c>
      <c r="I35" s="14">
        <v>0.34375678167702001</v>
      </c>
      <c r="J35" s="14">
        <v>0</v>
      </c>
      <c r="K35" s="14">
        <v>3.0755136812323038</v>
      </c>
      <c r="L35" s="14">
        <v>0.32514893564034408</v>
      </c>
      <c r="M35" s="14">
        <v>0.2667847016929023</v>
      </c>
      <c r="N35" s="14">
        <v>1.8745007329464209</v>
      </c>
      <c r="O35" s="14">
        <v>431.62253876824286</v>
      </c>
      <c r="P35" s="8">
        <v>1.8745007329464209</v>
      </c>
      <c r="Q35" s="54">
        <v>3.1772491686809492E-4</v>
      </c>
    </row>
    <row r="36" spans="1:17">
      <c r="A36" s="2" t="s">
        <v>366</v>
      </c>
      <c r="B36" s="16" t="s">
        <v>305</v>
      </c>
      <c r="D36" s="14">
        <v>1</v>
      </c>
      <c r="E36" s="14">
        <v>0.99842334317056758</v>
      </c>
      <c r="F36" s="14">
        <v>0.10845092779848599</v>
      </c>
      <c r="G36" s="14">
        <v>2.0457602988172863E-10</v>
      </c>
      <c r="H36" s="14">
        <v>252.99577685804013</v>
      </c>
      <c r="I36" s="14">
        <v>0.67068203074374955</v>
      </c>
      <c r="J36" s="14">
        <v>0</v>
      </c>
      <c r="K36" s="14">
        <v>9.2207602120113918</v>
      </c>
      <c r="L36" s="14">
        <v>0.108450927798486</v>
      </c>
      <c r="M36" s="14">
        <v>8.8983986258657763E-2</v>
      </c>
      <c r="N36" s="14">
        <v>2.0320835764352698</v>
      </c>
      <c r="O36" s="14">
        <v>419.17820014706751</v>
      </c>
      <c r="P36" s="8">
        <v>2.0320835764352703</v>
      </c>
      <c r="Q36" s="54">
        <v>3.5507219971227374E-4</v>
      </c>
    </row>
    <row r="37" spans="1:17">
      <c r="A37" s="2" t="s">
        <v>289</v>
      </c>
      <c r="B37" s="16" t="s">
        <v>290</v>
      </c>
      <c r="D37" s="14">
        <v>1</v>
      </c>
      <c r="E37" s="14">
        <v>0.96546454676821514</v>
      </c>
      <c r="F37" s="14">
        <v>0.21713860493730242</v>
      </c>
      <c r="G37" s="14">
        <v>4.8410472839022134E-17</v>
      </c>
      <c r="H37" s="14">
        <v>205.90033028191044</v>
      </c>
      <c r="I37" s="14">
        <v>65.086086590859253</v>
      </c>
      <c r="J37" s="14">
        <v>0</v>
      </c>
      <c r="K37" s="14">
        <v>4.6053533423443724</v>
      </c>
      <c r="L37" s="14">
        <v>0.21713860493730242</v>
      </c>
      <c r="M37" s="14">
        <v>0.17816222535105664</v>
      </c>
      <c r="N37" s="14">
        <v>5.2810663966736024</v>
      </c>
      <c r="O37" s="14">
        <v>1840.0291539290167</v>
      </c>
      <c r="P37" s="8">
        <v>5.2810663966736033</v>
      </c>
      <c r="Q37" s="54">
        <v>4.962358768106493E-2</v>
      </c>
    </row>
    <row r="38" spans="1:17">
      <c r="A38" s="2" t="s">
        <v>291</v>
      </c>
      <c r="B38" s="16" t="s">
        <v>292</v>
      </c>
      <c r="D38" s="14">
        <v>1</v>
      </c>
      <c r="E38" s="14">
        <v>0.99817452526293138</v>
      </c>
      <c r="F38" s="14">
        <v>0.61566851328513317</v>
      </c>
      <c r="G38" s="14">
        <v>1.3424689144754043E-14</v>
      </c>
      <c r="H38" s="14">
        <v>109.30674034685299</v>
      </c>
      <c r="I38" s="14">
        <v>0.84552335163518466</v>
      </c>
      <c r="J38" s="14">
        <v>0</v>
      </c>
      <c r="K38" s="14">
        <v>1.6242506777943218</v>
      </c>
      <c r="L38" s="14">
        <v>0.61566851328513317</v>
      </c>
      <c r="M38" s="14">
        <v>0.50515601515045172</v>
      </c>
      <c r="N38" s="14">
        <v>1.5467043231133262</v>
      </c>
      <c r="O38" s="14">
        <v>476.89534394553181</v>
      </c>
      <c r="P38" s="8">
        <v>1.5467043231133262</v>
      </c>
      <c r="Q38" s="54">
        <v>1.2709416331519385E-3</v>
      </c>
    </row>
    <row r="39" spans="1:17">
      <c r="A39" s="2" t="s">
        <v>367</v>
      </c>
      <c r="B39" s="16" t="s">
        <v>368</v>
      </c>
      <c r="D39" s="14">
        <v>1</v>
      </c>
      <c r="E39" s="14">
        <v>0.93670820812316236</v>
      </c>
      <c r="F39" s="14">
        <v>1.0959617523993397E-2</v>
      </c>
      <c r="G39" s="14">
        <v>1.7028793765385068E-7</v>
      </c>
      <c r="H39" s="14">
        <v>224.00380636914403</v>
      </c>
      <c r="I39" s="14">
        <v>362.25348221823185</v>
      </c>
      <c r="J39" s="14">
        <v>0</v>
      </c>
      <c r="K39" s="14">
        <v>91.244060097055851</v>
      </c>
      <c r="L39" s="14">
        <v>1.0959617523993397E-2</v>
      </c>
      <c r="M39" s="14">
        <v>8.9923661784365831E-3</v>
      </c>
      <c r="N39" s="14">
        <v>21.200059020250183</v>
      </c>
      <c r="O39" s="14">
        <v>5900.824427696436</v>
      </c>
      <c r="P39" s="8">
        <v>21.200059020250187</v>
      </c>
      <c r="Q39" s="54">
        <v>7.8634398465655994E-2</v>
      </c>
    </row>
    <row r="40" spans="1:17">
      <c r="A40" s="2" t="s">
        <v>369</v>
      </c>
      <c r="B40" s="16" t="s">
        <v>370</v>
      </c>
      <c r="D40" s="14">
        <v>1</v>
      </c>
      <c r="E40" s="14">
        <v>0.91148934679304727</v>
      </c>
      <c r="F40" s="14">
        <v>9.3430225899987778E-4</v>
      </c>
      <c r="G40" s="14">
        <v>9.4846325528750714E-15</v>
      </c>
      <c r="H40" s="14">
        <v>241.33893888727516</v>
      </c>
      <c r="I40" s="14">
        <v>161.66253746574949</v>
      </c>
      <c r="J40" s="14">
        <v>0</v>
      </c>
      <c r="K40" s="14">
        <v>1070.3174378176591</v>
      </c>
      <c r="L40" s="14">
        <v>9.3430225899987778E-4</v>
      </c>
      <c r="M40" s="14">
        <v>7.6659500350939971E-4</v>
      </c>
      <c r="N40" s="14">
        <v>131.07561412512331</v>
      </c>
      <c r="O40" s="14">
        <v>53334.667387512673</v>
      </c>
      <c r="P40" s="8">
        <v>131.07561412512331</v>
      </c>
      <c r="Q40" s="54">
        <v>1.8030567299306909E-3</v>
      </c>
    </row>
    <row r="41" spans="1:17">
      <c r="A41" s="2" t="s">
        <v>371</v>
      </c>
      <c r="B41" s="16" t="s">
        <v>372</v>
      </c>
      <c r="D41" s="14">
        <v>1</v>
      </c>
      <c r="E41" s="14">
        <v>0.93254137318035746</v>
      </c>
      <c r="F41" s="14">
        <v>0.93614801390144098</v>
      </c>
      <c r="G41" s="14">
        <v>9.2779709406620725E-4</v>
      </c>
      <c r="H41" s="14">
        <v>8.1138041444945696E-3</v>
      </c>
      <c r="I41" s="14">
        <v>3.7608125810195459E-2</v>
      </c>
      <c r="J41" s="14">
        <v>0</v>
      </c>
      <c r="K41" s="14">
        <v>1.0682071479620545</v>
      </c>
      <c r="L41" s="14">
        <v>0.93614801390144098</v>
      </c>
      <c r="M41" s="14">
        <v>0.76810944540613235</v>
      </c>
      <c r="N41" s="14">
        <v>0.81087209883637756</v>
      </c>
      <c r="O41" s="14">
        <v>113.67615953587176</v>
      </c>
      <c r="P41" s="8">
        <v>0.81087209883637756</v>
      </c>
      <c r="Q41" s="54">
        <v>3.1555981372540171E-3</v>
      </c>
    </row>
    <row r="42" spans="1:17">
      <c r="A42" s="2" t="s">
        <v>293</v>
      </c>
      <c r="B42" s="16" t="s">
        <v>294</v>
      </c>
      <c r="D42" s="14">
        <v>1</v>
      </c>
      <c r="E42" s="14">
        <v>0.84395665505787587</v>
      </c>
      <c r="F42" s="14">
        <v>0.63383593566554497</v>
      </c>
      <c r="G42" s="14">
        <v>2.3435020933632903E-10</v>
      </c>
      <c r="H42" s="14">
        <v>48.088015850356371</v>
      </c>
      <c r="I42" s="14">
        <v>114.20734325272518</v>
      </c>
      <c r="J42" s="14">
        <v>0</v>
      </c>
      <c r="K42" s="14">
        <v>1.5776953368066338</v>
      </c>
      <c r="L42" s="14">
        <v>0.63383593566554508</v>
      </c>
      <c r="M42" s="14">
        <v>0.52006238521357973</v>
      </c>
      <c r="N42" s="14">
        <v>6.9398019395219865</v>
      </c>
      <c r="O42" s="14">
        <v>2292.6329687404836</v>
      </c>
      <c r="P42" s="8">
        <v>6.9398019395219865</v>
      </c>
      <c r="Q42" s="54">
        <v>0.24226687025801813</v>
      </c>
    </row>
    <row r="43" spans="1:17">
      <c r="A43" s="2" t="s">
        <v>373</v>
      </c>
      <c r="B43" s="16" t="s">
        <v>374</v>
      </c>
      <c r="D43" s="14">
        <v>1</v>
      </c>
      <c r="E43" s="14">
        <v>0.99706898877801875</v>
      </c>
      <c r="F43" s="14">
        <v>8.8296907538226391E-3</v>
      </c>
      <c r="G43" s="14">
        <v>4.7811053459227639E-10</v>
      </c>
      <c r="H43" s="14">
        <v>280.65028873139261</v>
      </c>
      <c r="I43" s="14">
        <v>2.194062679207843</v>
      </c>
      <c r="J43" s="14">
        <v>0</v>
      </c>
      <c r="K43" s="14">
        <v>113.25424954062744</v>
      </c>
      <c r="L43" s="14">
        <v>8.8296907538226391E-3</v>
      </c>
      <c r="M43" s="14">
        <v>7.2447612635114754E-3</v>
      </c>
      <c r="N43" s="14">
        <v>4.1301364979828428</v>
      </c>
      <c r="O43" s="14">
        <v>1100.0205548727504</v>
      </c>
      <c r="P43" s="8">
        <v>4.1301364979828437</v>
      </c>
      <c r="Q43" s="54">
        <v>2.840854756081741E-4</v>
      </c>
    </row>
    <row r="44" spans="1:17">
      <c r="A44" s="2" t="s">
        <v>375</v>
      </c>
      <c r="B44" s="16" t="s">
        <v>376</v>
      </c>
      <c r="D44" s="14">
        <v>1</v>
      </c>
      <c r="E44" s="14">
        <v>0.86688096384828239</v>
      </c>
      <c r="F44" s="14">
        <v>0.84220077462775311</v>
      </c>
      <c r="G44" s="14">
        <v>1.0415116309033193E-3</v>
      </c>
      <c r="H44" s="14">
        <v>6.0902572372446908</v>
      </c>
      <c r="I44" s="14">
        <v>17.198588570569889</v>
      </c>
      <c r="J44" s="14">
        <v>0</v>
      </c>
      <c r="K44" s="14">
        <v>1.1873653291781796</v>
      </c>
      <c r="L44" s="14">
        <v>0.84220077462775311</v>
      </c>
      <c r="M44" s="14">
        <v>0.69102573558207148</v>
      </c>
      <c r="N44" s="14">
        <v>1.6728246234661366</v>
      </c>
      <c r="O44" s="14">
        <v>249.91999874584081</v>
      </c>
      <c r="P44" s="8">
        <v>1.6728246234661366</v>
      </c>
      <c r="Q44" s="54">
        <v>9.4556808916545457E-2</v>
      </c>
    </row>
    <row r="45" spans="1:17">
      <c r="A45" s="2" t="s">
        <v>377</v>
      </c>
      <c r="B45" s="16" t="s">
        <v>378</v>
      </c>
      <c r="D45" s="14">
        <v>1</v>
      </c>
      <c r="E45" s="14">
        <v>0.83632791586187605</v>
      </c>
      <c r="F45" s="14">
        <v>0.5954365896699102</v>
      </c>
      <c r="G45" s="14">
        <v>8.9785045336268805E-6</v>
      </c>
      <c r="H45" s="14">
        <v>55.179215106825147</v>
      </c>
      <c r="I45" s="14">
        <v>129.13164674021411</v>
      </c>
      <c r="J45" s="14">
        <v>0</v>
      </c>
      <c r="K45" s="14">
        <v>1.6794399560738549</v>
      </c>
      <c r="L45" s="14">
        <v>0.5954365896699102</v>
      </c>
      <c r="M45" s="14">
        <v>0.48855572182416135</v>
      </c>
      <c r="N45" s="14">
        <v>7.7532414012879141</v>
      </c>
      <c r="O45" s="14">
        <v>1723.0803690222263</v>
      </c>
      <c r="P45" s="8">
        <v>7.7532414012879149</v>
      </c>
      <c r="Q45" s="54">
        <v>0.25259961795185842</v>
      </c>
    </row>
    <row r="46" spans="1:17">
      <c r="A46" s="2" t="s">
        <v>379</v>
      </c>
      <c r="B46" s="16" t="s">
        <v>380</v>
      </c>
      <c r="D46" s="14">
        <v>1</v>
      </c>
      <c r="E46" s="14">
        <v>0.83962367596420762</v>
      </c>
      <c r="F46" s="14">
        <v>0.61863078318014264</v>
      </c>
      <c r="G46" s="14">
        <v>2.6884379326000073E-5</v>
      </c>
      <c r="H46" s="14">
        <v>50.590797641053094</v>
      </c>
      <c r="I46" s="14">
        <v>119.48921212877134</v>
      </c>
      <c r="J46" s="14">
        <v>0</v>
      </c>
      <c r="K46" s="14">
        <v>1.6164730679249177</v>
      </c>
      <c r="L46" s="14">
        <v>0.61863078318014275</v>
      </c>
      <c r="M46" s="14">
        <v>0.50758655759930715</v>
      </c>
      <c r="N46" s="14">
        <v>7.2262106080792634</v>
      </c>
      <c r="O46" s="14">
        <v>929.00163577467015</v>
      </c>
      <c r="P46" s="8">
        <v>7.2262106080792643</v>
      </c>
      <c r="Q46" s="54">
        <v>0.24588310999080454</v>
      </c>
    </row>
    <row r="47" spans="1:17">
      <c r="A47" s="2" t="s">
        <v>381</v>
      </c>
      <c r="B47" s="16" t="s">
        <v>382</v>
      </c>
      <c r="D47" s="14">
        <v>1</v>
      </c>
      <c r="E47" s="14">
        <v>0.89592935936149309</v>
      </c>
      <c r="F47" s="14">
        <v>6.5342069632690037E-4</v>
      </c>
      <c r="G47" s="14">
        <v>4.65501809817148E-10</v>
      </c>
      <c r="H47" s="14">
        <v>68.595067235108743</v>
      </c>
      <c r="I47" s="14">
        <v>1720.8778984221103</v>
      </c>
      <c r="J47" s="14">
        <v>0</v>
      </c>
      <c r="K47" s="14">
        <v>1530.4076005264901</v>
      </c>
      <c r="L47" s="14">
        <v>6.5342069632690037E-4</v>
      </c>
      <c r="M47" s="14">
        <v>5.3613168133622184E-4</v>
      </c>
      <c r="N47" s="14">
        <v>104.49740057720936</v>
      </c>
      <c r="O47" s="14">
        <v>40888.78787185625</v>
      </c>
      <c r="P47" s="8">
        <v>104.49740057720936</v>
      </c>
      <c r="Q47" s="54">
        <v>5.5049078936385089E-2</v>
      </c>
    </row>
    <row r="48" spans="1:17">
      <c r="A48" s="2" t="s">
        <v>383</v>
      </c>
      <c r="B48" s="16" t="s">
        <v>384</v>
      </c>
      <c r="D48" s="14">
        <v>1</v>
      </c>
      <c r="E48" s="14">
        <v>0.95576747280385643</v>
      </c>
      <c r="F48" s="14">
        <v>0.95067178735023072</v>
      </c>
      <c r="G48" s="14">
        <v>1.3713840480122696E-4</v>
      </c>
      <c r="H48" s="14">
        <v>1.8729690708585467</v>
      </c>
      <c r="I48" s="14">
        <v>5.8208683434820374</v>
      </c>
      <c r="J48" s="14">
        <v>0</v>
      </c>
      <c r="K48" s="14">
        <v>1.0518877422325319</v>
      </c>
      <c r="L48" s="14">
        <v>0.95067178735023083</v>
      </c>
      <c r="M48" s="14">
        <v>0.78002620152086433</v>
      </c>
      <c r="N48" s="14">
        <v>1.1381049462345376</v>
      </c>
      <c r="O48" s="14">
        <v>105.99171364282248</v>
      </c>
      <c r="P48" s="8">
        <v>1.1381049462345376</v>
      </c>
      <c r="Q48" s="54">
        <v>5.4198563566775118E-2</v>
      </c>
    </row>
    <row r="49" spans="1:17">
      <c r="A49" s="2" t="s">
        <v>385</v>
      </c>
      <c r="B49" s="16" t="s">
        <v>386</v>
      </c>
      <c r="D49" s="14">
        <v>1</v>
      </c>
      <c r="E49" s="14">
        <v>0.93530174395995913</v>
      </c>
      <c r="F49" s="14">
        <v>0.9231114194948874</v>
      </c>
      <c r="G49" s="14">
        <v>2.6054492078514597E-4</v>
      </c>
      <c r="H49" s="14">
        <v>3.3982405941635321</v>
      </c>
      <c r="I49" s="14">
        <v>10.085821885067377</v>
      </c>
      <c r="J49" s="14">
        <v>0</v>
      </c>
      <c r="K49" s="14">
        <v>1.0832928494668443</v>
      </c>
      <c r="L49" s="14">
        <v>0.9231114194948874</v>
      </c>
      <c r="M49" s="14">
        <v>0.75741291969555513</v>
      </c>
      <c r="N49" s="14">
        <v>1.3489720366525808</v>
      </c>
      <c r="O49" s="14">
        <v>149.89777271283478</v>
      </c>
      <c r="P49" s="8">
        <v>1.3489720366525808</v>
      </c>
      <c r="Q49" s="54">
        <v>7.2897275030366179E-2</v>
      </c>
    </row>
    <row r="50" spans="1:17">
      <c r="A50" s="2" t="s">
        <v>387</v>
      </c>
      <c r="B50" s="16" t="s">
        <v>388</v>
      </c>
      <c r="D50" s="14">
        <v>1</v>
      </c>
      <c r="E50" s="14">
        <v>0.8632379512065036</v>
      </c>
      <c r="F50" s="14">
        <v>8.7075870454077026E-2</v>
      </c>
      <c r="G50" s="14">
        <v>8.4288109329054236E-5</v>
      </c>
      <c r="H50" s="14">
        <v>183.79674869002179</v>
      </c>
      <c r="I50" s="14">
        <v>341.66067561797917</v>
      </c>
      <c r="J50" s="14">
        <v>0</v>
      </c>
      <c r="K50" s="14">
        <v>11.48423776627522</v>
      </c>
      <c r="L50" s="14">
        <v>8.7075870454077026E-2</v>
      </c>
      <c r="M50" s="14">
        <v>7.1445751707570199E-2</v>
      </c>
      <c r="N50" s="14">
        <v>19.702754542351599</v>
      </c>
      <c r="O50" s="14">
        <v>3890.3088843873229</v>
      </c>
      <c r="P50" s="8">
        <v>19.702754542351599</v>
      </c>
      <c r="Q50" s="54">
        <v>0.18836273831289818</v>
      </c>
    </row>
    <row r="51" spans="1:17">
      <c r="A51" s="2" t="s">
        <v>295</v>
      </c>
      <c r="B51" s="16" t="s">
        <v>296</v>
      </c>
      <c r="D51" s="14">
        <v>1</v>
      </c>
      <c r="E51" s="14">
        <v>0.93391752687542928</v>
      </c>
      <c r="F51" s="14">
        <v>0.93611971515431958</v>
      </c>
      <c r="G51" s="14">
        <v>7.5176115221738181E-4</v>
      </c>
      <c r="H51" s="14">
        <v>0.29720177016538424</v>
      </c>
      <c r="I51" s="14">
        <v>1.0565950276775913</v>
      </c>
      <c r="J51" s="14">
        <v>0</v>
      </c>
      <c r="K51" s="14">
        <v>1.068239439690841</v>
      </c>
      <c r="L51" s="14">
        <v>0.93611971515431958</v>
      </c>
      <c r="M51" s="14">
        <v>0.76808622628411916</v>
      </c>
      <c r="N51" s="14">
        <v>0.86555355361849451</v>
      </c>
      <c r="O51" s="14">
        <v>50.271350394162162</v>
      </c>
      <c r="P51" s="8">
        <v>0.86555355361849462</v>
      </c>
      <c r="Q51" s="54">
        <v>2.0611450827106654E-2</v>
      </c>
    </row>
    <row r="52" spans="1:17">
      <c r="A52" s="2" t="s">
        <v>389</v>
      </c>
      <c r="B52" s="16" t="s">
        <v>390</v>
      </c>
      <c r="D52" s="14">
        <v>1</v>
      </c>
      <c r="E52" s="14">
        <v>0.86010963082411929</v>
      </c>
      <c r="F52" s="14">
        <v>0.81449907662356813</v>
      </c>
      <c r="G52" s="14">
        <v>8.6015968564310283E-4</v>
      </c>
      <c r="H52" s="14">
        <v>10.733728260124696</v>
      </c>
      <c r="I52" s="14">
        <v>29.000652343257361</v>
      </c>
      <c r="J52" s="14">
        <v>0</v>
      </c>
      <c r="K52" s="14">
        <v>1.2277484759656316</v>
      </c>
      <c r="L52" s="14">
        <v>0.81449907662356813</v>
      </c>
      <c r="M52" s="14">
        <v>0.66829649236963762</v>
      </c>
      <c r="N52" s="14">
        <v>2.3049064149356182</v>
      </c>
      <c r="O52" s="14">
        <v>246.97072236035149</v>
      </c>
      <c r="P52" s="8">
        <v>2.3049064149356182</v>
      </c>
      <c r="Q52" s="54">
        <v>0.12502813904678331</v>
      </c>
    </row>
    <row r="53" spans="1:17">
      <c r="A53" s="2" t="s">
        <v>391</v>
      </c>
      <c r="B53" s="16" t="s">
        <v>392</v>
      </c>
      <c r="D53" s="14">
        <v>1</v>
      </c>
      <c r="E53" s="14">
        <v>0.81933765601118547</v>
      </c>
      <c r="F53" s="14">
        <v>0.46755374857719162</v>
      </c>
      <c r="G53" s="14">
        <v>2.6896763912852044E-5</v>
      </c>
      <c r="H53" s="14">
        <v>80.960194577802795</v>
      </c>
      <c r="I53" s="14">
        <v>180.9375535918573</v>
      </c>
      <c r="J53" s="14">
        <v>0</v>
      </c>
      <c r="K53" s="14">
        <v>2.1387915358246845</v>
      </c>
      <c r="L53" s="14">
        <v>0.46755374857719162</v>
      </c>
      <c r="M53" s="14">
        <v>0.38362785070758576</v>
      </c>
      <c r="N53" s="14">
        <v>10.596560899193426</v>
      </c>
      <c r="O53" s="14">
        <v>1716.854796887319</v>
      </c>
      <c r="P53" s="8">
        <v>10.596560899193426</v>
      </c>
      <c r="Q53" s="54">
        <v>0.27474431453139064</v>
      </c>
    </row>
    <row r="54" spans="1:17">
      <c r="A54" s="2" t="s">
        <v>393</v>
      </c>
      <c r="B54" s="16" t="s">
        <v>394</v>
      </c>
      <c r="D54" s="14">
        <v>1</v>
      </c>
      <c r="E54" s="14">
        <v>0.89726234143356409</v>
      </c>
      <c r="F54" s="14">
        <v>9.1873994295244888E-4</v>
      </c>
      <c r="G54" s="14">
        <v>2.1619273005184548E-6</v>
      </c>
      <c r="H54" s="14">
        <v>82.530143089855628</v>
      </c>
      <c r="I54" s="14">
        <v>1594.6661254185715</v>
      </c>
      <c r="J54" s="14">
        <v>0</v>
      </c>
      <c r="K54" s="14">
        <v>1088.4472887794723</v>
      </c>
      <c r="L54" s="14">
        <v>9.1873994295244888E-4</v>
      </c>
      <c r="M54" s="14">
        <v>7.5382612319248429E-4</v>
      </c>
      <c r="N54" s="14">
        <v>96.488848471680072</v>
      </c>
      <c r="O54" s="14">
        <v>22519.532344805411</v>
      </c>
      <c r="P54" s="8">
        <v>96.488848471680072</v>
      </c>
      <c r="Q54" s="54">
        <v>6.1216679478847125E-2</v>
      </c>
    </row>
    <row r="55" spans="1:17">
      <c r="A55" s="2" t="s">
        <v>395</v>
      </c>
      <c r="B55" s="16" t="s">
        <v>396</v>
      </c>
      <c r="D55" s="14">
        <v>1</v>
      </c>
      <c r="E55" s="14">
        <v>0.72966581074829673</v>
      </c>
      <c r="F55" s="14">
        <v>0.16580268577803239</v>
      </c>
      <c r="G55" s="14">
        <v>1.7911008869045187E-3</v>
      </c>
      <c r="H55" s="14">
        <v>131.97496674851902</v>
      </c>
      <c r="I55" s="14">
        <v>263.60201882239988</v>
      </c>
      <c r="J55" s="14">
        <v>0</v>
      </c>
      <c r="K55" s="14">
        <v>6.031265388178003</v>
      </c>
      <c r="L55" s="14">
        <v>0.16580268577803239</v>
      </c>
      <c r="M55" s="14">
        <v>0.13604110368087557</v>
      </c>
      <c r="N55" s="14">
        <v>15.171030920662989</v>
      </c>
      <c r="O55" s="14">
        <v>1944.4710331013753</v>
      </c>
      <c r="P55" s="8">
        <v>15.171030920662991</v>
      </c>
      <c r="Q55" s="54">
        <v>0.21574897048737859</v>
      </c>
    </row>
    <row r="56" spans="1:17">
      <c r="A56" s="2" t="s">
        <v>397</v>
      </c>
      <c r="B56" s="16" t="s">
        <v>398</v>
      </c>
      <c r="D56" s="14">
        <v>1</v>
      </c>
      <c r="E56" s="14">
        <v>0.38616982752677087</v>
      </c>
      <c r="F56" s="14">
        <v>1.9594355567293172E-2</v>
      </c>
      <c r="G56" s="14">
        <v>8.1245529297121963E-3</v>
      </c>
      <c r="H56" s="14">
        <v>87.573152649928218</v>
      </c>
      <c r="I56" s="14">
        <v>154.03810082029938</v>
      </c>
      <c r="J56" s="14">
        <v>0</v>
      </c>
      <c r="K56" s="14">
        <v>51.035105317226986</v>
      </c>
      <c r="L56" s="14">
        <v>1.9594355567293172E-2</v>
      </c>
      <c r="M56" s="14">
        <v>1.6077168742964047E-2</v>
      </c>
      <c r="N56" s="14">
        <v>8.9183426941634512</v>
      </c>
      <c r="O56" s="14">
        <v>1618.2332818559582</v>
      </c>
      <c r="P56" s="8">
        <v>8.9183426941634529</v>
      </c>
      <c r="Q56" s="54">
        <v>6.266544895562598E-2</v>
      </c>
    </row>
    <row r="57" spans="1:17">
      <c r="A57" s="2" t="s">
        <v>399</v>
      </c>
      <c r="B57" s="16" t="s">
        <v>400</v>
      </c>
      <c r="D57" s="14">
        <v>1</v>
      </c>
      <c r="E57" s="14">
        <v>0.20973487853106543</v>
      </c>
      <c r="F57" s="14">
        <v>3.6867355339481815E-2</v>
      </c>
      <c r="G57" s="14">
        <v>1.073866940247804E-2</v>
      </c>
      <c r="H57" s="14">
        <v>40.618322627714477</v>
      </c>
      <c r="I57" s="14">
        <v>79.209843569179995</v>
      </c>
      <c r="J57" s="14">
        <v>0</v>
      </c>
      <c r="K57" s="14">
        <v>27.124267276342561</v>
      </c>
      <c r="L57" s="14">
        <v>3.6867355339481822E-2</v>
      </c>
      <c r="M57" s="14">
        <v>3.0249665056044834E-2</v>
      </c>
      <c r="N57" s="14">
        <v>4.559085980545893</v>
      </c>
      <c r="O57" s="14">
        <v>670.18563914024628</v>
      </c>
      <c r="P57" s="8">
        <v>4.559085980545893</v>
      </c>
      <c r="Q57" s="54">
        <v>5.6830196226838908E-2</v>
      </c>
    </row>
    <row r="58" spans="1:17">
      <c r="A58" s="2" t="s">
        <v>297</v>
      </c>
      <c r="B58" s="16" t="s">
        <v>298</v>
      </c>
      <c r="D58" s="14">
        <v>1</v>
      </c>
      <c r="E58" s="14">
        <v>7.6686895730991952E-2</v>
      </c>
      <c r="F58" s="14">
        <v>7.5333328102597449E-2</v>
      </c>
      <c r="G58" s="14">
        <v>1.312851612617941E-2</v>
      </c>
      <c r="H58" s="14">
        <v>0.35611244755761595</v>
      </c>
      <c r="I58" s="14">
        <v>1.0376343136393473</v>
      </c>
      <c r="J58" s="14">
        <v>0</v>
      </c>
      <c r="K58" s="14">
        <v>13.274337204883434</v>
      </c>
      <c r="L58" s="14">
        <v>7.5333328102597449E-2</v>
      </c>
      <c r="M58" s="14">
        <v>6.1810995708181209E-2</v>
      </c>
      <c r="N58" s="14">
        <v>0.12192559798712121</v>
      </c>
      <c r="O58" s="14">
        <v>10.355141037046206</v>
      </c>
      <c r="P58" s="8">
        <v>0.12192559798712121</v>
      </c>
      <c r="Q58" s="54">
        <v>6.7771067271324738E-3</v>
      </c>
    </row>
    <row r="59" spans="1:17">
      <c r="A59" s="2" t="s">
        <v>401</v>
      </c>
      <c r="B59" s="16" t="s">
        <v>402</v>
      </c>
      <c r="D59" s="14">
        <v>1</v>
      </c>
      <c r="E59" s="14">
        <v>8.2195141080473627E-2</v>
      </c>
      <c r="F59" s="14">
        <v>1.5352279512194563E-2</v>
      </c>
      <c r="G59" s="14">
        <v>1.2891437769473607E-2</v>
      </c>
      <c r="H59" s="14">
        <v>15.691803780095748</v>
      </c>
      <c r="I59" s="14">
        <v>30.770180196948719</v>
      </c>
      <c r="J59" s="14">
        <v>0</v>
      </c>
      <c r="K59" s="14">
        <v>65.136906816064922</v>
      </c>
      <c r="L59" s="14">
        <v>1.5352279512194564E-2</v>
      </c>
      <c r="M59" s="14">
        <v>1.2596545339755639E-2</v>
      </c>
      <c r="N59" s="14">
        <v>1.7708967206642745</v>
      </c>
      <c r="O59" s="14">
        <v>293.6678031877567</v>
      </c>
      <c r="P59" s="8">
        <v>1.7708967206642747</v>
      </c>
      <c r="Q59" s="54">
        <v>2.2757787588155814E-2</v>
      </c>
    </row>
    <row r="60" spans="1:17">
      <c r="A60" s="2" t="s">
        <v>299</v>
      </c>
      <c r="B60" s="16" t="s">
        <v>300</v>
      </c>
      <c r="D60" s="14">
        <v>1</v>
      </c>
      <c r="E60" s="14">
        <v>1.691180396652083E-3</v>
      </c>
      <c r="F60" s="14">
        <v>5.7790682233774824E-4</v>
      </c>
      <c r="G60" s="14">
        <v>1.4256283040288146E-2</v>
      </c>
      <c r="H60" s="14">
        <v>0.25880807436983105</v>
      </c>
      <c r="I60" s="14">
        <v>0.53930567738874324</v>
      </c>
      <c r="J60" s="14">
        <v>0</v>
      </c>
      <c r="K60" s="14">
        <v>1730.3827560899883</v>
      </c>
      <c r="L60" s="14">
        <v>5.7790682233774824E-4</v>
      </c>
      <c r="M60" s="14">
        <v>4.7417254772812243E-4</v>
      </c>
      <c r="N60" s="14">
        <v>3.1106445423965109E-2</v>
      </c>
      <c r="O60" s="14">
        <v>2.5550834271244942</v>
      </c>
      <c r="P60" s="8">
        <v>3.1106445423965113E-2</v>
      </c>
      <c r="Q60" s="54">
        <v>5.5723064463170688E-4</v>
      </c>
    </row>
    <row r="61" spans="1:17">
      <c r="A61" s="2" t="s">
        <v>403</v>
      </c>
      <c r="B61" s="16" t="s">
        <v>404</v>
      </c>
      <c r="D61" s="14">
        <v>1</v>
      </c>
      <c r="E61" s="14">
        <v>0.81720140064122027</v>
      </c>
      <c r="F61" s="14">
        <v>0.35080933637337552</v>
      </c>
      <c r="G61" s="14">
        <v>6.1139182970900998E-46</v>
      </c>
      <c r="H61" s="14">
        <v>107.96702708823663</v>
      </c>
      <c r="I61" s="14">
        <v>231.28545073029167</v>
      </c>
      <c r="J61" s="14">
        <v>0</v>
      </c>
      <c r="K61" s="14">
        <v>2.8505512719184698</v>
      </c>
      <c r="L61" s="14">
        <v>0.35080933637337558</v>
      </c>
      <c r="M61" s="14">
        <v>0.28783906049435465</v>
      </c>
      <c r="N61" s="14">
        <v>13.390690852551902</v>
      </c>
      <c r="O61" s="14">
        <v>16103.778726187442</v>
      </c>
      <c r="P61" s="8">
        <v>13.390690852551902</v>
      </c>
      <c r="Q61" s="54">
        <v>0.27819435539799209</v>
      </c>
    </row>
    <row r="62" spans="1:17">
      <c r="A62" s="2" t="s">
        <v>405</v>
      </c>
      <c r="B62" s="16" t="s">
        <v>406</v>
      </c>
      <c r="D62" s="14">
        <v>1</v>
      </c>
      <c r="E62" s="14">
        <v>0.91431151889334461</v>
      </c>
      <c r="F62" s="14">
        <v>4.0658426909814978E-3</v>
      </c>
      <c r="G62" s="14">
        <v>1.2454865997225667E-9</v>
      </c>
      <c r="H62" s="14">
        <v>166.11565830202096</v>
      </c>
      <c r="I62" s="14">
        <v>857.36893240441839</v>
      </c>
      <c r="J62" s="14">
        <v>0</v>
      </c>
      <c r="K62" s="14">
        <v>245.95147328698025</v>
      </c>
      <c r="L62" s="14">
        <v>4.0658426909814986E-3</v>
      </c>
      <c r="M62" s="14">
        <v>3.3360239279503195E-3</v>
      </c>
      <c r="N62" s="14">
        <v>50.954512340272963</v>
      </c>
      <c r="O62" s="14">
        <v>16247.355804819437</v>
      </c>
      <c r="P62" s="8">
        <v>50.954512340272963</v>
      </c>
      <c r="Q62" s="54">
        <v>8.2749950446524514E-2</v>
      </c>
    </row>
    <row r="63" spans="1:17">
      <c r="A63" s="2" t="s">
        <v>407</v>
      </c>
      <c r="B63" s="16" t="s">
        <v>408</v>
      </c>
      <c r="D63" s="14">
        <v>1</v>
      </c>
      <c r="E63" s="14">
        <v>0.89457466970945931</v>
      </c>
      <c r="F63" s="14">
        <v>3.5272643579744613E-4</v>
      </c>
      <c r="G63" s="14">
        <v>2.8315647530797088E-7</v>
      </c>
      <c r="H63" s="14">
        <v>48.428164613781085</v>
      </c>
      <c r="I63" s="14">
        <v>1904.8254314875571</v>
      </c>
      <c r="J63" s="14">
        <v>0</v>
      </c>
      <c r="K63" s="14">
        <v>2835.0582732456492</v>
      </c>
      <c r="L63" s="14">
        <v>3.5272643579744613E-4</v>
      </c>
      <c r="M63" s="14">
        <v>2.8941204057180456E-4</v>
      </c>
      <c r="N63" s="14">
        <v>116.38037090475633</v>
      </c>
      <c r="O63" s="14">
        <v>56536.420381821583</v>
      </c>
      <c r="P63" s="8">
        <v>116.38037090475635</v>
      </c>
      <c r="Q63" s="54">
        <v>4.4509752641223775E-2</v>
      </c>
    </row>
    <row r="64" spans="1:17">
      <c r="A64" s="2" t="s">
        <v>409</v>
      </c>
      <c r="B64" s="16" t="s">
        <v>410</v>
      </c>
      <c r="D64" s="14">
        <v>1</v>
      </c>
      <c r="E64" s="14">
        <v>0.89450154799629056</v>
      </c>
      <c r="F64" s="14">
        <v>1.2023409799082882E-4</v>
      </c>
      <c r="G64" s="14">
        <v>3.4488645419303896E-8</v>
      </c>
      <c r="H64" s="14">
        <v>25.671287445873723</v>
      </c>
      <c r="I64" s="14">
        <v>2115.9471707088028</v>
      </c>
      <c r="J64" s="14">
        <v>0</v>
      </c>
      <c r="K64" s="14">
        <v>8317.1081807115788</v>
      </c>
      <c r="L64" s="14">
        <v>1.2023409799082883E-4</v>
      </c>
      <c r="M64" s="14">
        <v>9.8652077401475058E-5</v>
      </c>
      <c r="N64" s="14">
        <v>130.59526880855751</v>
      </c>
      <c r="O64" s="14">
        <v>73745.842343504351</v>
      </c>
      <c r="P64" s="8">
        <v>130.59526880855751</v>
      </c>
      <c r="Q64" s="54">
        <v>2.9492040415186938E-2</v>
      </c>
    </row>
    <row r="65" spans="1:17">
      <c r="A65" s="2" t="s">
        <v>301</v>
      </c>
      <c r="B65" s="16" t="s">
        <v>302</v>
      </c>
      <c r="D65" s="14">
        <v>1</v>
      </c>
      <c r="E65" s="14">
        <v>0.8955580086214705</v>
      </c>
      <c r="F65" s="14">
        <v>3.3327127205037019E-5</v>
      </c>
      <c r="G65" s="14">
        <v>4.2065530163595206E-9</v>
      </c>
      <c r="H65" s="14">
        <v>11.757036842631427</v>
      </c>
      <c r="I65" s="14">
        <v>2247.7864552358515</v>
      </c>
      <c r="J65" s="14">
        <v>0</v>
      </c>
      <c r="K65" s="14">
        <v>30005.586555593105</v>
      </c>
      <c r="L65" s="14">
        <v>3.3327127205037019E-5</v>
      </c>
      <c r="M65" s="14">
        <v>2.7344907871732874E-5</v>
      </c>
      <c r="N65" s="14">
        <v>140.34231344974521</v>
      </c>
      <c r="O65" s="14">
        <v>90321.506089987015</v>
      </c>
      <c r="P65" s="8">
        <v>140.34231344974521</v>
      </c>
      <c r="Q65" s="54">
        <v>1.7408247391981116E-2</v>
      </c>
    </row>
    <row r="66" spans="1:17">
      <c r="A66" s="2" t="s">
        <v>303</v>
      </c>
      <c r="B66" s="16" t="s">
        <v>304</v>
      </c>
      <c r="D66" s="14">
        <v>1</v>
      </c>
      <c r="E66" s="14">
        <v>0.8949137413856918</v>
      </c>
      <c r="F66" s="14">
        <v>6.9550799968802501E-5</v>
      </c>
      <c r="G66" s="14">
        <v>4.0874327211432217E-15</v>
      </c>
      <c r="H66" s="14">
        <v>18.438353184674053</v>
      </c>
      <c r="I66" s="14">
        <v>2184.1341049410639</v>
      </c>
      <c r="J66" s="14">
        <v>0</v>
      </c>
      <c r="K66" s="14">
        <v>14377.979842770421</v>
      </c>
      <c r="L66" s="14">
        <v>6.9550799968802501E-5</v>
      </c>
      <c r="M66" s="14">
        <v>5.7066431374402452E-5</v>
      </c>
      <c r="N66" s="14">
        <v>135.47546824462373</v>
      </c>
      <c r="O66" s="14">
        <v>87423.67441293814</v>
      </c>
      <c r="P66" s="8">
        <v>135.47546824462376</v>
      </c>
      <c r="Q66" s="54">
        <v>2.3630847654836688E-2</v>
      </c>
    </row>
    <row r="67" spans="1:17">
      <c r="A67" s="2" t="s">
        <v>411</v>
      </c>
      <c r="B67" s="16" t="s">
        <v>412</v>
      </c>
      <c r="D67" s="14">
        <v>1</v>
      </c>
      <c r="E67" s="14">
        <v>0.92519620369897981</v>
      </c>
      <c r="F67" s="14">
        <v>0.89259944760811227</v>
      </c>
      <c r="G67" s="14">
        <v>5.6674161240283406E-5</v>
      </c>
      <c r="H67" s="14">
        <v>7.8841815039649168</v>
      </c>
      <c r="I67" s="14">
        <v>21.938846247033641</v>
      </c>
      <c r="J67" s="14">
        <v>0</v>
      </c>
      <c r="K67" s="14">
        <v>1.1203233462441498</v>
      </c>
      <c r="L67" s="14">
        <v>0.89259944760811238</v>
      </c>
      <c r="M67" s="14">
        <v>0.73237784676245621</v>
      </c>
      <c r="N67" s="14">
        <v>1.9787400446121433</v>
      </c>
      <c r="O67" s="14">
        <v>593.81988738810423</v>
      </c>
      <c r="P67" s="8">
        <v>1.9787400446121435</v>
      </c>
      <c r="Q67" s="54">
        <v>0.11122791197513429</v>
      </c>
    </row>
    <row r="68" spans="1:17">
      <c r="A68" s="2" t="s">
        <v>413</v>
      </c>
      <c r="B68" s="16" t="s">
        <v>414</v>
      </c>
      <c r="D68" s="14">
        <v>1</v>
      </c>
      <c r="E68" s="14">
        <v>0.89789558539473036</v>
      </c>
      <c r="F68" s="14">
        <v>0.83704412635994274</v>
      </c>
      <c r="G68" s="14">
        <v>1.2503650934273972E-4</v>
      </c>
      <c r="H68" s="14">
        <v>14.16473171517563</v>
      </c>
      <c r="I68" s="14">
        <v>37.572104711356118</v>
      </c>
      <c r="J68" s="14">
        <v>0</v>
      </c>
      <c r="K68" s="14">
        <v>1.1946801470893824</v>
      </c>
      <c r="L68" s="14">
        <v>0.83704412635994274</v>
      </c>
      <c r="M68" s="14">
        <v>0.68679470567833301</v>
      </c>
      <c r="N68" s="14">
        <v>2.8016632556554253</v>
      </c>
      <c r="O68" s="14">
        <v>919.3657973433277</v>
      </c>
      <c r="P68" s="8">
        <v>2.8016632556554253</v>
      </c>
      <c r="Q68" s="54">
        <v>0.14637453351601207</v>
      </c>
    </row>
    <row r="69" spans="1:17">
      <c r="A69" s="2" t="s">
        <v>415</v>
      </c>
      <c r="B69" s="16" t="s">
        <v>416</v>
      </c>
      <c r="D69" s="14">
        <v>1</v>
      </c>
      <c r="E69" s="14">
        <v>0.89957345573320113</v>
      </c>
      <c r="F69" s="14">
        <v>1.4389353657569882E-3</v>
      </c>
      <c r="G69" s="14">
        <v>1.4066620613003287E-5</v>
      </c>
      <c r="H69" s="14">
        <v>104.10253057765313</v>
      </c>
      <c r="I69" s="14">
        <v>1399.6468061280505</v>
      </c>
      <c r="J69" s="14">
        <v>0</v>
      </c>
      <c r="K69" s="14">
        <v>694.95824746368964</v>
      </c>
      <c r="L69" s="14">
        <v>1.4389353657569884E-3</v>
      </c>
      <c r="M69" s="14">
        <v>1.1806464676036089E-3</v>
      </c>
      <c r="N69" s="14">
        <v>84.271034255114458</v>
      </c>
      <c r="O69" s="14">
        <v>39108.501577113515</v>
      </c>
      <c r="P69" s="8">
        <v>84.271034255114458</v>
      </c>
      <c r="Q69" s="54">
        <v>6.9217906112766348E-2</v>
      </c>
    </row>
    <row r="70" spans="1:17">
      <c r="A70" s="2" t="s">
        <v>417</v>
      </c>
      <c r="B70" s="16" t="s">
        <v>418</v>
      </c>
      <c r="D70" s="14">
        <v>1</v>
      </c>
      <c r="E70" s="14">
        <v>0.90971237523860859</v>
      </c>
      <c r="F70" s="14">
        <v>2.804244073306424E-2</v>
      </c>
      <c r="G70" s="14">
        <v>3.8613956087885821E-5</v>
      </c>
      <c r="H70" s="14">
        <v>211.89261010981278</v>
      </c>
      <c r="I70" s="14">
        <v>358.56919933192813</v>
      </c>
      <c r="J70" s="14">
        <v>0</v>
      </c>
      <c r="K70" s="14">
        <v>35.66023405448162</v>
      </c>
      <c r="L70" s="14">
        <v>2.804244073306424E-2</v>
      </c>
      <c r="M70" s="14">
        <v>2.300882262147921E-2</v>
      </c>
      <c r="N70" s="14">
        <v>20.830659894546205</v>
      </c>
      <c r="O70" s="14">
        <v>6541.8687398822358</v>
      </c>
      <c r="P70" s="8">
        <v>20.830659894546205</v>
      </c>
      <c r="Q70" s="54">
        <v>0.11791606598220024</v>
      </c>
    </row>
    <row r="71" spans="1:17">
      <c r="A71" s="2" t="s">
        <v>419</v>
      </c>
      <c r="B71" s="16" t="s">
        <v>420</v>
      </c>
      <c r="D71" s="14">
        <v>1</v>
      </c>
      <c r="E71" s="14">
        <v>0.89015897487535933</v>
      </c>
      <c r="F71" s="14">
        <v>0.83542104409729823</v>
      </c>
      <c r="G71" s="14">
        <v>3.0616384158250429E-4</v>
      </c>
      <c r="H71" s="14">
        <v>12.791615920545761</v>
      </c>
      <c r="I71" s="14">
        <v>34.180828214531296</v>
      </c>
      <c r="J71" s="14">
        <v>0</v>
      </c>
      <c r="K71" s="14">
        <v>1.1970012092292157</v>
      </c>
      <c r="L71" s="14">
        <v>0.83542104409729823</v>
      </c>
      <c r="M71" s="14">
        <v>0.68546296668183326</v>
      </c>
      <c r="N71" s="14">
        <v>2.6111895399881253</v>
      </c>
      <c r="O71" s="14">
        <v>558.89900913905831</v>
      </c>
      <c r="P71" s="8">
        <v>2.6111895399881253</v>
      </c>
      <c r="Q71" s="54">
        <v>0.13867002109953025</v>
      </c>
    </row>
    <row r="72" spans="1:17">
      <c r="A72" s="2" t="s">
        <v>421</v>
      </c>
      <c r="B72" s="16" t="s">
        <v>422</v>
      </c>
      <c r="D72" s="14">
        <v>1</v>
      </c>
      <c r="E72" s="14">
        <v>0.8964779727030282</v>
      </c>
      <c r="F72" s="14">
        <v>3.2665503321747107E-2</v>
      </c>
      <c r="G72" s="14">
        <v>1.6315404369124945E-4</v>
      </c>
      <c r="H72" s="14">
        <v>207.19026903713811</v>
      </c>
      <c r="I72" s="14">
        <v>355.1620263135888</v>
      </c>
      <c r="J72" s="14">
        <v>0</v>
      </c>
      <c r="K72" s="14">
        <v>30.613335118404514</v>
      </c>
      <c r="L72" s="14">
        <v>3.2665503321747107E-2</v>
      </c>
      <c r="M72" s="14">
        <v>2.6802045475493502E-2</v>
      </c>
      <c r="N72" s="14">
        <v>20.608587401251445</v>
      </c>
      <c r="O72" s="14">
        <v>8533.3977852361859</v>
      </c>
      <c r="P72" s="8">
        <v>20.608587401251448</v>
      </c>
      <c r="Q72" s="54">
        <v>0.12537949755373348</v>
      </c>
    </row>
    <row r="73" spans="1:17">
      <c r="A73" s="2" t="s">
        <v>423</v>
      </c>
      <c r="B73" s="16" t="s">
        <v>424</v>
      </c>
      <c r="D73" s="14">
        <v>1</v>
      </c>
      <c r="E73" s="14">
        <v>0.80773473302381749</v>
      </c>
      <c r="F73" s="14">
        <v>0.32251927549551157</v>
      </c>
      <c r="G73" s="14">
        <v>1.7787059720413939E-4</v>
      </c>
      <c r="H73" s="14">
        <v>112.4800952731642</v>
      </c>
      <c r="I73" s="14">
        <v>238.74420911262283</v>
      </c>
      <c r="J73" s="14">
        <v>0</v>
      </c>
      <c r="K73" s="14">
        <v>3.1005898747094158</v>
      </c>
      <c r="L73" s="14">
        <v>0.32251927549551163</v>
      </c>
      <c r="M73" s="14">
        <v>0.26462706554406729</v>
      </c>
      <c r="N73" s="14">
        <v>13.801549261949333</v>
      </c>
      <c r="O73" s="14">
        <v>5909.4093474888459</v>
      </c>
      <c r="P73" s="8">
        <v>13.801549261949333</v>
      </c>
      <c r="Q73" s="54">
        <v>0.27298126772894898</v>
      </c>
    </row>
    <row r="74" spans="1:17">
      <c r="A74" s="2" t="s">
        <v>425</v>
      </c>
      <c r="B74" s="16" t="s">
        <v>426</v>
      </c>
      <c r="D74" s="14">
        <v>1</v>
      </c>
      <c r="E74" s="14">
        <v>0.90687131814437882</v>
      </c>
      <c r="F74" s="14">
        <v>2.9326105054731658E-2</v>
      </c>
      <c r="G74" s="14">
        <v>5.9712172685414776E-5</v>
      </c>
      <c r="H74" s="14">
        <v>210.78241983287387</v>
      </c>
      <c r="I74" s="14">
        <v>358.00703167791846</v>
      </c>
      <c r="J74" s="14">
        <v>0</v>
      </c>
      <c r="K74" s="14">
        <v>34.099311795197082</v>
      </c>
      <c r="L74" s="14">
        <v>2.9326105054731658E-2</v>
      </c>
      <c r="M74" s="14">
        <v>2.4062069197407325E-2</v>
      </c>
      <c r="N74" s="14">
        <v>20.790975644177113</v>
      </c>
      <c r="O74" s="14">
        <v>10981.377515741468</v>
      </c>
      <c r="P74" s="8">
        <v>20.790975644177117</v>
      </c>
      <c r="Q74" s="54">
        <v>0.12014108694110537</v>
      </c>
    </row>
    <row r="75" spans="1:17">
      <c r="A75" s="2" t="s">
        <v>427</v>
      </c>
      <c r="B75" s="16" t="s">
        <v>428</v>
      </c>
      <c r="D75" s="14">
        <v>1</v>
      </c>
      <c r="E75" s="14">
        <v>0.99087103842381552</v>
      </c>
      <c r="F75" s="14">
        <v>4.2985660639105845E-3</v>
      </c>
      <c r="G75" s="14">
        <v>6.0639006339305448E-12</v>
      </c>
      <c r="H75" s="14">
        <v>280.30032784581283</v>
      </c>
      <c r="I75" s="14">
        <v>1.0014642030011403</v>
      </c>
      <c r="J75" s="14">
        <v>0</v>
      </c>
      <c r="K75" s="14">
        <v>232.63571738391718</v>
      </c>
      <c r="L75" s="14">
        <v>4.2985660639105845E-3</v>
      </c>
      <c r="M75" s="14">
        <v>3.5269734554386348E-3</v>
      </c>
      <c r="N75" s="14">
        <v>13.641008486148138</v>
      </c>
      <c r="O75" s="14">
        <v>7694.7564769513037</v>
      </c>
      <c r="P75" s="8">
        <v>13.64100848614814</v>
      </c>
      <c r="Q75" s="54">
        <v>5.5928790847201234E-5</v>
      </c>
    </row>
    <row r="76" spans="1:17">
      <c r="A76" s="2" t="s">
        <v>429</v>
      </c>
      <c r="B76" s="16" t="s">
        <v>430</v>
      </c>
      <c r="D76" s="14">
        <v>1</v>
      </c>
      <c r="E76" s="14">
        <v>0.99087103883384831</v>
      </c>
      <c r="F76" s="14">
        <v>4.2985660656893769E-3</v>
      </c>
      <c r="G76" s="14">
        <v>1.523182973069557E-13</v>
      </c>
      <c r="H76" s="14">
        <v>280.3003279618041</v>
      </c>
      <c r="I76" s="14">
        <v>1.0014642034155568</v>
      </c>
      <c r="J76" s="14">
        <v>0</v>
      </c>
      <c r="K76" s="14">
        <v>232.63571728765004</v>
      </c>
      <c r="L76" s="14">
        <v>4.2985660656893769E-3</v>
      </c>
      <c r="M76" s="14">
        <v>3.526973456898134E-3</v>
      </c>
      <c r="N76" s="14">
        <v>13.641008491792933</v>
      </c>
      <c r="O76" s="14">
        <v>6822.2775770004</v>
      </c>
      <c r="P76" s="8">
        <v>13.641008491792935</v>
      </c>
      <c r="Q76" s="54">
        <v>5.5928790870345162E-5</v>
      </c>
    </row>
    <row r="77" spans="1:17">
      <c r="A77" s="2" t="s">
        <v>431</v>
      </c>
      <c r="B77" s="16" t="s">
        <v>432</v>
      </c>
      <c r="D77" s="14">
        <v>1</v>
      </c>
      <c r="E77" s="14">
        <v>0.83503387815803498</v>
      </c>
      <c r="F77" s="14">
        <v>0.11923926151777307</v>
      </c>
      <c r="G77" s="14">
        <v>3.0997578274554409E-4</v>
      </c>
      <c r="H77" s="14">
        <v>168.69386074903645</v>
      </c>
      <c r="I77" s="14">
        <v>322.96573504724415</v>
      </c>
      <c r="J77" s="14">
        <v>0</v>
      </c>
      <c r="K77" s="14">
        <v>8.3864994404627868</v>
      </c>
      <c r="L77" s="14">
        <v>0.11923926151777309</v>
      </c>
      <c r="M77" s="14">
        <v>9.7835814075332816E-2</v>
      </c>
      <c r="N77" s="14">
        <v>18.598369359945366</v>
      </c>
      <c r="O77" s="14">
        <v>6770.9223491817102</v>
      </c>
      <c r="P77" s="8">
        <v>18.598369359945366</v>
      </c>
      <c r="Q77" s="54">
        <v>0.20939024662903472</v>
      </c>
    </row>
    <row r="78" spans="1:17">
      <c r="A78" s="2" t="s">
        <v>433</v>
      </c>
      <c r="B78" s="16" t="s">
        <v>434</v>
      </c>
      <c r="D78" s="14">
        <v>1</v>
      </c>
      <c r="E78" s="14">
        <v>0.821363154610115</v>
      </c>
      <c r="F78" s="14">
        <v>0.63179872017805216</v>
      </c>
      <c r="G78" s="14">
        <v>4.4486396621883865E-4</v>
      </c>
      <c r="H78" s="14">
        <v>43.370930702233323</v>
      </c>
      <c r="I78" s="14">
        <v>103.76619994754527</v>
      </c>
      <c r="J78" s="14">
        <v>0</v>
      </c>
      <c r="K78" s="14">
        <v>1.5827825667614235</v>
      </c>
      <c r="L78" s="14">
        <v>0.63179872017805228</v>
      </c>
      <c r="M78" s="14">
        <v>0.51839084990609186</v>
      </c>
      <c r="N78" s="14">
        <v>6.3491170872559701</v>
      </c>
      <c r="O78" s="14">
        <v>1676.4843668899391</v>
      </c>
      <c r="P78" s="8">
        <v>6.349117087255971</v>
      </c>
      <c r="Q78" s="54">
        <v>0.22922179684756622</v>
      </c>
    </row>
    <row r="79" spans="1:17">
      <c r="A79" s="2" t="s">
        <v>435</v>
      </c>
      <c r="B79" s="16" t="s">
        <v>436</v>
      </c>
      <c r="D79" s="14">
        <v>1</v>
      </c>
      <c r="E79" s="14">
        <v>0.81399308434695783</v>
      </c>
      <c r="F79" s="14">
        <v>0.45458996214500647</v>
      </c>
      <c r="G79" s="14">
        <v>1.0656346401113648E-4</v>
      </c>
      <c r="H79" s="14">
        <v>82.752255885571088</v>
      </c>
      <c r="I79" s="14">
        <v>184.26252263837918</v>
      </c>
      <c r="J79" s="14">
        <v>0</v>
      </c>
      <c r="K79" s="14">
        <v>2.1997846043090079</v>
      </c>
      <c r="L79" s="14">
        <v>0.45458996214500647</v>
      </c>
      <c r="M79" s="14">
        <v>0.37299106393997783</v>
      </c>
      <c r="N79" s="14">
        <v>10.776725569501719</v>
      </c>
      <c r="O79" s="14">
        <v>4311.8756676133335</v>
      </c>
      <c r="P79" s="8">
        <v>10.776725569501719</v>
      </c>
      <c r="Q79" s="54">
        <v>0.27418078313481808</v>
      </c>
    </row>
    <row r="80" spans="1:17">
      <c r="A80" s="2" t="s">
        <v>437</v>
      </c>
      <c r="B80" s="16" t="s">
        <v>438</v>
      </c>
      <c r="D80" s="14">
        <v>1</v>
      </c>
      <c r="E80" s="14">
        <v>0.98244245456613044</v>
      </c>
      <c r="F80" s="14">
        <v>2.8897866714788899E-3</v>
      </c>
      <c r="G80" s="14">
        <v>2.1527532524333165E-12</v>
      </c>
      <c r="H80" s="14">
        <v>278.20554618562835</v>
      </c>
      <c r="I80" s="14">
        <v>1.9093151039384362</v>
      </c>
      <c r="J80" s="14">
        <v>0</v>
      </c>
      <c r="K80" s="14">
        <v>346.046305033387</v>
      </c>
      <c r="L80" s="14">
        <v>2.8897866714788899E-3</v>
      </c>
      <c r="M80" s="14">
        <v>2.3710699639484293E-3</v>
      </c>
      <c r="N80" s="14">
        <v>26.272953005694799</v>
      </c>
      <c r="O80" s="14">
        <v>13506.399681167582</v>
      </c>
      <c r="P80" s="8">
        <v>26.272953005694799</v>
      </c>
      <c r="Q80" s="54">
        <v>6.7589247008464809E-5</v>
      </c>
    </row>
    <row r="81" spans="1:17">
      <c r="A81" s="2" t="s">
        <v>440</v>
      </c>
      <c r="B81" s="16" t="s">
        <v>441</v>
      </c>
      <c r="D81" s="14">
        <v>1</v>
      </c>
      <c r="E81" s="14">
        <v>0.98696614149246509</v>
      </c>
      <c r="F81" s="14">
        <v>0.9895350101816045</v>
      </c>
      <c r="G81" s="14">
        <v>2.0881401890250125E-15</v>
      </c>
      <c r="H81" s="14">
        <v>0.26371277231299711</v>
      </c>
      <c r="I81" s="14">
        <v>0.94970414854364682</v>
      </c>
      <c r="J81" s="14">
        <v>0</v>
      </c>
      <c r="K81" s="14">
        <v>1.0105756640348429</v>
      </c>
      <c r="L81" s="14">
        <v>0.9895350101816045</v>
      </c>
      <c r="M81" s="14">
        <v>0.81191347585400653</v>
      </c>
      <c r="N81" s="14">
        <v>0.90590694697175111</v>
      </c>
      <c r="O81" s="14">
        <v>251.17176011738769</v>
      </c>
      <c r="P81" s="8">
        <v>0.90590694697175111</v>
      </c>
      <c r="Q81" s="54">
        <v>1.988787286838517E-2</v>
      </c>
    </row>
    <row r="82" spans="1:17">
      <c r="A82" s="2" t="s">
        <v>442</v>
      </c>
      <c r="B82" s="16" t="s">
        <v>443</v>
      </c>
      <c r="D82" s="14">
        <v>1</v>
      </c>
      <c r="E82" s="14">
        <v>0.89579824658563334</v>
      </c>
      <c r="F82" s="14">
        <v>0.8187837986787494</v>
      </c>
      <c r="G82" s="14">
        <v>1.0424559880669118E-6</v>
      </c>
      <c r="H82" s="14">
        <v>17.792183157390753</v>
      </c>
      <c r="I82" s="14">
        <v>46.33257222813031</v>
      </c>
      <c r="J82" s="14">
        <v>0</v>
      </c>
      <c r="K82" s="14">
        <v>1.2213236285496545</v>
      </c>
      <c r="L82" s="14">
        <v>0.8187837986787494</v>
      </c>
      <c r="M82" s="14">
        <v>0.67181210681591397</v>
      </c>
      <c r="N82" s="14">
        <v>3.2754966914952948</v>
      </c>
      <c r="O82" s="14">
        <v>541.07929846810771</v>
      </c>
      <c r="P82" s="8">
        <v>3.2754966914952948</v>
      </c>
      <c r="Q82" s="54">
        <v>0.16311218725472812</v>
      </c>
    </row>
    <row r="83" spans="1:17">
      <c r="A83" s="2" t="s">
        <v>444</v>
      </c>
      <c r="B83" s="16" t="s">
        <v>445</v>
      </c>
      <c r="D83" s="14">
        <v>1</v>
      </c>
      <c r="E83" s="14">
        <v>0.84345961671978853</v>
      </c>
      <c r="F83" s="14">
        <v>0.1513073310061317</v>
      </c>
      <c r="G83" s="14">
        <v>6.669733145843196E-6</v>
      </c>
      <c r="H83" s="14">
        <v>162.58481103281454</v>
      </c>
      <c r="I83" s="14">
        <v>317.64142914472734</v>
      </c>
      <c r="J83" s="14">
        <v>0</v>
      </c>
      <c r="K83" s="14">
        <v>6.6090650951967111</v>
      </c>
      <c r="L83" s="14">
        <v>0.1513073310061317</v>
      </c>
      <c r="M83" s="14">
        <v>0.12414766509053107</v>
      </c>
      <c r="N83" s="14">
        <v>18.281939133958012</v>
      </c>
      <c r="O83" s="14">
        <v>3295.1367095045921</v>
      </c>
      <c r="P83" s="8">
        <v>18.281939133958012</v>
      </c>
      <c r="Q83" s="54">
        <v>0.23021686805978198</v>
      </c>
    </row>
    <row r="84" spans="1:17">
      <c r="A84" s="2" t="s">
        <v>446</v>
      </c>
      <c r="B84" s="16" t="s">
        <v>447</v>
      </c>
      <c r="D84" s="14">
        <v>1</v>
      </c>
      <c r="E84" s="14">
        <v>0.97213718511982217</v>
      </c>
      <c r="F84" s="14">
        <v>0.97021434804698958</v>
      </c>
      <c r="G84" s="14">
        <v>6.5295940337276666E-17</v>
      </c>
      <c r="H84" s="14">
        <v>1.2035321412009656</v>
      </c>
      <c r="I84" s="14">
        <v>3.8700347412041314</v>
      </c>
      <c r="J84" s="14">
        <v>0</v>
      </c>
      <c r="K84" s="14">
        <v>1.0307000736620398</v>
      </c>
      <c r="L84" s="14">
        <v>0.97021434804698958</v>
      </c>
      <c r="M84" s="14">
        <v>0.79606087257255498</v>
      </c>
      <c r="N84" s="14">
        <v>1.0481135592455872</v>
      </c>
      <c r="O84" s="14">
        <v>407.60088205501637</v>
      </c>
      <c r="P84" s="8">
        <v>1.0481135592455872</v>
      </c>
      <c r="Q84" s="54">
        <v>4.3462516011748512E-2</v>
      </c>
    </row>
    <row r="85" spans="1:17">
      <c r="A85" s="2" t="s">
        <v>448</v>
      </c>
      <c r="B85" s="16" t="s">
        <v>449</v>
      </c>
      <c r="D85" s="14">
        <v>1</v>
      </c>
      <c r="E85" s="14">
        <v>0.99428452933554723</v>
      </c>
      <c r="F85" s="14">
        <v>0.99793165766520231</v>
      </c>
      <c r="G85" s="14">
        <v>4.4598400966816256E-10</v>
      </c>
      <c r="H85" s="14">
        <v>4.7961283862177718E-2</v>
      </c>
      <c r="I85" s="14">
        <v>0.19595121959567849</v>
      </c>
      <c r="J85" s="14">
        <v>0</v>
      </c>
      <c r="K85" s="14">
        <v>1.0020726292416025</v>
      </c>
      <c r="L85" s="14">
        <v>0.99793165766520231</v>
      </c>
      <c r="M85" s="14">
        <v>0.81880292511429853</v>
      </c>
      <c r="N85" s="14">
        <v>0.87265345783126913</v>
      </c>
      <c r="O85" s="14">
        <v>156.41440578167669</v>
      </c>
      <c r="P85" s="8">
        <v>0.87265345783126913</v>
      </c>
      <c r="Q85" s="54">
        <v>8.2138727578950944E-3</v>
      </c>
    </row>
    <row r="86" spans="1:17">
      <c r="A86" s="2" t="s">
        <v>450</v>
      </c>
      <c r="B86" s="16" t="s">
        <v>451</v>
      </c>
      <c r="D86" s="14">
        <v>1</v>
      </c>
      <c r="E86" s="14">
        <v>0.97281585006475857</v>
      </c>
      <c r="F86" s="14">
        <v>0.97116454214091641</v>
      </c>
      <c r="G86" s="14">
        <v>1.6413126069328808E-10</v>
      </c>
      <c r="H86" s="14">
        <v>1.14594247644937</v>
      </c>
      <c r="I86" s="14">
        <v>3.6984520152228781</v>
      </c>
      <c r="J86" s="14">
        <v>0</v>
      </c>
      <c r="K86" s="14">
        <v>1.0296916295929794</v>
      </c>
      <c r="L86" s="14">
        <v>0.97116454214091652</v>
      </c>
      <c r="M86" s="14">
        <v>0.796840506826622</v>
      </c>
      <c r="N86" s="14">
        <v>1.0395564145513825</v>
      </c>
      <c r="O86" s="14">
        <v>271.41778427522041</v>
      </c>
      <c r="P86" s="8">
        <v>1.0395564145513825</v>
      </c>
      <c r="Q86" s="54">
        <v>4.2385761338163831E-2</v>
      </c>
    </row>
    <row r="87" spans="1:17">
      <c r="A87" s="2" t="s">
        <v>452</v>
      </c>
      <c r="B87" s="16" t="s">
        <v>453</v>
      </c>
      <c r="D87" s="14">
        <v>1</v>
      </c>
      <c r="E87" s="14">
        <v>0.89525141648880158</v>
      </c>
      <c r="F87" s="14">
        <v>5.1680816461682451E-4</v>
      </c>
      <c r="G87" s="14">
        <v>5.3306215880906881E-10</v>
      </c>
      <c r="H87" s="14">
        <v>60.193468070455992</v>
      </c>
      <c r="I87" s="14">
        <v>1797.2419078685298</v>
      </c>
      <c r="J87" s="14">
        <v>0</v>
      </c>
      <c r="K87" s="14">
        <v>1934.9539509334704</v>
      </c>
      <c r="L87" s="14">
        <v>5.1680816461682451E-4</v>
      </c>
      <c r="M87" s="14">
        <v>4.2404109906810452E-4</v>
      </c>
      <c r="N87" s="14">
        <v>109.3943162633507</v>
      </c>
      <c r="O87" s="14">
        <v>45540.853860432901</v>
      </c>
      <c r="P87" s="8">
        <v>109.3943162633507</v>
      </c>
      <c r="Q87" s="54">
        <v>5.0910403234047892E-2</v>
      </c>
    </row>
    <row r="88" spans="1:17">
      <c r="A88" s="2" t="s">
        <v>454</v>
      </c>
      <c r="B88" s="16" t="s">
        <v>455</v>
      </c>
      <c r="D88" s="14">
        <v>1</v>
      </c>
      <c r="E88" s="14">
        <v>0.86197458489906731</v>
      </c>
      <c r="F88" s="14">
        <v>0.71154447060385706</v>
      </c>
      <c r="G88" s="14">
        <v>5.2361313905872455E-7</v>
      </c>
      <c r="H88" s="14">
        <v>34.417716115081483</v>
      </c>
      <c r="I88" s="14">
        <v>84.496597052919896</v>
      </c>
      <c r="J88" s="14">
        <v>0</v>
      </c>
      <c r="K88" s="14">
        <v>1.4053935366138721</v>
      </c>
      <c r="L88" s="14">
        <v>0.71154447060385706</v>
      </c>
      <c r="M88" s="14">
        <v>0.58382223813046474</v>
      </c>
      <c r="N88" s="14">
        <v>5.3274465245538893</v>
      </c>
      <c r="O88" s="14">
        <v>1018.9806967514224</v>
      </c>
      <c r="P88" s="8">
        <v>5.3274465245538893</v>
      </c>
      <c r="Q88" s="54">
        <v>0.21509940986372691</v>
      </c>
    </row>
    <row r="89" spans="1:17">
      <c r="A89" s="2" t="s">
        <v>456</v>
      </c>
      <c r="B89" s="16" t="s">
        <v>457</v>
      </c>
      <c r="D89" s="14">
        <v>1</v>
      </c>
      <c r="E89" s="14">
        <v>0.88966496106834947</v>
      </c>
      <c r="F89" s="14">
        <v>0.8017585113338197</v>
      </c>
      <c r="G89" s="14">
        <v>3.4617210322699501E-19</v>
      </c>
      <c r="H89" s="14">
        <v>20.242473482335335</v>
      </c>
      <c r="I89" s="14">
        <v>52.13396424964467</v>
      </c>
      <c r="J89" s="14">
        <v>0</v>
      </c>
      <c r="K89" s="14">
        <v>1.2472583525635197</v>
      </c>
      <c r="L89" s="14">
        <v>0.8017585113338197</v>
      </c>
      <c r="M89" s="14">
        <v>0.65784285854939906</v>
      </c>
      <c r="N89" s="14">
        <v>3.5857158902421729</v>
      </c>
      <c r="O89" s="14">
        <v>1407.250058284443</v>
      </c>
      <c r="P89" s="8">
        <v>3.5857158902421729</v>
      </c>
      <c r="Q89" s="54">
        <v>0.17271129867438237</v>
      </c>
    </row>
    <row r="90" spans="1:17">
      <c r="A90" s="2" t="s">
        <v>458</v>
      </c>
      <c r="B90" s="16" t="s">
        <v>459</v>
      </c>
      <c r="D90" s="14">
        <v>1</v>
      </c>
      <c r="E90" s="14">
        <v>0.94607442127967567</v>
      </c>
      <c r="F90" s="14">
        <v>0.92887945437937225</v>
      </c>
      <c r="G90" s="14">
        <v>5.0031997780777234E-31</v>
      </c>
      <c r="H90" s="14">
        <v>4.5021437434984062</v>
      </c>
      <c r="I90" s="14">
        <v>13.09412636350312</v>
      </c>
      <c r="J90" s="14">
        <v>0</v>
      </c>
      <c r="K90" s="14">
        <v>1.0765659583547864</v>
      </c>
      <c r="L90" s="14">
        <v>0.92887945437937225</v>
      </c>
      <c r="M90" s="14">
        <v>0.76214559231827494</v>
      </c>
      <c r="N90" s="14">
        <v>1.5199354159927534</v>
      </c>
      <c r="O90" s="14">
        <v>1186.9783637653809</v>
      </c>
      <c r="P90" s="8">
        <v>1.5199354159927534</v>
      </c>
      <c r="Q90" s="54">
        <v>8.4659661508792963E-2</v>
      </c>
    </row>
    <row r="91" spans="1:17">
      <c r="A91" s="2" t="s">
        <v>460</v>
      </c>
      <c r="B91" s="16" t="s">
        <v>461</v>
      </c>
      <c r="D91" s="14">
        <v>1</v>
      </c>
      <c r="E91" s="14">
        <v>0.91175594107824909</v>
      </c>
      <c r="F91" s="14">
        <v>3.5235075798132637E-3</v>
      </c>
      <c r="G91" s="14">
        <v>5.8044850608815698E-10</v>
      </c>
      <c r="H91" s="14">
        <v>156.97670545373848</v>
      </c>
      <c r="I91" s="14">
        <v>936.68244492618794</v>
      </c>
      <c r="J91" s="14">
        <v>0</v>
      </c>
      <c r="K91" s="14">
        <v>283.80810239465899</v>
      </c>
      <c r="L91" s="14">
        <v>3.5235075798132642E-3</v>
      </c>
      <c r="M91" s="14">
        <v>2.8910379692367832E-3</v>
      </c>
      <c r="N91" s="14">
        <v>55.777510965040598</v>
      </c>
      <c r="O91" s="14">
        <v>17090.229359688437</v>
      </c>
      <c r="P91" s="8">
        <v>55.777510965040605</v>
      </c>
      <c r="Q91" s="54">
        <v>8.1694417568525204E-2</v>
      </c>
    </row>
    <row r="92" spans="1:17">
      <c r="A92" s="2" t="s">
        <v>462</v>
      </c>
      <c r="B92" s="16" t="s">
        <v>463</v>
      </c>
      <c r="D92" s="14">
        <v>1</v>
      </c>
      <c r="E92" s="14">
        <v>0.82937399289910774</v>
      </c>
      <c r="F92" s="14">
        <v>0.21482663855219969</v>
      </c>
      <c r="G92" s="14">
        <v>5.9593188217311142E-11</v>
      </c>
      <c r="H92" s="14">
        <v>143.53841059963963</v>
      </c>
      <c r="I92" s="14">
        <v>290.41918594965216</v>
      </c>
      <c r="J92" s="14">
        <v>0</v>
      </c>
      <c r="K92" s="14">
        <v>4.6549162000550259</v>
      </c>
      <c r="L92" s="14">
        <v>0.21482663855219969</v>
      </c>
      <c r="M92" s="14">
        <v>0.17626525693207984</v>
      </c>
      <c r="N92" s="14">
        <v>16.719503381842973</v>
      </c>
      <c r="O92" s="14">
        <v>5631.4631290723501</v>
      </c>
      <c r="P92" s="8">
        <v>16.719503381842976</v>
      </c>
      <c r="Q92" s="54">
        <v>0.2551674677463579</v>
      </c>
    </row>
    <row r="93" spans="1:17">
      <c r="A93" s="2" t="s">
        <v>464</v>
      </c>
      <c r="B93" s="16" t="s">
        <v>465</v>
      </c>
      <c r="D93" s="14">
        <v>1</v>
      </c>
      <c r="E93" s="14">
        <v>0.89693960385728266</v>
      </c>
      <c r="F93" s="14">
        <v>4.3422087197621931E-2</v>
      </c>
      <c r="G93" s="14">
        <v>2.4294008707975141E-6</v>
      </c>
      <c r="H93" s="14">
        <v>204.01903786185727</v>
      </c>
      <c r="I93" s="14">
        <v>357.54265924008757</v>
      </c>
      <c r="J93" s="14">
        <v>0</v>
      </c>
      <c r="K93" s="14">
        <v>23.029754314867809</v>
      </c>
      <c r="L93" s="14">
        <v>4.3422087197621938E-2</v>
      </c>
      <c r="M93" s="14">
        <v>3.56278225456488E-2</v>
      </c>
      <c r="N93" s="14">
        <v>20.706992079295748</v>
      </c>
      <c r="O93" s="14">
        <v>9630.6149461596597</v>
      </c>
      <c r="P93" s="8">
        <v>20.706992079295752</v>
      </c>
      <c r="Q93" s="54">
        <v>0.14253708271290277</v>
      </c>
    </row>
    <row r="94" spans="1:17">
      <c r="A94" s="2" t="s">
        <v>466</v>
      </c>
      <c r="B94" s="16" t="s">
        <v>467</v>
      </c>
      <c r="D94" s="14">
        <v>1</v>
      </c>
      <c r="E94" s="14">
        <v>0.99921760219439471</v>
      </c>
      <c r="F94" s="14">
        <v>0.89771019097751359</v>
      </c>
      <c r="G94" s="14">
        <v>2.0369134417386967E-20</v>
      </c>
      <c r="H94" s="14">
        <v>29.841191206960147</v>
      </c>
      <c r="I94" s="14">
        <v>3.6309165313943632E-2</v>
      </c>
      <c r="J94" s="14">
        <v>0</v>
      </c>
      <c r="K94" s="14">
        <v>1.113945246528953</v>
      </c>
      <c r="L94" s="14">
        <v>0.8977101909775137</v>
      </c>
      <c r="M94" s="14">
        <v>0.73657121169704998</v>
      </c>
      <c r="N94" s="14">
        <v>1.0727207807027566</v>
      </c>
      <c r="O94" s="14">
        <v>354.79167100962974</v>
      </c>
      <c r="P94" s="8">
        <v>1.0727207807027568</v>
      </c>
      <c r="Q94" s="54">
        <v>1.0760098955176057E-4</v>
      </c>
    </row>
    <row r="95" spans="1:17">
      <c r="A95" s="2" t="s">
        <v>468</v>
      </c>
      <c r="B95" s="16" t="s">
        <v>469</v>
      </c>
      <c r="D95" s="14">
        <v>1</v>
      </c>
      <c r="E95" s="14">
        <v>0.9299720949005007</v>
      </c>
      <c r="F95" s="14">
        <v>8.3467920172712543E-3</v>
      </c>
      <c r="G95" s="14">
        <v>2.3678167023669358E-20</v>
      </c>
      <c r="H95" s="14">
        <v>210.00014375218706</v>
      </c>
      <c r="I95" s="14">
        <v>481.03509536719611</v>
      </c>
      <c r="J95" s="14">
        <v>0</v>
      </c>
      <c r="K95" s="14">
        <v>119.80650744990305</v>
      </c>
      <c r="L95" s="14">
        <v>8.3467920172712561E-3</v>
      </c>
      <c r="M95" s="14">
        <v>6.8485428501710655E-3</v>
      </c>
      <c r="N95" s="14">
        <v>28.279546985262822</v>
      </c>
      <c r="O95" s="14">
        <v>13970.096210719836</v>
      </c>
      <c r="P95" s="8">
        <v>28.279546985262826</v>
      </c>
      <c r="Q95" s="54">
        <v>8.1879798041585072E-2</v>
      </c>
    </row>
    <row r="96" spans="1:17">
      <c r="A96" s="2" t="s">
        <v>470</v>
      </c>
      <c r="B96" s="164">
        <v>354656</v>
      </c>
      <c r="D96" s="14">
        <v>1</v>
      </c>
      <c r="E96" s="14">
        <v>0.98647613511059251</v>
      </c>
      <c r="F96" s="14">
        <v>0.9889452778527934</v>
      </c>
      <c r="G96" s="14">
        <v>4.1656305408441921E-12</v>
      </c>
      <c r="H96" s="14">
        <v>0.28408758904132947</v>
      </c>
      <c r="I96" s="14">
        <v>1.0174414623618062</v>
      </c>
      <c r="J96" s="14">
        <v>0</v>
      </c>
      <c r="K96" s="14">
        <v>1.0111782950935453</v>
      </c>
      <c r="L96" s="14">
        <v>0.9889452778527934</v>
      </c>
      <c r="M96" s="14">
        <v>0.81142960047821699</v>
      </c>
      <c r="N96" s="14">
        <v>0.90905705846369977</v>
      </c>
      <c r="O96" s="14">
        <v>179.25696135845698</v>
      </c>
      <c r="P96" s="8">
        <v>0.90905705846369989</v>
      </c>
      <c r="Q96" s="54">
        <v>2.0668522494139856E-2</v>
      </c>
    </row>
    <row r="97" spans="1:17">
      <c r="A97" s="2" t="s">
        <v>472</v>
      </c>
      <c r="B97" s="16" t="s">
        <v>473</v>
      </c>
      <c r="D97" s="14">
        <v>1</v>
      </c>
      <c r="E97" s="14">
        <v>0.97179168498125523</v>
      </c>
      <c r="F97" s="14">
        <v>0.9697281960524381</v>
      </c>
      <c r="G97" s="14">
        <v>6.5272239120328073E-12</v>
      </c>
      <c r="H97" s="14">
        <v>1.2333888653859926</v>
      </c>
      <c r="I97" s="14">
        <v>3.9587419587733188</v>
      </c>
      <c r="J97" s="14">
        <v>0</v>
      </c>
      <c r="K97" s="14">
        <v>1.0312167925721785</v>
      </c>
      <c r="L97" s="14">
        <v>0.96972819605243821</v>
      </c>
      <c r="M97" s="14">
        <v>0.79566198486102557</v>
      </c>
      <c r="N97" s="14">
        <v>1.0525433831728088</v>
      </c>
      <c r="O97" s="14">
        <v>168.59639911662052</v>
      </c>
      <c r="P97" s="8">
        <v>1.0525433831728088</v>
      </c>
      <c r="Q97" s="54">
        <v>4.4010590356891678E-2</v>
      </c>
    </row>
    <row r="98" spans="1:17">
      <c r="A98" s="2" t="s">
        <v>474</v>
      </c>
      <c r="B98" s="16" t="s">
        <v>475</v>
      </c>
      <c r="D98" s="14">
        <v>1</v>
      </c>
      <c r="E98" s="14">
        <v>0.92274091757537058</v>
      </c>
      <c r="F98" s="14">
        <v>1.981874638471174E-2</v>
      </c>
      <c r="G98" s="14">
        <v>5.583476181622886E-22</v>
      </c>
      <c r="H98" s="14">
        <v>217.90950800412034</v>
      </c>
      <c r="I98" s="14">
        <v>358.70163060491524</v>
      </c>
      <c r="J98" s="14">
        <v>0</v>
      </c>
      <c r="K98" s="14">
        <v>50.457278204609551</v>
      </c>
      <c r="L98" s="14">
        <v>1.981874638471174E-2</v>
      </c>
      <c r="M98" s="14">
        <v>1.6261281408655983E-2</v>
      </c>
      <c r="N98" s="14">
        <v>20.892774893309383</v>
      </c>
      <c r="O98" s="14">
        <v>11103.047361551404</v>
      </c>
      <c r="P98" s="8">
        <v>20.892774893309383</v>
      </c>
      <c r="Q98" s="54">
        <v>0.10132890532654383</v>
      </c>
    </row>
    <row r="99" spans="1:17">
      <c r="A99" s="2" t="s">
        <v>476</v>
      </c>
      <c r="B99" s="16" t="s">
        <v>477</v>
      </c>
      <c r="D99" s="14">
        <v>1</v>
      </c>
      <c r="E99" s="14">
        <v>0.99587342677561719</v>
      </c>
      <c r="F99" s="14">
        <v>0.99964902913433351</v>
      </c>
      <c r="G99" s="14">
        <v>1.9424776754016816E-9</v>
      </c>
      <c r="H99" s="14">
        <v>2.3557410430897728E-2</v>
      </c>
      <c r="I99" s="14">
        <v>0.10143427263391594</v>
      </c>
      <c r="J99" s="14">
        <v>0</v>
      </c>
      <c r="K99" s="14">
        <v>1.0003510940894631</v>
      </c>
      <c r="L99" s="14">
        <v>0.99964902913433351</v>
      </c>
      <c r="M99" s="14">
        <v>0.82021202840472063</v>
      </c>
      <c r="N99" s="14">
        <v>0.86911240784700816</v>
      </c>
      <c r="O99" s="14">
        <v>112.25455859751958</v>
      </c>
      <c r="P99" s="8">
        <v>0.86911240784700816</v>
      </c>
      <c r="Q99" s="54">
        <v>5.6752463664757388E-3</v>
      </c>
    </row>
    <row r="100" spans="1:17">
      <c r="A100" s="2" t="s">
        <v>478</v>
      </c>
      <c r="B100" s="16" t="s">
        <v>479</v>
      </c>
      <c r="D100" s="14">
        <v>1</v>
      </c>
      <c r="E100" s="14">
        <v>0.82422552165730956</v>
      </c>
      <c r="F100" s="14">
        <v>0.50486991430714856</v>
      </c>
      <c r="G100" s="14">
        <v>6.9603003257029338E-13</v>
      </c>
      <c r="H100" s="14">
        <v>73.383680799613487</v>
      </c>
      <c r="I100" s="14">
        <v>166.13328868088362</v>
      </c>
      <c r="J100" s="14">
        <v>0</v>
      </c>
      <c r="K100" s="14">
        <v>1.9807082411958263</v>
      </c>
      <c r="L100" s="14">
        <v>0.50486991430714867</v>
      </c>
      <c r="M100" s="14">
        <v>0.41424576468901547</v>
      </c>
      <c r="N100" s="14">
        <v>9.7820395667852722</v>
      </c>
      <c r="O100" s="14">
        <v>2932.6554621222244</v>
      </c>
      <c r="P100" s="8">
        <v>9.7820395667852722</v>
      </c>
      <c r="Q100" s="54">
        <v>0.27080498973244499</v>
      </c>
    </row>
    <row r="101" spans="1:17">
      <c r="A101" s="2" t="s">
        <v>480</v>
      </c>
      <c r="B101" s="16" t="s">
        <v>481</v>
      </c>
      <c r="D101" s="14">
        <v>1</v>
      </c>
      <c r="E101" s="14">
        <v>0.99345833336595979</v>
      </c>
      <c r="F101" s="14">
        <v>0.99702326138038144</v>
      </c>
      <c r="G101" s="14">
        <v>5.2434095239238789E-13</v>
      </c>
      <c r="H101" s="14">
        <v>6.3882998249139802E-2</v>
      </c>
      <c r="I101" s="14">
        <v>0.25553033343100628</v>
      </c>
      <c r="J101" s="14">
        <v>0</v>
      </c>
      <c r="K101" s="14">
        <v>1.0029856260479793</v>
      </c>
      <c r="L101" s="14">
        <v>0.99702326138038155</v>
      </c>
      <c r="M101" s="14">
        <v>0.81805758596260303</v>
      </c>
      <c r="N101" s="14">
        <v>0.87504757325218108</v>
      </c>
      <c r="O101" s="14">
        <v>208.40133004573943</v>
      </c>
      <c r="P101" s="8">
        <v>0.87504757325218108</v>
      </c>
      <c r="Q101" s="54">
        <v>9.5332824776025223E-3</v>
      </c>
    </row>
    <row r="102" spans="1:17">
      <c r="A102" s="2" t="s">
        <v>482</v>
      </c>
      <c r="B102" s="16" t="s">
        <v>483</v>
      </c>
      <c r="D102" s="14">
        <v>1</v>
      </c>
      <c r="E102" s="14">
        <v>0.99791817947302319</v>
      </c>
      <c r="F102" s="14">
        <v>1.0017992738119534</v>
      </c>
      <c r="G102" s="14">
        <v>3.2758891696733829E-29</v>
      </c>
      <c r="H102" s="14">
        <v>4.5321128212459363E-3</v>
      </c>
      <c r="I102" s="14">
        <v>2.203727459999516E-2</v>
      </c>
      <c r="J102" s="14">
        <v>0</v>
      </c>
      <c r="K102" s="14">
        <v>0.99820395775981452</v>
      </c>
      <c r="L102" s="14">
        <v>1.0017992738119534</v>
      </c>
      <c r="M102" s="14">
        <v>0.82197630416270784</v>
      </c>
      <c r="N102" s="14">
        <v>0.86678240165928799</v>
      </c>
      <c r="O102" s="14">
        <v>399.092621195986</v>
      </c>
      <c r="P102" s="8">
        <v>0.86678240165928799</v>
      </c>
      <c r="Q102" s="54">
        <v>2.4063449480596875E-3</v>
      </c>
    </row>
    <row r="103" spans="1:17">
      <c r="A103" s="2" t="s">
        <v>484</v>
      </c>
      <c r="B103" s="16" t="s">
        <v>485</v>
      </c>
      <c r="D103" s="14">
        <v>1</v>
      </c>
      <c r="E103" s="14">
        <v>0.99598698324023638</v>
      </c>
      <c r="F103" s="14">
        <v>0.99977023589493341</v>
      </c>
      <c r="G103" s="14">
        <v>2.6197430141754614E-15</v>
      </c>
      <c r="H103" s="14">
        <v>2.2132486258624021E-2</v>
      </c>
      <c r="I103" s="14">
        <v>9.5738666483156945E-2</v>
      </c>
      <c r="J103" s="14">
        <v>0</v>
      </c>
      <c r="K103" s="14">
        <v>1.0002298169087429</v>
      </c>
      <c r="L103" s="14">
        <v>0.99977023589493341</v>
      </c>
      <c r="M103" s="14">
        <v>0.82031147855179287</v>
      </c>
      <c r="N103" s="14">
        <v>0.8689153324212604</v>
      </c>
      <c r="O103" s="14">
        <v>178.3448719794637</v>
      </c>
      <c r="P103" s="8">
        <v>0.8689153324212604</v>
      </c>
      <c r="Q103" s="54">
        <v>5.4939837940783682E-3</v>
      </c>
    </row>
    <row r="104" spans="1:17">
      <c r="A104" s="2" t="s">
        <v>486</v>
      </c>
      <c r="B104" s="16" t="s">
        <v>487</v>
      </c>
      <c r="D104" s="14">
        <v>1</v>
      </c>
      <c r="E104" s="14">
        <v>0.9796692549234276</v>
      </c>
      <c r="F104" s="14">
        <v>0.98040649152850845</v>
      </c>
      <c r="G104" s="14">
        <v>3.2952977805670737E-11</v>
      </c>
      <c r="H104" s="14">
        <v>0.64278565808691479</v>
      </c>
      <c r="I104" s="14">
        <v>2.1663236896868128</v>
      </c>
      <c r="J104" s="14">
        <v>0</v>
      </c>
      <c r="K104" s="14">
        <v>1.0199850864317965</v>
      </c>
      <c r="L104" s="14">
        <v>0.98040649152850845</v>
      </c>
      <c r="M104" s="14">
        <v>0.80442352629914127</v>
      </c>
      <c r="N104" s="14">
        <v>0.96399409468830466</v>
      </c>
      <c r="O104" s="14">
        <v>145.71734735308414</v>
      </c>
      <c r="P104" s="8">
        <v>0.96399409468830466</v>
      </c>
      <c r="Q104" s="54">
        <v>3.1500928064114794E-2</v>
      </c>
    </row>
    <row r="105" spans="1:17">
      <c r="A105" s="2" t="s">
        <v>488</v>
      </c>
      <c r="B105" s="16" t="s">
        <v>489</v>
      </c>
      <c r="D105" s="14">
        <v>1</v>
      </c>
      <c r="E105" s="14">
        <v>0.99761758873033235</v>
      </c>
      <c r="F105" s="14">
        <v>1.0014875865661683</v>
      </c>
      <c r="G105" s="14">
        <v>2.6063579379644541E-18</v>
      </c>
      <c r="H105" s="14">
        <v>6.4299200155032979E-3</v>
      </c>
      <c r="I105" s="14">
        <v>3.0469318555156243E-2</v>
      </c>
      <c r="J105" s="14">
        <v>0</v>
      </c>
      <c r="K105" s="14">
        <v>0.99851462306061223</v>
      </c>
      <c r="L105" s="14">
        <v>1.0014875865661685</v>
      </c>
      <c r="M105" s="14">
        <v>0.82172056477754118</v>
      </c>
      <c r="N105" s="14">
        <v>0.8669549542439583</v>
      </c>
      <c r="O105" s="14">
        <v>294.20983327222967</v>
      </c>
      <c r="P105" s="8">
        <v>0.8669549542439583</v>
      </c>
      <c r="Q105" s="54">
        <v>2.8871060802743171E-3</v>
      </c>
    </row>
    <row r="106" spans="1:17">
      <c r="A106" s="2" t="s">
        <v>490</v>
      </c>
      <c r="B106" s="16" t="s">
        <v>491</v>
      </c>
      <c r="D106" s="14">
        <v>1</v>
      </c>
      <c r="E106" s="14">
        <v>0.93202209173201545</v>
      </c>
      <c r="F106" s="14">
        <v>0.90248003830087642</v>
      </c>
      <c r="G106" s="14">
        <v>1.5414381107107778E-10</v>
      </c>
      <c r="H106" s="14">
        <v>7.212695612590287</v>
      </c>
      <c r="I106" s="14">
        <v>20.218772023982854</v>
      </c>
      <c r="J106" s="14">
        <v>0</v>
      </c>
      <c r="K106" s="14">
        <v>1.1080577492691439</v>
      </c>
      <c r="L106" s="14">
        <v>0.90248003830087642</v>
      </c>
      <c r="M106" s="14">
        <v>0.74048487142586916</v>
      </c>
      <c r="N106" s="14">
        <v>1.8917418218891733</v>
      </c>
      <c r="O106" s="14">
        <v>363.46035623956686</v>
      </c>
      <c r="P106" s="8">
        <v>1.8917418218891733</v>
      </c>
      <c r="Q106" s="54">
        <v>0.10674677802132022</v>
      </c>
    </row>
    <row r="107" spans="1:17">
      <c r="A107" s="2" t="s">
        <v>492</v>
      </c>
      <c r="B107" s="16" t="s">
        <v>493</v>
      </c>
      <c r="D107" s="14">
        <v>1</v>
      </c>
      <c r="E107" s="14">
        <v>0.93091482192825303</v>
      </c>
      <c r="F107" s="14">
        <v>1.4582852420552994E-2</v>
      </c>
      <c r="G107" s="14">
        <v>2.5968745392741075E-18</v>
      </c>
      <c r="H107" s="14">
        <v>221.93330503614382</v>
      </c>
      <c r="I107" s="14">
        <v>356.68073384317836</v>
      </c>
      <c r="J107" s="14">
        <v>0</v>
      </c>
      <c r="K107" s="14">
        <v>68.573689917522955</v>
      </c>
      <c r="L107" s="14">
        <v>1.4582852420552994E-2</v>
      </c>
      <c r="M107" s="14">
        <v>1.1965230411063732E-2</v>
      </c>
      <c r="N107" s="14">
        <v>20.82384123553118</v>
      </c>
      <c r="O107" s="14">
        <v>9466.5182256724747</v>
      </c>
      <c r="P107" s="8">
        <v>20.82384123553118</v>
      </c>
      <c r="Q107" s="54">
        <v>8.8324187596894851E-2</v>
      </c>
    </row>
    <row r="108" spans="1:17">
      <c r="A108" s="2" t="s">
        <v>291</v>
      </c>
      <c r="B108" s="16" t="s">
        <v>494</v>
      </c>
      <c r="D108" s="14">
        <v>1</v>
      </c>
      <c r="E108" s="14">
        <v>0.8336062030030007</v>
      </c>
      <c r="F108" s="14">
        <v>0.57614726917713732</v>
      </c>
      <c r="G108" s="14">
        <v>3.9732143509672184E-12</v>
      </c>
      <c r="H108" s="14">
        <v>59.008354993685444</v>
      </c>
      <c r="I108" s="14">
        <v>137.07892139537032</v>
      </c>
      <c r="J108" s="14">
        <v>0</v>
      </c>
      <c r="K108" s="14">
        <v>1.7356673432266994</v>
      </c>
      <c r="L108" s="14">
        <v>0.57614726917713732</v>
      </c>
      <c r="M108" s="14">
        <v>0.47272883435984114</v>
      </c>
      <c r="N108" s="14">
        <v>8.1880886190905233</v>
      </c>
      <c r="O108" s="14">
        <v>2524.6333639241811</v>
      </c>
      <c r="P108" s="8">
        <v>8.1880886190905251</v>
      </c>
      <c r="Q108" s="54">
        <v>0.25749611355650232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7.8637072402813792E-5</v>
      </c>
      <c r="E2" s="20">
        <v>0.91423288955518522</v>
      </c>
      <c r="F2" s="20">
        <v>4.1100397390721875E-2</v>
      </c>
      <c r="G2" s="20">
        <v>1.197130722298651E-2</v>
      </c>
      <c r="H2" s="20">
        <v>0</v>
      </c>
      <c r="I2" s="20">
        <v>0.86116118494147686</v>
      </c>
      <c r="J2" s="20">
        <v>1.6577703276581355E-3</v>
      </c>
      <c r="K2" s="20">
        <v>8.4030703044753768E-2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2.7657734524259279E-3</v>
      </c>
      <c r="E3" s="20">
        <v>0.89345145083735078</v>
      </c>
      <c r="F3" s="20">
        <v>0.24067738712791495</v>
      </c>
      <c r="G3" s="20">
        <v>0.65212499045557493</v>
      </c>
      <c r="H3" s="20">
        <v>0</v>
      </c>
      <c r="I3" s="20">
        <v>6.4907325386086452E-4</v>
      </c>
      <c r="J3" s="20">
        <v>6.9472258557659289E-2</v>
      </c>
      <c r="K3" s="20">
        <v>3.4310517152564002E-2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4.2265895969590541E-12</v>
      </c>
      <c r="E4" s="20">
        <v>0.81881815707397265</v>
      </c>
      <c r="F4" s="20">
        <v>0.30946302330876679</v>
      </c>
      <c r="G4" s="20">
        <v>7.3876161060170364E-2</v>
      </c>
      <c r="H4" s="20">
        <v>0</v>
      </c>
      <c r="I4" s="20">
        <v>0.43547897270503549</v>
      </c>
      <c r="J4" s="20">
        <v>7.5614478282634992E-3</v>
      </c>
      <c r="K4" s="20">
        <v>0.17362039509353727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9.8412470941359822E-5</v>
      </c>
      <c r="E5" s="20">
        <v>0.92673500183038082</v>
      </c>
      <c r="F5" s="20">
        <v>0.71263774403565305</v>
      </c>
      <c r="G5" s="20">
        <v>0.20680659106596244</v>
      </c>
      <c r="H5" s="20">
        <v>0</v>
      </c>
      <c r="I5" s="20">
        <v>7.2906667287652846E-3</v>
      </c>
      <c r="J5" s="20">
        <v>2.1374810546041009E-2</v>
      </c>
      <c r="K5" s="20">
        <v>5.1791775152636672E-2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8.879639611558461E-6</v>
      </c>
      <c r="E6" s="20">
        <v>0.89440697957590076</v>
      </c>
      <c r="F6" s="20">
        <v>0.15125649212457123</v>
      </c>
      <c r="G6" s="20">
        <v>0.74286445688244007</v>
      </c>
      <c r="H6" s="20">
        <v>0</v>
      </c>
      <c r="I6" s="20">
        <v>2.8603056888948662E-4</v>
      </c>
      <c r="J6" s="20">
        <v>7.9784954979516098E-2</v>
      </c>
      <c r="K6" s="20">
        <v>2.5799185804971501E-2</v>
      </c>
      <c r="L6" s="20">
        <v>0</v>
      </c>
    </row>
    <row r="7" spans="1:14">
      <c r="A7" s="2" t="s">
        <v>321</v>
      </c>
      <c r="B7" s="3" t="s">
        <v>322</v>
      </c>
      <c r="D7" s="20">
        <v>1.3266025419869563E-5</v>
      </c>
      <c r="E7" s="20">
        <v>0.89555064790812688</v>
      </c>
      <c r="F7" s="20">
        <v>0.22623485181750513</v>
      </c>
      <c r="G7" s="20">
        <v>0.66873655690385503</v>
      </c>
      <c r="H7" s="20">
        <v>0</v>
      </c>
      <c r="I7" s="20">
        <v>5.7923918676675923E-4</v>
      </c>
      <c r="J7" s="20">
        <v>7.1326672732119817E-2</v>
      </c>
      <c r="K7" s="20">
        <v>3.3109413334333516E-2</v>
      </c>
      <c r="L7" s="20">
        <v>0</v>
      </c>
    </row>
    <row r="8" spans="1:14">
      <c r="A8" s="2" t="s">
        <v>323</v>
      </c>
      <c r="B8" s="3" t="s">
        <v>324</v>
      </c>
      <c r="D8" s="20">
        <v>1.2762784569199007E-4</v>
      </c>
      <c r="E8" s="20">
        <v>0.89963248138376617</v>
      </c>
      <c r="F8" s="20">
        <v>0.35072289950580748</v>
      </c>
      <c r="G8" s="20">
        <v>0.54759525754435556</v>
      </c>
      <c r="H8" s="20">
        <v>0</v>
      </c>
      <c r="I8" s="20">
        <v>1.3143243336031123E-3</v>
      </c>
      <c r="J8" s="20">
        <v>5.7899379394632897E-2</v>
      </c>
      <c r="K8" s="20">
        <v>4.2340511375909072E-2</v>
      </c>
      <c r="L8" s="20">
        <v>0</v>
      </c>
    </row>
    <row r="9" spans="1:14">
      <c r="A9" s="2" t="s">
        <v>325</v>
      </c>
      <c r="B9" s="3" t="s">
        <v>326</v>
      </c>
      <c r="D9" s="20">
        <v>8.9587187364910839E-5</v>
      </c>
      <c r="E9" s="20">
        <v>0.87938931704143597</v>
      </c>
      <c r="F9" s="20">
        <v>0.6786792734244057</v>
      </c>
      <c r="G9" s="20">
        <v>0.13327851391103487</v>
      </c>
      <c r="H9" s="20">
        <v>0</v>
      </c>
      <c r="I9" s="20">
        <v>6.7431529705995391E-2</v>
      </c>
      <c r="J9" s="20">
        <v>1.3503161836188091E-2</v>
      </c>
      <c r="K9" s="20">
        <v>0.10701793393501094</v>
      </c>
      <c r="L9" s="20">
        <v>0</v>
      </c>
    </row>
    <row r="10" spans="1:14">
      <c r="A10" s="2" t="s">
        <v>275</v>
      </c>
      <c r="B10" s="3" t="s">
        <v>276</v>
      </c>
      <c r="D10" s="20">
        <v>1.2633729108907738E-6</v>
      </c>
      <c r="E10" s="20">
        <v>0.92510812739140336</v>
      </c>
      <c r="F10" s="20">
        <v>0.6975096892761562</v>
      </c>
      <c r="G10" s="20">
        <v>0.22082375992022998</v>
      </c>
      <c r="H10" s="20">
        <v>0</v>
      </c>
      <c r="I10" s="20">
        <v>6.7746781950172291E-3</v>
      </c>
      <c r="J10" s="20">
        <v>2.2850018117709713E-2</v>
      </c>
      <c r="K10" s="20">
        <v>5.2040591117976015E-2</v>
      </c>
      <c r="L10" s="20">
        <v>0</v>
      </c>
    </row>
    <row r="11" spans="1:14">
      <c r="A11" s="2" t="s">
        <v>327</v>
      </c>
      <c r="B11" s="3" t="s">
        <v>328</v>
      </c>
      <c r="D11" s="20">
        <v>6.5694633551811855E-5</v>
      </c>
      <c r="E11" s="20">
        <v>0.92220144626582523</v>
      </c>
      <c r="F11" s="20">
        <v>0.6707313083416111</v>
      </c>
      <c r="G11" s="20">
        <v>0.24549583823375704</v>
      </c>
      <c r="H11" s="20">
        <v>0</v>
      </c>
      <c r="I11" s="20">
        <v>5.9742996904571053E-3</v>
      </c>
      <c r="J11" s="20">
        <v>2.5452260094591693E-2</v>
      </c>
      <c r="K11" s="20">
        <v>5.2280599006031138E-2</v>
      </c>
      <c r="L11" s="20">
        <v>0</v>
      </c>
    </row>
    <row r="12" spans="1:14">
      <c r="A12" s="2" t="s">
        <v>329</v>
      </c>
      <c r="B12" s="3" t="s">
        <v>330</v>
      </c>
      <c r="D12" s="20">
        <v>4.5803188205107493E-5</v>
      </c>
      <c r="E12" s="20">
        <v>0.89788960148513663</v>
      </c>
      <c r="F12" s="20">
        <v>0.71963850578493638</v>
      </c>
      <c r="G12" s="20">
        <v>0.13595962201347747</v>
      </c>
      <c r="H12" s="20">
        <v>0</v>
      </c>
      <c r="I12" s="20">
        <v>4.2291473686722737E-2</v>
      </c>
      <c r="J12" s="20">
        <v>1.3816291003647299E-2</v>
      </c>
      <c r="K12" s="20">
        <v>8.8248304323010909E-2</v>
      </c>
      <c r="L12" s="20">
        <v>0</v>
      </c>
    </row>
    <row r="13" spans="1:14">
      <c r="A13" s="2" t="s">
        <v>277</v>
      </c>
      <c r="B13" s="3" t="s">
        <v>278</v>
      </c>
      <c r="D13" s="20">
        <v>1.3912164405550438E-4</v>
      </c>
      <c r="E13" s="20">
        <v>0.88116936195305129</v>
      </c>
      <c r="F13" s="20">
        <v>0.68298849115551474</v>
      </c>
      <c r="G13" s="20">
        <v>0.13363153002983161</v>
      </c>
      <c r="H13" s="20">
        <v>0</v>
      </c>
      <c r="I13" s="20">
        <v>6.454934076770498E-2</v>
      </c>
      <c r="J13" s="20">
        <v>1.3542464371501242E-2</v>
      </c>
      <c r="K13" s="20">
        <v>0.10514905203139203</v>
      </c>
      <c r="L13" s="20">
        <v>0</v>
      </c>
    </row>
    <row r="14" spans="1:14">
      <c r="A14" s="2" t="s">
        <v>331</v>
      </c>
      <c r="B14" s="3" t="s">
        <v>332</v>
      </c>
      <c r="D14" s="20">
        <v>4.3478207896005145E-5</v>
      </c>
      <c r="E14" s="20">
        <v>0.91375105135829671</v>
      </c>
      <c r="F14" s="20">
        <v>0.57808316123088987</v>
      </c>
      <c r="G14" s="20">
        <v>0.33173085993955487</v>
      </c>
      <c r="H14" s="20">
        <v>0</v>
      </c>
      <c r="I14" s="20">
        <v>3.9370301878520154E-3</v>
      </c>
      <c r="J14" s="20">
        <v>3.4601597728973171E-2</v>
      </c>
      <c r="K14" s="20">
        <v>5.1603872704833985E-2</v>
      </c>
      <c r="L14" s="20">
        <v>0</v>
      </c>
    </row>
    <row r="15" spans="1:14">
      <c r="A15" s="2" t="s">
        <v>333</v>
      </c>
      <c r="B15" s="3" t="s">
        <v>334</v>
      </c>
      <c r="D15" s="20">
        <v>7.1575567201660899E-8</v>
      </c>
      <c r="E15" s="20">
        <v>0.92368231155474456</v>
      </c>
      <c r="F15" s="20">
        <v>0.68435821141528008</v>
      </c>
      <c r="G15" s="20">
        <v>0.23295875571112432</v>
      </c>
      <c r="H15" s="20">
        <v>0</v>
      </c>
      <c r="I15" s="20">
        <v>6.3653444283401509E-3</v>
      </c>
      <c r="J15" s="20">
        <v>2.412903946473868E-2</v>
      </c>
      <c r="K15" s="20">
        <v>5.2188577404949615E-2</v>
      </c>
      <c r="L15" s="20">
        <v>0</v>
      </c>
    </row>
    <row r="16" spans="1:14">
      <c r="A16" s="2" t="s">
        <v>335</v>
      </c>
      <c r="B16" s="3" t="s">
        <v>336</v>
      </c>
      <c r="D16" s="20">
        <v>3.3189897528095708E-4</v>
      </c>
      <c r="E16" s="20">
        <v>0.89972759132234092</v>
      </c>
      <c r="F16" s="20">
        <v>0.35696414496140477</v>
      </c>
      <c r="G16" s="20">
        <v>0.54140236833810296</v>
      </c>
      <c r="H16" s="20">
        <v>0</v>
      </c>
      <c r="I16" s="20">
        <v>1.3610780228331622E-3</v>
      </c>
      <c r="J16" s="20">
        <v>5.7221952915715413E-2</v>
      </c>
      <c r="K16" s="20">
        <v>4.2718556786662767E-2</v>
      </c>
      <c r="L16" s="20">
        <v>0</v>
      </c>
    </row>
    <row r="17" spans="1:12">
      <c r="A17" s="2" t="s">
        <v>337</v>
      </c>
      <c r="B17" s="3" t="s">
        <v>338</v>
      </c>
      <c r="D17" s="20">
        <v>2.5271333599672811E-5</v>
      </c>
      <c r="E17" s="20">
        <v>0.92623020933328604</v>
      </c>
      <c r="F17" s="20">
        <v>0.70769616976923511</v>
      </c>
      <c r="G17" s="20">
        <v>0.21141821436963756</v>
      </c>
      <c r="H17" s="20">
        <v>0</v>
      </c>
      <c r="I17" s="20">
        <v>7.1158251944133276E-3</v>
      </c>
      <c r="J17" s="20">
        <v>2.1859877725413406E-2</v>
      </c>
      <c r="K17" s="20">
        <v>5.1884641607700954E-2</v>
      </c>
      <c r="L17" s="20">
        <v>0</v>
      </c>
    </row>
    <row r="18" spans="1:12">
      <c r="A18" s="2" t="s">
        <v>279</v>
      </c>
      <c r="B18" s="3" t="s">
        <v>280</v>
      </c>
      <c r="D18" s="20">
        <v>2.7212867377646253E-3</v>
      </c>
      <c r="E18" s="20">
        <v>0.86878522022106086</v>
      </c>
      <c r="F18" s="20">
        <v>0.65613467462636621</v>
      </c>
      <c r="G18" s="20">
        <v>0.13100520311615194</v>
      </c>
      <c r="H18" s="20">
        <v>0</v>
      </c>
      <c r="I18" s="20">
        <v>8.1645342478542701E-2</v>
      </c>
      <c r="J18" s="20">
        <v>1.3258344614476576E-2</v>
      </c>
      <c r="K18" s="20">
        <v>0.11523514842669791</v>
      </c>
      <c r="L18" s="20">
        <v>0</v>
      </c>
    </row>
    <row r="19" spans="1:12">
      <c r="A19" s="2" t="s">
        <v>339</v>
      </c>
      <c r="B19" s="3" t="s">
        <v>340</v>
      </c>
      <c r="D19" s="20">
        <v>2.5081817914147507E-7</v>
      </c>
      <c r="E19" s="20">
        <v>0.92339745677619567</v>
      </c>
      <c r="F19" s="20">
        <v>0.68167551512795133</v>
      </c>
      <c r="G19" s="20">
        <v>0.23543620588103792</v>
      </c>
      <c r="H19" s="20">
        <v>0</v>
      </c>
      <c r="I19" s="20">
        <v>6.2857357672064466E-3</v>
      </c>
      <c r="J19" s="20">
        <v>2.4390371540834482E-2</v>
      </c>
      <c r="K19" s="20">
        <v>5.2211920864790692E-2</v>
      </c>
      <c r="L19" s="20">
        <v>0</v>
      </c>
    </row>
    <row r="20" spans="1:12">
      <c r="A20" s="2" t="s">
        <v>281</v>
      </c>
      <c r="B20" s="3" t="s">
        <v>282</v>
      </c>
      <c r="D20" s="20">
        <v>2.1059399298430599E-5</v>
      </c>
      <c r="E20" s="20">
        <v>0.88127340926116715</v>
      </c>
      <c r="F20" s="20">
        <v>0.68306913752957987</v>
      </c>
      <c r="G20" s="20">
        <v>0.13364730906344235</v>
      </c>
      <c r="H20" s="20">
        <v>0</v>
      </c>
      <c r="I20" s="20">
        <v>6.4556962668144924E-2</v>
      </c>
      <c r="J20" s="20">
        <v>1.3544063447710595E-2</v>
      </c>
      <c r="K20" s="20">
        <v>0.10516146789182385</v>
      </c>
      <c r="L20" s="20">
        <v>0</v>
      </c>
    </row>
    <row r="21" spans="1:12">
      <c r="A21" s="2" t="s">
        <v>341</v>
      </c>
      <c r="B21" s="3" t="s">
        <v>342</v>
      </c>
      <c r="D21" s="20">
        <v>3.6487249661154792E-4</v>
      </c>
      <c r="E21" s="20">
        <v>0.91583395807090751</v>
      </c>
      <c r="F21" s="20">
        <v>0.60612167207999978</v>
      </c>
      <c r="G21" s="20">
        <v>0.30524978589655333</v>
      </c>
      <c r="H21" s="20">
        <v>0</v>
      </c>
      <c r="I21" s="20">
        <v>4.4625000943543476E-3</v>
      </c>
      <c r="J21" s="20">
        <v>3.1783392406595876E-2</v>
      </c>
      <c r="K21" s="20">
        <v>5.2017777025885253E-2</v>
      </c>
      <c r="L21" s="20">
        <v>0</v>
      </c>
    </row>
    <row r="22" spans="1:12">
      <c r="A22" s="2" t="s">
        <v>343</v>
      </c>
      <c r="B22" s="3" t="s">
        <v>344</v>
      </c>
      <c r="D22" s="20">
        <v>1.8214833634378851E-3</v>
      </c>
      <c r="E22" s="20">
        <v>0.85115734793985753</v>
      </c>
      <c r="F22" s="20">
        <v>0.14343128632052304</v>
      </c>
      <c r="G22" s="20">
        <v>3.7405843167048876E-2</v>
      </c>
      <c r="H22" s="20">
        <v>0</v>
      </c>
      <c r="I22" s="20">
        <v>0.67032021845228562</v>
      </c>
      <c r="J22" s="20">
        <v>4.0541472083625331E-3</v>
      </c>
      <c r="K22" s="20">
        <v>0.1429670214883422</v>
      </c>
      <c r="L22" s="20">
        <v>0</v>
      </c>
    </row>
    <row r="23" spans="1:12">
      <c r="A23" s="2" t="s">
        <v>345</v>
      </c>
      <c r="B23" s="3" t="s">
        <v>346</v>
      </c>
      <c r="D23" s="20">
        <v>7.4186265236718477E-5</v>
      </c>
      <c r="E23" s="20">
        <v>0.89374723568015879</v>
      </c>
      <c r="F23" s="20">
        <v>6.5364537446981757E-2</v>
      </c>
      <c r="G23" s="20">
        <v>1.8316299976695451E-2</v>
      </c>
      <c r="H23" s="20">
        <v>0</v>
      </c>
      <c r="I23" s="20">
        <v>0.81006639825648163</v>
      </c>
      <c r="J23" s="20">
        <v>2.2501955110215046E-3</v>
      </c>
      <c r="K23" s="20">
        <v>0.10392838254358283</v>
      </c>
      <c r="L23" s="20">
        <v>0</v>
      </c>
    </row>
    <row r="24" spans="1:12">
      <c r="A24" s="2" t="s">
        <v>347</v>
      </c>
      <c r="B24" s="3" t="s">
        <v>348</v>
      </c>
      <c r="D24" s="20">
        <v>6.8028978878679347E-5</v>
      </c>
      <c r="E24" s="20">
        <v>0.82997789585608939</v>
      </c>
      <c r="F24" s="20">
        <v>0.50875962264193075</v>
      </c>
      <c r="G24" s="20">
        <v>0.11097066584602107</v>
      </c>
      <c r="H24" s="20">
        <v>0</v>
      </c>
      <c r="I24" s="20">
        <v>0.21024760736813752</v>
      </c>
      <c r="J24" s="20">
        <v>1.1207409302819878E-2</v>
      </c>
      <c r="K24" s="20">
        <v>0.15874666586221237</v>
      </c>
      <c r="L24" s="20">
        <v>0</v>
      </c>
    </row>
    <row r="25" spans="1:12">
      <c r="A25" s="2" t="s">
        <v>349</v>
      </c>
      <c r="B25" s="3" t="s">
        <v>350</v>
      </c>
      <c r="D25" s="20">
        <v>1.1163281940710975E-2</v>
      </c>
      <c r="E25" s="20">
        <v>0.90840681043111204</v>
      </c>
      <c r="F25" s="20">
        <v>0.75094923251373802</v>
      </c>
      <c r="G25" s="20">
        <v>0.13499140985176511</v>
      </c>
      <c r="H25" s="20">
        <v>0</v>
      </c>
      <c r="I25" s="20">
        <v>2.2466168065608926E-2</v>
      </c>
      <c r="J25" s="20">
        <v>1.3779539287346524E-2</v>
      </c>
      <c r="K25" s="20">
        <v>6.6650368340830379E-2</v>
      </c>
      <c r="L25" s="20">
        <v>0</v>
      </c>
    </row>
    <row r="26" spans="1:12">
      <c r="A26" s="2" t="s">
        <v>351</v>
      </c>
      <c r="B26" s="3" t="s">
        <v>352</v>
      </c>
      <c r="D26" s="20">
        <v>2.9326774198257851E-4</v>
      </c>
      <c r="E26" s="20">
        <v>0.91752740517787934</v>
      </c>
      <c r="F26" s="20">
        <v>0.62442887793739399</v>
      </c>
      <c r="G26" s="20">
        <v>0.28825611894013409</v>
      </c>
      <c r="H26" s="20">
        <v>0</v>
      </c>
      <c r="I26" s="20">
        <v>4.8424083003512598E-3</v>
      </c>
      <c r="J26" s="20">
        <v>2.9978791879289181E-2</v>
      </c>
      <c r="K26" s="20">
        <v>5.2200535200848809E-2</v>
      </c>
      <c r="L26" s="20">
        <v>0</v>
      </c>
    </row>
    <row r="27" spans="1:12">
      <c r="A27" s="2" t="s">
        <v>353</v>
      </c>
      <c r="B27" s="3" t="s">
        <v>354</v>
      </c>
      <c r="D27" s="20">
        <v>1.9213367443013194E-3</v>
      </c>
      <c r="E27" s="20">
        <v>0.89455817163596796</v>
      </c>
      <c r="F27" s="20">
        <v>0.2539347712047248</v>
      </c>
      <c r="G27" s="20">
        <v>0.63990827767454184</v>
      </c>
      <c r="H27" s="20">
        <v>0</v>
      </c>
      <c r="I27" s="20">
        <v>7.1512275670128648E-4</v>
      </c>
      <c r="J27" s="20">
        <v>6.8103297741996013E-2</v>
      </c>
      <c r="K27" s="20">
        <v>3.5417193877734836E-2</v>
      </c>
      <c r="L27" s="20">
        <v>0</v>
      </c>
    </row>
    <row r="28" spans="1:12">
      <c r="A28" s="2" t="s">
        <v>355</v>
      </c>
      <c r="B28" s="3" t="s">
        <v>356</v>
      </c>
      <c r="D28" s="20">
        <v>1.0861375040479945E-4</v>
      </c>
      <c r="E28" s="20">
        <v>0.90719201256661863</v>
      </c>
      <c r="F28" s="20">
        <v>0.48921920139145997</v>
      </c>
      <c r="G28" s="20">
        <v>0.41533549669045672</v>
      </c>
      <c r="H28" s="20">
        <v>0</v>
      </c>
      <c r="I28" s="20">
        <v>2.6373144847019721E-3</v>
      </c>
      <c r="J28" s="20">
        <v>4.3552548251626515E-2</v>
      </c>
      <c r="K28" s="20">
        <v>4.9146825431350051E-2</v>
      </c>
      <c r="L28" s="20">
        <v>0</v>
      </c>
    </row>
    <row r="29" spans="1:12">
      <c r="A29" s="2" t="s">
        <v>357</v>
      </c>
      <c r="B29" s="3" t="s">
        <v>358</v>
      </c>
      <c r="D29" s="20">
        <v>2.2218815977685328E-2</v>
      </c>
      <c r="E29" s="20">
        <v>0.8942529462460922</v>
      </c>
      <c r="F29" s="20">
        <v>0.57456556784194257</v>
      </c>
      <c r="G29" s="20">
        <v>0.31567133847573042</v>
      </c>
      <c r="H29" s="20">
        <v>0</v>
      </c>
      <c r="I29" s="20">
        <v>4.0160399284192086E-3</v>
      </c>
      <c r="J29" s="20">
        <v>3.2907138444278977E-2</v>
      </c>
      <c r="K29" s="20">
        <v>5.0621099331943344E-2</v>
      </c>
      <c r="L29" s="20">
        <v>0</v>
      </c>
    </row>
    <row r="30" spans="1:12">
      <c r="A30" s="2" t="s">
        <v>359</v>
      </c>
      <c r="B30" s="3" t="s">
        <v>360</v>
      </c>
      <c r="D30" s="20">
        <v>1.0861375040479945E-4</v>
      </c>
      <c r="E30" s="20">
        <v>0.90719201256661863</v>
      </c>
      <c r="F30" s="20">
        <v>0.48921920139145997</v>
      </c>
      <c r="G30" s="20">
        <v>0.41533549669045672</v>
      </c>
      <c r="H30" s="20">
        <v>0</v>
      </c>
      <c r="I30" s="20">
        <v>2.6373144847019721E-3</v>
      </c>
      <c r="J30" s="20">
        <v>4.3552548251626515E-2</v>
      </c>
      <c r="K30" s="20">
        <v>4.9146825431350051E-2</v>
      </c>
      <c r="L30" s="20">
        <v>0</v>
      </c>
    </row>
    <row r="31" spans="1:12">
      <c r="A31" s="2" t="s">
        <v>283</v>
      </c>
      <c r="B31" s="3" t="s">
        <v>284</v>
      </c>
      <c r="D31" s="20">
        <v>2.0658924441105684E-8</v>
      </c>
      <c r="E31" s="20">
        <v>0.98941650228374978</v>
      </c>
      <c r="F31" s="20">
        <v>6.0831201092870972E-4</v>
      </c>
      <c r="G31" s="20">
        <v>2.4413044734424591E-4</v>
      </c>
      <c r="H31" s="20">
        <v>0</v>
      </c>
      <c r="I31" s="20">
        <v>0.98856405982547679</v>
      </c>
      <c r="J31" s="20">
        <v>5.9456090481066449E-4</v>
      </c>
      <c r="K31" s="20">
        <v>9.988916152515244E-3</v>
      </c>
      <c r="L31" s="20">
        <v>0</v>
      </c>
    </row>
    <row r="32" spans="1:12">
      <c r="A32" s="2" t="s">
        <v>361</v>
      </c>
      <c r="B32" s="3" t="s">
        <v>362</v>
      </c>
      <c r="D32" s="20">
        <v>2.0274532282729534E-8</v>
      </c>
      <c r="E32" s="20">
        <v>0.82795298040539644</v>
      </c>
      <c r="F32" s="20">
        <v>0.23853253218956808</v>
      </c>
      <c r="G32" s="20">
        <v>5.881204488396672E-2</v>
      </c>
      <c r="H32" s="20">
        <v>0</v>
      </c>
      <c r="I32" s="20">
        <v>0.53060840333186166</v>
      </c>
      <c r="J32" s="20">
        <v>6.1789639275595535E-3</v>
      </c>
      <c r="K32" s="20">
        <v>0.16586803539251171</v>
      </c>
      <c r="L32" s="20">
        <v>0</v>
      </c>
    </row>
    <row r="33" spans="1:12">
      <c r="A33" s="2" t="s">
        <v>364</v>
      </c>
      <c r="B33" s="3" t="s">
        <v>365</v>
      </c>
      <c r="D33" s="20">
        <v>9.3839225540214566E-11</v>
      </c>
      <c r="E33" s="20">
        <v>0.99939051876464979</v>
      </c>
      <c r="F33" s="20">
        <v>4.1999802896648016E-3</v>
      </c>
      <c r="G33" s="20">
        <v>1.2843239310246538E-6</v>
      </c>
      <c r="H33" s="20">
        <v>0</v>
      </c>
      <c r="I33" s="20">
        <v>0.99518925415105397</v>
      </c>
      <c r="J33" s="20">
        <v>5.8539479135440316E-4</v>
      </c>
      <c r="K33" s="20">
        <v>2.4086350156424126E-5</v>
      </c>
      <c r="L33" s="20">
        <v>0</v>
      </c>
    </row>
    <row r="34" spans="1:12">
      <c r="A34" s="2" t="s">
        <v>285</v>
      </c>
      <c r="B34" s="3" t="s">
        <v>286</v>
      </c>
      <c r="D34" s="20">
        <v>2.7889064863101035E-10</v>
      </c>
      <c r="E34" s="20">
        <v>0.99885161192647653</v>
      </c>
      <c r="F34" s="20">
        <v>0.4517169322549619</v>
      </c>
      <c r="G34" s="20">
        <v>3.7097178283623257E-5</v>
      </c>
      <c r="H34" s="20">
        <v>0</v>
      </c>
      <c r="I34" s="20">
        <v>0.54709758249323104</v>
      </c>
      <c r="J34" s="20">
        <v>1.0663455945820347E-3</v>
      </c>
      <c r="K34" s="20">
        <v>8.2042200050772468E-5</v>
      </c>
      <c r="L34" s="20">
        <v>0</v>
      </c>
    </row>
    <row r="35" spans="1:12">
      <c r="A35" s="2" t="s">
        <v>287</v>
      </c>
      <c r="B35" s="3" t="s">
        <v>288</v>
      </c>
      <c r="D35" s="20">
        <v>8.1235285534246875E-12</v>
      </c>
      <c r="E35" s="20">
        <v>0.99855175476353619</v>
      </c>
      <c r="F35" s="20">
        <v>0.67453975215685513</v>
      </c>
      <c r="G35" s="20">
        <v>1.3062757703726763E-4</v>
      </c>
      <c r="H35" s="20">
        <v>0</v>
      </c>
      <c r="I35" s="20">
        <v>0.32388137502964376</v>
      </c>
      <c r="J35" s="20">
        <v>1.2496671552976143E-3</v>
      </c>
      <c r="K35" s="20">
        <v>1.9857807304255931E-4</v>
      </c>
      <c r="L35" s="20">
        <v>0</v>
      </c>
    </row>
    <row r="36" spans="1:12">
      <c r="A36" s="2" t="s">
        <v>366</v>
      </c>
      <c r="B36" s="3" t="s">
        <v>305</v>
      </c>
      <c r="D36" s="20">
        <v>1.4320322091721008E-8</v>
      </c>
      <c r="E36" s="20">
        <v>0.99842334317056769</v>
      </c>
      <c r="F36" s="20">
        <v>0.89014034129732866</v>
      </c>
      <c r="G36" s="20">
        <v>2.548591716826249E-4</v>
      </c>
      <c r="H36" s="20">
        <v>0</v>
      </c>
      <c r="I36" s="20">
        <v>0.10802814270155636</v>
      </c>
      <c r="J36" s="20">
        <v>1.3547223842901802E-3</v>
      </c>
      <c r="K36" s="20">
        <v>2.2192012482017106E-4</v>
      </c>
      <c r="L36" s="20">
        <v>0</v>
      </c>
    </row>
    <row r="37" spans="1:12">
      <c r="A37" s="2" t="s">
        <v>289</v>
      </c>
      <c r="B37" s="3" t="s">
        <v>290</v>
      </c>
      <c r="D37" s="20">
        <v>3.3887330987315503E-15</v>
      </c>
      <c r="E37" s="20">
        <v>0.96546454676821525</v>
      </c>
      <c r="F37" s="20">
        <v>0.72443972206387386</v>
      </c>
      <c r="G37" s="20">
        <v>2.4732712904526527E-2</v>
      </c>
      <c r="H37" s="20">
        <v>0</v>
      </c>
      <c r="I37" s="20">
        <v>0.21629211179981483</v>
      </c>
      <c r="J37" s="20">
        <v>3.5207109311157364E-3</v>
      </c>
      <c r="K37" s="20">
        <v>3.1014742300665581E-2</v>
      </c>
      <c r="L37" s="20">
        <v>0</v>
      </c>
    </row>
    <row r="38" spans="1:12">
      <c r="A38" s="2" t="s">
        <v>291</v>
      </c>
      <c r="B38" s="3" t="s">
        <v>292</v>
      </c>
      <c r="D38" s="20">
        <v>9.3972824013278328E-13</v>
      </c>
      <c r="E38" s="20">
        <v>0.99817452526293149</v>
      </c>
      <c r="F38" s="20">
        <v>0.38458483523636766</v>
      </c>
      <c r="G38" s="20">
        <v>3.2129887362137026E-4</v>
      </c>
      <c r="H38" s="20">
        <v>0</v>
      </c>
      <c r="I38" s="20">
        <v>0.6132683911529424</v>
      </c>
      <c r="J38" s="20">
        <v>1.0311362154088843E-3</v>
      </c>
      <c r="K38" s="20">
        <v>7.9433852071996152E-4</v>
      </c>
      <c r="L38" s="20">
        <v>0</v>
      </c>
    </row>
    <row r="39" spans="1:12">
      <c r="A39" s="2" t="s">
        <v>367</v>
      </c>
      <c r="B39" s="3" t="s">
        <v>368</v>
      </c>
      <c r="D39" s="20">
        <v>1.1920155635769549E-5</v>
      </c>
      <c r="E39" s="20">
        <v>0.93670820812316247</v>
      </c>
      <c r="F39" s="20">
        <v>0.78813499232919648</v>
      </c>
      <c r="G39" s="20">
        <v>0.13765632324292815</v>
      </c>
      <c r="H39" s="20">
        <v>0</v>
      </c>
      <c r="I39" s="20">
        <v>1.0916892551037862E-2</v>
      </c>
      <c r="J39" s="20">
        <v>1.4133372680166793E-2</v>
      </c>
      <c r="K39" s="20">
        <v>4.9146499041034991E-2</v>
      </c>
      <c r="L39" s="20">
        <v>0</v>
      </c>
    </row>
    <row r="40" spans="1:12">
      <c r="A40" s="2" t="s">
        <v>369</v>
      </c>
      <c r="B40" s="3" t="s">
        <v>370</v>
      </c>
      <c r="D40" s="20">
        <v>6.639242787012552E-13</v>
      </c>
      <c r="E40" s="20">
        <v>0.91148934679304727</v>
      </c>
      <c r="F40" s="20">
        <v>0.8491269225809891</v>
      </c>
      <c r="G40" s="20">
        <v>6.1431764236984827E-2</v>
      </c>
      <c r="H40" s="20">
        <v>0</v>
      </c>
      <c r="I40" s="20">
        <v>9.306599750733926E-4</v>
      </c>
      <c r="J40" s="20">
        <v>8.7383742750082233E-2</v>
      </c>
      <c r="K40" s="20">
        <v>1.1269104562066817E-3</v>
      </c>
      <c r="L40" s="20">
        <v>0</v>
      </c>
    </row>
    <row r="41" spans="1:12">
      <c r="A41" s="2" t="s">
        <v>371</v>
      </c>
      <c r="B41" s="3" t="s">
        <v>372</v>
      </c>
      <c r="D41" s="20">
        <v>6.4945796584634521E-2</v>
      </c>
      <c r="E41" s="20">
        <v>0.93254137318035757</v>
      </c>
      <c r="F41" s="20">
        <v>2.8547608501989698E-5</v>
      </c>
      <c r="G41" s="20">
        <v>1.4291087807874276E-5</v>
      </c>
      <c r="H41" s="20">
        <v>0</v>
      </c>
      <c r="I41" s="20">
        <v>0.93249853448404774</v>
      </c>
      <c r="J41" s="20">
        <v>5.4058139922425179E-4</v>
      </c>
      <c r="K41" s="20">
        <v>1.9722488357837601E-3</v>
      </c>
      <c r="L41" s="20">
        <v>0</v>
      </c>
    </row>
    <row r="42" spans="1:12">
      <c r="A42" s="2" t="s">
        <v>293</v>
      </c>
      <c r="B42" s="3" t="s">
        <v>294</v>
      </c>
      <c r="D42" s="20">
        <v>1.6404514653543035E-8</v>
      </c>
      <c r="E42" s="20">
        <v>0.84395665505787598</v>
      </c>
      <c r="F42" s="20">
        <v>0.1691928749678939</v>
      </c>
      <c r="G42" s="20">
        <v>4.3398790436035575E-2</v>
      </c>
      <c r="H42" s="20">
        <v>0</v>
      </c>
      <c r="I42" s="20">
        <v>0.6313649896539465</v>
      </c>
      <c r="J42" s="20">
        <v>4.6265346263479916E-3</v>
      </c>
      <c r="K42" s="20">
        <v>0.15141679391126134</v>
      </c>
      <c r="L42" s="20">
        <v>0</v>
      </c>
    </row>
    <row r="43" spans="1:12">
      <c r="A43" s="2" t="s">
        <v>373</v>
      </c>
      <c r="B43" s="3" t="s">
        <v>374</v>
      </c>
      <c r="D43" s="20">
        <v>3.3467737421459353E-8</v>
      </c>
      <c r="E43" s="20">
        <v>0.99706898877801875</v>
      </c>
      <c r="F43" s="20">
        <v>0.98743997587253185</v>
      </c>
      <c r="G43" s="20">
        <v>8.3374381809898045E-4</v>
      </c>
      <c r="H43" s="20">
        <v>0</v>
      </c>
      <c r="I43" s="20">
        <v>8.7952690873879368E-3</v>
      </c>
      <c r="J43" s="20">
        <v>2.7534243319885629E-3</v>
      </c>
      <c r="K43" s="20">
        <v>1.7755342225510881E-4</v>
      </c>
      <c r="L43" s="20">
        <v>0</v>
      </c>
    </row>
    <row r="44" spans="1:12">
      <c r="A44" s="2" t="s">
        <v>375</v>
      </c>
      <c r="B44" s="3" t="s">
        <v>376</v>
      </c>
      <c r="D44" s="20">
        <v>7.2905814163232371E-2</v>
      </c>
      <c r="E44" s="20">
        <v>0.8668809638482825</v>
      </c>
      <c r="F44" s="20">
        <v>2.1427961063521725E-2</v>
      </c>
      <c r="G44" s="20">
        <v>6.5354636568165595E-3</v>
      </c>
      <c r="H44" s="20">
        <v>0</v>
      </c>
      <c r="I44" s="20">
        <v>0.8389175391279442</v>
      </c>
      <c r="J44" s="20">
        <v>1.1152164156440912E-3</v>
      </c>
      <c r="K44" s="20">
        <v>5.9098005572840909E-2</v>
      </c>
      <c r="L44" s="20">
        <v>0</v>
      </c>
    </row>
    <row r="45" spans="1:12">
      <c r="A45" s="2" t="s">
        <v>377</v>
      </c>
      <c r="B45" s="3" t="s">
        <v>378</v>
      </c>
      <c r="D45" s="20">
        <v>6.2849531735388185E-4</v>
      </c>
      <c r="E45" s="20">
        <v>0.83632791586187616</v>
      </c>
      <c r="F45" s="20">
        <v>0.19414255043185366</v>
      </c>
      <c r="G45" s="20">
        <v>4.9070025761281368E-2</v>
      </c>
      <c r="H45" s="20">
        <v>0</v>
      </c>
      <c r="I45" s="20">
        <v>0.59311533966874108</v>
      </c>
      <c r="J45" s="20">
        <v>5.1688276008586111E-3</v>
      </c>
      <c r="K45" s="20">
        <v>0.15787476121991148</v>
      </c>
      <c r="L45" s="20">
        <v>0</v>
      </c>
    </row>
    <row r="46" spans="1:12">
      <c r="A46" s="2" t="s">
        <v>379</v>
      </c>
      <c r="B46" s="3" t="s">
        <v>380</v>
      </c>
      <c r="D46" s="20">
        <v>1.8819065528200055E-3</v>
      </c>
      <c r="E46" s="20">
        <v>0.83962367596420773</v>
      </c>
      <c r="F46" s="20">
        <v>0.17799866242028126</v>
      </c>
      <c r="G46" s="20">
        <v>4.5405900608933118E-2</v>
      </c>
      <c r="H46" s="20">
        <v>0</v>
      </c>
      <c r="I46" s="20">
        <v>0.61621911293499332</v>
      </c>
      <c r="J46" s="20">
        <v>4.8174737387195101E-3</v>
      </c>
      <c r="K46" s="20">
        <v>0.15367694374425281</v>
      </c>
      <c r="L46" s="20">
        <v>0</v>
      </c>
    </row>
    <row r="47" spans="1:12">
      <c r="A47" s="2" t="s">
        <v>381</v>
      </c>
      <c r="B47" s="3" t="s">
        <v>382</v>
      </c>
      <c r="D47" s="20">
        <v>3.2585126687200369E-8</v>
      </c>
      <c r="E47" s="20">
        <v>0.89592935936149309</v>
      </c>
      <c r="F47" s="20">
        <v>0.24134488456000666</v>
      </c>
      <c r="G47" s="20">
        <v>0.65393360140040213</v>
      </c>
      <c r="H47" s="20">
        <v>0</v>
      </c>
      <c r="I47" s="20">
        <v>6.5087340108433962E-4</v>
      </c>
      <c r="J47" s="20">
        <v>6.9664933718139588E-2</v>
      </c>
      <c r="K47" s="20">
        <v>3.4405674335240673E-2</v>
      </c>
      <c r="L47" s="20">
        <v>0</v>
      </c>
    </row>
    <row r="48" spans="1:12">
      <c r="A48" s="2" t="s">
        <v>383</v>
      </c>
      <c r="B48" s="3" t="s">
        <v>384</v>
      </c>
      <c r="D48" s="20">
        <v>9.5996883360858886E-3</v>
      </c>
      <c r="E48" s="20">
        <v>0.95576747280385654</v>
      </c>
      <c r="F48" s="20">
        <v>6.5898543789087126E-3</v>
      </c>
      <c r="G48" s="20">
        <v>2.2119299705231745E-3</v>
      </c>
      <c r="H48" s="20">
        <v>0</v>
      </c>
      <c r="I48" s="20">
        <v>0.94696568845442464</v>
      </c>
      <c r="J48" s="20">
        <v>7.587366308230252E-4</v>
      </c>
      <c r="K48" s="20">
        <v>3.3874102229234447E-2</v>
      </c>
      <c r="L48" s="20">
        <v>0</v>
      </c>
    </row>
    <row r="49" spans="1:12">
      <c r="A49" s="2" t="s">
        <v>385</v>
      </c>
      <c r="B49" s="3" t="s">
        <v>386</v>
      </c>
      <c r="D49" s="20">
        <v>1.8238144454960224E-2</v>
      </c>
      <c r="E49" s="20">
        <v>0.93530174395995913</v>
      </c>
      <c r="F49" s="20">
        <v>1.1956369706504974E-2</v>
      </c>
      <c r="G49" s="20">
        <v>3.8326123163256037E-3</v>
      </c>
      <c r="H49" s="20">
        <v>0</v>
      </c>
      <c r="I49" s="20">
        <v>0.91951276193712861</v>
      </c>
      <c r="J49" s="20">
        <v>8.9931469110172068E-4</v>
      </c>
      <c r="K49" s="20">
        <v>4.5560796893978864E-2</v>
      </c>
      <c r="L49" s="20">
        <v>0</v>
      </c>
    </row>
    <row r="50" spans="1:12">
      <c r="A50" s="2" t="s">
        <v>387</v>
      </c>
      <c r="B50" s="3" t="s">
        <v>388</v>
      </c>
      <c r="D50" s="20">
        <v>5.9001676530337976E-3</v>
      </c>
      <c r="E50" s="20">
        <v>0.86323795120650371</v>
      </c>
      <c r="F50" s="20">
        <v>0.64667048059097276</v>
      </c>
      <c r="G50" s="20">
        <v>0.12983105673483211</v>
      </c>
      <c r="H50" s="20">
        <v>0</v>
      </c>
      <c r="I50" s="20">
        <v>8.6736413880698846E-2</v>
      </c>
      <c r="J50" s="20">
        <v>1.3135169694901069E-2</v>
      </c>
      <c r="K50" s="20">
        <v>0.11772671144556135</v>
      </c>
      <c r="L50" s="20">
        <v>0</v>
      </c>
    </row>
    <row r="51" spans="1:12">
      <c r="A51" s="2" t="s">
        <v>295</v>
      </c>
      <c r="B51" s="3" t="s">
        <v>296</v>
      </c>
      <c r="D51" s="20">
        <v>5.2623280655216736E-2</v>
      </c>
      <c r="E51" s="20">
        <v>0.93391752687542939</v>
      </c>
      <c r="F51" s="20">
        <v>1.045674708149888E-3</v>
      </c>
      <c r="G51" s="20">
        <v>4.0150611051748475E-4</v>
      </c>
      <c r="H51" s="20">
        <v>0</v>
      </c>
      <c r="I51" s="20">
        <v>0.93247034605676204</v>
      </c>
      <c r="J51" s="20">
        <v>5.7703570241232985E-4</v>
      </c>
      <c r="K51" s="20">
        <v>1.2882156766941658E-2</v>
      </c>
      <c r="L51" s="20">
        <v>0</v>
      </c>
    </row>
    <row r="52" spans="1:12">
      <c r="A52" s="2" t="s">
        <v>389</v>
      </c>
      <c r="B52" s="3" t="s">
        <v>390</v>
      </c>
      <c r="D52" s="20">
        <v>6.0211177995017205E-2</v>
      </c>
      <c r="E52" s="20">
        <v>0.86010963082411929</v>
      </c>
      <c r="F52" s="20">
        <v>3.7765549510422734E-2</v>
      </c>
      <c r="G52" s="20">
        <v>1.10202478904378E-2</v>
      </c>
      <c r="H52" s="20">
        <v>0</v>
      </c>
      <c r="I52" s="20">
        <v>0.81132383342325876</v>
      </c>
      <c r="J52" s="20">
        <v>1.5366042766237458E-3</v>
      </c>
      <c r="K52" s="20">
        <v>7.8142586904239544E-2</v>
      </c>
      <c r="L52" s="20">
        <v>0</v>
      </c>
    </row>
    <row r="53" spans="1:12">
      <c r="A53" s="2" t="s">
        <v>391</v>
      </c>
      <c r="B53" s="3" t="s">
        <v>392</v>
      </c>
      <c r="D53" s="20">
        <v>1.8827734738996436E-3</v>
      </c>
      <c r="E53" s="20">
        <v>0.81933765601118558</v>
      </c>
      <c r="F53" s="20">
        <v>0.28485034860254144</v>
      </c>
      <c r="G53" s="20">
        <v>6.875627036490578E-2</v>
      </c>
      <c r="H53" s="20">
        <v>0</v>
      </c>
      <c r="I53" s="20">
        <v>0.46573103704373836</v>
      </c>
      <c r="J53" s="20">
        <v>7.0643739327956191E-3</v>
      </c>
      <c r="K53" s="20">
        <v>0.17171519658211912</v>
      </c>
      <c r="L53" s="20">
        <v>0</v>
      </c>
    </row>
    <row r="54" spans="1:12">
      <c r="A54" s="2" t="s">
        <v>393</v>
      </c>
      <c r="B54" s="3" t="s">
        <v>394</v>
      </c>
      <c r="D54" s="20">
        <v>1.5133491103629186E-4</v>
      </c>
      <c r="E54" s="20">
        <v>0.8972623414335642</v>
      </c>
      <c r="F54" s="20">
        <v>0.29037405544734812</v>
      </c>
      <c r="G54" s="20">
        <v>0.6059731276590572</v>
      </c>
      <c r="H54" s="20">
        <v>0</v>
      </c>
      <c r="I54" s="20">
        <v>9.1515832715884299E-4</v>
      </c>
      <c r="J54" s="20">
        <v>6.4325898981120067E-2</v>
      </c>
      <c r="K54" s="20">
        <v>3.8260424674279453E-2</v>
      </c>
      <c r="L54" s="20">
        <v>0</v>
      </c>
    </row>
    <row r="55" spans="1:12">
      <c r="A55" s="2" t="s">
        <v>395</v>
      </c>
      <c r="B55" s="3" t="s">
        <v>396</v>
      </c>
      <c r="D55" s="20">
        <v>0.12537706208331634</v>
      </c>
      <c r="E55" s="20">
        <v>0.72966581074829673</v>
      </c>
      <c r="F55" s="20">
        <v>0.46434072300798945</v>
      </c>
      <c r="G55" s="20">
        <v>0.10016876715251198</v>
      </c>
      <c r="H55" s="20">
        <v>0</v>
      </c>
      <c r="I55" s="20">
        <v>0.16515632058779531</v>
      </c>
      <c r="J55" s="20">
        <v>1.0114020613775329E-2</v>
      </c>
      <c r="K55" s="20">
        <v>0.13484310655461162</v>
      </c>
      <c r="L55" s="20">
        <v>0</v>
      </c>
    </row>
    <row r="56" spans="1:12">
      <c r="A56" s="2" t="s">
        <v>397</v>
      </c>
      <c r="B56" s="3" t="s">
        <v>398</v>
      </c>
      <c r="D56" s="20">
        <v>0.56871870507985389</v>
      </c>
      <c r="E56" s="20">
        <v>0.38616982752677093</v>
      </c>
      <c r="F56" s="20">
        <v>0.30811738028350749</v>
      </c>
      <c r="G56" s="20">
        <v>5.8534478311713774E-2</v>
      </c>
      <c r="H56" s="20">
        <v>0</v>
      </c>
      <c r="I56" s="20">
        <v>1.9517968931549636E-2</v>
      </c>
      <c r="J56" s="20">
        <v>5.9455617961089698E-3</v>
      </c>
      <c r="K56" s="20">
        <v>3.916590559726623E-2</v>
      </c>
      <c r="L56" s="20">
        <v>0</v>
      </c>
    </row>
    <row r="57" spans="1:12">
      <c r="A57" s="2" t="s">
        <v>399</v>
      </c>
      <c r="B57" s="3" t="s">
        <v>400</v>
      </c>
      <c r="D57" s="20">
        <v>0.75170685817346294</v>
      </c>
      <c r="E57" s="20">
        <v>0.20973487853106543</v>
      </c>
      <c r="F57" s="20">
        <v>0.14291150633335065</v>
      </c>
      <c r="G57" s="20">
        <v>3.0099740556288404E-2</v>
      </c>
      <c r="H57" s="20">
        <v>0</v>
      </c>
      <c r="I57" s="20">
        <v>3.6723631641426384E-2</v>
      </c>
      <c r="J57" s="20">
        <v>3.0393906536972629E-3</v>
      </c>
      <c r="K57" s="20">
        <v>3.5518872641774314E-2</v>
      </c>
      <c r="L57" s="20">
        <v>0</v>
      </c>
    </row>
    <row r="58" spans="1:12">
      <c r="A58" s="2" t="s">
        <v>297</v>
      </c>
      <c r="B58" s="3" t="s">
        <v>298</v>
      </c>
      <c r="D58" s="20">
        <v>0.91899612883255899</v>
      </c>
      <c r="E58" s="20">
        <v>7.6686895730991952E-2</v>
      </c>
      <c r="F58" s="20">
        <v>1.2529460354867162E-3</v>
      </c>
      <c r="G58" s="20">
        <v>3.9430103918295208E-4</v>
      </c>
      <c r="H58" s="20">
        <v>0</v>
      </c>
      <c r="I58" s="20">
        <v>7.5039648656322289E-2</v>
      </c>
      <c r="J58" s="20">
        <v>8.1283731991414166E-5</v>
      </c>
      <c r="K58" s="20">
        <v>4.2356917044577957E-3</v>
      </c>
      <c r="L58" s="20">
        <v>0</v>
      </c>
    </row>
    <row r="59" spans="1:12">
      <c r="A59" s="2" t="s">
        <v>401</v>
      </c>
      <c r="B59" s="3" t="s">
        <v>402</v>
      </c>
      <c r="D59" s="20">
        <v>0.90240064386315277</v>
      </c>
      <c r="E59" s="20">
        <v>8.2195141080473627E-2</v>
      </c>
      <c r="F59" s="20">
        <v>5.5210042419888888E-2</v>
      </c>
      <c r="G59" s="20">
        <v>1.1692668474840514E-2</v>
      </c>
      <c r="H59" s="20">
        <v>0</v>
      </c>
      <c r="I59" s="20">
        <v>1.5292430185744225E-2</v>
      </c>
      <c r="J59" s="20">
        <v>1.1805978137761834E-3</v>
      </c>
      <c r="K59" s="20">
        <v>1.4223617242597381E-2</v>
      </c>
      <c r="L59" s="20">
        <v>0</v>
      </c>
    </row>
    <row r="60" spans="1:12">
      <c r="A60" s="2" t="s">
        <v>299</v>
      </c>
      <c r="B60" s="3" t="s">
        <v>300</v>
      </c>
      <c r="D60" s="20">
        <v>0.99793981282017041</v>
      </c>
      <c r="E60" s="20">
        <v>1.6911803966520832E-3</v>
      </c>
      <c r="F60" s="20">
        <v>9.105903288628139E-4</v>
      </c>
      <c r="G60" s="20">
        <v>2.0493615740772245E-4</v>
      </c>
      <c r="H60" s="20">
        <v>0</v>
      </c>
      <c r="I60" s="20">
        <v>5.756539103815467E-4</v>
      </c>
      <c r="J60" s="20">
        <v>2.0737630282643414E-5</v>
      </c>
      <c r="K60" s="20">
        <v>3.4826915289481672E-4</v>
      </c>
      <c r="L60" s="20">
        <v>0</v>
      </c>
    </row>
    <row r="61" spans="1:12">
      <c r="A61" s="2" t="s">
        <v>403</v>
      </c>
      <c r="B61" s="3" t="s">
        <v>404</v>
      </c>
      <c r="D61" s="20">
        <v>4.2797428079630711E-44</v>
      </c>
      <c r="E61" s="20">
        <v>0.81720140064122027</v>
      </c>
      <c r="F61" s="20">
        <v>0.37987118810725184</v>
      </c>
      <c r="G61" s="20">
        <v>8.7888471277510857E-2</v>
      </c>
      <c r="H61" s="20">
        <v>0</v>
      </c>
      <c r="I61" s="20">
        <v>0.34944174125645761</v>
      </c>
      <c r="J61" s="20">
        <v>8.9271272350346029E-3</v>
      </c>
      <c r="K61" s="20">
        <v>0.17387147212374504</v>
      </c>
      <c r="L61" s="20">
        <v>0</v>
      </c>
    </row>
    <row r="62" spans="1:12">
      <c r="A62" s="2" t="s">
        <v>405</v>
      </c>
      <c r="B62" s="3" t="s">
        <v>406</v>
      </c>
      <c r="D62" s="20">
        <v>8.7184061980579687E-8</v>
      </c>
      <c r="E62" s="20">
        <v>0.91431151889334472</v>
      </c>
      <c r="F62" s="20">
        <v>0.58446133216983065</v>
      </c>
      <c r="G62" s="20">
        <v>0.32580019431367907</v>
      </c>
      <c r="H62" s="20">
        <v>0</v>
      </c>
      <c r="I62" s="20">
        <v>4.0499924098349755E-3</v>
      </c>
      <c r="J62" s="20">
        <v>3.3969674893515316E-2</v>
      </c>
      <c r="K62" s="20">
        <v>5.1718719029077813E-2</v>
      </c>
      <c r="L62" s="20">
        <v>0</v>
      </c>
    </row>
    <row r="63" spans="1:12">
      <c r="A63" s="2" t="s">
        <v>407</v>
      </c>
      <c r="B63" s="3" t="s">
        <v>408</v>
      </c>
      <c r="D63" s="20">
        <v>1.9820953271557967E-5</v>
      </c>
      <c r="E63" s="20">
        <v>0.89457466970945942</v>
      </c>
      <c r="F63" s="20">
        <v>0.17038965437712741</v>
      </c>
      <c r="G63" s="20">
        <v>0.72383366396527182</v>
      </c>
      <c r="H63" s="20">
        <v>0</v>
      </c>
      <c r="I63" s="20">
        <v>3.5135136706013339E-4</v>
      </c>
      <c r="J63" s="20">
        <v>7.7586913936504243E-2</v>
      </c>
      <c r="K63" s="20">
        <v>2.7818595400764857E-2</v>
      </c>
      <c r="L63" s="20">
        <v>0</v>
      </c>
    </row>
    <row r="64" spans="1:12">
      <c r="A64" s="2" t="s">
        <v>409</v>
      </c>
      <c r="B64" s="3" t="s">
        <v>410</v>
      </c>
      <c r="D64" s="20">
        <v>2.4142051793512734E-6</v>
      </c>
      <c r="E64" s="20">
        <v>0.89450154799629067</v>
      </c>
      <c r="F64" s="20">
        <v>9.0321857749562126E-2</v>
      </c>
      <c r="G64" s="20">
        <v>0.8040599248693453</v>
      </c>
      <c r="H64" s="20">
        <v>0</v>
      </c>
      <c r="I64" s="20">
        <v>1.1976537738322138E-4</v>
      </c>
      <c r="J64" s="20">
        <v>8.7063512539038351E-2</v>
      </c>
      <c r="K64" s="20">
        <v>1.8432525259491832E-2</v>
      </c>
      <c r="L64" s="20">
        <v>0</v>
      </c>
    </row>
    <row r="65" spans="1:12">
      <c r="A65" s="2" t="s">
        <v>301</v>
      </c>
      <c r="B65" s="3" t="s">
        <v>302</v>
      </c>
      <c r="D65" s="20">
        <v>2.9445871114516651E-7</v>
      </c>
      <c r="E65" s="20">
        <v>0.8955580086214705</v>
      </c>
      <c r="F65" s="20">
        <v>4.1365958427114415E-2</v>
      </c>
      <c r="G65" s="20">
        <v>0.8541588529896238</v>
      </c>
      <c r="H65" s="20">
        <v>0</v>
      </c>
      <c r="I65" s="20">
        <v>3.3197204732340904E-5</v>
      </c>
      <c r="J65" s="20">
        <v>9.3561542299830158E-2</v>
      </c>
      <c r="K65" s="20">
        <v>1.0880154619988196E-2</v>
      </c>
      <c r="L65" s="20">
        <v>0</v>
      </c>
    </row>
    <row r="66" spans="1:12">
      <c r="A66" s="2" t="s">
        <v>303</v>
      </c>
      <c r="B66" s="3" t="s">
        <v>304</v>
      </c>
      <c r="D66" s="20">
        <v>2.8612029048002555E-13</v>
      </c>
      <c r="E66" s="20">
        <v>0.89491374138569191</v>
      </c>
      <c r="F66" s="20">
        <v>6.4873501844957202E-2</v>
      </c>
      <c r="G66" s="20">
        <v>0.8299709598776045</v>
      </c>
      <c r="H66" s="20">
        <v>0</v>
      </c>
      <c r="I66" s="20">
        <v>6.9279663130204121E-5</v>
      </c>
      <c r="J66" s="20">
        <v>9.0316978829749192E-2</v>
      </c>
      <c r="K66" s="20">
        <v>1.4769279784272928E-2</v>
      </c>
      <c r="L66" s="20">
        <v>0</v>
      </c>
    </row>
    <row r="67" spans="1:12">
      <c r="A67" s="2" t="s">
        <v>411</v>
      </c>
      <c r="B67" s="3" t="s">
        <v>412</v>
      </c>
      <c r="D67" s="20">
        <v>3.9671912868198388E-3</v>
      </c>
      <c r="E67" s="20">
        <v>0.92519620369897992</v>
      </c>
      <c r="F67" s="20">
        <v>2.7739704203550163E-2</v>
      </c>
      <c r="G67" s="20">
        <v>8.3367615738727859E-3</v>
      </c>
      <c r="H67" s="20">
        <v>0</v>
      </c>
      <c r="I67" s="20">
        <v>0.88911973792155696</v>
      </c>
      <c r="J67" s="20">
        <v>1.3191600297414291E-3</v>
      </c>
      <c r="K67" s="20">
        <v>6.9517444984458929E-2</v>
      </c>
      <c r="L67" s="20">
        <v>0</v>
      </c>
    </row>
    <row r="68" spans="1:12">
      <c r="A68" s="2" t="s">
        <v>413</v>
      </c>
      <c r="B68" s="3" t="s">
        <v>414</v>
      </c>
      <c r="D68" s="20">
        <v>8.7525556539917813E-3</v>
      </c>
      <c r="E68" s="20">
        <v>0.89789558539473047</v>
      </c>
      <c r="F68" s="20">
        <v>4.9837192066673947E-2</v>
      </c>
      <c r="G68" s="20">
        <v>1.427739979031533E-2</v>
      </c>
      <c r="H68" s="20">
        <v>0</v>
      </c>
      <c r="I68" s="20">
        <v>0.83378099353774116</v>
      </c>
      <c r="J68" s="20">
        <v>1.8677755037702839E-3</v>
      </c>
      <c r="K68" s="20">
        <v>9.1484083447507525E-2</v>
      </c>
      <c r="L68" s="20">
        <v>0</v>
      </c>
    </row>
    <row r="69" spans="1:12">
      <c r="A69" s="2" t="s">
        <v>415</v>
      </c>
      <c r="B69" s="3" t="s">
        <v>416</v>
      </c>
      <c r="D69" s="20">
        <v>9.846634429102304E-4</v>
      </c>
      <c r="E69" s="20">
        <v>0.89957345573320135</v>
      </c>
      <c r="F69" s="20">
        <v>0.36627434358441485</v>
      </c>
      <c r="G69" s="20">
        <v>0.53186578632865933</v>
      </c>
      <c r="H69" s="20">
        <v>0</v>
      </c>
      <c r="I69" s="20">
        <v>1.4333258201271212E-3</v>
      </c>
      <c r="J69" s="20">
        <v>5.6180689503409646E-2</v>
      </c>
      <c r="K69" s="20">
        <v>4.3261191320478967E-2</v>
      </c>
      <c r="L69" s="20">
        <v>0</v>
      </c>
    </row>
    <row r="70" spans="1:12">
      <c r="A70" s="2" t="s">
        <v>417</v>
      </c>
      <c r="B70" s="3" t="s">
        <v>418</v>
      </c>
      <c r="D70" s="20">
        <v>2.7029769261520081E-3</v>
      </c>
      <c r="E70" s="20">
        <v>0.90971237523860859</v>
      </c>
      <c r="F70" s="20">
        <v>0.74552295941036539</v>
      </c>
      <c r="G70" s="20">
        <v>0.13625629574613271</v>
      </c>
      <c r="H70" s="20">
        <v>0</v>
      </c>
      <c r="I70" s="20">
        <v>2.7933120082110463E-2</v>
      </c>
      <c r="J70" s="20">
        <v>1.388710659636414E-2</v>
      </c>
      <c r="K70" s="20">
        <v>7.3697541238875147E-2</v>
      </c>
      <c r="L70" s="20">
        <v>0</v>
      </c>
    </row>
    <row r="71" spans="1:12">
      <c r="A71" s="2" t="s">
        <v>419</v>
      </c>
      <c r="B71" s="3" t="s">
        <v>420</v>
      </c>
      <c r="D71" s="20">
        <v>2.1431468910775305E-2</v>
      </c>
      <c r="E71" s="20">
        <v>0.89015897487535933</v>
      </c>
      <c r="F71" s="20">
        <v>4.5006021454848215E-2</v>
      </c>
      <c r="G71" s="20">
        <v>1.2988714721521893E-2</v>
      </c>
      <c r="H71" s="20">
        <v>0</v>
      </c>
      <c r="I71" s="20">
        <v>0.83216423869898926</v>
      </c>
      <c r="J71" s="20">
        <v>1.7407930266587508E-3</v>
      </c>
      <c r="K71" s="20">
        <v>8.6668763187206399E-2</v>
      </c>
      <c r="L71" s="20">
        <v>0</v>
      </c>
    </row>
    <row r="72" spans="1:12">
      <c r="A72" s="2" t="s">
        <v>421</v>
      </c>
      <c r="B72" s="3" t="s">
        <v>422</v>
      </c>
      <c r="D72" s="20">
        <v>1.1420783058387464E-2</v>
      </c>
      <c r="E72" s="20">
        <v>0.8964779727030282</v>
      </c>
      <c r="F72" s="20">
        <v>0.72897824258026689</v>
      </c>
      <c r="G72" s="20">
        <v>0.13496156999916376</v>
      </c>
      <c r="H72" s="20">
        <v>0</v>
      </c>
      <c r="I72" s="20">
        <v>3.2538160123597608E-2</v>
      </c>
      <c r="J72" s="20">
        <v>1.3739058267500968E-2</v>
      </c>
      <c r="K72" s="20">
        <v>7.8362185971083409E-2</v>
      </c>
      <c r="L72" s="20">
        <v>0</v>
      </c>
    </row>
    <row r="73" spans="1:12">
      <c r="A73" s="2" t="s">
        <v>423</v>
      </c>
      <c r="B73" s="3" t="s">
        <v>424</v>
      </c>
      <c r="D73" s="20">
        <v>1.245094180428976E-2</v>
      </c>
      <c r="E73" s="20">
        <v>0.80773473302381749</v>
      </c>
      <c r="F73" s="20">
        <v>0.39574996720910094</v>
      </c>
      <c r="G73" s="20">
        <v>9.0722799462796683E-2</v>
      </c>
      <c r="H73" s="20">
        <v>0</v>
      </c>
      <c r="I73" s="20">
        <v>0.32126196635191989</v>
      </c>
      <c r="J73" s="20">
        <v>9.2010328412995574E-3</v>
      </c>
      <c r="K73" s="20">
        <v>0.17061329233059311</v>
      </c>
      <c r="L73" s="20">
        <v>0</v>
      </c>
    </row>
    <row r="74" spans="1:12">
      <c r="A74" s="2" t="s">
        <v>425</v>
      </c>
      <c r="B74" s="3" t="s">
        <v>426</v>
      </c>
      <c r="D74" s="20">
        <v>4.179852087979035E-3</v>
      </c>
      <c r="E74" s="20">
        <v>0.90687131814437882</v>
      </c>
      <c r="F74" s="20">
        <v>0.74161686593998355</v>
      </c>
      <c r="G74" s="20">
        <v>0.13604267203760903</v>
      </c>
      <c r="H74" s="20">
        <v>0</v>
      </c>
      <c r="I74" s="20">
        <v>2.9211780166786289E-2</v>
      </c>
      <c r="J74" s="20">
        <v>1.3860650429451414E-2</v>
      </c>
      <c r="K74" s="20">
        <v>7.5088179338190841E-2</v>
      </c>
      <c r="L74" s="20">
        <v>0</v>
      </c>
    </row>
    <row r="75" spans="1:12">
      <c r="A75" s="2" t="s">
        <v>427</v>
      </c>
      <c r="B75" s="3" t="s">
        <v>428</v>
      </c>
      <c r="D75" s="20">
        <v>4.244730443751382E-10</v>
      </c>
      <c r="E75" s="20">
        <v>0.99087103842381563</v>
      </c>
      <c r="F75" s="20">
        <v>0.98620867349270813</v>
      </c>
      <c r="G75" s="20">
        <v>3.8055639714043333E-4</v>
      </c>
      <c r="H75" s="20">
        <v>0</v>
      </c>
      <c r="I75" s="20">
        <v>4.2818085339670362E-3</v>
      </c>
      <c r="J75" s="20">
        <v>9.0940056574320936E-3</v>
      </c>
      <c r="K75" s="20">
        <v>3.4955494279500765E-5</v>
      </c>
      <c r="L75" s="20">
        <v>0</v>
      </c>
    </row>
    <row r="76" spans="1:12">
      <c r="A76" s="2" t="s">
        <v>429</v>
      </c>
      <c r="B76" s="3" t="s">
        <v>430</v>
      </c>
      <c r="D76" s="20">
        <v>1.0662280811486902E-11</v>
      </c>
      <c r="E76" s="20">
        <v>0.99087103883384842</v>
      </c>
      <c r="F76" s="20">
        <v>0.98620867390081157</v>
      </c>
      <c r="G76" s="20">
        <v>3.8055639729791169E-4</v>
      </c>
      <c r="H76" s="20">
        <v>0</v>
      </c>
      <c r="I76" s="20">
        <v>4.281808535738894E-3</v>
      </c>
      <c r="J76" s="20">
        <v>9.0940056611952917E-3</v>
      </c>
      <c r="K76" s="20">
        <v>3.4955494293965723E-5</v>
      </c>
      <c r="L76" s="20">
        <v>0</v>
      </c>
    </row>
    <row r="77" spans="1:12">
      <c r="A77" s="2" t="s">
        <v>431</v>
      </c>
      <c r="B77" s="3" t="s">
        <v>432</v>
      </c>
      <c r="D77" s="20">
        <v>2.1698304792188091E-2</v>
      </c>
      <c r="E77" s="20">
        <v>0.83503387815803498</v>
      </c>
      <c r="F77" s="20">
        <v>0.59353247965941003</v>
      </c>
      <c r="G77" s="20">
        <v>0.12272697931795279</v>
      </c>
      <c r="H77" s="20">
        <v>0</v>
      </c>
      <c r="I77" s="20">
        <v>0.11877441918067221</v>
      </c>
      <c r="J77" s="20">
        <v>1.2398912906630246E-2</v>
      </c>
      <c r="K77" s="20">
        <v>0.1308689041431467</v>
      </c>
      <c r="L77" s="20">
        <v>0</v>
      </c>
    </row>
    <row r="78" spans="1:12">
      <c r="A78" s="2" t="s">
        <v>433</v>
      </c>
      <c r="B78" s="3" t="s">
        <v>434</v>
      </c>
      <c r="D78" s="20">
        <v>3.1140477635318714E-2</v>
      </c>
      <c r="E78" s="20">
        <v>0.821363154610115</v>
      </c>
      <c r="F78" s="20">
        <v>0.15259628258273775</v>
      </c>
      <c r="G78" s="20">
        <v>3.943115598006721E-2</v>
      </c>
      <c r="H78" s="20">
        <v>0</v>
      </c>
      <c r="I78" s="20">
        <v>0.62933571604731009</v>
      </c>
      <c r="J78" s="20">
        <v>4.2327447248373153E-3</v>
      </c>
      <c r="K78" s="20">
        <v>0.14326362302972889</v>
      </c>
      <c r="L78" s="20">
        <v>0</v>
      </c>
    </row>
    <row r="79" spans="1:12">
      <c r="A79" s="2" t="s">
        <v>435</v>
      </c>
      <c r="B79" s="3" t="s">
        <v>436</v>
      </c>
      <c r="D79" s="20">
        <v>7.4594424807795561E-3</v>
      </c>
      <c r="E79" s="20">
        <v>0.81399308434695783</v>
      </c>
      <c r="F79" s="20">
        <v>0.29115553710779335</v>
      </c>
      <c r="G79" s="20">
        <v>7.0019758602584095E-2</v>
      </c>
      <c r="H79" s="20">
        <v>0</v>
      </c>
      <c r="I79" s="20">
        <v>0.4528177886365804</v>
      </c>
      <c r="J79" s="20">
        <v>7.1844837130011488E-3</v>
      </c>
      <c r="K79" s="20">
        <v>0.17136298945926129</v>
      </c>
      <c r="L79" s="20">
        <v>0</v>
      </c>
    </row>
    <row r="80" spans="1:12">
      <c r="A80" s="2" t="s">
        <v>437</v>
      </c>
      <c r="B80" s="3" t="s">
        <v>438</v>
      </c>
      <c r="D80" s="20">
        <v>1.506927276703322E-10</v>
      </c>
      <c r="E80" s="20">
        <v>0.98244245456613044</v>
      </c>
      <c r="F80" s="20">
        <v>0.97883839369951509</v>
      </c>
      <c r="G80" s="20">
        <v>7.2553973949660586E-4</v>
      </c>
      <c r="H80" s="20">
        <v>0</v>
      </c>
      <c r="I80" s="20">
        <v>2.8785211271187966E-3</v>
      </c>
      <c r="J80" s="20">
        <v>1.7515302003796536E-2</v>
      </c>
      <c r="K80" s="20">
        <v>4.2243279380290497E-5</v>
      </c>
      <c r="L80" s="20">
        <v>0</v>
      </c>
    </row>
    <row r="81" spans="1:12">
      <c r="A81" s="2" t="s">
        <v>440</v>
      </c>
      <c r="B81" s="3" t="s">
        <v>441</v>
      </c>
      <c r="D81" s="20">
        <v>1.461698132317509E-13</v>
      </c>
      <c r="E81" s="20">
        <v>0.98696614149246509</v>
      </c>
      <c r="F81" s="20">
        <v>9.278470181060493E-4</v>
      </c>
      <c r="G81" s="20">
        <v>3.6088757644658583E-4</v>
      </c>
      <c r="H81" s="20">
        <v>0</v>
      </c>
      <c r="I81" s="20">
        <v>0.9856774068979125</v>
      </c>
      <c r="J81" s="20">
        <v>6.039379646478343E-4</v>
      </c>
      <c r="K81" s="20">
        <v>1.2429920542740731E-2</v>
      </c>
      <c r="L81" s="20">
        <v>0</v>
      </c>
    </row>
    <row r="82" spans="1:12">
      <c r="A82" s="2" t="s">
        <v>442</v>
      </c>
      <c r="B82" s="3" t="s">
        <v>443</v>
      </c>
      <c r="D82" s="20">
        <v>7.2971919164683849E-5</v>
      </c>
      <c r="E82" s="20">
        <v>0.89579824658563334</v>
      </c>
      <c r="F82" s="20">
        <v>6.260001722096363E-2</v>
      </c>
      <c r="G82" s="20">
        <v>1.7606377446689518E-2</v>
      </c>
      <c r="H82" s="20">
        <v>0</v>
      </c>
      <c r="I82" s="20">
        <v>0.81559185191798023</v>
      </c>
      <c r="J82" s="20">
        <v>2.1836644609968636E-3</v>
      </c>
      <c r="K82" s="20">
        <v>0.10194511703420506</v>
      </c>
      <c r="L82" s="20">
        <v>0</v>
      </c>
    </row>
    <row r="83" spans="1:12">
      <c r="A83" s="2" t="s">
        <v>444</v>
      </c>
      <c r="B83" s="3" t="s">
        <v>445</v>
      </c>
      <c r="D83" s="20">
        <v>4.6688132020902384E-4</v>
      </c>
      <c r="E83" s="20">
        <v>0.84345961671978864</v>
      </c>
      <c r="F83" s="20">
        <v>0.57203839913785481</v>
      </c>
      <c r="G83" s="20">
        <v>0.1207037430749964</v>
      </c>
      <c r="H83" s="20">
        <v>0</v>
      </c>
      <c r="I83" s="20">
        <v>0.1507174745069374</v>
      </c>
      <c r="J83" s="20">
        <v>1.2187959422638677E-2</v>
      </c>
      <c r="K83" s="20">
        <v>0.14388554253736371</v>
      </c>
      <c r="L83" s="20">
        <v>0</v>
      </c>
    </row>
    <row r="84" spans="1:12">
      <c r="A84" s="2" t="s">
        <v>446</v>
      </c>
      <c r="B84" s="3" t="s">
        <v>447</v>
      </c>
      <c r="D84" s="20">
        <v>4.570715823609367E-15</v>
      </c>
      <c r="E84" s="20">
        <v>0.97213718511982228</v>
      </c>
      <c r="F84" s="20">
        <v>4.2345074856014785E-3</v>
      </c>
      <c r="G84" s="20">
        <v>1.4706132016575702E-3</v>
      </c>
      <c r="H84" s="20">
        <v>0</v>
      </c>
      <c r="I84" s="20">
        <v>0.96643206443256324</v>
      </c>
      <c r="J84" s="20">
        <v>6.9874237283039159E-4</v>
      </c>
      <c r="K84" s="20">
        <v>2.7164072507342818E-2</v>
      </c>
      <c r="L84" s="20">
        <v>0</v>
      </c>
    </row>
    <row r="85" spans="1:12">
      <c r="A85" s="2" t="s">
        <v>448</v>
      </c>
      <c r="B85" s="3" t="s">
        <v>449</v>
      </c>
      <c r="D85" s="20">
        <v>3.1218880676771389E-8</v>
      </c>
      <c r="E85" s="20">
        <v>0.99428452933554723</v>
      </c>
      <c r="F85" s="20">
        <v>1.6874698114068611E-4</v>
      </c>
      <c r="G85" s="20">
        <v>7.4461463446357846E-5</v>
      </c>
      <c r="H85" s="20">
        <v>0</v>
      </c>
      <c r="I85" s="20">
        <v>0.9940413208909602</v>
      </c>
      <c r="J85" s="20">
        <v>5.8176897188751294E-4</v>
      </c>
      <c r="K85" s="20">
        <v>5.1336704736844336E-3</v>
      </c>
      <c r="L85" s="20">
        <v>0</v>
      </c>
    </row>
    <row r="86" spans="1:12">
      <c r="A86" s="2" t="s">
        <v>450</v>
      </c>
      <c r="B86" s="3" t="s">
        <v>451</v>
      </c>
      <c r="D86" s="20">
        <v>1.1489188248530169E-8</v>
      </c>
      <c r="E86" s="20">
        <v>0.97281585006475857</v>
      </c>
      <c r="F86" s="20">
        <v>4.0318840091394638E-3</v>
      </c>
      <c r="G86" s="20">
        <v>1.405411765784694E-3</v>
      </c>
      <c r="H86" s="20">
        <v>0</v>
      </c>
      <c r="I86" s="20">
        <v>0.96737855428983444</v>
      </c>
      <c r="J86" s="20">
        <v>6.9303760970092188E-4</v>
      </c>
      <c r="K86" s="20">
        <v>2.6491100836352387E-2</v>
      </c>
      <c r="L86" s="20">
        <v>0</v>
      </c>
    </row>
    <row r="87" spans="1:12">
      <c r="A87" s="2" t="s">
        <v>452</v>
      </c>
      <c r="B87" s="3" t="s">
        <v>453</v>
      </c>
      <c r="D87" s="20">
        <v>3.7314351116634831E-8</v>
      </c>
      <c r="E87" s="20">
        <v>0.89525141648880169</v>
      </c>
      <c r="F87" s="20">
        <v>0.21178469805909239</v>
      </c>
      <c r="G87" s="20">
        <v>0.68295192499004143</v>
      </c>
      <c r="H87" s="20">
        <v>0</v>
      </c>
      <c r="I87" s="20">
        <v>5.1479343966788233E-4</v>
      </c>
      <c r="J87" s="20">
        <v>7.2929544175567157E-2</v>
      </c>
      <c r="K87" s="20">
        <v>3.1819002021279935E-2</v>
      </c>
      <c r="L87" s="20">
        <v>0</v>
      </c>
    </row>
    <row r="88" spans="1:12">
      <c r="A88" s="2" t="s">
        <v>454</v>
      </c>
      <c r="B88" s="3" t="s">
        <v>455</v>
      </c>
      <c r="D88" s="20">
        <v>3.6652919734110724E-5</v>
      </c>
      <c r="E88" s="20">
        <v>0.86197458489906731</v>
      </c>
      <c r="F88" s="20">
        <v>0.12109529237930272</v>
      </c>
      <c r="G88" s="20">
        <v>3.2108706880109562E-2</v>
      </c>
      <c r="H88" s="20">
        <v>0</v>
      </c>
      <c r="I88" s="20">
        <v>0.708770585639655</v>
      </c>
      <c r="J88" s="20">
        <v>3.5516310163692605E-3</v>
      </c>
      <c r="K88" s="20">
        <v>0.1344371311648293</v>
      </c>
      <c r="L88" s="20">
        <v>0</v>
      </c>
    </row>
    <row r="89" spans="1:12">
      <c r="A89" s="2" t="s">
        <v>456</v>
      </c>
      <c r="B89" s="3" t="s">
        <v>457</v>
      </c>
      <c r="D89" s="20">
        <v>2.4232047225889656E-17</v>
      </c>
      <c r="E89" s="20">
        <v>0.88966496106834947</v>
      </c>
      <c r="F89" s="20">
        <v>7.1221118700248651E-2</v>
      </c>
      <c r="G89" s="20">
        <v>1.9810906414864979E-2</v>
      </c>
      <c r="H89" s="20">
        <v>0</v>
      </c>
      <c r="I89" s="20">
        <v>0.79863293595323581</v>
      </c>
      <c r="J89" s="20">
        <v>2.390477260161449E-3</v>
      </c>
      <c r="K89" s="20">
        <v>0.10794456167148897</v>
      </c>
      <c r="L89" s="20">
        <v>0</v>
      </c>
    </row>
    <row r="90" spans="1:12">
      <c r="A90" s="2" t="s">
        <v>458</v>
      </c>
      <c r="B90" s="3" t="s">
        <v>459</v>
      </c>
      <c r="D90" s="20">
        <v>3.5022398446544069E-29</v>
      </c>
      <c r="E90" s="20">
        <v>0.94607442127967567</v>
      </c>
      <c r="F90" s="20">
        <v>1.5840342547124797E-2</v>
      </c>
      <c r="G90" s="20">
        <v>4.9757680181311869E-3</v>
      </c>
      <c r="H90" s="20">
        <v>0</v>
      </c>
      <c r="I90" s="20">
        <v>0.92525831071441966</v>
      </c>
      <c r="J90" s="20">
        <v>1.0132902773285024E-3</v>
      </c>
      <c r="K90" s="20">
        <v>5.29122884429956E-2</v>
      </c>
      <c r="L90" s="20">
        <v>0</v>
      </c>
    </row>
    <row r="91" spans="1:12">
      <c r="A91" s="2" t="s">
        <v>460</v>
      </c>
      <c r="B91" s="3" t="s">
        <v>461</v>
      </c>
      <c r="D91" s="20">
        <v>4.0631395426171001E-8</v>
      </c>
      <c r="E91" s="20">
        <v>0.9117559410782492</v>
      </c>
      <c r="F91" s="20">
        <v>0.55230684046843359</v>
      </c>
      <c r="G91" s="20">
        <v>0.35593932907195147</v>
      </c>
      <c r="H91" s="20">
        <v>0</v>
      </c>
      <c r="I91" s="20">
        <v>3.5097715378641201E-3</v>
      </c>
      <c r="J91" s="20">
        <v>3.7185007310027079E-2</v>
      </c>
      <c r="K91" s="20">
        <v>5.1059010980328244E-2</v>
      </c>
      <c r="L91" s="20">
        <v>0</v>
      </c>
    </row>
    <row r="92" spans="1:12">
      <c r="A92" s="2" t="s">
        <v>462</v>
      </c>
      <c r="B92" s="3" t="s">
        <v>463</v>
      </c>
      <c r="D92" s="20">
        <v>4.1715231752117804E-9</v>
      </c>
      <c r="E92" s="20">
        <v>0.82937399289910774</v>
      </c>
      <c r="F92" s="20">
        <v>0.50502554385377207</v>
      </c>
      <c r="G92" s="20">
        <v>0.11035929066086785</v>
      </c>
      <c r="H92" s="20">
        <v>0</v>
      </c>
      <c r="I92" s="20">
        <v>0.2139891583844678</v>
      </c>
      <c r="J92" s="20">
        <v>1.114633558789532E-2</v>
      </c>
      <c r="K92" s="20">
        <v>0.15947966734147367</v>
      </c>
      <c r="L92" s="20">
        <v>0</v>
      </c>
    </row>
    <row r="93" spans="1:12">
      <c r="A93" s="2" t="s">
        <v>464</v>
      </c>
      <c r="B93" s="3" t="s">
        <v>465</v>
      </c>
      <c r="D93" s="20">
        <v>1.70058060955826E-4</v>
      </c>
      <c r="E93" s="20">
        <v>0.89693960385728277</v>
      </c>
      <c r="F93" s="20">
        <v>0.71782058281315875</v>
      </c>
      <c r="G93" s="20">
        <v>0.13586621051123329</v>
      </c>
      <c r="H93" s="20">
        <v>0</v>
      </c>
      <c r="I93" s="20">
        <v>4.3252810532890727E-2</v>
      </c>
      <c r="J93" s="20">
        <v>1.3804661386197169E-2</v>
      </c>
      <c r="K93" s="20">
        <v>8.908567669556422E-2</v>
      </c>
      <c r="L93" s="20">
        <v>0</v>
      </c>
    </row>
    <row r="94" spans="1:12">
      <c r="A94" s="2" t="s">
        <v>466</v>
      </c>
      <c r="B94" s="3" t="s">
        <v>467</v>
      </c>
      <c r="D94" s="20">
        <v>1.4258394092170881E-18</v>
      </c>
      <c r="E94" s="20">
        <v>0.99921760219439482</v>
      </c>
      <c r="F94" s="20">
        <v>0.10499324714256859</v>
      </c>
      <c r="G94" s="20">
        <v>1.3797482819298582E-5</v>
      </c>
      <c r="H94" s="20">
        <v>0</v>
      </c>
      <c r="I94" s="20">
        <v>0.89421055756900691</v>
      </c>
      <c r="J94" s="20">
        <v>7.1514718713517136E-4</v>
      </c>
      <c r="K94" s="20">
        <v>6.7250618469850347E-5</v>
      </c>
      <c r="L94" s="20">
        <v>0</v>
      </c>
    </row>
    <row r="95" spans="1:12">
      <c r="A95" s="2" t="s">
        <v>468</v>
      </c>
      <c r="B95" s="3" t="s">
        <v>469</v>
      </c>
      <c r="D95" s="20">
        <v>1.6574716916568556E-18</v>
      </c>
      <c r="E95" s="20">
        <v>0.92997209490050081</v>
      </c>
      <c r="F95" s="20">
        <v>0.73886450577769514</v>
      </c>
      <c r="G95" s="20">
        <v>0.18279333623953456</v>
      </c>
      <c r="H95" s="20">
        <v>0</v>
      </c>
      <c r="I95" s="20">
        <v>8.3142528832711258E-3</v>
      </c>
      <c r="J95" s="20">
        <v>1.8853031323508553E-2</v>
      </c>
      <c r="K95" s="20">
        <v>5.1174873775990656E-2</v>
      </c>
      <c r="L95" s="20">
        <v>0</v>
      </c>
    </row>
    <row r="96" spans="1:12">
      <c r="A96" s="2" t="s">
        <v>470</v>
      </c>
      <c r="B96" s="163">
        <v>354656</v>
      </c>
      <c r="D96" s="20">
        <v>2.9159413785909347E-10</v>
      </c>
      <c r="E96" s="20">
        <v>0.98647613511059262</v>
      </c>
      <c r="F96" s="20">
        <v>9.9953377328301394E-4</v>
      </c>
      <c r="G96" s="20">
        <v>3.8662775569748642E-4</v>
      </c>
      <c r="H96" s="20">
        <v>0</v>
      </c>
      <c r="I96" s="20">
        <v>0.9850899735816121</v>
      </c>
      <c r="J96" s="20">
        <v>6.0603803897580006E-4</v>
      </c>
      <c r="K96" s="20">
        <v>1.2917826558837407E-2</v>
      </c>
      <c r="L96" s="20">
        <v>0</v>
      </c>
    </row>
    <row r="97" spans="1:12">
      <c r="A97" s="2" t="s">
        <v>472</v>
      </c>
      <c r="B97" s="3" t="s">
        <v>473</v>
      </c>
      <c r="D97" s="20">
        <v>4.5690567384229657E-10</v>
      </c>
      <c r="E97" s="20">
        <v>0.97179168498125523</v>
      </c>
      <c r="F97" s="20">
        <v>4.3395553839740775E-3</v>
      </c>
      <c r="G97" s="20">
        <v>1.5043219443338614E-3</v>
      </c>
      <c r="H97" s="20">
        <v>0</v>
      </c>
      <c r="I97" s="20">
        <v>0.9659478076529473</v>
      </c>
      <c r="J97" s="20">
        <v>7.0169558878187266E-4</v>
      </c>
      <c r="K97" s="20">
        <v>2.7506618973057298E-2</v>
      </c>
      <c r="L97" s="20">
        <v>0</v>
      </c>
    </row>
    <row r="98" spans="1:12">
      <c r="A98" s="2" t="s">
        <v>474</v>
      </c>
      <c r="B98" s="3" t="s">
        <v>475</v>
      </c>
      <c r="D98" s="20">
        <v>3.9084333271360213E-20</v>
      </c>
      <c r="E98" s="20">
        <v>0.92274091757537058</v>
      </c>
      <c r="F98" s="20">
        <v>0.76669281296169722</v>
      </c>
      <c r="G98" s="20">
        <v>0.13630661962986781</v>
      </c>
      <c r="H98" s="20">
        <v>0</v>
      </c>
      <c r="I98" s="20">
        <v>1.9741484983805579E-2</v>
      </c>
      <c r="J98" s="20">
        <v>1.3928516595539592E-2</v>
      </c>
      <c r="K98" s="20">
        <v>6.3330565829089885E-2</v>
      </c>
      <c r="L98" s="20">
        <v>0</v>
      </c>
    </row>
    <row r="99" spans="1:12">
      <c r="A99" s="2" t="s">
        <v>476</v>
      </c>
      <c r="B99" s="3" t="s">
        <v>477</v>
      </c>
      <c r="D99" s="20">
        <v>1.3597343727811776E-7</v>
      </c>
      <c r="E99" s="20">
        <v>0.9958734267756173</v>
      </c>
      <c r="F99" s="20">
        <v>8.288439286007058E-5</v>
      </c>
      <c r="G99" s="20">
        <v>3.8545023600888067E-5</v>
      </c>
      <c r="H99" s="20">
        <v>0</v>
      </c>
      <c r="I99" s="20">
        <v>0.99575199735915632</v>
      </c>
      <c r="J99" s="20">
        <v>5.7940827189800564E-4</v>
      </c>
      <c r="K99" s="20">
        <v>3.5470289790473369E-3</v>
      </c>
      <c r="L99" s="20">
        <v>0</v>
      </c>
    </row>
    <row r="100" spans="1:12">
      <c r="A100" s="2" t="s">
        <v>478</v>
      </c>
      <c r="B100" s="3" t="s">
        <v>479</v>
      </c>
      <c r="D100" s="20">
        <v>4.8722102279920542E-11</v>
      </c>
      <c r="E100" s="20">
        <v>0.82422552165730956</v>
      </c>
      <c r="F100" s="20">
        <v>0.25819314252536013</v>
      </c>
      <c r="G100" s="20">
        <v>6.3130649698735788E-2</v>
      </c>
      <c r="H100" s="20">
        <v>0</v>
      </c>
      <c r="I100" s="20">
        <v>0.50290172943321365</v>
      </c>
      <c r="J100" s="20">
        <v>6.5213597111901831E-3</v>
      </c>
      <c r="K100" s="20">
        <v>0.16925311858277808</v>
      </c>
      <c r="L100" s="20">
        <v>0</v>
      </c>
    </row>
    <row r="101" spans="1:12">
      <c r="A101" s="2" t="s">
        <v>480</v>
      </c>
      <c r="B101" s="3" t="s">
        <v>481</v>
      </c>
      <c r="D101" s="20">
        <v>3.670386666746716E-11</v>
      </c>
      <c r="E101" s="20">
        <v>0.99345833336595979</v>
      </c>
      <c r="F101" s="20">
        <v>2.2476594103977348E-4</v>
      </c>
      <c r="G101" s="20">
        <v>9.7101526703782413E-5</v>
      </c>
      <c r="H101" s="20">
        <v>0</v>
      </c>
      <c r="I101" s="20">
        <v>0.99313646589821625</v>
      </c>
      <c r="J101" s="20">
        <v>5.8336504883478753E-4</v>
      </c>
      <c r="K101" s="20">
        <v>5.9583015485015758E-3</v>
      </c>
      <c r="L101" s="20">
        <v>0</v>
      </c>
    </row>
    <row r="102" spans="1:12">
      <c r="A102" s="2" t="s">
        <v>482</v>
      </c>
      <c r="B102" s="3" t="s">
        <v>483</v>
      </c>
      <c r="D102" s="20">
        <v>2.2931224187713686E-27</v>
      </c>
      <c r="E102" s="20">
        <v>0.99791817947302319</v>
      </c>
      <c r="F102" s="20">
        <v>1.5945785750271706E-5</v>
      </c>
      <c r="G102" s="20">
        <v>8.374164347998162E-6</v>
      </c>
      <c r="H102" s="20">
        <v>0</v>
      </c>
      <c r="I102" s="20">
        <v>0.99789385952292498</v>
      </c>
      <c r="J102" s="20">
        <v>5.7785493443952547E-4</v>
      </c>
      <c r="K102" s="20">
        <v>1.5039655925373045E-3</v>
      </c>
      <c r="L102" s="20">
        <v>0</v>
      </c>
    </row>
    <row r="103" spans="1:12">
      <c r="A103" s="2" t="s">
        <v>484</v>
      </c>
      <c r="B103" s="3" t="s">
        <v>485</v>
      </c>
      <c r="D103" s="20">
        <v>1.8338201099228234E-13</v>
      </c>
      <c r="E103" s="20">
        <v>0.99598698324023638</v>
      </c>
      <c r="F103" s="20">
        <v>7.7870939652342777E-5</v>
      </c>
      <c r="G103" s="20">
        <v>3.6380693263599645E-5</v>
      </c>
      <c r="H103" s="20">
        <v>0</v>
      </c>
      <c r="I103" s="20">
        <v>0.99587273160732048</v>
      </c>
      <c r="J103" s="20">
        <v>5.7927688828084036E-4</v>
      </c>
      <c r="K103" s="20">
        <v>3.4337398712989799E-3</v>
      </c>
      <c r="L103" s="20">
        <v>0</v>
      </c>
    </row>
    <row r="104" spans="1:12">
      <c r="A104" s="2" t="s">
        <v>486</v>
      </c>
      <c r="B104" s="3" t="s">
        <v>487</v>
      </c>
      <c r="D104" s="20">
        <v>2.3067084463969519E-9</v>
      </c>
      <c r="E104" s="20">
        <v>0.97966925492342771</v>
      </c>
      <c r="F104" s="20">
        <v>2.2615770594130013E-3</v>
      </c>
      <c r="G104" s="20">
        <v>8.2320300208098903E-4</v>
      </c>
      <c r="H104" s="20">
        <v>0</v>
      </c>
      <c r="I104" s="20">
        <v>0.97658447486193367</v>
      </c>
      <c r="J104" s="20">
        <v>6.4266272979220324E-4</v>
      </c>
      <c r="K104" s="20">
        <v>1.9688080040071741E-2</v>
      </c>
      <c r="L104" s="20">
        <v>0</v>
      </c>
    </row>
    <row r="105" spans="1:12">
      <c r="A105" s="2" t="s">
        <v>488</v>
      </c>
      <c r="B105" s="3" t="s">
        <v>489</v>
      </c>
      <c r="D105" s="20">
        <v>1.8244505565751183E-16</v>
      </c>
      <c r="E105" s="20">
        <v>0.99761758873033235</v>
      </c>
      <c r="F105" s="20">
        <v>2.2623030582546807E-5</v>
      </c>
      <c r="G105" s="20">
        <v>1.1578341050959375E-5</v>
      </c>
      <c r="H105" s="20">
        <v>0</v>
      </c>
      <c r="I105" s="20">
        <v>0.99758338735869889</v>
      </c>
      <c r="J105" s="20">
        <v>5.7796996949597234E-4</v>
      </c>
      <c r="K105" s="20">
        <v>1.804441300171448E-3</v>
      </c>
      <c r="L105" s="20">
        <v>0</v>
      </c>
    </row>
    <row r="106" spans="1:12">
      <c r="A106" s="2" t="s">
        <v>490</v>
      </c>
      <c r="B106" s="3" t="s">
        <v>491</v>
      </c>
      <c r="D106" s="20">
        <v>1.0790066774975446E-8</v>
      </c>
      <c r="E106" s="20">
        <v>0.93202209173201545</v>
      </c>
      <c r="F106" s="20">
        <v>2.5377148243337675E-2</v>
      </c>
      <c r="G106" s="20">
        <v>7.6831333691134863E-3</v>
      </c>
      <c r="H106" s="20">
        <v>0</v>
      </c>
      <c r="I106" s="20">
        <v>0.89896181011956433</v>
      </c>
      <c r="J106" s="20">
        <v>1.2611612145927826E-3</v>
      </c>
      <c r="K106" s="20">
        <v>6.6716736263325138E-2</v>
      </c>
      <c r="L106" s="20">
        <v>0</v>
      </c>
    </row>
    <row r="107" spans="1:12">
      <c r="A107" s="2" t="s">
        <v>492</v>
      </c>
      <c r="B107" s="3" t="s">
        <v>493</v>
      </c>
      <c r="D107" s="20">
        <v>1.8178121774918757E-16</v>
      </c>
      <c r="E107" s="20">
        <v>0.93091482192825303</v>
      </c>
      <c r="F107" s="20">
        <v>0.78085014043916856</v>
      </c>
      <c r="G107" s="20">
        <v>0.1355386788604078</v>
      </c>
      <c r="H107" s="20">
        <v>0</v>
      </c>
      <c r="I107" s="20">
        <v>1.4526002628676709E-2</v>
      </c>
      <c r="J107" s="20">
        <v>1.3882560823687455E-2</v>
      </c>
      <c r="K107" s="20">
        <v>5.520261724805927E-2</v>
      </c>
      <c r="L107" s="20">
        <v>0</v>
      </c>
    </row>
    <row r="108" spans="1:12">
      <c r="A108" s="2" t="s">
        <v>291</v>
      </c>
      <c r="B108" s="3" t="s">
        <v>494</v>
      </c>
      <c r="D108" s="20">
        <v>2.7812500456770541E-10</v>
      </c>
      <c r="E108" s="20">
        <v>0.8336062030030007</v>
      </c>
      <c r="F108" s="20">
        <v>0.20761499620978291</v>
      </c>
      <c r="G108" s="20">
        <v>5.2089990130240731E-2</v>
      </c>
      <c r="H108" s="20">
        <v>0</v>
      </c>
      <c r="I108" s="20">
        <v>0.57390121666297711</v>
      </c>
      <c r="J108" s="20">
        <v>5.4587257460603509E-3</v>
      </c>
      <c r="K108" s="20">
        <v>0.16093507097281393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1.1795560860422065E-8</v>
      </c>
      <c r="E2" s="14">
        <v>1.291741777412215E-4</v>
      </c>
      <c r="F2" s="14">
        <v>6.1650596086082803E-6</v>
      </c>
      <c r="G2" s="14">
        <v>1.7956960834479761E-6</v>
      </c>
      <c r="H2" s="14">
        <v>0</v>
      </c>
      <c r="I2" s="14">
        <v>2.4866554914872026E-7</v>
      </c>
      <c r="J2" s="14">
        <v>1.2604605456713064E-5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4.1486601786388913E-7</v>
      </c>
      <c r="E3" s="14">
        <v>9.7360988079129663E-8</v>
      </c>
      <c r="F3" s="14">
        <v>3.6101608069187239E-5</v>
      </c>
      <c r="G3" s="14">
        <v>9.7818748568336228E-5</v>
      </c>
      <c r="H3" s="14">
        <v>0</v>
      </c>
      <c r="I3" s="14">
        <v>1.0420838783648892E-5</v>
      </c>
      <c r="J3" s="14">
        <v>5.1465775728845992E-6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6.33988439543858E-16</v>
      </c>
      <c r="E4" s="14">
        <v>6.5321845905755307E-5</v>
      </c>
      <c r="F4" s="14">
        <v>4.6419453496315015E-5</v>
      </c>
      <c r="G4" s="14">
        <v>1.1081424159025553E-5</v>
      </c>
      <c r="H4" s="14">
        <v>0</v>
      </c>
      <c r="I4" s="14">
        <v>1.1342171742395247E-6</v>
      </c>
      <c r="J4" s="14">
        <v>2.6043059264030587E-5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1.4761870641203971E-8</v>
      </c>
      <c r="E5" s="14">
        <v>1.0936000093147925E-6</v>
      </c>
      <c r="F5" s="14">
        <v>1.0689566160534794E-4</v>
      </c>
      <c r="G5" s="14">
        <v>3.1020988659894361E-5</v>
      </c>
      <c r="H5" s="14">
        <v>0</v>
      </c>
      <c r="I5" s="14">
        <v>3.2062215819061509E-6</v>
      </c>
      <c r="J5" s="14">
        <v>7.768766272895499E-6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1.331945941733769E-9</v>
      </c>
      <c r="E6" s="14">
        <v>4.2904585333422988E-8</v>
      </c>
      <c r="F6" s="14">
        <v>2.2688473818685683E-5</v>
      </c>
      <c r="G6" s="14">
        <v>1.11429668532366E-4</v>
      </c>
      <c r="H6" s="14">
        <v>0</v>
      </c>
      <c r="I6" s="14">
        <v>1.1967743246927412E-5</v>
      </c>
      <c r="J6" s="14">
        <v>3.8698778707457248E-6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1.989903812980434E-9</v>
      </c>
      <c r="E7" s="14">
        <v>8.6885878015013866E-8</v>
      </c>
      <c r="F7" s="14">
        <v>3.3935227772625765E-5</v>
      </c>
      <c r="G7" s="14">
        <v>1.0031048353557824E-4</v>
      </c>
      <c r="H7" s="14">
        <v>0</v>
      </c>
      <c r="I7" s="14">
        <v>1.0699000909817971E-5</v>
      </c>
      <c r="J7" s="14">
        <v>4.9664120001500264E-6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1.914417685379851E-8</v>
      </c>
      <c r="E8" s="14">
        <v>1.9714865004046683E-7</v>
      </c>
      <c r="F8" s="14">
        <v>5.260843492587111E-5</v>
      </c>
      <c r="G8" s="14">
        <v>8.2139288631653321E-5</v>
      </c>
      <c r="H8" s="14">
        <v>0</v>
      </c>
      <c r="I8" s="14">
        <v>8.6849069091949337E-6</v>
      </c>
      <c r="J8" s="14">
        <v>6.3510767063863597E-6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1.3438078104736624E-8</v>
      </c>
      <c r="E9" s="14">
        <v>1.0114729455899308E-5</v>
      </c>
      <c r="F9" s="14">
        <v>1.0180189101366084E-4</v>
      </c>
      <c r="G9" s="14">
        <v>1.9991777086655226E-5</v>
      </c>
      <c r="H9" s="14">
        <v>0</v>
      </c>
      <c r="I9" s="14">
        <v>2.0254742754282132E-6</v>
      </c>
      <c r="J9" s="14">
        <v>1.6052690090251637E-5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1.8950593663361601E-10</v>
      </c>
      <c r="E10" s="14">
        <v>1.0162017292525843E-6</v>
      </c>
      <c r="F10" s="14">
        <v>1.0462645339142342E-4</v>
      </c>
      <c r="G10" s="14">
        <v>3.3123563988034491E-5</v>
      </c>
      <c r="H10" s="14">
        <v>0</v>
      </c>
      <c r="I10" s="14">
        <v>3.4275027176564563E-6</v>
      </c>
      <c r="J10" s="14">
        <v>7.806088667696401E-6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9.8541950327717753E-9</v>
      </c>
      <c r="E11" s="14">
        <v>8.9614495356856567E-7</v>
      </c>
      <c r="F11" s="14">
        <v>1.0060969625124164E-4</v>
      </c>
      <c r="G11" s="14">
        <v>3.6824375735063551E-5</v>
      </c>
      <c r="H11" s="14">
        <v>0</v>
      </c>
      <c r="I11" s="14">
        <v>3.8178390141887532E-6</v>
      </c>
      <c r="J11" s="14">
        <v>7.8420898509046694E-6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6.8704782307661225E-9</v>
      </c>
      <c r="E12" s="14">
        <v>6.3437210530084093E-6</v>
      </c>
      <c r="F12" s="14">
        <v>1.0794577586774044E-4</v>
      </c>
      <c r="G12" s="14">
        <v>2.0393943302021614E-5</v>
      </c>
      <c r="H12" s="14">
        <v>0</v>
      </c>
      <c r="I12" s="14">
        <v>2.0724436505470943E-6</v>
      </c>
      <c r="J12" s="14">
        <v>1.3237245648451635E-5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2.086824660832565E-8</v>
      </c>
      <c r="E13" s="14">
        <v>9.6824011151557454E-6</v>
      </c>
      <c r="F13" s="14">
        <v>1.0244827367332718E-4</v>
      </c>
      <c r="G13" s="14">
        <v>2.0044729504474735E-5</v>
      </c>
      <c r="H13" s="14">
        <v>0</v>
      </c>
      <c r="I13" s="14">
        <v>2.0313696557251859E-6</v>
      </c>
      <c r="J13" s="14">
        <v>1.5772357804708802E-5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6.5217311844007715E-9</v>
      </c>
      <c r="E14" s="14">
        <v>5.9055452817780219E-7</v>
      </c>
      <c r="F14" s="14">
        <v>8.6712474184633473E-5</v>
      </c>
      <c r="G14" s="14">
        <v>4.9759628990933227E-5</v>
      </c>
      <c r="H14" s="14">
        <v>0</v>
      </c>
      <c r="I14" s="14">
        <v>5.1902396593459747E-6</v>
      </c>
      <c r="J14" s="14">
        <v>7.7405809057250955E-6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1.0736335080249133E-11</v>
      </c>
      <c r="E15" s="14">
        <v>9.548016642510225E-7</v>
      </c>
      <c r="F15" s="14">
        <v>1.0265373171229199E-4</v>
      </c>
      <c r="G15" s="14">
        <v>3.4943813356668645E-5</v>
      </c>
      <c r="H15" s="14">
        <v>0</v>
      </c>
      <c r="I15" s="14">
        <v>3.6193559197108011E-6</v>
      </c>
      <c r="J15" s="14">
        <v>7.8282866107424417E-6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4.9784846292143552E-8</v>
      </c>
      <c r="E16" s="14">
        <v>2.041617034249743E-7</v>
      </c>
      <c r="F16" s="14">
        <v>5.3544621744210703E-5</v>
      </c>
      <c r="G16" s="14">
        <v>8.1210355250715431E-5</v>
      </c>
      <c r="H16" s="14">
        <v>0</v>
      </c>
      <c r="I16" s="14">
        <v>8.5832929373573113E-6</v>
      </c>
      <c r="J16" s="14">
        <v>6.4077835179994143E-6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3.7907000399509212E-9</v>
      </c>
      <c r="E17" s="14">
        <v>1.0673737791619989E-6</v>
      </c>
      <c r="F17" s="14">
        <v>1.0615442546538524E-4</v>
      </c>
      <c r="G17" s="14">
        <v>3.1712732155445629E-5</v>
      </c>
      <c r="H17" s="14">
        <v>0</v>
      </c>
      <c r="I17" s="14">
        <v>3.2789816588120103E-6</v>
      </c>
      <c r="J17" s="14">
        <v>7.782696241155142E-6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4.0819301066469377E-7</v>
      </c>
      <c r="E18" s="14">
        <v>1.2246801371781403E-5</v>
      </c>
      <c r="F18" s="14">
        <v>9.8420201193954912E-5</v>
      </c>
      <c r="G18" s="14">
        <v>1.9650780467422786E-5</v>
      </c>
      <c r="H18" s="14">
        <v>0</v>
      </c>
      <c r="I18" s="14">
        <v>1.9887516921714861E-6</v>
      </c>
      <c r="J18" s="14">
        <v>1.7285272264004685E-5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3.7622726871221258E-11</v>
      </c>
      <c r="E19" s="14">
        <v>9.4286036508096673E-7</v>
      </c>
      <c r="F19" s="14">
        <v>1.0225132726919267E-4</v>
      </c>
      <c r="G19" s="14">
        <v>3.5315430882155683E-5</v>
      </c>
      <c r="H19" s="14">
        <v>0</v>
      </c>
      <c r="I19" s="14">
        <v>3.6585557311251716E-6</v>
      </c>
      <c r="J19" s="14">
        <v>7.8317881297186022E-6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3.1589098947645892E-9</v>
      </c>
      <c r="E20" s="14">
        <v>9.6835444002217378E-6</v>
      </c>
      <c r="F20" s="14">
        <v>1.0246037062943695E-4</v>
      </c>
      <c r="G20" s="14">
        <v>2.0047096359516347E-5</v>
      </c>
      <c r="H20" s="14">
        <v>0</v>
      </c>
      <c r="I20" s="14">
        <v>2.0316095171565887E-6</v>
      </c>
      <c r="J20" s="14">
        <v>1.5774220183773573E-5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5.4730874491732174E-8</v>
      </c>
      <c r="E21" s="14">
        <v>6.6937501415315202E-7</v>
      </c>
      <c r="F21" s="14">
        <v>9.0918250811999952E-5</v>
      </c>
      <c r="G21" s="14">
        <v>4.5787467884482989E-5</v>
      </c>
      <c r="H21" s="14">
        <v>0</v>
      </c>
      <c r="I21" s="14">
        <v>4.7675088609893803E-6</v>
      </c>
      <c r="J21" s="14">
        <v>7.802666553882787E-6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2.732225045156827E-7</v>
      </c>
      <c r="E22" s="14">
        <v>1.0054803276784281E-4</v>
      </c>
      <c r="F22" s="14">
        <v>2.1514692948078452E-5</v>
      </c>
      <c r="G22" s="14">
        <v>5.61087647505733E-6</v>
      </c>
      <c r="H22" s="14">
        <v>0</v>
      </c>
      <c r="I22" s="14">
        <v>6.0812208125437988E-7</v>
      </c>
      <c r="J22" s="14">
        <v>2.1445053223251329E-5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1.1127939785507769E-8</v>
      </c>
      <c r="E23" s="14">
        <v>1.2150995973847223E-4</v>
      </c>
      <c r="F23" s="14">
        <v>9.8046806170472625E-6</v>
      </c>
      <c r="G23" s="14">
        <v>2.7474449965043174E-6</v>
      </c>
      <c r="H23" s="14">
        <v>0</v>
      </c>
      <c r="I23" s="14">
        <v>3.3752932665322564E-7</v>
      </c>
      <c r="J23" s="14">
        <v>1.5589257381537422E-5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1.02043468318019E-8</v>
      </c>
      <c r="E24" s="14">
        <v>3.1537141105220627E-5</v>
      </c>
      <c r="F24" s="14">
        <v>7.6313943396289595E-5</v>
      </c>
      <c r="G24" s="14">
        <v>1.6645599876903157E-5</v>
      </c>
      <c r="H24" s="14">
        <v>0</v>
      </c>
      <c r="I24" s="14">
        <v>1.6811113954229814E-6</v>
      </c>
      <c r="J24" s="14">
        <v>2.3811999879331854E-5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1.674492291106646E-6</v>
      </c>
      <c r="E25" s="14">
        <v>3.3699252098413383E-6</v>
      </c>
      <c r="F25" s="14">
        <v>1.1264238487706068E-4</v>
      </c>
      <c r="G25" s="14">
        <v>2.0248711477764761E-5</v>
      </c>
      <c r="H25" s="14">
        <v>0</v>
      </c>
      <c r="I25" s="14">
        <v>2.0669308931019783E-6</v>
      </c>
      <c r="J25" s="14">
        <v>9.9975552511245547E-6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4.399016129738677E-8</v>
      </c>
      <c r="E26" s="14">
        <v>7.2636124505268891E-7</v>
      </c>
      <c r="F26" s="14">
        <v>9.3664331690609091E-5</v>
      </c>
      <c r="G26" s="14">
        <v>4.32384178410201E-5</v>
      </c>
      <c r="H26" s="14">
        <v>0</v>
      </c>
      <c r="I26" s="14">
        <v>4.4968187818933759E-6</v>
      </c>
      <c r="J26" s="14">
        <v>7.8300802801273195E-6</v>
      </c>
      <c r="K26" s="14">
        <v>0</v>
      </c>
    </row>
    <row r="27" spans="1:13">
      <c r="A27" s="2" t="s">
        <v>353</v>
      </c>
      <c r="B27" s="3" t="s">
        <v>354</v>
      </c>
      <c r="D27" s="14">
        <v>2.8820051164519786E-7</v>
      </c>
      <c r="E27" s="14">
        <v>1.0726841350519296E-7</v>
      </c>
      <c r="F27" s="14">
        <v>3.8090215680708715E-5</v>
      </c>
      <c r="G27" s="14">
        <v>9.5986241651181255E-5</v>
      </c>
      <c r="H27" s="14">
        <v>0</v>
      </c>
      <c r="I27" s="14">
        <v>1.0215494661299401E-5</v>
      </c>
      <c r="J27" s="14">
        <v>5.3125790816602245E-6</v>
      </c>
      <c r="K27" s="14">
        <v>0</v>
      </c>
    </row>
    <row r="28" spans="1:13">
      <c r="A28" s="2" t="s">
        <v>355</v>
      </c>
      <c r="B28" s="3" t="s">
        <v>356</v>
      </c>
      <c r="D28" s="14">
        <v>1.6292062560719914E-8</v>
      </c>
      <c r="E28" s="14">
        <v>3.9559717270529573E-7</v>
      </c>
      <c r="F28" s="14">
        <v>7.3382880208718991E-5</v>
      </c>
      <c r="G28" s="14">
        <v>6.230032450356849E-5</v>
      </c>
      <c r="H28" s="14">
        <v>0</v>
      </c>
      <c r="I28" s="14">
        <v>6.5328822377439766E-6</v>
      </c>
      <c r="J28" s="14">
        <v>7.3720238147025063E-6</v>
      </c>
      <c r="K28" s="14">
        <v>0</v>
      </c>
    </row>
    <row r="29" spans="1:13">
      <c r="A29" s="2" t="s">
        <v>357</v>
      </c>
      <c r="B29" s="3" t="s">
        <v>358</v>
      </c>
      <c r="D29" s="14">
        <v>3.3328223966527986E-6</v>
      </c>
      <c r="E29" s="14">
        <v>6.0240598926288119E-7</v>
      </c>
      <c r="F29" s="14">
        <v>8.6184835176291366E-5</v>
      </c>
      <c r="G29" s="14">
        <v>4.735070077135956E-5</v>
      </c>
      <c r="H29" s="14">
        <v>0</v>
      </c>
      <c r="I29" s="14">
        <v>4.9360707666418461E-6</v>
      </c>
      <c r="J29" s="14">
        <v>7.5931648997915E-6</v>
      </c>
      <c r="K29" s="14">
        <v>0</v>
      </c>
    </row>
    <row r="30" spans="1:13">
      <c r="A30" s="2" t="s">
        <v>359</v>
      </c>
      <c r="B30" s="3" t="s">
        <v>360</v>
      </c>
      <c r="D30" s="14">
        <v>1.6292062560719914E-8</v>
      </c>
      <c r="E30" s="14">
        <v>3.9559717270529573E-7</v>
      </c>
      <c r="F30" s="14">
        <v>7.3382880208718991E-5</v>
      </c>
      <c r="G30" s="14">
        <v>6.230032450356849E-5</v>
      </c>
      <c r="H30" s="14">
        <v>0</v>
      </c>
      <c r="I30" s="14">
        <v>6.5328822377439766E-6</v>
      </c>
      <c r="J30" s="14">
        <v>7.3720238147025063E-6</v>
      </c>
      <c r="K30" s="14">
        <v>0</v>
      </c>
    </row>
    <row r="31" spans="1:13">
      <c r="A31" s="2" t="s">
        <v>283</v>
      </c>
      <c r="B31" s="3" t="s">
        <v>284</v>
      </c>
      <c r="D31" s="14">
        <v>3.0988386661658522E-12</v>
      </c>
      <c r="E31" s="14">
        <v>1.4828460897382148E-4</v>
      </c>
      <c r="F31" s="14">
        <v>9.1246801639306431E-8</v>
      </c>
      <c r="G31" s="14">
        <v>3.6619567101636877E-8</v>
      </c>
      <c r="H31" s="14">
        <v>0</v>
      </c>
      <c r="I31" s="14">
        <v>8.9184135721599663E-8</v>
      </c>
      <c r="J31" s="14">
        <v>1.4983374228772863E-6</v>
      </c>
      <c r="K31" s="14">
        <v>0</v>
      </c>
    </row>
    <row r="32" spans="1:13">
      <c r="A32" s="2" t="s">
        <v>361</v>
      </c>
      <c r="B32" s="3" t="s">
        <v>362</v>
      </c>
      <c r="D32" s="14">
        <v>3.0411798424094297E-12</v>
      </c>
      <c r="E32" s="14">
        <v>7.9591260499779236E-5</v>
      </c>
      <c r="F32" s="14">
        <v>3.5779879828435202E-5</v>
      </c>
      <c r="G32" s="14">
        <v>8.8218067325950053E-6</v>
      </c>
      <c r="H32" s="14">
        <v>0</v>
      </c>
      <c r="I32" s="14">
        <v>9.2684458913393288E-7</v>
      </c>
      <c r="J32" s="14">
        <v>2.4880205308876751E-5</v>
      </c>
      <c r="K32" s="14">
        <v>0</v>
      </c>
    </row>
    <row r="33" spans="1:11">
      <c r="A33" s="2" t="s">
        <v>364</v>
      </c>
      <c r="B33" s="3" t="s">
        <v>365</v>
      </c>
      <c r="D33" s="14">
        <v>1.4075883831032183E-14</v>
      </c>
      <c r="E33" s="14">
        <v>1.4927838812265807E-4</v>
      </c>
      <c r="F33" s="14">
        <v>6.2999704344972004E-7</v>
      </c>
      <c r="G33" s="14">
        <v>1.9264858965369805E-10</v>
      </c>
      <c r="H33" s="14">
        <v>0</v>
      </c>
      <c r="I33" s="14">
        <v>8.7809218703160469E-8</v>
      </c>
      <c r="J33" s="14">
        <v>3.6129525234636183E-9</v>
      </c>
      <c r="K33" s="14">
        <v>0</v>
      </c>
    </row>
    <row r="34" spans="1:11">
      <c r="A34" s="2" t="s">
        <v>285</v>
      </c>
      <c r="B34" s="3" t="s">
        <v>286</v>
      </c>
      <c r="D34" s="14">
        <v>4.1833597294651544E-14</v>
      </c>
      <c r="E34" s="14">
        <v>8.2064637373984651E-5</v>
      </c>
      <c r="F34" s="14">
        <v>6.7757539838244265E-5</v>
      </c>
      <c r="G34" s="14">
        <v>5.5645767425434875E-9</v>
      </c>
      <c r="H34" s="14">
        <v>0</v>
      </c>
      <c r="I34" s="14">
        <v>1.5995183918730519E-7</v>
      </c>
      <c r="J34" s="14">
        <v>1.2306330007615867E-8</v>
      </c>
      <c r="K34" s="14">
        <v>0</v>
      </c>
    </row>
    <row r="35" spans="1:11">
      <c r="A35" s="2" t="s">
        <v>287</v>
      </c>
      <c r="B35" s="3" t="s">
        <v>288</v>
      </c>
      <c r="D35" s="14">
        <v>1.2185292830137031E-15</v>
      </c>
      <c r="E35" s="14">
        <v>4.8582206254446556E-5</v>
      </c>
      <c r="F35" s="14">
        <v>1.0118096282352825E-4</v>
      </c>
      <c r="G35" s="14">
        <v>1.9594136555590139E-8</v>
      </c>
      <c r="H35" s="14">
        <v>0</v>
      </c>
      <c r="I35" s="14">
        <v>1.8745007329464211E-7</v>
      </c>
      <c r="J35" s="14">
        <v>2.9786710956383889E-8</v>
      </c>
      <c r="K35" s="14">
        <v>0</v>
      </c>
    </row>
    <row r="36" spans="1:11">
      <c r="A36" s="2" t="s">
        <v>366</v>
      </c>
      <c r="B36" s="3" t="s">
        <v>305</v>
      </c>
      <c r="D36" s="14">
        <v>2.1480483137581508E-12</v>
      </c>
      <c r="E36" s="14">
        <v>1.6204221405233451E-5</v>
      </c>
      <c r="F36" s="14">
        <v>1.3352105119459926E-4</v>
      </c>
      <c r="G36" s="14">
        <v>3.8228875752393725E-8</v>
      </c>
      <c r="H36" s="14">
        <v>0</v>
      </c>
      <c r="I36" s="14">
        <v>2.0320835764352701E-7</v>
      </c>
      <c r="J36" s="14">
        <v>3.3288018723025655E-8</v>
      </c>
      <c r="K36" s="14">
        <v>0</v>
      </c>
    </row>
    <row r="37" spans="1:11">
      <c r="A37" s="2" t="s">
        <v>289</v>
      </c>
      <c r="B37" s="3" t="s">
        <v>290</v>
      </c>
      <c r="D37" s="14">
        <v>5.0830996480973243E-19</v>
      </c>
      <c r="E37" s="14">
        <v>3.244381676997222E-5</v>
      </c>
      <c r="F37" s="14">
        <v>1.0866595830958105E-4</v>
      </c>
      <c r="G37" s="14">
        <v>3.7099069356789783E-6</v>
      </c>
      <c r="H37" s="14">
        <v>0</v>
      </c>
      <c r="I37" s="14">
        <v>5.2810663966736034E-7</v>
      </c>
      <c r="J37" s="14">
        <v>4.6522113450998365E-6</v>
      </c>
      <c r="K37" s="14">
        <v>0</v>
      </c>
    </row>
    <row r="38" spans="1:11">
      <c r="A38" s="2" t="s">
        <v>291</v>
      </c>
      <c r="B38" s="3" t="s">
        <v>292</v>
      </c>
      <c r="D38" s="14">
        <v>1.4095923601991747E-16</v>
      </c>
      <c r="E38" s="14">
        <v>9.1990258672941335E-5</v>
      </c>
      <c r="F38" s="14">
        <v>5.768772528545514E-5</v>
      </c>
      <c r="G38" s="14">
        <v>4.8194831043205528E-8</v>
      </c>
      <c r="H38" s="14">
        <v>0</v>
      </c>
      <c r="I38" s="14">
        <v>1.5467043231133262E-7</v>
      </c>
      <c r="J38" s="14">
        <v>1.1915077810799419E-7</v>
      </c>
      <c r="K38" s="14">
        <v>0</v>
      </c>
    </row>
    <row r="39" spans="1:11">
      <c r="A39" s="2" t="s">
        <v>367</v>
      </c>
      <c r="B39" s="3" t="s">
        <v>368</v>
      </c>
      <c r="D39" s="14">
        <v>1.788023345365432E-9</v>
      </c>
      <c r="E39" s="14">
        <v>1.637533882655679E-6</v>
      </c>
      <c r="F39" s="14">
        <v>1.1822024884937945E-4</v>
      </c>
      <c r="G39" s="14">
        <v>2.0648448486439219E-5</v>
      </c>
      <c r="H39" s="14">
        <v>0</v>
      </c>
      <c r="I39" s="14">
        <v>2.1200059020250184E-6</v>
      </c>
      <c r="J39" s="14">
        <v>7.3719748561552469E-6</v>
      </c>
      <c r="K39" s="14">
        <v>0</v>
      </c>
    </row>
    <row r="40" spans="1:11">
      <c r="A40" s="2" t="s">
        <v>369</v>
      </c>
      <c r="B40" s="3" t="s">
        <v>370</v>
      </c>
      <c r="D40" s="14">
        <v>9.9588641805188268E-17</v>
      </c>
      <c r="E40" s="14">
        <v>1.3959899626100888E-7</v>
      </c>
      <c r="F40" s="14">
        <v>1.2736903838714834E-4</v>
      </c>
      <c r="G40" s="14">
        <v>9.2147646355477228E-6</v>
      </c>
      <c r="H40" s="14">
        <v>0</v>
      </c>
      <c r="I40" s="14">
        <v>1.3107561412512333E-5</v>
      </c>
      <c r="J40" s="14">
        <v>1.6903656843100221E-7</v>
      </c>
      <c r="K40" s="14">
        <v>0</v>
      </c>
    </row>
    <row r="41" spans="1:11">
      <c r="A41" s="2" t="s">
        <v>371</v>
      </c>
      <c r="B41" s="3" t="s">
        <v>372</v>
      </c>
      <c r="D41" s="14">
        <v>9.7418694876951767E-6</v>
      </c>
      <c r="E41" s="14">
        <v>1.3987478017260714E-4</v>
      </c>
      <c r="F41" s="14">
        <v>4.2821412752984541E-9</v>
      </c>
      <c r="G41" s="14">
        <v>2.143663171181141E-9</v>
      </c>
      <c r="H41" s="14">
        <v>0</v>
      </c>
      <c r="I41" s="14">
        <v>8.1087209883637761E-8</v>
      </c>
      <c r="J41" s="14">
        <v>2.9583732536756398E-7</v>
      </c>
      <c r="K41" s="14">
        <v>0</v>
      </c>
    </row>
    <row r="42" spans="1:11">
      <c r="A42" s="2" t="s">
        <v>293</v>
      </c>
      <c r="B42" s="3" t="s">
        <v>294</v>
      </c>
      <c r="D42" s="14">
        <v>2.4606771980314547E-12</v>
      </c>
      <c r="E42" s="14">
        <v>9.4704748448091948E-5</v>
      </c>
      <c r="F42" s="14">
        <v>2.5378931245184078E-5</v>
      </c>
      <c r="G42" s="14">
        <v>6.509818565405336E-6</v>
      </c>
      <c r="H42" s="14">
        <v>0</v>
      </c>
      <c r="I42" s="14">
        <v>6.9398019395219864E-7</v>
      </c>
      <c r="J42" s="14">
        <v>2.2712519086689196E-5</v>
      </c>
      <c r="K42" s="14">
        <v>0</v>
      </c>
    </row>
    <row r="43" spans="1:11">
      <c r="A43" s="2" t="s">
        <v>373</v>
      </c>
      <c r="B43" s="3" t="s">
        <v>374</v>
      </c>
      <c r="D43" s="14">
        <v>5.0201606132189026E-12</v>
      </c>
      <c r="E43" s="14">
        <v>1.3192903631081904E-6</v>
      </c>
      <c r="F43" s="14">
        <v>1.4811599638087975E-4</v>
      </c>
      <c r="G43" s="14">
        <v>1.2506157271484704E-7</v>
      </c>
      <c r="H43" s="14">
        <v>0</v>
      </c>
      <c r="I43" s="14">
        <v>4.1301364979828437E-7</v>
      </c>
      <c r="J43" s="14">
        <v>2.6633013338266315E-8</v>
      </c>
      <c r="K43" s="14">
        <v>0</v>
      </c>
    </row>
    <row r="44" spans="1:11">
      <c r="A44" s="2" t="s">
        <v>375</v>
      </c>
      <c r="B44" s="3" t="s">
        <v>376</v>
      </c>
      <c r="D44" s="14">
        <v>1.0935872124484854E-5</v>
      </c>
      <c r="E44" s="14">
        <v>1.2583763086919161E-4</v>
      </c>
      <c r="F44" s="14">
        <v>3.2141941595282578E-6</v>
      </c>
      <c r="G44" s="14">
        <v>9.8031954852248373E-7</v>
      </c>
      <c r="H44" s="14">
        <v>0</v>
      </c>
      <c r="I44" s="14">
        <v>1.6728246234661367E-7</v>
      </c>
      <c r="J44" s="14">
        <v>8.8647008359261346E-6</v>
      </c>
      <c r="K44" s="14">
        <v>0</v>
      </c>
    </row>
    <row r="45" spans="1:11">
      <c r="A45" s="2" t="s">
        <v>377</v>
      </c>
      <c r="B45" s="3" t="s">
        <v>378</v>
      </c>
      <c r="D45" s="14">
        <v>9.4274297603082263E-8</v>
      </c>
      <c r="E45" s="14">
        <v>8.8967300950311144E-5</v>
      </c>
      <c r="F45" s="14">
        <v>2.9121382564778045E-5</v>
      </c>
      <c r="G45" s="14">
        <v>7.3605038641922033E-6</v>
      </c>
      <c r="H45" s="14">
        <v>0</v>
      </c>
      <c r="I45" s="14">
        <v>7.7532414012879149E-7</v>
      </c>
      <c r="J45" s="14">
        <v>2.3681214182986721E-5</v>
      </c>
      <c r="K45" s="14">
        <v>0</v>
      </c>
    </row>
    <row r="46" spans="1:11">
      <c r="A46" s="2" t="s">
        <v>379</v>
      </c>
      <c r="B46" s="3" t="s">
        <v>380</v>
      </c>
      <c r="D46" s="14">
        <v>2.8228598292300074E-7</v>
      </c>
      <c r="E46" s="14">
        <v>9.2432866940248971E-5</v>
      </c>
      <c r="F46" s="14">
        <v>2.6699799363042182E-5</v>
      </c>
      <c r="G46" s="14">
        <v>6.8108850913399665E-6</v>
      </c>
      <c r="H46" s="14">
        <v>0</v>
      </c>
      <c r="I46" s="14">
        <v>7.2262106080792642E-7</v>
      </c>
      <c r="J46" s="14">
        <v>2.3051541561637918E-5</v>
      </c>
      <c r="K46" s="14">
        <v>0</v>
      </c>
    </row>
    <row r="47" spans="1:11">
      <c r="A47" s="2" t="s">
        <v>381</v>
      </c>
      <c r="B47" s="3" t="s">
        <v>382</v>
      </c>
      <c r="D47" s="14">
        <v>4.887769003080054E-12</v>
      </c>
      <c r="E47" s="14">
        <v>9.7631010162650925E-8</v>
      </c>
      <c r="F47" s="14">
        <v>3.6201732684000996E-5</v>
      </c>
      <c r="G47" s="14">
        <v>9.8090040210060302E-5</v>
      </c>
      <c r="H47" s="14">
        <v>0</v>
      </c>
      <c r="I47" s="14">
        <v>1.0449740057720937E-5</v>
      </c>
      <c r="J47" s="14">
        <v>5.1608511502861007E-6</v>
      </c>
      <c r="K47" s="14">
        <v>0</v>
      </c>
    </row>
    <row r="48" spans="1:11">
      <c r="A48" s="2" t="s">
        <v>383</v>
      </c>
      <c r="B48" s="3" t="s">
        <v>384</v>
      </c>
      <c r="D48" s="14">
        <v>1.439953250412883E-6</v>
      </c>
      <c r="E48" s="14">
        <v>1.4204485326816367E-4</v>
      </c>
      <c r="F48" s="14">
        <v>9.8847815683630665E-7</v>
      </c>
      <c r="G48" s="14">
        <v>3.3178949557847612E-7</v>
      </c>
      <c r="H48" s="14">
        <v>0</v>
      </c>
      <c r="I48" s="14">
        <v>1.1381049462345376E-7</v>
      </c>
      <c r="J48" s="14">
        <v>5.0811153343851665E-6</v>
      </c>
      <c r="K48" s="14">
        <v>0</v>
      </c>
    </row>
    <row r="49" spans="1:11">
      <c r="A49" s="2" t="s">
        <v>385</v>
      </c>
      <c r="B49" s="3" t="s">
        <v>386</v>
      </c>
      <c r="D49" s="14">
        <v>2.7357216682440333E-6</v>
      </c>
      <c r="E49" s="14">
        <v>1.3792691429056927E-4</v>
      </c>
      <c r="F49" s="14">
        <v>1.7934554559757457E-6</v>
      </c>
      <c r="G49" s="14">
        <v>5.7489184744884039E-7</v>
      </c>
      <c r="H49" s="14">
        <v>0</v>
      </c>
      <c r="I49" s="14">
        <v>1.3489720366525808E-7</v>
      </c>
      <c r="J49" s="14">
        <v>6.834119534096828E-6</v>
      </c>
      <c r="K49" s="14">
        <v>0</v>
      </c>
    </row>
    <row r="50" spans="1:11">
      <c r="A50" s="2" t="s">
        <v>387</v>
      </c>
      <c r="B50" s="3" t="s">
        <v>388</v>
      </c>
      <c r="D50" s="14">
        <v>8.8502514795506951E-7</v>
      </c>
      <c r="E50" s="14">
        <v>1.3010462082104826E-5</v>
      </c>
      <c r="F50" s="14">
        <v>9.7000572088645892E-5</v>
      </c>
      <c r="G50" s="14">
        <v>1.9474658510224814E-5</v>
      </c>
      <c r="H50" s="14">
        <v>0</v>
      </c>
      <c r="I50" s="14">
        <v>1.9702754542351602E-6</v>
      </c>
      <c r="J50" s="14">
        <v>1.76590067168342E-5</v>
      </c>
      <c r="K50" s="14">
        <v>0</v>
      </c>
    </row>
    <row r="51" spans="1:11">
      <c r="A51" s="2" t="s">
        <v>295</v>
      </c>
      <c r="B51" s="3" t="s">
        <v>296</v>
      </c>
      <c r="D51" s="14">
        <v>7.8934920982825099E-6</v>
      </c>
      <c r="E51" s="14">
        <v>1.3987055190851428E-4</v>
      </c>
      <c r="F51" s="14">
        <v>1.5685120622248319E-7</v>
      </c>
      <c r="G51" s="14">
        <v>6.0225916577622696E-8</v>
      </c>
      <c r="H51" s="14">
        <v>0</v>
      </c>
      <c r="I51" s="14">
        <v>8.6555355361849458E-8</v>
      </c>
      <c r="J51" s="14">
        <v>1.9323235150412484E-6</v>
      </c>
      <c r="K51" s="14">
        <v>0</v>
      </c>
    </row>
    <row r="52" spans="1:11">
      <c r="A52" s="2" t="s">
        <v>389</v>
      </c>
      <c r="B52" s="3" t="s">
        <v>390</v>
      </c>
      <c r="D52" s="14">
        <v>9.031676699252579E-6</v>
      </c>
      <c r="E52" s="14">
        <v>1.216985750134888E-4</v>
      </c>
      <c r="F52" s="14">
        <v>5.6648324265634091E-6</v>
      </c>
      <c r="G52" s="14">
        <v>1.6530371835656698E-6</v>
      </c>
      <c r="H52" s="14">
        <v>0</v>
      </c>
      <c r="I52" s="14">
        <v>2.3049064149356183E-7</v>
      </c>
      <c r="J52" s="14">
        <v>1.1721388035635931E-5</v>
      </c>
      <c r="K52" s="14">
        <v>0</v>
      </c>
    </row>
    <row r="53" spans="1:11">
      <c r="A53" s="2" t="s">
        <v>391</v>
      </c>
      <c r="B53" s="3" t="s">
        <v>392</v>
      </c>
      <c r="D53" s="14">
        <v>2.8241602108494648E-7</v>
      </c>
      <c r="E53" s="14">
        <v>6.9859655556560733E-5</v>
      </c>
      <c r="F53" s="14">
        <v>4.2727552290381207E-5</v>
      </c>
      <c r="G53" s="14">
        <v>1.0313440554735866E-5</v>
      </c>
      <c r="H53" s="14">
        <v>0</v>
      </c>
      <c r="I53" s="14">
        <v>1.0596560899193427E-6</v>
      </c>
      <c r="J53" s="14">
        <v>2.5757279487317862E-5</v>
      </c>
      <c r="K53" s="14">
        <v>0</v>
      </c>
    </row>
    <row r="54" spans="1:11">
      <c r="A54" s="2" t="s">
        <v>393</v>
      </c>
      <c r="B54" s="3" t="s">
        <v>394</v>
      </c>
      <c r="D54" s="14">
        <v>2.2700236655443776E-8</v>
      </c>
      <c r="E54" s="14">
        <v>1.3727374907382642E-7</v>
      </c>
      <c r="F54" s="14">
        <v>4.355610831710221E-5</v>
      </c>
      <c r="G54" s="14">
        <v>9.0895969148858567E-5</v>
      </c>
      <c r="H54" s="14">
        <v>0</v>
      </c>
      <c r="I54" s="14">
        <v>9.648884847168008E-6</v>
      </c>
      <c r="J54" s="14">
        <v>5.7390637011419163E-6</v>
      </c>
      <c r="K54" s="14">
        <v>0</v>
      </c>
    </row>
    <row r="55" spans="1:11">
      <c r="A55" s="2" t="s">
        <v>395</v>
      </c>
      <c r="B55" s="3" t="s">
        <v>396</v>
      </c>
      <c r="D55" s="14">
        <v>1.8806559312497446E-5</v>
      </c>
      <c r="E55" s="14">
        <v>2.4773448088169293E-5</v>
      </c>
      <c r="F55" s="14">
        <v>6.9651108451198408E-5</v>
      </c>
      <c r="G55" s="14">
        <v>1.5025315072876795E-5</v>
      </c>
      <c r="H55" s="14">
        <v>0</v>
      </c>
      <c r="I55" s="14">
        <v>1.5171030920662992E-6</v>
      </c>
      <c r="J55" s="14">
        <v>2.022646598319174E-5</v>
      </c>
      <c r="K55" s="14">
        <v>0</v>
      </c>
    </row>
    <row r="56" spans="1:11">
      <c r="A56" s="2" t="s">
        <v>397</v>
      </c>
      <c r="B56" s="3" t="s">
        <v>398</v>
      </c>
      <c r="D56" s="14">
        <v>8.530780576197807E-5</v>
      </c>
      <c r="E56" s="14">
        <v>2.9276953397324447E-6</v>
      </c>
      <c r="F56" s="14">
        <v>4.6217607042526118E-5</v>
      </c>
      <c r="G56" s="14">
        <v>8.7801717467570637E-6</v>
      </c>
      <c r="H56" s="14">
        <v>0</v>
      </c>
      <c r="I56" s="14">
        <v>8.9183426941634527E-7</v>
      </c>
      <c r="J56" s="14">
        <v>5.8748858395899341E-6</v>
      </c>
      <c r="K56" s="14">
        <v>0</v>
      </c>
    </row>
    <row r="57" spans="1:11">
      <c r="A57" s="2" t="s">
        <v>399</v>
      </c>
      <c r="B57" s="3" t="s">
        <v>400</v>
      </c>
      <c r="D57" s="14">
        <v>1.1275602872601942E-4</v>
      </c>
      <c r="E57" s="14">
        <v>5.5085447462139573E-6</v>
      </c>
      <c r="F57" s="14">
        <v>2.1436725950002591E-5</v>
      </c>
      <c r="G57" s="14">
        <v>4.5149610834432595E-6</v>
      </c>
      <c r="H57" s="14">
        <v>0</v>
      </c>
      <c r="I57" s="14">
        <v>4.5590859805458937E-7</v>
      </c>
      <c r="J57" s="14">
        <v>5.3278308962661465E-6</v>
      </c>
      <c r="K57" s="14">
        <v>0</v>
      </c>
    </row>
    <row r="58" spans="1:11">
      <c r="A58" s="2" t="s">
        <v>297</v>
      </c>
      <c r="B58" s="3" t="s">
        <v>298</v>
      </c>
      <c r="D58" s="14">
        <v>1.3784941932488382E-4</v>
      </c>
      <c r="E58" s="14">
        <v>1.1255947298448341E-5</v>
      </c>
      <c r="F58" s="14">
        <v>1.8794190532300739E-7</v>
      </c>
      <c r="G58" s="14">
        <v>5.9145155877442804E-8</v>
      </c>
      <c r="H58" s="14">
        <v>0</v>
      </c>
      <c r="I58" s="14">
        <v>1.2192559798712122E-8</v>
      </c>
      <c r="J58" s="14">
        <v>6.3535375566866935E-7</v>
      </c>
      <c r="K58" s="14">
        <v>0</v>
      </c>
    </row>
    <row r="59" spans="1:11">
      <c r="A59" s="2" t="s">
        <v>401</v>
      </c>
      <c r="B59" s="3" t="s">
        <v>402</v>
      </c>
      <c r="D59" s="14">
        <v>1.3536009657947289E-4</v>
      </c>
      <c r="E59" s="14">
        <v>2.2938645278616332E-6</v>
      </c>
      <c r="F59" s="14">
        <v>8.2815063629833318E-6</v>
      </c>
      <c r="G59" s="14">
        <v>1.753900271226077E-6</v>
      </c>
      <c r="H59" s="14">
        <v>0</v>
      </c>
      <c r="I59" s="14">
        <v>1.7708967206642748E-7</v>
      </c>
      <c r="J59" s="14">
        <v>2.1335425863896065E-6</v>
      </c>
      <c r="K59" s="14">
        <v>0</v>
      </c>
    </row>
    <row r="60" spans="1:11">
      <c r="A60" s="2" t="s">
        <v>299</v>
      </c>
      <c r="B60" s="3" t="s">
        <v>300</v>
      </c>
      <c r="D60" s="14">
        <v>1.4969097192302555E-4</v>
      </c>
      <c r="E60" s="14">
        <v>8.6348086557231987E-8</v>
      </c>
      <c r="F60" s="14">
        <v>1.3658854932942206E-7</v>
      </c>
      <c r="G60" s="14">
        <v>3.0740423611158367E-8</v>
      </c>
      <c r="H60" s="14">
        <v>0</v>
      </c>
      <c r="I60" s="14">
        <v>3.1106445423965113E-9</v>
      </c>
      <c r="J60" s="14">
        <v>5.2240372934222505E-8</v>
      </c>
      <c r="K60" s="14">
        <v>0</v>
      </c>
    </row>
    <row r="61" spans="1:11">
      <c r="A61" s="2" t="s">
        <v>403</v>
      </c>
      <c r="B61" s="3" t="s">
        <v>404</v>
      </c>
      <c r="D61" s="14">
        <v>6.4196142119446049E-48</v>
      </c>
      <c r="E61" s="14">
        <v>5.2416261188468627E-5</v>
      </c>
      <c r="F61" s="14">
        <v>5.6980678216087769E-5</v>
      </c>
      <c r="G61" s="14">
        <v>1.3183270691626626E-5</v>
      </c>
      <c r="H61" s="14">
        <v>0</v>
      </c>
      <c r="I61" s="14">
        <v>1.3390690852551903E-6</v>
      </c>
      <c r="J61" s="14">
        <v>2.6080720818561751E-5</v>
      </c>
      <c r="K61" s="14">
        <v>0</v>
      </c>
    </row>
    <row r="62" spans="1:11">
      <c r="A62" s="2" t="s">
        <v>405</v>
      </c>
      <c r="B62" s="3" t="s">
        <v>406</v>
      </c>
      <c r="D62" s="14">
        <v>1.3077609297086951E-11</v>
      </c>
      <c r="E62" s="14">
        <v>6.0749886147524626E-7</v>
      </c>
      <c r="F62" s="14">
        <v>8.7669199825474585E-5</v>
      </c>
      <c r="G62" s="14">
        <v>4.8870029147051849E-5</v>
      </c>
      <c r="H62" s="14">
        <v>0</v>
      </c>
      <c r="I62" s="14">
        <v>5.095451234027297E-6</v>
      </c>
      <c r="J62" s="14">
        <v>7.7578078543616708E-6</v>
      </c>
      <c r="K62" s="14">
        <v>0</v>
      </c>
    </row>
    <row r="63" spans="1:11">
      <c r="A63" s="2" t="s">
        <v>407</v>
      </c>
      <c r="B63" s="3" t="s">
        <v>408</v>
      </c>
      <c r="D63" s="14">
        <v>2.9731429907336945E-9</v>
      </c>
      <c r="E63" s="14">
        <v>5.2702705059019993E-8</v>
      </c>
      <c r="F63" s="14">
        <v>2.5558448156569108E-5</v>
      </c>
      <c r="G63" s="14">
        <v>1.0857504959479075E-4</v>
      </c>
      <c r="H63" s="14">
        <v>0</v>
      </c>
      <c r="I63" s="14">
        <v>1.1638037090475635E-5</v>
      </c>
      <c r="J63" s="14">
        <v>4.1727893101147277E-6</v>
      </c>
      <c r="K63" s="14">
        <v>0</v>
      </c>
    </row>
    <row r="64" spans="1:11">
      <c r="A64" s="2" t="s">
        <v>409</v>
      </c>
      <c r="B64" s="3" t="s">
        <v>410</v>
      </c>
      <c r="D64" s="14">
        <v>3.6213077690269094E-10</v>
      </c>
      <c r="E64" s="14">
        <v>1.7964806607483202E-8</v>
      </c>
      <c r="F64" s="14">
        <v>1.3548278662434316E-5</v>
      </c>
      <c r="G64" s="14">
        <v>1.2060898873040177E-4</v>
      </c>
      <c r="H64" s="14">
        <v>0</v>
      </c>
      <c r="I64" s="14">
        <v>1.3059526880855751E-5</v>
      </c>
      <c r="J64" s="14">
        <v>2.7648787889237743E-6</v>
      </c>
      <c r="K64" s="14">
        <v>0</v>
      </c>
    </row>
    <row r="65" spans="1:11">
      <c r="A65" s="2" t="s">
        <v>301</v>
      </c>
      <c r="B65" s="3" t="s">
        <v>302</v>
      </c>
      <c r="D65" s="14">
        <v>4.4168806671774969E-11</v>
      </c>
      <c r="E65" s="14">
        <v>4.9795807098511339E-9</v>
      </c>
      <c r="F65" s="14">
        <v>6.2048937640671616E-6</v>
      </c>
      <c r="G65" s="14">
        <v>1.2812382794844354E-4</v>
      </c>
      <c r="H65" s="14">
        <v>0</v>
      </c>
      <c r="I65" s="14">
        <v>1.4034231344974522E-5</v>
      </c>
      <c r="J65" s="14">
        <v>1.632023192998229E-6</v>
      </c>
      <c r="K65" s="14">
        <v>0</v>
      </c>
    </row>
    <row r="66" spans="1:11">
      <c r="A66" s="2" t="s">
        <v>303</v>
      </c>
      <c r="B66" s="3" t="s">
        <v>304</v>
      </c>
      <c r="D66" s="14">
        <v>4.2918043572003826E-17</v>
      </c>
      <c r="E66" s="14">
        <v>1.0391949469530617E-8</v>
      </c>
      <c r="F66" s="14">
        <v>9.7310252767435792E-6</v>
      </c>
      <c r="G66" s="14">
        <v>1.2449564398164066E-4</v>
      </c>
      <c r="H66" s="14">
        <v>0</v>
      </c>
      <c r="I66" s="14">
        <v>1.3547546824462375E-5</v>
      </c>
      <c r="J66" s="14">
        <v>2.2153919676409386E-6</v>
      </c>
      <c r="K66" s="14">
        <v>0</v>
      </c>
    </row>
    <row r="67" spans="1:11">
      <c r="A67" s="2" t="s">
        <v>411</v>
      </c>
      <c r="B67" s="3" t="s">
        <v>412</v>
      </c>
      <c r="D67" s="14">
        <v>5.950786930229758E-7</v>
      </c>
      <c r="E67" s="14">
        <v>1.3336796068823351E-4</v>
      </c>
      <c r="F67" s="14">
        <v>4.1609556305325244E-6</v>
      </c>
      <c r="G67" s="14">
        <v>1.2505142360809176E-6</v>
      </c>
      <c r="H67" s="14">
        <v>0</v>
      </c>
      <c r="I67" s="14">
        <v>1.9787400446121434E-7</v>
      </c>
      <c r="J67" s="14">
        <v>1.0427616747668837E-5</v>
      </c>
      <c r="K67" s="14">
        <v>0</v>
      </c>
    </row>
    <row r="68" spans="1:11">
      <c r="A68" s="2" t="s">
        <v>413</v>
      </c>
      <c r="B68" s="3" t="s">
        <v>414</v>
      </c>
      <c r="D68" s="14">
        <v>1.3128833480987671E-6</v>
      </c>
      <c r="E68" s="14">
        <v>1.2506714903066116E-4</v>
      </c>
      <c r="F68" s="14">
        <v>7.4755788100010902E-6</v>
      </c>
      <c r="G68" s="14">
        <v>2.141609968547299E-6</v>
      </c>
      <c r="H68" s="14">
        <v>0</v>
      </c>
      <c r="I68" s="14">
        <v>2.8016632556554252E-7</v>
      </c>
      <c r="J68" s="14">
        <v>1.3722612517126126E-5</v>
      </c>
      <c r="K68" s="14">
        <v>0</v>
      </c>
    </row>
    <row r="69" spans="1:11">
      <c r="A69" s="2" t="s">
        <v>415</v>
      </c>
      <c r="B69" s="3" t="s">
        <v>416</v>
      </c>
      <c r="D69" s="14">
        <v>1.4769951643653452E-7</v>
      </c>
      <c r="E69" s="14">
        <v>2.1499887301906816E-7</v>
      </c>
      <c r="F69" s="14">
        <v>5.4941151537662215E-5</v>
      </c>
      <c r="G69" s="14">
        <v>7.9779867949298882E-5</v>
      </c>
      <c r="H69" s="14">
        <v>0</v>
      </c>
      <c r="I69" s="14">
        <v>8.4271034255114455E-6</v>
      </c>
      <c r="J69" s="14">
        <v>6.4891786980718437E-6</v>
      </c>
      <c r="K69" s="14">
        <v>0</v>
      </c>
    </row>
    <row r="70" spans="1:11">
      <c r="A70" s="2" t="s">
        <v>417</v>
      </c>
      <c r="B70" s="3" t="s">
        <v>418</v>
      </c>
      <c r="D70" s="14">
        <v>4.0544653892280111E-7</v>
      </c>
      <c r="E70" s="14">
        <v>4.1899680123165685E-6</v>
      </c>
      <c r="F70" s="14">
        <v>1.118284439115548E-4</v>
      </c>
      <c r="G70" s="14">
        <v>2.0438444361919903E-5</v>
      </c>
      <c r="H70" s="14">
        <v>0</v>
      </c>
      <c r="I70" s="14">
        <v>2.0830659894546206E-6</v>
      </c>
      <c r="J70" s="14">
        <v>1.105463118583127E-5</v>
      </c>
      <c r="K70" s="14">
        <v>0</v>
      </c>
    </row>
    <row r="71" spans="1:11">
      <c r="A71" s="2" t="s">
        <v>419</v>
      </c>
      <c r="B71" s="3" t="s">
        <v>420</v>
      </c>
      <c r="D71" s="14">
        <v>3.2147203366162952E-6</v>
      </c>
      <c r="E71" s="14">
        <v>1.2482463580484838E-4</v>
      </c>
      <c r="F71" s="14">
        <v>6.7509032182272306E-6</v>
      </c>
      <c r="G71" s="14">
        <v>1.9483072082282838E-6</v>
      </c>
      <c r="H71" s="14">
        <v>0</v>
      </c>
      <c r="I71" s="14">
        <v>2.6111895399881258E-7</v>
      </c>
      <c r="J71" s="14">
        <v>1.3000314478080957E-5</v>
      </c>
      <c r="K71" s="14">
        <v>0</v>
      </c>
    </row>
    <row r="72" spans="1:11">
      <c r="A72" s="2" t="s">
        <v>421</v>
      </c>
      <c r="B72" s="3" t="s">
        <v>422</v>
      </c>
      <c r="D72" s="14">
        <v>1.7131174587581192E-6</v>
      </c>
      <c r="E72" s="14">
        <v>4.8807240185396407E-6</v>
      </c>
      <c r="F72" s="14">
        <v>1.0934673638704002E-4</v>
      </c>
      <c r="G72" s="14">
        <v>2.024423549987456E-5</v>
      </c>
      <c r="H72" s="14">
        <v>0</v>
      </c>
      <c r="I72" s="14">
        <v>2.0608587401251448E-6</v>
      </c>
      <c r="J72" s="14">
        <v>1.1754327895662509E-5</v>
      </c>
      <c r="K72" s="14">
        <v>0</v>
      </c>
    </row>
    <row r="73" spans="1:11">
      <c r="A73" s="2" t="s">
        <v>423</v>
      </c>
      <c r="B73" s="3" t="s">
        <v>424</v>
      </c>
      <c r="D73" s="14">
        <v>1.8676412706434637E-6</v>
      </c>
      <c r="E73" s="14">
        <v>4.8189294952787979E-5</v>
      </c>
      <c r="F73" s="14">
        <v>5.936249508136513E-5</v>
      </c>
      <c r="G73" s="14">
        <v>1.3608419919419501E-5</v>
      </c>
      <c r="H73" s="14">
        <v>0</v>
      </c>
      <c r="I73" s="14">
        <v>1.3801549261949335E-6</v>
      </c>
      <c r="J73" s="14">
        <v>2.559199384958896E-5</v>
      </c>
      <c r="K73" s="14">
        <v>0</v>
      </c>
    </row>
    <row r="74" spans="1:11">
      <c r="A74" s="2" t="s">
        <v>425</v>
      </c>
      <c r="B74" s="3" t="s">
        <v>426</v>
      </c>
      <c r="D74" s="14">
        <v>6.269778131968552E-7</v>
      </c>
      <c r="E74" s="14">
        <v>4.381767025017943E-6</v>
      </c>
      <c r="F74" s="14">
        <v>1.1124252989099751E-4</v>
      </c>
      <c r="G74" s="14">
        <v>2.0406400805641352E-5</v>
      </c>
      <c r="H74" s="14">
        <v>0</v>
      </c>
      <c r="I74" s="14">
        <v>2.0790975644177115E-6</v>
      </c>
      <c r="J74" s="14">
        <v>1.1263226900728624E-5</v>
      </c>
      <c r="K74" s="14">
        <v>0</v>
      </c>
    </row>
    <row r="75" spans="1:11">
      <c r="A75" s="2" t="s">
        <v>427</v>
      </c>
      <c r="B75" s="3" t="s">
        <v>428</v>
      </c>
      <c r="D75" s="14">
        <v>6.3670956656270717E-14</v>
      </c>
      <c r="E75" s="14">
        <v>6.4227128009505529E-7</v>
      </c>
      <c r="F75" s="14">
        <v>1.4793130102390618E-4</v>
      </c>
      <c r="G75" s="14">
        <v>5.7083459571064987E-8</v>
      </c>
      <c r="H75" s="14">
        <v>0</v>
      </c>
      <c r="I75" s="14">
        <v>1.3641008486148139E-6</v>
      </c>
      <c r="J75" s="14">
        <v>5.2433241419251143E-9</v>
      </c>
      <c r="K75" s="14">
        <v>0</v>
      </c>
    </row>
    <row r="76" spans="1:11">
      <c r="A76" s="2" t="s">
        <v>429</v>
      </c>
      <c r="B76" s="3" t="s">
        <v>430</v>
      </c>
      <c r="D76" s="14">
        <v>1.599342121723035E-15</v>
      </c>
      <c r="E76" s="14">
        <v>6.422712803608339E-7</v>
      </c>
      <c r="F76" s="14">
        <v>1.4793130108512172E-4</v>
      </c>
      <c r="G76" s="14">
        <v>5.7083459594686744E-8</v>
      </c>
      <c r="H76" s="14">
        <v>0</v>
      </c>
      <c r="I76" s="14">
        <v>1.3641008491792936E-6</v>
      </c>
      <c r="J76" s="14">
        <v>5.243324144094857E-9</v>
      </c>
      <c r="K76" s="14">
        <v>0</v>
      </c>
    </row>
    <row r="77" spans="1:11">
      <c r="A77" s="2" t="s">
        <v>431</v>
      </c>
      <c r="B77" s="3" t="s">
        <v>432</v>
      </c>
      <c r="D77" s="14">
        <v>3.2547457188282131E-6</v>
      </c>
      <c r="E77" s="14">
        <v>1.7816162877100828E-5</v>
      </c>
      <c r="F77" s="14">
        <v>8.9029871948911489E-5</v>
      </c>
      <c r="G77" s="14">
        <v>1.8409046897692916E-5</v>
      </c>
      <c r="H77" s="14">
        <v>0</v>
      </c>
      <c r="I77" s="14">
        <v>1.8598369359945368E-6</v>
      </c>
      <c r="J77" s="14">
        <v>1.9630335621472E-5</v>
      </c>
      <c r="K77" s="14">
        <v>0</v>
      </c>
    </row>
    <row r="78" spans="1:11">
      <c r="A78" s="2" t="s">
        <v>433</v>
      </c>
      <c r="B78" s="3" t="s">
        <v>434</v>
      </c>
      <c r="D78" s="14">
        <v>4.6710716452978062E-6</v>
      </c>
      <c r="E78" s="14">
        <v>9.4400357407096503E-5</v>
      </c>
      <c r="F78" s="14">
        <v>2.2889442387410661E-5</v>
      </c>
      <c r="G78" s="14">
        <v>5.9146733970100808E-6</v>
      </c>
      <c r="H78" s="14">
        <v>0</v>
      </c>
      <c r="I78" s="14">
        <v>6.3491170872559708E-7</v>
      </c>
      <c r="J78" s="14">
        <v>2.1489543454459328E-5</v>
      </c>
      <c r="K78" s="14">
        <v>0</v>
      </c>
    </row>
    <row r="79" spans="1:11">
      <c r="A79" s="2" t="s">
        <v>435</v>
      </c>
      <c r="B79" s="3" t="s">
        <v>436</v>
      </c>
      <c r="D79" s="14">
        <v>1.1189163721169332E-6</v>
      </c>
      <c r="E79" s="14">
        <v>6.7922668295487042E-5</v>
      </c>
      <c r="F79" s="14">
        <v>4.3673330566168995E-5</v>
      </c>
      <c r="G79" s="14">
        <v>1.0502963790387614E-5</v>
      </c>
      <c r="H79" s="14">
        <v>0</v>
      </c>
      <c r="I79" s="14">
        <v>1.0776725569501722E-6</v>
      </c>
      <c r="J79" s="14">
        <v>2.5704448418889189E-5</v>
      </c>
      <c r="K79" s="14">
        <v>0</v>
      </c>
    </row>
    <row r="80" spans="1:11">
      <c r="A80" s="2" t="s">
        <v>437</v>
      </c>
      <c r="B80" s="3" t="s">
        <v>438</v>
      </c>
      <c r="D80" s="14">
        <v>2.2603909150549824E-14</v>
      </c>
      <c r="E80" s="14">
        <v>4.3177816906781943E-7</v>
      </c>
      <c r="F80" s="14">
        <v>1.4682575905492723E-4</v>
      </c>
      <c r="G80" s="14">
        <v>1.0883096092449086E-7</v>
      </c>
      <c r="H80" s="14">
        <v>0</v>
      </c>
      <c r="I80" s="14">
        <v>2.6272953005694799E-6</v>
      </c>
      <c r="J80" s="14">
        <v>6.3364919070435737E-9</v>
      </c>
      <c r="K80" s="14">
        <v>0</v>
      </c>
    </row>
    <row r="81" spans="1:11">
      <c r="A81" s="2" t="s">
        <v>440</v>
      </c>
      <c r="B81" s="3" t="s">
        <v>441</v>
      </c>
      <c r="D81" s="14">
        <v>2.1925471984762628E-17</v>
      </c>
      <c r="E81" s="14">
        <v>1.4785161103468686E-4</v>
      </c>
      <c r="F81" s="14">
        <v>1.3917705271590738E-7</v>
      </c>
      <c r="G81" s="14">
        <v>5.4133136466987868E-8</v>
      </c>
      <c r="H81" s="14">
        <v>0</v>
      </c>
      <c r="I81" s="14">
        <v>9.0590694697175119E-8</v>
      </c>
      <c r="J81" s="14">
        <v>1.8644880814111093E-6</v>
      </c>
      <c r="K81" s="14">
        <v>0</v>
      </c>
    </row>
    <row r="82" spans="1:11">
      <c r="A82" s="2" t="s">
        <v>442</v>
      </c>
      <c r="B82" s="3" t="s">
        <v>443</v>
      </c>
      <c r="D82" s="14">
        <v>1.0945787874702575E-8</v>
      </c>
      <c r="E82" s="14">
        <v>1.2233877778769701E-4</v>
      </c>
      <c r="F82" s="14">
        <v>9.3900025831445424E-6</v>
      </c>
      <c r="G82" s="14">
        <v>2.6409566170034274E-6</v>
      </c>
      <c r="H82" s="14">
        <v>0</v>
      </c>
      <c r="I82" s="14">
        <v>3.2754966914952949E-7</v>
      </c>
      <c r="J82" s="14">
        <v>1.5291767555130755E-5</v>
      </c>
      <c r="K82" s="14">
        <v>0</v>
      </c>
    </row>
    <row r="83" spans="1:11">
      <c r="A83" s="2" t="s">
        <v>444</v>
      </c>
      <c r="B83" s="3" t="s">
        <v>445</v>
      </c>
      <c r="D83" s="14">
        <v>7.0032198031353565E-8</v>
      </c>
      <c r="E83" s="14">
        <v>2.2607621176040607E-5</v>
      </c>
      <c r="F83" s="14">
        <v>8.5805759870678203E-5</v>
      </c>
      <c r="G83" s="14">
        <v>1.8105561461249459E-5</v>
      </c>
      <c r="H83" s="14">
        <v>0</v>
      </c>
      <c r="I83" s="14">
        <v>1.8281939133958013E-6</v>
      </c>
      <c r="J83" s="14">
        <v>2.1582831380604556E-5</v>
      </c>
      <c r="K83" s="14">
        <v>0</v>
      </c>
    </row>
    <row r="84" spans="1:11">
      <c r="A84" s="2" t="s">
        <v>446</v>
      </c>
      <c r="B84" s="3" t="s">
        <v>447</v>
      </c>
      <c r="D84" s="14">
        <v>6.8560737354140495E-19</v>
      </c>
      <c r="E84" s="14">
        <v>1.4496480966488446E-4</v>
      </c>
      <c r="F84" s="14">
        <v>6.351761228402216E-7</v>
      </c>
      <c r="G84" s="14">
        <v>2.2059198024863548E-7</v>
      </c>
      <c r="H84" s="14">
        <v>0</v>
      </c>
      <c r="I84" s="14">
        <v>1.0481135592455872E-7</v>
      </c>
      <c r="J84" s="14">
        <v>4.074610876101422E-6</v>
      </c>
      <c r="K84" s="14">
        <v>0</v>
      </c>
    </row>
    <row r="85" spans="1:11">
      <c r="A85" s="2" t="s">
        <v>448</v>
      </c>
      <c r="B85" s="3" t="s">
        <v>449</v>
      </c>
      <c r="D85" s="14">
        <v>4.6828321015157077E-12</v>
      </c>
      <c r="E85" s="14">
        <v>1.4910619813364402E-4</v>
      </c>
      <c r="F85" s="14">
        <v>2.5312047171102912E-8</v>
      </c>
      <c r="G85" s="14">
        <v>1.1169219516953675E-8</v>
      </c>
      <c r="H85" s="14">
        <v>0</v>
      </c>
      <c r="I85" s="14">
        <v>8.726534578312692E-8</v>
      </c>
      <c r="J85" s="14">
        <v>7.7005057105266491E-7</v>
      </c>
      <c r="K85" s="14">
        <v>0</v>
      </c>
    </row>
    <row r="86" spans="1:11">
      <c r="A86" s="2" t="s">
        <v>450</v>
      </c>
      <c r="B86" s="3" t="s">
        <v>451</v>
      </c>
      <c r="D86" s="14">
        <v>1.7233782372795249E-12</v>
      </c>
      <c r="E86" s="14">
        <v>1.4510678314347513E-4</v>
      </c>
      <c r="F86" s="14">
        <v>6.0478260137091944E-7</v>
      </c>
      <c r="G86" s="14">
        <v>2.1081176486770406E-7</v>
      </c>
      <c r="H86" s="14">
        <v>0</v>
      </c>
      <c r="I86" s="14">
        <v>1.0395564145513827E-7</v>
      </c>
      <c r="J86" s="14">
        <v>3.9736651254528579E-6</v>
      </c>
      <c r="K86" s="14">
        <v>0</v>
      </c>
    </row>
    <row r="87" spans="1:11">
      <c r="A87" s="2" t="s">
        <v>452</v>
      </c>
      <c r="B87" s="3" t="s">
        <v>453</v>
      </c>
      <c r="D87" s="14">
        <v>5.5971526674952235E-12</v>
      </c>
      <c r="E87" s="14">
        <v>7.721901595018233E-8</v>
      </c>
      <c r="F87" s="14">
        <v>3.1767704708863857E-5</v>
      </c>
      <c r="G87" s="14">
        <v>1.0244278874850618E-4</v>
      </c>
      <c r="H87" s="14">
        <v>0</v>
      </c>
      <c r="I87" s="14">
        <v>1.0939431626335071E-5</v>
      </c>
      <c r="J87" s="14">
        <v>4.7728503031919888E-6</v>
      </c>
      <c r="K87" s="14">
        <v>0</v>
      </c>
    </row>
    <row r="88" spans="1:11">
      <c r="A88" s="2" t="s">
        <v>454</v>
      </c>
      <c r="B88" s="3" t="s">
        <v>455</v>
      </c>
      <c r="D88" s="14">
        <v>5.4979379601166074E-9</v>
      </c>
      <c r="E88" s="14">
        <v>1.0631558784594823E-4</v>
      </c>
      <c r="F88" s="14">
        <v>1.8164293856895405E-5</v>
      </c>
      <c r="G88" s="14">
        <v>4.8163060320164339E-6</v>
      </c>
      <c r="H88" s="14">
        <v>0</v>
      </c>
      <c r="I88" s="14">
        <v>5.3274465245538903E-7</v>
      </c>
      <c r="J88" s="14">
        <v>2.0165569674724393E-5</v>
      </c>
      <c r="K88" s="14">
        <v>0</v>
      </c>
    </row>
    <row r="89" spans="1:11">
      <c r="A89" s="2" t="s">
        <v>456</v>
      </c>
      <c r="B89" s="3" t="s">
        <v>457</v>
      </c>
      <c r="D89" s="14">
        <v>3.6348070838834479E-21</v>
      </c>
      <c r="E89" s="14">
        <v>1.1979494039298535E-4</v>
      </c>
      <c r="F89" s="14">
        <v>1.0683167805037295E-5</v>
      </c>
      <c r="G89" s="14">
        <v>2.9716359622297465E-6</v>
      </c>
      <c r="H89" s="14">
        <v>0</v>
      </c>
      <c r="I89" s="14">
        <v>3.5857158902421731E-7</v>
      </c>
      <c r="J89" s="14">
        <v>1.6191684250723344E-5</v>
      </c>
      <c r="K89" s="14">
        <v>0</v>
      </c>
    </row>
    <row r="90" spans="1:11">
      <c r="A90" s="2" t="s">
        <v>458</v>
      </c>
      <c r="B90" s="3" t="s">
        <v>459</v>
      </c>
      <c r="D90" s="14">
        <v>5.2533597669816096E-33</v>
      </c>
      <c r="E90" s="14">
        <v>1.3878874660716293E-4</v>
      </c>
      <c r="F90" s="14">
        <v>2.376051382068719E-6</v>
      </c>
      <c r="G90" s="14">
        <v>7.4636520271967788E-7</v>
      </c>
      <c r="H90" s="14">
        <v>0</v>
      </c>
      <c r="I90" s="14">
        <v>1.5199354159927534E-7</v>
      </c>
      <c r="J90" s="14">
        <v>7.9368432664493391E-6</v>
      </c>
      <c r="K90" s="14">
        <v>0</v>
      </c>
    </row>
    <row r="91" spans="1:11">
      <c r="A91" s="2" t="s">
        <v>460</v>
      </c>
      <c r="B91" s="3" t="s">
        <v>461</v>
      </c>
      <c r="D91" s="14">
        <v>6.094709313925649E-12</v>
      </c>
      <c r="E91" s="14">
        <v>5.2646573067961789E-7</v>
      </c>
      <c r="F91" s="14">
        <v>8.2846026070265019E-5</v>
      </c>
      <c r="G91" s="14">
        <v>5.3390899360792709E-5</v>
      </c>
      <c r="H91" s="14">
        <v>0</v>
      </c>
      <c r="I91" s="14">
        <v>5.5777510965040607E-6</v>
      </c>
      <c r="J91" s="14">
        <v>7.6588516470492356E-6</v>
      </c>
      <c r="K91" s="14">
        <v>0</v>
      </c>
    </row>
    <row r="92" spans="1:11">
      <c r="A92" s="2" t="s">
        <v>462</v>
      </c>
      <c r="B92" s="3" t="s">
        <v>463</v>
      </c>
      <c r="D92" s="14">
        <v>6.2572847628176698E-13</v>
      </c>
      <c r="E92" s="14">
        <v>3.2098373757670169E-5</v>
      </c>
      <c r="F92" s="14">
        <v>7.5753831578065812E-5</v>
      </c>
      <c r="G92" s="14">
        <v>1.6553893599130173E-5</v>
      </c>
      <c r="H92" s="14">
        <v>0</v>
      </c>
      <c r="I92" s="14">
        <v>1.6719503381842975E-6</v>
      </c>
      <c r="J92" s="14">
        <v>2.3921950101221046E-5</v>
      </c>
      <c r="K92" s="14">
        <v>0</v>
      </c>
    </row>
    <row r="93" spans="1:11">
      <c r="A93" s="2" t="s">
        <v>464</v>
      </c>
      <c r="B93" s="3" t="s">
        <v>465</v>
      </c>
      <c r="D93" s="14">
        <v>2.5508709143373896E-8</v>
      </c>
      <c r="E93" s="14">
        <v>6.487921579933608E-6</v>
      </c>
      <c r="F93" s="14">
        <v>1.0767308742197379E-4</v>
      </c>
      <c r="G93" s="14">
        <v>2.037993157668499E-5</v>
      </c>
      <c r="H93" s="14">
        <v>0</v>
      </c>
      <c r="I93" s="14">
        <v>2.0706992079295752E-6</v>
      </c>
      <c r="J93" s="14">
        <v>1.3362851504334631E-5</v>
      </c>
      <c r="K93" s="14">
        <v>0</v>
      </c>
    </row>
    <row r="94" spans="1:11">
      <c r="A94" s="2" t="s">
        <v>466</v>
      </c>
      <c r="B94" s="3" t="s">
        <v>467</v>
      </c>
      <c r="D94" s="14">
        <v>2.1387591138256319E-22</v>
      </c>
      <c r="E94" s="14">
        <v>1.3413158363535102E-4</v>
      </c>
      <c r="F94" s="14">
        <v>1.5748987071385286E-5</v>
      </c>
      <c r="G94" s="14">
        <v>2.069622422894787E-9</v>
      </c>
      <c r="H94" s="14">
        <v>0</v>
      </c>
      <c r="I94" s="14">
        <v>1.0727207807027568E-7</v>
      </c>
      <c r="J94" s="14">
        <v>1.008759277047755E-8</v>
      </c>
      <c r="K94" s="14">
        <v>0</v>
      </c>
    </row>
    <row r="95" spans="1:11">
      <c r="A95" s="2" t="s">
        <v>468</v>
      </c>
      <c r="B95" s="3" t="s">
        <v>469</v>
      </c>
      <c r="D95" s="14">
        <v>2.4862075374852829E-22</v>
      </c>
      <c r="E95" s="14">
        <v>1.2471379324906687E-6</v>
      </c>
      <c r="F95" s="14">
        <v>1.1082967586665425E-4</v>
      </c>
      <c r="G95" s="14">
        <v>2.7419000435930178E-5</v>
      </c>
      <c r="H95" s="14">
        <v>0</v>
      </c>
      <c r="I95" s="14">
        <v>2.8279546985262824E-6</v>
      </c>
      <c r="J95" s="14">
        <v>7.6762310663985969E-6</v>
      </c>
      <c r="K95" s="14">
        <v>0</v>
      </c>
    </row>
    <row r="96" spans="1:11">
      <c r="A96" s="2" t="s">
        <v>470</v>
      </c>
      <c r="B96" s="163">
        <v>354656</v>
      </c>
      <c r="D96" s="14">
        <v>4.3739120678864014E-14</v>
      </c>
      <c r="E96" s="14">
        <v>1.4776349603724177E-4</v>
      </c>
      <c r="F96" s="14">
        <v>1.4993006599245206E-7</v>
      </c>
      <c r="G96" s="14">
        <v>5.7994163354622955E-8</v>
      </c>
      <c r="H96" s="14">
        <v>0</v>
      </c>
      <c r="I96" s="14">
        <v>9.0905705846369981E-8</v>
      </c>
      <c r="J96" s="14">
        <v>1.9376739838256109E-6</v>
      </c>
      <c r="K96" s="14">
        <v>0</v>
      </c>
    </row>
    <row r="97" spans="1:11">
      <c r="A97" s="2" t="s">
        <v>472</v>
      </c>
      <c r="B97" s="3" t="s">
        <v>473</v>
      </c>
      <c r="D97" s="14">
        <v>6.8535851076344469E-14</v>
      </c>
      <c r="E97" s="14">
        <v>1.4489217114794207E-4</v>
      </c>
      <c r="F97" s="14">
        <v>6.509333075961115E-7</v>
      </c>
      <c r="G97" s="14">
        <v>2.2564829165007919E-7</v>
      </c>
      <c r="H97" s="14">
        <v>0</v>
      </c>
      <c r="I97" s="14">
        <v>1.0525433831728088E-7</v>
      </c>
      <c r="J97" s="14">
        <v>4.1259928459585941E-6</v>
      </c>
      <c r="K97" s="14">
        <v>0</v>
      </c>
    </row>
    <row r="98" spans="1:11">
      <c r="A98" s="2" t="s">
        <v>474</v>
      </c>
      <c r="B98" s="3" t="s">
        <v>475</v>
      </c>
      <c r="D98" s="14">
        <v>5.8626499907040309E-24</v>
      </c>
      <c r="E98" s="14">
        <v>2.9612227475708364E-6</v>
      </c>
      <c r="F98" s="14">
        <v>1.1500392194425456E-4</v>
      </c>
      <c r="G98" s="14">
        <v>2.044599294448017E-5</v>
      </c>
      <c r="H98" s="14">
        <v>0</v>
      </c>
      <c r="I98" s="14">
        <v>2.0892774893309383E-6</v>
      </c>
      <c r="J98" s="14">
        <v>9.4995848743634809E-6</v>
      </c>
      <c r="K98" s="14">
        <v>0</v>
      </c>
    </row>
    <row r="99" spans="1:11">
      <c r="A99" s="2" t="s">
        <v>476</v>
      </c>
      <c r="B99" s="3" t="s">
        <v>477</v>
      </c>
      <c r="D99" s="14">
        <v>2.0396015591717659E-11</v>
      </c>
      <c r="E99" s="14">
        <v>1.4936279960387343E-4</v>
      </c>
      <c r="F99" s="14">
        <v>1.2432658929010586E-8</v>
      </c>
      <c r="G99" s="14">
        <v>5.7817535401332086E-9</v>
      </c>
      <c r="H99" s="14">
        <v>0</v>
      </c>
      <c r="I99" s="14">
        <v>8.6911240784700825E-8</v>
      </c>
      <c r="J99" s="14">
        <v>5.320543468571004E-7</v>
      </c>
      <c r="K99" s="14">
        <v>0</v>
      </c>
    </row>
    <row r="100" spans="1:11">
      <c r="A100" s="2" t="s">
        <v>478</v>
      </c>
      <c r="B100" s="3" t="s">
        <v>479</v>
      </c>
      <c r="D100" s="14">
        <v>7.3083153419880806E-15</v>
      </c>
      <c r="E100" s="14">
        <v>7.5435259414982034E-5</v>
      </c>
      <c r="F100" s="14">
        <v>3.8728971378804012E-5</v>
      </c>
      <c r="G100" s="14">
        <v>9.4695974548103668E-6</v>
      </c>
      <c r="H100" s="14">
        <v>0</v>
      </c>
      <c r="I100" s="14">
        <v>9.7820395667852735E-7</v>
      </c>
      <c r="J100" s="14">
        <v>2.5387967787416706E-5</v>
      </c>
      <c r="K100" s="14">
        <v>0</v>
      </c>
    </row>
    <row r="101" spans="1:11">
      <c r="A101" s="2" t="s">
        <v>480</v>
      </c>
      <c r="B101" s="3" t="s">
        <v>481</v>
      </c>
      <c r="D101" s="14">
        <v>5.5055800001200731E-15</v>
      </c>
      <c r="E101" s="14">
        <v>1.4897046988473242E-4</v>
      </c>
      <c r="F101" s="14">
        <v>3.3714891155966019E-8</v>
      </c>
      <c r="G101" s="14">
        <v>1.4565229005567359E-8</v>
      </c>
      <c r="H101" s="14">
        <v>0</v>
      </c>
      <c r="I101" s="14">
        <v>8.7504757325218109E-8</v>
      </c>
      <c r="J101" s="14">
        <v>8.9374523227523624E-7</v>
      </c>
      <c r="K101" s="14">
        <v>0</v>
      </c>
    </row>
    <row r="102" spans="1:11">
      <c r="A102" s="2" t="s">
        <v>482</v>
      </c>
      <c r="B102" s="3" t="s">
        <v>483</v>
      </c>
      <c r="D102" s="14">
        <v>3.4396836281570521E-31</v>
      </c>
      <c r="E102" s="14">
        <v>1.4968407892843871E-4</v>
      </c>
      <c r="F102" s="14">
        <v>2.3918678625407551E-9</v>
      </c>
      <c r="G102" s="14">
        <v>1.2561246521997241E-9</v>
      </c>
      <c r="H102" s="14">
        <v>0</v>
      </c>
      <c r="I102" s="14">
        <v>8.6678240165928805E-8</v>
      </c>
      <c r="J102" s="14">
        <v>2.2559483888059565E-7</v>
      </c>
      <c r="K102" s="14">
        <v>0</v>
      </c>
    </row>
    <row r="103" spans="1:11">
      <c r="A103" s="2" t="s">
        <v>484</v>
      </c>
      <c r="B103" s="3" t="s">
        <v>485</v>
      </c>
      <c r="D103" s="14">
        <v>2.7507301648842343E-17</v>
      </c>
      <c r="E103" s="14">
        <v>1.4938090974109806E-4</v>
      </c>
      <c r="F103" s="14">
        <v>1.1680640947851414E-8</v>
      </c>
      <c r="G103" s="14">
        <v>5.457103989539946E-9</v>
      </c>
      <c r="H103" s="14">
        <v>0</v>
      </c>
      <c r="I103" s="14">
        <v>8.6891533242126044E-8</v>
      </c>
      <c r="J103" s="14">
        <v>5.1506098069484692E-7</v>
      </c>
      <c r="K103" s="14">
        <v>0</v>
      </c>
    </row>
    <row r="104" spans="1:11">
      <c r="A104" s="2" t="s">
        <v>486</v>
      </c>
      <c r="B104" s="3" t="s">
        <v>487</v>
      </c>
      <c r="D104" s="14">
        <v>3.4600626695954275E-13</v>
      </c>
      <c r="E104" s="14">
        <v>1.4648767122929003E-4</v>
      </c>
      <c r="F104" s="14">
        <v>3.392365589119501E-7</v>
      </c>
      <c r="G104" s="14">
        <v>1.2348045031214833E-7</v>
      </c>
      <c r="H104" s="14">
        <v>0</v>
      </c>
      <c r="I104" s="14">
        <v>9.6399409468830476E-8</v>
      </c>
      <c r="J104" s="14">
        <v>2.9532120060107608E-6</v>
      </c>
      <c r="K104" s="14">
        <v>0</v>
      </c>
    </row>
    <row r="105" spans="1:11">
      <c r="A105" s="2" t="s">
        <v>488</v>
      </c>
      <c r="B105" s="3" t="s">
        <v>489</v>
      </c>
      <c r="D105" s="14">
        <v>2.7366758348626767E-20</v>
      </c>
      <c r="E105" s="14">
        <v>1.4963750810380482E-4</v>
      </c>
      <c r="F105" s="14">
        <v>3.3934545873820206E-9</v>
      </c>
      <c r="G105" s="14">
        <v>1.7367511576439059E-9</v>
      </c>
      <c r="H105" s="14">
        <v>0</v>
      </c>
      <c r="I105" s="14">
        <v>8.6695495424395845E-8</v>
      </c>
      <c r="J105" s="14">
        <v>2.7066619502571713E-7</v>
      </c>
      <c r="K105" s="14">
        <v>0</v>
      </c>
    </row>
    <row r="106" spans="1:11">
      <c r="A106" s="2" t="s">
        <v>490</v>
      </c>
      <c r="B106" s="3" t="s">
        <v>491</v>
      </c>
      <c r="D106" s="14">
        <v>1.6185100162463167E-12</v>
      </c>
      <c r="E106" s="14">
        <v>1.3484427151793464E-4</v>
      </c>
      <c r="F106" s="14">
        <v>3.8065722365006505E-6</v>
      </c>
      <c r="G106" s="14">
        <v>1.1524700053670227E-6</v>
      </c>
      <c r="H106" s="14">
        <v>0</v>
      </c>
      <c r="I106" s="14">
        <v>1.8917418218891735E-7</v>
      </c>
      <c r="J106" s="14">
        <v>1.0007510439498768E-5</v>
      </c>
      <c r="K106" s="14">
        <v>0</v>
      </c>
    </row>
    <row r="107" spans="1:11">
      <c r="A107" s="2" t="s">
        <v>492</v>
      </c>
      <c r="B107" s="3" t="s">
        <v>493</v>
      </c>
      <c r="D107" s="14">
        <v>2.726718266237813E-20</v>
      </c>
      <c r="E107" s="14">
        <v>2.178900394301506E-6</v>
      </c>
      <c r="F107" s="14">
        <v>1.1712752106587527E-4</v>
      </c>
      <c r="G107" s="14">
        <v>2.0330801829061166E-5</v>
      </c>
      <c r="H107" s="14">
        <v>0</v>
      </c>
      <c r="I107" s="14">
        <v>2.0823841235531179E-6</v>
      </c>
      <c r="J107" s="14">
        <v>8.28039258720889E-6</v>
      </c>
      <c r="K107" s="14">
        <v>0</v>
      </c>
    </row>
    <row r="108" spans="1:11">
      <c r="A108" s="2" t="s">
        <v>291</v>
      </c>
      <c r="B108" s="3" t="s">
        <v>494</v>
      </c>
      <c r="D108" s="14">
        <v>4.1718750685155801E-14</v>
      </c>
      <c r="E108" s="14">
        <v>8.6085182499446558E-5</v>
      </c>
      <c r="F108" s="14">
        <v>3.1142249431467432E-5</v>
      </c>
      <c r="G108" s="14">
        <v>7.8134985195361084E-6</v>
      </c>
      <c r="H108" s="14">
        <v>0</v>
      </c>
      <c r="I108" s="14">
        <v>8.1880886190905244E-7</v>
      </c>
      <c r="J108" s="14">
        <v>2.4140260645922085E-5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8FD8F-6897-4818-841D-CE5FFD4E96EC}">
  <dimension ref="A1:D108"/>
  <sheetViews>
    <sheetView tabSelected="1" topLeftCell="A75" workbookViewId="0">
      <selection activeCell="A84" sqref="A84:D108"/>
    </sheetView>
  </sheetViews>
  <sheetFormatPr defaultRowHeight="15"/>
  <cols>
    <col min="1" max="1" width="13.5" bestFit="1" customWidth="1"/>
    <col min="2" max="2" width="12.3554687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2.4866554914872026E-7</v>
      </c>
      <c r="B2">
        <f>'Mass Balance'!E2</f>
        <v>1.291741777412215E-4</v>
      </c>
      <c r="C2">
        <f>SUM('Mass Balance'!E2:H2)</f>
        <v>1.3713493343327777E-4</v>
      </c>
      <c r="D2">
        <f>Concentrations!F2/Concentrations!E2</f>
        <v>0.94563593622416287</v>
      </c>
    </row>
    <row r="3" spans="1:4">
      <c r="A3">
        <f>'Mass Balance'!I3</f>
        <v>1.0420838783648892E-5</v>
      </c>
      <c r="B3">
        <f>'Mass Balance'!E3</f>
        <v>9.7360988079129663E-8</v>
      </c>
      <c r="C3">
        <f>SUM('Mass Balance'!E3:H3)</f>
        <v>1.3401771762560261E-4</v>
      </c>
      <c r="D3">
        <f>Concentrations!F3/Concentrations!E3</f>
        <v>7.2932166972692735E-4</v>
      </c>
    </row>
    <row r="4" spans="1:4">
      <c r="A4">
        <f>'Mass Balance'!I4</f>
        <v>1.1342171742395247E-6</v>
      </c>
      <c r="B4">
        <f>'Mass Balance'!E4</f>
        <v>6.5321845905755307E-5</v>
      </c>
      <c r="C4">
        <f>SUM('Mass Balance'!E4:H4)</f>
        <v>1.2282272356109588E-4</v>
      </c>
      <c r="D4">
        <f>Concentrations!F4/Concentrations!E4</f>
        <v>0.53391987495413595</v>
      </c>
    </row>
    <row r="5" spans="1:4">
      <c r="A5">
        <f>'Mass Balance'!I5</f>
        <v>3.2062215819061509E-6</v>
      </c>
      <c r="B5">
        <f>'Mass Balance'!E5</f>
        <v>1.0936000093147925E-6</v>
      </c>
      <c r="C5">
        <f>SUM('Mass Balance'!E5:H5)</f>
        <v>1.3901025027455709E-4</v>
      </c>
      <c r="D5">
        <f>Concentrations!F5/Concentrations!E5</f>
        <v>7.8978347458445244E-3</v>
      </c>
    </row>
    <row r="6" spans="1:4">
      <c r="A6">
        <f>'Mass Balance'!I6</f>
        <v>1.1967743246927412E-5</v>
      </c>
      <c r="B6">
        <f>'Mass Balance'!E6</f>
        <v>4.2904585333422988E-8</v>
      </c>
      <c r="C6">
        <f>SUM('Mass Balance'!E6:H6)</f>
        <v>1.3416104693638511E-4</v>
      </c>
      <c r="D6">
        <f>Concentrations!F6/Concentrations!E6</f>
        <v>3.2105070844138669E-4</v>
      </c>
    </row>
    <row r="7" spans="1:4">
      <c r="A7">
        <f>'Mass Balance'!I7</f>
        <v>1.0699000909817971E-5</v>
      </c>
      <c r="B7">
        <f>'Mass Balance'!E7</f>
        <v>8.6885878015013866E-8</v>
      </c>
      <c r="C7">
        <f>SUM('Mass Balance'!E7:H7)</f>
        <v>1.3433259718621901E-4</v>
      </c>
      <c r="D7">
        <f>Concentrations!F7/Concentrations!E7</f>
        <v>6.4932802139476542E-4</v>
      </c>
    </row>
    <row r="8" spans="1:4">
      <c r="A8">
        <f>'Mass Balance'!I8</f>
        <v>8.6849069091949337E-6</v>
      </c>
      <c r="B8">
        <f>'Mass Balance'!E8</f>
        <v>1.9714865004046683E-7</v>
      </c>
      <c r="C8">
        <f>SUM('Mass Balance'!E8:H8)</f>
        <v>1.3494487220756489E-4</v>
      </c>
      <c r="D8">
        <f>Concentrations!F8/Concentrations!E8</f>
        <v>1.4666746427414962E-3</v>
      </c>
    </row>
    <row r="9" spans="1:4">
      <c r="A9">
        <f>'Mass Balance'!I9</f>
        <v>2.0254742754282132E-6</v>
      </c>
      <c r="B9">
        <f>'Mass Balance'!E9</f>
        <v>1.0114729455899308E-5</v>
      </c>
      <c r="C9">
        <f>SUM('Mass Balance'!E9:H9)</f>
        <v>1.3190839755621538E-4</v>
      </c>
      <c r="D9">
        <f>Concentrations!F9/Concentrations!E9</f>
        <v>7.6980049987451268E-2</v>
      </c>
    </row>
    <row r="10" spans="1:4">
      <c r="A10">
        <f>'Mass Balance'!I10</f>
        <v>3.4275027176564563E-6</v>
      </c>
      <c r="B10">
        <f>'Mass Balance'!E10</f>
        <v>1.0162017292525843E-6</v>
      </c>
      <c r="C10">
        <f>SUM('Mass Balance'!E10:H10)</f>
        <v>1.387662191087105E-4</v>
      </c>
      <c r="D10">
        <f>Concentrations!F10/Concentrations!E10</f>
        <v>7.3517805761136139E-3</v>
      </c>
    </row>
    <row r="11" spans="1:4">
      <c r="A11">
        <f>'Mass Balance'!I11</f>
        <v>3.8178390141887532E-6</v>
      </c>
      <c r="B11">
        <f>'Mass Balance'!E11</f>
        <v>8.9614495356856567E-7</v>
      </c>
      <c r="C11">
        <f>SUM('Mass Balance'!E11:H11)</f>
        <v>1.3833021693987376E-4</v>
      </c>
      <c r="D11">
        <f>Concentrations!F11/Concentrations!E11</f>
        <v>6.5036560878853978E-3</v>
      </c>
    </row>
    <row r="12" spans="1:4">
      <c r="A12">
        <f>'Mass Balance'!I12</f>
        <v>2.0724436505470943E-6</v>
      </c>
      <c r="B12">
        <f>'Mass Balance'!E12</f>
        <v>6.3437210530084093E-6</v>
      </c>
      <c r="C12">
        <f>SUM('Mass Balance'!E12:H12)</f>
        <v>1.3468344022277048E-4</v>
      </c>
      <c r="D12">
        <f>Concentrations!F12/Concentrations!E12</f>
        <v>4.728530984048708E-2</v>
      </c>
    </row>
    <row r="13" spans="1:4">
      <c r="A13">
        <f>'Mass Balance'!I13</f>
        <v>2.0313696557251859E-6</v>
      </c>
      <c r="B13">
        <f>'Mass Balance'!E13</f>
        <v>9.6824011151557454E-6</v>
      </c>
      <c r="C13">
        <f>SUM('Mass Balance'!E13:H13)</f>
        <v>1.3217540429295767E-4</v>
      </c>
      <c r="D13">
        <f>Concentrations!F13/Concentrations!E13</f>
        <v>7.354087369021306E-2</v>
      </c>
    </row>
    <row r="14" spans="1:4">
      <c r="A14">
        <f>'Mass Balance'!I14</f>
        <v>5.1902396593459747E-6</v>
      </c>
      <c r="B14">
        <f>'Mass Balance'!E14</f>
        <v>5.9055452817780219E-7</v>
      </c>
      <c r="C14">
        <f>SUM('Mass Balance'!E14:H14)</f>
        <v>1.3706265770374452E-4</v>
      </c>
      <c r="D14">
        <f>Concentrations!F14/Concentrations!E14</f>
        <v>4.3255089750456237E-3</v>
      </c>
    </row>
    <row r="15" spans="1:4">
      <c r="A15">
        <f>'Mass Balance'!I15</f>
        <v>3.6193559197108011E-6</v>
      </c>
      <c r="B15">
        <f>'Mass Balance'!E15</f>
        <v>9.548016642510225E-7</v>
      </c>
      <c r="C15">
        <f>SUM('Mass Balance'!E15:H15)</f>
        <v>1.3855234673321165E-4</v>
      </c>
      <c r="D15">
        <f>Concentrations!F15/Concentrations!E15</f>
        <v>6.9182403118300565E-3</v>
      </c>
    </row>
    <row r="16" spans="1:4">
      <c r="A16">
        <f>'Mass Balance'!I16</f>
        <v>8.5832929373573113E-6</v>
      </c>
      <c r="B16">
        <f>'Mass Balance'!E16</f>
        <v>2.041617034249743E-7</v>
      </c>
      <c r="C16">
        <f>SUM('Mass Balance'!E16:H16)</f>
        <v>1.3495913869835112E-4</v>
      </c>
      <c r="D16">
        <f>Concentrations!F16/Concentrations!E16</f>
        <v>1.5186872432767797E-3</v>
      </c>
    </row>
    <row r="17" spans="1:4">
      <c r="A17">
        <f>'Mass Balance'!I17</f>
        <v>3.2789816588120103E-6</v>
      </c>
      <c r="B17">
        <f>'Mass Balance'!E17</f>
        <v>1.0673737791619989E-6</v>
      </c>
      <c r="C17">
        <f>SUM('Mass Balance'!E17:H17)</f>
        <v>1.3893453139999287E-4</v>
      </c>
      <c r="D17">
        <f>Concentrations!F17/Concentrations!E17</f>
        <v>7.7126334484831213E-3</v>
      </c>
    </row>
    <row r="18" spans="1:4">
      <c r="A18">
        <f>'Mass Balance'!I18</f>
        <v>1.9887516921714861E-6</v>
      </c>
      <c r="B18">
        <f>'Mass Balance'!E18</f>
        <v>1.2246801371781403E-5</v>
      </c>
      <c r="C18">
        <f>SUM('Mass Balance'!E18:H18)</f>
        <v>1.3031778303315908E-4</v>
      </c>
      <c r="D18">
        <f>Concentrations!F18/Concentrations!E18</f>
        <v>9.4344231965447362E-2</v>
      </c>
    </row>
    <row r="19" spans="1:4">
      <c r="A19">
        <f>'Mass Balance'!I19</f>
        <v>3.6585557311251716E-6</v>
      </c>
      <c r="B19">
        <f>'Mass Balance'!E19</f>
        <v>9.4286036508096673E-7</v>
      </c>
      <c r="C19">
        <f>SUM('Mass Balance'!E19:H19)</f>
        <v>1.3850961851642933E-4</v>
      </c>
      <c r="D19">
        <f>Concentrations!F19/Concentrations!E19</f>
        <v>6.8338243025118008E-3</v>
      </c>
    </row>
    <row r="20" spans="1:4">
      <c r="A20">
        <f>'Mass Balance'!I20</f>
        <v>2.0316095171565887E-6</v>
      </c>
      <c r="B20">
        <f>'Mass Balance'!E20</f>
        <v>9.6835444002217378E-6</v>
      </c>
      <c r="C20">
        <f>SUM('Mass Balance'!E20:H20)</f>
        <v>1.3219101138917504E-4</v>
      </c>
      <c r="D20">
        <f>Concentrations!F20/Concentrations!E20</f>
        <v>7.3540873690213074E-2</v>
      </c>
    </row>
    <row r="21" spans="1:4">
      <c r="A21">
        <f>'Mass Balance'!I21</f>
        <v>4.7675088609893803E-6</v>
      </c>
      <c r="B21">
        <f>'Mass Balance'!E21</f>
        <v>6.6937501415315202E-7</v>
      </c>
      <c r="C21">
        <f>SUM('Mass Balance'!E21:H21)</f>
        <v>1.3737509371063611E-4</v>
      </c>
      <c r="D21">
        <f>Concentrations!F21/Concentrations!E21</f>
        <v>4.8916779614992965E-3</v>
      </c>
    </row>
    <row r="22" spans="1:4">
      <c r="A22">
        <f>'Mass Balance'!I22</f>
        <v>6.0812208125437988E-7</v>
      </c>
      <c r="B22">
        <f>'Mass Balance'!E22</f>
        <v>1.0054803276784281E-4</v>
      </c>
      <c r="C22">
        <f>SUM('Mass Balance'!E22:H22)</f>
        <v>1.2767360219097858E-4</v>
      </c>
      <c r="D22">
        <f>Concentrations!F22/Concentrations!E22</f>
        <v>0.79062187913500215</v>
      </c>
    </row>
    <row r="23" spans="1:4">
      <c r="A23">
        <f>'Mass Balance'!I23</f>
        <v>3.3752932665322564E-7</v>
      </c>
      <c r="B23">
        <f>'Mass Balance'!E23</f>
        <v>1.2150995973847223E-4</v>
      </c>
      <c r="C23">
        <f>SUM('Mass Balance'!E23:H23)</f>
        <v>1.3406208535202379E-4</v>
      </c>
      <c r="D23">
        <f>Concentrations!F23/Concentrations!E23</f>
        <v>0.90991802583642012</v>
      </c>
    </row>
    <row r="24" spans="1:4">
      <c r="A24">
        <f>'Mass Balance'!I24</f>
        <v>1.6811113954229814E-6</v>
      </c>
      <c r="B24">
        <f>'Mass Balance'!E24</f>
        <v>3.1537141105220627E-5</v>
      </c>
      <c r="C24">
        <f>SUM('Mass Balance'!E24:H24)</f>
        <v>1.2449668437841338E-4</v>
      </c>
      <c r="D24">
        <f>Concentrations!F24/Concentrations!E24</f>
        <v>0.25430851284398481</v>
      </c>
    </row>
    <row r="25" spans="1:4">
      <c r="A25">
        <f>'Mass Balance'!I25</f>
        <v>2.0669308931019783E-6</v>
      </c>
      <c r="B25">
        <f>'Mass Balance'!E25</f>
        <v>3.3699252098413383E-6</v>
      </c>
      <c r="C25">
        <f>SUM('Mass Balance'!E25:H25)</f>
        <v>1.3626102156466676E-4</v>
      </c>
      <c r="D25">
        <f>Concentrations!F25/Concentrations!E25</f>
        <v>2.4828185657071931E-2</v>
      </c>
    </row>
    <row r="26" spans="1:4">
      <c r="A26">
        <f>'Mass Balance'!I26</f>
        <v>4.4968187818933759E-6</v>
      </c>
      <c r="B26">
        <f>'Mass Balance'!E26</f>
        <v>7.2636124505268891E-7</v>
      </c>
      <c r="C26">
        <f>SUM('Mass Balance'!E26:H26)</f>
        <v>1.3762911077668189E-4</v>
      </c>
      <c r="D26">
        <f>Concentrations!F26/Concentrations!E26</f>
        <v>5.2983265655727266E-3</v>
      </c>
    </row>
    <row r="27" spans="1:4">
      <c r="A27">
        <f>'Mass Balance'!I27</f>
        <v>1.0215494661299401E-5</v>
      </c>
      <c r="B27">
        <f>'Mass Balance'!E27</f>
        <v>1.0726841350519296E-7</v>
      </c>
      <c r="C27">
        <f>SUM('Mass Balance'!E27:H27)</f>
        <v>1.3418372574539516E-4</v>
      </c>
      <c r="D27">
        <f>Concentrations!F27/Concentrations!E27</f>
        <v>8.0254311530271666E-4</v>
      </c>
    </row>
    <row r="28" spans="1:4">
      <c r="A28">
        <f>'Mass Balance'!I28</f>
        <v>6.5328822377439766E-6</v>
      </c>
      <c r="B28">
        <f>'Mass Balance'!E28</f>
        <v>3.9559717270529573E-7</v>
      </c>
      <c r="C28">
        <f>SUM('Mass Balance'!E28:H28)</f>
        <v>1.3607880188499279E-4</v>
      </c>
      <c r="D28">
        <f>Concentrations!F28/Concentrations!E28</f>
        <v>2.9184957454671031E-3</v>
      </c>
    </row>
    <row r="29" spans="1:4">
      <c r="A29">
        <f>'Mass Balance'!I29</f>
        <v>4.9360707666418461E-6</v>
      </c>
      <c r="B29">
        <f>'Mass Balance'!E29</f>
        <v>6.0240598926288119E-7</v>
      </c>
      <c r="C29">
        <f>SUM('Mass Balance'!E29:H29)</f>
        <v>1.3413794193691382E-4</v>
      </c>
      <c r="D29">
        <f>Concentrations!F29/Concentrations!E29</f>
        <v>4.508520042482078E-3</v>
      </c>
    </row>
    <row r="30" spans="1:4">
      <c r="A30">
        <f>'Mass Balance'!I30</f>
        <v>6.5328822377439766E-6</v>
      </c>
      <c r="B30">
        <f>'Mass Balance'!E30</f>
        <v>3.9559717270529573E-7</v>
      </c>
      <c r="C30">
        <f>SUM('Mass Balance'!E30:H30)</f>
        <v>1.3607880188499279E-4</v>
      </c>
      <c r="D30">
        <f>Concentrations!F30/Concentrations!E30</f>
        <v>2.9184957454671031E-3</v>
      </c>
    </row>
    <row r="31" spans="1:4">
      <c r="A31">
        <f>'Mass Balance'!I31</f>
        <v>8.9184135721599663E-8</v>
      </c>
      <c r="B31">
        <f>'Mass Balance'!E31</f>
        <v>1.4828460897382148E-4</v>
      </c>
      <c r="C31">
        <f>SUM('Mass Balance'!E31:H31)</f>
        <v>1.4841247534256243E-4</v>
      </c>
      <c r="D31">
        <f>Concentrations!F31/Concentrations!E31</f>
        <v>1.0030487243621815</v>
      </c>
    </row>
    <row r="32" spans="1:4">
      <c r="A32">
        <f>'Mass Balance'!I32</f>
        <v>9.2684458913393288E-7</v>
      </c>
      <c r="B32">
        <f>'Mass Balance'!E32</f>
        <v>7.9591260499779236E-5</v>
      </c>
      <c r="C32">
        <f>SUM('Mass Balance'!E32:H32)</f>
        <v>1.2419294706080943E-4</v>
      </c>
      <c r="D32">
        <f>Concentrations!F32/Concentrations!E32</f>
        <v>0.64337593466145515</v>
      </c>
    </row>
    <row r="33" spans="1:4">
      <c r="A33">
        <f>'Mass Balance'!I33</f>
        <v>8.7809218703160469E-8</v>
      </c>
      <c r="B33">
        <f>'Mass Balance'!E33</f>
        <v>1.4927838812265807E-4</v>
      </c>
      <c r="C33">
        <f>SUM('Mass Balance'!E33:H33)</f>
        <v>1.4990857781469743E-4</v>
      </c>
      <c r="D33">
        <f>Concentrations!F33/Concentrations!E33</f>
        <v>0.99969337789726775</v>
      </c>
    </row>
    <row r="34" spans="1:4">
      <c r="A34">
        <f>'Mass Balance'!I34</f>
        <v>1.5995183918730519E-7</v>
      </c>
      <c r="B34">
        <f>'Mass Balance'!E34</f>
        <v>8.2064637373984651E-5</v>
      </c>
      <c r="C34">
        <f>SUM('Mass Balance'!E34:H34)</f>
        <v>1.4982774178897145E-4</v>
      </c>
      <c r="D34">
        <f>Concentrations!F34/Concentrations!E34</f>
        <v>0.54987019915558144</v>
      </c>
    </row>
    <row r="35" spans="1:4">
      <c r="A35">
        <f>'Mass Balance'!I35</f>
        <v>1.8745007329464211E-7</v>
      </c>
      <c r="B35">
        <f>'Mass Balance'!E35</f>
        <v>4.8582206254446556E-5</v>
      </c>
      <c r="C35">
        <f>SUM('Mass Balance'!E35:H35)</f>
        <v>1.4978276321453042E-4</v>
      </c>
      <c r="D35">
        <f>Concentrations!F35/Concentrations!E35</f>
        <v>0.32562051399863756</v>
      </c>
    </row>
    <row r="36" spans="1:4">
      <c r="A36">
        <f>'Mass Balance'!I36</f>
        <v>2.0320835764352701E-7</v>
      </c>
      <c r="B36">
        <f>'Mass Balance'!E36</f>
        <v>1.6204221405233451E-5</v>
      </c>
      <c r="C36">
        <f>SUM('Mass Balance'!E36:H36)</f>
        <v>1.4976350147558509E-4</v>
      </c>
      <c r="D36">
        <f>Concentrations!F36/Concentrations!E36</f>
        <v>0.1086221877125709</v>
      </c>
    </row>
    <row r="37" spans="1:4">
      <c r="A37">
        <f>'Mass Balance'!I37</f>
        <v>5.2810663966736034E-7</v>
      </c>
      <c r="B37">
        <f>'Mass Balance'!E37</f>
        <v>3.244381676997222E-5</v>
      </c>
      <c r="C37">
        <f>SUM('Mass Balance'!E37:H37)</f>
        <v>1.4481968201523224E-4</v>
      </c>
      <c r="D37">
        <f>Concentrations!F37/Concentrations!E37</f>
        <v>0.22490582970047909</v>
      </c>
    </row>
    <row r="38" spans="1:4">
      <c r="A38">
        <f>'Mass Balance'!I38</f>
        <v>1.5467043231133262E-7</v>
      </c>
      <c r="B38">
        <f>'Mass Balance'!E38</f>
        <v>9.1990258672941335E-5</v>
      </c>
      <c r="C38">
        <f>SUM('Mass Balance'!E38:H38)</f>
        <v>1.4972617878943967E-4</v>
      </c>
      <c r="D38">
        <f>Concentrations!F38/Concentrations!E38</f>
        <v>0.61679445598249316</v>
      </c>
    </row>
    <row r="39" spans="1:4">
      <c r="A39">
        <f>'Mass Balance'!I39</f>
        <v>2.1200059020250184E-6</v>
      </c>
      <c r="B39">
        <f>'Mass Balance'!E39</f>
        <v>1.637533882655679E-6</v>
      </c>
      <c r="C39">
        <f>SUM('Mass Balance'!E39:H39)</f>
        <v>1.4050623121847434E-4</v>
      </c>
      <c r="D39">
        <f>Concentrations!F39/Concentrations!E39</f>
        <v>1.1700140373438877E-2</v>
      </c>
    </row>
    <row r="40" spans="1:4">
      <c r="A40">
        <f>'Mass Balance'!I40</f>
        <v>1.3107561412512333E-5</v>
      </c>
      <c r="B40">
        <f>'Mass Balance'!E40</f>
        <v>1.3959899626100888E-7</v>
      </c>
      <c r="C40">
        <f>SUM('Mass Balance'!E40:H40)</f>
        <v>1.3672340201895708E-4</v>
      </c>
      <c r="D40">
        <f>Concentrations!F40/Concentrations!E40</f>
        <v>1.0250281720648679E-3</v>
      </c>
    </row>
    <row r="41" spans="1:4">
      <c r="A41">
        <f>'Mass Balance'!I41</f>
        <v>8.1087209883637761E-8</v>
      </c>
      <c r="B41">
        <f>'Mass Balance'!E41</f>
        <v>1.3987478017260714E-4</v>
      </c>
      <c r="C41">
        <f>SUM('Mass Balance'!E41:H41)</f>
        <v>1.3988120597705362E-4</v>
      </c>
      <c r="D41">
        <f>Concentrations!F41/Concentrations!E41</f>
        <v>1.0038675396339611</v>
      </c>
    </row>
    <row r="42" spans="1:4">
      <c r="A42">
        <f>'Mass Balance'!I42</f>
        <v>6.9398019395219864E-7</v>
      </c>
      <c r="B42">
        <f>'Mass Balance'!E42</f>
        <v>9.4704748448091948E-5</v>
      </c>
      <c r="C42">
        <f>SUM('Mass Balance'!E42:H42)</f>
        <v>1.2659349825868137E-4</v>
      </c>
      <c r="D42">
        <f>Concentrations!F42/Concentrations!E42</f>
        <v>0.75102901537292632</v>
      </c>
    </row>
    <row r="43" spans="1:4">
      <c r="A43">
        <f>'Mass Balance'!I43</f>
        <v>4.1301364979828437E-7</v>
      </c>
      <c r="B43">
        <f>'Mass Balance'!E43</f>
        <v>1.3192903631081904E-6</v>
      </c>
      <c r="C43">
        <f>SUM('Mass Balance'!E43:H43)</f>
        <v>1.4956034831670279E-4</v>
      </c>
      <c r="D43">
        <f>Concentrations!F43/Concentrations!E43</f>
        <v>8.8556467538360335E-3</v>
      </c>
    </row>
    <row r="44" spans="1:4">
      <c r="A44">
        <f>'Mass Balance'!I44</f>
        <v>1.6728246234661367E-7</v>
      </c>
      <c r="B44">
        <f>'Mass Balance'!E44</f>
        <v>1.2583763086919161E-4</v>
      </c>
      <c r="C44">
        <f>SUM('Mass Balance'!E44:H44)</f>
        <v>1.3003214457724235E-4</v>
      </c>
      <c r="D44">
        <f>Concentrations!F44/Concentrations!E44</f>
        <v>0.97152989827926517</v>
      </c>
    </row>
    <row r="45" spans="1:4">
      <c r="A45">
        <f>'Mass Balance'!I45</f>
        <v>7.7532414012879149E-7</v>
      </c>
      <c r="B45">
        <f>'Mass Balance'!E45</f>
        <v>8.8967300950311144E-5</v>
      </c>
      <c r="C45">
        <f>SUM('Mass Balance'!E45:H45)</f>
        <v>1.2544918737928139E-4</v>
      </c>
      <c r="D45">
        <f>Concentrations!F45/Concentrations!E45</f>
        <v>0.71196546040949049</v>
      </c>
    </row>
    <row r="46" spans="1:4">
      <c r="A46">
        <f>'Mass Balance'!I46</f>
        <v>7.2262106080792642E-7</v>
      </c>
      <c r="B46">
        <f>'Mass Balance'!E46</f>
        <v>9.2432866940248971E-5</v>
      </c>
      <c r="C46">
        <f>SUM('Mass Balance'!E46:H46)</f>
        <v>1.2594355139463112E-4</v>
      </c>
      <c r="D46">
        <f>Concentrations!F46/Concentrations!E46</f>
        <v>0.73679530590858933</v>
      </c>
    </row>
    <row r="47" spans="1:4">
      <c r="A47">
        <f>'Mass Balance'!I47</f>
        <v>1.0449740057720937E-5</v>
      </c>
      <c r="B47">
        <f>'Mass Balance'!E47</f>
        <v>9.7631010162650925E-8</v>
      </c>
      <c r="C47">
        <f>SUM('Mass Balance'!E47:H47)</f>
        <v>1.3438940390422395E-4</v>
      </c>
      <c r="D47">
        <f>Concentrations!F47/Concentrations!E47</f>
        <v>7.2932166972692724E-4</v>
      </c>
    </row>
    <row r="48" spans="1:4">
      <c r="A48">
        <f>'Mass Balance'!I48</f>
        <v>1.1381049462345376E-7</v>
      </c>
      <c r="B48">
        <f>'Mass Balance'!E48</f>
        <v>1.4204485326816367E-4</v>
      </c>
      <c r="C48">
        <f>SUM('Mass Balance'!E48:H48)</f>
        <v>1.4336512092057846E-4</v>
      </c>
      <c r="D48">
        <f>Concentrations!F48/Concentrations!E48</f>
        <v>0.99466848831057531</v>
      </c>
    </row>
    <row r="49" spans="1:4">
      <c r="A49">
        <f>'Mass Balance'!I49</f>
        <v>1.3489720366525808E-7</v>
      </c>
      <c r="B49">
        <f>'Mass Balance'!E49</f>
        <v>1.3792691429056927E-4</v>
      </c>
      <c r="C49">
        <f>SUM('Mass Balance'!E49:H49)</f>
        <v>1.4029526159399386E-4</v>
      </c>
      <c r="D49">
        <f>Concentrations!F49/Concentrations!E49</f>
        <v>0.98696642602903817</v>
      </c>
    </row>
    <row r="50" spans="1:4">
      <c r="A50">
        <f>'Mass Balance'!I50</f>
        <v>1.9702754542351602E-6</v>
      </c>
      <c r="B50">
        <f>'Mass Balance'!E50</f>
        <v>1.3010462082104826E-5</v>
      </c>
      <c r="C50">
        <f>SUM('Mass Balance'!E50:H50)</f>
        <v>1.2948569268097552E-4</v>
      </c>
      <c r="D50">
        <f>Concentrations!F50/Concentrations!E50</f>
        <v>0.1008712259839544</v>
      </c>
    </row>
    <row r="51" spans="1:4">
      <c r="A51">
        <f>'Mass Balance'!I51</f>
        <v>8.6555355361849458E-8</v>
      </c>
      <c r="B51">
        <f>'Mass Balance'!E51</f>
        <v>1.3987055190851428E-4</v>
      </c>
      <c r="C51">
        <f>SUM('Mass Balance'!E51:H51)</f>
        <v>1.400876290313144E-4</v>
      </c>
      <c r="D51">
        <f>Concentrations!F51/Concentrations!E51</f>
        <v>1.002358011511207</v>
      </c>
    </row>
    <row r="52" spans="1:4">
      <c r="A52">
        <f>'Mass Balance'!I52</f>
        <v>2.3049064149356183E-7</v>
      </c>
      <c r="B52">
        <f>'Mass Balance'!E52</f>
        <v>1.216985750134888E-4</v>
      </c>
      <c r="C52">
        <f>SUM('Mass Balance'!E52:H52)</f>
        <v>1.2901644462361787E-4</v>
      </c>
      <c r="D52">
        <f>Concentrations!F52/Concentrations!E52</f>
        <v>0.94697123184535315</v>
      </c>
    </row>
    <row r="53" spans="1:4">
      <c r="A53">
        <f>'Mass Balance'!I53</f>
        <v>1.0596560899193427E-6</v>
      </c>
      <c r="B53">
        <f>'Mass Balance'!E53</f>
        <v>6.9859655556560733E-5</v>
      </c>
      <c r="C53">
        <f>SUM('Mass Balance'!E53:H53)</f>
        <v>1.2290064840167781E-4</v>
      </c>
      <c r="D53">
        <f>Concentrations!F53/Concentrations!E53</f>
        <v>0.57064843187288916</v>
      </c>
    </row>
    <row r="54" spans="1:4">
      <c r="A54">
        <f>'Mass Balance'!I54</f>
        <v>9.648884847168008E-6</v>
      </c>
      <c r="B54">
        <f>'Mass Balance'!E54</f>
        <v>1.3727374907382642E-7</v>
      </c>
      <c r="C54">
        <f>SUM('Mass Balance'!E54:H54)</f>
        <v>1.345893512150346E-4</v>
      </c>
      <c r="D54">
        <f>Concentrations!F54/Concentrations!E54</f>
        <v>1.0239368137133337E-3</v>
      </c>
    </row>
    <row r="55" spans="1:4">
      <c r="A55">
        <f>'Mass Balance'!I55</f>
        <v>1.5171030920662992E-6</v>
      </c>
      <c r="B55">
        <f>'Mass Balance'!E55</f>
        <v>2.4773448088169293E-5</v>
      </c>
      <c r="C55">
        <f>SUM('Mass Balance'!E55:H55)</f>
        <v>1.0944987161224449E-4</v>
      </c>
      <c r="D55">
        <f>Concentrations!F55/Concentrations!E55</f>
        <v>0.22723099168919014</v>
      </c>
    </row>
    <row r="56" spans="1:4">
      <c r="A56">
        <f>'Mass Balance'!I56</f>
        <v>8.9183426941634527E-7</v>
      </c>
      <c r="B56">
        <f>'Mass Balance'!E56</f>
        <v>2.9276953397324447E-6</v>
      </c>
      <c r="C56">
        <f>SUM('Mass Balance'!E56:H56)</f>
        <v>5.7925474129015622E-5</v>
      </c>
      <c r="D56">
        <f>Concentrations!F56/Concentrations!E56</f>
        <v>5.0740255117250999E-2</v>
      </c>
    </row>
    <row r="57" spans="1:4">
      <c r="A57">
        <f>'Mass Balance'!I57</f>
        <v>4.5590859805458937E-7</v>
      </c>
      <c r="B57">
        <f>'Mass Balance'!E57</f>
        <v>5.5085447462139573E-6</v>
      </c>
      <c r="C57">
        <f>SUM('Mass Balance'!E57:H57)</f>
        <v>3.146023177965981E-5</v>
      </c>
      <c r="D57">
        <f>Concentrations!F57/Concentrations!E57</f>
        <v>0.17578075519766787</v>
      </c>
    </row>
    <row r="58" spans="1:4">
      <c r="A58">
        <f>'Mass Balance'!I58</f>
        <v>1.2192559798712122E-8</v>
      </c>
      <c r="B58">
        <f>'Mass Balance'!E58</f>
        <v>1.1255947298448341E-5</v>
      </c>
      <c r="C58">
        <f>SUM('Mass Balance'!E58:H58)</f>
        <v>1.1503034359648791E-5</v>
      </c>
      <c r="D58">
        <f>Concentrations!F58/Concentrations!E58</f>
        <v>0.98234942729794872</v>
      </c>
    </row>
    <row r="59" spans="1:4">
      <c r="A59">
        <f>'Mass Balance'!I59</f>
        <v>1.7708967206642748E-7</v>
      </c>
      <c r="B59">
        <f>'Mass Balance'!E59</f>
        <v>2.2938645278616332E-6</v>
      </c>
      <c r="C59">
        <f>SUM('Mass Balance'!E59:H59)</f>
        <v>1.2329271162071043E-5</v>
      </c>
      <c r="D59">
        <f>Concentrations!F59/Concentrations!E59</f>
        <v>0.18677843130853472</v>
      </c>
    </row>
    <row r="60" spans="1:4">
      <c r="A60">
        <f>'Mass Balance'!I60</f>
        <v>3.1106445423965113E-9</v>
      </c>
      <c r="B60">
        <f>'Mass Balance'!E60</f>
        <v>8.6348086557231987E-8</v>
      </c>
      <c r="C60">
        <f>SUM('Mass Balance'!E60:H60)</f>
        <v>2.5367705949781244E-7</v>
      </c>
      <c r="D60">
        <f>Concentrations!F60/Concentrations!E60</f>
        <v>0.34171802338874779</v>
      </c>
    </row>
    <row r="61" spans="1:4">
      <c r="A61">
        <f>'Mass Balance'!I61</f>
        <v>1.3390690852551903E-6</v>
      </c>
      <c r="B61">
        <f>'Mass Balance'!E61</f>
        <v>5.2416261188468627E-5</v>
      </c>
      <c r="C61">
        <f>SUM('Mass Balance'!E61:H61)</f>
        <v>1.2258021009618303E-4</v>
      </c>
      <c r="D61">
        <f>Concentrations!F61/Concentrations!E61</f>
        <v>0.42928136943734019</v>
      </c>
    </row>
    <row r="62" spans="1:4">
      <c r="A62">
        <f>'Mass Balance'!I62</f>
        <v>5.095451234027297E-6</v>
      </c>
      <c r="B62">
        <f>'Mass Balance'!E62</f>
        <v>6.0749886147524626E-7</v>
      </c>
      <c r="C62">
        <f>SUM('Mass Balance'!E62:H62)</f>
        <v>1.3714672783400166E-4</v>
      </c>
      <c r="D62">
        <f>Concentrations!F62/Concentrations!E62</f>
        <v>4.4468899351751273E-3</v>
      </c>
    </row>
    <row r="63" spans="1:4">
      <c r="A63">
        <f>'Mass Balance'!I63</f>
        <v>1.1638037090475635E-5</v>
      </c>
      <c r="B63">
        <f>'Mass Balance'!E63</f>
        <v>5.2702705059019993E-8</v>
      </c>
      <c r="C63">
        <f>SUM('Mass Balance'!E63:H63)</f>
        <v>1.3418620045641889E-4</v>
      </c>
      <c r="D63">
        <f>Concentrations!F63/Concentrations!E63</f>
        <v>3.9429513012256975E-4</v>
      </c>
    </row>
    <row r="64" spans="1:4">
      <c r="A64">
        <f>'Mass Balance'!I64</f>
        <v>1.3059526880855751E-5</v>
      </c>
      <c r="B64">
        <f>'Mass Balance'!E64</f>
        <v>1.7964806607483202E-8</v>
      </c>
      <c r="C64">
        <f>SUM('Mass Balance'!E64:H64)</f>
        <v>1.3417523219944356E-4</v>
      </c>
      <c r="D64">
        <f>Concentrations!F64/Concentrations!E64</f>
        <v>1.3441463378141344E-4</v>
      </c>
    </row>
    <row r="65" spans="1:4">
      <c r="A65">
        <f>'Mass Balance'!I65</f>
        <v>1.4034231344974522E-5</v>
      </c>
      <c r="B65">
        <f>'Mass Balance'!E65</f>
        <v>4.9795807098511339E-9</v>
      </c>
      <c r="C65">
        <f>SUM('Mass Balance'!E65:H65)</f>
        <v>1.3433370129322056E-4</v>
      </c>
      <c r="D65">
        <f>Concentrations!F65/Concentrations!E65</f>
        <v>3.7213811818105847E-5</v>
      </c>
    </row>
    <row r="66" spans="1:4">
      <c r="A66">
        <f>'Mass Balance'!I66</f>
        <v>1.3547546824462375E-5</v>
      </c>
      <c r="B66">
        <f>'Mass Balance'!E66</f>
        <v>1.0391949469530617E-8</v>
      </c>
      <c r="C66">
        <f>SUM('Mass Balance'!E66:H66)</f>
        <v>1.3423706120785378E-4</v>
      </c>
      <c r="D66">
        <f>Concentrations!F66/Concentrations!E66</f>
        <v>7.7717881346988231E-5</v>
      </c>
    </row>
    <row r="67" spans="1:4">
      <c r="A67">
        <f>'Mass Balance'!I67</f>
        <v>1.9787400446121434E-7</v>
      </c>
      <c r="B67">
        <f>'Mass Balance'!E67</f>
        <v>1.3336796068823351E-4</v>
      </c>
      <c r="C67">
        <f>SUM('Mass Balance'!E67:H67)</f>
        <v>1.3877943055484694E-4</v>
      </c>
      <c r="D67">
        <f>Concentrations!F67/Concentrations!E67</f>
        <v>0.96476773687511463</v>
      </c>
    </row>
    <row r="68" spans="1:4">
      <c r="A68">
        <f>'Mass Balance'!I68</f>
        <v>2.8016632556554252E-7</v>
      </c>
      <c r="B68">
        <f>'Mass Balance'!E68</f>
        <v>1.2506714903066116E-4</v>
      </c>
      <c r="C68">
        <f>SUM('Mass Balance'!E68:H68)</f>
        <v>1.3468433780920955E-4</v>
      </c>
      <c r="D68">
        <f>Concentrations!F68/Concentrations!E68</f>
        <v>0.93222880251935281</v>
      </c>
    </row>
    <row r="69" spans="1:4">
      <c r="A69">
        <f>'Mass Balance'!I69</f>
        <v>8.4271034255114455E-6</v>
      </c>
      <c r="B69">
        <f>'Mass Balance'!E69</f>
        <v>2.1499887301906816E-7</v>
      </c>
      <c r="C69">
        <f>SUM('Mass Balance'!E69:H69)</f>
        <v>1.3493601835998017E-4</v>
      </c>
      <c r="D69">
        <f>Concentrations!F69/Concentrations!E69</f>
        <v>1.5995751726402129E-3</v>
      </c>
    </row>
    <row r="70" spans="1:4">
      <c r="A70">
        <f>'Mass Balance'!I70</f>
        <v>2.0830659894546206E-6</v>
      </c>
      <c r="B70">
        <f>'Mass Balance'!E70</f>
        <v>4.1899680123165685E-6</v>
      </c>
      <c r="C70">
        <f>SUM('Mass Balance'!E70:H70)</f>
        <v>1.3645685628579127E-4</v>
      </c>
      <c r="D70">
        <f>Concentrations!F70/Concentrations!E70</f>
        <v>3.0825612024579729E-2</v>
      </c>
    </row>
    <row r="71" spans="1:4">
      <c r="A71">
        <f>'Mass Balance'!I71</f>
        <v>2.6111895399881258E-7</v>
      </c>
      <c r="B71">
        <f>'Mass Balance'!E71</f>
        <v>1.2482463580484838E-4</v>
      </c>
      <c r="C71">
        <f>SUM('Mass Balance'!E71:H71)</f>
        <v>1.3352384623130389E-4</v>
      </c>
      <c r="D71">
        <f>Concentrations!F71/Concentrations!E71</f>
        <v>0.93850769095966757</v>
      </c>
    </row>
    <row r="72" spans="1:4">
      <c r="A72">
        <f>'Mass Balance'!I72</f>
        <v>2.0608587401251448E-6</v>
      </c>
      <c r="B72">
        <f>'Mass Balance'!E72</f>
        <v>4.8807240185396407E-6</v>
      </c>
      <c r="C72">
        <f>SUM('Mass Balance'!E72:H72)</f>
        <v>1.3447169590545421E-4</v>
      </c>
      <c r="D72">
        <f>Concentrations!F72/Concentrations!E72</f>
        <v>3.6437597259925139E-2</v>
      </c>
    </row>
    <row r="73" spans="1:4">
      <c r="A73">
        <f>'Mass Balance'!I73</f>
        <v>1.3801549261949335E-6</v>
      </c>
      <c r="B73">
        <f>'Mass Balance'!E73</f>
        <v>4.8189294952787979E-5</v>
      </c>
      <c r="C73">
        <f>SUM('Mass Balance'!E73:H73)</f>
        <v>1.2116020995357262E-4</v>
      </c>
      <c r="D73">
        <f>Concentrations!F73/Concentrations!E73</f>
        <v>0.39928860591166571</v>
      </c>
    </row>
    <row r="74" spans="1:4">
      <c r="A74">
        <f>'Mass Balance'!I74</f>
        <v>2.0790975644177115E-6</v>
      </c>
      <c r="B74">
        <f>'Mass Balance'!E74</f>
        <v>4.381767025017943E-6</v>
      </c>
      <c r="C74">
        <f>SUM('Mass Balance'!E74:H74)</f>
        <v>1.360306977216568E-4</v>
      </c>
      <c r="D74">
        <f>Concentrations!F74/Concentrations!E74</f>
        <v>3.2337669598745414E-2</v>
      </c>
    </row>
    <row r="75" spans="1:4">
      <c r="A75">
        <f>'Mass Balance'!I75</f>
        <v>1.3641008486148139E-6</v>
      </c>
      <c r="B75">
        <f>'Mass Balance'!E75</f>
        <v>6.4227128009505529E-7</v>
      </c>
      <c r="C75">
        <f>SUM('Mass Balance'!E75:H75)</f>
        <v>1.4863065576357231E-4</v>
      </c>
      <c r="D75">
        <f>Concentrations!F75/Concentrations!E75</f>
        <v>4.3381690424097357E-3</v>
      </c>
    </row>
    <row r="76" spans="1:4">
      <c r="A76">
        <f>'Mass Balance'!I76</f>
        <v>1.3641008491792936E-6</v>
      </c>
      <c r="B76">
        <f>'Mass Balance'!E76</f>
        <v>6.422712803608339E-7</v>
      </c>
      <c r="C76">
        <f>SUM('Mass Balance'!E76:H76)</f>
        <v>1.4863065582507723E-4</v>
      </c>
      <c r="D76">
        <f>Concentrations!F76/Concentrations!E76</f>
        <v>4.3381690424097365E-3</v>
      </c>
    </row>
    <row r="77" spans="1:4">
      <c r="A77">
        <f>'Mass Balance'!I77</f>
        <v>1.8598369359945368E-6</v>
      </c>
      <c r="B77">
        <f>'Mass Balance'!E77</f>
        <v>1.7816162877100828E-5</v>
      </c>
      <c r="C77">
        <f>SUM('Mass Balance'!E77:H77)</f>
        <v>1.2525508172370523E-4</v>
      </c>
      <c r="D77">
        <f>Concentrations!F77/Concentrations!E77</f>
        <v>0.1427957171998791</v>
      </c>
    </row>
    <row r="78" spans="1:4">
      <c r="A78">
        <f>'Mass Balance'!I78</f>
        <v>6.3491170872559708E-7</v>
      </c>
      <c r="B78">
        <f>'Mass Balance'!E78</f>
        <v>9.4400357407096503E-5</v>
      </c>
      <c r="C78">
        <f>SUM('Mass Balance'!E78:H78)</f>
        <v>1.2320447319151724E-4</v>
      </c>
      <c r="D78">
        <f>Concentrations!F78/Concentrations!E78</f>
        <v>0.76920752608869414</v>
      </c>
    </row>
    <row r="79" spans="1:4">
      <c r="A79">
        <f>'Mass Balance'!I79</f>
        <v>1.0776725569501722E-6</v>
      </c>
      <c r="B79">
        <f>'Mass Balance'!E79</f>
        <v>6.7922668295487042E-5</v>
      </c>
      <c r="C79">
        <f>SUM('Mass Balance'!E79:H79)</f>
        <v>1.2209896265204365E-4</v>
      </c>
      <c r="D79">
        <f>Concentrations!F79/Concentrations!E79</f>
        <v>0.5584690716502958</v>
      </c>
    </row>
    <row r="80" spans="1:4">
      <c r="A80">
        <f>'Mass Balance'!I80</f>
        <v>2.6272953005694799E-6</v>
      </c>
      <c r="B80">
        <f>'Mass Balance'!E80</f>
        <v>4.3177816906781943E-7</v>
      </c>
      <c r="C80">
        <f>SUM('Mass Balance'!E80:H80)</f>
        <v>1.4736636818491955E-4</v>
      </c>
      <c r="D80">
        <f>Concentrations!F80/Concentrations!E80</f>
        <v>2.9414309795428042E-3</v>
      </c>
    </row>
    <row r="81" spans="1:4">
      <c r="A81">
        <f>'Mass Balance'!I81</f>
        <v>9.0590694697175119E-8</v>
      </c>
      <c r="B81">
        <f>'Mass Balance'!E81</f>
        <v>1.4785161103468686E-4</v>
      </c>
      <c r="C81">
        <f>SUM('Mass Balance'!E81:H81)</f>
        <v>1.4804492122386974E-4</v>
      </c>
      <c r="D81">
        <f>Concentrations!F81/Concentrations!E81</f>
        <v>1.0026027931264743</v>
      </c>
    </row>
    <row r="82" spans="1:4">
      <c r="A82">
        <f>'Mass Balance'!I82</f>
        <v>3.2754966914952949E-7</v>
      </c>
      <c r="B82">
        <f>'Mass Balance'!E82</f>
        <v>1.2233877778769701E-4</v>
      </c>
      <c r="C82">
        <f>SUM('Mass Balance'!E82:H82)</f>
        <v>1.3436973698784498E-4</v>
      </c>
      <c r="D82">
        <f>Concentrations!F82/Concentrations!E82</f>
        <v>0.91402701646221429</v>
      </c>
    </row>
    <row r="83" spans="1:4">
      <c r="A83">
        <f>'Mass Balance'!I83</f>
        <v>1.8281939133958013E-6</v>
      </c>
      <c r="B83">
        <f>'Mass Balance'!E83</f>
        <v>2.2607621176040607E-5</v>
      </c>
      <c r="C83">
        <f>SUM('Mass Balance'!E83:H83)</f>
        <v>1.2651894250796826E-4</v>
      </c>
      <c r="D83">
        <f>Concentrations!F83/Concentrations!E83</f>
        <v>0.17938894525213356</v>
      </c>
    </row>
    <row r="84" spans="1:4">
      <c r="A84">
        <f>'Mass Balance'!I84</f>
        <v>1.0481135592455872E-7</v>
      </c>
      <c r="B84">
        <f>'Mass Balance'!E84</f>
        <v>1.4496480966488446E-4</v>
      </c>
      <c r="C84">
        <f>SUM('Mass Balance'!E84:H84)</f>
        <v>1.4582057776797331E-4</v>
      </c>
      <c r="D84">
        <f>Concentrations!F84/Concentrations!E84</f>
        <v>0.9980220517204107</v>
      </c>
    </row>
    <row r="85" spans="1:4">
      <c r="A85">
        <f>'Mass Balance'!I85</f>
        <v>8.726534578312692E-8</v>
      </c>
      <c r="B85">
        <f>'Mass Balance'!E85</f>
        <v>1.4910619813364402E-4</v>
      </c>
      <c r="C85">
        <f>SUM('Mass Balance'!E85:H85)</f>
        <v>1.4914267940033208E-4</v>
      </c>
      <c r="D85">
        <f>Concentrations!F85/Concentrations!E85</f>
        <v>1.0036680932087845</v>
      </c>
    </row>
    <row r="86" spans="1:4">
      <c r="A86">
        <f>'Mass Balance'!I86</f>
        <v>1.0395564145513827E-7</v>
      </c>
      <c r="B86">
        <f>'Mass Balance'!E86</f>
        <v>1.4510678314347513E-4</v>
      </c>
      <c r="C86">
        <f>SUM('Mass Balance'!E86:H86)</f>
        <v>1.4592237750971375E-4</v>
      </c>
      <c r="D86">
        <f>Concentrations!F86/Concentrations!E86</f>
        <v>0.99830254829448739</v>
      </c>
    </row>
    <row r="87" spans="1:4">
      <c r="A87">
        <f>'Mass Balance'!I87</f>
        <v>1.0939431626335071E-5</v>
      </c>
      <c r="B87">
        <f>'Mass Balance'!E87</f>
        <v>7.721901595018233E-8</v>
      </c>
      <c r="C87">
        <f>SUM('Mass Balance'!E87:H87)</f>
        <v>1.3428771247332022E-4</v>
      </c>
      <c r="D87">
        <f>Concentrations!F87/Concentrations!E87</f>
        <v>5.7727712584221204E-4</v>
      </c>
    </row>
    <row r="88" spans="1:4">
      <c r="A88">
        <f>'Mass Balance'!I88</f>
        <v>5.3274465245538903E-7</v>
      </c>
      <c r="B88">
        <f>'Mass Balance'!E88</f>
        <v>1.0631558784594823E-4</v>
      </c>
      <c r="C88">
        <f>SUM('Mass Balance'!E88:H88)</f>
        <v>1.2929618773486006E-4</v>
      </c>
      <c r="D88">
        <f>Concentrations!F88/Concentrations!E88</f>
        <v>0.82548196091787929</v>
      </c>
    </row>
    <row r="89" spans="1:4">
      <c r="A89">
        <f>'Mass Balance'!I89</f>
        <v>3.5857158902421731E-7</v>
      </c>
      <c r="B89">
        <f>'Mass Balance'!E89</f>
        <v>1.1979494039298535E-4</v>
      </c>
      <c r="C89">
        <f>SUM('Mass Balance'!E89:H89)</f>
        <v>1.3344974416025241E-4</v>
      </c>
      <c r="D89">
        <f>Concentrations!F89/Concentrations!E89</f>
        <v>0.90119151188221713</v>
      </c>
    </row>
    <row r="90" spans="1:4">
      <c r="A90">
        <f>'Mass Balance'!I90</f>
        <v>1.5199354159927534E-7</v>
      </c>
      <c r="B90">
        <f>'Mass Balance'!E90</f>
        <v>1.3878874660716293E-4</v>
      </c>
      <c r="C90">
        <f>SUM('Mass Balance'!E90:H90)</f>
        <v>1.4191116319195132E-4</v>
      </c>
      <c r="D90">
        <f>Concentrations!F90/Concentrations!E90</f>
        <v>0.98182493204176768</v>
      </c>
    </row>
    <row r="91" spans="1:4">
      <c r="A91">
        <f>'Mass Balance'!I91</f>
        <v>5.5777510965040607E-6</v>
      </c>
      <c r="B91">
        <f>'Mass Balance'!E91</f>
        <v>5.2646573067961789E-7</v>
      </c>
      <c r="C91">
        <f>SUM('Mass Balance'!E91:H91)</f>
        <v>1.3676339116173736E-4</v>
      </c>
      <c r="D91">
        <f>Concentrations!F91/Concentrations!E91</f>
        <v>3.8645293340741366E-3</v>
      </c>
    </row>
    <row r="92" spans="1:4">
      <c r="A92">
        <f>'Mass Balance'!I92</f>
        <v>1.6719503381842975E-6</v>
      </c>
      <c r="B92">
        <f>'Mass Balance'!E92</f>
        <v>3.2098373757670169E-5</v>
      </c>
      <c r="C92">
        <f>SUM('Mass Balance'!E92:H92)</f>
        <v>1.2440609893486616E-4</v>
      </c>
      <c r="D92">
        <f>Concentrations!F92/Concentrations!E92</f>
        <v>0.25902263682185783</v>
      </c>
    </row>
    <row r="93" spans="1:4">
      <c r="A93">
        <f>'Mass Balance'!I93</f>
        <v>2.0706992079295752E-6</v>
      </c>
      <c r="B93">
        <f>'Mass Balance'!E93</f>
        <v>6.487921579933608E-6</v>
      </c>
      <c r="C93">
        <f>SUM('Mass Balance'!E93:H93)</f>
        <v>1.3454094057859238E-4</v>
      </c>
      <c r="D93">
        <f>Concentrations!F93/Concentrations!E93</f>
        <v>4.8411383565722305E-2</v>
      </c>
    </row>
    <row r="94" spans="1:4">
      <c r="A94">
        <f>'Mass Balance'!I94</f>
        <v>1.0727207807027568E-7</v>
      </c>
      <c r="B94">
        <f>'Mass Balance'!E94</f>
        <v>1.3413158363535102E-4</v>
      </c>
      <c r="C94">
        <f>SUM('Mass Balance'!E94:H94)</f>
        <v>1.4988264032915922E-4</v>
      </c>
      <c r="D94">
        <f>Concentrations!F94/Concentrations!E94</f>
        <v>0.89841310742128699</v>
      </c>
    </row>
    <row r="95" spans="1:4">
      <c r="A95">
        <f>'Mass Balance'!I95</f>
        <v>2.8279546985262824E-6</v>
      </c>
      <c r="B95">
        <f>'Mass Balance'!E95</f>
        <v>1.2471379324906687E-6</v>
      </c>
      <c r="C95">
        <f>SUM('Mass Balance'!E95:H95)</f>
        <v>1.3949581423507509E-4</v>
      </c>
      <c r="D95">
        <f>Concentrations!F95/Concentrations!E95</f>
        <v>8.9753144885108532E-3</v>
      </c>
    </row>
    <row r="96" spans="1:4">
      <c r="A96">
        <f>'Mass Balance'!I96</f>
        <v>9.0905705846369981E-8</v>
      </c>
      <c r="B96">
        <f>'Mass Balance'!E96</f>
        <v>1.4776349603724177E-4</v>
      </c>
      <c r="C96">
        <f>SUM('Mass Balance'!E96:H96)</f>
        <v>1.4797142026658883E-4</v>
      </c>
      <c r="D96">
        <f>Concentrations!F96/Concentrations!E96</f>
        <v>1.0025029928797256</v>
      </c>
    </row>
    <row r="97" spans="1:4">
      <c r="A97">
        <f>'Mass Balance'!I97</f>
        <v>1.0525433831728088E-7</v>
      </c>
      <c r="B97">
        <f>'Mass Balance'!E97</f>
        <v>1.4489217114794207E-4</v>
      </c>
      <c r="C97">
        <f>SUM('Mass Balance'!E97:H97)</f>
        <v>1.4576875274718826E-4</v>
      </c>
      <c r="D97">
        <f>Concentrations!F97/Concentrations!E97</f>
        <v>0.99787661392795624</v>
      </c>
    </row>
    <row r="98" spans="1:4">
      <c r="A98">
        <f>'Mass Balance'!I98</f>
        <v>2.0892774893309383E-6</v>
      </c>
      <c r="B98">
        <f>'Mass Balance'!E98</f>
        <v>2.9612227475708364E-6</v>
      </c>
      <c r="C98">
        <f>SUM('Mass Balance'!E98:H98)</f>
        <v>1.3841113763630558E-4</v>
      </c>
      <c r="D98">
        <f>Concentrations!F98/Concentrations!E98</f>
        <v>2.147812674958453E-2</v>
      </c>
    </row>
    <row r="99" spans="1:4">
      <c r="A99">
        <f>'Mass Balance'!I99</f>
        <v>8.6911240784700825E-8</v>
      </c>
      <c r="B99">
        <f>'Mass Balance'!E99</f>
        <v>1.4936279960387343E-4</v>
      </c>
      <c r="C99">
        <f>SUM('Mass Balance'!E99:H99)</f>
        <v>1.4938101401634256E-4</v>
      </c>
      <c r="D99">
        <f>Concentrations!F99/Concentrations!E99</f>
        <v>1.0037912472179731</v>
      </c>
    </row>
    <row r="100" spans="1:4">
      <c r="A100">
        <f>'Mass Balance'!I100</f>
        <v>9.7820395667852735E-7</v>
      </c>
      <c r="B100">
        <f>'Mass Balance'!E100</f>
        <v>7.5435259414982034E-5</v>
      </c>
      <c r="C100">
        <f>SUM('Mass Balance'!E100:H100)</f>
        <v>1.2363382824859642E-4</v>
      </c>
      <c r="D100">
        <f>Concentrations!F100/Concentrations!E100</f>
        <v>0.61253856018918529</v>
      </c>
    </row>
    <row r="101" spans="1:4">
      <c r="A101">
        <f>'Mass Balance'!I101</f>
        <v>8.7504757325218109E-8</v>
      </c>
      <c r="B101">
        <f>'Mass Balance'!E101</f>
        <v>1.4897046988473242E-4</v>
      </c>
      <c r="C101">
        <f>SUM('Mass Balance'!E101:H101)</f>
        <v>1.4901875000489394E-4</v>
      </c>
      <c r="D101">
        <f>Concentrations!F101/Concentrations!E101</f>
        <v>1.0035884021450032</v>
      </c>
    </row>
    <row r="102" spans="1:4">
      <c r="A102">
        <f>'Mass Balance'!I102</f>
        <v>8.6678240165928805E-8</v>
      </c>
      <c r="B102">
        <f>'Mass Balance'!E102</f>
        <v>1.4968407892843871E-4</v>
      </c>
      <c r="C102">
        <f>SUM('Mass Balance'!E102:H102)</f>
        <v>1.4968772692095346E-4</v>
      </c>
      <c r="D102">
        <f>Concentrations!F102/Concentrations!E102</f>
        <v>1.0038891909364551</v>
      </c>
    </row>
    <row r="103" spans="1:4">
      <c r="A103">
        <f>'Mass Balance'!I103</f>
        <v>8.6891533242126044E-8</v>
      </c>
      <c r="B103">
        <f>'Mass Balance'!E103</f>
        <v>1.4938090974109806E-4</v>
      </c>
      <c r="C103">
        <f>SUM('Mass Balance'!E103:H103)</f>
        <v>1.4939804748603544E-4</v>
      </c>
      <c r="D103">
        <f>Concentrations!F103/Concentrations!E103</f>
        <v>1.0037984960831405</v>
      </c>
    </row>
    <row r="104" spans="1:4">
      <c r="A104">
        <f>'Mass Balance'!I104</f>
        <v>9.6399409468830476E-8</v>
      </c>
      <c r="B104">
        <f>'Mass Balance'!E104</f>
        <v>1.4648767122929003E-4</v>
      </c>
      <c r="C104">
        <f>SUM('Mass Balance'!E104:H104)</f>
        <v>1.4695038823851411E-4</v>
      </c>
      <c r="D104">
        <f>Concentrations!F104/Concentrations!E104</f>
        <v>1.0007525362272784</v>
      </c>
    </row>
    <row r="105" spans="1:4">
      <c r="A105">
        <f>'Mass Balance'!I105</f>
        <v>8.6695495424395845E-8</v>
      </c>
      <c r="B105">
        <f>'Mass Balance'!E105</f>
        <v>1.4963750810380482E-4</v>
      </c>
      <c r="C105">
        <f>SUM('Mass Balance'!E105:H105)</f>
        <v>1.4964263830954984E-4</v>
      </c>
      <c r="D105">
        <f>Concentrations!F105/Concentrations!E105</f>
        <v>1.0038792397804066</v>
      </c>
    </row>
    <row r="106" spans="1:4">
      <c r="A106">
        <f>'Mass Balance'!I106</f>
        <v>1.8917418218891735E-7</v>
      </c>
      <c r="B106">
        <f>'Mass Balance'!E106</f>
        <v>1.3484427151793464E-4</v>
      </c>
      <c r="C106">
        <f>SUM('Mass Balance'!E106:H106)</f>
        <v>1.398033137598023E-4</v>
      </c>
      <c r="D106">
        <f>Concentrations!F106/Concentrations!E106</f>
        <v>0.96830326910358977</v>
      </c>
    </row>
    <row r="107" spans="1:4">
      <c r="A107">
        <f>'Mass Balance'!I107</f>
        <v>2.0823841235531179E-6</v>
      </c>
      <c r="B107">
        <f>'Mass Balance'!E107</f>
        <v>2.178900394301506E-6</v>
      </c>
      <c r="C107">
        <f>SUM('Mass Balance'!E107:H107)</f>
        <v>1.3963722328923795E-4</v>
      </c>
      <c r="D107">
        <f>Concentrations!F107/Concentrations!E107</f>
        <v>1.5665077058658022E-2</v>
      </c>
    </row>
    <row r="108" spans="1:4">
      <c r="A108">
        <f>'Mass Balance'!I108</f>
        <v>8.1880886190905244E-7</v>
      </c>
      <c r="B108">
        <f>'Mass Balance'!E108</f>
        <v>8.6085182499446558E-5</v>
      </c>
      <c r="C108">
        <f>SUM('Mass Balance'!E108:H108)</f>
        <v>1.2504093045045009E-4</v>
      </c>
      <c r="D108">
        <f>Concentrations!F108/Concentrations!E108</f>
        <v>0.69115041023160839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0.86196179454423005</v>
      </c>
      <c r="M2" s="115">
        <v>2.4866554914872028</v>
      </c>
      <c r="N2" s="115">
        <v>58.965883352630172</v>
      </c>
      <c r="O2" s="115">
        <v>1.2583529052907947</v>
      </c>
      <c r="P2" s="115">
        <v>1.2915451362688894</v>
      </c>
      <c r="Q2" s="111">
        <v>1.2583529052907947</v>
      </c>
      <c r="R2" s="68">
        <v>1.2915451362688894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6.5081234592154582E-4</v>
      </c>
      <c r="M3" s="115">
        <v>104.20838783648891</v>
      </c>
      <c r="N3" s="115">
        <v>3589.9638551089283</v>
      </c>
      <c r="O3" s="115">
        <v>21.651333363803818</v>
      </c>
      <c r="P3" s="115">
        <v>9.2743824811569304</v>
      </c>
      <c r="Q3" s="111">
        <v>21.651333363803818</v>
      </c>
      <c r="R3" s="68">
        <v>9.2743824811569304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0.43653493070136451</v>
      </c>
      <c r="M4" s="115">
        <v>11.342171742395246</v>
      </c>
      <c r="N4" s="115">
        <v>373.04700022698222</v>
      </c>
      <c r="O4" s="115">
        <v>4.0207116024757754</v>
      </c>
      <c r="P4" s="115">
        <v>3.7665903328787782</v>
      </c>
      <c r="Q4" s="111">
        <v>4.0207116024757754</v>
      </c>
      <c r="R4" s="68">
        <v>3.7665903328787782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7.3099884028506147E-3</v>
      </c>
      <c r="M5" s="115">
        <v>32.062215819061507</v>
      </c>
      <c r="N5" s="115">
        <v>1098.8125436159589</v>
      </c>
      <c r="O5" s="115">
        <v>9.6784495058555304</v>
      </c>
      <c r="P5" s="115">
        <v>8.1609426364508497</v>
      </c>
      <c r="Q5" s="111">
        <v>9.6784495058555304</v>
      </c>
      <c r="R5" s="68">
        <v>8.1609426364508497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2.8679905326968523E-4</v>
      </c>
      <c r="M6" s="115">
        <v>119.67743246927412</v>
      </c>
      <c r="N6" s="115">
        <v>4128.2768308941631</v>
      </c>
      <c r="O6" s="115">
        <v>24.190022424023518</v>
      </c>
      <c r="P6" s="115">
        <v>9.5823883126091332</v>
      </c>
      <c r="Q6" s="111">
        <v>24.190022424023518</v>
      </c>
      <c r="R6" s="68">
        <v>9.5823883126091332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5.8079179683754136E-4</v>
      </c>
      <c r="M7" s="115">
        <v>106.9900090981797</v>
      </c>
      <c r="N7" s="115">
        <v>3686.5005025379387</v>
      </c>
      <c r="O7" s="115">
        <v>22.120425698125416</v>
      </c>
      <c r="P7" s="115">
        <v>9.345044540362764</v>
      </c>
      <c r="Q7" s="111">
        <v>22.120425698125416</v>
      </c>
      <c r="R7" s="68">
        <v>9.345044540362764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1.3178367869975602E-3</v>
      </c>
      <c r="M8" s="115">
        <v>86.849069091949318</v>
      </c>
      <c r="N8" s="115">
        <v>2988.2636424020607</v>
      </c>
      <c r="O8" s="115">
        <v>18.799549462918844</v>
      </c>
      <c r="P8" s="115">
        <v>8.9925255116736817</v>
      </c>
      <c r="Q8" s="111">
        <v>18.799549462918847</v>
      </c>
      <c r="R8" s="68">
        <v>8.9925255116736817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6.7607779827084255E-2</v>
      </c>
      <c r="M9" s="115">
        <v>20.25474275428213</v>
      </c>
      <c r="N9" s="115">
        <v>689.63512662793289</v>
      </c>
      <c r="O9" s="115">
        <v>7.2461181322789869</v>
      </c>
      <c r="P9" s="115">
        <v>7.1131427090747072</v>
      </c>
      <c r="Q9" s="111">
        <v>7.2461181322789878</v>
      </c>
      <c r="R9" s="68">
        <v>7.1131427090747072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6.7926408786421286E-3</v>
      </c>
      <c r="M10" s="115">
        <v>34.275027176564564</v>
      </c>
      <c r="N10" s="115">
        <v>1174.9111704245997</v>
      </c>
      <c r="O10" s="115">
        <v>10.048733448371973</v>
      </c>
      <c r="P10" s="115">
        <v>8.1916002046361136</v>
      </c>
      <c r="Q10" s="111">
        <v>10.048733448371973</v>
      </c>
      <c r="R10" s="68">
        <v>8.1916002046361136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5.9901524196261293E-3</v>
      </c>
      <c r="M11" s="115">
        <v>38.178390141887533</v>
      </c>
      <c r="N11" s="115">
        <v>1309.1920721451627</v>
      </c>
      <c r="O11" s="115">
        <v>10.700626387027357</v>
      </c>
      <c r="P11" s="115">
        <v>8.2446900403370709</v>
      </c>
      <c r="Q11" s="111">
        <v>10.700626387027357</v>
      </c>
      <c r="R11" s="68">
        <v>8.2446900403370709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4.2402443613316465E-2</v>
      </c>
      <c r="M12" s="115">
        <v>20.724436505470944</v>
      </c>
      <c r="N12" s="115">
        <v>706.91822957482441</v>
      </c>
      <c r="O12" s="115">
        <v>7.5017387745409323</v>
      </c>
      <c r="P12" s="115">
        <v>7.458665009116296</v>
      </c>
      <c r="Q12" s="111">
        <v>7.5017387745409323</v>
      </c>
      <c r="R12" s="68">
        <v>7.458665009116296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6.4718129040021194E-2</v>
      </c>
      <c r="M13" s="115">
        <v>20.313696557251856</v>
      </c>
      <c r="N13" s="115">
        <v>691.78027325811172</v>
      </c>
      <c r="O13" s="115">
        <v>7.2749120172641266</v>
      </c>
      <c r="P13" s="115">
        <v>7.1500091712491436</v>
      </c>
      <c r="Q13" s="111">
        <v>7.2749120172641275</v>
      </c>
      <c r="R13" s="68">
        <v>7.1500091712491445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3.9475010090282018E-3</v>
      </c>
      <c r="M14" s="115">
        <v>51.902396593459748</v>
      </c>
      <c r="N14" s="115">
        <v>1781.7431882975718</v>
      </c>
      <c r="O14" s="115">
        <v>12.991148540091592</v>
      </c>
      <c r="P14" s="115">
        <v>8.4413663382980939</v>
      </c>
      <c r="Q14" s="111">
        <v>12.991148540091594</v>
      </c>
      <c r="R14" s="68">
        <v>8.4413663382980957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6.3822283273978573E-3</v>
      </c>
      <c r="M15" s="115">
        <v>36.193559197108009</v>
      </c>
      <c r="N15" s="115">
        <v>1240.904245971589</v>
      </c>
      <c r="O15" s="115">
        <v>10.369326711727409</v>
      </c>
      <c r="P15" s="115">
        <v>8.217815751039705</v>
      </c>
      <c r="Q15" s="111">
        <v>10.369326711727409</v>
      </c>
      <c r="R15" s="68">
        <v>8.2178157510397067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1.3647149246398278E-3</v>
      </c>
      <c r="M16" s="115">
        <v>85.832929373573094</v>
      </c>
      <c r="N16" s="115">
        <v>2953.1083653796281</v>
      </c>
      <c r="O16" s="115">
        <v>18.630418444069228</v>
      </c>
      <c r="P16" s="115">
        <v>8.9739330279700233</v>
      </c>
      <c r="Q16" s="111">
        <v>18.630418444069228</v>
      </c>
      <c r="R16" s="68">
        <v>8.9739330279700233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7.1346864901773149E-3</v>
      </c>
      <c r="M17" s="115">
        <v>32.789816588120104</v>
      </c>
      <c r="N17" s="115">
        <v>1123.8326185795879</v>
      </c>
      <c r="O17" s="115">
        <v>9.8003939166734817</v>
      </c>
      <c r="P17" s="115">
        <v>8.1713039058118362</v>
      </c>
      <c r="Q17" s="111">
        <v>9.8003939166734817</v>
      </c>
      <c r="R17" s="68">
        <v>8.1713039058118362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8.1858299907334883E-2</v>
      </c>
      <c r="M18" s="115">
        <v>19.887516921714859</v>
      </c>
      <c r="N18" s="115">
        <v>676.46881012530298</v>
      </c>
      <c r="O18" s="115">
        <v>7.0822110456906975</v>
      </c>
      <c r="P18" s="115">
        <v>6.9149959158035417</v>
      </c>
      <c r="Q18" s="111">
        <v>7.0822110456906984</v>
      </c>
      <c r="R18" s="68">
        <v>6.9149959158035426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6.3024097887772077E-3</v>
      </c>
      <c r="M19" s="115">
        <v>36.585557311251719</v>
      </c>
      <c r="N19" s="115">
        <v>1254.3897106689126</v>
      </c>
      <c r="O19" s="115">
        <v>10.434819304281262</v>
      </c>
      <c r="P19" s="115">
        <v>8.2232003921397592</v>
      </c>
      <c r="Q19" s="111">
        <v>10.434819304281264</v>
      </c>
      <c r="R19" s="68">
        <v>8.2232003921397592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6.4725770870756191E-2</v>
      </c>
      <c r="M20" s="115">
        <v>20.316095171565888</v>
      </c>
      <c r="N20" s="115">
        <v>691.86195775413262</v>
      </c>
      <c r="O20" s="115">
        <v>7.2757710292144502</v>
      </c>
      <c r="P20" s="115">
        <v>7.1508534348372734</v>
      </c>
      <c r="Q20" s="111">
        <v>7.2757710292144502</v>
      </c>
      <c r="R20" s="68">
        <v>7.1508534348372734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4.4743606922002729E-3</v>
      </c>
      <c r="M21" s="115">
        <v>47.675088609893805</v>
      </c>
      <c r="N21" s="115">
        <v>1636.117917077298</v>
      </c>
      <c r="O21" s="115">
        <v>12.284687610618251</v>
      </c>
      <c r="P21" s="115">
        <v>8.3770686385696713</v>
      </c>
      <c r="Q21" s="111">
        <v>12.284687610618251</v>
      </c>
      <c r="R21" s="68">
        <v>8.3770686385696713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0.67170824583111</v>
      </c>
      <c r="M22" s="115">
        <v>6.0812208125437985</v>
      </c>
      <c r="N22" s="115">
        <v>186.80938094150954</v>
      </c>
      <c r="O22" s="115">
        <v>2.3414722546355886</v>
      </c>
      <c r="P22" s="115">
        <v>2.2268675798067923</v>
      </c>
      <c r="Q22" s="111">
        <v>2.3414722546355891</v>
      </c>
      <c r="R22" s="68">
        <v>2.2268675798067923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0.81123425845891217</v>
      </c>
      <c r="M23" s="115">
        <v>3.3752932665322559</v>
      </c>
      <c r="N23" s="115">
        <v>90.65608921245601</v>
      </c>
      <c r="O23" s="115">
        <v>1.5194883135477653</v>
      </c>
      <c r="P23" s="115">
        <v>1.5109580628478125</v>
      </c>
      <c r="Q23" s="111">
        <v>1.5194883135477653</v>
      </c>
      <c r="R23" s="68">
        <v>1.5109580628478125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0.21078557626702416</v>
      </c>
      <c r="M24" s="115">
        <v>16.811113954229814</v>
      </c>
      <c r="N24" s="115">
        <v>566.7185450123435</v>
      </c>
      <c r="O24" s="115">
        <v>5.887610118612856</v>
      </c>
      <c r="P24" s="115">
        <v>5.599871529308289</v>
      </c>
      <c r="Q24" s="111">
        <v>5.887610118612856</v>
      </c>
      <c r="R24" s="68">
        <v>5.5998715293082899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2.2525334803738636E-2</v>
      </c>
      <c r="M25" s="115">
        <v>20.669308931019778</v>
      </c>
      <c r="N25" s="115">
        <v>706.26122888556665</v>
      </c>
      <c r="O25" s="115">
        <v>7.6075552957585826</v>
      </c>
      <c r="P25" s="115">
        <v>7.6906735451033947</v>
      </c>
      <c r="Q25" s="111">
        <v>7.6075552957585835</v>
      </c>
      <c r="R25" s="68">
        <v>7.6906735451033947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4.8552729669625655E-3</v>
      </c>
      <c r="M26" s="115">
        <v>44.968187818933757</v>
      </c>
      <c r="N26" s="115">
        <v>1542.8999594887737</v>
      </c>
      <c r="O26" s="115">
        <v>11.833309528566897</v>
      </c>
      <c r="P26" s="115">
        <v>8.3386238354194866</v>
      </c>
      <c r="Q26" s="111">
        <v>11.833309528566899</v>
      </c>
      <c r="R26" s="68">
        <v>8.3386238354194884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7.1703817159074002E-4</v>
      </c>
      <c r="M27" s="115">
        <v>102.154946612994</v>
      </c>
      <c r="N27" s="115">
        <v>3518.6572189116714</v>
      </c>
      <c r="O27" s="115">
        <v>21.31766290294749</v>
      </c>
      <c r="P27" s="115">
        <v>9.243906715752189</v>
      </c>
      <c r="Q27" s="111">
        <v>21.31766290294749</v>
      </c>
      <c r="R27" s="68">
        <v>9.243906715752189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2.6443420899036085E-3</v>
      </c>
      <c r="M28" s="115">
        <v>65.328822377439749</v>
      </c>
      <c r="N28" s="115">
        <v>2244.6998747445537</v>
      </c>
      <c r="O28" s="115">
        <v>15.22732077257254</v>
      </c>
      <c r="P28" s="115">
        <v>8.6444435647400795</v>
      </c>
      <c r="Q28" s="111">
        <v>15.22732077257254</v>
      </c>
      <c r="R28" s="68">
        <v>8.6444435647400795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4.0267185662367228E-3</v>
      </c>
      <c r="M29" s="115">
        <v>49.360707666418456</v>
      </c>
      <c r="N29" s="115">
        <v>1694.31589184467</v>
      </c>
      <c r="O29" s="115">
        <v>12.471146003285552</v>
      </c>
      <c r="P29" s="115">
        <v>8.2337062971899915</v>
      </c>
      <c r="Q29" s="111">
        <v>12.471146003285554</v>
      </c>
      <c r="R29" s="68">
        <v>8.2337062971899933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2.6443420899036085E-3</v>
      </c>
      <c r="M30" s="115">
        <v>65.328822377439749</v>
      </c>
      <c r="N30" s="115">
        <v>2244.6998747445537</v>
      </c>
      <c r="O30" s="115">
        <v>15.22732077257254</v>
      </c>
      <c r="P30" s="115">
        <v>8.6444435647400795</v>
      </c>
      <c r="Q30" s="111">
        <v>15.22732077257254</v>
      </c>
      <c r="R30" s="68">
        <v>8.6444435647400795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0.98589117501116963</v>
      </c>
      <c r="M31" s="115">
        <v>0.89184135721599656</v>
      </c>
      <c r="N31" s="115">
        <v>1.1552638386471554</v>
      </c>
      <c r="O31" s="115">
        <v>0.82433795055455106</v>
      </c>
      <c r="P31" s="115">
        <v>0.95407540783516243</v>
      </c>
      <c r="Q31" s="111">
        <v>0.82433795055455117</v>
      </c>
      <c r="R31" s="68">
        <v>0.95407540783516243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0.5366152540847644</v>
      </c>
      <c r="M32" s="115">
        <v>9.2684458913393275</v>
      </c>
      <c r="N32" s="115">
        <v>296.86376726213837</v>
      </c>
      <c r="O32" s="115">
        <v>3.0398131342347141</v>
      </c>
      <c r="P32" s="115">
        <v>2.7922652246391437</v>
      </c>
      <c r="Q32" s="111">
        <v>3.0398131342347141</v>
      </c>
      <c r="R32" s="68">
        <v>2.7922652246391437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0.99239845522638548</v>
      </c>
      <c r="M33" s="115">
        <v>0.87809218703160463</v>
      </c>
      <c r="N33" s="115">
        <v>0.59103485905553177</v>
      </c>
      <c r="O33" s="115">
        <v>0.84178806573459752</v>
      </c>
      <c r="P33" s="115">
        <v>0.98958566423581273</v>
      </c>
      <c r="Q33" s="111">
        <v>0.84178806573459763</v>
      </c>
      <c r="R33" s="68">
        <v>0.98958566423581285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0.54799873268053512</v>
      </c>
      <c r="M34" s="115">
        <v>1.5995183918730518</v>
      </c>
      <c r="N34" s="115">
        <v>44.97880999954247</v>
      </c>
      <c r="O34" s="115">
        <v>2.6248388835874703</v>
      </c>
      <c r="P34" s="115">
        <v>4.2911303545599182</v>
      </c>
      <c r="Q34" s="111">
        <v>2.6248388835874703</v>
      </c>
      <c r="R34" s="68">
        <v>4.2911303545599182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0.32472293805063313</v>
      </c>
      <c r="M35" s="115">
        <v>1.8745007329464209</v>
      </c>
      <c r="N35" s="115">
        <v>63.646333866920479</v>
      </c>
      <c r="O35" s="115">
        <v>3.5044084104566697</v>
      </c>
      <c r="P35" s="115">
        <v>5.9316217971557048</v>
      </c>
      <c r="Q35" s="111">
        <v>3.5044084104566697</v>
      </c>
      <c r="R35" s="68">
        <v>5.9316217971557057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0.10838122285777338</v>
      </c>
      <c r="M36" s="115">
        <v>2.0320835764352698</v>
      </c>
      <c r="N36" s="115">
        <v>77.333495929592232</v>
      </c>
      <c r="O36" s="115">
        <v>4.3444346803569909</v>
      </c>
      <c r="P36" s="115">
        <v>7.5148768278289433</v>
      </c>
      <c r="Q36" s="111">
        <v>4.3444346803569909</v>
      </c>
      <c r="R36" s="68">
        <v>7.5148768278289433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0.21687086962479765</v>
      </c>
      <c r="M37" s="115">
        <v>5.2810663966736024</v>
      </c>
      <c r="N37" s="115">
        <v>181.81775004342725</v>
      </c>
      <c r="O37" s="115">
        <v>4.2616205273878744</v>
      </c>
      <c r="P37" s="115">
        <v>6.366987303489716</v>
      </c>
      <c r="Q37" s="111">
        <v>4.2616205273878744</v>
      </c>
      <c r="R37" s="68">
        <v>6.366987303489716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0.6140733593284522</v>
      </c>
      <c r="M38" s="115">
        <v>1.5467043231133262</v>
      </c>
      <c r="N38" s="115">
        <v>40.316143216257998</v>
      </c>
      <c r="O38" s="115">
        <v>2.3653957935776457</v>
      </c>
      <c r="P38" s="115">
        <v>3.796946027347603</v>
      </c>
      <c r="Q38" s="111">
        <v>2.3653957935776457</v>
      </c>
      <c r="R38" s="68">
        <v>3.796946027347603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1.0945738459899016E-2</v>
      </c>
      <c r="M39" s="115">
        <v>21.200059020250183</v>
      </c>
      <c r="N39" s="115">
        <v>725.53003891187393</v>
      </c>
      <c r="O39" s="115">
        <v>7.8612650677991311</v>
      </c>
      <c r="P39" s="115">
        <v>8.0195845431774604</v>
      </c>
      <c r="Q39" s="111">
        <v>7.861265067799132</v>
      </c>
      <c r="R39" s="68">
        <v>8.0195845431774604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9.3393602321849463E-4</v>
      </c>
      <c r="M40" s="115">
        <v>131.07561412512331</v>
      </c>
      <c r="N40" s="115">
        <v>5190.0828000419415</v>
      </c>
      <c r="O40" s="115">
        <v>18.318698144914645</v>
      </c>
      <c r="P40" s="115">
        <v>12.012370617468974</v>
      </c>
      <c r="Q40" s="111">
        <v>18.318698144914645</v>
      </c>
      <c r="R40" s="68">
        <v>12.012370617468974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0.9297944197856558</v>
      </c>
      <c r="M41" s="115">
        <v>0.81087209883637756</v>
      </c>
      <c r="N41" s="115">
        <v>6.578464270456677E-2</v>
      </c>
      <c r="O41" s="115">
        <v>0.76866139666970645</v>
      </c>
      <c r="P41" s="115">
        <v>0.89318910855679534</v>
      </c>
      <c r="Q41" s="111">
        <v>0.76866139666970656</v>
      </c>
      <c r="R41" s="68">
        <v>0.89318910855679534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0.63273175579366359</v>
      </c>
      <c r="M42" s="115">
        <v>6.9398019395219865</v>
      </c>
      <c r="N42" s="115">
        <v>217.18851611011391</v>
      </c>
      <c r="O42" s="115">
        <v>2.609698924545349</v>
      </c>
      <c r="P42" s="115">
        <v>2.466811953525593</v>
      </c>
      <c r="Q42" s="111">
        <v>2.609698924545349</v>
      </c>
      <c r="R42" s="68">
        <v>2.466811953525593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8.8264647702788052E-3</v>
      </c>
      <c r="M43" s="115">
        <v>4.1301364979828428</v>
      </c>
      <c r="N43" s="115">
        <v>164.21258629376126</v>
      </c>
      <c r="O43" s="115">
        <v>4.9415709240245196</v>
      </c>
      <c r="P43" s="115">
        <v>8.3054001851297716</v>
      </c>
      <c r="Q43" s="111">
        <v>4.9415709240245196</v>
      </c>
      <c r="R43" s="68">
        <v>8.3054001851297716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0.83907292797285216</v>
      </c>
      <c r="M44" s="115">
        <v>1.6728246234661366</v>
      </c>
      <c r="N44" s="115">
        <v>32.006312152913374</v>
      </c>
      <c r="O44" s="115">
        <v>0.98574356730719814</v>
      </c>
      <c r="P44" s="115">
        <v>1.0497060318232458</v>
      </c>
      <c r="Q44" s="111">
        <v>0.98574356730719814</v>
      </c>
      <c r="R44" s="68">
        <v>1.0497060318232458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0.59444143394562721</v>
      </c>
      <c r="M45" s="115">
        <v>7.7532414012879141</v>
      </c>
      <c r="N45" s="115">
        <v>246.02289158504308</v>
      </c>
      <c r="O45" s="115">
        <v>2.8651713757383339</v>
      </c>
      <c r="P45" s="115">
        <v>2.697324421056627</v>
      </c>
      <c r="Q45" s="111">
        <v>2.8651713757383339</v>
      </c>
      <c r="R45" s="68">
        <v>2.697324421056627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0.61757030950106218</v>
      </c>
      <c r="M46" s="115">
        <v>7.2262106080792634</v>
      </c>
      <c r="N46" s="115">
        <v>227.39008644782825</v>
      </c>
      <c r="O46" s="115">
        <v>2.6986710587392855</v>
      </c>
      <c r="P46" s="115">
        <v>2.5466505543931413</v>
      </c>
      <c r="Q46" s="111">
        <v>2.6986710587392859</v>
      </c>
      <c r="R46" s="68">
        <v>2.5466505543931413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6.5261731636293311E-4</v>
      </c>
      <c r="M47" s="115">
        <v>104.49740057720936</v>
      </c>
      <c r="N47" s="115">
        <v>3599.9203021319872</v>
      </c>
      <c r="O47" s="115">
        <v>21.711381420641082</v>
      </c>
      <c r="P47" s="115">
        <v>9.3001041601409167</v>
      </c>
      <c r="Q47" s="111">
        <v>21.711381420641082</v>
      </c>
      <c r="R47" s="68">
        <v>9.3001041601409167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0.94564707348377997</v>
      </c>
      <c r="M48" s="115">
        <v>1.1381049462345376</v>
      </c>
      <c r="N48" s="115">
        <v>10.703618111428156</v>
      </c>
      <c r="O48" s="115">
        <v>0.87647742025523001</v>
      </c>
      <c r="P48" s="115">
        <v>0.98452012667257682</v>
      </c>
      <c r="Q48" s="111">
        <v>0.87647742025523001</v>
      </c>
      <c r="R48" s="68">
        <v>0.98452012667257682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0.91889136709876396</v>
      </c>
      <c r="M49" s="115">
        <v>1.3489720366525808</v>
      </c>
      <c r="N49" s="115">
        <v>18.653233361475291</v>
      </c>
      <c r="O49" s="115">
        <v>0.92721668751752118</v>
      </c>
      <c r="P49" s="115">
        <v>1.0198082146784648</v>
      </c>
      <c r="Q49" s="111">
        <v>0.92721668751752118</v>
      </c>
      <c r="R49" s="68">
        <v>1.0198082146784648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8.696247715207317E-2</v>
      </c>
      <c r="M50" s="115">
        <v>19.702754542351599</v>
      </c>
      <c r="N50" s="115">
        <v>669.94295509389895</v>
      </c>
      <c r="O50" s="115">
        <v>7.0062177647459567</v>
      </c>
      <c r="P50" s="115">
        <v>6.8286874376650619</v>
      </c>
      <c r="Q50" s="111">
        <v>7.0062177647459567</v>
      </c>
      <c r="R50" s="68">
        <v>6.8286874376650619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0.93008647118645205</v>
      </c>
      <c r="M51" s="115">
        <v>0.86555355361849451</v>
      </c>
      <c r="N51" s="115">
        <v>1.9105191351467279</v>
      </c>
      <c r="O51" s="115">
        <v>0.78483822838421968</v>
      </c>
      <c r="P51" s="115">
        <v>0.90564477390412312</v>
      </c>
      <c r="Q51" s="111">
        <v>0.78483822838421979</v>
      </c>
      <c r="R51" s="68">
        <v>0.90564477390412312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0.8120559373107501</v>
      </c>
      <c r="M52" s="115">
        <v>2.3049064149356182</v>
      </c>
      <c r="N52" s="115">
        <v>54.268847208947598</v>
      </c>
      <c r="O52" s="115">
        <v>1.1733415460176282</v>
      </c>
      <c r="P52" s="115">
        <v>1.2061412528254229</v>
      </c>
      <c r="Q52" s="111">
        <v>1.1733415460176282</v>
      </c>
      <c r="R52" s="68">
        <v>1.2061412528254232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0.46684737497719225</v>
      </c>
      <c r="M53" s="115">
        <v>10.596560899193426</v>
      </c>
      <c r="N53" s="115">
        <v>346.71413159679292</v>
      </c>
      <c r="O53" s="115">
        <v>3.7763894299528125</v>
      </c>
      <c r="P53" s="115">
        <v>3.5369348771948581</v>
      </c>
      <c r="Q53" s="111">
        <v>3.7763894299528125</v>
      </c>
      <c r="R53" s="68">
        <v>3.5369348771948581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9.1760736877566872E-4</v>
      </c>
      <c r="M54" s="115">
        <v>96.488848471680072</v>
      </c>
      <c r="N54" s="115">
        <v>3322.099211213294</v>
      </c>
      <c r="O54" s="115">
        <v>20.392393582797052</v>
      </c>
      <c r="P54" s="115">
        <v>9.1572935523466246</v>
      </c>
      <c r="Q54" s="111">
        <v>20.392393582797052</v>
      </c>
      <c r="R54" s="68">
        <v>9.1572935523466246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0.16558038997668056</v>
      </c>
      <c r="M55" s="115">
        <v>15.171030920662989</v>
      </c>
      <c r="N55" s="115">
        <v>512.26131645041289</v>
      </c>
      <c r="O55" s="115">
        <v>5.3189905510401276</v>
      </c>
      <c r="P55" s="115">
        <v>5.0738352983909589</v>
      </c>
      <c r="Q55" s="111">
        <v>5.3189905510401276</v>
      </c>
      <c r="R55" s="68">
        <v>5.0738352983909589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1.9569157819034008E-2</v>
      </c>
      <c r="M56" s="115">
        <v>8.9183426941634512</v>
      </c>
      <c r="N56" s="115">
        <v>304.13820936258128</v>
      </c>
      <c r="O56" s="115">
        <v>3.2225639300340894</v>
      </c>
      <c r="P56" s="115">
        <v>3.1981801653665354</v>
      </c>
      <c r="Q56" s="111">
        <v>3.2225639300340898</v>
      </c>
      <c r="R56" s="68">
        <v>3.1981801653665358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3.6818517975090857E-2</v>
      </c>
      <c r="M57" s="115">
        <v>4.559085980545893</v>
      </c>
      <c r="N57" s="115">
        <v>154.39100165881339</v>
      </c>
      <c r="O57" s="115">
        <v>1.6040688374656897</v>
      </c>
      <c r="P57" s="115">
        <v>1.5405251253411798</v>
      </c>
      <c r="Q57" s="111">
        <v>1.6040688374656897</v>
      </c>
      <c r="R57" s="68">
        <v>1.5405251253411798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7.5012649306739454E-2</v>
      </c>
      <c r="M58" s="115">
        <v>0.12192559798712121</v>
      </c>
      <c r="N58" s="115">
        <v>1.923477693933052</v>
      </c>
      <c r="O58" s="115">
        <v>7.9394219897784682E-2</v>
      </c>
      <c r="P58" s="115">
        <v>8.6382759943865808E-2</v>
      </c>
      <c r="Q58" s="111">
        <v>7.9394219897784696E-2</v>
      </c>
      <c r="R58" s="68">
        <v>8.6382759943865808E-2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1.5331891215508011E-2</v>
      </c>
      <c r="M59" s="115">
        <v>1.7708967206642745</v>
      </c>
      <c r="N59" s="115">
        <v>59.933945529537546</v>
      </c>
      <c r="O59" s="115">
        <v>0.62248637383016359</v>
      </c>
      <c r="P59" s="115">
        <v>0.59686675509094689</v>
      </c>
      <c r="Q59" s="111">
        <v>0.62248637383016359</v>
      </c>
      <c r="R59" s="68">
        <v>0.596866755090947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5.771083652655254E-4</v>
      </c>
      <c r="M60" s="115">
        <v>3.1106445423965109E-2</v>
      </c>
      <c r="N60" s="115">
        <v>1.0425042195304044</v>
      </c>
      <c r="O60" s="115">
        <v>1.0886625020744729E-2</v>
      </c>
      <c r="P60" s="115">
        <v>1.0278994526467555E-2</v>
      </c>
      <c r="Q60" s="111">
        <v>1.0886625020744729E-2</v>
      </c>
      <c r="R60" s="68">
        <v>1.0278994526467557E-2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0.35031088090894236</v>
      </c>
      <c r="M61" s="115">
        <v>13.390690852551902</v>
      </c>
      <c r="N61" s="115">
        <v>445.5445576217644</v>
      </c>
      <c r="O61" s="115">
        <v>4.7015118855792979</v>
      </c>
      <c r="P61" s="115">
        <v>4.4174755890993218</v>
      </c>
      <c r="Q61" s="111">
        <v>4.7015118855792988</v>
      </c>
      <c r="R61" s="68">
        <v>4.4174755890993218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4.0607621065456732E-3</v>
      </c>
      <c r="M62" s="115">
        <v>50.954512340272963</v>
      </c>
      <c r="N62" s="115">
        <v>1749.0836156823339</v>
      </c>
      <c r="O62" s="115">
        <v>12.833275298915845</v>
      </c>
      <c r="P62" s="115">
        <v>8.4277389202869717</v>
      </c>
      <c r="Q62" s="111">
        <v>12.833275298915847</v>
      </c>
      <c r="R62" s="68">
        <v>8.4277389202869717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3.5229472037267515E-4</v>
      </c>
      <c r="M63" s="115">
        <v>116.38037090475633</v>
      </c>
      <c r="N63" s="115">
        <v>4013.2665929155642</v>
      </c>
      <c r="O63" s="115">
        <v>23.654655615889457</v>
      </c>
      <c r="P63" s="115">
        <v>9.5192151594231476</v>
      </c>
      <c r="Q63" s="111">
        <v>23.654655615889457</v>
      </c>
      <c r="R63" s="68">
        <v>9.5192151594231476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1.2008802943129054E-4</v>
      </c>
      <c r="M64" s="115">
        <v>130.59526880855751</v>
      </c>
      <c r="N64" s="115">
        <v>4510.7384899582576</v>
      </c>
      <c r="O64" s="115">
        <v>25.942064259558599</v>
      </c>
      <c r="P64" s="115">
        <v>9.8005406457049595</v>
      </c>
      <c r="Q64" s="111">
        <v>25.942064259558602</v>
      </c>
      <c r="R64" s="68">
        <v>9.8005406457049595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3.3286979537921322E-5</v>
      </c>
      <c r="M65" s="115">
        <v>140.34231344974521</v>
      </c>
      <c r="N65" s="115">
        <v>4856.2146986552016</v>
      </c>
      <c r="O65" s="115">
        <v>27.451882467486218</v>
      </c>
      <c r="P65" s="115">
        <v>10.012737092825931</v>
      </c>
      <c r="Q65" s="111">
        <v>27.451882467486218</v>
      </c>
      <c r="R65" s="68">
        <v>10.012737092825931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6.9466612004418269E-5</v>
      </c>
      <c r="M66" s="115">
        <v>135.47546824462373</v>
      </c>
      <c r="N66" s="115">
        <v>4682.9781299772221</v>
      </c>
      <c r="O66" s="115">
        <v>26.708181812894264</v>
      </c>
      <c r="P66" s="115">
        <v>9.9040717380542258</v>
      </c>
      <c r="Q66" s="111">
        <v>26.708181812894264</v>
      </c>
      <c r="R66" s="68">
        <v>9.9040717380542258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0.88950663010335518</v>
      </c>
      <c r="M67" s="115">
        <v>1.9787400446121433</v>
      </c>
      <c r="N67" s="115">
        <v>40.903136711799931</v>
      </c>
      <c r="O67" s="115">
        <v>1.1103364592594072</v>
      </c>
      <c r="P67" s="115">
        <v>1.1691159935450843</v>
      </c>
      <c r="Q67" s="111">
        <v>1.1103364592594072</v>
      </c>
      <c r="R67" s="68">
        <v>1.1691159935450843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0.83475153661689516</v>
      </c>
      <c r="M68" s="115">
        <v>2.8016632556554253</v>
      </c>
      <c r="N68" s="115">
        <v>70.470662321178509</v>
      </c>
      <c r="O68" s="115">
        <v>1.3456043555481494</v>
      </c>
      <c r="P68" s="115">
        <v>1.3621696635763054</v>
      </c>
      <c r="Q68" s="111">
        <v>1.3456043555481496</v>
      </c>
      <c r="R68" s="68">
        <v>1.3621696635763054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1.4371549859438857E-3</v>
      </c>
      <c r="M69" s="115">
        <v>84.271034255114458</v>
      </c>
      <c r="N69" s="115">
        <v>2899.0872550234312</v>
      </c>
      <c r="O69" s="115">
        <v>18.368855330058199</v>
      </c>
      <c r="P69" s="115">
        <v>8.942914829314903</v>
      </c>
      <c r="Q69" s="111">
        <v>18.368855330058199</v>
      </c>
      <c r="R69" s="68">
        <v>8.942914829314903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2.8006603269334022E-2</v>
      </c>
      <c r="M70" s="115">
        <v>20.830659894546205</v>
      </c>
      <c r="N70" s="115">
        <v>711.40319393981008</v>
      </c>
      <c r="O70" s="115">
        <v>7.6232474033781568</v>
      </c>
      <c r="P70" s="115">
        <v>7.6638653184127579</v>
      </c>
      <c r="Q70" s="111">
        <v>7.6232474033781576</v>
      </c>
      <c r="R70" s="68">
        <v>7.6638653184127579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0.83304843183272914</v>
      </c>
      <c r="M71" s="115">
        <v>2.6111895399881253</v>
      </c>
      <c r="N71" s="115">
        <v>64.050925710054884</v>
      </c>
      <c r="O71" s="115">
        <v>1.2831646884353782</v>
      </c>
      <c r="P71" s="115">
        <v>1.3069349627489972</v>
      </c>
      <c r="Q71" s="111">
        <v>1.2831646884353782</v>
      </c>
      <c r="R71" s="68">
        <v>1.3069349627489972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3.262367768620579E-2</v>
      </c>
      <c r="M72" s="115">
        <v>20.608587401251445</v>
      </c>
      <c r="N72" s="115">
        <v>703.5085085266436</v>
      </c>
      <c r="O72" s="115">
        <v>7.5093029507502447</v>
      </c>
      <c r="P72" s="115">
        <v>7.5168191492683984</v>
      </c>
      <c r="Q72" s="111">
        <v>7.5093029507502447</v>
      </c>
      <c r="R72" s="68">
        <v>7.5168191492683984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0.32206568054021989</v>
      </c>
      <c r="M73" s="115">
        <v>13.801549261949333</v>
      </c>
      <c r="N73" s="115">
        <v>460.44278864486051</v>
      </c>
      <c r="O73" s="115">
        <v>4.838302210022122</v>
      </c>
      <c r="P73" s="115">
        <v>4.5524950067288232</v>
      </c>
      <c r="Q73" s="111">
        <v>4.838302210022122</v>
      </c>
      <c r="R73" s="68">
        <v>4.5524950067288241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2.9288607132449563E-2</v>
      </c>
      <c r="M74" s="115">
        <v>20.790975644177113</v>
      </c>
      <c r="N74" s="115">
        <v>709.96082599428985</v>
      </c>
      <c r="O74" s="115">
        <v>7.5992177480623138</v>
      </c>
      <c r="P74" s="115">
        <v>7.6302928727647759</v>
      </c>
      <c r="Q74" s="111">
        <v>7.5992177480623146</v>
      </c>
      <c r="R74" s="68">
        <v>7.6302928727647767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4.2971479695008783E-3</v>
      </c>
      <c r="M75" s="115">
        <v>13.641008486148138</v>
      </c>
      <c r="N75" s="115">
        <v>545.33031734772226</v>
      </c>
      <c r="O75" s="115">
        <v>5.9328991764314711</v>
      </c>
      <c r="P75" s="115">
        <v>8.6565975355492419</v>
      </c>
      <c r="Q75" s="111">
        <v>5.932899176431472</v>
      </c>
      <c r="R75" s="68">
        <v>8.6565975355492419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4.2971479712790852E-3</v>
      </c>
      <c r="M76" s="115">
        <v>13.641008491792933</v>
      </c>
      <c r="N76" s="115">
        <v>545.33031757338574</v>
      </c>
      <c r="O76" s="115">
        <v>5.9328991788865686</v>
      </c>
      <c r="P76" s="115">
        <v>8.6565975391314343</v>
      </c>
      <c r="Q76" s="111">
        <v>5.9328991788865686</v>
      </c>
      <c r="R76" s="68">
        <v>8.6565975391314343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0.11908248834425504</v>
      </c>
      <c r="M77" s="115">
        <v>18.598369359945366</v>
      </c>
      <c r="N77" s="115">
        <v>630.95629504351473</v>
      </c>
      <c r="O77" s="115">
        <v>6.5672937819168915</v>
      </c>
      <c r="P77" s="115">
        <v>6.3420596814007988</v>
      </c>
      <c r="Q77" s="111">
        <v>6.5672937819168924</v>
      </c>
      <c r="R77" s="68">
        <v>6.3420596814007988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0.63067301122446418</v>
      </c>
      <c r="M78" s="115">
        <v>6.3491170872559701</v>
      </c>
      <c r="N78" s="115">
        <v>197.15088994341832</v>
      </c>
      <c r="O78" s="115">
        <v>2.4114555307823018</v>
      </c>
      <c r="P78" s="115">
        <v>2.2851634491011974</v>
      </c>
      <c r="Q78" s="111">
        <v>2.4114555307823022</v>
      </c>
      <c r="R78" s="68">
        <v>2.2851634491011974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0.45390755513502445</v>
      </c>
      <c r="M79" s="115">
        <v>10.776725569501719</v>
      </c>
      <c r="N79" s="115">
        <v>353.24810584047941</v>
      </c>
      <c r="O79" s="115">
        <v>3.8333259268298758</v>
      </c>
      <c r="P79" s="115">
        <v>3.5903281871330743</v>
      </c>
      <c r="Q79" s="111">
        <v>3.8333259268298758</v>
      </c>
      <c r="R79" s="68">
        <v>3.5903281871330748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2.8888367894197246E-3</v>
      </c>
      <c r="M80" s="115">
        <v>26.272953005694799</v>
      </c>
      <c r="N80" s="115">
        <v>1050.5139422255543</v>
      </c>
      <c r="O80" s="115">
        <v>7.2363268445016313</v>
      </c>
      <c r="P80" s="115">
        <v>9.0797134549178917</v>
      </c>
      <c r="Q80" s="111">
        <v>7.2363268445016313</v>
      </c>
      <c r="R80" s="68">
        <v>9.0797134549178935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0.98310739620431353</v>
      </c>
      <c r="M81" s="115">
        <v>0.90590694697175111</v>
      </c>
      <c r="N81" s="115">
        <v>1.7144750300336677</v>
      </c>
      <c r="O81" s="115">
        <v>0.82690991093948096</v>
      </c>
      <c r="P81" s="115">
        <v>0.95518374095991776</v>
      </c>
      <c r="Q81" s="111">
        <v>0.82690991093948096</v>
      </c>
      <c r="R81" s="68">
        <v>0.95518374095991787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0.81673226386227848</v>
      </c>
      <c r="M82" s="115">
        <v>3.2754966914952948</v>
      </c>
      <c r="N82" s="115">
        <v>87.10222331438564</v>
      </c>
      <c r="O82" s="115">
        <v>1.4898691707858913</v>
      </c>
      <c r="P82" s="115">
        <v>1.4858093813769326</v>
      </c>
      <c r="Q82" s="111">
        <v>1.4898691707858913</v>
      </c>
      <c r="R82" s="68">
        <v>1.4858093813769326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0.15110673167422492</v>
      </c>
      <c r="M83" s="115">
        <v>18.281939133958012</v>
      </c>
      <c r="N83" s="115">
        <v>618.98478020017092</v>
      </c>
      <c r="O83" s="115">
        <v>6.4302504833949872</v>
      </c>
      <c r="P83" s="115">
        <v>6.1721962676801043</v>
      </c>
      <c r="Q83" s="111">
        <v>6.4302504833949872</v>
      </c>
      <c r="R83" s="68">
        <v>6.1721962676801052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0.96467278502522325</v>
      </c>
      <c r="M84" s="115">
        <v>1.0481135592455872</v>
      </c>
      <c r="N84" s="115">
        <v>7.086106788470155</v>
      </c>
      <c r="O84" s="115">
        <v>0.85945288205646142</v>
      </c>
      <c r="P84" s="115">
        <v>0.97582789304251205</v>
      </c>
      <c r="Q84" s="111">
        <v>0.85945288205646142</v>
      </c>
      <c r="R84" s="68">
        <v>0.97582789304251205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0.99120975566890879</v>
      </c>
      <c r="M85" s="115">
        <v>0.87265345783126913</v>
      </c>
      <c r="N85" s="115">
        <v>0.34820964796062259</v>
      </c>
      <c r="O85" s="115">
        <v>0.82178173771224361</v>
      </c>
      <c r="P85" s="115">
        <v>0.95390133048777193</v>
      </c>
      <c r="Q85" s="111">
        <v>0.82178173771224372</v>
      </c>
      <c r="R85" s="68">
        <v>0.95390133048777193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0.96557849604806534</v>
      </c>
      <c r="M86" s="115">
        <v>1.0395564145513825</v>
      </c>
      <c r="N86" s="115">
        <v>6.7688176991841171</v>
      </c>
      <c r="O86" s="115">
        <v>0.85734742116353246</v>
      </c>
      <c r="P86" s="115">
        <v>0.97436843307447163</v>
      </c>
      <c r="Q86" s="111">
        <v>0.85734742116353257</v>
      </c>
      <c r="R86" s="68">
        <v>0.97436843307447163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5.1617386443748772E-4</v>
      </c>
      <c r="M87" s="115">
        <v>109.3943162633507</v>
      </c>
      <c r="N87" s="115">
        <v>3770.0695845290793</v>
      </c>
      <c r="O87" s="115">
        <v>22.514446595916564</v>
      </c>
      <c r="P87" s="115">
        <v>9.3890410797776624</v>
      </c>
      <c r="Q87" s="111">
        <v>22.514446595916564</v>
      </c>
      <c r="R87" s="68">
        <v>9.3890410797776624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0.71015947249067901</v>
      </c>
      <c r="M88" s="115">
        <v>5.3274465245538893</v>
      </c>
      <c r="N88" s="115">
        <v>160.02286739179127</v>
      </c>
      <c r="O88" s="115">
        <v>2.1098178390943394</v>
      </c>
      <c r="P88" s="115">
        <v>2.0222629955849527</v>
      </c>
      <c r="Q88" s="111">
        <v>2.1098178390943394</v>
      </c>
      <c r="R88" s="68">
        <v>2.0222629955849527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0.7998509141765755</v>
      </c>
      <c r="M89" s="115">
        <v>3.5857158902421729</v>
      </c>
      <c r="N89" s="115">
        <v>98.143960389350795</v>
      </c>
      <c r="O89" s="115">
        <v>1.5821884822455745</v>
      </c>
      <c r="P89" s="115">
        <v>1.5643994789326729</v>
      </c>
      <c r="Q89" s="111">
        <v>1.5821884822455745</v>
      </c>
      <c r="R89" s="68">
        <v>1.5643994789326729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0.92495504566403308</v>
      </c>
      <c r="M90" s="115">
        <v>1.5199354159927534</v>
      </c>
      <c r="N90" s="115">
        <v>24.278360564027587</v>
      </c>
      <c r="O90" s="115">
        <v>0.98417687593397474</v>
      </c>
      <c r="P90" s="115">
        <v>1.0695671661219459</v>
      </c>
      <c r="Q90" s="111">
        <v>0.98417687593397474</v>
      </c>
      <c r="R90" s="68">
        <v>1.0695671661219459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3.5191113951987553E-3</v>
      </c>
      <c r="M91" s="115">
        <v>55.777510965040598</v>
      </c>
      <c r="N91" s="115">
        <v>1915.292950088538</v>
      </c>
      <c r="O91" s="115">
        <v>13.637298090313148</v>
      </c>
      <c r="P91" s="115">
        <v>8.4993469901897409</v>
      </c>
      <c r="Q91" s="111">
        <v>13.637298090313148</v>
      </c>
      <c r="R91" s="68">
        <v>8.4993469901897409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0.21453635895217327</v>
      </c>
      <c r="M92" s="115">
        <v>16.719503381842973</v>
      </c>
      <c r="N92" s="115">
        <v>563.46654166828478</v>
      </c>
      <c r="O92" s="115">
        <v>5.8546894661248157</v>
      </c>
      <c r="P92" s="115">
        <v>5.5659325400083128</v>
      </c>
      <c r="Q92" s="111">
        <v>5.8546894661248166</v>
      </c>
      <c r="R92" s="68">
        <v>5.5659325400083128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4.3366284769878589E-2</v>
      </c>
      <c r="M93" s="115">
        <v>20.706992079295748</v>
      </c>
      <c r="N93" s="115">
        <v>706.26989571929948</v>
      </c>
      <c r="O93" s="115">
        <v>7.4910240500888072</v>
      </c>
      <c r="P93" s="115">
        <v>7.4434498930305173</v>
      </c>
      <c r="Q93" s="111">
        <v>7.4910240500888072</v>
      </c>
      <c r="R93" s="68">
        <v>7.4434498930305182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0.89320623987468228</v>
      </c>
      <c r="M94" s="115">
        <v>1.0727207807027566</v>
      </c>
      <c r="N94" s="115">
        <v>11.872537260372852</v>
      </c>
      <c r="O94" s="115">
        <v>1.2467993066956824</v>
      </c>
      <c r="P94" s="115">
        <v>1.7343882435740046</v>
      </c>
      <c r="Q94" s="111">
        <v>1.2467993066956826</v>
      </c>
      <c r="R94" s="68">
        <v>1.7343882435740046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8.3362676710569874E-3</v>
      </c>
      <c r="M95" s="115">
        <v>28.279546985262822</v>
      </c>
      <c r="N95" s="115">
        <v>968.76756973089869</v>
      </c>
      <c r="O95" s="115">
        <v>9.0463393839542583</v>
      </c>
      <c r="P95" s="115">
        <v>8.1113720086029684</v>
      </c>
      <c r="Q95" s="111">
        <v>9.0463393839542583</v>
      </c>
      <c r="R95" s="68">
        <v>8.1113720086029684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0.98254207766126034</v>
      </c>
      <c r="M96" s="115">
        <v>0.90905705846369977</v>
      </c>
      <c r="N96" s="115">
        <v>1.8380285842883353</v>
      </c>
      <c r="O96" s="115">
        <v>0.82752349285017812</v>
      </c>
      <c r="P96" s="115">
        <v>0.95548541105862372</v>
      </c>
      <c r="Q96" s="111">
        <v>0.82752349285017812</v>
      </c>
      <c r="R96" s="68">
        <v>0.95548541105862372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0.96420932665689663</v>
      </c>
      <c r="M97" s="115">
        <v>1.0525433831728088</v>
      </c>
      <c r="N97" s="115">
        <v>7.2502006093775524</v>
      </c>
      <c r="O97" s="115">
        <v>0.86054702845391562</v>
      </c>
      <c r="P97" s="115">
        <v>0.97658974088374639</v>
      </c>
      <c r="Q97" s="111">
        <v>0.86054702845391562</v>
      </c>
      <c r="R97" s="68">
        <v>0.97658974088374639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1.9793511679843088E-2</v>
      </c>
      <c r="M98" s="115">
        <v>20.892774893309383</v>
      </c>
      <c r="N98" s="115">
        <v>714.1281950781912</v>
      </c>
      <c r="O98" s="115">
        <v>7.7197420674558259</v>
      </c>
      <c r="P98" s="115">
        <v>7.8330333566248358</v>
      </c>
      <c r="Q98" s="111">
        <v>7.7197420674558259</v>
      </c>
      <c r="R98" s="68">
        <v>7.8330333566248358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0.99288453582643899</v>
      </c>
      <c r="M99" s="115">
        <v>0.86911240784700816</v>
      </c>
      <c r="N99" s="115">
        <v>0.17907194408638963</v>
      </c>
      <c r="O99" s="115">
        <v>0.82173110237233027</v>
      </c>
      <c r="P99" s="115">
        <v>0.95445283745589871</v>
      </c>
      <c r="Q99" s="111">
        <v>0.82173110237233038</v>
      </c>
      <c r="R99" s="68">
        <v>0.95445283745589882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0.50408845986838779</v>
      </c>
      <c r="M100" s="115">
        <v>9.7820395667852722</v>
      </c>
      <c r="N100" s="115">
        <v>317.83336902546614</v>
      </c>
      <c r="O100" s="115">
        <v>3.5130465711497489</v>
      </c>
      <c r="P100" s="115">
        <v>3.2915871813159066</v>
      </c>
      <c r="Q100" s="111">
        <v>3.5130465711497489</v>
      </c>
      <c r="R100" s="68">
        <v>3.2915871813159066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0.99032692381632736</v>
      </c>
      <c r="M101" s="115">
        <v>0.87504757325218108</v>
      </c>
      <c r="N101" s="115">
        <v>0.45528704296849326</v>
      </c>
      <c r="O101" s="115">
        <v>0.82196618233417329</v>
      </c>
      <c r="P101" s="115">
        <v>0.95373576712308972</v>
      </c>
      <c r="Q101" s="111">
        <v>0.82196618233417329</v>
      </c>
      <c r="R101" s="68">
        <v>0.95373576712308972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0.99499415993596263</v>
      </c>
      <c r="M102" s="115">
        <v>0.86678240165928799</v>
      </c>
      <c r="N102" s="115">
        <v>3.831781290356015E-2</v>
      </c>
      <c r="O102" s="115">
        <v>0.82229566798883202</v>
      </c>
      <c r="P102" s="115">
        <v>0.95563478648134459</v>
      </c>
      <c r="Q102" s="111">
        <v>0.82229566798883202</v>
      </c>
      <c r="R102" s="68">
        <v>0.95563478648134459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0.99300305149089729</v>
      </c>
      <c r="M103" s="115">
        <v>0.8689153324212604</v>
      </c>
      <c r="N103" s="115">
        <v>0.16891966180554735</v>
      </c>
      <c r="O103" s="115">
        <v>0.82174340691394665</v>
      </c>
      <c r="P103" s="115">
        <v>0.95450432475046698</v>
      </c>
      <c r="Q103" s="111">
        <v>0.82174340691394676</v>
      </c>
      <c r="R103" s="68">
        <v>0.95450432475046709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0.97438503022242007</v>
      </c>
      <c r="M104" s="115">
        <v>0.96399409468830466</v>
      </c>
      <c r="N104" s="115">
        <v>3.943357742425341</v>
      </c>
      <c r="O104" s="115">
        <v>0.83936267030047218</v>
      </c>
      <c r="P104" s="115">
        <v>0.96238620015900622</v>
      </c>
      <c r="Q104" s="111">
        <v>0.83936267030047218</v>
      </c>
      <c r="R104" s="68">
        <v>0.96238620015900633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0.99468734369696998</v>
      </c>
      <c r="M105" s="115">
        <v>0.8669549542439583</v>
      </c>
      <c r="N105" s="115">
        <v>5.3150281691446796E-2</v>
      </c>
      <c r="O105" s="115">
        <v>0.82216512119670637</v>
      </c>
      <c r="P105" s="115">
        <v>0.95542614048537633</v>
      </c>
      <c r="Q105" s="111">
        <v>0.82216512119670648</v>
      </c>
      <c r="R105" s="68">
        <v>0.95542614048537644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0.89924154030746051</v>
      </c>
      <c r="M106" s="115">
        <v>1.8917418218891733</v>
      </c>
      <c r="N106" s="115">
        <v>37.661499248766631</v>
      </c>
      <c r="O106" s="115">
        <v>1.0878805357452359</v>
      </c>
      <c r="P106" s="115">
        <v>1.1520444932769585</v>
      </c>
      <c r="Q106" s="111">
        <v>1.0878805357452359</v>
      </c>
      <c r="R106" s="68">
        <v>1.1520444932769587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1.4564337009390339E-2</v>
      </c>
      <c r="M107" s="115">
        <v>20.82384123553118</v>
      </c>
      <c r="N107" s="115">
        <v>712.2336374435348</v>
      </c>
      <c r="O107" s="115">
        <v>7.7607522504609161</v>
      </c>
      <c r="P107" s="115">
        <v>7.9380116855941214</v>
      </c>
      <c r="Q107" s="111">
        <v>7.7607522504609161</v>
      </c>
      <c r="R107" s="68">
        <v>7.9380116855941214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0.57520245378446133</v>
      </c>
      <c r="M108" s="115">
        <v>8.1880886190905233</v>
      </c>
      <c r="N108" s="115">
        <v>261.40476977367615</v>
      </c>
      <c r="O108" s="115">
        <v>3.0030713610371391</v>
      </c>
      <c r="P108" s="115">
        <v>2.8227384951312811</v>
      </c>
      <c r="Q108" s="111">
        <v>3.0030713610371391</v>
      </c>
      <c r="R108" s="68">
        <v>2.8227384951312811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2024-10-28T23:16:38Z</dcterms:modified>
</cp:coreProperties>
</file>