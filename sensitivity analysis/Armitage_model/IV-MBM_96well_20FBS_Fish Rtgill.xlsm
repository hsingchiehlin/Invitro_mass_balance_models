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97C1EC6B-9E4B-4AAF-8C77-671971523D1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<sst xmlns="http://schemas.openxmlformats.org/spreadsheetml/2006/main" count="2915" uniqueCount="495">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</sst>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7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1.0500000000000001E-2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1.0500000000000001E-2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7.0000000000000007E-5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3.5000000000000004E-6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1.5258754317771579E-5</v>
      </c>
      <c r="J2" s="67" t="s">
        <v>231</v>
      </c>
      <c r="K2" s="68">
        <v>2.6806140782162455E-3</v>
      </c>
      <c r="L2" s="67" t="s">
        <v>231</v>
      </c>
      <c r="M2" s="68">
        <v>5.9052714656361679E-2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1.0689376344530349E-3</v>
      </c>
      <c r="J3" s="67" t="s">
        <v>231</v>
      </c>
      <c r="K3" s="68">
        <v>0.11512211213861923</v>
      </c>
      <c r="L3" s="67" t="s">
        <v>231</v>
      </c>
      <c r="M3" s="68">
        <v>3.8268971477240838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2.16949833472487E-3</v>
      </c>
      <c r="J4" s="67" t="s">
        <v>231</v>
      </c>
      <c r="K4" s="68">
        <v>1.2363850440116186E-2</v>
      </c>
      <c r="L4" s="67" t="s">
        <v>231</v>
      </c>
      <c r="M4" s="68">
        <v>0.3755639466031428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1.6621230873577594E-3</v>
      </c>
      <c r="J5" s="67" t="s">
        <v>231</v>
      </c>
      <c r="K5" s="68">
        <v>3.4509823561815707E-2</v>
      </c>
      <c r="L5" s="67" t="s">
        <v>231</v>
      </c>
      <c r="M5" s="68">
        <v>1.1201000827876102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2.8915034980049304E-3</v>
      </c>
      <c r="J6" s="67" t="s">
        <v>231</v>
      </c>
      <c r="K6" s="68">
        <v>0.13286542355576469</v>
      </c>
      <c r="L6" s="67" t="s">
        <v>231</v>
      </c>
      <c r="M6" s="68">
        <v>4.4444844556140337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4.244500781832035E-4</v>
      </c>
      <c r="J7" s="67" t="s">
        <v>231</v>
      </c>
      <c r="K7" s="68">
        <v>0.11831844940182779</v>
      </c>
      <c r="L7" s="67" t="s">
        <v>231</v>
      </c>
      <c r="M7" s="68">
        <v>3.9367641166900906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8.2565357670459627E-4</v>
      </c>
      <c r="J8" s="67" t="s">
        <v>231</v>
      </c>
      <c r="K8" s="68">
        <v>9.5336128343074811E-2</v>
      </c>
      <c r="L8" s="67" t="s">
        <v>231</v>
      </c>
      <c r="M8" s="68">
        <v>3.1507477157431993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2.5040805717275013E-4</v>
      </c>
      <c r="J9" s="67" t="s">
        <v>231</v>
      </c>
      <c r="K9" s="68">
        <v>2.1949461172343834E-2</v>
      </c>
      <c r="L9" s="67" t="s">
        <v>231</v>
      </c>
      <c r="M9" s="68">
        <v>0.6980007452929532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1.0010318575669967E-3</v>
      </c>
      <c r="J10" s="67" t="s">
        <v>231</v>
      </c>
      <c r="K10" s="68">
        <v>3.6914071655365983E-2</v>
      </c>
      <c r="L10" s="67" t="s">
        <v>231</v>
      </c>
      <c r="M10" s="68">
        <v>1.1992787589350888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2.4670427707609583E-4</v>
      </c>
      <c r="J11" s="67" t="s">
        <v>231</v>
      </c>
      <c r="K11" s="68">
        <v>4.1165374369508588E-2</v>
      </c>
      <c r="L11" s="67" t="s">
        <v>231</v>
      </c>
      <c r="M11" s="68">
        <v>1.3395131731031138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5.2572771082871276E-4</v>
      </c>
      <c r="J12" s="67" t="s">
        <v>231</v>
      </c>
      <c r="K12" s="68">
        <v>2.2408440508620092E-2</v>
      </c>
      <c r="L12" s="67" t="s">
        <v>231</v>
      </c>
      <c r="M12" s="68">
        <v>0.7156976511371298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1.1644475867008007E-2</v>
      </c>
      <c r="J13" s="67" t="s">
        <v>232</v>
      </c>
      <c r="K13" s="68">
        <v>2.2008888896135299E-2</v>
      </c>
      <c r="L13" s="67" t="s">
        <v>231</v>
      </c>
      <c r="M13" s="68">
        <v>0.70019689266787499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2.3599184833631025E-3</v>
      </c>
      <c r="J14" s="67" t="s">
        <v>231</v>
      </c>
      <c r="K14" s="68">
        <v>5.62215052286879E-2</v>
      </c>
      <c r="L14" s="67" t="s">
        <v>231</v>
      </c>
      <c r="M14" s="68">
        <v>1.8383406521538233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1.1823313345128256E-3</v>
      </c>
      <c r="J15" s="67" t="s">
        <v>231</v>
      </c>
      <c r="K15" s="68">
        <v>3.9001967640905348E-2</v>
      </c>
      <c r="L15" s="67" t="s">
        <v>231</v>
      </c>
      <c r="M15" s="68">
        <v>1.2681147984827184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8.6871796405853707E-4</v>
      </c>
      <c r="J16" s="67" t="s">
        <v>231</v>
      </c>
      <c r="K16" s="68">
        <v>9.4183461078749919E-2</v>
      </c>
      <c r="L16" s="67" t="s">
        <v>231</v>
      </c>
      <c r="M16" s="68">
        <v>3.1116963285017132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7.0038215335422455E-4</v>
      </c>
      <c r="J17" s="67" t="s">
        <v>231</v>
      </c>
      <c r="K17" s="68">
        <v>3.5299924728218517E-2</v>
      </c>
      <c r="L17" s="67" t="s">
        <v>231</v>
      </c>
      <c r="M17" s="68">
        <v>1.1461094464601396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1.8813332943877926E-3</v>
      </c>
      <c r="J18" s="67" t="s">
        <v>231</v>
      </c>
      <c r="K18" s="68">
        <v>2.1569756756455942E-2</v>
      </c>
      <c r="L18" s="67" t="s">
        <v>231</v>
      </c>
      <c r="M18" s="68">
        <v>0.68452306406712116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7.1891480248442311E-3</v>
      </c>
      <c r="J19" s="67" t="s">
        <v>231</v>
      </c>
      <c r="K19" s="68">
        <v>3.9428965304814247E-2</v>
      </c>
      <c r="L19" s="67" t="s">
        <v>231</v>
      </c>
      <c r="M19" s="68">
        <v>1.2822009172438411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1.2048911507080622E-3</v>
      </c>
      <c r="J20" s="67" t="s">
        <v>231</v>
      </c>
      <c r="K20" s="68">
        <v>2.2011519298630568E-2</v>
      </c>
      <c r="L20" s="67" t="s">
        <v>231</v>
      </c>
      <c r="M20" s="68">
        <v>0.70028057702206237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3.4016230135435889E-3</v>
      </c>
      <c r="J21" s="67" t="s">
        <v>231</v>
      </c>
      <c r="K21" s="68">
        <v>5.1565319800014331E-2</v>
      </c>
      <c r="L21" s="67" t="s">
        <v>231</v>
      </c>
      <c r="M21" s="68">
        <v>1.6837267799770799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1.0362125716907299E-4</v>
      </c>
      <c r="J22" s="67" t="s">
        <v>231</v>
      </c>
      <c r="K22" s="68">
        <v>6.6202578535843925E-3</v>
      </c>
      <c r="L22" s="67" t="s">
        <v>231</v>
      </c>
      <c r="M22" s="68">
        <v>0.18748289335121404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3.3509482361618185E-5</v>
      </c>
      <c r="J23" s="67" t="s">
        <v>231</v>
      </c>
      <c r="K23" s="68">
        <v>3.6566807131636118E-3</v>
      </c>
      <c r="L23" s="67" t="s">
        <v>231</v>
      </c>
      <c r="M23" s="68">
        <v>9.0837285839177925E-2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9.9558815414600788E-5</v>
      </c>
      <c r="J24" s="67" t="s">
        <v>231</v>
      </c>
      <c r="K24" s="68">
        <v>1.8299637429649161E-2</v>
      </c>
      <c r="L24" s="67" t="s">
        <v>231</v>
      </c>
      <c r="M24" s="68">
        <v>0.57240780145852976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4.4444980102696549E-4</v>
      </c>
      <c r="J25" s="67" t="s">
        <v>231</v>
      </c>
      <c r="K25" s="68">
        <v>2.2275431007302161E-2</v>
      </c>
      <c r="L25" s="67" t="s">
        <v>231</v>
      </c>
      <c r="M25" s="68">
        <v>0.7150125127667788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8.9964081770567991E-4</v>
      </c>
      <c r="J26" s="67" t="s">
        <v>231</v>
      </c>
      <c r="K26" s="68">
        <v>4.8592621429933334E-2</v>
      </c>
      <c r="L26" s="67" t="s">
        <v>231</v>
      </c>
      <c r="M26" s="68">
        <v>1.5851733940057604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5.8765658425378856E-4</v>
      </c>
      <c r="J27" s="67" t="s">
        <v>231</v>
      </c>
      <c r="K27" s="68">
        <v>0.11277470456343257</v>
      </c>
      <c r="L27" s="67" t="s">
        <v>231</v>
      </c>
      <c r="M27" s="68">
        <v>3.7459947261006592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3.1946413062559605E-4</v>
      </c>
      <c r="J28" s="67" t="s">
        <v>231</v>
      </c>
      <c r="K28" s="68">
        <v>7.1119101057485742E-2</v>
      </c>
      <c r="L28" s="67" t="s">
        <v>231</v>
      </c>
      <c r="M28" s="68">
        <v>2.3352302293818665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1.9679076666400682E-4</v>
      </c>
      <c r="J29" s="67" t="s">
        <v>231</v>
      </c>
      <c r="K29" s="68">
        <v>5.3404655705668921E-2</v>
      </c>
      <c r="L29" s="67" t="s">
        <v>231</v>
      </c>
      <c r="M29" s="68">
        <v>1.7454187224058746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3.1946413062559605E-4</v>
      </c>
      <c r="J30" s="67" t="s">
        <v>231</v>
      </c>
      <c r="K30" s="68">
        <v>7.1119101057485742E-2</v>
      </c>
      <c r="L30" s="67" t="s">
        <v>231</v>
      </c>
      <c r="M30" s="68">
        <v>2.3352302293818665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8.2462480211190958E-8</v>
      </c>
      <c r="J31" s="67" t="s">
        <v>231</v>
      </c>
      <c r="K31" s="68">
        <v>9.162694500526792E-4</v>
      </c>
      <c r="L31" s="67" t="s">
        <v>231</v>
      </c>
      <c r="M31" s="68">
        <v>1.1558769806032452E-3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1.0351419725114658E-5</v>
      </c>
      <c r="J32" s="67" t="s">
        <v>231</v>
      </c>
      <c r="K32" s="68">
        <v>1.007640544217119E-2</v>
      </c>
      <c r="L32" s="67" t="s">
        <v>231</v>
      </c>
      <c r="M32" s="68">
        <v>0.29849878812880476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8.1337615636739445E-8</v>
      </c>
      <c r="J33" s="67" t="s">
        <v>231</v>
      </c>
      <c r="K33" s="68">
        <v>8.8971099516878662E-4</v>
      </c>
      <c r="L33" s="67" t="s">
        <v>231</v>
      </c>
      <c r="M33" s="68">
        <v>5.9134421936656251E-4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1.9361572525687485E-10</v>
      </c>
      <c r="J34" s="67" t="s">
        <v>231</v>
      </c>
      <c r="K34" s="68">
        <v>9.4453683979238282E-4</v>
      </c>
      <c r="L34" s="67" t="s">
        <v>231</v>
      </c>
      <c r="M34" s="68">
        <v>4.502384709052476E-2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1.9759496688315533E-7</v>
      </c>
      <c r="J35" s="67" t="s">
        <v>231</v>
      </c>
      <c r="K35" s="68">
        <v>9.4534698121966564E-4</v>
      </c>
      <c r="L35" s="67" t="s">
        <v>231</v>
      </c>
      <c r="M35" s="68">
        <v>6.372175309797394E-2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1.8007211541504548E-7</v>
      </c>
      <c r="J36" s="67" t="s">
        <v>231</v>
      </c>
      <c r="K36" s="68">
        <v>9.0567469677632216E-4</v>
      </c>
      <c r="L36" s="67" t="s">
        <v>231</v>
      </c>
      <c r="M36" s="68">
        <v>7.743349408799366E-2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2.018090128744373E-6</v>
      </c>
      <c r="J37" s="67" t="s">
        <v>231</v>
      </c>
      <c r="K37" s="68">
        <v>4.7638690977308707E-3</v>
      </c>
      <c r="L37" s="67" t="s">
        <v>231</v>
      </c>
      <c r="M37" s="68">
        <v>0.18239929431549201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1.0534542913298091E-6</v>
      </c>
      <c r="J38" s="67" t="s">
        <v>231</v>
      </c>
      <c r="K38" s="68">
        <v>9.8747048565571731E-4</v>
      </c>
      <c r="L38" s="67" t="s">
        <v>231</v>
      </c>
      <c r="M38" s="68">
        <v>4.0354967915040355E-2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2.2401427355651015E-4</v>
      </c>
      <c r="J39" s="67" t="s">
        <v>231</v>
      </c>
      <c r="K39" s="68">
        <v>2.2766217601695726E-2</v>
      </c>
      <c r="L39" s="67" t="s">
        <v>231</v>
      </c>
      <c r="M39" s="68">
        <v>0.73475842330638441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8.2420088963023604E-10</v>
      </c>
      <c r="J40" s="67" t="s">
        <v>231</v>
      </c>
      <c r="K40" s="68">
        <v>6.4519523982813062E-2</v>
      </c>
      <c r="L40" s="67" t="s">
        <v>231</v>
      </c>
      <c r="M40" s="68">
        <v>5.6613526681990312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2.680024982559171E-8</v>
      </c>
      <c r="J41" s="67" t="s">
        <v>231</v>
      </c>
      <c r="K41" s="68">
        <v>8.3014326733565468E-4</v>
      </c>
      <c r="L41" s="67" t="s">
        <v>231</v>
      </c>
      <c r="M41" s="68">
        <v>6.5816399078195899E-5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1.1428888632277932E-3</v>
      </c>
      <c r="J42" s="67" t="s">
        <v>231</v>
      </c>
      <c r="K42" s="68">
        <v>7.5589791873049011E-3</v>
      </c>
      <c r="L42" s="67" t="s">
        <v>231</v>
      </c>
      <c r="M42" s="68">
        <v>0.21808256199146026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4.7102959570007626E-9</v>
      </c>
      <c r="J43" s="67" t="s">
        <v>231</v>
      </c>
      <c r="K43" s="68">
        <v>1.7617260803573873E-3</v>
      </c>
      <c r="L43" s="67" t="s">
        <v>231</v>
      </c>
      <c r="M43" s="68">
        <v>0.16464567486938353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1.1750811015917833E-6</v>
      </c>
      <c r="J44" s="67" t="s">
        <v>231</v>
      </c>
      <c r="K44" s="68">
        <v>1.7884379249615391E-3</v>
      </c>
      <c r="L44" s="67" t="s">
        <v>231</v>
      </c>
      <c r="M44" s="68">
        <v>3.2038034603854099E-2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1.0085780875349919E-4</v>
      </c>
      <c r="J45" s="67" t="s">
        <v>231</v>
      </c>
      <c r="K45" s="68">
        <v>8.4478321045713921E-3</v>
      </c>
      <c r="L45" s="67" t="s">
        <v>231</v>
      </c>
      <c r="M45" s="68">
        <v>0.24715490748680916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2.2589959824054801E-6</v>
      </c>
      <c r="J46" s="67" t="s">
        <v>231</v>
      </c>
      <c r="K46" s="68">
        <v>7.8719820310303758E-3</v>
      </c>
      <c r="L46" s="67" t="s">
        <v>231</v>
      </c>
      <c r="M46" s="68">
        <v>0.22836492774285544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2.7112683171762113E-3</v>
      </c>
      <c r="J47" s="142" t="s">
        <v>231</v>
      </c>
      <c r="K47" s="143">
        <v>0.11546252759895378</v>
      </c>
      <c r="L47" s="142" t="s">
        <v>231</v>
      </c>
      <c r="M47" s="143">
        <v>3.8382132618049902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1.8948297505363827E-6</v>
      </c>
      <c r="J48" s="142" t="s">
        <v>231</v>
      </c>
      <c r="K48" s="143">
        <v>1.192583178286966E-3</v>
      </c>
      <c r="L48" s="142" t="s">
        <v>231</v>
      </c>
      <c r="M48" s="143">
        <v>1.0710851279797982E-2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5.3728783618280387E-6</v>
      </c>
      <c r="J49" s="142" t="s">
        <v>231</v>
      </c>
      <c r="K49" s="143">
        <v>1.4271330441097917E-3</v>
      </c>
      <c r="L49" s="142" t="s">
        <v>231</v>
      </c>
      <c r="M49" s="143">
        <v>1.8668158465439396E-2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8.2962522809372261E-6</v>
      </c>
      <c r="J50" s="142" t="s">
        <v>231</v>
      </c>
      <c r="K50" s="143">
        <v>2.1374560374913875E-2</v>
      </c>
      <c r="L50" s="142" t="s">
        <v>231</v>
      </c>
      <c r="M50" s="143">
        <v>0.67784417178712431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4.1553125084767178E-8</v>
      </c>
      <c r="J51" s="142" t="s">
        <v>231</v>
      </c>
      <c r="K51" s="143">
        <v>8.9140468245549787E-4</v>
      </c>
      <c r="L51" s="142" t="s">
        <v>231</v>
      </c>
      <c r="M51" s="143">
        <v>1.9115029273818836E-3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1.210154446781054E-5</v>
      </c>
      <c r="J52" s="142" t="s">
        <v>231</v>
      </c>
      <c r="K52" s="143">
        <v>2.4837695102289084E-3</v>
      </c>
      <c r="L52" s="142" t="s">
        <v>231</v>
      </c>
      <c r="M52" s="143">
        <v>5.4342915373551098E-2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1.9206923624281322E-4</v>
      </c>
      <c r="J53" s="142" t="s">
        <v>231</v>
      </c>
      <c r="K53" s="143">
        <v>1.155098160882957E-2</v>
      </c>
      <c r="L53" s="142" t="s">
        <v>231</v>
      </c>
      <c r="M53" s="143">
        <v>0.34889853914287261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9.2744270906260778E-4</v>
      </c>
      <c r="J54" s="67" t="s">
        <v>231</v>
      </c>
      <c r="K54" s="68">
        <v>0.10630511917591615</v>
      </c>
      <c r="L54" s="67" t="s">
        <v>231</v>
      </c>
      <c r="M54" s="68">
        <v>3.5240670623920609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2.0945948532465067E-4</v>
      </c>
      <c r="J55" s="67" t="s">
        <v>231</v>
      </c>
      <c r="K55" s="68">
        <v>1.6487351181904208E-2</v>
      </c>
      <c r="L55" s="67" t="s">
        <v>231</v>
      </c>
      <c r="M55" s="68">
        <v>0.51689802547985031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6.1899440649952804E-5</v>
      </c>
      <c r="J56" s="67" t="s">
        <v>231</v>
      </c>
      <c r="K56" s="68">
        <v>9.5787286181365471E-3</v>
      </c>
      <c r="L56" s="67" t="s">
        <v>231</v>
      </c>
      <c r="M56" s="68">
        <v>0.30575214964670661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3.0265444455128502E-5</v>
      </c>
      <c r="J57" s="67" t="s">
        <v>231</v>
      </c>
      <c r="K57" s="68">
        <v>4.9163092892375478E-3</v>
      </c>
      <c r="L57" s="67" t="s">
        <v>231</v>
      </c>
      <c r="M57" s="68">
        <v>0.15480839246589403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3.278352822225265E-7</v>
      </c>
      <c r="J58" s="67" t="s">
        <v>231</v>
      </c>
      <c r="K58" s="68">
        <v>1.294028290557229E-4</v>
      </c>
      <c r="L58" s="67" t="s">
        <v>231</v>
      </c>
      <c r="M58" s="68">
        <v>1.9236166294297472E-3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7.3429169458836726E-6</v>
      </c>
      <c r="J59" s="67" t="s">
        <v>231</v>
      </c>
      <c r="K59" s="68">
        <v>1.9071506805877702E-3</v>
      </c>
      <c r="L59" s="67" t="s">
        <v>231</v>
      </c>
      <c r="M59" s="68">
        <v>5.9996776378012567E-2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1.1533467747396528E-7</v>
      </c>
      <c r="J60" s="67" t="s">
        <v>231</v>
      </c>
      <c r="K60" s="68">
        <v>3.3584764815949737E-5</v>
      </c>
      <c r="L60" s="67" t="s">
        <v>231</v>
      </c>
      <c r="M60" s="68">
        <v>1.0425233881368565E-3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4.1864973690899879E-2</v>
      </c>
      <c r="J61" s="67" t="s">
        <v>232</v>
      </c>
      <c r="K61" s="68">
        <v>1.4593773532284349E-2</v>
      </c>
      <c r="L61" s="67" t="s">
        <v>231</v>
      </c>
      <c r="M61" s="68">
        <v>0.44909856530927866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4.0773863194714285E-5</v>
      </c>
      <c r="J62" s="67" t="s">
        <v>231</v>
      </c>
      <c r="K62" s="68">
        <v>5.5176096825111404E-2</v>
      </c>
      <c r="L62" s="67" t="s">
        <v>231</v>
      </c>
      <c r="M62" s="68">
        <v>1.8035956407526768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2.8033398359909271E-4</v>
      </c>
      <c r="J63" s="67" t="s">
        <v>231</v>
      </c>
      <c r="K63" s="68">
        <v>0.12908738545774465</v>
      </c>
      <c r="L63" s="67" t="s">
        <v>231</v>
      </c>
      <c r="M63" s="68">
        <v>4.3115197589771554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2.0120354548697176E-4</v>
      </c>
      <c r="J64" s="67" t="s">
        <v>231</v>
      </c>
      <c r="K64" s="68">
        <v>0.14529350451859749</v>
      </c>
      <c r="L64" s="67" t="s">
        <v>231</v>
      </c>
      <c r="M64" s="68">
        <v>4.8906598444254552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3.0601377874398954E-4</v>
      </c>
      <c r="J65" s="67" t="s">
        <v>231</v>
      </c>
      <c r="K65" s="68">
        <v>0.15604413561345426</v>
      </c>
      <c r="L65" s="67" t="s">
        <v>231</v>
      </c>
      <c r="M65" s="68">
        <v>5.2989475348293702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1.2106770573475266E-6</v>
      </c>
      <c r="J66" s="67" t="s">
        <v>231</v>
      </c>
      <c r="K66" s="68">
        <v>0.15074900273538361</v>
      </c>
      <c r="L66" s="67" t="s">
        <v>231</v>
      </c>
      <c r="M66" s="68">
        <v>5.0935998829698219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4.0857674019089232E-4</v>
      </c>
      <c r="J67" s="67" t="s">
        <v>231</v>
      </c>
      <c r="K67" s="68">
        <v>2.1217124863950453E-3</v>
      </c>
      <c r="L67" s="67" t="s">
        <v>231</v>
      </c>
      <c r="M67" s="68">
        <v>4.0951082814711146E-2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1.6726637657910092E-4</v>
      </c>
      <c r="J68" s="67" t="s">
        <v>231</v>
      </c>
      <c r="K68" s="68">
        <v>3.0272704351324399E-3</v>
      </c>
      <c r="L68" s="67" t="s">
        <v>231</v>
      </c>
      <c r="M68" s="68">
        <v>7.0587570693910029E-2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2.2411274746293879E-7</v>
      </c>
      <c r="J69" s="67" t="s">
        <v>231</v>
      </c>
      <c r="K69" s="68">
        <v>9.2412716299344486E-2</v>
      </c>
      <c r="L69" s="67" t="s">
        <v>231</v>
      </c>
      <c r="M69" s="68">
        <v>3.0517847495048156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2.452537450402906E-4</v>
      </c>
      <c r="J70" s="67" t="s">
        <v>231</v>
      </c>
      <c r="K70" s="68">
        <v>2.247593140704001E-2</v>
      </c>
      <c r="L70" s="67" t="s">
        <v>231</v>
      </c>
      <c r="M70" s="68">
        <v>0.72028662968895474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3.121097072921119E-4</v>
      </c>
      <c r="J71" s="67" t="s">
        <v>231</v>
      </c>
      <c r="K71" s="68">
        <v>2.8185711482373189E-3</v>
      </c>
      <c r="L71" s="67" t="s">
        <v>231</v>
      </c>
      <c r="M71" s="68">
        <v>6.4149960267162687E-2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1.4954831439651185E-6</v>
      </c>
      <c r="J72" s="67" t="s">
        <v>231</v>
      </c>
      <c r="K72" s="68">
        <v>2.225214854989729E-2</v>
      </c>
      <c r="L72" s="67" t="s">
        <v>231</v>
      </c>
      <c r="M72" s="68">
        <v>0.71219761271708926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6.0545279812244321E-3</v>
      </c>
      <c r="J73" s="67" t="s">
        <v>231</v>
      </c>
      <c r="K73" s="68">
        <v>1.5038202060548209E-2</v>
      </c>
      <c r="L73" s="67" t="s">
        <v>231</v>
      </c>
      <c r="M73" s="68">
        <v>0.46422948314668522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5.150123577668686E-2</v>
      </c>
      <c r="J74" s="67" t="s">
        <v>232</v>
      </c>
      <c r="K74" s="68">
        <v>2.2437997196121284E-2</v>
      </c>
      <c r="L74" s="67" t="s">
        <v>231</v>
      </c>
      <c r="M74" s="68">
        <v>0.71880887764125034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2.2750642717390134E-13</v>
      </c>
      <c r="J75" s="67" t="s">
        <v>231</v>
      </c>
      <c r="K75" s="68">
        <v>5.5989245855571183E-3</v>
      </c>
      <c r="L75" s="67" t="s">
        <v>231</v>
      </c>
      <c r="M75" s="68">
        <v>0.55011937764784136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1.2516220579313165E-13</v>
      </c>
      <c r="J76" s="67" t="s">
        <v>231</v>
      </c>
      <c r="K76" s="68">
        <v>5.5989245878943616E-3</v>
      </c>
      <c r="L76" s="67" t="s">
        <v>231</v>
      </c>
      <c r="M76" s="68">
        <v>0.55011937787748588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2.9745092704956184E-7</v>
      </c>
      <c r="J77" s="67" t="s">
        <v>231</v>
      </c>
      <c r="K77" s="68">
        <v>2.0200825905066652E-2</v>
      </c>
      <c r="L77" s="67" t="s">
        <v>231</v>
      </c>
      <c r="M77" s="68">
        <v>0.637974273822418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1.0980749900832483E-3</v>
      </c>
      <c r="J78" s="67" t="s">
        <v>231</v>
      </c>
      <c r="K78" s="68">
        <v>6.9132781459831727E-3</v>
      </c>
      <c r="L78" s="67" t="s">
        <v>231</v>
      </c>
      <c r="M78" s="68">
        <v>0.19789311385143113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2.0818632501253785E-5</v>
      </c>
      <c r="J79" s="67" t="s">
        <v>231</v>
      </c>
      <c r="K79" s="68">
        <v>1.1746983828784653E-2</v>
      </c>
      <c r="L79" s="67" t="s">
        <v>231</v>
      </c>
      <c r="M79" s="68">
        <v>0.3555118026110381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1.3541543327916708E-14</v>
      </c>
      <c r="J80" s="67" t="s">
        <v>231</v>
      </c>
      <c r="K80" s="68">
        <v>1.0868403907901227E-2</v>
      </c>
      <c r="L80" s="67" t="s">
        <v>231</v>
      </c>
      <c r="M80" s="68">
        <v>1.068428572656672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2.2419628876005046E-5</v>
      </c>
      <c r="J81" s="67" t="s">
        <v>231</v>
      </c>
      <c r="K81" s="68">
        <v>9.3221609398619408E-4</v>
      </c>
      <c r="L81" s="67" t="s">
        <v>231</v>
      </c>
      <c r="M81" s="68">
        <v>1.7153991464176127E-3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3.8026806612569006E-5</v>
      </c>
      <c r="J82" s="67" t="s">
        <v>231</v>
      </c>
      <c r="K82" s="68">
        <v>3.547167211035665E-3</v>
      </c>
      <c r="L82" s="67" t="s">
        <v>231</v>
      </c>
      <c r="M82" s="68">
        <v>8.7271166628884442E-2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3.3290896909661749E-5</v>
      </c>
      <c r="J83" s="67" t="s">
        <v>231</v>
      </c>
      <c r="K83" s="68">
        <v>1.9878402405631518E-2</v>
      </c>
      <c r="L83" s="67" t="s">
        <v>231</v>
      </c>
      <c r="M83" s="68">
        <v>0.62575008686958555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6.2924051342814956E-6</v>
      </c>
      <c r="J84" s="67" t="s">
        <v>231</v>
      </c>
      <c r="K84" s="68">
        <v>1.0916454324420277E-3</v>
      </c>
      <c r="L84" s="67" t="s">
        <v>231</v>
      </c>
      <c r="M84" s="68">
        <v>7.0905197489364675E-3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3.333312663589563E-8</v>
      </c>
      <c r="J85" s="67" t="s">
        <v>231</v>
      </c>
      <c r="K85" s="68">
        <v>8.9429225243403156E-4</v>
      </c>
      <c r="L85" s="67" t="s">
        <v>231</v>
      </c>
      <c r="M85" s="68">
        <v>3.483905326793072E-4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2.4671055864684361E-6</v>
      </c>
      <c r="J86" s="67" t="s">
        <v>231</v>
      </c>
      <c r="K86" s="68">
        <v>1.0820967653464109E-3</v>
      </c>
      <c r="L86" s="67" t="s">
        <v>231</v>
      </c>
      <c r="M86" s="68">
        <v>6.7729989260687205E-3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3.1265712791163701E-3</v>
      </c>
      <c r="J87" s="67" t="s">
        <v>231</v>
      </c>
      <c r="K87" s="68">
        <v>0.12107503427836508</v>
      </c>
      <c r="L87" s="67" t="s">
        <v>231</v>
      </c>
      <c r="M87" s="68">
        <v>4.0321825269604865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1.1691565845627493E-4</v>
      </c>
      <c r="J88" s="67" t="s">
        <v>231</v>
      </c>
      <c r="K88" s="68">
        <v>5.7955797925638031E-3</v>
      </c>
      <c r="L88" s="67" t="s">
        <v>231</v>
      </c>
      <c r="M88" s="68">
        <v>0.16052808414367201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3.0850602508891633E-5</v>
      </c>
      <c r="J89" s="67" t="s">
        <v>231</v>
      </c>
      <c r="K89" s="68">
        <v>3.8875203035703869E-3</v>
      </c>
      <c r="L89" s="67" t="s">
        <v>231</v>
      </c>
      <c r="M89" s="68">
        <v>9.8352361909270006E-2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1.8893390533444027E-6</v>
      </c>
      <c r="J90" s="67" t="s">
        <v>231</v>
      </c>
      <c r="K90" s="68">
        <v>1.6151127027814955E-3</v>
      </c>
      <c r="L90" s="67" t="s">
        <v>231</v>
      </c>
      <c r="M90" s="68">
        <v>2.4300238899642883E-2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2.4711411805056508E-3</v>
      </c>
      <c r="J91" s="67" t="s">
        <v>231</v>
      </c>
      <c r="K91" s="68">
        <v>6.0504137130362401E-2</v>
      </c>
      <c r="L91" s="67" t="s">
        <v>231</v>
      </c>
      <c r="M91" s="68">
        <v>1.980838628664628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2.262881842600642E-2</v>
      </c>
      <c r="J92" s="67" t="s">
        <v>232</v>
      </c>
      <c r="K92" s="68">
        <v>1.8200889206900616E-2</v>
      </c>
      <c r="L92" s="67" t="s">
        <v>231</v>
      </c>
      <c r="M92" s="68">
        <v>0.56909193996472907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6.3727127806094339E-3</v>
      </c>
      <c r="J93" s="67" t="s">
        <v>231</v>
      </c>
      <c r="K93" s="68">
        <v>2.239203411712265E-2</v>
      </c>
      <c r="L93" s="67" t="s">
        <v>231</v>
      </c>
      <c r="M93" s="68">
        <v>0.71503365584592815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6.4831195103811945E-9</v>
      </c>
      <c r="J94" s="67" t="s">
        <v>231</v>
      </c>
      <c r="K94" s="68">
        <v>9.1548360387475546E-4</v>
      </c>
      <c r="L94" s="67" t="s">
        <v>231</v>
      </c>
      <c r="M94" s="68">
        <v>1.1880272565956917E-2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4.7256795018992299E-5</v>
      </c>
      <c r="J95" s="67" t="s">
        <v>231</v>
      </c>
      <c r="K95" s="68">
        <v>3.040955110998745E-2</v>
      </c>
      <c r="L95" s="67" t="s">
        <v>231</v>
      </c>
      <c r="M95" s="68">
        <v>0.98528091662979533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9.8924868036064656E-8</v>
      </c>
      <c r="J96" s="67" t="s">
        <v>231</v>
      </c>
      <c r="K96" s="68">
        <v>9.357779382620111E-4</v>
      </c>
      <c r="L96" s="67" t="s">
        <v>231</v>
      </c>
      <c r="M96" s="68">
        <v>1.8390227029389215E-3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3.5753208367432804E-8</v>
      </c>
      <c r="J97" s="67" t="s">
        <v>231</v>
      </c>
      <c r="K97" s="68">
        <v>1.0965871595754687E-3</v>
      </c>
      <c r="L97" s="67" t="s">
        <v>231</v>
      </c>
      <c r="M97" s="68">
        <v>7.2547346913257567E-3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9.4255169946591604E-6</v>
      </c>
      <c r="J98" s="67" t="s">
        <v>231</v>
      </c>
      <c r="K98" s="68">
        <v>2.2502929637655468E-2</v>
      </c>
      <c r="L98" s="67" t="s">
        <v>231</v>
      </c>
      <c r="M98" s="68">
        <v>0.72307465403997329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4.2219239200569675E-8</v>
      </c>
      <c r="J99" s="67" t="s">
        <v>231</v>
      </c>
      <c r="K99" s="68">
        <v>8.9014696007854723E-4</v>
      </c>
      <c r="L99" s="67" t="s">
        <v>231</v>
      </c>
      <c r="M99" s="68">
        <v>1.791645955107934E-4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6.1746431319379953E-5</v>
      </c>
      <c r="J100" s="67" t="s">
        <v>231</v>
      </c>
      <c r="K100" s="68">
        <v>1.0662730063082293E-2</v>
      </c>
      <c r="L100" s="67" t="s">
        <v>231</v>
      </c>
      <c r="M100" s="68">
        <v>0.31968089513611686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1.3207116495009976E-5</v>
      </c>
      <c r="J101" s="67" t="s">
        <v>231</v>
      </c>
      <c r="K101" s="68">
        <v>8.9706402703786526E-4</v>
      </c>
      <c r="L101" s="67" t="s">
        <v>231</v>
      </c>
      <c r="M101" s="68">
        <v>4.5552419034606433E-4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6.4705829526739222E-11</v>
      </c>
      <c r="J102" s="67" t="s">
        <v>231</v>
      </c>
      <c r="K102" s="68">
        <v>8.8730435099973232E-4</v>
      </c>
      <c r="L102" s="67" t="s">
        <v>231</v>
      </c>
      <c r="M102" s="68">
        <v>3.833758649774466E-5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9.234774248977128E-9</v>
      </c>
      <c r="J103" s="67" t="s">
        <v>231</v>
      </c>
      <c r="K103" s="68">
        <v>8.8991324673550474E-4</v>
      </c>
      <c r="L103" s="67" t="s">
        <v>231</v>
      </c>
      <c r="M103" s="68">
        <v>1.6900704100923354E-4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4.3334628057527217E-7</v>
      </c>
      <c r="J104" s="67" t="s">
        <v>231</v>
      </c>
      <c r="K104" s="68">
        <v>9.9758574860144954E-4</v>
      </c>
      <c r="L104" s="67" t="s">
        <v>231</v>
      </c>
      <c r="M104" s="68">
        <v>3.9456180754844656E-3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5.8228647093583351E-8</v>
      </c>
      <c r="J105" s="67" t="s">
        <v>231</v>
      </c>
      <c r="K105" s="68">
        <v>8.8753133331257838E-4</v>
      </c>
      <c r="L105" s="67" t="s">
        <v>231</v>
      </c>
      <c r="M105" s="68">
        <v>5.3177714735784212E-5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5.5335398406243915E-7</v>
      </c>
      <c r="J106" s="67" t="s">
        <v>231</v>
      </c>
      <c r="K106" s="68">
        <v>2.025586527185947E-3</v>
      </c>
      <c r="L106" s="67" t="s">
        <v>231</v>
      </c>
      <c r="M106" s="68">
        <v>3.7703709641229384E-2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6.6583863465592276E-5</v>
      </c>
      <c r="J107" s="67" t="s">
        <v>231</v>
      </c>
      <c r="K107" s="68">
        <v>2.2392450380188084E-2</v>
      </c>
      <c r="L107" s="67" t="s">
        <v>231</v>
      </c>
      <c r="M107" s="68">
        <v>0.72112833953178057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8.2451725812367104E-5</v>
      </c>
      <c r="J108" s="67" t="s">
        <v>231</v>
      </c>
      <c r="K108" s="68">
        <v>8.9228179218683121E-3</v>
      </c>
      <c r="L108" s="67" t="s">
        <v>231</v>
      </c>
      <c r="M108" s="68">
        <v>0.26267536987655526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0.91557916013065621</v>
      </c>
      <c r="F2" s="14">
        <v>0.86580455627748587</v>
      </c>
      <c r="G2" s="14">
        <v>1.1250410125763199E-6</v>
      </c>
      <c r="H2" s="14">
        <v>11.698760954463729</v>
      </c>
      <c r="I2" s="14">
        <v>31.549831034677034</v>
      </c>
      <c r="J2" s="14">
        <v>0</v>
      </c>
      <c r="K2" s="14">
        <v>1.1549950768329118</v>
      </c>
      <c r="L2" s="14">
        <v>0.86580455627748598</v>
      </c>
      <c r="M2" s="14">
        <v>0.71039263842567724</v>
      </c>
      <c r="N2" s="14">
        <v>2.6806140782162458</v>
      </c>
      <c r="O2" s="14">
        <v>493.52785794039301</v>
      </c>
      <c r="P2" s="8">
        <v>2.6806140782162458</v>
      </c>
      <c r="Q2" s="54">
        <v>0.13464711042078112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0.9524181710001246</v>
      </c>
      <c r="F3" s="14">
        <v>6.9461921075207708E-4</v>
      </c>
      <c r="G3" s="14">
        <v>4.2118731009653335E-5</v>
      </c>
      <c r="H3" s="14">
        <v>72.920021866738239</v>
      </c>
      <c r="I3" s="14">
        <v>1829.3801440972943</v>
      </c>
      <c r="J3" s="14">
        <v>0</v>
      </c>
      <c r="K3" s="14">
        <v>1439.637695763239</v>
      </c>
      <c r="L3" s="14">
        <v>6.9461921075207708E-4</v>
      </c>
      <c r="M3" s="14">
        <v>5.6993506242207926E-4</v>
      </c>
      <c r="N3" s="14">
        <v>115.12211213861923</v>
      </c>
      <c r="O3" s="14">
        <v>42009.209940503548</v>
      </c>
      <c r="P3" s="8">
        <v>115.12211213861924</v>
      </c>
      <c r="Q3" s="54">
        <v>5.8519951967193895E-2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0.82434271937289971</v>
      </c>
      <c r="F4" s="14">
        <v>0.440132961646931</v>
      </c>
      <c r="G4" s="14">
        <v>6.0787233961706664E-14</v>
      </c>
      <c r="H4" s="14">
        <v>88.549047546690218</v>
      </c>
      <c r="I4" s="14">
        <v>195.72263993520559</v>
      </c>
      <c r="J4" s="14">
        <v>0</v>
      </c>
      <c r="K4" s="14">
        <v>2.2720406948348195</v>
      </c>
      <c r="L4" s="14">
        <v>0.440132961646931</v>
      </c>
      <c r="M4" s="14">
        <v>0.36112909503130691</v>
      </c>
      <c r="N4" s="14">
        <v>12.363850440116185</v>
      </c>
      <c r="O4" s="14">
        <v>3923.2970216576678</v>
      </c>
      <c r="P4" s="8">
        <v>12.363850440116186</v>
      </c>
      <c r="Q4" s="54">
        <v>0.27966689774725934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0.94468884461077374</v>
      </c>
      <c r="F5" s="14">
        <v>7.460996380978688E-3</v>
      </c>
      <c r="G5" s="14">
        <v>1.4331291081864597E-6</v>
      </c>
      <c r="H5" s="14">
        <v>206.46993893381952</v>
      </c>
      <c r="I5" s="14">
        <v>554.77131850877868</v>
      </c>
      <c r="J5" s="14">
        <v>0</v>
      </c>
      <c r="K5" s="14">
        <v>134.0303558582917</v>
      </c>
      <c r="L5" s="14">
        <v>7.460996380978688E-3</v>
      </c>
      <c r="M5" s="14">
        <v>6.1217475305930134E-3</v>
      </c>
      <c r="N5" s="14">
        <v>34.509823561815708</v>
      </c>
      <c r="O5" s="14">
        <v>12098.799042536968</v>
      </c>
      <c r="P5" s="8">
        <v>34.509823561815708</v>
      </c>
      <c r="Q5" s="54">
        <v>8.4472237923721633E-2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0.96291457199995656</v>
      </c>
      <c r="F6" s="14">
        <v>3.0914440550912066E-4</v>
      </c>
      <c r="G6" s="14">
        <v>1.365682924364983E-7</v>
      </c>
      <c r="H6" s="14">
        <v>46.282988282945972</v>
      </c>
      <c r="I6" s="14">
        <v>2104.6435968112646</v>
      </c>
      <c r="J6" s="14">
        <v>0</v>
      </c>
      <c r="K6" s="14">
        <v>3234.734260686781</v>
      </c>
      <c r="L6" s="14">
        <v>3.0914440550912071E-4</v>
      </c>
      <c r="M6" s="14">
        <v>2.5365298472023351E-4</v>
      </c>
      <c r="N6" s="14">
        <v>132.86542355576469</v>
      </c>
      <c r="O6" s="14">
        <v>47099.463996283033</v>
      </c>
      <c r="P6" s="8">
        <v>132.86542355576472</v>
      </c>
      <c r="Q6" s="54">
        <v>4.4440461713071096E-2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0.95634644642964961</v>
      </c>
      <c r="F7" s="14">
        <v>6.2098254582807942E-4</v>
      </c>
      <c r="G7" s="14">
        <v>2.0238013495100799E-7</v>
      </c>
      <c r="H7" s="14">
        <v>68.665627543651027</v>
      </c>
      <c r="I7" s="14">
        <v>1879.3019494015689</v>
      </c>
      <c r="J7" s="14">
        <v>0</v>
      </c>
      <c r="K7" s="14">
        <v>1610.351219560449</v>
      </c>
      <c r="L7" s="14">
        <v>6.2098254582807942E-4</v>
      </c>
      <c r="M7" s="14">
        <v>5.0951617885193912E-4</v>
      </c>
      <c r="N7" s="14">
        <v>118.31844940182779</v>
      </c>
      <c r="O7" s="14">
        <v>41942.707128453934</v>
      </c>
      <c r="P7" s="8">
        <v>118.31844940182779</v>
      </c>
      <c r="Q7" s="54">
        <v>5.6571352804441158E-2</v>
      </c>
    </row>
    <row r="8" spans="1:20">
      <c r="A8" s="2" t="s">
        <v>323</v>
      </c>
      <c r="B8" s="16" t="s">
        <v>324</v>
      </c>
      <c r="D8" s="14">
        <v>1</v>
      </c>
      <c r="E8" s="14">
        <v>0.94854916597981809</v>
      </c>
      <c r="F8" s="14">
        <v>1.3912130091361934E-3</v>
      </c>
      <c r="G8" s="14">
        <v>1.9223927404019814E-6</v>
      </c>
      <c r="H8" s="14">
        <v>105.10264125005703</v>
      </c>
      <c r="I8" s="14">
        <v>1519.3953776349363</v>
      </c>
      <c r="J8" s="14">
        <v>0</v>
      </c>
      <c r="K8" s="14">
        <v>718.79718880784606</v>
      </c>
      <c r="L8" s="14">
        <v>1.3912130091361934E-3</v>
      </c>
      <c r="M8" s="14">
        <v>1.1414902739962467E-3</v>
      </c>
      <c r="N8" s="14">
        <v>95.336128343074819</v>
      </c>
      <c r="O8" s="14">
        <v>30511.374514917665</v>
      </c>
      <c r="P8" s="8">
        <v>95.336128343074819</v>
      </c>
      <c r="Q8" s="54">
        <v>7.1428380070941752E-2</v>
      </c>
    </row>
    <row r="9" spans="1:20">
      <c r="A9" s="2" t="s">
        <v>325</v>
      </c>
      <c r="B9" s="16" t="s">
        <v>326</v>
      </c>
      <c r="D9" s="14">
        <v>1</v>
      </c>
      <c r="E9" s="14">
        <v>0.89005674884763275</v>
      </c>
      <c r="F9" s="14">
        <v>6.851661301795911E-2</v>
      </c>
      <c r="G9" s="14">
        <v>1.2953417815750472E-6</v>
      </c>
      <c r="H9" s="14">
        <v>195.23419512162636</v>
      </c>
      <c r="I9" s="14">
        <v>354.98749704719103</v>
      </c>
      <c r="J9" s="14">
        <v>0</v>
      </c>
      <c r="K9" s="14">
        <v>14.595000481677149</v>
      </c>
      <c r="L9" s="14">
        <v>6.851661301795911E-2</v>
      </c>
      <c r="M9" s="14">
        <v>5.6217880981235459E-2</v>
      </c>
      <c r="N9" s="14">
        <v>21.949461172343831</v>
      </c>
      <c r="O9" s="14">
        <v>6680.3185078028455</v>
      </c>
      <c r="P9" s="8">
        <v>21.949461172343835</v>
      </c>
      <c r="Q9" s="54">
        <v>0.17330578391294862</v>
      </c>
    </row>
    <row r="10" spans="1:20">
      <c r="A10" s="2" t="s">
        <v>275</v>
      </c>
      <c r="B10" s="16" t="s">
        <v>276</v>
      </c>
      <c r="D10" s="14">
        <v>1</v>
      </c>
      <c r="E10" s="14">
        <v>0.94429481549467176</v>
      </c>
      <c r="F10" s="14">
        <v>6.9422482826785167E-3</v>
      </c>
      <c r="G10" s="14">
        <v>1.8422502724157238E-8</v>
      </c>
      <c r="H10" s="14">
        <v>202.35788971437921</v>
      </c>
      <c r="I10" s="14">
        <v>593.16745184638546</v>
      </c>
      <c r="J10" s="14">
        <v>0</v>
      </c>
      <c r="K10" s="14">
        <v>144.0455540167128</v>
      </c>
      <c r="L10" s="14">
        <v>6.9422482826785176E-3</v>
      </c>
      <c r="M10" s="14">
        <v>5.6961147159377236E-3</v>
      </c>
      <c r="N10" s="14">
        <v>36.914071655365987</v>
      </c>
      <c r="O10" s="14">
        <v>13676.294407596544</v>
      </c>
      <c r="P10" s="8">
        <v>36.914071655365987</v>
      </c>
      <c r="Q10" s="54">
        <v>8.499185586281896E-2</v>
      </c>
    </row>
    <row r="11" spans="1:20">
      <c r="A11" s="2" t="s">
        <v>327</v>
      </c>
      <c r="B11" s="16" t="s">
        <v>328</v>
      </c>
      <c r="D11" s="14">
        <v>1</v>
      </c>
      <c r="E11" s="14">
        <v>0.9435597814946487</v>
      </c>
      <c r="F11" s="14">
        <v>6.1365883172014874E-3</v>
      </c>
      <c r="G11" s="14">
        <v>9.6023045616265582E-7</v>
      </c>
      <c r="H11" s="14">
        <v>195.05046451402396</v>
      </c>
      <c r="I11" s="14">
        <v>661.00410975579211</v>
      </c>
      <c r="J11" s="14">
        <v>0</v>
      </c>
      <c r="K11" s="14">
        <v>162.95699634875248</v>
      </c>
      <c r="L11" s="14">
        <v>6.1365883172014874E-3</v>
      </c>
      <c r="M11" s="14">
        <v>5.0350707142638208E-3</v>
      </c>
      <c r="N11" s="14">
        <v>41.165374369508591</v>
      </c>
      <c r="O11" s="14">
        <v>15680.302751089517</v>
      </c>
      <c r="P11" s="8">
        <v>41.165374369508591</v>
      </c>
      <c r="Q11" s="54">
        <v>8.5586281868086714E-2</v>
      </c>
    </row>
    <row r="12" spans="1:20">
      <c r="A12" s="2" t="s">
        <v>329</v>
      </c>
      <c r="B12" s="16" t="s">
        <v>330</v>
      </c>
      <c r="D12" s="14">
        <v>1</v>
      </c>
      <c r="E12" s="14">
        <v>0.90904075164374765</v>
      </c>
      <c r="F12" s="14">
        <v>4.2984273599103867E-2</v>
      </c>
      <c r="G12" s="14">
        <v>6.6245758888051256E-7</v>
      </c>
      <c r="H12" s="14">
        <v>207.07591636241287</v>
      </c>
      <c r="I12" s="14">
        <v>362.23195738770772</v>
      </c>
      <c r="J12" s="14">
        <v>0</v>
      </c>
      <c r="K12" s="14">
        <v>23.264322420022186</v>
      </c>
      <c r="L12" s="14">
        <v>4.2984273599103874E-2</v>
      </c>
      <c r="M12" s="14">
        <v>3.5268596488064727E-2</v>
      </c>
      <c r="N12" s="14">
        <v>22.408440508620092</v>
      </c>
      <c r="O12" s="14">
        <v>6148.8760755653529</v>
      </c>
      <c r="P12" s="8">
        <v>22.408440508620092</v>
      </c>
      <c r="Q12" s="54">
        <v>0.14295085678308347</v>
      </c>
    </row>
    <row r="13" spans="1:20">
      <c r="A13" s="2" t="s">
        <v>277</v>
      </c>
      <c r="B13" s="16" t="s">
        <v>278</v>
      </c>
      <c r="D13" s="14">
        <v>1</v>
      </c>
      <c r="E13" s="14">
        <v>0.89189020416523668</v>
      </c>
      <c r="F13" s="14">
        <v>6.5590384850054001E-2</v>
      </c>
      <c r="G13" s="14">
        <v>2.0116326080518025E-6</v>
      </c>
      <c r="H13" s="14">
        <v>196.48082776227182</v>
      </c>
      <c r="I13" s="14">
        <v>355.94045387553882</v>
      </c>
      <c r="J13" s="14">
        <v>0</v>
      </c>
      <c r="K13" s="14">
        <v>15.246137102047763</v>
      </c>
      <c r="L13" s="14">
        <v>6.5590384850054015E-2</v>
      </c>
      <c r="M13" s="14">
        <v>5.3816910769469317E-2</v>
      </c>
      <c r="N13" s="14">
        <v>22.008888896135296</v>
      </c>
      <c r="O13" s="14">
        <v>8956.0771585043367</v>
      </c>
      <c r="P13" s="8">
        <v>22.0088888961353</v>
      </c>
      <c r="Q13" s="54">
        <v>0.17028537492715234</v>
      </c>
    </row>
    <row r="14" spans="1:20">
      <c r="A14" s="2" t="s">
        <v>331</v>
      </c>
      <c r="B14" s="16" t="s">
        <v>332</v>
      </c>
      <c r="D14" s="14">
        <v>1</v>
      </c>
      <c r="E14" s="14">
        <v>0.94277655427169738</v>
      </c>
      <c r="F14" s="14">
        <v>4.0779884469648144E-3</v>
      </c>
      <c r="G14" s="14">
        <v>6.4084718175343561E-7</v>
      </c>
      <c r="H14" s="14">
        <v>169.52197017460142</v>
      </c>
      <c r="I14" s="14">
        <v>900.70621998046443</v>
      </c>
      <c r="J14" s="14">
        <v>0</v>
      </c>
      <c r="K14" s="14">
        <v>245.21893894630452</v>
      </c>
      <c r="L14" s="14">
        <v>4.0779884469648144E-3</v>
      </c>
      <c r="M14" s="14">
        <v>3.3459895207346305E-3</v>
      </c>
      <c r="N14" s="14">
        <v>56.221505228687903</v>
      </c>
      <c r="O14" s="14">
        <v>21415.333556659509</v>
      </c>
      <c r="P14" s="8">
        <v>56.221505228687903</v>
      </c>
      <c r="Q14" s="54">
        <v>8.5188929695314761E-2</v>
      </c>
    </row>
    <row r="15" spans="1:20">
      <c r="A15" s="2" t="s">
        <v>333</v>
      </c>
      <c r="B15" s="16" t="s">
        <v>334</v>
      </c>
      <c r="D15" s="14">
        <v>1</v>
      </c>
      <c r="E15" s="14">
        <v>0.94393682041290605</v>
      </c>
      <c r="F15" s="14">
        <v>6.5303817628012554E-3</v>
      </c>
      <c r="G15" s="14">
        <v>1.0449296640261544E-9</v>
      </c>
      <c r="H15" s="14">
        <v>198.77353927765637</v>
      </c>
      <c r="I15" s="14">
        <v>626.4923055154278</v>
      </c>
      <c r="J15" s="14">
        <v>0</v>
      </c>
      <c r="K15" s="14">
        <v>153.13040436567718</v>
      </c>
      <c r="L15" s="14">
        <v>6.5303817628012554E-3</v>
      </c>
      <c r="M15" s="14">
        <v>5.3581782363784297E-3</v>
      </c>
      <c r="N15" s="14">
        <v>39.001967640905342</v>
      </c>
      <c r="O15" s="14">
        <v>14995.476518575288</v>
      </c>
      <c r="P15" s="8">
        <v>39.001967640905349</v>
      </c>
      <c r="Q15" s="54">
        <v>8.53327499314466E-2</v>
      </c>
    </row>
    <row r="16" spans="1:20">
      <c r="A16" s="2" t="s">
        <v>335</v>
      </c>
      <c r="B16" s="16" t="s">
        <v>336</v>
      </c>
      <c r="D16" s="14">
        <v>1</v>
      </c>
      <c r="E16" s="14">
        <v>0.94804480438004968</v>
      </c>
      <c r="F16" s="14">
        <v>1.4397835504668113E-3</v>
      </c>
      <c r="G16" s="14">
        <v>4.996037564654452E-6</v>
      </c>
      <c r="H16" s="14">
        <v>106.90480051076241</v>
      </c>
      <c r="I16" s="14">
        <v>1501.2546935913404</v>
      </c>
      <c r="J16" s="14">
        <v>0</v>
      </c>
      <c r="K16" s="14">
        <v>694.54884359234177</v>
      </c>
      <c r="L16" s="14">
        <v>1.4397835504668115E-3</v>
      </c>
      <c r="M16" s="14">
        <v>1.1813424031580188E-3</v>
      </c>
      <c r="N16" s="14">
        <v>94.183461078749914</v>
      </c>
      <c r="O16" s="14">
        <v>35160.569689918921</v>
      </c>
      <c r="P16" s="8">
        <v>94.183461078749914</v>
      </c>
      <c r="Q16" s="54">
        <v>7.2020209143859135E-2</v>
      </c>
    </row>
    <row r="17" spans="1:21">
      <c r="A17" s="2" t="s">
        <v>337</v>
      </c>
      <c r="B17" s="16" t="s">
        <v>338</v>
      </c>
      <c r="D17" s="14">
        <v>1</v>
      </c>
      <c r="E17" s="14">
        <v>0.94459012397712627</v>
      </c>
      <c r="F17" s="14">
        <v>7.2852773852928026E-3</v>
      </c>
      <c r="G17" s="14">
        <v>3.6817524099982789E-7</v>
      </c>
      <c r="H17" s="14">
        <v>205.12854148056348</v>
      </c>
      <c r="I17" s="14">
        <v>567.39207150520417</v>
      </c>
      <c r="J17" s="14">
        <v>0</v>
      </c>
      <c r="K17" s="14">
        <v>137.26313318127816</v>
      </c>
      <c r="L17" s="14">
        <v>7.2852773852928026E-3</v>
      </c>
      <c r="M17" s="14">
        <v>5.977570094632745E-3</v>
      </c>
      <c r="N17" s="14">
        <v>35.299924728218514</v>
      </c>
      <c r="O17" s="14">
        <v>13742.966695190031</v>
      </c>
      <c r="P17" s="8">
        <v>35.299924728218514</v>
      </c>
      <c r="Q17" s="54">
        <v>8.4660974440045417E-2</v>
      </c>
    </row>
    <row r="18" spans="1:21">
      <c r="A18" s="2" t="s">
        <v>279</v>
      </c>
      <c r="B18" s="16" t="s">
        <v>280</v>
      </c>
      <c r="D18" s="14">
        <v>1</v>
      </c>
      <c r="E18" s="14">
        <v>0.87912925483111581</v>
      </c>
      <c r="F18" s="14">
        <v>8.2940774345397678E-2</v>
      </c>
      <c r="G18" s="14">
        <v>3.9338389253512264E-5</v>
      </c>
      <c r="H18" s="14">
        <v>188.70703269937127</v>
      </c>
      <c r="I18" s="14">
        <v>348.85524460778475</v>
      </c>
      <c r="J18" s="14">
        <v>0</v>
      </c>
      <c r="K18" s="14">
        <v>12.056796043832563</v>
      </c>
      <c r="L18" s="14">
        <v>8.2940774345397678E-2</v>
      </c>
      <c r="M18" s="14">
        <v>6.805290535039879E-2</v>
      </c>
      <c r="N18" s="14">
        <v>21.569756756455941</v>
      </c>
      <c r="O18" s="14">
        <v>6273.1323574800808</v>
      </c>
      <c r="P18" s="8">
        <v>21.569756756455941</v>
      </c>
      <c r="Q18" s="54">
        <v>0.18657147991709844</v>
      </c>
    </row>
    <row r="19" spans="1:21">
      <c r="A19" s="2" t="s">
        <v>339</v>
      </c>
      <c r="B19" s="16" t="s">
        <v>340</v>
      </c>
      <c r="D19" s="14">
        <v>1</v>
      </c>
      <c r="E19" s="14">
        <v>0.94387019918052528</v>
      </c>
      <c r="F19" s="14">
        <v>6.450243105576528E-3</v>
      </c>
      <c r="G19" s="14">
        <v>3.6625585063550725E-9</v>
      </c>
      <c r="H19" s="14">
        <v>198.04144351686492</v>
      </c>
      <c r="I19" s="14">
        <v>633.30549166561536</v>
      </c>
      <c r="J19" s="14">
        <v>0</v>
      </c>
      <c r="K19" s="14">
        <v>155.03291637728424</v>
      </c>
      <c r="L19" s="14">
        <v>6.450243105576528E-3</v>
      </c>
      <c r="M19" s="14">
        <v>5.2924244681255414E-3</v>
      </c>
      <c r="N19" s="14">
        <v>39.428965304814248</v>
      </c>
      <c r="O19" s="14">
        <v>13628.621857609043</v>
      </c>
      <c r="P19" s="8">
        <v>39.428965304814248</v>
      </c>
      <c r="Q19" s="54">
        <v>8.53912269904675E-2</v>
      </c>
    </row>
    <row r="20" spans="1:21">
      <c r="A20" s="2" t="s">
        <v>281</v>
      </c>
      <c r="B20" s="16" t="s">
        <v>282</v>
      </c>
      <c r="D20" s="14">
        <v>1</v>
      </c>
      <c r="E20" s="14">
        <v>0.89199679883385519</v>
      </c>
      <c r="F20" s="14">
        <v>6.5598223915114925E-2</v>
      </c>
      <c r="G20" s="14">
        <v>3.0450930538462404E-7</v>
      </c>
      <c r="H20" s="14">
        <v>196.50431025891478</v>
      </c>
      <c r="I20" s="14">
        <v>355.98299426285513</v>
      </c>
      <c r="J20" s="14">
        <v>0</v>
      </c>
      <c r="K20" s="14">
        <v>15.244315170697528</v>
      </c>
      <c r="L20" s="14">
        <v>6.5598223915114939E-2</v>
      </c>
      <c r="M20" s="14">
        <v>5.3823342722351807E-2</v>
      </c>
      <c r="N20" s="14">
        <v>22.011519298630571</v>
      </c>
      <c r="O20" s="14">
        <v>6411.0751109191397</v>
      </c>
      <c r="P20" s="8">
        <v>22.011519298630571</v>
      </c>
      <c r="Q20" s="54">
        <v>0.17030572666218222</v>
      </c>
    </row>
    <row r="21" spans="1:21">
      <c r="A21" s="2" t="s">
        <v>341</v>
      </c>
      <c r="B21" s="16" t="s">
        <v>342</v>
      </c>
      <c r="D21" s="14">
        <v>1</v>
      </c>
      <c r="E21" s="14">
        <v>0.94248351241760819</v>
      </c>
      <c r="F21" s="14">
        <v>4.6103258267696625E-3</v>
      </c>
      <c r="G21" s="14">
        <v>5.364140038088314E-6</v>
      </c>
      <c r="H21" s="14">
        <v>177.28484805382467</v>
      </c>
      <c r="I21" s="14">
        <v>826.6635528749074</v>
      </c>
      <c r="J21" s="14">
        <v>0</v>
      </c>
      <c r="K21" s="14">
        <v>216.90440927049931</v>
      </c>
      <c r="L21" s="14">
        <v>4.6103258267696625E-3</v>
      </c>
      <c r="M21" s="14">
        <v>3.7827723408645083E-3</v>
      </c>
      <c r="N21" s="14">
        <v>51.565319800014329</v>
      </c>
      <c r="O21" s="14">
        <v>17288.820422548804</v>
      </c>
      <c r="P21" s="8">
        <v>51.565319800014329</v>
      </c>
      <c r="Q21" s="54">
        <v>8.5650280629959386E-2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0.85422606447625093</v>
      </c>
      <c r="F22" s="14">
        <v>0.67536981630231097</v>
      </c>
      <c r="G22" s="14">
        <v>2.61150062965872E-5</v>
      </c>
      <c r="H22" s="14">
        <v>40.913030269628997</v>
      </c>
      <c r="I22" s="14">
        <v>98.791326750395285</v>
      </c>
      <c r="J22" s="14">
        <v>0</v>
      </c>
      <c r="K22" s="14">
        <v>1.4806702577782616</v>
      </c>
      <c r="L22" s="14">
        <v>0.67536981630231097</v>
      </c>
      <c r="M22" s="14">
        <v>0.55414093427604616</v>
      </c>
      <c r="N22" s="14">
        <v>6.620257853584393</v>
      </c>
      <c r="O22" s="14">
        <v>1087.0463395585573</v>
      </c>
      <c r="P22" s="8">
        <v>6.620257853584393</v>
      </c>
      <c r="Q22" s="54">
        <v>0.22957194725317948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0.89553359096698082</v>
      </c>
      <c r="F23" s="14">
        <v>0.81486215716287536</v>
      </c>
      <c r="G23" s="14">
        <v>1.0619220458312895E-6</v>
      </c>
      <c r="H23" s="14">
        <v>18.615047523644154</v>
      </c>
      <c r="I23" s="14">
        <v>48.297129553683128</v>
      </c>
      <c r="J23" s="14">
        <v>0</v>
      </c>
      <c r="K23" s="14">
        <v>1.2272014244491649</v>
      </c>
      <c r="L23" s="14">
        <v>0.81486215716287547</v>
      </c>
      <c r="M23" s="14">
        <v>0.66859439995213932</v>
      </c>
      <c r="N23" s="14">
        <v>3.6566807131636119</v>
      </c>
      <c r="O23" s="14">
        <v>552.74385660181156</v>
      </c>
      <c r="P23" s="8">
        <v>3.6566807131636119</v>
      </c>
      <c r="Q23" s="54">
        <v>0.16661777094382305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0.83830999851224697</v>
      </c>
      <c r="F24" s="14">
        <v>0.21318936902389271</v>
      </c>
      <c r="G24" s="14">
        <v>9.8159882961619332E-7</v>
      </c>
      <c r="H24" s="14">
        <v>146.05133942690566</v>
      </c>
      <c r="I24" s="14">
        <v>294.95972180245292</v>
      </c>
      <c r="J24" s="14">
        <v>0</v>
      </c>
      <c r="K24" s="14">
        <v>4.6906654144087607</v>
      </c>
      <c r="L24" s="14">
        <v>0.21318936902389271</v>
      </c>
      <c r="M24" s="14">
        <v>0.17492187728410399</v>
      </c>
      <c r="N24" s="14">
        <v>18.29963742964916</v>
      </c>
      <c r="O24" s="14">
        <v>3225.3110969756644</v>
      </c>
      <c r="P24" s="8">
        <v>18.29963742964916</v>
      </c>
      <c r="Q24" s="54">
        <v>0.25654450391936734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0.919662880497783</v>
      </c>
      <c r="F25" s="14">
        <v>2.2833560738916507E-2</v>
      </c>
      <c r="G25" s="14">
        <v>1.6145151689930128E-4</v>
      </c>
      <c r="H25" s="14">
        <v>216.07953771907879</v>
      </c>
      <c r="I25" s="14">
        <v>359.64233842432668</v>
      </c>
      <c r="J25" s="14">
        <v>0</v>
      </c>
      <c r="K25" s="14">
        <v>43.795184265572928</v>
      </c>
      <c r="L25" s="14">
        <v>2.2833560738916507E-2</v>
      </c>
      <c r="M25" s="14">
        <v>1.8734936586280997E-2</v>
      </c>
      <c r="N25" s="14">
        <v>22.27543100730216</v>
      </c>
      <c r="O25" s="14">
        <v>4283.5653827042061</v>
      </c>
      <c r="P25" s="8">
        <v>22.275431007302164</v>
      </c>
      <c r="Q25" s="54">
        <v>0.1079619730380075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0.94266645223131207</v>
      </c>
      <c r="F26" s="14">
        <v>4.9945547063313545E-3</v>
      </c>
      <c r="G26" s="14">
        <v>4.3043270475549683E-6</v>
      </c>
      <c r="H26" s="14">
        <v>182.33782682653231</v>
      </c>
      <c r="I26" s="14">
        <v>779.35252208046438</v>
      </c>
      <c r="J26" s="14">
        <v>0</v>
      </c>
      <c r="K26" s="14">
        <v>200.21804921514797</v>
      </c>
      <c r="L26" s="14">
        <v>4.9945547063313545E-3</v>
      </c>
      <c r="M26" s="14">
        <v>4.0980321365448767E-3</v>
      </c>
      <c r="N26" s="14">
        <v>48.592621429933338</v>
      </c>
      <c r="O26" s="14">
        <v>10805.541227374275</v>
      </c>
      <c r="P26" s="8">
        <v>48.592621429933338</v>
      </c>
      <c r="Q26" s="54">
        <v>8.5809218200422158E-2</v>
      </c>
    </row>
    <row r="27" spans="1:21">
      <c r="A27" s="2" t="s">
        <v>353</v>
      </c>
      <c r="B27" s="16" t="s">
        <v>354</v>
      </c>
      <c r="D27" s="14">
        <v>1</v>
      </c>
      <c r="E27" s="14">
        <v>0.95235482874772848</v>
      </c>
      <c r="F27" s="14">
        <v>7.6430581113678725E-4</v>
      </c>
      <c r="G27" s="14">
        <v>2.9221038690282366E-5</v>
      </c>
      <c r="H27" s="14">
        <v>76.8364270425771</v>
      </c>
      <c r="I27" s="14">
        <v>1792.7689936835854</v>
      </c>
      <c r="J27" s="14">
        <v>0</v>
      </c>
      <c r="K27" s="14">
        <v>1308.3768112565492</v>
      </c>
      <c r="L27" s="14">
        <v>7.6430581113678725E-4</v>
      </c>
      <c r="M27" s="14">
        <v>6.2711291803773392E-4</v>
      </c>
      <c r="N27" s="14">
        <v>112.77470456343256</v>
      </c>
      <c r="O27" s="14">
        <v>26658.812411749823</v>
      </c>
      <c r="P27" s="8">
        <v>112.77470456343258</v>
      </c>
      <c r="Q27" s="54">
        <v>6.0328750759218397E-2</v>
      </c>
    </row>
    <row r="28" spans="1:21">
      <c r="A28" s="2" t="s">
        <v>355</v>
      </c>
      <c r="B28" s="16" t="s">
        <v>356</v>
      </c>
      <c r="D28" s="14">
        <v>1</v>
      </c>
      <c r="E28" s="14">
        <v>0.94377971658256854</v>
      </c>
      <c r="F28" s="14">
        <v>2.7544170875043747E-3</v>
      </c>
      <c r="G28" s="14">
        <v>1.6142031542552053E-6</v>
      </c>
      <c r="H28" s="14">
        <v>144.65375238401018</v>
      </c>
      <c r="I28" s="14">
        <v>1137.0691445440434</v>
      </c>
      <c r="J28" s="14">
        <v>0</v>
      </c>
      <c r="K28" s="14">
        <v>363.05322259892193</v>
      </c>
      <c r="L28" s="14">
        <v>2.7544170875043747E-3</v>
      </c>
      <c r="M28" s="14">
        <v>2.2599992202973398E-3</v>
      </c>
      <c r="N28" s="14">
        <v>71.119101057485736</v>
      </c>
      <c r="O28" s="14">
        <v>18377.175713254313</v>
      </c>
      <c r="P28" s="8">
        <v>71.119101057485736</v>
      </c>
      <c r="Q28" s="54">
        <v>8.180632339617544E-2</v>
      </c>
    </row>
    <row r="29" spans="1:21">
      <c r="A29" s="2" t="s">
        <v>357</v>
      </c>
      <c r="B29" s="16" t="s">
        <v>358</v>
      </c>
      <c r="D29" s="14">
        <v>1</v>
      </c>
      <c r="E29" s="14">
        <v>0.92122480964584919</v>
      </c>
      <c r="F29" s="14">
        <v>4.1533605179200489E-3</v>
      </c>
      <c r="G29" s="14">
        <v>3.2698521639163217E-4</v>
      </c>
      <c r="H29" s="14">
        <v>168.22852230314484</v>
      </c>
      <c r="I29" s="14">
        <v>855.7694939925982</v>
      </c>
      <c r="J29" s="14">
        <v>0</v>
      </c>
      <c r="K29" s="14">
        <v>240.76888959805191</v>
      </c>
      <c r="L29" s="14">
        <v>4.1533605179200489E-3</v>
      </c>
      <c r="M29" s="14">
        <v>3.4078323049534006E-3</v>
      </c>
      <c r="N29" s="14">
        <v>53.404655705668922</v>
      </c>
      <c r="O29" s="14">
        <v>12624.326562263075</v>
      </c>
      <c r="P29" s="8">
        <v>53.404655705668922</v>
      </c>
      <c r="Q29" s="54">
        <v>8.3436638891743631E-2</v>
      </c>
    </row>
    <row r="30" spans="1:21">
      <c r="A30" s="2" t="s">
        <v>359</v>
      </c>
      <c r="B30" s="16" t="s">
        <v>360</v>
      </c>
      <c r="D30" s="14">
        <v>1</v>
      </c>
      <c r="E30" s="14">
        <v>0.94377971658256854</v>
      </c>
      <c r="F30" s="14">
        <v>2.7544170875043747E-3</v>
      </c>
      <c r="G30" s="14">
        <v>1.6142031542552053E-6</v>
      </c>
      <c r="H30" s="14">
        <v>144.65375238401018</v>
      </c>
      <c r="I30" s="14">
        <v>1137.0691445440434</v>
      </c>
      <c r="J30" s="14">
        <v>0</v>
      </c>
      <c r="K30" s="14">
        <v>363.05322259892193</v>
      </c>
      <c r="L30" s="14">
        <v>2.7544170875043747E-3</v>
      </c>
      <c r="M30" s="14">
        <v>2.2599992202973398E-3</v>
      </c>
      <c r="N30" s="14">
        <v>71.119101057485736</v>
      </c>
      <c r="O30" s="14">
        <v>18377.175713254313</v>
      </c>
      <c r="P30" s="8">
        <v>71.119101057485736</v>
      </c>
      <c r="Q30" s="54">
        <v>8.180632339617544E-2</v>
      </c>
    </row>
    <row r="31" spans="1:21">
      <c r="A31" s="2" t="s">
        <v>283</v>
      </c>
      <c r="B31" s="16" t="s">
        <v>284</v>
      </c>
      <c r="D31" s="14">
        <v>1</v>
      </c>
      <c r="E31" s="14">
        <v>0.98994162282271547</v>
      </c>
      <c r="F31" s="14">
        <v>0.99295968196535245</v>
      </c>
      <c r="G31" s="14">
        <v>2.9528412727234637E-10</v>
      </c>
      <c r="H31" s="14">
        <v>0.17298626221717664</v>
      </c>
      <c r="I31" s="14">
        <v>0.64278951724143385</v>
      </c>
      <c r="J31" s="14">
        <v>0</v>
      </c>
      <c r="K31" s="14">
        <v>1.0070902355478448</v>
      </c>
      <c r="L31" s="14">
        <v>0.99295968196535256</v>
      </c>
      <c r="M31" s="14">
        <v>0.81472341905257173</v>
      </c>
      <c r="N31" s="14">
        <v>0.91626945005267912</v>
      </c>
      <c r="O31" s="14">
        <v>177.93036450572976</v>
      </c>
      <c r="P31" s="8">
        <v>0.91626945005267924</v>
      </c>
      <c r="Q31" s="54">
        <v>1.5990748233427169E-2</v>
      </c>
    </row>
    <row r="32" spans="1:21">
      <c r="A32" s="2" t="s">
        <v>361</v>
      </c>
      <c r="B32" s="16" t="s">
        <v>362</v>
      </c>
      <c r="D32" s="14">
        <v>1</v>
      </c>
      <c r="E32" s="14">
        <v>0.83251305323633273</v>
      </c>
      <c r="F32" s="14">
        <v>0.53561886374378731</v>
      </c>
      <c r="G32" s="14">
        <v>2.9123138930924838E-10</v>
      </c>
      <c r="H32" s="14">
        <v>68.169135174677379</v>
      </c>
      <c r="I32" s="14">
        <v>155.62094966415611</v>
      </c>
      <c r="J32" s="14">
        <v>0</v>
      </c>
      <c r="K32" s="14">
        <v>1.8669992184561088</v>
      </c>
      <c r="L32" s="14">
        <v>0.53561886374378731</v>
      </c>
      <c r="M32" s="14">
        <v>0.43947527770177747</v>
      </c>
      <c r="N32" s="14">
        <v>10.076405442171191</v>
      </c>
      <c r="O32" s="14">
        <v>2580.4666696856202</v>
      </c>
      <c r="P32" s="8">
        <v>10.076405442171191</v>
      </c>
      <c r="Q32" s="54">
        <v>0.26685052479442856</v>
      </c>
    </row>
    <row r="33" spans="1:17">
      <c r="A33" s="2" t="s">
        <v>364</v>
      </c>
      <c r="B33" s="16" t="s">
        <v>365</v>
      </c>
      <c r="D33" s="14">
        <v>1</v>
      </c>
      <c r="E33" s="14">
        <v>0.99991362117898164</v>
      </c>
      <c r="F33" s="14">
        <v>0.99960702556190506</v>
      </c>
      <c r="G33" s="14">
        <v>1.3412620428832123E-12</v>
      </c>
      <c r="H33" s="14">
        <v>1.1943436361281972</v>
      </c>
      <c r="I33" s="14">
        <v>3.381568878139602E-3</v>
      </c>
      <c r="J33" s="14">
        <v>0</v>
      </c>
      <c r="K33" s="14">
        <v>1.0003931289277144</v>
      </c>
      <c r="L33" s="14">
        <v>0.99960702556190506</v>
      </c>
      <c r="M33" s="14">
        <v>0.82017756447354317</v>
      </c>
      <c r="N33" s="14">
        <v>0.8897109951687866</v>
      </c>
      <c r="O33" s="14">
        <v>263.48791121923614</v>
      </c>
      <c r="P33" s="8">
        <v>0.8897109951687866</v>
      </c>
      <c r="Q33" s="54">
        <v>3.8558331949221426E-5</v>
      </c>
    </row>
    <row r="34" spans="1:17">
      <c r="A34" s="2" t="s">
        <v>285</v>
      </c>
      <c r="B34" s="16" t="s">
        <v>286</v>
      </c>
      <c r="D34" s="14">
        <v>1</v>
      </c>
      <c r="E34" s="14">
        <v>0.99985175779348812</v>
      </c>
      <c r="F34" s="14">
        <v>0.54978868518396351</v>
      </c>
      <c r="G34" s="14">
        <v>3.9881414378610741E-12</v>
      </c>
      <c r="H34" s="14">
        <v>128.51558506602868</v>
      </c>
      <c r="I34" s="14">
        <v>9.7721904027157108E-2</v>
      </c>
      <c r="J34" s="14">
        <v>0</v>
      </c>
      <c r="K34" s="14">
        <v>1.8188806480537014</v>
      </c>
      <c r="L34" s="14">
        <v>0.54978868518396351</v>
      </c>
      <c r="M34" s="14">
        <v>0.45110161619344208</v>
      </c>
      <c r="N34" s="14">
        <v>0.94453683979238279</v>
      </c>
      <c r="O34" s="14">
        <v>208.78042306770828</v>
      </c>
      <c r="P34" s="8">
        <v>0.9445368397923829</v>
      </c>
      <c r="Q34" s="54">
        <v>1.3139895769030072E-4</v>
      </c>
    </row>
    <row r="35" spans="1:17">
      <c r="A35" s="2" t="s">
        <v>287</v>
      </c>
      <c r="B35" s="16" t="s">
        <v>288</v>
      </c>
      <c r="D35" s="14">
        <v>1</v>
      </c>
      <c r="E35" s="14">
        <v>0.99973501232034689</v>
      </c>
      <c r="F35" s="14">
        <v>0.32553422857418562</v>
      </c>
      <c r="G35" s="14">
        <v>1.1618792458606956E-13</v>
      </c>
      <c r="H35" s="14">
        <v>191.94493633911884</v>
      </c>
      <c r="I35" s="14">
        <v>0.34416412441882976</v>
      </c>
      <c r="J35" s="14">
        <v>0</v>
      </c>
      <c r="K35" s="14">
        <v>3.0718735918490707</v>
      </c>
      <c r="L35" s="14">
        <v>0.32553422857418562</v>
      </c>
      <c r="M35" s="14">
        <v>0.26710083454511929</v>
      </c>
      <c r="N35" s="14">
        <v>0.94534698121966565</v>
      </c>
      <c r="O35" s="14">
        <v>217.67559589564021</v>
      </c>
      <c r="P35" s="8">
        <v>0.94534698121966565</v>
      </c>
      <c r="Q35" s="54">
        <v>3.1810141253502236E-4</v>
      </c>
    </row>
    <row r="36" spans="1:17">
      <c r="A36" s="2" t="s">
        <v>366</v>
      </c>
      <c r="B36" s="16" t="s">
        <v>305</v>
      </c>
      <c r="D36" s="14">
        <v>1</v>
      </c>
      <c r="E36" s="14">
        <v>0.99971438134777568</v>
      </c>
      <c r="F36" s="14">
        <v>0.10859116318971478</v>
      </c>
      <c r="G36" s="14">
        <v>2.0484056242348617E-10</v>
      </c>
      <c r="H36" s="14">
        <v>253.32291985687962</v>
      </c>
      <c r="I36" s="14">
        <v>0.67154927419551824</v>
      </c>
      <c r="J36" s="14">
        <v>0</v>
      </c>
      <c r="K36" s="14">
        <v>9.2088524574780042</v>
      </c>
      <c r="L36" s="14">
        <v>0.10859116318971479</v>
      </c>
      <c r="M36" s="14">
        <v>8.9099049397160984E-2</v>
      </c>
      <c r="N36" s="14">
        <v>0.90567469677632217</v>
      </c>
      <c r="O36" s="14">
        <v>186.82257645101973</v>
      </c>
      <c r="P36" s="8">
        <v>0.90567469677632217</v>
      </c>
      <c r="Q36" s="54">
        <v>3.555313353771492E-4</v>
      </c>
    </row>
    <row r="37" spans="1:17">
      <c r="A37" s="2" t="s">
        <v>289</v>
      </c>
      <c r="B37" s="16" t="s">
        <v>290</v>
      </c>
      <c r="D37" s="14">
        <v>1</v>
      </c>
      <c r="E37" s="14">
        <v>0.96855258617537188</v>
      </c>
      <c r="F37" s="14">
        <v>0.21783312300231678</v>
      </c>
      <c r="G37" s="14">
        <v>4.856531378926356E-17</v>
      </c>
      <c r="H37" s="14">
        <v>206.55890271316699</v>
      </c>
      <c r="I37" s="14">
        <v>65.294264509896252</v>
      </c>
      <c r="J37" s="14">
        <v>0</v>
      </c>
      <c r="K37" s="14">
        <v>4.5906700790832637</v>
      </c>
      <c r="L37" s="14">
        <v>0.2178331230023168</v>
      </c>
      <c r="M37" s="14">
        <v>0.17873207742340091</v>
      </c>
      <c r="N37" s="14">
        <v>4.7638690977308702</v>
      </c>
      <c r="O37" s="14">
        <v>1659.82727103139</v>
      </c>
      <c r="P37" s="8">
        <v>4.7638690977308702</v>
      </c>
      <c r="Q37" s="54">
        <v>4.9782308780453387E-2</v>
      </c>
    </row>
    <row r="38" spans="1:17">
      <c r="A38" s="2" t="s">
        <v>291</v>
      </c>
      <c r="B38" s="16" t="s">
        <v>292</v>
      </c>
      <c r="D38" s="14">
        <v>1</v>
      </c>
      <c r="E38" s="14">
        <v>0.99913577359136585</v>
      </c>
      <c r="F38" s="14">
        <v>0.61626140592493395</v>
      </c>
      <c r="G38" s="14">
        <v>1.3437617204600839E-14</v>
      </c>
      <c r="H38" s="14">
        <v>109.41200342338497</v>
      </c>
      <c r="I38" s="14">
        <v>0.84633759592597901</v>
      </c>
      <c r="J38" s="14">
        <v>0</v>
      </c>
      <c r="K38" s="14">
        <v>1.6226880190543829</v>
      </c>
      <c r="L38" s="14">
        <v>0.61626140592493395</v>
      </c>
      <c r="M38" s="14">
        <v>0.50564248356140828</v>
      </c>
      <c r="N38" s="14">
        <v>0.98747048565571727</v>
      </c>
      <c r="O38" s="14">
        <v>304.46677484222727</v>
      </c>
      <c r="P38" s="8">
        <v>0.98747048565571727</v>
      </c>
      <c r="Q38" s="54">
        <v>1.2721655579160805E-3</v>
      </c>
    </row>
    <row r="39" spans="1:17">
      <c r="A39" s="2" t="s">
        <v>367</v>
      </c>
      <c r="B39" s="16" t="s">
        <v>368</v>
      </c>
      <c r="D39" s="14">
        <v>1</v>
      </c>
      <c r="E39" s="14">
        <v>0.94862267471508765</v>
      </c>
      <c r="F39" s="14">
        <v>1.109901845559357E-2</v>
      </c>
      <c r="G39" s="14">
        <v>1.7245391626553581E-7</v>
      </c>
      <c r="H39" s="14">
        <v>226.85302434791754</v>
      </c>
      <c r="I39" s="14">
        <v>366.86116791402134</v>
      </c>
      <c r="J39" s="14">
        <v>0</v>
      </c>
      <c r="K39" s="14">
        <v>90.098057229198517</v>
      </c>
      <c r="L39" s="14">
        <v>1.109901845559357E-2</v>
      </c>
      <c r="M39" s="14">
        <v>9.1067446428145238E-3</v>
      </c>
      <c r="N39" s="14">
        <v>22.766217601695729</v>
      </c>
      <c r="O39" s="14">
        <v>6336.7490072559885</v>
      </c>
      <c r="P39" s="8">
        <v>22.766217601695729</v>
      </c>
      <c r="Q39" s="54">
        <v>7.9634589245848264E-2</v>
      </c>
    </row>
    <row r="40" spans="1:17">
      <c r="A40" s="2" t="s">
        <v>369</v>
      </c>
      <c r="B40" s="16" t="s">
        <v>370</v>
      </c>
      <c r="D40" s="14">
        <v>1</v>
      </c>
      <c r="E40" s="14">
        <v>0.99425439714759645</v>
      </c>
      <c r="F40" s="14">
        <v>1.0191387672756581E-3</v>
      </c>
      <c r="G40" s="14">
        <v>1.0345856102656544E-14</v>
      </c>
      <c r="H40" s="14">
        <v>263.25299580938417</v>
      </c>
      <c r="I40" s="14">
        <v>176.34181825040454</v>
      </c>
      <c r="J40" s="14">
        <v>0</v>
      </c>
      <c r="K40" s="14">
        <v>981.22064640243298</v>
      </c>
      <c r="L40" s="14">
        <v>1.0191387672756581E-3</v>
      </c>
      <c r="M40" s="14">
        <v>8.3620335854967746E-4</v>
      </c>
      <c r="N40" s="14">
        <v>64.51952398281307</v>
      </c>
      <c r="O40" s="14">
        <v>26252.994308606634</v>
      </c>
      <c r="P40" s="8">
        <v>64.51952398281307</v>
      </c>
      <c r="Q40" s="54">
        <v>1.966777876612074E-3</v>
      </c>
    </row>
    <row r="41" spans="1:17">
      <c r="A41" s="2" t="s">
        <v>371</v>
      </c>
      <c r="B41" s="16" t="s">
        <v>372</v>
      </c>
      <c r="D41" s="14">
        <v>1</v>
      </c>
      <c r="E41" s="14">
        <v>0.93299154104710913</v>
      </c>
      <c r="F41" s="14">
        <v>0.93659992281025917</v>
      </c>
      <c r="G41" s="14">
        <v>9.2824497171606389E-4</v>
      </c>
      <c r="H41" s="14">
        <v>8.1177209400470404E-3</v>
      </c>
      <c r="I41" s="14">
        <v>3.7626280468267909E-2</v>
      </c>
      <c r="J41" s="14">
        <v>0</v>
      </c>
      <c r="K41" s="14">
        <v>1.0676917386449376</v>
      </c>
      <c r="L41" s="14">
        <v>0.93659992281025928</v>
      </c>
      <c r="M41" s="14">
        <v>0.76848023666581777</v>
      </c>
      <c r="N41" s="14">
        <v>0.83014326733565458</v>
      </c>
      <c r="O41" s="14">
        <v>116.37778464778542</v>
      </c>
      <c r="P41" s="8">
        <v>0.83014326733565469</v>
      </c>
      <c r="Q41" s="54">
        <v>3.1571214464847148E-3</v>
      </c>
    </row>
    <row r="42" spans="1:17">
      <c r="A42" s="2" t="s">
        <v>293</v>
      </c>
      <c r="B42" s="16" t="s">
        <v>294</v>
      </c>
      <c r="D42" s="14">
        <v>1</v>
      </c>
      <c r="E42" s="14">
        <v>0.84743076126295158</v>
      </c>
      <c r="F42" s="14">
        <v>0.63644509022804396</v>
      </c>
      <c r="G42" s="14">
        <v>2.3531490048668236E-10</v>
      </c>
      <c r="H42" s="14">
        <v>48.285967810630972</v>
      </c>
      <c r="I42" s="14">
        <v>114.67747218349626</v>
      </c>
      <c r="J42" s="14">
        <v>0</v>
      </c>
      <c r="K42" s="14">
        <v>1.5712274559957577</v>
      </c>
      <c r="L42" s="14">
        <v>0.63644509022804396</v>
      </c>
      <c r="M42" s="14">
        <v>0.52220319653211011</v>
      </c>
      <c r="N42" s="14">
        <v>7.5589791873049013</v>
      </c>
      <c r="O42" s="14">
        <v>2497.1843643180473</v>
      </c>
      <c r="P42" s="8">
        <v>7.5589791873049013</v>
      </c>
      <c r="Q42" s="54">
        <v>0.24326414995503043</v>
      </c>
    </row>
    <row r="43" spans="1:17">
      <c r="A43" s="2" t="s">
        <v>373</v>
      </c>
      <c r="B43" s="16" t="s">
        <v>374</v>
      </c>
      <c r="D43" s="14">
        <v>1</v>
      </c>
      <c r="E43" s="14">
        <v>0.99969862392288222</v>
      </c>
      <c r="F43" s="14">
        <v>8.8529778737570231E-3</v>
      </c>
      <c r="G43" s="14">
        <v>4.7937148672201237E-10</v>
      </c>
      <c r="H43" s="14">
        <v>281.39046606211934</v>
      </c>
      <c r="I43" s="14">
        <v>2.1998492239667464</v>
      </c>
      <c r="J43" s="14">
        <v>0</v>
      </c>
      <c r="K43" s="14">
        <v>112.95634240364598</v>
      </c>
      <c r="L43" s="14">
        <v>8.8529778737570231E-3</v>
      </c>
      <c r="M43" s="14">
        <v>7.2638683454176378E-3</v>
      </c>
      <c r="N43" s="14">
        <v>1.7617260803573873</v>
      </c>
      <c r="O43" s="14">
        <v>469.21812424238647</v>
      </c>
      <c r="P43" s="8">
        <v>1.7617260803573873</v>
      </c>
      <c r="Q43" s="54">
        <v>2.8483471278154172E-4</v>
      </c>
    </row>
    <row r="44" spans="1:17">
      <c r="A44" s="2" t="s">
        <v>375</v>
      </c>
      <c r="B44" s="16" t="s">
        <v>376</v>
      </c>
      <c r="D44" s="14">
        <v>1</v>
      </c>
      <c r="E44" s="14">
        <v>0.86774015651989489</v>
      </c>
      <c r="F44" s="14">
        <v>0.84303550599660693</v>
      </c>
      <c r="G44" s="14">
        <v>1.0425439054577157E-3</v>
      </c>
      <c r="H44" s="14">
        <v>6.0962934805176374</v>
      </c>
      <c r="I44" s="14">
        <v>17.215634626347043</v>
      </c>
      <c r="J44" s="14">
        <v>0</v>
      </c>
      <c r="K44" s="14">
        <v>1.1861896597318697</v>
      </c>
      <c r="L44" s="14">
        <v>0.84303550599660704</v>
      </c>
      <c r="M44" s="14">
        <v>0.69171063267021604</v>
      </c>
      <c r="N44" s="14">
        <v>1.7884379249615392</v>
      </c>
      <c r="O44" s="14">
        <v>267.19262598925394</v>
      </c>
      <c r="P44" s="8">
        <v>1.7884379249615392</v>
      </c>
      <c r="Q44" s="54">
        <v>9.4650527109308047E-2</v>
      </c>
    </row>
    <row r="45" spans="1:17">
      <c r="A45" s="2" t="s">
        <v>377</v>
      </c>
      <c r="B45" s="16" t="s">
        <v>378</v>
      </c>
      <c r="D45" s="14">
        <v>1</v>
      </c>
      <c r="E45" s="14">
        <v>0.84017608012718892</v>
      </c>
      <c r="F45" s="14">
        <v>0.5981763497127951</v>
      </c>
      <c r="G45" s="14">
        <v>9.019816989718517E-6</v>
      </c>
      <c r="H45" s="14">
        <v>55.433109159307264</v>
      </c>
      <c r="I45" s="14">
        <v>129.72581534212503</v>
      </c>
      <c r="J45" s="14">
        <v>0</v>
      </c>
      <c r="K45" s="14">
        <v>1.6717478056097239</v>
      </c>
      <c r="L45" s="14">
        <v>0.5981763497127951</v>
      </c>
      <c r="M45" s="14">
        <v>0.49080369493934839</v>
      </c>
      <c r="N45" s="14">
        <v>8.4478321045713933</v>
      </c>
      <c r="O45" s="14">
        <v>1877.4462069199465</v>
      </c>
      <c r="P45" s="8">
        <v>8.4478321045713933</v>
      </c>
      <c r="Q45" s="54">
        <v>0.25376189509793728</v>
      </c>
    </row>
    <row r="46" spans="1:17">
      <c r="A46" s="2" t="s">
        <v>379</v>
      </c>
      <c r="B46" s="16" t="s">
        <v>380</v>
      </c>
      <c r="D46" s="14">
        <v>1</v>
      </c>
      <c r="E46" s="14">
        <v>0.84322321649123144</v>
      </c>
      <c r="F46" s="14">
        <v>0.62128290774388162</v>
      </c>
      <c r="G46" s="14">
        <v>2.6999635024115886E-5</v>
      </c>
      <c r="H46" s="14">
        <v>50.807684838992472</v>
      </c>
      <c r="I46" s="14">
        <v>120.00147288786171</v>
      </c>
      <c r="J46" s="14">
        <v>0</v>
      </c>
      <c r="K46" s="14">
        <v>1.6095726882804269</v>
      </c>
      <c r="L46" s="14">
        <v>0.62128290774388162</v>
      </c>
      <c r="M46" s="14">
        <v>0.5097626258038549</v>
      </c>
      <c r="N46" s="14">
        <v>7.8719820310303756</v>
      </c>
      <c r="O46" s="14">
        <v>1012.0220099092651</v>
      </c>
      <c r="P46" s="8">
        <v>7.8719820310303756</v>
      </c>
      <c r="Q46" s="54">
        <v>0.24693723250385324</v>
      </c>
    </row>
    <row r="47" spans="1:17">
      <c r="A47" s="2" t="s">
        <v>381</v>
      </c>
      <c r="B47" s="16" t="s">
        <v>382</v>
      </c>
      <c r="D47" s="14">
        <v>1</v>
      </c>
      <c r="E47" s="14">
        <v>0.95523446635893117</v>
      </c>
      <c r="F47" s="14">
        <v>6.9667319598560608E-4</v>
      </c>
      <c r="G47" s="14">
        <v>4.9631521530525662E-10</v>
      </c>
      <c r="H47" s="14">
        <v>73.135645975349817</v>
      </c>
      <c r="I47" s="14">
        <v>1834.7896112475314</v>
      </c>
      <c r="J47" s="14">
        <v>0</v>
      </c>
      <c r="K47" s="14">
        <v>1435.3932457316198</v>
      </c>
      <c r="L47" s="14">
        <v>6.9667319598560608E-4</v>
      </c>
      <c r="M47" s="14">
        <v>5.7162035730618985E-4</v>
      </c>
      <c r="N47" s="14">
        <v>115.46252759895378</v>
      </c>
      <c r="O47" s="14">
        <v>45179.332424194625</v>
      </c>
      <c r="P47" s="8">
        <v>115.46252759895378</v>
      </c>
      <c r="Q47" s="54">
        <v>5.8692995147323193E-2</v>
      </c>
    </row>
    <row r="48" spans="1:17">
      <c r="A48" s="2" t="s">
        <v>383</v>
      </c>
      <c r="B48" s="16" t="s">
        <v>384</v>
      </c>
      <c r="D48" s="14">
        <v>1</v>
      </c>
      <c r="E48" s="14">
        <v>0.95641335039227793</v>
      </c>
      <c r="F48" s="14">
        <v>0.95131422143473954</v>
      </c>
      <c r="G48" s="14">
        <v>1.3723107862063737E-4</v>
      </c>
      <c r="H48" s="14">
        <v>1.874234764430567</v>
      </c>
      <c r="I48" s="14">
        <v>5.8248019031764038</v>
      </c>
      <c r="J48" s="14">
        <v>0</v>
      </c>
      <c r="K48" s="14">
        <v>1.0511773896240446</v>
      </c>
      <c r="L48" s="14">
        <v>0.95131422143473965</v>
      </c>
      <c r="M48" s="14">
        <v>0.7805533186872039</v>
      </c>
      <c r="N48" s="14">
        <v>1.192583178286966</v>
      </c>
      <c r="O48" s="14">
        <v>111.06527139386515</v>
      </c>
      <c r="P48" s="8">
        <v>1.192583178286966</v>
      </c>
      <c r="Q48" s="54">
        <v>5.4235189250875587E-2</v>
      </c>
    </row>
    <row r="49" spans="1:17">
      <c r="A49" s="2" t="s">
        <v>385</v>
      </c>
      <c r="B49" s="16" t="s">
        <v>386</v>
      </c>
      <c r="D49" s="14">
        <v>1</v>
      </c>
      <c r="E49" s="14">
        <v>0.93605011157515472</v>
      </c>
      <c r="F49" s="14">
        <v>0.92385003320541281</v>
      </c>
      <c r="G49" s="14">
        <v>2.607533918826057E-4</v>
      </c>
      <c r="H49" s="14">
        <v>3.4009596452352726</v>
      </c>
      <c r="I49" s="14">
        <v>10.093891903668494</v>
      </c>
      <c r="J49" s="14">
        <v>0</v>
      </c>
      <c r="K49" s="14">
        <v>1.0824267619825432</v>
      </c>
      <c r="L49" s="14">
        <v>0.92385003320541292</v>
      </c>
      <c r="M49" s="14">
        <v>0.75801895224504134</v>
      </c>
      <c r="N49" s="14">
        <v>1.4271330441097916</v>
      </c>
      <c r="O49" s="14">
        <v>158.58302386148006</v>
      </c>
      <c r="P49" s="8">
        <v>1.4271330441097918</v>
      </c>
      <c r="Q49" s="54">
        <v>7.2955602687960142E-2</v>
      </c>
    </row>
    <row r="50" spans="1:17">
      <c r="A50" s="2" t="s">
        <v>387</v>
      </c>
      <c r="B50" s="16" t="s">
        <v>388</v>
      </c>
      <c r="D50" s="14">
        <v>1</v>
      </c>
      <c r="E50" s="14">
        <v>0.87341886296688265</v>
      </c>
      <c r="F50" s="14">
        <v>8.8102831504980911E-2</v>
      </c>
      <c r="G50" s="14">
        <v>8.5282191901917169E-5</v>
      </c>
      <c r="H50" s="14">
        <v>185.96442271042642</v>
      </c>
      <c r="I50" s="14">
        <v>345.69017546283254</v>
      </c>
      <c r="J50" s="14">
        <v>0</v>
      </c>
      <c r="K50" s="14">
        <v>11.350373000707302</v>
      </c>
      <c r="L50" s="14">
        <v>8.8102831504980911E-2</v>
      </c>
      <c r="M50" s="14">
        <v>7.2288373249836849E-2</v>
      </c>
      <c r="N50" s="14">
        <v>21.374560374913877</v>
      </c>
      <c r="O50" s="14">
        <v>4220.4069460267447</v>
      </c>
      <c r="P50" s="8">
        <v>21.374560374913877</v>
      </c>
      <c r="Q50" s="54">
        <v>0.19058426299798265</v>
      </c>
    </row>
    <row r="51" spans="1:17">
      <c r="A51" s="2" t="s">
        <v>295</v>
      </c>
      <c r="B51" s="16" t="s">
        <v>296</v>
      </c>
      <c r="D51" s="14">
        <v>1</v>
      </c>
      <c r="E51" s="14">
        <v>0.93439843323973293</v>
      </c>
      <c r="F51" s="14">
        <v>0.93660175550136593</v>
      </c>
      <c r="G51" s="14">
        <v>7.5214825997811413E-4</v>
      </c>
      <c r="H51" s="14">
        <v>0.29735480961334598</v>
      </c>
      <c r="I51" s="14">
        <v>1.0571391049206875</v>
      </c>
      <c r="J51" s="14">
        <v>0</v>
      </c>
      <c r="K51" s="14">
        <v>1.067689649444119</v>
      </c>
      <c r="L51" s="14">
        <v>0.93660175550136604</v>
      </c>
      <c r="M51" s="14">
        <v>0.76848174038887085</v>
      </c>
      <c r="N51" s="14">
        <v>0.89140468245549787</v>
      </c>
      <c r="O51" s="14">
        <v>51.772783957015314</v>
      </c>
      <c r="P51" s="8">
        <v>0.89140468245549798</v>
      </c>
      <c r="Q51" s="54">
        <v>2.0622064374443593E-2</v>
      </c>
    </row>
    <row r="52" spans="1:17">
      <c r="A52" s="2" t="s">
        <v>389</v>
      </c>
      <c r="B52" s="16" t="s">
        <v>390</v>
      </c>
      <c r="D52" s="14">
        <v>1</v>
      </c>
      <c r="E52" s="14">
        <v>0.86128354081096048</v>
      </c>
      <c r="F52" s="14">
        <v>0.81561073560988262</v>
      </c>
      <c r="G52" s="14">
        <v>8.6133366394664423E-4</v>
      </c>
      <c r="H52" s="14">
        <v>10.748378056323963</v>
      </c>
      <c r="I52" s="14">
        <v>29.040233524760978</v>
      </c>
      <c r="J52" s="14">
        <v>0</v>
      </c>
      <c r="K52" s="14">
        <v>1.2260750825603566</v>
      </c>
      <c r="L52" s="14">
        <v>0.81561073560988262</v>
      </c>
      <c r="M52" s="14">
        <v>0.66920860856790876</v>
      </c>
      <c r="N52" s="14">
        <v>2.4837695102289086</v>
      </c>
      <c r="O52" s="14">
        <v>266.13590302102756</v>
      </c>
      <c r="P52" s="8">
        <v>2.4837695102289086</v>
      </c>
      <c r="Q52" s="54">
        <v>0.12519878215529326</v>
      </c>
    </row>
    <row r="53" spans="1:17">
      <c r="A53" s="2" t="s">
        <v>391</v>
      </c>
      <c r="B53" s="16" t="s">
        <v>392</v>
      </c>
      <c r="D53" s="14">
        <v>1</v>
      </c>
      <c r="E53" s="14">
        <v>0.82449973968610035</v>
      </c>
      <c r="F53" s="14">
        <v>0.47049948353147841</v>
      </c>
      <c r="G53" s="14">
        <v>2.7066221943840769E-5</v>
      </c>
      <c r="H53" s="14">
        <v>81.470269143132299</v>
      </c>
      <c r="I53" s="14">
        <v>182.07751681059017</v>
      </c>
      <c r="J53" s="14">
        <v>0</v>
      </c>
      <c r="K53" s="14">
        <v>2.1254008452765829</v>
      </c>
      <c r="L53" s="14">
        <v>0.47049948353147841</v>
      </c>
      <c r="M53" s="14">
        <v>0.38604482623757808</v>
      </c>
      <c r="N53" s="14">
        <v>11.55098160882957</v>
      </c>
      <c r="O53" s="14">
        <v>1871.4900402625672</v>
      </c>
      <c r="P53" s="8">
        <v>11.550981608829572</v>
      </c>
      <c r="Q53" s="54">
        <v>0.27647528970434032</v>
      </c>
    </row>
    <row r="54" spans="1:17">
      <c r="A54" s="2" t="s">
        <v>393</v>
      </c>
      <c r="B54" s="16" t="s">
        <v>394</v>
      </c>
      <c r="D54" s="14">
        <v>1</v>
      </c>
      <c r="E54" s="14">
        <v>0.95181162955575183</v>
      </c>
      <c r="F54" s="14">
        <v>9.7459496722261229E-4</v>
      </c>
      <c r="G54" s="14">
        <v>2.2933622106549757E-6</v>
      </c>
      <c r="H54" s="14">
        <v>87.54758374938568</v>
      </c>
      <c r="I54" s="14">
        <v>1691.6142507518703</v>
      </c>
      <c r="J54" s="14">
        <v>0</v>
      </c>
      <c r="K54" s="14">
        <v>1026.0672726946113</v>
      </c>
      <c r="L54" s="14">
        <v>9.745949672226124E-4</v>
      </c>
      <c r="M54" s="14">
        <v>7.9965517060615347E-4</v>
      </c>
      <c r="N54" s="14">
        <v>106.30511917591615</v>
      </c>
      <c r="O54" s="14">
        <v>24810.551764467069</v>
      </c>
      <c r="P54" s="8">
        <v>106.30511917591615</v>
      </c>
      <c r="Q54" s="54">
        <v>6.4938362795501178E-2</v>
      </c>
    </row>
    <row r="55" spans="1:17">
      <c r="A55" s="2" t="s">
        <v>395</v>
      </c>
      <c r="B55" s="16" t="s">
        <v>396</v>
      </c>
      <c r="D55" s="14">
        <v>1</v>
      </c>
      <c r="E55" s="14">
        <v>0.73627034625492405</v>
      </c>
      <c r="F55" s="14">
        <v>0.16730344093084978</v>
      </c>
      <c r="G55" s="14">
        <v>1.8073129517008411E-3</v>
      </c>
      <c r="H55" s="14">
        <v>133.16953190565948</v>
      </c>
      <c r="I55" s="14">
        <v>265.98800000349121</v>
      </c>
      <c r="J55" s="14">
        <v>0</v>
      </c>
      <c r="K55" s="14">
        <v>5.9771633771317481</v>
      </c>
      <c r="L55" s="14">
        <v>0.16730344093084978</v>
      </c>
      <c r="M55" s="14">
        <v>0.13727247328376224</v>
      </c>
      <c r="N55" s="14">
        <v>16.487351181904209</v>
      </c>
      <c r="O55" s="14">
        <v>2113.183800984662</v>
      </c>
      <c r="P55" s="8">
        <v>16.487351181904209</v>
      </c>
      <c r="Q55" s="54">
        <v>0.21770181206925407</v>
      </c>
    </row>
    <row r="56" spans="1:17">
      <c r="A56" s="2" t="s">
        <v>397</v>
      </c>
      <c r="B56" s="16" t="s">
        <v>398</v>
      </c>
      <c r="D56" s="14">
        <v>1</v>
      </c>
      <c r="E56" s="14">
        <v>0.38821907692054297</v>
      </c>
      <c r="F56" s="14">
        <v>1.9698335004332036E-2</v>
      </c>
      <c r="G56" s="14">
        <v>8.1676666946391766E-3</v>
      </c>
      <c r="H56" s="14">
        <v>88.037868474900677</v>
      </c>
      <c r="I56" s="14">
        <v>154.85551964026641</v>
      </c>
      <c r="J56" s="14">
        <v>0</v>
      </c>
      <c r="K56" s="14">
        <v>50.765711913219107</v>
      </c>
      <c r="L56" s="14">
        <v>1.9698335004332039E-2</v>
      </c>
      <c r="M56" s="14">
        <v>1.6162483871054439E-2</v>
      </c>
      <c r="N56" s="14">
        <v>9.5787286181365481</v>
      </c>
      <c r="O56" s="14">
        <v>1738.0603077608764</v>
      </c>
      <c r="P56" s="8">
        <v>9.5787286181365481</v>
      </c>
      <c r="Q56" s="54">
        <v>6.2997989522311934E-2</v>
      </c>
    </row>
    <row r="57" spans="1:17">
      <c r="A57" s="2" t="s">
        <v>399</v>
      </c>
      <c r="B57" s="16" t="s">
        <v>400</v>
      </c>
      <c r="D57" s="14">
        <v>1</v>
      </c>
      <c r="E57" s="14">
        <v>0.21030188962162433</v>
      </c>
      <c r="F57" s="14">
        <v>3.6967024977185708E-2</v>
      </c>
      <c r="G57" s="14">
        <v>1.0767701028937577E-2</v>
      </c>
      <c r="H57" s="14">
        <v>40.728132877545683</v>
      </c>
      <c r="I57" s="14">
        <v>79.423984679612929</v>
      </c>
      <c r="J57" s="14">
        <v>0</v>
      </c>
      <c r="K57" s="14">
        <v>27.051135454290744</v>
      </c>
      <c r="L57" s="14">
        <v>3.6967024977185715E-2</v>
      </c>
      <c r="M57" s="14">
        <v>3.0331443993780877E-2</v>
      </c>
      <c r="N57" s="14">
        <v>4.9163092892375477</v>
      </c>
      <c r="O57" s="14">
        <v>722.69746551791957</v>
      </c>
      <c r="P57" s="8">
        <v>4.9163092892375477</v>
      </c>
      <c r="Q57" s="54">
        <v>5.6983834723997512E-2</v>
      </c>
    </row>
    <row r="58" spans="1:17">
      <c r="A58" s="2" t="s">
        <v>297</v>
      </c>
      <c r="B58" s="16" t="s">
        <v>298</v>
      </c>
      <c r="D58" s="14">
        <v>1</v>
      </c>
      <c r="E58" s="14">
        <v>7.6692434933230705E-2</v>
      </c>
      <c r="F58" s="14">
        <v>7.5338769534744374E-2</v>
      </c>
      <c r="G58" s="14">
        <v>1.3129464417347339E-2</v>
      </c>
      <c r="H58" s="14">
        <v>0.35613817006011067</v>
      </c>
      <c r="I58" s="14">
        <v>1.0377092634239009</v>
      </c>
      <c r="J58" s="14">
        <v>0</v>
      </c>
      <c r="K58" s="14">
        <v>13.273378450106287</v>
      </c>
      <c r="L58" s="14">
        <v>7.5338769534744374E-2</v>
      </c>
      <c r="M58" s="14">
        <v>6.1815460403257763E-2</v>
      </c>
      <c r="N58" s="14">
        <v>0.1294028290557229</v>
      </c>
      <c r="O58" s="14">
        <v>10.990182271702547</v>
      </c>
      <c r="P58" s="8">
        <v>0.12940282905572292</v>
      </c>
      <c r="Q58" s="54">
        <v>6.7775962470745365E-3</v>
      </c>
    </row>
    <row r="59" spans="1:17">
      <c r="A59" s="2" t="s">
        <v>401</v>
      </c>
      <c r="B59" s="16" t="s">
        <v>402</v>
      </c>
      <c r="D59" s="14">
        <v>1</v>
      </c>
      <c r="E59" s="14">
        <v>8.2281309117785043E-2</v>
      </c>
      <c r="F59" s="14">
        <v>1.5368373843032525E-2</v>
      </c>
      <c r="G59" s="14">
        <v>1.2904952313960249E-2</v>
      </c>
      <c r="H59" s="14">
        <v>15.708254046082676</v>
      </c>
      <c r="I59" s="14">
        <v>30.802437651591855</v>
      </c>
      <c r="J59" s="14">
        <v>0</v>
      </c>
      <c r="K59" s="14">
        <v>65.06869303243586</v>
      </c>
      <c r="L59" s="14">
        <v>1.5368373843032525E-2</v>
      </c>
      <c r="M59" s="14">
        <v>1.2609750738208188E-2</v>
      </c>
      <c r="N59" s="14">
        <v>1.9071506805877703</v>
      </c>
      <c r="O59" s="14">
        <v>316.26279736186996</v>
      </c>
      <c r="P59" s="8">
        <v>1.9071506805877705</v>
      </c>
      <c r="Q59" s="54">
        <v>2.278164537176983E-2</v>
      </c>
    </row>
    <row r="60" spans="1:17">
      <c r="A60" s="2" t="s">
        <v>299</v>
      </c>
      <c r="B60" s="16" t="s">
        <v>300</v>
      </c>
      <c r="D60" s="14">
        <v>1</v>
      </c>
      <c r="E60" s="14">
        <v>1.6912114925180331E-3</v>
      </c>
      <c r="F60" s="14">
        <v>5.779174483555962E-4</v>
      </c>
      <c r="G60" s="14">
        <v>1.4256545171677111E-2</v>
      </c>
      <c r="H60" s="14">
        <v>0.25881283309409453</v>
      </c>
      <c r="I60" s="14">
        <v>0.53931559364432635</v>
      </c>
      <c r="J60" s="14">
        <v>0</v>
      </c>
      <c r="K60" s="14">
        <v>1730.3509399922007</v>
      </c>
      <c r="L60" s="14">
        <v>5.779174483555962E-4</v>
      </c>
      <c r="M60" s="14">
        <v>4.7418126637576672E-4</v>
      </c>
      <c r="N60" s="14">
        <v>3.3584764815949741E-2</v>
      </c>
      <c r="O60" s="14">
        <v>2.7586525819821115</v>
      </c>
      <c r="P60" s="8">
        <v>3.3584764815949741E-2</v>
      </c>
      <c r="Q60" s="54">
        <v>5.5724089047506171E-4</v>
      </c>
    </row>
    <row r="61" spans="1:17">
      <c r="A61" s="2" t="s">
        <v>403</v>
      </c>
      <c r="B61" s="16" t="s">
        <v>404</v>
      </c>
      <c r="D61" s="14">
        <v>1</v>
      </c>
      <c r="E61" s="14">
        <v>0.82372003050762277</v>
      </c>
      <c r="F61" s="14">
        <v>0.35360766272927996</v>
      </c>
      <c r="G61" s="14">
        <v>6.162687633976802E-46</v>
      </c>
      <c r="H61" s="14">
        <v>108.82825552814366</v>
      </c>
      <c r="I61" s="14">
        <v>233.13036221185774</v>
      </c>
      <c r="J61" s="14">
        <v>0</v>
      </c>
      <c r="K61" s="14">
        <v>2.8279930142961702</v>
      </c>
      <c r="L61" s="14">
        <v>0.35360766272927996</v>
      </c>
      <c r="M61" s="14">
        <v>0.2901350872693742</v>
      </c>
      <c r="N61" s="14">
        <v>14.593773532284349</v>
      </c>
      <c r="O61" s="14">
        <v>17550.61798766048</v>
      </c>
      <c r="P61" s="8">
        <v>14.59377353228435</v>
      </c>
      <c r="Q61" s="54">
        <v>0.28041344855218764</v>
      </c>
    </row>
    <row r="62" spans="1:17">
      <c r="A62" s="2" t="s">
        <v>405</v>
      </c>
      <c r="B62" s="16" t="s">
        <v>406</v>
      </c>
      <c r="D62" s="14">
        <v>1</v>
      </c>
      <c r="E62" s="14">
        <v>0.94280699617821639</v>
      </c>
      <c r="F62" s="14">
        <v>4.192558942117606E-3</v>
      </c>
      <c r="G62" s="14">
        <v>1.2843034956903256E-9</v>
      </c>
      <c r="H62" s="14">
        <v>171.29282699123982</v>
      </c>
      <c r="I62" s="14">
        <v>884.08973426815896</v>
      </c>
      <c r="J62" s="14">
        <v>0</v>
      </c>
      <c r="K62" s="14">
        <v>238.51781544540748</v>
      </c>
      <c r="L62" s="14">
        <v>4.192558942117606E-3</v>
      </c>
      <c r="M62" s="14">
        <v>3.4399946120074955E-3</v>
      </c>
      <c r="N62" s="14">
        <v>55.176096825111408</v>
      </c>
      <c r="O62" s="14">
        <v>17593.450233655025</v>
      </c>
      <c r="P62" s="8">
        <v>55.176096825111408</v>
      </c>
      <c r="Q62" s="54">
        <v>8.5328939428449671E-2</v>
      </c>
    </row>
    <row r="63" spans="1:17">
      <c r="A63" s="2" t="s">
        <v>407</v>
      </c>
      <c r="B63" s="16" t="s">
        <v>408</v>
      </c>
      <c r="D63" s="14">
        <v>1</v>
      </c>
      <c r="E63" s="14">
        <v>0.96105660439835727</v>
      </c>
      <c r="F63" s="14">
        <v>3.7893993888640532E-4</v>
      </c>
      <c r="G63" s="14">
        <v>3.0419976094479422E-7</v>
      </c>
      <c r="H63" s="14">
        <v>52.027191264068705</v>
      </c>
      <c r="I63" s="14">
        <v>2046.3859788827083</v>
      </c>
      <c r="J63" s="14">
        <v>0</v>
      </c>
      <c r="K63" s="14">
        <v>2638.9406272105025</v>
      </c>
      <c r="L63" s="14">
        <v>3.7893993888640537E-4</v>
      </c>
      <c r="M63" s="14">
        <v>3.1092021985629562E-4</v>
      </c>
      <c r="N63" s="14">
        <v>129.08738545774463</v>
      </c>
      <c r="O63" s="14">
        <v>62709.36098151777</v>
      </c>
      <c r="P63" s="8">
        <v>129.08738545774466</v>
      </c>
      <c r="Q63" s="54">
        <v>4.7817575418135062E-2</v>
      </c>
    </row>
    <row r="64" spans="1:17">
      <c r="A64" s="2" t="s">
        <v>409</v>
      </c>
      <c r="B64" s="16" t="s">
        <v>410</v>
      </c>
      <c r="D64" s="14">
        <v>1</v>
      </c>
      <c r="E64" s="14">
        <v>0.96984181443920336</v>
      </c>
      <c r="F64" s="14">
        <v>1.3036093231374706E-4</v>
      </c>
      <c r="G64" s="14">
        <v>3.7393485261074932E-8</v>
      </c>
      <c r="H64" s="14">
        <v>27.833476701372636</v>
      </c>
      <c r="I64" s="14">
        <v>2294.1648875785222</v>
      </c>
      <c r="J64" s="14">
        <v>0</v>
      </c>
      <c r="K64" s="14">
        <v>7671.0098819579107</v>
      </c>
      <c r="L64" s="14">
        <v>1.3036093231374706E-4</v>
      </c>
      <c r="M64" s="14">
        <v>1.0696114496342945E-4</v>
      </c>
      <c r="N64" s="14">
        <v>145.29350451859747</v>
      </c>
      <c r="O64" s="14">
        <v>82045.789066606812</v>
      </c>
      <c r="P64" s="8">
        <v>145.29350451859747</v>
      </c>
      <c r="Q64" s="54">
        <v>3.1976036320842484E-2</v>
      </c>
    </row>
    <row r="65" spans="1:17">
      <c r="A65" s="2" t="s">
        <v>301</v>
      </c>
      <c r="B65" s="16" t="s">
        <v>302</v>
      </c>
      <c r="D65" s="14">
        <v>1</v>
      </c>
      <c r="E65" s="14">
        <v>0.97720450938785408</v>
      </c>
      <c r="F65" s="14">
        <v>3.6365504720164055E-5</v>
      </c>
      <c r="G65" s="14">
        <v>4.5900573016963267E-9</v>
      </c>
      <c r="H65" s="14">
        <v>12.828905898952982</v>
      </c>
      <c r="I65" s="14">
        <v>2452.713324040898</v>
      </c>
      <c r="J65" s="14">
        <v>0</v>
      </c>
      <c r="K65" s="14">
        <v>27498.587127969022</v>
      </c>
      <c r="L65" s="14">
        <v>3.6365504720164055E-5</v>
      </c>
      <c r="M65" s="14">
        <v>2.9837896622894606E-5</v>
      </c>
      <c r="N65" s="14">
        <v>156.04413561345427</v>
      </c>
      <c r="O65" s="14">
        <v>100426.8847981069</v>
      </c>
      <c r="P65" s="8">
        <v>156.04413561345427</v>
      </c>
      <c r="Q65" s="54">
        <v>1.8995327704309086E-2</v>
      </c>
    </row>
    <row r="66" spans="1:17">
      <c r="A66" s="2" t="s">
        <v>303</v>
      </c>
      <c r="B66" s="16" t="s">
        <v>304</v>
      </c>
      <c r="D66" s="14">
        <v>1</v>
      </c>
      <c r="E66" s="14">
        <v>0.97338326207652348</v>
      </c>
      <c r="F66" s="14">
        <v>7.5649284867207589E-5</v>
      </c>
      <c r="G66" s="14">
        <v>4.4458347342662914E-15</v>
      </c>
      <c r="H66" s="14">
        <v>20.055099771321981</v>
      </c>
      <c r="I66" s="14">
        <v>2375.647485966866</v>
      </c>
      <c r="J66" s="14">
        <v>0</v>
      </c>
      <c r="K66" s="14">
        <v>13218.895614880816</v>
      </c>
      <c r="L66" s="14">
        <v>7.5649284867207589E-5</v>
      </c>
      <c r="M66" s="14">
        <v>6.2070238233543834E-5</v>
      </c>
      <c r="N66" s="14">
        <v>150.74900273538361</v>
      </c>
      <c r="O66" s="14">
        <v>97279.838955170388</v>
      </c>
      <c r="P66" s="8">
        <v>150.74900273538361</v>
      </c>
      <c r="Q66" s="54">
        <v>2.5702892370701575E-2</v>
      </c>
    </row>
    <row r="67" spans="1:17">
      <c r="A67" s="2" t="s">
        <v>411</v>
      </c>
      <c r="B67" s="16" t="s">
        <v>412</v>
      </c>
      <c r="D67" s="14">
        <v>1</v>
      </c>
      <c r="E67" s="14">
        <v>0.92628070615922309</v>
      </c>
      <c r="F67" s="14">
        <v>0.89364574059231672</v>
      </c>
      <c r="G67" s="14">
        <v>5.6740593924563321E-5</v>
      </c>
      <c r="H67" s="14">
        <v>7.8934232347500934</v>
      </c>
      <c r="I67" s="14">
        <v>21.96456266549135</v>
      </c>
      <c r="J67" s="14">
        <v>0</v>
      </c>
      <c r="K67" s="14">
        <v>1.1190116559355956</v>
      </c>
      <c r="L67" s="14">
        <v>0.89364574059231672</v>
      </c>
      <c r="M67" s="14">
        <v>0.73323633015599587</v>
      </c>
      <c r="N67" s="14">
        <v>2.1217124863950452</v>
      </c>
      <c r="O67" s="14">
        <v>636.72591716715317</v>
      </c>
      <c r="P67" s="8">
        <v>2.1217124863950452</v>
      </c>
      <c r="Q67" s="54">
        <v>0.11135829182721592</v>
      </c>
    </row>
    <row r="68" spans="1:17">
      <c r="A68" s="2" t="s">
        <v>413</v>
      </c>
      <c r="B68" s="16" t="s">
        <v>414</v>
      </c>
      <c r="D68" s="14">
        <v>1</v>
      </c>
      <c r="E68" s="14">
        <v>0.89938516287724179</v>
      </c>
      <c r="F68" s="14">
        <v>0.83843275339272416</v>
      </c>
      <c r="G68" s="14">
        <v>1.2524394055393883E-4</v>
      </c>
      <c r="H68" s="14">
        <v>14.188230511418698</v>
      </c>
      <c r="I68" s="14">
        <v>37.634435523600835</v>
      </c>
      <c r="J68" s="14">
        <v>0</v>
      </c>
      <c r="K68" s="14">
        <v>1.1927014968743679</v>
      </c>
      <c r="L68" s="14">
        <v>0.83843275339272427</v>
      </c>
      <c r="M68" s="14">
        <v>0.6879340741587302</v>
      </c>
      <c r="N68" s="14">
        <v>3.0272704351324395</v>
      </c>
      <c r="O68" s="14">
        <v>993.39879328871007</v>
      </c>
      <c r="P68" s="8">
        <v>3.02727043513244</v>
      </c>
      <c r="Q68" s="54">
        <v>0.14661736376563703</v>
      </c>
    </row>
    <row r="69" spans="1:17">
      <c r="A69" s="2" t="s">
        <v>415</v>
      </c>
      <c r="B69" s="16" t="s">
        <v>416</v>
      </c>
      <c r="D69" s="14">
        <v>1</v>
      </c>
      <c r="E69" s="14">
        <v>0.94695478672087785</v>
      </c>
      <c r="F69" s="14">
        <v>1.5147253664515243E-3</v>
      </c>
      <c r="G69" s="14">
        <v>1.4807521984531144E-5</v>
      </c>
      <c r="H69" s="14">
        <v>109.5857031040526</v>
      </c>
      <c r="I69" s="14">
        <v>1473.3674435749899</v>
      </c>
      <c r="J69" s="14">
        <v>0</v>
      </c>
      <c r="K69" s="14">
        <v>660.1856825984587</v>
      </c>
      <c r="L69" s="14">
        <v>1.5147253664515243E-3</v>
      </c>
      <c r="M69" s="14">
        <v>1.2428321631734757E-3</v>
      </c>
      <c r="N69" s="14">
        <v>92.412716299344481</v>
      </c>
      <c r="O69" s="14">
        <v>42886.893380199785</v>
      </c>
      <c r="P69" s="8">
        <v>92.412716299344495</v>
      </c>
      <c r="Q69" s="54">
        <v>7.2863674558801508E-2</v>
      </c>
    </row>
    <row r="70" spans="1:17">
      <c r="A70" s="2" t="s">
        <v>417</v>
      </c>
      <c r="B70" s="16" t="s">
        <v>418</v>
      </c>
      <c r="D70" s="14">
        <v>1</v>
      </c>
      <c r="E70" s="14">
        <v>0.92107213789426734</v>
      </c>
      <c r="F70" s="14">
        <v>2.8392612369378886E-2</v>
      </c>
      <c r="G70" s="14">
        <v>3.9096136377276035E-5</v>
      </c>
      <c r="H70" s="14">
        <v>214.53855604267335</v>
      </c>
      <c r="I70" s="14">
        <v>363.04672553791374</v>
      </c>
      <c r="J70" s="14">
        <v>0</v>
      </c>
      <c r="K70" s="14">
        <v>35.220429419819389</v>
      </c>
      <c r="L70" s="14">
        <v>2.8392612369378886E-2</v>
      </c>
      <c r="M70" s="14">
        <v>2.3296138449075379E-2</v>
      </c>
      <c r="N70" s="14">
        <v>22.475931407040012</v>
      </c>
      <c r="O70" s="14">
        <v>7058.5662583809153</v>
      </c>
      <c r="P70" s="8">
        <v>22.475931407040012</v>
      </c>
      <c r="Q70" s="54">
        <v>0.11938850777732857</v>
      </c>
    </row>
    <row r="71" spans="1:17">
      <c r="A71" s="2" t="s">
        <v>419</v>
      </c>
      <c r="B71" s="16" t="s">
        <v>420</v>
      </c>
      <c r="D71" s="14">
        <v>1</v>
      </c>
      <c r="E71" s="14">
        <v>0.89153532500387112</v>
      </c>
      <c r="F71" s="14">
        <v>0.83671275927835975</v>
      </c>
      <c r="G71" s="14">
        <v>3.0663722740975694E-4</v>
      </c>
      <c r="H71" s="14">
        <v>12.811394120522433</v>
      </c>
      <c r="I71" s="14">
        <v>34.233678085884094</v>
      </c>
      <c r="J71" s="14">
        <v>0</v>
      </c>
      <c r="K71" s="14">
        <v>1.1951532815902921</v>
      </c>
      <c r="L71" s="14">
        <v>0.83671275927835986</v>
      </c>
      <c r="M71" s="14">
        <v>0.68652281898789425</v>
      </c>
      <c r="N71" s="14">
        <v>2.8185711482373188</v>
      </c>
      <c r="O71" s="14">
        <v>603.28696856871568</v>
      </c>
      <c r="P71" s="8">
        <v>2.8185711482373188</v>
      </c>
      <c r="Q71" s="54">
        <v>0.13888443055531063</v>
      </c>
    </row>
    <row r="72" spans="1:17">
      <c r="A72" s="2" t="s">
        <v>421</v>
      </c>
      <c r="B72" s="16" t="s">
        <v>422</v>
      </c>
      <c r="D72" s="14">
        <v>1</v>
      </c>
      <c r="E72" s="14">
        <v>0.90755046211125112</v>
      </c>
      <c r="F72" s="14">
        <v>3.3068958231468722E-2</v>
      </c>
      <c r="G72" s="14">
        <v>1.651691756584445E-4</v>
      </c>
      <c r="H72" s="14">
        <v>209.74929684290055</v>
      </c>
      <c r="I72" s="14">
        <v>359.54866814339641</v>
      </c>
      <c r="J72" s="14">
        <v>0</v>
      </c>
      <c r="K72" s="14">
        <v>30.239839821999318</v>
      </c>
      <c r="L72" s="14">
        <v>3.3068958231468722E-2</v>
      </c>
      <c r="M72" s="14">
        <v>2.7133080228920088E-2</v>
      </c>
      <c r="N72" s="14">
        <v>22.252148549897292</v>
      </c>
      <c r="O72" s="14">
        <v>9213.9471500559703</v>
      </c>
      <c r="P72" s="8">
        <v>22.252148549897292</v>
      </c>
      <c r="Q72" s="54">
        <v>0.12692807231066386</v>
      </c>
    </row>
    <row r="73" spans="1:17">
      <c r="A73" s="2" t="s">
        <v>423</v>
      </c>
      <c r="B73" s="16" t="s">
        <v>424</v>
      </c>
      <c r="D73" s="14">
        <v>1</v>
      </c>
      <c r="E73" s="14">
        <v>0.81437756628758984</v>
      </c>
      <c r="F73" s="14">
        <v>0.32517168312870687</v>
      </c>
      <c r="G73" s="14">
        <v>1.7933341002058397E-4</v>
      </c>
      <c r="H73" s="14">
        <v>113.40513475437568</v>
      </c>
      <c r="I73" s="14">
        <v>240.70764823314849</v>
      </c>
      <c r="J73" s="14">
        <v>0</v>
      </c>
      <c r="K73" s="14">
        <v>3.0752985326959972</v>
      </c>
      <c r="L73" s="14">
        <v>0.32517168312870687</v>
      </c>
      <c r="M73" s="14">
        <v>0.26680336600710403</v>
      </c>
      <c r="N73" s="14">
        <v>15.038202060548208</v>
      </c>
      <c r="O73" s="14">
        <v>6438.9069762649269</v>
      </c>
      <c r="P73" s="8">
        <v>15.03820206054821</v>
      </c>
      <c r="Q73" s="54">
        <v>0.27522627338676947</v>
      </c>
    </row>
    <row r="74" spans="1:17">
      <c r="A74" s="2" t="s">
        <v>425</v>
      </c>
      <c r="B74" s="16" t="s">
        <v>426</v>
      </c>
      <c r="D74" s="14">
        <v>1</v>
      </c>
      <c r="E74" s="14">
        <v>0.9181734125224047</v>
      </c>
      <c r="F74" s="14">
        <v>2.9691588448502094E-2</v>
      </c>
      <c r="G74" s="14">
        <v>6.0456349502681907E-5</v>
      </c>
      <c r="H74" s="14">
        <v>213.40934468374948</v>
      </c>
      <c r="I74" s="14">
        <v>362.46877743948914</v>
      </c>
      <c r="J74" s="14">
        <v>0</v>
      </c>
      <c r="K74" s="14">
        <v>33.679572304945133</v>
      </c>
      <c r="L74" s="14">
        <v>2.9691588448502098E-2</v>
      </c>
      <c r="M74" s="14">
        <v>2.4361948321995969E-2</v>
      </c>
      <c r="N74" s="14">
        <v>22.437997196121284</v>
      </c>
      <c r="O74" s="14">
        <v>11851.301359047338</v>
      </c>
      <c r="P74" s="8">
        <v>22.437997196121284</v>
      </c>
      <c r="Q74" s="54">
        <v>0.12163837313388669</v>
      </c>
    </row>
    <row r="75" spans="1:17">
      <c r="A75" s="2" t="s">
        <v>427</v>
      </c>
      <c r="B75" s="16" t="s">
        <v>428</v>
      </c>
      <c r="D75" s="14">
        <v>1</v>
      </c>
      <c r="E75" s="14">
        <v>0.99957281237933793</v>
      </c>
      <c r="F75" s="14">
        <v>4.3363158302984796E-3</v>
      </c>
      <c r="G75" s="14">
        <v>6.1171534696266505E-12</v>
      </c>
      <c r="H75" s="14">
        <v>282.76190962385431</v>
      </c>
      <c r="I75" s="14">
        <v>1.0102590055346019</v>
      </c>
      <c r="J75" s="14">
        <v>0</v>
      </c>
      <c r="K75" s="14">
        <v>230.61050881323081</v>
      </c>
      <c r="L75" s="14">
        <v>4.3363158302984805E-3</v>
      </c>
      <c r="M75" s="14">
        <v>3.557947138759903E-3</v>
      </c>
      <c r="N75" s="14">
        <v>5.5989245855571186</v>
      </c>
      <c r="O75" s="14">
        <v>3158.2973694669154</v>
      </c>
      <c r="P75" s="8">
        <v>5.5989245855571186</v>
      </c>
      <c r="Q75" s="54">
        <v>5.6419954355554656E-5</v>
      </c>
    </row>
    <row r="76" spans="1:17">
      <c r="A76" s="2" t="s">
        <v>429</v>
      </c>
      <c r="B76" s="16" t="s">
        <v>430</v>
      </c>
      <c r="D76" s="14">
        <v>1</v>
      </c>
      <c r="E76" s="14">
        <v>0.99957281279660459</v>
      </c>
      <c r="F76" s="14">
        <v>4.3363158321086531E-3</v>
      </c>
      <c r="G76" s="14">
        <v>1.5365594806231223E-13</v>
      </c>
      <c r="H76" s="14">
        <v>282.76190974189183</v>
      </c>
      <c r="I76" s="14">
        <v>1.0102590059563294</v>
      </c>
      <c r="J76" s="14">
        <v>0</v>
      </c>
      <c r="K76" s="14">
        <v>230.61050871696364</v>
      </c>
      <c r="L76" s="14">
        <v>4.3363158321086531E-3</v>
      </c>
      <c r="M76" s="14">
        <v>3.5579471402451498E-3</v>
      </c>
      <c r="N76" s="14">
        <v>5.598924587894361</v>
      </c>
      <c r="O76" s="14">
        <v>2800.1901541436068</v>
      </c>
      <c r="P76" s="8">
        <v>5.598924587894361</v>
      </c>
      <c r="Q76" s="54">
        <v>5.6419954379106881E-5</v>
      </c>
    </row>
    <row r="77" spans="1:17">
      <c r="A77" s="2" t="s">
        <v>431</v>
      </c>
      <c r="B77" s="16" t="s">
        <v>432</v>
      </c>
      <c r="D77" s="14">
        <v>1</v>
      </c>
      <c r="E77" s="14">
        <v>0.84432176399515813</v>
      </c>
      <c r="F77" s="14">
        <v>0.12056553183715568</v>
      </c>
      <c r="G77" s="14">
        <v>3.1342357062304221E-4</v>
      </c>
      <c r="H77" s="14">
        <v>170.57020296824888</v>
      </c>
      <c r="I77" s="14">
        <v>326.55800711534062</v>
      </c>
      <c r="J77" s="14">
        <v>0</v>
      </c>
      <c r="K77" s="14">
        <v>8.2942445055579448</v>
      </c>
      <c r="L77" s="14">
        <v>0.1205655318371557</v>
      </c>
      <c r="M77" s="14">
        <v>9.8924018872386249E-2</v>
      </c>
      <c r="N77" s="14">
        <v>20.200825905066655</v>
      </c>
      <c r="O77" s="14">
        <v>7354.3126789985663</v>
      </c>
      <c r="P77" s="8">
        <v>20.200825905066655</v>
      </c>
      <c r="Q77" s="54">
        <v>0.21171924519659882</v>
      </c>
    </row>
    <row r="78" spans="1:17">
      <c r="A78" s="2" t="s">
        <v>433</v>
      </c>
      <c r="B78" s="16" t="s">
        <v>434</v>
      </c>
      <c r="D78" s="14">
        <v>1</v>
      </c>
      <c r="E78" s="14">
        <v>0.8244553819426288</v>
      </c>
      <c r="F78" s="14">
        <v>0.63417728471459889</v>
      </c>
      <c r="G78" s="14">
        <v>4.46538768050247E-4</v>
      </c>
      <c r="H78" s="14">
        <v>43.534211434515093</v>
      </c>
      <c r="I78" s="14">
        <v>104.15685379885079</v>
      </c>
      <c r="J78" s="14">
        <v>0</v>
      </c>
      <c r="K78" s="14">
        <v>1.5768461345158928</v>
      </c>
      <c r="L78" s="14">
        <v>0.63417728471459889</v>
      </c>
      <c r="M78" s="14">
        <v>0.52034246210832846</v>
      </c>
      <c r="N78" s="14">
        <v>6.9132781459831723</v>
      </c>
      <c r="O78" s="14">
        <v>1825.4510944468568</v>
      </c>
      <c r="P78" s="8">
        <v>6.9132781459831731</v>
      </c>
      <c r="Q78" s="54">
        <v>0.23008475971781622</v>
      </c>
    </row>
    <row r="79" spans="1:17">
      <c r="A79" s="2" t="s">
        <v>435</v>
      </c>
      <c r="B79" s="16" t="s">
        <v>436</v>
      </c>
      <c r="D79" s="14">
        <v>1</v>
      </c>
      <c r="E79" s="14">
        <v>0.81920934307794013</v>
      </c>
      <c r="F79" s="14">
        <v>0.45750308131598588</v>
      </c>
      <c r="G79" s="14">
        <v>1.0724634769926727E-4</v>
      </c>
      <c r="H79" s="14">
        <v>83.282551763475126</v>
      </c>
      <c r="I79" s="14">
        <v>185.44332013038292</v>
      </c>
      <c r="J79" s="14">
        <v>0</v>
      </c>
      <c r="K79" s="14">
        <v>2.1857776282589123</v>
      </c>
      <c r="L79" s="14">
        <v>0.45750308131598588</v>
      </c>
      <c r="M79" s="14">
        <v>0.37538127821976641</v>
      </c>
      <c r="N79" s="14">
        <v>11.746983828784652</v>
      </c>
      <c r="O79" s="14">
        <v>4700.0856997350274</v>
      </c>
      <c r="P79" s="8">
        <v>11.746983828784652</v>
      </c>
      <c r="Q79" s="54">
        <v>0.27593779794415385</v>
      </c>
    </row>
    <row r="80" spans="1:17">
      <c r="A80" s="2" t="s">
        <v>437</v>
      </c>
      <c r="B80" s="16" t="s">
        <v>438</v>
      </c>
      <c r="D80" s="14">
        <v>1</v>
      </c>
      <c r="E80" s="14">
        <v>0.99919624791046779</v>
      </c>
      <c r="F80" s="14">
        <v>2.9390667982467826E-3</v>
      </c>
      <c r="G80" s="14">
        <v>2.1894645966397784E-12</v>
      </c>
      <c r="H80" s="14">
        <v>282.94984261375959</v>
      </c>
      <c r="I80" s="14">
        <v>1.9418750473040087</v>
      </c>
      <c r="J80" s="14">
        <v>0</v>
      </c>
      <c r="K80" s="14">
        <v>340.24405317923424</v>
      </c>
      <c r="L80" s="14">
        <v>2.9390667982467826E-3</v>
      </c>
      <c r="M80" s="14">
        <v>2.4115043079614854E-3</v>
      </c>
      <c r="N80" s="14">
        <v>10.868403907901227</v>
      </c>
      <c r="O80" s="14">
        <v>5587.2290809738633</v>
      </c>
      <c r="P80" s="8">
        <v>10.868403907901227</v>
      </c>
      <c r="Q80" s="54">
        <v>6.8741860346188793E-5</v>
      </c>
    </row>
    <row r="81" spans="1:17">
      <c r="A81" s="2" t="s">
        <v>440</v>
      </c>
      <c r="B81" s="16" t="s">
        <v>441</v>
      </c>
      <c r="D81" s="14">
        <v>1</v>
      </c>
      <c r="E81" s="14">
        <v>0.98749812449937657</v>
      </c>
      <c r="F81" s="14">
        <v>0.99006837783022972</v>
      </c>
      <c r="G81" s="14">
        <v>2.089265714055618E-15</v>
      </c>
      <c r="H81" s="14">
        <v>0.26385491570341157</v>
      </c>
      <c r="I81" s="14">
        <v>0.9502160470246368</v>
      </c>
      <c r="J81" s="14">
        <v>0</v>
      </c>
      <c r="K81" s="14">
        <v>1.0100312487421683</v>
      </c>
      <c r="L81" s="14">
        <v>0.99006837783022983</v>
      </c>
      <c r="M81" s="14">
        <v>0.81235110400970356</v>
      </c>
      <c r="N81" s="14">
        <v>0.93221609398619409</v>
      </c>
      <c r="O81" s="14">
        <v>258.46623421861216</v>
      </c>
      <c r="P81" s="8">
        <v>0.93221609398619409</v>
      </c>
      <c r="Q81" s="54">
        <v>1.989859259823689E-2</v>
      </c>
    </row>
    <row r="82" spans="1:17">
      <c r="A82" s="2" t="s">
        <v>442</v>
      </c>
      <c r="B82" s="16" t="s">
        <v>443</v>
      </c>
      <c r="D82" s="14">
        <v>1</v>
      </c>
      <c r="E82" s="14">
        <v>0.8975357352413954</v>
      </c>
      <c r="F82" s="14">
        <v>0.82037191025091249</v>
      </c>
      <c r="G82" s="14">
        <v>1.044477933812286E-6</v>
      </c>
      <c r="H82" s="14">
        <v>17.826692843600824</v>
      </c>
      <c r="I82" s="14">
        <v>46.4224388012627</v>
      </c>
      <c r="J82" s="14">
        <v>0</v>
      </c>
      <c r="K82" s="14">
        <v>1.2189593372280967</v>
      </c>
      <c r="L82" s="14">
        <v>0.82037191025091261</v>
      </c>
      <c r="M82" s="14">
        <v>0.67311515236087371</v>
      </c>
      <c r="N82" s="14">
        <v>3.5471672110356649</v>
      </c>
      <c r="O82" s="14">
        <v>585.95655159098146</v>
      </c>
      <c r="P82" s="8">
        <v>3.5471672110356653</v>
      </c>
      <c r="Q82" s="54">
        <v>0.16342855935754458</v>
      </c>
    </row>
    <row r="83" spans="1:17">
      <c r="A83" s="2" t="s">
        <v>444</v>
      </c>
      <c r="B83" s="16" t="s">
        <v>445</v>
      </c>
      <c r="D83" s="14">
        <v>1</v>
      </c>
      <c r="E83" s="14">
        <v>0.85267836191822599</v>
      </c>
      <c r="F83" s="14">
        <v>0.15296107198382755</v>
      </c>
      <c r="G83" s="14">
        <v>6.7426312066326637E-6</v>
      </c>
      <c r="H83" s="14">
        <v>164.36181127839424</v>
      </c>
      <c r="I83" s="14">
        <v>321.11314888294163</v>
      </c>
      <c r="J83" s="14">
        <v>0</v>
      </c>
      <c r="K83" s="14">
        <v>6.5376110864712622</v>
      </c>
      <c r="L83" s="14">
        <v>0.15296107198382758</v>
      </c>
      <c r="M83" s="14">
        <v>0.12550455956273052</v>
      </c>
      <c r="N83" s="14">
        <v>19.878402405631515</v>
      </c>
      <c r="O83" s="14">
        <v>3582.8832495910247</v>
      </c>
      <c r="P83" s="8">
        <v>19.878402405631519</v>
      </c>
      <c r="Q83" s="54">
        <v>0.23273306516626474</v>
      </c>
    </row>
    <row r="84" spans="1:17">
      <c r="A84" s="2" t="s">
        <v>446</v>
      </c>
      <c r="B84" s="16" t="s">
        <v>447</v>
      </c>
      <c r="D84" s="14">
        <v>1</v>
      </c>
      <c r="E84" s="14">
        <v>0.97274259555094167</v>
      </c>
      <c r="F84" s="14">
        <v>0.97081856100758834</v>
      </c>
      <c r="G84" s="14">
        <v>6.5336604190069273E-17</v>
      </c>
      <c r="H84" s="14">
        <v>1.2042816556970917</v>
      </c>
      <c r="I84" s="14">
        <v>3.8724448531070426</v>
      </c>
      <c r="J84" s="14">
        <v>0</v>
      </c>
      <c r="K84" s="14">
        <v>1.0300585919598868</v>
      </c>
      <c r="L84" s="14">
        <v>0.97081856100758834</v>
      </c>
      <c r="M84" s="14">
        <v>0.79655662930672622</v>
      </c>
      <c r="N84" s="14">
        <v>1.0916454324420277</v>
      </c>
      <c r="O84" s="14">
        <v>424.52999222238014</v>
      </c>
      <c r="P84" s="8">
        <v>1.0916454324420277</v>
      </c>
      <c r="Q84" s="54">
        <v>4.3489582830052519E-2</v>
      </c>
    </row>
    <row r="85" spans="1:17">
      <c r="A85" s="2" t="s">
        <v>448</v>
      </c>
      <c r="B85" s="16" t="s">
        <v>449</v>
      </c>
      <c r="D85" s="14">
        <v>1</v>
      </c>
      <c r="E85" s="14">
        <v>0.99480103104201834</v>
      </c>
      <c r="F85" s="14">
        <v>0.99845005394807507</v>
      </c>
      <c r="G85" s="14">
        <v>4.4621568530552401E-10</v>
      </c>
      <c r="H85" s="14">
        <v>4.7986198345133534E-2</v>
      </c>
      <c r="I85" s="14">
        <v>0.19605301051801524</v>
      </c>
      <c r="J85" s="14">
        <v>0</v>
      </c>
      <c r="K85" s="14">
        <v>1.0015523521139551</v>
      </c>
      <c r="L85" s="14">
        <v>0.99845005394807518</v>
      </c>
      <c r="M85" s="14">
        <v>0.81922826926439563</v>
      </c>
      <c r="N85" s="14">
        <v>0.89429225243403154</v>
      </c>
      <c r="O85" s="14">
        <v>160.29294332627583</v>
      </c>
      <c r="P85" s="8">
        <v>0.89429225243403154</v>
      </c>
      <c r="Q85" s="54">
        <v>8.2181396243412863E-3</v>
      </c>
    </row>
    <row r="86" spans="1:17">
      <c r="A86" s="2" t="s">
        <v>450</v>
      </c>
      <c r="B86" s="16" t="s">
        <v>451</v>
      </c>
      <c r="D86" s="14">
        <v>1</v>
      </c>
      <c r="E86" s="14">
        <v>0.97341677683909744</v>
      </c>
      <c r="F86" s="14">
        <v>0.97176444887107738</v>
      </c>
      <c r="G86" s="14">
        <v>1.6423264768143187E-10</v>
      </c>
      <c r="H86" s="14">
        <v>1.1466503468195994</v>
      </c>
      <c r="I86" s="14">
        <v>3.7007366190761224</v>
      </c>
      <c r="J86" s="14">
        <v>0</v>
      </c>
      <c r="K86" s="14">
        <v>1.0290559622362441</v>
      </c>
      <c r="L86" s="14">
        <v>0.97176444887107749</v>
      </c>
      <c r="M86" s="14">
        <v>0.79733273029871909</v>
      </c>
      <c r="N86" s="14">
        <v>1.0820967653464109</v>
      </c>
      <c r="O86" s="14">
        <v>282.5246444642944</v>
      </c>
      <c r="P86" s="8">
        <v>1.0820967653464109</v>
      </c>
      <c r="Q86" s="54">
        <v>4.2411943825668687E-2</v>
      </c>
    </row>
    <row r="87" spans="1:17">
      <c r="A87" s="2" t="s">
        <v>452</v>
      </c>
      <c r="B87" s="16" t="s">
        <v>453</v>
      </c>
      <c r="D87" s="14">
        <v>1</v>
      </c>
      <c r="E87" s="14">
        <v>0.95749349922242233</v>
      </c>
      <c r="F87" s="14">
        <v>5.527390952437221E-4</v>
      </c>
      <c r="G87" s="14">
        <v>5.7012314344384883E-10</v>
      </c>
      <c r="H87" s="14">
        <v>64.378400649908357</v>
      </c>
      <c r="I87" s="14">
        <v>1922.1946054700782</v>
      </c>
      <c r="J87" s="14">
        <v>0</v>
      </c>
      <c r="K87" s="14">
        <v>1809.1718291774976</v>
      </c>
      <c r="L87" s="14">
        <v>5.5273909524372221E-4</v>
      </c>
      <c r="M87" s="14">
        <v>4.5352242764747406E-4</v>
      </c>
      <c r="N87" s="14">
        <v>121.07503427836508</v>
      </c>
      <c r="O87" s="14">
        <v>50403.536770083381</v>
      </c>
      <c r="P87" s="8">
        <v>121.07503427836508</v>
      </c>
      <c r="Q87" s="54">
        <v>5.444993355115544E-2</v>
      </c>
    </row>
    <row r="88" spans="1:17">
      <c r="A88" s="2" t="s">
        <v>454</v>
      </c>
      <c r="B88" s="16" t="s">
        <v>455</v>
      </c>
      <c r="D88" s="14">
        <v>1</v>
      </c>
      <c r="E88" s="14">
        <v>0.86469597095522543</v>
      </c>
      <c r="F88" s="14">
        <v>0.71379092570190905</v>
      </c>
      <c r="G88" s="14">
        <v>5.2526626610030956E-7</v>
      </c>
      <c r="H88" s="14">
        <v>34.526378127119067</v>
      </c>
      <c r="I88" s="14">
        <v>84.763365777939271</v>
      </c>
      <c r="J88" s="14">
        <v>0</v>
      </c>
      <c r="K88" s="14">
        <v>1.4009704578643196</v>
      </c>
      <c r="L88" s="14">
        <v>0.71379092570190905</v>
      </c>
      <c r="M88" s="14">
        <v>0.58566545453841645</v>
      </c>
      <c r="N88" s="14">
        <v>5.7955797925638031</v>
      </c>
      <c r="O88" s="14">
        <v>1108.5205469236787</v>
      </c>
      <c r="P88" s="8">
        <v>5.795579792563804</v>
      </c>
      <c r="Q88" s="54">
        <v>0.21577851171306919</v>
      </c>
    </row>
    <row r="89" spans="1:17">
      <c r="A89" s="2" t="s">
        <v>456</v>
      </c>
      <c r="B89" s="16" t="s">
        <v>457</v>
      </c>
      <c r="D89" s="14">
        <v>1</v>
      </c>
      <c r="E89" s="14">
        <v>0.89155409952750675</v>
      </c>
      <c r="F89" s="14">
        <v>0.8034609868779824</v>
      </c>
      <c r="G89" s="14">
        <v>3.4690717436310913E-19</v>
      </c>
      <c r="H89" s="14">
        <v>20.28545689388616</v>
      </c>
      <c r="I89" s="14">
        <v>52.244666908737891</v>
      </c>
      <c r="J89" s="14">
        <v>0</v>
      </c>
      <c r="K89" s="14">
        <v>1.2446155025967238</v>
      </c>
      <c r="L89" s="14">
        <v>0.80346098687798251</v>
      </c>
      <c r="M89" s="14">
        <v>0.65923973973338457</v>
      </c>
      <c r="N89" s="14">
        <v>3.8875203035703869</v>
      </c>
      <c r="O89" s="14">
        <v>1525.6962183392341</v>
      </c>
      <c r="P89" s="8">
        <v>3.8875203035703874</v>
      </c>
      <c r="Q89" s="54">
        <v>0.17307803848198922</v>
      </c>
    </row>
    <row r="90" spans="1:17">
      <c r="A90" s="2" t="s">
        <v>458</v>
      </c>
      <c r="B90" s="16" t="s">
        <v>459</v>
      </c>
      <c r="D90" s="14">
        <v>1</v>
      </c>
      <c r="E90" s="14">
        <v>0.9469269719966491</v>
      </c>
      <c r="F90" s="14">
        <v>0.92971650992912691</v>
      </c>
      <c r="G90" s="14">
        <v>5.0077083890939601E-31</v>
      </c>
      <c r="H90" s="14">
        <v>4.5062008301187646</v>
      </c>
      <c r="I90" s="14">
        <v>13.105926076684508</v>
      </c>
      <c r="J90" s="14">
        <v>0</v>
      </c>
      <c r="K90" s="14">
        <v>1.0755966892275914</v>
      </c>
      <c r="L90" s="14">
        <v>0.92971650992912691</v>
      </c>
      <c r="M90" s="14">
        <v>0.76283239639684863</v>
      </c>
      <c r="N90" s="14">
        <v>1.6151127027814953</v>
      </c>
      <c r="O90" s="14">
        <v>1261.3061141101812</v>
      </c>
      <c r="P90" s="8">
        <v>1.6151127027814955</v>
      </c>
      <c r="Q90" s="54">
        <v>8.4735952182649704E-2</v>
      </c>
    </row>
    <row r="91" spans="1:17">
      <c r="A91" s="2" t="s">
        <v>460</v>
      </c>
      <c r="B91" s="16" t="s">
        <v>461</v>
      </c>
      <c r="D91" s="14">
        <v>1</v>
      </c>
      <c r="E91" s="14">
        <v>0.94295830197609132</v>
      </c>
      <c r="F91" s="14">
        <v>3.6440900187953429E-3</v>
      </c>
      <c r="G91" s="14">
        <v>6.003127734360148E-10</v>
      </c>
      <c r="H91" s="14">
        <v>162.34880515218342</v>
      </c>
      <c r="I91" s="14">
        <v>968.73784744837656</v>
      </c>
      <c r="J91" s="14">
        <v>0</v>
      </c>
      <c r="K91" s="14">
        <v>274.41693120703371</v>
      </c>
      <c r="L91" s="14">
        <v>3.6440900187953433E-3</v>
      </c>
      <c r="M91" s="14">
        <v>2.9899758604215792E-3</v>
      </c>
      <c r="N91" s="14">
        <v>60.504137130362402</v>
      </c>
      <c r="O91" s="14">
        <v>18538.467616743037</v>
      </c>
      <c r="P91" s="8">
        <v>60.504137130362402</v>
      </c>
      <c r="Q91" s="54">
        <v>8.449018624462247E-2</v>
      </c>
    </row>
    <row r="92" spans="1:17">
      <c r="A92" s="2" t="s">
        <v>462</v>
      </c>
      <c r="B92" s="16" t="s">
        <v>463</v>
      </c>
      <c r="D92" s="14">
        <v>1</v>
      </c>
      <c r="E92" s="14">
        <v>0.83765409242898625</v>
      </c>
      <c r="F92" s="14">
        <v>0.21697137176557624</v>
      </c>
      <c r="G92" s="14">
        <v>6.0188139992947704E-11</v>
      </c>
      <c r="H92" s="14">
        <v>144.97143398390455</v>
      </c>
      <c r="I92" s="14">
        <v>293.31860139508188</v>
      </c>
      <c r="J92" s="14">
        <v>0</v>
      </c>
      <c r="K92" s="14">
        <v>4.6089029712197993</v>
      </c>
      <c r="L92" s="14">
        <v>0.21697137176557624</v>
      </c>
      <c r="M92" s="14">
        <v>0.17802501053365533</v>
      </c>
      <c r="N92" s="14">
        <v>18.200889206900616</v>
      </c>
      <c r="O92" s="14">
        <v>6130.4235026682654</v>
      </c>
      <c r="P92" s="8">
        <v>18.200889206900616</v>
      </c>
      <c r="Q92" s="54">
        <v>0.25771494578137738</v>
      </c>
    </row>
    <row r="93" spans="1:17">
      <c r="A93" s="2" t="s">
        <v>464</v>
      </c>
      <c r="B93" s="16" t="s">
        <v>465</v>
      </c>
      <c r="D93" s="14">
        <v>1</v>
      </c>
      <c r="E93" s="14">
        <v>0.90806929179092022</v>
      </c>
      <c r="F93" s="14">
        <v>4.3960890789144051E-2</v>
      </c>
      <c r="G93" s="14">
        <v>2.4595461263324517E-6</v>
      </c>
      <c r="H93" s="14">
        <v>206.55061101813052</v>
      </c>
      <c r="I93" s="14">
        <v>361.97923245325813</v>
      </c>
      <c r="J93" s="14">
        <v>0</v>
      </c>
      <c r="K93" s="14">
        <v>22.747491737518331</v>
      </c>
      <c r="L93" s="14">
        <v>4.3960890789144051E-2</v>
      </c>
      <c r="M93" s="14">
        <v>3.6069910892492694E-2</v>
      </c>
      <c r="N93" s="14">
        <v>22.392034117122648</v>
      </c>
      <c r="O93" s="14">
        <v>10414.311147532571</v>
      </c>
      <c r="P93" s="8">
        <v>22.392034117122648</v>
      </c>
      <c r="Q93" s="54">
        <v>0.14430575614726046</v>
      </c>
    </row>
    <row r="94" spans="1:17">
      <c r="A94" s="2" t="s">
        <v>466</v>
      </c>
      <c r="B94" s="16" t="s">
        <v>467</v>
      </c>
      <c r="D94" s="14">
        <v>1</v>
      </c>
      <c r="E94" s="14">
        <v>0.99986862171351198</v>
      </c>
      <c r="F94" s="14">
        <v>0.89829507544667575</v>
      </c>
      <c r="G94" s="14">
        <v>2.0382405504749841E-20</v>
      </c>
      <c r="H94" s="14">
        <v>29.860633616608233</v>
      </c>
      <c r="I94" s="14">
        <v>3.6332821798067128E-2</v>
      </c>
      <c r="J94" s="14">
        <v>0</v>
      </c>
      <c r="K94" s="14">
        <v>1.1132199511421697</v>
      </c>
      <c r="L94" s="14">
        <v>0.89829507544667575</v>
      </c>
      <c r="M94" s="14">
        <v>0.73705110940399743</v>
      </c>
      <c r="N94" s="14">
        <v>0.91548360387475547</v>
      </c>
      <c r="O94" s="14">
        <v>302.78704714553663</v>
      </c>
      <c r="P94" s="8">
        <v>0.91548360387475547</v>
      </c>
      <c r="Q94" s="54">
        <v>1.0767109474638553E-4</v>
      </c>
    </row>
    <row r="95" spans="1:17">
      <c r="A95" s="2" t="s">
        <v>468</v>
      </c>
      <c r="B95" s="16" t="s">
        <v>469</v>
      </c>
      <c r="D95" s="14">
        <v>1</v>
      </c>
      <c r="E95" s="14">
        <v>0.94582414475147947</v>
      </c>
      <c r="F95" s="14">
        <v>8.489069149971341E-3</v>
      </c>
      <c r="G95" s="14">
        <v>2.4081778579432403E-20</v>
      </c>
      <c r="H95" s="14">
        <v>213.57974873789206</v>
      </c>
      <c r="I95" s="14">
        <v>489.23468797179669</v>
      </c>
      <c r="J95" s="14">
        <v>0</v>
      </c>
      <c r="K95" s="14">
        <v>117.7985456748666</v>
      </c>
      <c r="L95" s="14">
        <v>8.489069149971341E-3</v>
      </c>
      <c r="M95" s="14">
        <v>6.9652812375514848E-3</v>
      </c>
      <c r="N95" s="14">
        <v>30.409551109987447</v>
      </c>
      <c r="O95" s="14">
        <v>15022.318248333801</v>
      </c>
      <c r="P95" s="8">
        <v>30.409551109987451</v>
      </c>
      <c r="Q95" s="54">
        <v>8.3275498673314394E-2</v>
      </c>
    </row>
    <row r="96" spans="1:17">
      <c r="A96" s="2" t="s">
        <v>470</v>
      </c>
      <c r="B96" s="166">
        <v>354656</v>
      </c>
      <c r="D96" s="14">
        <v>1</v>
      </c>
      <c r="E96" s="14">
        <v>0.98700968194041583</v>
      </c>
      <c r="F96" s="14">
        <v>0.98948016014653273</v>
      </c>
      <c r="G96" s="14">
        <v>4.1678835694681762E-12</v>
      </c>
      <c r="H96" s="14">
        <v>0.28424124104276194</v>
      </c>
      <c r="I96" s="14">
        <v>1.0179917571408208</v>
      </c>
      <c r="J96" s="14">
        <v>0</v>
      </c>
      <c r="K96" s="14">
        <v>1.0106316834608482</v>
      </c>
      <c r="L96" s="14">
        <v>0.98948016014653273</v>
      </c>
      <c r="M96" s="14">
        <v>0.81186847140023011</v>
      </c>
      <c r="N96" s="14">
        <v>0.93577793826201117</v>
      </c>
      <c r="O96" s="14">
        <v>184.52605164588599</v>
      </c>
      <c r="P96" s="8">
        <v>0.93577793826201117</v>
      </c>
      <c r="Q96" s="54">
        <v>2.0679701299446324E-2</v>
      </c>
    </row>
    <row r="97" spans="1:17">
      <c r="A97" s="2" t="s">
        <v>472</v>
      </c>
      <c r="B97" s="16" t="s">
        <v>473</v>
      </c>
      <c r="D97" s="14">
        <v>1</v>
      </c>
      <c r="E97" s="14">
        <v>0.97239941756324622</v>
      </c>
      <c r="F97" s="14">
        <v>0.97033463818352883</v>
      </c>
      <c r="G97" s="14">
        <v>6.5313058636512428E-12</v>
      </c>
      <c r="H97" s="14">
        <v>1.2341601938623976</v>
      </c>
      <c r="I97" s="14">
        <v>3.9612176503327574</v>
      </c>
      <c r="J97" s="14">
        <v>0</v>
      </c>
      <c r="K97" s="14">
        <v>1.0305723001623488</v>
      </c>
      <c r="L97" s="14">
        <v>0.97033463818352894</v>
      </c>
      <c r="M97" s="14">
        <v>0.79615957062958553</v>
      </c>
      <c r="N97" s="14">
        <v>1.0965871595754688</v>
      </c>
      <c r="O97" s="14">
        <v>175.6513312207986</v>
      </c>
      <c r="P97" s="8">
        <v>1.0965871595754688</v>
      </c>
      <c r="Q97" s="54">
        <v>4.4038113405427591E-2</v>
      </c>
    </row>
    <row r="98" spans="1:17">
      <c r="A98" s="2" t="s">
        <v>474</v>
      </c>
      <c r="B98" s="16" t="s">
        <v>475</v>
      </c>
      <c r="D98" s="14">
        <v>1</v>
      </c>
      <c r="E98" s="14">
        <v>0.93430083610028103</v>
      </c>
      <c r="F98" s="14">
        <v>2.0067031780004636E-2</v>
      </c>
      <c r="G98" s="14">
        <v>5.6534248839248705E-22</v>
      </c>
      <c r="H98" s="14">
        <v>220.63943588566485</v>
      </c>
      <c r="I98" s="14">
        <v>363.19537478116894</v>
      </c>
      <c r="J98" s="14">
        <v>0</v>
      </c>
      <c r="K98" s="14">
        <v>49.832980331272935</v>
      </c>
      <c r="L98" s="14">
        <v>2.0067031780004636E-2</v>
      </c>
      <c r="M98" s="14">
        <v>1.6464999575493806E-2</v>
      </c>
      <c r="N98" s="14">
        <v>22.50292963765547</v>
      </c>
      <c r="O98" s="14">
        <v>11958.731897339245</v>
      </c>
      <c r="P98" s="8">
        <v>22.50292963765547</v>
      </c>
      <c r="Q98" s="54">
        <v>0.10259833412013315</v>
      </c>
    </row>
    <row r="99" spans="1:17">
      <c r="A99" s="2" t="s">
        <v>476</v>
      </c>
      <c r="B99" s="16" t="s">
        <v>477</v>
      </c>
      <c r="D99" s="14">
        <v>1</v>
      </c>
      <c r="E99" s="14">
        <v>0.99638868946507619</v>
      </c>
      <c r="F99" s="14">
        <v>1.0001662453120304</v>
      </c>
      <c r="G99" s="14">
        <v>1.9434827090177328E-9</v>
      </c>
      <c r="H99" s="14">
        <v>2.3569598982503742E-2</v>
      </c>
      <c r="I99" s="14">
        <v>0.1014867545003012</v>
      </c>
      <c r="J99" s="14">
        <v>0</v>
      </c>
      <c r="K99" s="14">
        <v>0.99983378232087938</v>
      </c>
      <c r="L99" s="14">
        <v>1.0001662453120306</v>
      </c>
      <c r="M99" s="14">
        <v>0.82063640427852103</v>
      </c>
      <c r="N99" s="14">
        <v>0.89014696007854721</v>
      </c>
      <c r="O99" s="14">
        <v>114.97138136374515</v>
      </c>
      <c r="P99" s="8">
        <v>0.89014696007854721</v>
      </c>
      <c r="Q99" s="54">
        <v>5.6781827262856396E-3</v>
      </c>
    </row>
    <row r="100" spans="1:17">
      <c r="A100" s="2" t="s">
        <v>478</v>
      </c>
      <c r="B100" s="16" t="s">
        <v>479</v>
      </c>
      <c r="D100" s="14">
        <v>1</v>
      </c>
      <c r="E100" s="14">
        <v>0.82901664279413567</v>
      </c>
      <c r="F100" s="14">
        <v>0.50780466074999209</v>
      </c>
      <c r="G100" s="14">
        <v>7.0007596916566591E-13</v>
      </c>
      <c r="H100" s="14">
        <v>73.810251070660399</v>
      </c>
      <c r="I100" s="14">
        <v>167.09900096473638</v>
      </c>
      <c r="J100" s="14">
        <v>0</v>
      </c>
      <c r="K100" s="14">
        <v>1.9692611692911004</v>
      </c>
      <c r="L100" s="14">
        <v>0.50780466074999209</v>
      </c>
      <c r="M100" s="14">
        <v>0.41665372414536855</v>
      </c>
      <c r="N100" s="14">
        <v>10.662730063082293</v>
      </c>
      <c r="O100" s="14">
        <v>3196.6864729120716</v>
      </c>
      <c r="P100" s="8">
        <v>10.662730063082293</v>
      </c>
      <c r="Q100" s="54">
        <v>0.2723791456839087</v>
      </c>
    </row>
    <row r="101" spans="1:17">
      <c r="A101" s="2" t="s">
        <v>480</v>
      </c>
      <c r="B101" s="16" t="s">
        <v>481</v>
      </c>
      <c r="D101" s="14">
        <v>1</v>
      </c>
      <c r="E101" s="14">
        <v>0.99397580040597855</v>
      </c>
      <c r="F101" s="14">
        <v>0.99754258530023676</v>
      </c>
      <c r="G101" s="14">
        <v>5.2461406818545383E-13</v>
      </c>
      <c r="H101" s="14">
        <v>6.3916273269240043E-2</v>
      </c>
      <c r="I101" s="14">
        <v>0.2556634326469821</v>
      </c>
      <c r="J101" s="14">
        <v>0</v>
      </c>
      <c r="K101" s="14">
        <v>1.0024634684633775</v>
      </c>
      <c r="L101" s="14">
        <v>0.99754258530023676</v>
      </c>
      <c r="M101" s="14">
        <v>0.81848369123884424</v>
      </c>
      <c r="N101" s="14">
        <v>0.89706402703786525</v>
      </c>
      <c r="O101" s="14">
        <v>213.64476867933797</v>
      </c>
      <c r="P101" s="8">
        <v>0.89706402703786525</v>
      </c>
      <c r="Q101" s="54">
        <v>9.5382481206493074E-3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0.99843314699374019</v>
      </c>
      <c r="F102" s="14">
        <v>1.0023162441396847</v>
      </c>
      <c r="G102" s="14">
        <v>3.2775796655061593E-29</v>
      </c>
      <c r="H102" s="14">
        <v>4.5344515810272238E-3</v>
      </c>
      <c r="I102" s="14">
        <v>2.2048646755445937E-2</v>
      </c>
      <c r="J102" s="14">
        <v>0</v>
      </c>
      <c r="K102" s="14">
        <v>0.99768910844932701</v>
      </c>
      <c r="L102" s="14">
        <v>1.0023162441396847</v>
      </c>
      <c r="M102" s="14">
        <v>0.82240047831661123</v>
      </c>
      <c r="N102" s="14">
        <v>0.88730435099973226</v>
      </c>
      <c r="O102" s="14">
        <v>408.54154233080675</v>
      </c>
      <c r="P102" s="8">
        <v>0.88730435099973237</v>
      </c>
      <c r="Q102" s="54">
        <v>2.4075867227035235E-3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0.99650218998732032</v>
      </c>
      <c r="F103" s="14">
        <v>1.0002873996528279</v>
      </c>
      <c r="G103" s="14">
        <v>2.6210981616816442E-15</v>
      </c>
      <c r="H103" s="14">
        <v>2.2143935008900942E-2</v>
      </c>
      <c r="I103" s="14">
        <v>9.5788190430516632E-2</v>
      </c>
      <c r="J103" s="14">
        <v>0</v>
      </c>
      <c r="K103" s="14">
        <v>0.99971268292200055</v>
      </c>
      <c r="L103" s="14">
        <v>1.0002873996528279</v>
      </c>
      <c r="M103" s="14">
        <v>0.82073581141514529</v>
      </c>
      <c r="N103" s="14">
        <v>0.88991324673550476</v>
      </c>
      <c r="O103" s="14">
        <v>182.65469389246235</v>
      </c>
      <c r="P103" s="8">
        <v>0.88991324673550487</v>
      </c>
      <c r="Q103" s="54">
        <v>5.4968257363594494E-3</v>
      </c>
    </row>
    <row r="104" spans="1:17">
      <c r="A104" s="2" t="s">
        <v>486</v>
      </c>
      <c r="B104" s="16" t="s">
        <v>487</v>
      </c>
      <c r="D104" s="14">
        <v>1</v>
      </c>
      <c r="E104" s="14">
        <v>0.98023080144001373</v>
      </c>
      <c r="F104" s="14">
        <v>0.98096846062919152</v>
      </c>
      <c r="G104" s="14">
        <v>3.2971866455901326E-11</v>
      </c>
      <c r="H104" s="14">
        <v>0.64315410289152219</v>
      </c>
      <c r="I104" s="14">
        <v>2.1675654266461262</v>
      </c>
      <c r="J104" s="14">
        <v>0</v>
      </c>
      <c r="K104" s="14">
        <v>1.0194007658091286</v>
      </c>
      <c r="L104" s="14">
        <v>0.98096846062919152</v>
      </c>
      <c r="M104" s="14">
        <v>0.80488462194625165</v>
      </c>
      <c r="N104" s="14">
        <v>0.99758574860144944</v>
      </c>
      <c r="O104" s="14">
        <v>150.7950617585951</v>
      </c>
      <c r="P104" s="8">
        <v>0.99758574860144955</v>
      </c>
      <c r="Q104" s="54">
        <v>3.1518984399285799E-2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0.99813250016019639</v>
      </c>
      <c r="F105" s="14">
        <v>1.0020044954609346</v>
      </c>
      <c r="G105" s="14">
        <v>2.6077031863920432E-18</v>
      </c>
      <c r="H105" s="14">
        <v>6.43323876143009E-3</v>
      </c>
      <c r="I105" s="14">
        <v>3.0485045022453378E-2</v>
      </c>
      <c r="J105" s="14">
        <v>0</v>
      </c>
      <c r="K105" s="14">
        <v>0.99799951450316349</v>
      </c>
      <c r="L105" s="14">
        <v>1.0020044954609346</v>
      </c>
      <c r="M105" s="14">
        <v>0.82214468852569689</v>
      </c>
      <c r="N105" s="14">
        <v>0.88753133331257839</v>
      </c>
      <c r="O105" s="14">
        <v>301.19263327295658</v>
      </c>
      <c r="P105" s="8">
        <v>0.88753133331257839</v>
      </c>
      <c r="Q105" s="54">
        <v>2.8885962343541535E-3</v>
      </c>
    </row>
    <row r="106" spans="1:17">
      <c r="A106" s="2" t="s">
        <v>490</v>
      </c>
      <c r="B106" s="16" t="s">
        <v>491</v>
      </c>
      <c r="D106" s="14">
        <v>1</v>
      </c>
      <c r="E106" s="14">
        <v>0.9330666868506563</v>
      </c>
      <c r="F106" s="14">
        <v>0.90349152316914605</v>
      </c>
      <c r="G106" s="14">
        <v>1.5431657293374384E-10</v>
      </c>
      <c r="H106" s="14">
        <v>7.220779483880456</v>
      </c>
      <c r="I106" s="14">
        <v>20.24143289302075</v>
      </c>
      <c r="J106" s="14">
        <v>0</v>
      </c>
      <c r="K106" s="14">
        <v>1.1068172465994306</v>
      </c>
      <c r="L106" s="14">
        <v>0.90349152316914616</v>
      </c>
      <c r="M106" s="14">
        <v>0.74131479476028439</v>
      </c>
      <c r="N106" s="14">
        <v>2.025586527185947</v>
      </c>
      <c r="O106" s="14">
        <v>389.17593946823598</v>
      </c>
      <c r="P106" s="8">
        <v>2.025586527185947</v>
      </c>
      <c r="Q106" s="54">
        <v>0.10686641806444894</v>
      </c>
    </row>
    <row r="107" spans="1:17">
      <c r="A107" s="2" t="s">
        <v>492</v>
      </c>
      <c r="B107" s="16" t="s">
        <v>493</v>
      </c>
      <c r="D107" s="14">
        <v>1</v>
      </c>
      <c r="E107" s="14">
        <v>0.94254051548620521</v>
      </c>
      <c r="F107" s="14">
        <v>1.4764969805998659E-2</v>
      </c>
      <c r="G107" s="14">
        <v>2.6293055059865228E-18</v>
      </c>
      <c r="H107" s="14">
        <v>224.70491048690826</v>
      </c>
      <c r="I107" s="14">
        <v>361.13512731936891</v>
      </c>
      <c r="J107" s="14">
        <v>0</v>
      </c>
      <c r="K107" s="14">
        <v>67.727873008837676</v>
      </c>
      <c r="L107" s="14">
        <v>1.4764969805998661E-2</v>
      </c>
      <c r="M107" s="14">
        <v>1.2114657725821902E-2</v>
      </c>
      <c r="N107" s="14">
        <v>22.392450380188084</v>
      </c>
      <c r="O107" s="14">
        <v>10179.607942833503</v>
      </c>
      <c r="P107" s="8">
        <v>22.392450380188087</v>
      </c>
      <c r="Q107" s="54">
        <v>8.9427220779490071E-2</v>
      </c>
    </row>
    <row r="108" spans="1:17">
      <c r="A108" s="2" t="s">
        <v>291</v>
      </c>
      <c r="B108" s="16" t="s">
        <v>494</v>
      </c>
      <c r="D108" s="14">
        <v>1</v>
      </c>
      <c r="E108" s="14">
        <v>0.83765808058814717</v>
      </c>
      <c r="F108" s="14">
        <v>0.57894772603231948</v>
      </c>
      <c r="G108" s="14">
        <v>3.9925268010325754E-12</v>
      </c>
      <c r="H108" s="14">
        <v>59.295174633551312</v>
      </c>
      <c r="I108" s="14">
        <v>137.74521563238184</v>
      </c>
      <c r="J108" s="14">
        <v>0</v>
      </c>
      <c r="K108" s="14">
        <v>1.7272716603505158</v>
      </c>
      <c r="L108" s="14">
        <v>0.57894772603231948</v>
      </c>
      <c r="M108" s="14">
        <v>0.47502660920951817</v>
      </c>
      <c r="N108" s="14">
        <v>8.9228179218683117</v>
      </c>
      <c r="O108" s="14">
        <v>2751.1724498496565</v>
      </c>
      <c r="P108" s="8">
        <v>8.9228179218683117</v>
      </c>
      <c r="Q108" s="54">
        <v>0.25874771500455213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7.8752870880342417E-5</v>
      </c>
      <c r="E2" s="20">
        <v>0.91557916013065632</v>
      </c>
      <c r="F2" s="20">
        <v>4.1160920542185196E-2</v>
      </c>
      <c r="G2" s="20">
        <v>1.1988935793177275E-2</v>
      </c>
      <c r="H2" s="20">
        <v>0</v>
      </c>
      <c r="I2" s="20">
        <v>0.86242930379529381</v>
      </c>
      <c r="J2" s="20">
        <v>1.8764298547513727E-4</v>
      </c>
      <c r="K2" s="20">
        <v>8.4154444012988189E-2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2.9483111706757343E-3</v>
      </c>
      <c r="E3" s="20">
        <v>0.95241817100012471</v>
      </c>
      <c r="F3" s="20">
        <v>0.25656180493593189</v>
      </c>
      <c r="G3" s="20">
        <v>0.69516445475697197</v>
      </c>
      <c r="H3" s="20">
        <v>0</v>
      </c>
      <c r="I3" s="20">
        <v>6.9191130722088125E-4</v>
      </c>
      <c r="J3" s="20">
        <v>8.0585478497033486E-3</v>
      </c>
      <c r="K3" s="20">
        <v>3.6574969979496184E-2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4.2551063773194677E-12</v>
      </c>
      <c r="E4" s="20">
        <v>0.82434271937289971</v>
      </c>
      <c r="F4" s="20">
        <v>0.31155096888827494</v>
      </c>
      <c r="G4" s="20">
        <v>7.437460317537814E-2</v>
      </c>
      <c r="H4" s="20">
        <v>0</v>
      </c>
      <c r="I4" s="20">
        <v>0.43841714730924664</v>
      </c>
      <c r="J4" s="20">
        <v>8.6546953080813313E-4</v>
      </c>
      <c r="K4" s="20">
        <v>0.17479181109203706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1.003190375730522E-4</v>
      </c>
      <c r="E5" s="20">
        <v>0.94468884461077385</v>
      </c>
      <c r="F5" s="20">
        <v>0.72644383314475081</v>
      </c>
      <c r="G5" s="20">
        <v>0.21081310103333595</v>
      </c>
      <c r="H5" s="20">
        <v>0</v>
      </c>
      <c r="I5" s="20">
        <v>7.4319104326870805E-3</v>
      </c>
      <c r="J5" s="20">
        <v>2.4156876493271005E-3</v>
      </c>
      <c r="K5" s="20">
        <v>5.279514870232601E-2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9.5597804705548828E-6</v>
      </c>
      <c r="E6" s="20">
        <v>0.96291457199995667</v>
      </c>
      <c r="F6" s="20">
        <v>0.16284206597471715</v>
      </c>
      <c r="G6" s="20">
        <v>0.79976456678828078</v>
      </c>
      <c r="H6" s="20">
        <v>0</v>
      </c>
      <c r="I6" s="20">
        <v>3.0793923695868398E-4</v>
      </c>
      <c r="J6" s="20">
        <v>9.3005796489035331E-3</v>
      </c>
      <c r="K6" s="20">
        <v>2.7775288570669434E-2</v>
      </c>
      <c r="L6" s="20">
        <v>0</v>
      </c>
    </row>
    <row r="7" spans="1:14">
      <c r="A7" s="2" t="s">
        <v>321</v>
      </c>
      <c r="B7" s="3" t="s">
        <v>322</v>
      </c>
      <c r="D7" s="20">
        <v>1.4166609446570561E-5</v>
      </c>
      <c r="E7" s="20">
        <v>0.95634644642964961</v>
      </c>
      <c r="F7" s="20">
        <v>0.24159314394958181</v>
      </c>
      <c r="G7" s="20">
        <v>0.71413474077259642</v>
      </c>
      <c r="H7" s="20">
        <v>0</v>
      </c>
      <c r="I7" s="20">
        <v>6.1856170747142324E-4</v>
      </c>
      <c r="J7" s="20">
        <v>8.2822914581279477E-3</v>
      </c>
      <c r="K7" s="20">
        <v>3.5357095502775715E-2</v>
      </c>
      <c r="L7" s="20">
        <v>0</v>
      </c>
    </row>
    <row r="8" spans="1:14">
      <c r="A8" s="2" t="s">
        <v>323</v>
      </c>
      <c r="B8" s="3" t="s">
        <v>324</v>
      </c>
      <c r="D8" s="20">
        <v>1.3456749182813872E-4</v>
      </c>
      <c r="E8" s="20">
        <v>0.94854916597981809</v>
      </c>
      <c r="F8" s="20">
        <v>0.36979313297420074</v>
      </c>
      <c r="G8" s="20">
        <v>0.57737024350127597</v>
      </c>
      <c r="H8" s="20">
        <v>0</v>
      </c>
      <c r="I8" s="20">
        <v>1.3857895043413772E-3</v>
      </c>
      <c r="J8" s="20">
        <v>6.6735289840152388E-3</v>
      </c>
      <c r="K8" s="20">
        <v>4.4642737544338583E-2</v>
      </c>
      <c r="L8" s="20">
        <v>0</v>
      </c>
    </row>
    <row r="9" spans="1:14">
      <c r="A9" s="2" t="s">
        <v>325</v>
      </c>
      <c r="B9" s="3" t="s">
        <v>326</v>
      </c>
      <c r="D9" s="20">
        <v>9.0673924710253333E-5</v>
      </c>
      <c r="E9" s="20">
        <v>0.89005674884763275</v>
      </c>
      <c r="F9" s="20">
        <v>0.68691199211593024</v>
      </c>
      <c r="G9" s="20">
        <v>0.13489524887793261</v>
      </c>
      <c r="H9" s="20">
        <v>0</v>
      </c>
      <c r="I9" s="20">
        <v>6.8249507853769903E-2</v>
      </c>
      <c r="J9" s="20">
        <v>1.5364622820640687E-3</v>
      </c>
      <c r="K9" s="20">
        <v>0.1083161149455929</v>
      </c>
      <c r="L9" s="20">
        <v>0</v>
      </c>
    </row>
    <row r="10" spans="1:14">
      <c r="A10" s="2" t="s">
        <v>275</v>
      </c>
      <c r="B10" s="3" t="s">
        <v>276</v>
      </c>
      <c r="D10" s="20">
        <v>1.289575190691007E-6</v>
      </c>
      <c r="E10" s="20">
        <v>0.94429481549467176</v>
      </c>
      <c r="F10" s="20">
        <v>0.71197599917107202</v>
      </c>
      <c r="G10" s="20">
        <v>0.22540363170162647</v>
      </c>
      <c r="H10" s="20">
        <v>0</v>
      </c>
      <c r="I10" s="20">
        <v>6.9151846219733231E-3</v>
      </c>
      <c r="J10" s="20">
        <v>2.5839850158756198E-3</v>
      </c>
      <c r="K10" s="20">
        <v>5.3119909914261847E-2</v>
      </c>
      <c r="L10" s="20">
        <v>0</v>
      </c>
    </row>
    <row r="11" spans="1:14">
      <c r="A11" s="2" t="s">
        <v>327</v>
      </c>
      <c r="B11" s="3" t="s">
        <v>328</v>
      </c>
      <c r="D11" s="20">
        <v>6.7216131931385916E-5</v>
      </c>
      <c r="E11" s="20">
        <v>0.9435597814946487</v>
      </c>
      <c r="F11" s="20">
        <v>0.686265554346142</v>
      </c>
      <c r="G11" s="20">
        <v>0.25118156170720102</v>
      </c>
      <c r="H11" s="20">
        <v>0</v>
      </c>
      <c r="I11" s="20">
        <v>6.1126654413057096E-3</v>
      </c>
      <c r="J11" s="20">
        <v>2.8815762058656022E-3</v>
      </c>
      <c r="K11" s="20">
        <v>5.3491426167554187E-2</v>
      </c>
      <c r="L11" s="20">
        <v>0</v>
      </c>
    </row>
    <row r="12" spans="1:14">
      <c r="A12" s="2" t="s">
        <v>329</v>
      </c>
      <c r="B12" s="3" t="s">
        <v>330</v>
      </c>
      <c r="D12" s="20">
        <v>4.6372031221635888E-5</v>
      </c>
      <c r="E12" s="20">
        <v>0.90904075164374765</v>
      </c>
      <c r="F12" s="20">
        <v>0.72857590412951356</v>
      </c>
      <c r="G12" s="20">
        <v>0.13764814380732895</v>
      </c>
      <c r="H12" s="20">
        <v>0</v>
      </c>
      <c r="I12" s="20">
        <v>4.2816703706905122E-2</v>
      </c>
      <c r="J12" s="20">
        <v>1.5685908356034069E-3</v>
      </c>
      <c r="K12" s="20">
        <v>8.9344285489427161E-2</v>
      </c>
      <c r="L12" s="20">
        <v>0</v>
      </c>
    </row>
    <row r="13" spans="1:14">
      <c r="A13" s="2" t="s">
        <v>277</v>
      </c>
      <c r="B13" s="3" t="s">
        <v>278</v>
      </c>
      <c r="D13" s="20">
        <v>1.4081428256362621E-4</v>
      </c>
      <c r="E13" s="20">
        <v>0.89189020416523668</v>
      </c>
      <c r="F13" s="20">
        <v>0.69129814439877735</v>
      </c>
      <c r="G13" s="20">
        <v>0.13525737247270478</v>
      </c>
      <c r="H13" s="20">
        <v>0</v>
      </c>
      <c r="I13" s="20">
        <v>6.5334687293754565E-2</v>
      </c>
      <c r="J13" s="20">
        <v>1.5406222227294713E-3</v>
      </c>
      <c r="K13" s="20">
        <v>0.1064283593294702</v>
      </c>
      <c r="L13" s="20">
        <v>0</v>
      </c>
    </row>
    <row r="14" spans="1:14">
      <c r="A14" s="2" t="s">
        <v>331</v>
      </c>
      <c r="B14" s="3" t="s">
        <v>332</v>
      </c>
      <c r="D14" s="20">
        <v>4.4859302722740503E-5</v>
      </c>
      <c r="E14" s="20">
        <v>0.94277655427169738</v>
      </c>
      <c r="F14" s="20">
        <v>0.59644609986231767</v>
      </c>
      <c r="G14" s="20">
        <v>0.34226836359257656</v>
      </c>
      <c r="H14" s="20">
        <v>0</v>
      </c>
      <c r="I14" s="20">
        <v>4.0620908168031667E-3</v>
      </c>
      <c r="J14" s="20">
        <v>3.9355053660081541E-3</v>
      </c>
      <c r="K14" s="20">
        <v>5.324308105957172E-2</v>
      </c>
      <c r="L14" s="20">
        <v>0</v>
      </c>
    </row>
    <row r="15" spans="1:14">
      <c r="A15" s="2" t="s">
        <v>333</v>
      </c>
      <c r="B15" s="3" t="s">
        <v>334</v>
      </c>
      <c r="D15" s="20">
        <v>7.3145076481830823E-8</v>
      </c>
      <c r="E15" s="20">
        <v>0.94393682041290605</v>
      </c>
      <c r="F15" s="20">
        <v>0.69936482059450633</v>
      </c>
      <c r="G15" s="20">
        <v>0.23806707609586261</v>
      </c>
      <c r="H15" s="20">
        <v>0</v>
      </c>
      <c r="I15" s="20">
        <v>6.5049237225371509E-3</v>
      </c>
      <c r="J15" s="20">
        <v>2.7301377348633751E-3</v>
      </c>
      <c r="K15" s="20">
        <v>5.3332968707154121E-2</v>
      </c>
      <c r="L15" s="20">
        <v>0</v>
      </c>
    </row>
    <row r="16" spans="1:14">
      <c r="A16" s="2" t="s">
        <v>335</v>
      </c>
      <c r="B16" s="3" t="s">
        <v>336</v>
      </c>
      <c r="D16" s="20">
        <v>3.4972262952581175E-4</v>
      </c>
      <c r="E16" s="20">
        <v>0.94804480438004968</v>
      </c>
      <c r="F16" s="20">
        <v>0.37613385011706657</v>
      </c>
      <c r="G16" s="20">
        <v>0.57047678356470943</v>
      </c>
      <c r="H16" s="20">
        <v>0</v>
      </c>
      <c r="I16" s="20">
        <v>1.4341706982736715E-3</v>
      </c>
      <c r="J16" s="20">
        <v>6.5928422755124954E-3</v>
      </c>
      <c r="K16" s="20">
        <v>4.5012630714911954E-2</v>
      </c>
      <c r="L16" s="20">
        <v>0</v>
      </c>
    </row>
    <row r="17" spans="1:12">
      <c r="A17" s="2" t="s">
        <v>337</v>
      </c>
      <c r="B17" s="3" t="s">
        <v>338</v>
      </c>
      <c r="D17" s="20">
        <v>2.5772266869987958E-5</v>
      </c>
      <c r="E17" s="20">
        <v>0.94459012397712627</v>
      </c>
      <c r="F17" s="20">
        <v>0.72172426034521464</v>
      </c>
      <c r="G17" s="20">
        <v>0.21560898717197763</v>
      </c>
      <c r="H17" s="20">
        <v>0</v>
      </c>
      <c r="I17" s="20">
        <v>7.2568764599339778E-3</v>
      </c>
      <c r="J17" s="20">
        <v>2.4709947309752966E-3</v>
      </c>
      <c r="K17" s="20">
        <v>5.2913109025028375E-2</v>
      </c>
      <c r="L17" s="20">
        <v>0</v>
      </c>
    </row>
    <row r="18" spans="1:12">
      <c r="A18" s="2" t="s">
        <v>279</v>
      </c>
      <c r="B18" s="3" t="s">
        <v>280</v>
      </c>
      <c r="D18" s="20">
        <v>2.7536872477458589E-3</v>
      </c>
      <c r="E18" s="20">
        <v>0.87912925483111581</v>
      </c>
      <c r="F18" s="20">
        <v>0.66394682384946802</v>
      </c>
      <c r="G18" s="20">
        <v>0.13256499295095822</v>
      </c>
      <c r="H18" s="20">
        <v>0</v>
      </c>
      <c r="I18" s="20">
        <v>8.2617438030689577E-2</v>
      </c>
      <c r="J18" s="20">
        <v>1.5098829729519162E-3</v>
      </c>
      <c r="K18" s="20">
        <v>0.11660717494818651</v>
      </c>
      <c r="L18" s="20">
        <v>0</v>
      </c>
    </row>
    <row r="19" spans="1:12">
      <c r="A19" s="2" t="s">
        <v>339</v>
      </c>
      <c r="B19" s="3" t="s">
        <v>340</v>
      </c>
      <c r="D19" s="20">
        <v>2.5637909544485516E-7</v>
      </c>
      <c r="E19" s="20">
        <v>0.94387019918052528</v>
      </c>
      <c r="F19" s="20">
        <v>0.69678901486973766</v>
      </c>
      <c r="G19" s="20">
        <v>0.24065608683293388</v>
      </c>
      <c r="H19" s="20">
        <v>0</v>
      </c>
      <c r="I19" s="20">
        <v>6.425097477853749E-3</v>
      </c>
      <c r="J19" s="20">
        <v>2.7600275713369985E-3</v>
      </c>
      <c r="K19" s="20">
        <v>5.3369516869042177E-2</v>
      </c>
      <c r="L19" s="20">
        <v>0</v>
      </c>
    </row>
    <row r="20" spans="1:12">
      <c r="A20" s="2" t="s">
        <v>281</v>
      </c>
      <c r="B20" s="3" t="s">
        <v>282</v>
      </c>
      <c r="D20" s="20">
        <v>2.1315651376923687E-5</v>
      </c>
      <c r="E20" s="20">
        <v>0.89199679883385519</v>
      </c>
      <c r="F20" s="20">
        <v>0.69138076521496594</v>
      </c>
      <c r="G20" s="20">
        <v>0.13527353781988496</v>
      </c>
      <c r="H20" s="20">
        <v>0</v>
      </c>
      <c r="I20" s="20">
        <v>6.5342495799004252E-2</v>
      </c>
      <c r="J20" s="20">
        <v>1.5408063509041404E-3</v>
      </c>
      <c r="K20" s="20">
        <v>0.10644107916386387</v>
      </c>
      <c r="L20" s="20">
        <v>0</v>
      </c>
    </row>
    <row r="21" spans="1:12">
      <c r="A21" s="2" t="s">
        <v>341</v>
      </c>
      <c r="B21" s="3" t="s">
        <v>342</v>
      </c>
      <c r="D21" s="20">
        <v>3.7548980266618212E-4</v>
      </c>
      <c r="E21" s="20">
        <v>0.9424835124176083</v>
      </c>
      <c r="F21" s="20">
        <v>0.62375900939257689</v>
      </c>
      <c r="G21" s="20">
        <v>0.31413215009246481</v>
      </c>
      <c r="H21" s="20">
        <v>0</v>
      </c>
      <c r="I21" s="20">
        <v>4.5923529325665839E-3</v>
      </c>
      <c r="J21" s="20">
        <v>3.6095723860010039E-3</v>
      </c>
      <c r="K21" s="20">
        <v>5.3531425393724602E-2</v>
      </c>
      <c r="L21" s="20">
        <v>0</v>
      </c>
    </row>
    <row r="22" spans="1:12">
      <c r="A22" s="2" t="s">
        <v>343</v>
      </c>
      <c r="B22" s="3" t="s">
        <v>344</v>
      </c>
      <c r="D22" s="20">
        <v>1.8280504407611044E-3</v>
      </c>
      <c r="E22" s="20">
        <v>0.85422606447625093</v>
      </c>
      <c r="F22" s="20">
        <v>0.1439484057006627</v>
      </c>
      <c r="G22" s="20">
        <v>3.7540704165150221E-2</v>
      </c>
      <c r="H22" s="20">
        <v>0</v>
      </c>
      <c r="I22" s="20">
        <v>0.67273695461043803</v>
      </c>
      <c r="J22" s="20">
        <v>4.6341804975090766E-4</v>
      </c>
      <c r="K22" s="20">
        <v>0.14348246703323717</v>
      </c>
      <c r="L22" s="20">
        <v>0</v>
      </c>
    </row>
    <row r="23" spans="1:12">
      <c r="A23" s="2" t="s">
        <v>345</v>
      </c>
      <c r="B23" s="3" t="s">
        <v>346</v>
      </c>
      <c r="D23" s="20">
        <v>7.4334543208190286E-5</v>
      </c>
      <c r="E23" s="20">
        <v>0.89553359096698082</v>
      </c>
      <c r="F23" s="20">
        <v>6.5495183207189597E-2</v>
      </c>
      <c r="G23" s="20">
        <v>1.8352909230399589E-2</v>
      </c>
      <c r="H23" s="20">
        <v>0</v>
      </c>
      <c r="I23" s="20">
        <v>0.81168549852939165</v>
      </c>
      <c r="J23" s="20">
        <v>2.5596764992145293E-4</v>
      </c>
      <c r="K23" s="20">
        <v>0.10413610683988939</v>
      </c>
      <c r="L23" s="20">
        <v>0</v>
      </c>
    </row>
    <row r="24" spans="1:12">
      <c r="A24" s="2" t="s">
        <v>347</v>
      </c>
      <c r="B24" s="3" t="s">
        <v>348</v>
      </c>
      <c r="D24" s="20">
        <v>6.8711918073133547E-5</v>
      </c>
      <c r="E24" s="20">
        <v>0.83830999851224697</v>
      </c>
      <c r="F24" s="20">
        <v>0.51386703263962485</v>
      </c>
      <c r="G24" s="20">
        <v>0.11208469428493213</v>
      </c>
      <c r="H24" s="20">
        <v>0</v>
      </c>
      <c r="I24" s="20">
        <v>0.21235827158768997</v>
      </c>
      <c r="J24" s="20">
        <v>1.2809746200754416E-3</v>
      </c>
      <c r="K24" s="20">
        <v>0.16034031494960457</v>
      </c>
      <c r="L24" s="20">
        <v>0</v>
      </c>
    </row>
    <row r="25" spans="1:12">
      <c r="A25" s="2" t="s">
        <v>349</v>
      </c>
      <c r="B25" s="3" t="s">
        <v>350</v>
      </c>
      <c r="D25" s="20">
        <v>1.1301606182951092E-2</v>
      </c>
      <c r="E25" s="20">
        <v>0.91966288049778311</v>
      </c>
      <c r="F25" s="20">
        <v>0.760254245510807</v>
      </c>
      <c r="G25" s="20">
        <v>0.13666408860124415</v>
      </c>
      <c r="H25" s="20">
        <v>0</v>
      </c>
      <c r="I25" s="20">
        <v>2.2744546385731916E-2</v>
      </c>
      <c r="J25" s="20">
        <v>1.5592801705111515E-3</v>
      </c>
      <c r="K25" s="20">
        <v>6.7476233148754672E-2</v>
      </c>
      <c r="L25" s="20">
        <v>0</v>
      </c>
    </row>
    <row r="26" spans="1:12">
      <c r="A26" s="2" t="s">
        <v>351</v>
      </c>
      <c r="B26" s="3" t="s">
        <v>352</v>
      </c>
      <c r="D26" s="20">
        <v>3.0130289332884784E-4</v>
      </c>
      <c r="E26" s="20">
        <v>0.94266645223131218</v>
      </c>
      <c r="F26" s="20">
        <v>0.64153740990647146</v>
      </c>
      <c r="G26" s="20">
        <v>0.29615395839057651</v>
      </c>
      <c r="H26" s="20">
        <v>0</v>
      </c>
      <c r="I26" s="20">
        <v>4.975083934264192E-3</v>
      </c>
      <c r="J26" s="20">
        <v>3.4014835000953348E-3</v>
      </c>
      <c r="K26" s="20">
        <v>5.3630761375263847E-2</v>
      </c>
      <c r="L26" s="20">
        <v>0</v>
      </c>
    </row>
    <row r="27" spans="1:12">
      <c r="A27" s="2" t="s">
        <v>353</v>
      </c>
      <c r="B27" s="3" t="s">
        <v>354</v>
      </c>
      <c r="D27" s="20">
        <v>2.0454727083197661E-3</v>
      </c>
      <c r="E27" s="20">
        <v>0.95235482874772859</v>
      </c>
      <c r="F27" s="20">
        <v>0.27034128490660331</v>
      </c>
      <c r="G27" s="20">
        <v>0.68125221759976262</v>
      </c>
      <c r="H27" s="20">
        <v>0</v>
      </c>
      <c r="I27" s="20">
        <v>7.6132624136265165E-4</v>
      </c>
      <c r="J27" s="20">
        <v>7.8942293194402824E-3</v>
      </c>
      <c r="K27" s="20">
        <v>3.7705469224511491E-2</v>
      </c>
      <c r="L27" s="20">
        <v>0</v>
      </c>
    </row>
    <row r="28" spans="1:12">
      <c r="A28" s="2" t="s">
        <v>355</v>
      </c>
      <c r="B28" s="3" t="s">
        <v>356</v>
      </c>
      <c r="D28" s="20">
        <v>1.129942207978644E-4</v>
      </c>
      <c r="E28" s="20">
        <v>0.94377971658256854</v>
      </c>
      <c r="F28" s="20">
        <v>0.50894976238790146</v>
      </c>
      <c r="G28" s="20">
        <v>0.43208627492673662</v>
      </c>
      <c r="H28" s="20">
        <v>0</v>
      </c>
      <c r="I28" s="20">
        <v>2.7436792679304475E-3</v>
      </c>
      <c r="J28" s="20">
        <v>4.9783370740240033E-3</v>
      </c>
      <c r="K28" s="20">
        <v>5.1128952122609643E-2</v>
      </c>
      <c r="L28" s="20">
        <v>0</v>
      </c>
    </row>
    <row r="29" spans="1:12">
      <c r="A29" s="2" t="s">
        <v>357</v>
      </c>
      <c r="B29" s="3" t="s">
        <v>358</v>
      </c>
      <c r="D29" s="20">
        <v>2.2888965147414259E-2</v>
      </c>
      <c r="E29" s="20">
        <v>0.92122480964584919</v>
      </c>
      <c r="F29" s="20">
        <v>0.5918952328713849</v>
      </c>
      <c r="G29" s="20">
        <v>0.32519240771718733</v>
      </c>
      <c r="H29" s="20">
        <v>0</v>
      </c>
      <c r="I29" s="20">
        <v>4.13716905727699E-3</v>
      </c>
      <c r="J29" s="20">
        <v>3.7383258993968255E-3</v>
      </c>
      <c r="K29" s="20">
        <v>5.2147899307339762E-2</v>
      </c>
      <c r="L29" s="20">
        <v>0</v>
      </c>
    </row>
    <row r="30" spans="1:12">
      <c r="A30" s="2" t="s">
        <v>359</v>
      </c>
      <c r="B30" s="3" t="s">
        <v>360</v>
      </c>
      <c r="D30" s="20">
        <v>1.129942207978644E-4</v>
      </c>
      <c r="E30" s="20">
        <v>0.94377971658256854</v>
      </c>
      <c r="F30" s="20">
        <v>0.50894976238790146</v>
      </c>
      <c r="G30" s="20">
        <v>0.43208627492673662</v>
      </c>
      <c r="H30" s="20">
        <v>0</v>
      </c>
      <c r="I30" s="20">
        <v>2.7436792679304475E-3</v>
      </c>
      <c r="J30" s="20">
        <v>4.9783370740240033E-3</v>
      </c>
      <c r="K30" s="20">
        <v>5.1128952122609643E-2</v>
      </c>
      <c r="L30" s="20">
        <v>0</v>
      </c>
    </row>
    <row r="31" spans="1:12">
      <c r="A31" s="2" t="s">
        <v>283</v>
      </c>
      <c r="B31" s="3" t="s">
        <v>284</v>
      </c>
      <c r="D31" s="20">
        <v>2.066988890906425E-8</v>
      </c>
      <c r="E31" s="20">
        <v>0.98994162282271547</v>
      </c>
      <c r="F31" s="20">
        <v>6.0863486498491436E-4</v>
      </c>
      <c r="G31" s="20">
        <v>2.4426001655174494E-4</v>
      </c>
      <c r="H31" s="20">
        <v>0</v>
      </c>
      <c r="I31" s="20">
        <v>0.98908872794117886</v>
      </c>
      <c r="J31" s="20">
        <v>6.4138861503687563E-5</v>
      </c>
      <c r="K31" s="20">
        <v>9.9942176458919802E-3</v>
      </c>
      <c r="L31" s="20">
        <v>0</v>
      </c>
    </row>
    <row r="32" spans="1:12">
      <c r="A32" s="2" t="s">
        <v>361</v>
      </c>
      <c r="B32" s="3" t="s">
        <v>362</v>
      </c>
      <c r="D32" s="20">
        <v>2.0386197251647392E-8</v>
      </c>
      <c r="E32" s="20">
        <v>0.83251305323633273</v>
      </c>
      <c r="F32" s="20">
        <v>0.23984628519858492</v>
      </c>
      <c r="G32" s="20">
        <v>5.9135960872379323E-2</v>
      </c>
      <c r="H32" s="20">
        <v>0</v>
      </c>
      <c r="I32" s="20">
        <v>0.53353080716536849</v>
      </c>
      <c r="J32" s="20">
        <v>7.0534838095198356E-4</v>
      </c>
      <c r="K32" s="20">
        <v>0.16678157799651785</v>
      </c>
      <c r="L32" s="20">
        <v>0</v>
      </c>
    </row>
    <row r="33" spans="1:12">
      <c r="A33" s="2" t="s">
        <v>364</v>
      </c>
      <c r="B33" s="3" t="s">
        <v>365</v>
      </c>
      <c r="D33" s="20">
        <v>9.3888343001824881E-11</v>
      </c>
      <c r="E33" s="20">
        <v>0.99991362117898175</v>
      </c>
      <c r="F33" s="20">
        <v>4.2021786493534495E-3</v>
      </c>
      <c r="G33" s="20">
        <v>1.2849961736930491E-6</v>
      </c>
      <c r="H33" s="20">
        <v>0</v>
      </c>
      <c r="I33" s="20">
        <v>0.9957101575334546</v>
      </c>
      <c r="J33" s="20">
        <v>6.227976966181508E-5</v>
      </c>
      <c r="K33" s="20">
        <v>2.4098957468263391E-5</v>
      </c>
      <c r="L33" s="20">
        <v>0</v>
      </c>
    </row>
    <row r="34" spans="1:12">
      <c r="A34" s="2" t="s">
        <v>285</v>
      </c>
      <c r="B34" s="3" t="s">
        <v>286</v>
      </c>
      <c r="D34" s="20">
        <v>2.7916990065027521E-10</v>
      </c>
      <c r="E34" s="20">
        <v>0.99985175779348812</v>
      </c>
      <c r="F34" s="20">
        <v>0.45216923449631546</v>
      </c>
      <c r="G34" s="20">
        <v>3.7134323530319709E-5</v>
      </c>
      <c r="H34" s="20">
        <v>0</v>
      </c>
      <c r="I34" s="20">
        <v>0.54764538897364234</v>
      </c>
      <c r="J34" s="20">
        <v>6.611757878546681E-5</v>
      </c>
      <c r="K34" s="20">
        <v>8.2124348556437946E-5</v>
      </c>
      <c r="L34" s="20">
        <v>0</v>
      </c>
    </row>
    <row r="35" spans="1:12">
      <c r="A35" s="2" t="s">
        <v>287</v>
      </c>
      <c r="B35" s="3" t="s">
        <v>288</v>
      </c>
      <c r="D35" s="20">
        <v>8.1331547210248703E-12</v>
      </c>
      <c r="E35" s="20">
        <v>0.99973501232034689</v>
      </c>
      <c r="F35" s="20">
        <v>0.67533906401555577</v>
      </c>
      <c r="G35" s="20">
        <v>1.3078236727915533E-4</v>
      </c>
      <c r="H35" s="20">
        <v>0</v>
      </c>
      <c r="I35" s="20">
        <v>0.32426516593751198</v>
      </c>
      <c r="J35" s="20">
        <v>6.6174288685376623E-5</v>
      </c>
      <c r="K35" s="20">
        <v>1.9881338283438894E-4</v>
      </c>
      <c r="L35" s="20">
        <v>0</v>
      </c>
    </row>
    <row r="36" spans="1:12">
      <c r="A36" s="2" t="s">
        <v>366</v>
      </c>
      <c r="B36" s="3" t="s">
        <v>305</v>
      </c>
      <c r="D36" s="20">
        <v>1.4338839369644037E-8</v>
      </c>
      <c r="E36" s="20">
        <v>0.99971438134777568</v>
      </c>
      <c r="F36" s="20">
        <v>0.89129136122444541</v>
      </c>
      <c r="G36" s="20">
        <v>2.5518872419429698E-4</v>
      </c>
      <c r="H36" s="20">
        <v>0</v>
      </c>
      <c r="I36" s="20">
        <v>0.10816783139913599</v>
      </c>
      <c r="J36" s="20">
        <v>6.3397228774342572E-5</v>
      </c>
      <c r="K36" s="20">
        <v>2.2220708461071823E-4</v>
      </c>
      <c r="L36" s="20">
        <v>0</v>
      </c>
    </row>
    <row r="37" spans="1:12">
      <c r="A37" s="2" t="s">
        <v>289</v>
      </c>
      <c r="B37" s="3" t="s">
        <v>290</v>
      </c>
      <c r="D37" s="20">
        <v>3.3995719652484499E-15</v>
      </c>
      <c r="E37" s="20">
        <v>0.96855258617537199</v>
      </c>
      <c r="F37" s="20">
        <v>0.72675684330600687</v>
      </c>
      <c r="G37" s="20">
        <v>2.4811820513760578E-2</v>
      </c>
      <c r="H37" s="20">
        <v>0</v>
      </c>
      <c r="I37" s="20">
        <v>0.21698392235560457</v>
      </c>
      <c r="J37" s="20">
        <v>3.3347083684116103E-4</v>
      </c>
      <c r="K37" s="20">
        <v>3.1113942987783364E-2</v>
      </c>
      <c r="L37" s="20">
        <v>0</v>
      </c>
    </row>
    <row r="38" spans="1:12">
      <c r="A38" s="2" t="s">
        <v>291</v>
      </c>
      <c r="B38" s="3" t="s">
        <v>292</v>
      </c>
      <c r="D38" s="20">
        <v>9.4063320432205892E-13</v>
      </c>
      <c r="E38" s="20">
        <v>0.99913577359136585</v>
      </c>
      <c r="F38" s="20">
        <v>0.38495519284483781</v>
      </c>
      <c r="G38" s="20">
        <v>3.2160828645187207E-4</v>
      </c>
      <c r="H38" s="20">
        <v>0</v>
      </c>
      <c r="I38" s="20">
        <v>0.61385897246007615</v>
      </c>
      <c r="J38" s="20">
        <v>6.912293399590024E-5</v>
      </c>
      <c r="K38" s="20">
        <v>7.9510347369755028E-4</v>
      </c>
      <c r="L38" s="20">
        <v>0</v>
      </c>
    </row>
    <row r="39" spans="1:12">
      <c r="A39" s="2" t="s">
        <v>367</v>
      </c>
      <c r="B39" s="3" t="s">
        <v>368</v>
      </c>
      <c r="D39" s="20">
        <v>1.2071774138587508E-5</v>
      </c>
      <c r="E39" s="20">
        <v>0.94862267471508777</v>
      </c>
      <c r="F39" s="20">
        <v>0.79815968086571332</v>
      </c>
      <c r="G39" s="20">
        <v>0.13940724380732814</v>
      </c>
      <c r="H39" s="20">
        <v>0</v>
      </c>
      <c r="I39" s="20">
        <v>1.1055750042046284E-2</v>
      </c>
      <c r="J39" s="20">
        <v>1.5936352321187014E-3</v>
      </c>
      <c r="K39" s="20">
        <v>4.9771618278655158E-2</v>
      </c>
      <c r="L39" s="20">
        <v>0</v>
      </c>
    </row>
    <row r="40" spans="1:12">
      <c r="A40" s="2" t="s">
        <v>369</v>
      </c>
      <c r="B40" s="3" t="s">
        <v>370</v>
      </c>
      <c r="D40" s="20">
        <v>7.2420992718595811E-13</v>
      </c>
      <c r="E40" s="20">
        <v>0.99425439714759656</v>
      </c>
      <c r="F40" s="20">
        <v>0.92622934045573746</v>
      </c>
      <c r="G40" s="20">
        <v>6.7009890935153735E-2</v>
      </c>
      <c r="H40" s="20">
        <v>0</v>
      </c>
      <c r="I40" s="20">
        <v>1.0151657567053106E-3</v>
      </c>
      <c r="J40" s="20">
        <v>4.5163666787969162E-3</v>
      </c>
      <c r="K40" s="20">
        <v>1.229236172882546E-3</v>
      </c>
      <c r="L40" s="20">
        <v>0</v>
      </c>
    </row>
    <row r="41" spans="1:12">
      <c r="A41" s="2" t="s">
        <v>371</v>
      </c>
      <c r="B41" s="3" t="s">
        <v>372</v>
      </c>
      <c r="D41" s="20">
        <v>6.4977148020124484E-2</v>
      </c>
      <c r="E41" s="20">
        <v>0.93299154104710924</v>
      </c>
      <c r="F41" s="20">
        <v>2.856138935546151E-5</v>
      </c>
      <c r="G41" s="20">
        <v>1.4297986577941808E-5</v>
      </c>
      <c r="H41" s="20">
        <v>0</v>
      </c>
      <c r="I41" s="20">
        <v>0.93294868167117584</v>
      </c>
      <c r="J41" s="20">
        <v>5.8110028713495846E-5</v>
      </c>
      <c r="K41" s="20">
        <v>1.9732009040529467E-3</v>
      </c>
      <c r="L41" s="20">
        <v>0</v>
      </c>
    </row>
    <row r="42" spans="1:12">
      <c r="A42" s="2" t="s">
        <v>293</v>
      </c>
      <c r="B42" s="3" t="s">
        <v>294</v>
      </c>
      <c r="D42" s="20">
        <v>1.6472043034067768E-8</v>
      </c>
      <c r="E42" s="20">
        <v>0.84743076126295158</v>
      </c>
      <c r="F42" s="20">
        <v>0.16988934914492404</v>
      </c>
      <c r="G42" s="20">
        <v>4.3577439429728589E-2</v>
      </c>
      <c r="H42" s="20">
        <v>0</v>
      </c>
      <c r="I42" s="20">
        <v>0.63396397268829896</v>
      </c>
      <c r="J42" s="20">
        <v>5.2912854311134325E-4</v>
      </c>
      <c r="K42" s="20">
        <v>0.152040093721894</v>
      </c>
      <c r="L42" s="20">
        <v>0</v>
      </c>
    </row>
    <row r="43" spans="1:12">
      <c r="A43" s="2" t="s">
        <v>373</v>
      </c>
      <c r="B43" s="3" t="s">
        <v>374</v>
      </c>
      <c r="D43" s="20">
        <v>3.3556004070540872E-8</v>
      </c>
      <c r="E43" s="20">
        <v>0.99969862392288233</v>
      </c>
      <c r="F43" s="20">
        <v>0.99004421579296098</v>
      </c>
      <c r="G43" s="20">
        <v>8.3594270510736366E-4</v>
      </c>
      <c r="H43" s="20">
        <v>0</v>
      </c>
      <c r="I43" s="20">
        <v>8.818465424813968E-3</v>
      </c>
      <c r="J43" s="20">
        <v>1.2332082562501717E-4</v>
      </c>
      <c r="K43" s="20">
        <v>1.7802169548846355E-4</v>
      </c>
      <c r="L43" s="20">
        <v>0</v>
      </c>
    </row>
    <row r="44" spans="1:12">
      <c r="A44" s="2" t="s">
        <v>375</v>
      </c>
      <c r="B44" s="3" t="s">
        <v>376</v>
      </c>
      <c r="D44" s="20">
        <v>7.2978073382040112E-2</v>
      </c>
      <c r="E44" s="20">
        <v>0.867740156519895</v>
      </c>
      <c r="F44" s="20">
        <v>2.1449198981853261E-2</v>
      </c>
      <c r="G44" s="20">
        <v>6.5419411580118778E-3</v>
      </c>
      <c r="H44" s="20">
        <v>0</v>
      </c>
      <c r="I44" s="20">
        <v>0.83974901638002986</v>
      </c>
      <c r="J44" s="20">
        <v>1.2519065474730776E-4</v>
      </c>
      <c r="K44" s="20">
        <v>5.9156579443317522E-2</v>
      </c>
      <c r="L44" s="20">
        <v>0</v>
      </c>
    </row>
    <row r="45" spans="1:12">
      <c r="A45" s="2" t="s">
        <v>377</v>
      </c>
      <c r="B45" s="3" t="s">
        <v>378</v>
      </c>
      <c r="D45" s="20">
        <v>6.3138718928029637E-4</v>
      </c>
      <c r="E45" s="20">
        <v>0.84017608012718903</v>
      </c>
      <c r="F45" s="20">
        <v>0.19503585126610673</v>
      </c>
      <c r="G45" s="20">
        <v>4.9295809830007517E-2</v>
      </c>
      <c r="H45" s="20">
        <v>0</v>
      </c>
      <c r="I45" s="20">
        <v>0.59584441903107477</v>
      </c>
      <c r="J45" s="20">
        <v>5.9134824731999771E-4</v>
      </c>
      <c r="K45" s="20">
        <v>0.1586011844362108</v>
      </c>
      <c r="L45" s="20">
        <v>0</v>
      </c>
    </row>
    <row r="46" spans="1:12">
      <c r="A46" s="2" t="s">
        <v>379</v>
      </c>
      <c r="B46" s="3" t="s">
        <v>380</v>
      </c>
      <c r="D46" s="20">
        <v>1.8899744516881125E-3</v>
      </c>
      <c r="E46" s="20">
        <v>0.84322321649123144</v>
      </c>
      <c r="F46" s="20">
        <v>0.17876175833751115</v>
      </c>
      <c r="G46" s="20">
        <v>4.5600559697387459E-2</v>
      </c>
      <c r="H46" s="20">
        <v>0</v>
      </c>
      <c r="I46" s="20">
        <v>0.61886089845633285</v>
      </c>
      <c r="J46" s="20">
        <v>5.510387421721265E-4</v>
      </c>
      <c r="K46" s="20">
        <v>0.15433577031490828</v>
      </c>
      <c r="L46" s="20">
        <v>0</v>
      </c>
    </row>
    <row r="47" spans="1:12">
      <c r="A47" s="2" t="s">
        <v>381</v>
      </c>
      <c r="B47" s="3" t="s">
        <v>382</v>
      </c>
      <c r="D47" s="20">
        <v>3.4742065071367971E-8</v>
      </c>
      <c r="E47" s="20">
        <v>0.95523446635893128</v>
      </c>
      <c r="F47" s="20">
        <v>0.25732045679967086</v>
      </c>
      <c r="G47" s="20">
        <v>0.69722005227406203</v>
      </c>
      <c r="H47" s="20">
        <v>0</v>
      </c>
      <c r="I47" s="20">
        <v>6.939572851983758E-4</v>
      </c>
      <c r="J47" s="20">
        <v>8.0823769319267671E-3</v>
      </c>
      <c r="K47" s="20">
        <v>3.6683121967076994E-2</v>
      </c>
      <c r="L47" s="20">
        <v>0</v>
      </c>
    </row>
    <row r="48" spans="1:12">
      <c r="A48" s="2" t="s">
        <v>383</v>
      </c>
      <c r="B48" s="3" t="s">
        <v>384</v>
      </c>
      <c r="D48" s="20">
        <v>9.6061755034446191E-3</v>
      </c>
      <c r="E48" s="20">
        <v>0.95641335039227804</v>
      </c>
      <c r="F48" s="20">
        <v>6.5943075951725083E-3</v>
      </c>
      <c r="G48" s="20">
        <v>2.2134247232070336E-3</v>
      </c>
      <c r="H48" s="20">
        <v>0</v>
      </c>
      <c r="I48" s="20">
        <v>0.94760561807389854</v>
      </c>
      <c r="J48" s="20">
        <v>8.3480822480087652E-5</v>
      </c>
      <c r="K48" s="20">
        <v>3.3896993281797239E-2</v>
      </c>
      <c r="L48" s="20">
        <v>0</v>
      </c>
    </row>
    <row r="49" spans="1:12">
      <c r="A49" s="2" t="s">
        <v>385</v>
      </c>
      <c r="B49" s="3" t="s">
        <v>386</v>
      </c>
      <c r="D49" s="20">
        <v>1.8252737431782403E-2</v>
      </c>
      <c r="E49" s="20">
        <v>0.93605011157515472</v>
      </c>
      <c r="F49" s="20">
        <v>1.1965936415795785E-2</v>
      </c>
      <c r="G49" s="20">
        <v>3.8356789233940287E-3</v>
      </c>
      <c r="H49" s="20">
        <v>0</v>
      </c>
      <c r="I49" s="20">
        <v>0.92024849623596494</v>
      </c>
      <c r="J49" s="20">
        <v>9.9899313087685443E-5</v>
      </c>
      <c r="K49" s="20">
        <v>4.5597251679975088E-2</v>
      </c>
      <c r="L49" s="20">
        <v>0</v>
      </c>
    </row>
    <row r="50" spans="1:12">
      <c r="A50" s="2" t="s">
        <v>387</v>
      </c>
      <c r="B50" s="3" t="s">
        <v>388</v>
      </c>
      <c r="D50" s="20">
        <v>5.9697534331342025E-3</v>
      </c>
      <c r="E50" s="20">
        <v>0.87341886296688276</v>
      </c>
      <c r="F50" s="20">
        <v>0.65429722486436448</v>
      </c>
      <c r="G50" s="20">
        <v>0.13136226667587639</v>
      </c>
      <c r="H50" s="20">
        <v>0</v>
      </c>
      <c r="I50" s="20">
        <v>8.7759371426641905E-2</v>
      </c>
      <c r="J50" s="20">
        <v>1.4962192262439717E-3</v>
      </c>
      <c r="K50" s="20">
        <v>0.11911516437373915</v>
      </c>
      <c r="L50" s="20">
        <v>0</v>
      </c>
    </row>
    <row r="51" spans="1:12">
      <c r="A51" s="2" t="s">
        <v>295</v>
      </c>
      <c r="B51" s="3" t="s">
        <v>296</v>
      </c>
      <c r="D51" s="20">
        <v>5.2650378198468004E-2</v>
      </c>
      <c r="E51" s="20">
        <v>0.93439843323973304</v>
      </c>
      <c r="F51" s="20">
        <v>1.0462131621435968E-3</v>
      </c>
      <c r="G51" s="20">
        <v>4.0171285986986138E-4</v>
      </c>
      <c r="H51" s="20">
        <v>0</v>
      </c>
      <c r="I51" s="20">
        <v>0.93295050721771955</v>
      </c>
      <c r="J51" s="20">
        <v>6.2398327771884878E-5</v>
      </c>
      <c r="K51" s="20">
        <v>1.2888790234027244E-2</v>
      </c>
      <c r="L51" s="20">
        <v>0</v>
      </c>
    </row>
    <row r="52" spans="1:12">
      <c r="A52" s="2" t="s">
        <v>389</v>
      </c>
      <c r="B52" s="3" t="s">
        <v>390</v>
      </c>
      <c r="D52" s="20">
        <v>6.029335647626511E-2</v>
      </c>
      <c r="E52" s="20">
        <v>0.86128354081096048</v>
      </c>
      <c r="F52" s="20">
        <v>3.7817093353370232E-2</v>
      </c>
      <c r="G52" s="20">
        <v>1.1035288739409174E-2</v>
      </c>
      <c r="H52" s="20">
        <v>0</v>
      </c>
      <c r="I52" s="20">
        <v>0.81243115871818106</v>
      </c>
      <c r="J52" s="20">
        <v>1.7386386571602365E-4</v>
      </c>
      <c r="K52" s="20">
        <v>7.8249238847058283E-2</v>
      </c>
      <c r="L52" s="20">
        <v>0</v>
      </c>
    </row>
    <row r="53" spans="1:12">
      <c r="A53" s="2" t="s">
        <v>391</v>
      </c>
      <c r="B53" s="3" t="s">
        <v>392</v>
      </c>
      <c r="D53" s="20">
        <v>1.8946355360688542E-3</v>
      </c>
      <c r="E53" s="20">
        <v>0.82449973968610046</v>
      </c>
      <c r="F53" s="20">
        <v>0.28664499495319679</v>
      </c>
      <c r="G53" s="20">
        <v>6.9189456388024276E-2</v>
      </c>
      <c r="H53" s="20">
        <v>0</v>
      </c>
      <c r="I53" s="20">
        <v>0.46866528834487936</v>
      </c>
      <c r="J53" s="20">
        <v>8.0856871261807009E-4</v>
      </c>
      <c r="K53" s="20">
        <v>0.17279705606521267</v>
      </c>
      <c r="L53" s="20">
        <v>0</v>
      </c>
    </row>
    <row r="54" spans="1:12">
      <c r="A54" s="2" t="s">
        <v>393</v>
      </c>
      <c r="B54" s="3" t="s">
        <v>394</v>
      </c>
      <c r="D54" s="20">
        <v>1.6053535474584832E-4</v>
      </c>
      <c r="E54" s="20">
        <v>0.95181162955575194</v>
      </c>
      <c r="F54" s="20">
        <v>0.30802741866383865</v>
      </c>
      <c r="G54" s="20">
        <v>0.6428134152857109</v>
      </c>
      <c r="H54" s="20">
        <v>0</v>
      </c>
      <c r="I54" s="20">
        <v>9.7079560620239166E-4</v>
      </c>
      <c r="J54" s="20">
        <v>7.4413583423141331E-3</v>
      </c>
      <c r="K54" s="20">
        <v>4.0586476747188231E-2</v>
      </c>
      <c r="L54" s="20">
        <v>0</v>
      </c>
    </row>
    <row r="55" spans="1:12">
      <c r="A55" s="2" t="s">
        <v>395</v>
      </c>
      <c r="B55" s="3" t="s">
        <v>396</v>
      </c>
      <c r="D55" s="20">
        <v>0.12651190661905889</v>
      </c>
      <c r="E55" s="20">
        <v>0.73627034625492405</v>
      </c>
      <c r="F55" s="20">
        <v>0.46854368105687244</v>
      </c>
      <c r="G55" s="20">
        <v>0.10107544000132669</v>
      </c>
      <c r="H55" s="20">
        <v>0</v>
      </c>
      <c r="I55" s="20">
        <v>0.16665122519672496</v>
      </c>
      <c r="J55" s="20">
        <v>1.1541145827332949E-3</v>
      </c>
      <c r="K55" s="20">
        <v>0.13606363254328377</v>
      </c>
      <c r="L55" s="20">
        <v>0</v>
      </c>
    </row>
    <row r="56" spans="1:12">
      <c r="A56" s="2" t="s">
        <v>397</v>
      </c>
      <c r="B56" s="3" t="s">
        <v>398</v>
      </c>
      <c r="D56" s="20">
        <v>0.57173666862474248</v>
      </c>
      <c r="E56" s="20">
        <v>0.38821907692054303</v>
      </c>
      <c r="F56" s="20">
        <v>0.30975243644209061</v>
      </c>
      <c r="G56" s="20">
        <v>5.8845097463301244E-2</v>
      </c>
      <c r="H56" s="20">
        <v>0</v>
      </c>
      <c r="I56" s="20">
        <v>1.9621543015151149E-2</v>
      </c>
      <c r="J56" s="20">
        <v>6.705110032695585E-4</v>
      </c>
      <c r="K56" s="20">
        <v>3.9373743451444961E-2</v>
      </c>
      <c r="L56" s="20">
        <v>0</v>
      </c>
    </row>
    <row r="57" spans="1:12">
      <c r="A57" s="2" t="s">
        <v>399</v>
      </c>
      <c r="B57" s="3" t="s">
        <v>400</v>
      </c>
      <c r="D57" s="20">
        <v>0.75373907202563062</v>
      </c>
      <c r="E57" s="20">
        <v>0.21030188962162433</v>
      </c>
      <c r="F57" s="20">
        <v>0.14329786271635675</v>
      </c>
      <c r="G57" s="20">
        <v>3.0181114178252918E-2</v>
      </c>
      <c r="H57" s="20">
        <v>0</v>
      </c>
      <c r="I57" s="20">
        <v>3.6822912727014649E-2</v>
      </c>
      <c r="J57" s="20">
        <v>3.4414165024662847E-4</v>
      </c>
      <c r="K57" s="20">
        <v>3.5614896702498441E-2</v>
      </c>
      <c r="L57" s="20">
        <v>0</v>
      </c>
    </row>
    <row r="58" spans="1:12">
      <c r="A58" s="2" t="s">
        <v>297</v>
      </c>
      <c r="B58" s="3" t="s">
        <v>298</v>
      </c>
      <c r="D58" s="20">
        <v>0.91906250921431409</v>
      </c>
      <c r="E58" s="20">
        <v>7.6692434933230691E-2</v>
      </c>
      <c r="F58" s="20">
        <v>1.2530365375394937E-3</v>
      </c>
      <c r="G58" s="20">
        <v>3.9432952010108244E-4</v>
      </c>
      <c r="H58" s="20">
        <v>0</v>
      </c>
      <c r="I58" s="20">
        <v>7.5045068875590121E-2</v>
      </c>
      <c r="J58" s="20">
        <v>9.0581980339006051E-6</v>
      </c>
      <c r="K58" s="20">
        <v>4.2359976544215855E-3</v>
      </c>
      <c r="L58" s="20">
        <v>0</v>
      </c>
    </row>
    <row r="59" spans="1:12">
      <c r="A59" s="2" t="s">
        <v>401</v>
      </c>
      <c r="B59" s="3" t="s">
        <v>402</v>
      </c>
      <c r="D59" s="20">
        <v>0.90334666197721769</v>
      </c>
      <c r="E59" s="20">
        <v>8.2281309117785043E-2</v>
      </c>
      <c r="F59" s="20">
        <v>5.5267921035737293E-2</v>
      </c>
      <c r="G59" s="20">
        <v>1.1704926307604906E-2</v>
      </c>
      <c r="H59" s="20">
        <v>0</v>
      </c>
      <c r="I59" s="20">
        <v>1.5308461774442847E-2</v>
      </c>
      <c r="J59" s="20">
        <v>1.3350054764114396E-4</v>
      </c>
      <c r="K59" s="20">
        <v>1.4238528357356142E-2</v>
      </c>
      <c r="L59" s="20">
        <v>0</v>
      </c>
    </row>
    <row r="60" spans="1:12">
      <c r="A60" s="2" t="s">
        <v>299</v>
      </c>
      <c r="B60" s="3" t="s">
        <v>300</v>
      </c>
      <c r="D60" s="20">
        <v>0.99795816201739806</v>
      </c>
      <c r="E60" s="20">
        <v>1.6912114925180331E-3</v>
      </c>
      <c r="F60" s="20">
        <v>9.1060707195826239E-4</v>
      </c>
      <c r="G60" s="20">
        <v>2.0493992558484402E-4</v>
      </c>
      <c r="H60" s="20">
        <v>0</v>
      </c>
      <c r="I60" s="20">
        <v>5.7566449497492675E-4</v>
      </c>
      <c r="J60" s="20">
        <v>2.3509335371164825E-6</v>
      </c>
      <c r="K60" s="20">
        <v>3.4827555654691353E-4</v>
      </c>
      <c r="L60" s="20">
        <v>0</v>
      </c>
    </row>
    <row r="61" spans="1:12">
      <c r="A61" s="2" t="s">
        <v>403</v>
      </c>
      <c r="B61" s="3" t="s">
        <v>404</v>
      </c>
      <c r="D61" s="20">
        <v>4.3138813437837629E-44</v>
      </c>
      <c r="E61" s="20">
        <v>0.82372003050762288</v>
      </c>
      <c r="F61" s="20">
        <v>0.38290133425022072</v>
      </c>
      <c r="G61" s="20">
        <v>8.8589537640505964E-2</v>
      </c>
      <c r="H61" s="20">
        <v>0</v>
      </c>
      <c r="I61" s="20">
        <v>0.35222915861689619</v>
      </c>
      <c r="J61" s="20">
        <v>1.0215641472599048E-3</v>
      </c>
      <c r="K61" s="20">
        <v>0.17525840534511725</v>
      </c>
      <c r="L61" s="20">
        <v>0</v>
      </c>
    </row>
    <row r="62" spans="1:12">
      <c r="A62" s="2" t="s">
        <v>405</v>
      </c>
      <c r="B62" s="3" t="s">
        <v>406</v>
      </c>
      <c r="D62" s="20">
        <v>8.9901244698322818E-8</v>
      </c>
      <c r="E62" s="20">
        <v>0.94280699617821639</v>
      </c>
      <c r="F62" s="20">
        <v>0.60267668248597828</v>
      </c>
      <c r="G62" s="20">
        <v>0.33595409902190049</v>
      </c>
      <c r="H62" s="20">
        <v>0</v>
      </c>
      <c r="I62" s="20">
        <v>4.1762146703376544E-3</v>
      </c>
      <c r="J62" s="20">
        <v>3.8623267777577997E-3</v>
      </c>
      <c r="K62" s="20">
        <v>5.3330587142781043E-2</v>
      </c>
      <c r="L62" s="20">
        <v>0</v>
      </c>
    </row>
    <row r="63" spans="1:12">
      <c r="A63" s="2" t="s">
        <v>407</v>
      </c>
      <c r="B63" s="3" t="s">
        <v>408</v>
      </c>
      <c r="D63" s="20">
        <v>2.12939832661356E-5</v>
      </c>
      <c r="E63" s="20">
        <v>0.96105660439835738</v>
      </c>
      <c r="F63" s="20">
        <v>0.18305246974349937</v>
      </c>
      <c r="G63" s="20">
        <v>0.77762667197542934</v>
      </c>
      <c r="H63" s="20">
        <v>0</v>
      </c>
      <c r="I63" s="20">
        <v>3.7746267942865061E-4</v>
      </c>
      <c r="J63" s="20">
        <v>9.0361169820421285E-3</v>
      </c>
      <c r="K63" s="20">
        <v>2.9885984636334413E-2</v>
      </c>
      <c r="L63" s="20">
        <v>0</v>
      </c>
    </row>
    <row r="64" spans="1:12">
      <c r="A64" s="2" t="s">
        <v>409</v>
      </c>
      <c r="B64" s="3" t="s">
        <v>410</v>
      </c>
      <c r="D64" s="20">
        <v>2.6175439682752457E-6</v>
      </c>
      <c r="E64" s="20">
        <v>0.96984181443920336</v>
      </c>
      <c r="F64" s="20">
        <v>9.7929304426109504E-2</v>
      </c>
      <c r="G64" s="20">
        <v>0.87178265727983861</v>
      </c>
      <c r="H64" s="20">
        <v>0</v>
      </c>
      <c r="I64" s="20">
        <v>1.2985273325521513E-4</v>
      </c>
      <c r="J64" s="20">
        <v>1.0170545316301826E-2</v>
      </c>
      <c r="K64" s="20">
        <v>1.9985022700526548E-2</v>
      </c>
      <c r="L64" s="20">
        <v>0</v>
      </c>
    </row>
    <row r="65" spans="1:12">
      <c r="A65" s="2" t="s">
        <v>301</v>
      </c>
      <c r="B65" s="3" t="s">
        <v>302</v>
      </c>
      <c r="D65" s="20">
        <v>3.2130401111874294E-7</v>
      </c>
      <c r="E65" s="20">
        <v>0.97720450938785419</v>
      </c>
      <c r="F65" s="20">
        <v>4.5137222514876181E-2</v>
      </c>
      <c r="G65" s="20">
        <v>0.9320310631355414</v>
      </c>
      <c r="H65" s="20">
        <v>0</v>
      </c>
      <c r="I65" s="20">
        <v>3.6223737436562968E-5</v>
      </c>
      <c r="J65" s="20">
        <v>1.0923089492941802E-2</v>
      </c>
      <c r="K65" s="20">
        <v>1.1872079815193179E-2</v>
      </c>
      <c r="L65" s="20">
        <v>0</v>
      </c>
    </row>
    <row r="66" spans="1:12">
      <c r="A66" s="2" t="s">
        <v>303</v>
      </c>
      <c r="B66" s="3" t="s">
        <v>304</v>
      </c>
      <c r="D66" s="20">
        <v>3.1120843139864043E-13</v>
      </c>
      <c r="E66" s="20">
        <v>0.97338326207652348</v>
      </c>
      <c r="F66" s="20">
        <v>7.0561863035419267E-2</v>
      </c>
      <c r="G66" s="20">
        <v>0.90274604466740915</v>
      </c>
      <c r="H66" s="20">
        <v>0</v>
      </c>
      <c r="I66" s="20">
        <v>7.5354373695081265E-5</v>
      </c>
      <c r="J66" s="20">
        <v>1.0552430191476857E-2</v>
      </c>
      <c r="K66" s="20">
        <v>1.6064307731688481E-2</v>
      </c>
      <c r="L66" s="20">
        <v>0</v>
      </c>
    </row>
    <row r="67" spans="1:12">
      <c r="A67" s="2" t="s">
        <v>411</v>
      </c>
      <c r="B67" s="3" t="s">
        <v>412</v>
      </c>
      <c r="D67" s="20">
        <v>3.9718415747194338E-3</v>
      </c>
      <c r="E67" s="20">
        <v>0.9262807061592232</v>
      </c>
      <c r="F67" s="20">
        <v>2.7772220309144731E-2</v>
      </c>
      <c r="G67" s="20">
        <v>8.3465338128867143E-3</v>
      </c>
      <c r="H67" s="20">
        <v>0</v>
      </c>
      <c r="I67" s="20">
        <v>0.89016195203719173</v>
      </c>
      <c r="J67" s="20">
        <v>1.4851987404765322E-4</v>
      </c>
      <c r="K67" s="20">
        <v>6.9598932392009941E-2</v>
      </c>
      <c r="L67" s="20">
        <v>0</v>
      </c>
    </row>
    <row r="68" spans="1:12">
      <c r="A68" s="2" t="s">
        <v>413</v>
      </c>
      <c r="B68" s="3" t="s">
        <v>414</v>
      </c>
      <c r="D68" s="20">
        <v>8.7670758387757199E-3</v>
      </c>
      <c r="E68" s="20">
        <v>0.89938516287724191</v>
      </c>
      <c r="F68" s="20">
        <v>4.9919870231375556E-2</v>
      </c>
      <c r="G68" s="20">
        <v>1.4301085498968321E-2</v>
      </c>
      <c r="H68" s="20">
        <v>0</v>
      </c>
      <c r="I68" s="20">
        <v>0.83516420714689799</v>
      </c>
      <c r="J68" s="20">
        <v>2.1190893045927082E-4</v>
      </c>
      <c r="K68" s="20">
        <v>9.1635852353523145E-2</v>
      </c>
      <c r="L68" s="20">
        <v>0</v>
      </c>
    </row>
    <row r="69" spans="1:12">
      <c r="A69" s="2" t="s">
        <v>415</v>
      </c>
      <c r="B69" s="3" t="s">
        <v>416</v>
      </c>
      <c r="D69" s="20">
        <v>1.0365265389171803E-3</v>
      </c>
      <c r="E69" s="20">
        <v>0.94695478672087796</v>
      </c>
      <c r="F69" s="20">
        <v>0.38556633780129873</v>
      </c>
      <c r="G69" s="20">
        <v>0.55987962855849627</v>
      </c>
      <c r="H69" s="20">
        <v>0</v>
      </c>
      <c r="I69" s="20">
        <v>1.5088203610829497E-3</v>
      </c>
      <c r="J69" s="20">
        <v>6.4688901409541161E-3</v>
      </c>
      <c r="K69" s="20">
        <v>4.5539796599250941E-2</v>
      </c>
      <c r="L69" s="20">
        <v>0</v>
      </c>
    </row>
    <row r="70" spans="1:12">
      <c r="A70" s="2" t="s">
        <v>417</v>
      </c>
      <c r="B70" s="3" t="s">
        <v>418</v>
      </c>
      <c r="D70" s="20">
        <v>2.7367295464093234E-3</v>
      </c>
      <c r="E70" s="20">
        <v>0.92107213789426734</v>
      </c>
      <c r="F70" s="20">
        <v>0.75483245558054202</v>
      </c>
      <c r="G70" s="20">
        <v>0.13795775570440727</v>
      </c>
      <c r="H70" s="20">
        <v>0</v>
      </c>
      <c r="I70" s="20">
        <v>2.8281926609318102E-2</v>
      </c>
      <c r="J70" s="20">
        <v>1.5733151984928012E-3</v>
      </c>
      <c r="K70" s="20">
        <v>7.4617817360830341E-2</v>
      </c>
      <c r="L70" s="20">
        <v>0</v>
      </c>
    </row>
    <row r="71" spans="1:12">
      <c r="A71" s="2" t="s">
        <v>419</v>
      </c>
      <c r="B71" s="3" t="s">
        <v>420</v>
      </c>
      <c r="D71" s="20">
        <v>2.1464605918682995E-2</v>
      </c>
      <c r="E71" s="20">
        <v>0.89153532500387123</v>
      </c>
      <c r="F71" s="20">
        <v>4.507560907364614E-2</v>
      </c>
      <c r="G71" s="20">
        <v>1.300879767263596E-2</v>
      </c>
      <c r="H71" s="20">
        <v>0</v>
      </c>
      <c r="I71" s="20">
        <v>0.8334509182575891</v>
      </c>
      <c r="J71" s="20">
        <v>1.9729998037661237E-4</v>
      </c>
      <c r="K71" s="20">
        <v>8.6802769097069146E-2</v>
      </c>
      <c r="L71" s="20">
        <v>0</v>
      </c>
    </row>
    <row r="72" spans="1:12">
      <c r="A72" s="2" t="s">
        <v>421</v>
      </c>
      <c r="B72" s="3" t="s">
        <v>422</v>
      </c>
      <c r="D72" s="20">
        <v>1.156184229609112E-2</v>
      </c>
      <c r="E72" s="20">
        <v>0.90755046211125123</v>
      </c>
      <c r="F72" s="20">
        <v>0.73798192601206136</v>
      </c>
      <c r="G72" s="20">
        <v>0.13662849389449067</v>
      </c>
      <c r="H72" s="20">
        <v>0</v>
      </c>
      <c r="I72" s="20">
        <v>3.294004220469917E-2</v>
      </c>
      <c r="J72" s="20">
        <v>1.5576503984928111E-3</v>
      </c>
      <c r="K72" s="20">
        <v>7.9330045194164922E-2</v>
      </c>
      <c r="L72" s="20">
        <v>0</v>
      </c>
    </row>
    <row r="73" spans="1:12">
      <c r="A73" s="2" t="s">
        <v>423</v>
      </c>
      <c r="B73" s="3" t="s">
        <v>424</v>
      </c>
      <c r="D73" s="20">
        <v>1.2553338701440882E-2</v>
      </c>
      <c r="E73" s="20">
        <v>0.81437756628758995</v>
      </c>
      <c r="F73" s="20">
        <v>0.39900462611979554</v>
      </c>
      <c r="G73" s="20">
        <v>9.1468906328596458E-2</v>
      </c>
      <c r="H73" s="20">
        <v>0</v>
      </c>
      <c r="I73" s="20">
        <v>0.32390403383919791</v>
      </c>
      <c r="J73" s="20">
        <v>1.0526741442383749E-3</v>
      </c>
      <c r="K73" s="20">
        <v>0.17201642086673091</v>
      </c>
      <c r="L73" s="20">
        <v>0</v>
      </c>
    </row>
    <row r="74" spans="1:12">
      <c r="A74" s="2" t="s">
        <v>425</v>
      </c>
      <c r="B74" s="3" t="s">
        <v>426</v>
      </c>
      <c r="D74" s="20">
        <v>4.2319444651877343E-3</v>
      </c>
      <c r="E74" s="20">
        <v>0.91817341252240481</v>
      </c>
      <c r="F74" s="20">
        <v>0.75085943833530444</v>
      </c>
      <c r="G74" s="20">
        <v>0.13773813542700591</v>
      </c>
      <c r="H74" s="20">
        <v>0</v>
      </c>
      <c r="I74" s="20">
        <v>2.957583876009446E-2</v>
      </c>
      <c r="J74" s="20">
        <v>1.5706598037284903E-3</v>
      </c>
      <c r="K74" s="20">
        <v>7.6023983208679161E-2</v>
      </c>
      <c r="L74" s="20">
        <v>0</v>
      </c>
    </row>
    <row r="75" spans="1:12">
      <c r="A75" s="2" t="s">
        <v>427</v>
      </c>
      <c r="B75" s="3" t="s">
        <v>428</v>
      </c>
      <c r="D75" s="20">
        <v>4.2820074287386566E-10</v>
      </c>
      <c r="E75" s="20">
        <v>0.99957281237933793</v>
      </c>
      <c r="F75" s="20">
        <v>0.99486950282056918</v>
      </c>
      <c r="G75" s="20">
        <v>3.8389842210314874E-4</v>
      </c>
      <c r="H75" s="20">
        <v>0</v>
      </c>
      <c r="I75" s="20">
        <v>4.3194111366656445E-3</v>
      </c>
      <c r="J75" s="20">
        <v>3.9192472098899841E-4</v>
      </c>
      <c r="K75" s="20">
        <v>3.5262471472221658E-5</v>
      </c>
      <c r="L75" s="20">
        <v>0</v>
      </c>
    </row>
    <row r="76" spans="1:12">
      <c r="A76" s="2" t="s">
        <v>429</v>
      </c>
      <c r="B76" s="3" t="s">
        <v>430</v>
      </c>
      <c r="D76" s="20">
        <v>1.075591636436186E-11</v>
      </c>
      <c r="E76" s="20">
        <v>0.99957281279660459</v>
      </c>
      <c r="F76" s="20">
        <v>0.99486950323587242</v>
      </c>
      <c r="G76" s="20">
        <v>3.8389842226340526E-4</v>
      </c>
      <c r="H76" s="20">
        <v>0</v>
      </c>
      <c r="I76" s="20">
        <v>4.3194111384687603E-3</v>
      </c>
      <c r="J76" s="20">
        <v>3.9192472115260539E-4</v>
      </c>
      <c r="K76" s="20">
        <v>3.5262471486941796E-5</v>
      </c>
      <c r="L76" s="20">
        <v>0</v>
      </c>
    </row>
    <row r="77" spans="1:12">
      <c r="A77" s="2" t="s">
        <v>431</v>
      </c>
      <c r="B77" s="3" t="s">
        <v>432</v>
      </c>
      <c r="D77" s="20">
        <v>2.1939649943612961E-2</v>
      </c>
      <c r="E77" s="20">
        <v>0.84432176399515824</v>
      </c>
      <c r="F77" s="20">
        <v>0.600134202123487</v>
      </c>
      <c r="G77" s="20">
        <v>0.12409204270382947</v>
      </c>
      <c r="H77" s="20">
        <v>0</v>
      </c>
      <c r="I77" s="20">
        <v>0.12009551916784174</v>
      </c>
      <c r="J77" s="20">
        <v>1.4140578133546662E-3</v>
      </c>
      <c r="K77" s="20">
        <v>0.13232452824787425</v>
      </c>
      <c r="L77" s="20">
        <v>0</v>
      </c>
    </row>
    <row r="78" spans="1:12">
      <c r="A78" s="2" t="s">
        <v>433</v>
      </c>
      <c r="B78" s="3" t="s">
        <v>434</v>
      </c>
      <c r="D78" s="20">
        <v>3.1257713763517297E-2</v>
      </c>
      <c r="E78" s="20">
        <v>0.8244553819426288</v>
      </c>
      <c r="F78" s="20">
        <v>0.15317076951119793</v>
      </c>
      <c r="G78" s="20">
        <v>3.9579604443563308E-2</v>
      </c>
      <c r="H78" s="20">
        <v>0</v>
      </c>
      <c r="I78" s="20">
        <v>0.63170500798786755</v>
      </c>
      <c r="J78" s="20">
        <v>4.8392947021882223E-4</v>
      </c>
      <c r="K78" s="20">
        <v>0.14380297482363513</v>
      </c>
      <c r="L78" s="20">
        <v>0</v>
      </c>
    </row>
    <row r="79" spans="1:12">
      <c r="A79" s="2" t="s">
        <v>435</v>
      </c>
      <c r="B79" s="3" t="s">
        <v>436</v>
      </c>
      <c r="D79" s="20">
        <v>7.5072443389487117E-3</v>
      </c>
      <c r="E79" s="20">
        <v>0.81920934307794013</v>
      </c>
      <c r="F79" s="20">
        <v>0.29302133012461096</v>
      </c>
      <c r="G79" s="20">
        <v>7.0468461649545525E-2</v>
      </c>
      <c r="H79" s="20">
        <v>0</v>
      </c>
      <c r="I79" s="20">
        <v>0.45571955130378367</v>
      </c>
      <c r="J79" s="20">
        <v>8.222888680149259E-4</v>
      </c>
      <c r="K79" s="20">
        <v>0.17246112371509617</v>
      </c>
      <c r="L79" s="20">
        <v>0</v>
      </c>
    </row>
    <row r="80" spans="1:12">
      <c r="A80" s="2" t="s">
        <v>437</v>
      </c>
      <c r="B80" s="3" t="s">
        <v>438</v>
      </c>
      <c r="D80" s="20">
        <v>1.5326252176478452E-10</v>
      </c>
      <c r="E80" s="20">
        <v>0.99919624791046791</v>
      </c>
      <c r="F80" s="20">
        <v>0.99553072625225192</v>
      </c>
      <c r="G80" s="20">
        <v>7.3791251797552344E-4</v>
      </c>
      <c r="H80" s="20">
        <v>0</v>
      </c>
      <c r="I80" s="20">
        <v>2.9276091402404975E-3</v>
      </c>
      <c r="J80" s="20">
        <v>7.607882735530862E-4</v>
      </c>
      <c r="K80" s="20">
        <v>4.2963662716367991E-5</v>
      </c>
      <c r="L80" s="20">
        <v>0</v>
      </c>
    </row>
    <row r="81" spans="1:12">
      <c r="A81" s="2" t="s">
        <v>440</v>
      </c>
      <c r="B81" s="3" t="s">
        <v>441</v>
      </c>
      <c r="D81" s="20">
        <v>1.4624859998389331E-13</v>
      </c>
      <c r="E81" s="20">
        <v>0.98749812449937657</v>
      </c>
      <c r="F81" s="20">
        <v>9.2834713541088351E-4</v>
      </c>
      <c r="G81" s="20">
        <v>3.6108209786936207E-4</v>
      </c>
      <c r="H81" s="20">
        <v>0</v>
      </c>
      <c r="I81" s="20">
        <v>0.98620869526609634</v>
      </c>
      <c r="J81" s="20">
        <v>6.5255126579033616E-5</v>
      </c>
      <c r="K81" s="20">
        <v>1.2436620373898056E-2</v>
      </c>
      <c r="L81" s="20">
        <v>0</v>
      </c>
    </row>
    <row r="82" spans="1:12">
      <c r="A82" s="2" t="s">
        <v>442</v>
      </c>
      <c r="B82" s="3" t="s">
        <v>443</v>
      </c>
      <c r="D82" s="20">
        <v>7.3113455366860026E-5</v>
      </c>
      <c r="E82" s="20">
        <v>0.8975357352413954</v>
      </c>
      <c r="F82" s="20">
        <v>6.2721436100925163E-2</v>
      </c>
      <c r="G82" s="20">
        <v>1.7640526744479829E-2</v>
      </c>
      <c r="H82" s="20">
        <v>0</v>
      </c>
      <c r="I82" s="20">
        <v>0.81717377239599043</v>
      </c>
      <c r="J82" s="20">
        <v>2.4830170477249664E-4</v>
      </c>
      <c r="K82" s="20">
        <v>0.10214284959846537</v>
      </c>
      <c r="L82" s="20">
        <v>0</v>
      </c>
    </row>
    <row r="83" spans="1:12">
      <c r="A83" s="2" t="s">
        <v>444</v>
      </c>
      <c r="B83" s="3" t="s">
        <v>445</v>
      </c>
      <c r="D83" s="20">
        <v>4.7198418446428656E-4</v>
      </c>
      <c r="E83" s="20">
        <v>0.85267836191822599</v>
      </c>
      <c r="F83" s="20">
        <v>0.57829059680190231</v>
      </c>
      <c r="G83" s="20">
        <v>0.12202299657551784</v>
      </c>
      <c r="H83" s="20">
        <v>0</v>
      </c>
      <c r="I83" s="20">
        <v>0.1523647685408058</v>
      </c>
      <c r="J83" s="20">
        <v>1.3914881683942065E-3</v>
      </c>
      <c r="K83" s="20">
        <v>0.14545816572891546</v>
      </c>
      <c r="L83" s="20">
        <v>0</v>
      </c>
    </row>
    <row r="84" spans="1:12">
      <c r="A84" s="2" t="s">
        <v>446</v>
      </c>
      <c r="B84" s="3" t="s">
        <v>447</v>
      </c>
      <c r="D84" s="20">
        <v>4.5735622933048512E-15</v>
      </c>
      <c r="E84" s="20">
        <v>0.97274259555094167</v>
      </c>
      <c r="F84" s="20">
        <v>4.2371445774046484E-3</v>
      </c>
      <c r="G84" s="20">
        <v>1.4715290441806765E-3</v>
      </c>
      <c r="H84" s="20">
        <v>0</v>
      </c>
      <c r="I84" s="20">
        <v>0.96703392192935633</v>
      </c>
      <c r="J84" s="20">
        <v>7.6415180270941952E-5</v>
      </c>
      <c r="K84" s="20">
        <v>2.7180989268782822E-2</v>
      </c>
      <c r="L84" s="20">
        <v>0</v>
      </c>
    </row>
    <row r="85" spans="1:12">
      <c r="A85" s="2" t="s">
        <v>448</v>
      </c>
      <c r="B85" s="3" t="s">
        <v>449</v>
      </c>
      <c r="D85" s="20">
        <v>3.1235097971386691E-8</v>
      </c>
      <c r="E85" s="20">
        <v>0.99480103104201834</v>
      </c>
      <c r="F85" s="20">
        <v>1.6883464025751785E-4</v>
      </c>
      <c r="G85" s="20">
        <v>7.4500143996845814E-5</v>
      </c>
      <c r="H85" s="20">
        <v>0</v>
      </c>
      <c r="I85" s="20">
        <v>0.99455769625776402</v>
      </c>
      <c r="J85" s="20">
        <v>6.2600457670382228E-5</v>
      </c>
      <c r="K85" s="20">
        <v>5.1363372652133031E-3</v>
      </c>
      <c r="L85" s="20">
        <v>0</v>
      </c>
    </row>
    <row r="86" spans="1:12">
      <c r="A86" s="2" t="s">
        <v>450</v>
      </c>
      <c r="B86" s="3" t="s">
        <v>451</v>
      </c>
      <c r="D86" s="20">
        <v>1.1496285337700235E-8</v>
      </c>
      <c r="E86" s="20">
        <v>0.97341677683909755</v>
      </c>
      <c r="F86" s="20">
        <v>4.03437458025008E-3</v>
      </c>
      <c r="G86" s="20">
        <v>1.4062799152489266E-3</v>
      </c>
      <c r="H86" s="20">
        <v>0</v>
      </c>
      <c r="I86" s="20">
        <v>0.96797612234359853</v>
      </c>
      <c r="J86" s="20">
        <v>7.5746773574248783E-5</v>
      </c>
      <c r="K86" s="20">
        <v>2.6507464891042928E-2</v>
      </c>
      <c r="L86" s="20">
        <v>0</v>
      </c>
    </row>
    <row r="87" spans="1:12">
      <c r="A87" s="2" t="s">
        <v>452</v>
      </c>
      <c r="B87" s="3" t="s">
        <v>453</v>
      </c>
      <c r="D87" s="20">
        <v>3.9908620041069426E-8</v>
      </c>
      <c r="E87" s="20">
        <v>0.95749349922242233</v>
      </c>
      <c r="F87" s="20">
        <v>0.2265089648466376</v>
      </c>
      <c r="G87" s="20">
        <v>0.73043395007862988</v>
      </c>
      <c r="H87" s="20">
        <v>0</v>
      </c>
      <c r="I87" s="20">
        <v>5.5058429715482409E-4</v>
      </c>
      <c r="J87" s="20">
        <v>8.4752523994855583E-3</v>
      </c>
      <c r="K87" s="20">
        <v>3.4031208469472149E-2</v>
      </c>
      <c r="L87" s="20">
        <v>0</v>
      </c>
    </row>
    <row r="88" spans="1:12">
      <c r="A88" s="2" t="s">
        <v>454</v>
      </c>
      <c r="B88" s="3" t="s">
        <v>455</v>
      </c>
      <c r="D88" s="20">
        <v>3.6768638627021678E-5</v>
      </c>
      <c r="E88" s="20">
        <v>0.86469597095522555</v>
      </c>
      <c r="F88" s="20">
        <v>0.12147760880245576</v>
      </c>
      <c r="G88" s="20">
        <v>3.2210078995616925E-2</v>
      </c>
      <c r="H88" s="20">
        <v>0</v>
      </c>
      <c r="I88" s="20">
        <v>0.71100828315715281</v>
      </c>
      <c r="J88" s="20">
        <v>4.0569058547946634E-4</v>
      </c>
      <c r="K88" s="20">
        <v>0.13486156982066824</v>
      </c>
      <c r="L88" s="20">
        <v>0</v>
      </c>
    </row>
    <row r="89" spans="1:12">
      <c r="A89" s="2" t="s">
        <v>456</v>
      </c>
      <c r="B89" s="3" t="s">
        <v>457</v>
      </c>
      <c r="D89" s="20">
        <v>2.4283502205417646E-17</v>
      </c>
      <c r="E89" s="20">
        <v>0.89155409952750686</v>
      </c>
      <c r="F89" s="20">
        <v>7.1372351535449075E-2</v>
      </c>
      <c r="G89" s="20">
        <v>1.9852973425320403E-2</v>
      </c>
      <c r="H89" s="20">
        <v>0</v>
      </c>
      <c r="I89" s="20">
        <v>0.80032877456673734</v>
      </c>
      <c r="J89" s="20">
        <v>2.7212642124992717E-4</v>
      </c>
      <c r="K89" s="20">
        <v>0.10817377405124325</v>
      </c>
      <c r="L89" s="20">
        <v>0</v>
      </c>
    </row>
    <row r="90" spans="1:12">
      <c r="A90" s="2" t="s">
        <v>458</v>
      </c>
      <c r="B90" s="3" t="s">
        <v>459</v>
      </c>
      <c r="D90" s="20">
        <v>3.5053958723657729E-29</v>
      </c>
      <c r="E90" s="20">
        <v>0.94692697199664921</v>
      </c>
      <c r="F90" s="20">
        <v>1.5854617000689866E-2</v>
      </c>
      <c r="G90" s="20">
        <v>4.9802519091401137E-3</v>
      </c>
      <c r="H90" s="20">
        <v>0</v>
      </c>
      <c r="I90" s="20">
        <v>0.92609210308681922</v>
      </c>
      <c r="J90" s="20">
        <v>1.1305788919470471E-4</v>
      </c>
      <c r="K90" s="20">
        <v>5.2959970114156062E-2</v>
      </c>
      <c r="L90" s="20">
        <v>0</v>
      </c>
    </row>
    <row r="91" spans="1:12">
      <c r="A91" s="2" t="s">
        <v>460</v>
      </c>
      <c r="B91" s="3" t="s">
        <v>461</v>
      </c>
      <c r="D91" s="20">
        <v>4.2021894140521049E-8</v>
      </c>
      <c r="E91" s="20">
        <v>0.94295830197609143</v>
      </c>
      <c r="F91" s="20">
        <v>0.57120803604744219</v>
      </c>
      <c r="G91" s="20">
        <v>0.36812038203038316</v>
      </c>
      <c r="H91" s="20">
        <v>0</v>
      </c>
      <c r="I91" s="20">
        <v>3.6298838982660717E-3</v>
      </c>
      <c r="J91" s="20">
        <v>4.2352895991253688E-3</v>
      </c>
      <c r="K91" s="20">
        <v>5.2806366402889035E-2</v>
      </c>
      <c r="L91" s="20">
        <v>0</v>
      </c>
    </row>
    <row r="92" spans="1:12">
      <c r="A92" s="2" t="s">
        <v>462</v>
      </c>
      <c r="B92" s="3" t="s">
        <v>463</v>
      </c>
      <c r="D92" s="20">
        <v>4.21316979950634E-9</v>
      </c>
      <c r="E92" s="20">
        <v>0.83765409242898625</v>
      </c>
      <c r="F92" s="20">
        <v>0.51006749332896983</v>
      </c>
      <c r="G92" s="20">
        <v>0.11146106853013114</v>
      </c>
      <c r="H92" s="20">
        <v>0</v>
      </c>
      <c r="I92" s="20">
        <v>0.21612553056988532</v>
      </c>
      <c r="J92" s="20">
        <v>1.2740622444830435E-3</v>
      </c>
      <c r="K92" s="20">
        <v>0.16107184111336084</v>
      </c>
      <c r="L92" s="20">
        <v>0</v>
      </c>
    </row>
    <row r="93" spans="1:12">
      <c r="A93" s="2" t="s">
        <v>464</v>
      </c>
      <c r="B93" s="3" t="s">
        <v>465</v>
      </c>
      <c r="D93" s="20">
        <v>1.7216822884327164E-4</v>
      </c>
      <c r="E93" s="20">
        <v>0.90806929179092033</v>
      </c>
      <c r="F93" s="20">
        <v>0.72672766980619052</v>
      </c>
      <c r="G93" s="20">
        <v>0.1375521083322381</v>
      </c>
      <c r="H93" s="20">
        <v>0</v>
      </c>
      <c r="I93" s="20">
        <v>4.3789513652491653E-2</v>
      </c>
      <c r="J93" s="20">
        <v>1.567442388198586E-3</v>
      </c>
      <c r="K93" s="20">
        <v>9.0191097592037778E-2</v>
      </c>
      <c r="L93" s="20">
        <v>0</v>
      </c>
    </row>
    <row r="94" spans="1:12">
      <c r="A94" s="2" t="s">
        <v>466</v>
      </c>
      <c r="B94" s="3" t="s">
        <v>467</v>
      </c>
      <c r="D94" s="20">
        <v>1.4267683853324892E-18</v>
      </c>
      <c r="E94" s="20">
        <v>0.9998686217135121</v>
      </c>
      <c r="F94" s="20">
        <v>0.10506165331667441</v>
      </c>
      <c r="G94" s="20">
        <v>1.3806472283265513E-5</v>
      </c>
      <c r="H94" s="20">
        <v>0</v>
      </c>
      <c r="I94" s="20">
        <v>0.89479316192455438</v>
      </c>
      <c r="J94" s="20">
        <v>6.4083852271232906E-5</v>
      </c>
      <c r="K94" s="20">
        <v>6.7294434216490952E-5</v>
      </c>
      <c r="L94" s="20">
        <v>0</v>
      </c>
    </row>
    <row r="95" spans="1:12">
      <c r="A95" s="2" t="s">
        <v>468</v>
      </c>
      <c r="B95" s="3" t="s">
        <v>469</v>
      </c>
      <c r="D95" s="20">
        <v>1.6857245005602684E-18</v>
      </c>
      <c r="E95" s="20">
        <v>0.94582414475147947</v>
      </c>
      <c r="F95" s="20">
        <v>0.75145898795939958</v>
      </c>
      <c r="G95" s="20">
        <v>0.18590918142928278</v>
      </c>
      <c r="H95" s="20">
        <v>0</v>
      </c>
      <c r="I95" s="20">
        <v>8.455975362797092E-3</v>
      </c>
      <c r="J95" s="20">
        <v>2.1286685776991223E-3</v>
      </c>
      <c r="K95" s="20">
        <v>5.2047186670821491E-2</v>
      </c>
      <c r="L95" s="20">
        <v>0</v>
      </c>
    </row>
    <row r="96" spans="1:12">
      <c r="A96" s="2" t="s">
        <v>470</v>
      </c>
      <c r="B96" s="165">
        <v>354656</v>
      </c>
      <c r="D96" s="20">
        <v>2.9175184986277241E-10</v>
      </c>
      <c r="E96" s="20">
        <v>0.98700968194041594</v>
      </c>
      <c r="F96" s="20">
        <v>1.0000743824848538E-3</v>
      </c>
      <c r="G96" s="20">
        <v>3.8683686771351204E-4</v>
      </c>
      <c r="H96" s="20">
        <v>0</v>
      </c>
      <c r="I96" s="20">
        <v>0.98562277069021753</v>
      </c>
      <c r="J96" s="20">
        <v>6.5504455678340792E-5</v>
      </c>
      <c r="K96" s="20">
        <v>1.2924813312153952E-2</v>
      </c>
      <c r="L96" s="20">
        <v>0</v>
      </c>
    </row>
    <row r="97" spans="1:12">
      <c r="A97" s="2" t="s">
        <v>472</v>
      </c>
      <c r="B97" s="3" t="s">
        <v>473</v>
      </c>
      <c r="D97" s="20">
        <v>4.5719141045558717E-10</v>
      </c>
      <c r="E97" s="20">
        <v>0.97239941756324622</v>
      </c>
      <c r="F97" s="20">
        <v>4.3422692260854604E-3</v>
      </c>
      <c r="G97" s="20">
        <v>1.5052627071264482E-3</v>
      </c>
      <c r="H97" s="20">
        <v>0</v>
      </c>
      <c r="I97" s="20">
        <v>0.96655188563003436</v>
      </c>
      <c r="J97" s="20">
        <v>7.6761101170282837E-5</v>
      </c>
      <c r="K97" s="20">
        <v>2.7523820878392238E-2</v>
      </c>
      <c r="L97" s="20">
        <v>0</v>
      </c>
    </row>
    <row r="98" spans="1:12">
      <c r="A98" s="2" t="s">
        <v>474</v>
      </c>
      <c r="B98" s="3" t="s">
        <v>475</v>
      </c>
      <c r="D98" s="20">
        <v>3.95739741874741E-20</v>
      </c>
      <c r="E98" s="20">
        <v>0.93430083610028103</v>
      </c>
      <c r="F98" s="20">
        <v>0.77629779122012332</v>
      </c>
      <c r="G98" s="20">
        <v>0.13801424241684423</v>
      </c>
      <c r="H98" s="20">
        <v>0</v>
      </c>
      <c r="I98" s="20">
        <v>1.9988802463313467E-2</v>
      </c>
      <c r="J98" s="20">
        <v>1.5752050746358833E-3</v>
      </c>
      <c r="K98" s="20">
        <v>6.4123958825083219E-2</v>
      </c>
      <c r="L98" s="20">
        <v>0</v>
      </c>
    </row>
    <row r="99" spans="1:12">
      <c r="A99" s="2" t="s">
        <v>476</v>
      </c>
      <c r="B99" s="3" t="s">
        <v>477</v>
      </c>
      <c r="D99" s="20">
        <v>1.3604378963124132E-7</v>
      </c>
      <c r="E99" s="20">
        <v>0.99638868946507619</v>
      </c>
      <c r="F99" s="20">
        <v>8.2927277060041183E-5</v>
      </c>
      <c r="G99" s="20">
        <v>3.8564966710114464E-5</v>
      </c>
      <c r="H99" s="20">
        <v>0</v>
      </c>
      <c r="I99" s="20">
        <v>0.99626719722130608</v>
      </c>
      <c r="J99" s="20">
        <v>6.2310287205498321E-5</v>
      </c>
      <c r="K99" s="20">
        <v>3.5488642039285243E-3</v>
      </c>
      <c r="L99" s="20">
        <v>0</v>
      </c>
    </row>
    <row r="100" spans="1:12">
      <c r="A100" s="2" t="s">
        <v>478</v>
      </c>
      <c r="B100" s="3" t="s">
        <v>479</v>
      </c>
      <c r="D100" s="20">
        <v>4.9005317841596631E-11</v>
      </c>
      <c r="E100" s="20">
        <v>0.82901664279413578</v>
      </c>
      <c r="F100" s="20">
        <v>0.2596939873670116</v>
      </c>
      <c r="G100" s="20">
        <v>6.3497620366599838E-2</v>
      </c>
      <c r="H100" s="20">
        <v>0</v>
      </c>
      <c r="I100" s="20">
        <v>0.50582503506052434</v>
      </c>
      <c r="J100" s="20">
        <v>7.4639110441576076E-4</v>
      </c>
      <c r="K100" s="20">
        <v>0.17023696605244293</v>
      </c>
      <c r="L100" s="20">
        <v>0</v>
      </c>
    </row>
    <row r="101" spans="1:12">
      <c r="A101" s="2" t="s">
        <v>480</v>
      </c>
      <c r="B101" s="3" t="s">
        <v>481</v>
      </c>
      <c r="D101" s="20">
        <v>3.6722984772981781E-11</v>
      </c>
      <c r="E101" s="20">
        <v>0.99397580040597866</v>
      </c>
      <c r="F101" s="20">
        <v>2.2488301587049423E-4</v>
      </c>
      <c r="G101" s="20">
        <v>9.7152104405853206E-5</v>
      </c>
      <c r="H101" s="20">
        <v>0</v>
      </c>
      <c r="I101" s="20">
        <v>0.99365376528570226</v>
      </c>
      <c r="J101" s="20">
        <v>6.2794481892650589E-5</v>
      </c>
      <c r="K101" s="20">
        <v>5.9614050754058165E-3</v>
      </c>
      <c r="L101" s="20">
        <v>0</v>
      </c>
    </row>
    <row r="102" spans="1:12">
      <c r="A102" s="2" t="s">
        <v>482</v>
      </c>
      <c r="B102" s="3" t="s">
        <v>483</v>
      </c>
      <c r="D102" s="20">
        <v>2.294305765854312E-27</v>
      </c>
      <c r="E102" s="20">
        <v>0.99843314699374031</v>
      </c>
      <c r="F102" s="20">
        <v>1.595401444268619E-5</v>
      </c>
      <c r="G102" s="20">
        <v>8.3784857670694576E-6</v>
      </c>
      <c r="H102" s="20">
        <v>0</v>
      </c>
      <c r="I102" s="20">
        <v>0.99840881449353058</v>
      </c>
      <c r="J102" s="20">
        <v>6.2111304569981271E-5</v>
      </c>
      <c r="K102" s="20">
        <v>1.504741701689702E-3</v>
      </c>
      <c r="L102" s="20">
        <v>0</v>
      </c>
    </row>
    <row r="103" spans="1:12">
      <c r="A103" s="2" t="s">
        <v>484</v>
      </c>
      <c r="B103" s="3" t="s">
        <v>485</v>
      </c>
      <c r="D103" s="20">
        <v>1.8347687131771516E-13</v>
      </c>
      <c r="E103" s="20">
        <v>0.99650218998732032</v>
      </c>
      <c r="F103" s="20">
        <v>7.7911220935317086E-5</v>
      </c>
      <c r="G103" s="20">
        <v>3.6399512363596328E-5</v>
      </c>
      <c r="H103" s="20">
        <v>0</v>
      </c>
      <c r="I103" s="20">
        <v>0.99638787925402139</v>
      </c>
      <c r="J103" s="20">
        <v>6.2293927271485353E-5</v>
      </c>
      <c r="K103" s="20">
        <v>3.4355160852246555E-3</v>
      </c>
      <c r="L103" s="20">
        <v>0</v>
      </c>
    </row>
    <row r="104" spans="1:12">
      <c r="A104" s="2" t="s">
        <v>486</v>
      </c>
      <c r="B104" s="3" t="s">
        <v>487</v>
      </c>
      <c r="D104" s="20">
        <v>2.3080306519130931E-9</v>
      </c>
      <c r="E104" s="20">
        <v>0.98023080144001384</v>
      </c>
      <c r="F104" s="20">
        <v>2.2628733956135318E-3</v>
      </c>
      <c r="G104" s="20">
        <v>8.2367486212552813E-4</v>
      </c>
      <c r="H104" s="20">
        <v>0</v>
      </c>
      <c r="I104" s="20">
        <v>0.97714425318227482</v>
      </c>
      <c r="J104" s="20">
        <v>6.9831002402101483E-5</v>
      </c>
      <c r="K104" s="20">
        <v>1.9699365249553624E-2</v>
      </c>
      <c r="L104" s="20">
        <v>0</v>
      </c>
    </row>
    <row r="105" spans="1:12">
      <c r="A105" s="2" t="s">
        <v>488</v>
      </c>
      <c r="B105" s="3" t="s">
        <v>489</v>
      </c>
      <c r="D105" s="20">
        <v>1.8253922304744306E-16</v>
      </c>
      <c r="E105" s="20">
        <v>0.99813250016019639</v>
      </c>
      <c r="F105" s="20">
        <v>2.263470725821563E-5</v>
      </c>
      <c r="G105" s="20">
        <v>1.1584317108532287E-5</v>
      </c>
      <c r="H105" s="20">
        <v>0</v>
      </c>
      <c r="I105" s="20">
        <v>0.99809828113582966</v>
      </c>
      <c r="J105" s="20">
        <v>6.2127193331880503E-5</v>
      </c>
      <c r="K105" s="20">
        <v>1.8053726464713458E-3</v>
      </c>
      <c r="L105" s="20">
        <v>0</v>
      </c>
    </row>
    <row r="106" spans="1:12">
      <c r="A106" s="2" t="s">
        <v>490</v>
      </c>
      <c r="B106" s="3" t="s">
        <v>491</v>
      </c>
      <c r="D106" s="20">
        <v>1.080216010536207E-8</v>
      </c>
      <c r="E106" s="20">
        <v>0.93306668685065641</v>
      </c>
      <c r="F106" s="20">
        <v>2.5405590536085002E-2</v>
      </c>
      <c r="G106" s="20">
        <v>7.6917444993478863E-3</v>
      </c>
      <c r="H106" s="20">
        <v>0</v>
      </c>
      <c r="I106" s="20">
        <v>0.89996935181522353</v>
      </c>
      <c r="J106" s="20">
        <v>1.4179105690301634E-4</v>
      </c>
      <c r="K106" s="20">
        <v>6.6791511290280575E-2</v>
      </c>
      <c r="L106" s="20">
        <v>0</v>
      </c>
    </row>
    <row r="107" spans="1:12">
      <c r="A107" s="2" t="s">
        <v>492</v>
      </c>
      <c r="B107" s="3" t="s">
        <v>493</v>
      </c>
      <c r="D107" s="20">
        <v>1.8405138541905667E-16</v>
      </c>
      <c r="E107" s="20">
        <v>0.94254051548620521</v>
      </c>
      <c r="F107" s="20">
        <v>0.79060175705713809</v>
      </c>
      <c r="G107" s="20">
        <v>0.13723134838136022</v>
      </c>
      <c r="H107" s="20">
        <v>0</v>
      </c>
      <c r="I107" s="20">
        <v>1.4707410047706954E-2</v>
      </c>
      <c r="J107" s="20">
        <v>1.5674715266131665E-3</v>
      </c>
      <c r="K107" s="20">
        <v>5.5892012987181286E-2</v>
      </c>
      <c r="L107" s="20">
        <v>0</v>
      </c>
    </row>
    <row r="108" spans="1:12">
      <c r="A108" s="2" t="s">
        <v>291</v>
      </c>
      <c r="B108" s="3" t="s">
        <v>494</v>
      </c>
      <c r="D108" s="20">
        <v>2.7947687607228032E-10</v>
      </c>
      <c r="E108" s="20">
        <v>0.83765808058814728</v>
      </c>
      <c r="F108" s="20">
        <v>0.20862414243068697</v>
      </c>
      <c r="G108" s="20">
        <v>5.2343181940305114E-2</v>
      </c>
      <c r="H108" s="20">
        <v>0</v>
      </c>
      <c r="I108" s="20">
        <v>0.57669075621715515</v>
      </c>
      <c r="J108" s="20">
        <v>6.2459725453078193E-4</v>
      </c>
      <c r="K108" s="20">
        <v>0.16171732187784507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1.181293063205136E-8</v>
      </c>
      <c r="E2" s="14">
        <v>1.2936439556929404E-4</v>
      </c>
      <c r="F2" s="14">
        <v>6.1741380813277783E-6</v>
      </c>
      <c r="G2" s="14">
        <v>1.798340368976591E-6</v>
      </c>
      <c r="H2" s="14">
        <v>0</v>
      </c>
      <c r="I2" s="14">
        <v>2.8146447821270585E-8</v>
      </c>
      <c r="J2" s="14">
        <v>1.2623166601948226E-5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4.4224667560136008E-7</v>
      </c>
      <c r="E3" s="14">
        <v>1.0378669608313216E-7</v>
      </c>
      <c r="F3" s="14">
        <v>3.8484270740389776E-5</v>
      </c>
      <c r="G3" s="14">
        <v>1.0427466821354577E-4</v>
      </c>
      <c r="H3" s="14">
        <v>0</v>
      </c>
      <c r="I3" s="14">
        <v>1.2087821774555021E-6</v>
      </c>
      <c r="J3" s="14">
        <v>5.4862454969244263E-6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6.3826595659792006E-16</v>
      </c>
      <c r="E4" s="14">
        <v>6.5762572096386986E-5</v>
      </c>
      <c r="F4" s="14">
        <v>4.673264533324123E-5</v>
      </c>
      <c r="G4" s="14">
        <v>1.1156190476306719E-5</v>
      </c>
      <c r="H4" s="14">
        <v>0</v>
      </c>
      <c r="I4" s="14">
        <v>1.2982042962121995E-7</v>
      </c>
      <c r="J4" s="14">
        <v>2.6218771663805556E-5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1.5047855635957826E-8</v>
      </c>
      <c r="E5" s="14">
        <v>1.1147865649030619E-6</v>
      </c>
      <c r="F5" s="14">
        <v>1.089665749717126E-4</v>
      </c>
      <c r="G5" s="14">
        <v>3.1621965155000389E-5</v>
      </c>
      <c r="H5" s="14">
        <v>0</v>
      </c>
      <c r="I5" s="14">
        <v>3.6235314739906495E-7</v>
      </c>
      <c r="J5" s="14">
        <v>7.9192723053489E-6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1.4339670705832322E-9</v>
      </c>
      <c r="E6" s="14">
        <v>4.6190885543802583E-8</v>
      </c>
      <c r="F6" s="14">
        <v>2.4426309896207565E-5</v>
      </c>
      <c r="G6" s="14">
        <v>1.199646850182421E-4</v>
      </c>
      <c r="H6" s="14">
        <v>0</v>
      </c>
      <c r="I6" s="14">
        <v>1.3950869473355296E-6</v>
      </c>
      <c r="J6" s="14">
        <v>4.1662932856004146E-6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2.1249914169855837E-9</v>
      </c>
      <c r="E7" s="14">
        <v>9.2784256120713466E-8</v>
      </c>
      <c r="F7" s="14">
        <v>3.6238971592437263E-5</v>
      </c>
      <c r="G7" s="14">
        <v>1.0712021111588944E-4</v>
      </c>
      <c r="H7" s="14">
        <v>0</v>
      </c>
      <c r="I7" s="14">
        <v>1.2423437187191921E-6</v>
      </c>
      <c r="J7" s="14">
        <v>5.3035643254163569E-6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2.0185123774220802E-8</v>
      </c>
      <c r="E8" s="14">
        <v>2.0786842565120653E-7</v>
      </c>
      <c r="F8" s="14">
        <v>5.5468969946130105E-5</v>
      </c>
      <c r="G8" s="14">
        <v>8.6605536525191369E-5</v>
      </c>
      <c r="H8" s="14">
        <v>0</v>
      </c>
      <c r="I8" s="14">
        <v>1.0010293476022856E-6</v>
      </c>
      <c r="J8" s="14">
        <v>6.6964106316507865E-6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1.3601088706537996E-8</v>
      </c>
      <c r="E9" s="14">
        <v>1.0237426178065484E-5</v>
      </c>
      <c r="F9" s="14">
        <v>1.0303679881738952E-4</v>
      </c>
      <c r="G9" s="14">
        <v>2.0234287331689887E-5</v>
      </c>
      <c r="H9" s="14">
        <v>0</v>
      </c>
      <c r="I9" s="14">
        <v>2.3046934230961026E-7</v>
      </c>
      <c r="J9" s="14">
        <v>1.6247417241838931E-5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1.9343627860365102E-10</v>
      </c>
      <c r="E10" s="14">
        <v>1.0372776932959983E-6</v>
      </c>
      <c r="F10" s="14">
        <v>1.0679639987566078E-4</v>
      </c>
      <c r="G10" s="14">
        <v>3.3810544755243969E-5</v>
      </c>
      <c r="H10" s="14">
        <v>0</v>
      </c>
      <c r="I10" s="14">
        <v>3.8759775238134292E-7</v>
      </c>
      <c r="J10" s="14">
        <v>7.9679864871392755E-6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1.0082419789707887E-8</v>
      </c>
      <c r="E11" s="14">
        <v>9.1689981619585628E-7</v>
      </c>
      <c r="F11" s="14">
        <v>1.0293983315192129E-4</v>
      </c>
      <c r="G11" s="14">
        <v>3.7677234256080149E-5</v>
      </c>
      <c r="H11" s="14">
        <v>0</v>
      </c>
      <c r="I11" s="14">
        <v>4.3223643087984026E-7</v>
      </c>
      <c r="J11" s="14">
        <v>8.0237139251331268E-6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6.9558046832453824E-9</v>
      </c>
      <c r="E12" s="14">
        <v>6.4225055560357678E-6</v>
      </c>
      <c r="F12" s="14">
        <v>1.0928638561942703E-4</v>
      </c>
      <c r="G12" s="14">
        <v>2.0647221571099339E-5</v>
      </c>
      <c r="H12" s="14">
        <v>0</v>
      </c>
      <c r="I12" s="14">
        <v>2.35288625340511E-7</v>
      </c>
      <c r="J12" s="14">
        <v>1.3401642823414071E-5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2.112214238454393E-8</v>
      </c>
      <c r="E13" s="14">
        <v>9.8002030940631829E-6</v>
      </c>
      <c r="F13" s="14">
        <v>1.0369472165981659E-4</v>
      </c>
      <c r="G13" s="14">
        <v>2.0288605870905715E-5</v>
      </c>
      <c r="H13" s="14">
        <v>0</v>
      </c>
      <c r="I13" s="14">
        <v>2.3109333340942066E-7</v>
      </c>
      <c r="J13" s="14">
        <v>1.5964253899420526E-5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6.7288954084110744E-9</v>
      </c>
      <c r="E14" s="14">
        <v>6.0931362252047496E-7</v>
      </c>
      <c r="F14" s="14">
        <v>8.9466914979347632E-5</v>
      </c>
      <c r="G14" s="14">
        <v>5.1340254538886475E-5</v>
      </c>
      <c r="H14" s="14">
        <v>0</v>
      </c>
      <c r="I14" s="14">
        <v>5.9032580490122304E-7</v>
      </c>
      <c r="J14" s="14">
        <v>7.9864621589357578E-6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1.0971761472274623E-11</v>
      </c>
      <c r="E15" s="14">
        <v>9.7573855838057247E-7</v>
      </c>
      <c r="F15" s="14">
        <v>1.0490472308917592E-4</v>
      </c>
      <c r="G15" s="14">
        <v>3.5710061414379389E-5</v>
      </c>
      <c r="H15" s="14">
        <v>0</v>
      </c>
      <c r="I15" s="14">
        <v>4.0952066022950616E-7</v>
      </c>
      <c r="J15" s="14">
        <v>7.9999453060731168E-6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5.2458394428871752E-8</v>
      </c>
      <c r="E16" s="14">
        <v>2.1512560474105071E-7</v>
      </c>
      <c r="F16" s="14">
        <v>5.6420077517559976E-5</v>
      </c>
      <c r="G16" s="14">
        <v>8.5571517534706399E-5</v>
      </c>
      <c r="H16" s="14">
        <v>0</v>
      </c>
      <c r="I16" s="14">
        <v>9.8892634132687416E-7</v>
      </c>
      <c r="J16" s="14">
        <v>6.7518946072367916E-6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3.865840030498193E-9</v>
      </c>
      <c r="E17" s="14">
        <v>1.0885314689900964E-6</v>
      </c>
      <c r="F17" s="14">
        <v>1.0825863905178219E-4</v>
      </c>
      <c r="G17" s="14">
        <v>3.2341348075796641E-5</v>
      </c>
      <c r="H17" s="14">
        <v>0</v>
      </c>
      <c r="I17" s="14">
        <v>3.7064920964629444E-7</v>
      </c>
      <c r="J17" s="14">
        <v>7.9369663537542547E-6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4.1305308716187878E-7</v>
      </c>
      <c r="E18" s="14">
        <v>1.2392615704603434E-5</v>
      </c>
      <c r="F18" s="14">
        <v>9.9592023577420186E-5</v>
      </c>
      <c r="G18" s="14">
        <v>1.988474894264373E-5</v>
      </c>
      <c r="H18" s="14">
        <v>0</v>
      </c>
      <c r="I18" s="14">
        <v>2.264824459427874E-7</v>
      </c>
      <c r="J18" s="14">
        <v>1.7491076242227974E-5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3.8456864316728266E-11</v>
      </c>
      <c r="E19" s="14">
        <v>9.6376462167806224E-7</v>
      </c>
      <c r="F19" s="14">
        <v>1.0451835223046064E-4</v>
      </c>
      <c r="G19" s="14">
        <v>3.6098413024940074E-5</v>
      </c>
      <c r="H19" s="14">
        <v>0</v>
      </c>
      <c r="I19" s="14">
        <v>4.1400413570054966E-7</v>
      </c>
      <c r="J19" s="14">
        <v>8.0054275303563258E-6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3.1973477065385526E-9</v>
      </c>
      <c r="E20" s="14">
        <v>9.8013743698506358E-6</v>
      </c>
      <c r="F20" s="14">
        <v>1.0370711478224488E-4</v>
      </c>
      <c r="G20" s="14">
        <v>2.0291030672982742E-5</v>
      </c>
      <c r="H20" s="14">
        <v>0</v>
      </c>
      <c r="I20" s="14">
        <v>2.3112095263562102E-7</v>
      </c>
      <c r="J20" s="14">
        <v>1.596616187457958E-5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5.6323470399927306E-8</v>
      </c>
      <c r="E21" s="14">
        <v>6.8885293988498738E-7</v>
      </c>
      <c r="F21" s="14">
        <v>9.3563851408886507E-5</v>
      </c>
      <c r="G21" s="14">
        <v>4.7119822513869718E-5</v>
      </c>
      <c r="H21" s="14">
        <v>0</v>
      </c>
      <c r="I21" s="14">
        <v>5.4143585790015045E-7</v>
      </c>
      <c r="J21" s="14">
        <v>8.0297138090586892E-6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2.7420756611416562E-7</v>
      </c>
      <c r="E22" s="14">
        <v>1.0091054319156568E-4</v>
      </c>
      <c r="F22" s="14">
        <v>2.1592260855099402E-5</v>
      </c>
      <c r="G22" s="14">
        <v>5.6311056247725316E-6</v>
      </c>
      <c r="H22" s="14">
        <v>0</v>
      </c>
      <c r="I22" s="14">
        <v>6.9512707462636139E-8</v>
      </c>
      <c r="J22" s="14">
        <v>2.1522370054985571E-5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1.1150181481228541E-8</v>
      </c>
      <c r="E23" s="14">
        <v>1.2175282477940873E-4</v>
      </c>
      <c r="F23" s="14">
        <v>9.8242774810784378E-6</v>
      </c>
      <c r="G23" s="14">
        <v>2.7529363845599381E-6</v>
      </c>
      <c r="H23" s="14">
        <v>0</v>
      </c>
      <c r="I23" s="14">
        <v>3.839514748821793E-8</v>
      </c>
      <c r="J23" s="14">
        <v>1.5620416025983404E-5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1.0306787710970031E-8</v>
      </c>
      <c r="E24" s="14">
        <v>3.1853740738153488E-5</v>
      </c>
      <c r="F24" s="14">
        <v>7.7080054895943721E-5</v>
      </c>
      <c r="G24" s="14">
        <v>1.6812704142739817E-5</v>
      </c>
      <c r="H24" s="14">
        <v>0</v>
      </c>
      <c r="I24" s="14">
        <v>1.9214619301131619E-7</v>
      </c>
      <c r="J24" s="14">
        <v>2.4051047242440683E-5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1.6952409274426637E-6</v>
      </c>
      <c r="E25" s="14">
        <v>3.4116819578597867E-6</v>
      </c>
      <c r="F25" s="14">
        <v>1.1403813682662102E-4</v>
      </c>
      <c r="G25" s="14">
        <v>2.0499613290186622E-5</v>
      </c>
      <c r="H25" s="14">
        <v>0</v>
      </c>
      <c r="I25" s="14">
        <v>2.3389202557667271E-7</v>
      </c>
      <c r="J25" s="14">
        <v>1.01214349723132E-5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4.5195433999327166E-8</v>
      </c>
      <c r="E26" s="14">
        <v>7.4626259013962871E-7</v>
      </c>
      <c r="F26" s="14">
        <v>9.6230611485970696E-5</v>
      </c>
      <c r="G26" s="14">
        <v>4.4423093758586471E-5</v>
      </c>
      <c r="H26" s="14">
        <v>0</v>
      </c>
      <c r="I26" s="14">
        <v>5.1022252501430011E-7</v>
      </c>
      <c r="J26" s="14">
        <v>8.0446142062895761E-6</v>
      </c>
      <c r="K26" s="14">
        <v>0</v>
      </c>
    </row>
    <row r="27" spans="1:13">
      <c r="A27" s="2" t="s">
        <v>353</v>
      </c>
      <c r="B27" s="3" t="s">
        <v>354</v>
      </c>
      <c r="D27" s="14">
        <v>3.0682090624796481E-7</v>
      </c>
      <c r="E27" s="14">
        <v>1.1419893620439771E-7</v>
      </c>
      <c r="F27" s="14">
        <v>4.0551192735990489E-5</v>
      </c>
      <c r="G27" s="14">
        <v>1.0218783263996437E-4</v>
      </c>
      <c r="H27" s="14">
        <v>0</v>
      </c>
      <c r="I27" s="14">
        <v>1.1841343979160422E-6</v>
      </c>
      <c r="J27" s="14">
        <v>5.6558203836767226E-6</v>
      </c>
      <c r="K27" s="14">
        <v>0</v>
      </c>
    </row>
    <row r="28" spans="1:13">
      <c r="A28" s="2" t="s">
        <v>355</v>
      </c>
      <c r="B28" s="3" t="s">
        <v>356</v>
      </c>
      <c r="D28" s="14">
        <v>1.6949133119679659E-8</v>
      </c>
      <c r="E28" s="14">
        <v>4.1155189018956706E-7</v>
      </c>
      <c r="F28" s="14">
        <v>7.6342464358185213E-5</v>
      </c>
      <c r="G28" s="14">
        <v>6.4812941239010481E-5</v>
      </c>
      <c r="H28" s="14">
        <v>0</v>
      </c>
      <c r="I28" s="14">
        <v>7.4675056110360029E-7</v>
      </c>
      <c r="J28" s="14">
        <v>7.6693428183914441E-6</v>
      </c>
      <c r="K28" s="14">
        <v>0</v>
      </c>
    </row>
    <row r="29" spans="1:13">
      <c r="A29" s="2" t="s">
        <v>357</v>
      </c>
      <c r="B29" s="3" t="s">
        <v>358</v>
      </c>
      <c r="D29" s="14">
        <v>3.4333447721121379E-6</v>
      </c>
      <c r="E29" s="14">
        <v>6.2057535859154845E-7</v>
      </c>
      <c r="F29" s="14">
        <v>8.8784284930707713E-5</v>
      </c>
      <c r="G29" s="14">
        <v>4.8778861157578094E-5</v>
      </c>
      <c r="H29" s="14">
        <v>0</v>
      </c>
      <c r="I29" s="14">
        <v>5.6074888490952372E-7</v>
      </c>
      <c r="J29" s="14">
        <v>7.8221848961009635E-6</v>
      </c>
      <c r="K29" s="14">
        <v>0</v>
      </c>
    </row>
    <row r="30" spans="1:13">
      <c r="A30" s="2" t="s">
        <v>359</v>
      </c>
      <c r="B30" s="3" t="s">
        <v>360</v>
      </c>
      <c r="D30" s="14">
        <v>1.6949133119679659E-8</v>
      </c>
      <c r="E30" s="14">
        <v>4.1155189018956706E-7</v>
      </c>
      <c r="F30" s="14">
        <v>7.6342464358185213E-5</v>
      </c>
      <c r="G30" s="14">
        <v>6.4812941239010481E-5</v>
      </c>
      <c r="H30" s="14">
        <v>0</v>
      </c>
      <c r="I30" s="14">
        <v>7.4675056110360029E-7</v>
      </c>
      <c r="J30" s="14">
        <v>7.6693428183914441E-6</v>
      </c>
      <c r="K30" s="14">
        <v>0</v>
      </c>
    </row>
    <row r="31" spans="1:13">
      <c r="A31" s="2" t="s">
        <v>283</v>
      </c>
      <c r="B31" s="3" t="s">
        <v>284</v>
      </c>
      <c r="D31" s="14">
        <v>3.1004833363596371E-12</v>
      </c>
      <c r="E31" s="14">
        <v>1.483633091911768E-4</v>
      </c>
      <c r="F31" s="14">
        <v>9.1295229747737136E-8</v>
      </c>
      <c r="G31" s="14">
        <v>3.6639002482761732E-8</v>
      </c>
      <c r="H31" s="14">
        <v>0</v>
      </c>
      <c r="I31" s="14">
        <v>9.6208292255531319E-9</v>
      </c>
      <c r="J31" s="14">
        <v>1.4991326468837967E-6</v>
      </c>
      <c r="K31" s="14">
        <v>0</v>
      </c>
    </row>
    <row r="32" spans="1:13">
      <c r="A32" s="2" t="s">
        <v>361</v>
      </c>
      <c r="B32" s="3" t="s">
        <v>362</v>
      </c>
      <c r="D32" s="14">
        <v>3.0579295877471079E-12</v>
      </c>
      <c r="E32" s="14">
        <v>8.0029621074805262E-5</v>
      </c>
      <c r="F32" s="14">
        <v>3.5976942779787733E-5</v>
      </c>
      <c r="G32" s="14">
        <v>8.8703941308568978E-6</v>
      </c>
      <c r="H32" s="14">
        <v>0</v>
      </c>
      <c r="I32" s="14">
        <v>1.0580225714279753E-7</v>
      </c>
      <c r="J32" s="14">
        <v>2.5017236699477673E-5</v>
      </c>
      <c r="K32" s="14">
        <v>0</v>
      </c>
    </row>
    <row r="33" spans="1:11">
      <c r="A33" s="2" t="s">
        <v>364</v>
      </c>
      <c r="B33" s="3" t="s">
        <v>365</v>
      </c>
      <c r="D33" s="14">
        <v>1.408325145027373E-14</v>
      </c>
      <c r="E33" s="14">
        <v>1.4935652363001815E-4</v>
      </c>
      <c r="F33" s="14">
        <v>6.3032679740301736E-7</v>
      </c>
      <c r="G33" s="14">
        <v>1.9274942605395733E-10</v>
      </c>
      <c r="H33" s="14">
        <v>0</v>
      </c>
      <c r="I33" s="14">
        <v>9.3419654492722613E-9</v>
      </c>
      <c r="J33" s="14">
        <v>3.614843620239508E-9</v>
      </c>
      <c r="K33" s="14">
        <v>0</v>
      </c>
    </row>
    <row r="34" spans="1:11">
      <c r="A34" s="2" t="s">
        <v>285</v>
      </c>
      <c r="B34" s="3" t="s">
        <v>286</v>
      </c>
      <c r="D34" s="14">
        <v>4.1875485097541274E-14</v>
      </c>
      <c r="E34" s="14">
        <v>8.2146808346046345E-5</v>
      </c>
      <c r="F34" s="14">
        <v>6.7825385174447305E-5</v>
      </c>
      <c r="G34" s="14">
        <v>5.570148529547955E-9</v>
      </c>
      <c r="H34" s="14">
        <v>0</v>
      </c>
      <c r="I34" s="14">
        <v>9.9176368178200213E-9</v>
      </c>
      <c r="J34" s="14">
        <v>1.231865228346569E-8</v>
      </c>
      <c r="K34" s="14">
        <v>0</v>
      </c>
    </row>
    <row r="35" spans="1:11">
      <c r="A35" s="2" t="s">
        <v>287</v>
      </c>
      <c r="B35" s="3" t="s">
        <v>288</v>
      </c>
      <c r="D35" s="14">
        <v>1.2199732081537304E-15</v>
      </c>
      <c r="E35" s="14">
        <v>4.8639774890626789E-5</v>
      </c>
      <c r="F35" s="14">
        <v>1.0130085960233335E-4</v>
      </c>
      <c r="G35" s="14">
        <v>1.9617355091873297E-8</v>
      </c>
      <c r="H35" s="14">
        <v>0</v>
      </c>
      <c r="I35" s="14">
        <v>9.9261433028064915E-9</v>
      </c>
      <c r="J35" s="14">
        <v>2.9822007425158334E-8</v>
      </c>
      <c r="K35" s="14">
        <v>0</v>
      </c>
    </row>
    <row r="36" spans="1:11">
      <c r="A36" s="2" t="s">
        <v>366</v>
      </c>
      <c r="B36" s="3" t="s">
        <v>305</v>
      </c>
      <c r="D36" s="14">
        <v>2.1508259054466052E-12</v>
      </c>
      <c r="E36" s="14">
        <v>1.6225174709870396E-5</v>
      </c>
      <c r="F36" s="14">
        <v>1.336937041836668E-4</v>
      </c>
      <c r="G36" s="14">
        <v>3.827830862914454E-8</v>
      </c>
      <c r="H36" s="14">
        <v>0</v>
      </c>
      <c r="I36" s="14">
        <v>9.5095843161513833E-9</v>
      </c>
      <c r="J36" s="14">
        <v>3.3331062691607731E-8</v>
      </c>
      <c r="K36" s="14">
        <v>0</v>
      </c>
    </row>
    <row r="37" spans="1:11">
      <c r="A37" s="2" t="s">
        <v>289</v>
      </c>
      <c r="B37" s="3" t="s">
        <v>290</v>
      </c>
      <c r="D37" s="14">
        <v>5.0993579478726739E-19</v>
      </c>
      <c r="E37" s="14">
        <v>3.2547588353340675E-5</v>
      </c>
      <c r="F37" s="14">
        <v>1.09013526495901E-4</v>
      </c>
      <c r="G37" s="14">
        <v>3.7217730770640858E-6</v>
      </c>
      <c r="H37" s="14">
        <v>0</v>
      </c>
      <c r="I37" s="14">
        <v>5.0020625526174145E-8</v>
      </c>
      <c r="J37" s="14">
        <v>4.6670914481675042E-6</v>
      </c>
      <c r="K37" s="14">
        <v>0</v>
      </c>
    </row>
    <row r="38" spans="1:11">
      <c r="A38" s="2" t="s">
        <v>291</v>
      </c>
      <c r="B38" s="3" t="s">
        <v>292</v>
      </c>
      <c r="D38" s="14">
        <v>1.4109498064830882E-16</v>
      </c>
      <c r="E38" s="14">
        <v>9.2078845869011412E-5</v>
      </c>
      <c r="F38" s="14">
        <v>5.7743278926725656E-5</v>
      </c>
      <c r="G38" s="14">
        <v>4.8241242967780802E-8</v>
      </c>
      <c r="H38" s="14">
        <v>0</v>
      </c>
      <c r="I38" s="14">
        <v>1.0368440099385033E-8</v>
      </c>
      <c r="J38" s="14">
        <v>1.1926552105463253E-7</v>
      </c>
      <c r="K38" s="14">
        <v>0</v>
      </c>
    </row>
    <row r="39" spans="1:11">
      <c r="A39" s="2" t="s">
        <v>367</v>
      </c>
      <c r="B39" s="3" t="s">
        <v>368</v>
      </c>
      <c r="D39" s="14">
        <v>1.8107661207881259E-9</v>
      </c>
      <c r="E39" s="14">
        <v>1.6583625063069425E-6</v>
      </c>
      <c r="F39" s="14">
        <v>1.1972395212985698E-4</v>
      </c>
      <c r="G39" s="14">
        <v>2.0911086571099217E-5</v>
      </c>
      <c r="H39" s="14">
        <v>0</v>
      </c>
      <c r="I39" s="14">
        <v>2.3904528481780513E-7</v>
      </c>
      <c r="J39" s="14">
        <v>7.4657427417982721E-6</v>
      </c>
      <c r="K39" s="14">
        <v>0</v>
      </c>
    </row>
    <row r="40" spans="1:11">
      <c r="A40" s="2" t="s">
        <v>369</v>
      </c>
      <c r="B40" s="3" t="s">
        <v>370</v>
      </c>
      <c r="D40" s="14">
        <v>1.086314890778937E-16</v>
      </c>
      <c r="E40" s="14">
        <v>1.5227486350579658E-7</v>
      </c>
      <c r="F40" s="14">
        <v>1.3893440106836058E-4</v>
      </c>
      <c r="G40" s="14">
        <v>1.0051483640273059E-5</v>
      </c>
      <c r="H40" s="14">
        <v>0</v>
      </c>
      <c r="I40" s="14">
        <v>6.7745500181953731E-7</v>
      </c>
      <c r="J40" s="14">
        <v>1.8438542593238189E-7</v>
      </c>
      <c r="K40" s="14">
        <v>0</v>
      </c>
    </row>
    <row r="41" spans="1:11">
      <c r="A41" s="2" t="s">
        <v>371</v>
      </c>
      <c r="B41" s="3" t="s">
        <v>372</v>
      </c>
      <c r="D41" s="14">
        <v>9.7465722030186721E-6</v>
      </c>
      <c r="E41" s="14">
        <v>1.3994230225067633E-4</v>
      </c>
      <c r="F41" s="14">
        <v>4.2842084033192259E-9</v>
      </c>
      <c r="G41" s="14">
        <v>2.1446979866912707E-9</v>
      </c>
      <c r="H41" s="14">
        <v>0</v>
      </c>
      <c r="I41" s="14">
        <v>8.7165043070243751E-9</v>
      </c>
      <c r="J41" s="14">
        <v>2.959801356079419E-7</v>
      </c>
      <c r="K41" s="14">
        <v>0</v>
      </c>
    </row>
    <row r="42" spans="1:11">
      <c r="A42" s="2" t="s">
        <v>293</v>
      </c>
      <c r="B42" s="3" t="s">
        <v>294</v>
      </c>
      <c r="D42" s="14">
        <v>2.4708064551101647E-12</v>
      </c>
      <c r="E42" s="14">
        <v>9.5094595903244834E-5</v>
      </c>
      <c r="F42" s="14">
        <v>2.5483402371738599E-5</v>
      </c>
      <c r="G42" s="14">
        <v>6.5366159144592877E-6</v>
      </c>
      <c r="H42" s="14">
        <v>0</v>
      </c>
      <c r="I42" s="14">
        <v>7.936928146670147E-8</v>
      </c>
      <c r="J42" s="14">
        <v>2.2806014058284096E-5</v>
      </c>
      <c r="K42" s="14">
        <v>0</v>
      </c>
    </row>
    <row r="43" spans="1:11">
      <c r="A43" s="2" t="s">
        <v>373</v>
      </c>
      <c r="B43" s="3" t="s">
        <v>374</v>
      </c>
      <c r="D43" s="14">
        <v>5.0334006105811299E-12</v>
      </c>
      <c r="E43" s="14">
        <v>1.3227698137220951E-6</v>
      </c>
      <c r="F43" s="14">
        <v>1.4850663236894412E-4</v>
      </c>
      <c r="G43" s="14">
        <v>1.2539140576610454E-7</v>
      </c>
      <c r="H43" s="14">
        <v>0</v>
      </c>
      <c r="I43" s="14">
        <v>1.8498123843752571E-8</v>
      </c>
      <c r="J43" s="14">
        <v>2.6703254323269528E-8</v>
      </c>
      <c r="K43" s="14">
        <v>0</v>
      </c>
    </row>
    <row r="44" spans="1:11">
      <c r="A44" s="2" t="s">
        <v>375</v>
      </c>
      <c r="B44" s="3" t="s">
        <v>376</v>
      </c>
      <c r="D44" s="14">
        <v>1.0946711007306016E-5</v>
      </c>
      <c r="E44" s="14">
        <v>1.2596235245700444E-4</v>
      </c>
      <c r="F44" s="14">
        <v>3.2173798472779888E-6</v>
      </c>
      <c r="G44" s="14">
        <v>9.812911737017815E-7</v>
      </c>
      <c r="H44" s="14">
        <v>0</v>
      </c>
      <c r="I44" s="14">
        <v>1.8778598212096163E-8</v>
      </c>
      <c r="J44" s="14">
        <v>8.873486916497627E-6</v>
      </c>
      <c r="K44" s="14">
        <v>0</v>
      </c>
    </row>
    <row r="45" spans="1:11">
      <c r="A45" s="2" t="s">
        <v>377</v>
      </c>
      <c r="B45" s="3" t="s">
        <v>378</v>
      </c>
      <c r="D45" s="14">
        <v>9.4708078392044443E-8</v>
      </c>
      <c r="E45" s="14">
        <v>8.9376662854661194E-5</v>
      </c>
      <c r="F45" s="14">
        <v>2.9255377689916004E-5</v>
      </c>
      <c r="G45" s="14">
        <v>7.3943714745011262E-6</v>
      </c>
      <c r="H45" s="14">
        <v>0</v>
      </c>
      <c r="I45" s="14">
        <v>8.8702237097999629E-8</v>
      </c>
      <c r="J45" s="14">
        <v>2.3790177665431613E-5</v>
      </c>
      <c r="K45" s="14">
        <v>0</v>
      </c>
    </row>
    <row r="46" spans="1:11">
      <c r="A46" s="2" t="s">
        <v>379</v>
      </c>
      <c r="B46" s="3" t="s">
        <v>380</v>
      </c>
      <c r="D46" s="14">
        <v>2.8349616775321683E-7</v>
      </c>
      <c r="E46" s="14">
        <v>9.2829134768449914E-5</v>
      </c>
      <c r="F46" s="14">
        <v>2.6814263750626666E-5</v>
      </c>
      <c r="G46" s="14">
        <v>6.840083954608118E-6</v>
      </c>
      <c r="H46" s="14">
        <v>0</v>
      </c>
      <c r="I46" s="14">
        <v>8.2655811325818951E-8</v>
      </c>
      <c r="J46" s="14">
        <v>2.3150365547236236E-5</v>
      </c>
      <c r="K46" s="14">
        <v>0</v>
      </c>
    </row>
    <row r="47" spans="1:11">
      <c r="A47" s="2" t="s">
        <v>381</v>
      </c>
      <c r="B47" s="3" t="s">
        <v>382</v>
      </c>
      <c r="D47" s="14">
        <v>5.2113097607051952E-12</v>
      </c>
      <c r="E47" s="14">
        <v>1.0409359277975634E-7</v>
      </c>
      <c r="F47" s="14">
        <v>3.8598068519950624E-5</v>
      </c>
      <c r="G47" s="14">
        <v>1.0458300784110928E-4</v>
      </c>
      <c r="H47" s="14">
        <v>0</v>
      </c>
      <c r="I47" s="14">
        <v>1.2123565397890148E-6</v>
      </c>
      <c r="J47" s="14">
        <v>5.5024682950615481E-6</v>
      </c>
      <c r="K47" s="14">
        <v>0</v>
      </c>
    </row>
    <row r="48" spans="1:11">
      <c r="A48" s="2" t="s">
        <v>383</v>
      </c>
      <c r="B48" s="3" t="s">
        <v>384</v>
      </c>
      <c r="D48" s="14">
        <v>1.4409263255166926E-6</v>
      </c>
      <c r="E48" s="14">
        <v>1.4214084271108474E-4</v>
      </c>
      <c r="F48" s="14">
        <v>9.8914613927587605E-7</v>
      </c>
      <c r="G48" s="14">
        <v>3.3201370848105497E-7</v>
      </c>
      <c r="H48" s="14">
        <v>0</v>
      </c>
      <c r="I48" s="14">
        <v>1.2522123372013146E-8</v>
      </c>
      <c r="J48" s="14">
        <v>5.0845489922695852E-6</v>
      </c>
      <c r="K48" s="14">
        <v>0</v>
      </c>
    </row>
    <row r="49" spans="1:11">
      <c r="A49" s="2" t="s">
        <v>385</v>
      </c>
      <c r="B49" s="3" t="s">
        <v>386</v>
      </c>
      <c r="D49" s="14">
        <v>2.73791061476736E-6</v>
      </c>
      <c r="E49" s="14">
        <v>1.3803727443539472E-4</v>
      </c>
      <c r="F49" s="14">
        <v>1.7948904623693674E-6</v>
      </c>
      <c r="G49" s="14">
        <v>5.753518385091042E-7</v>
      </c>
      <c r="H49" s="14">
        <v>0</v>
      </c>
      <c r="I49" s="14">
        <v>1.4984896963152815E-8</v>
      </c>
      <c r="J49" s="14">
        <v>6.8395877519962614E-6</v>
      </c>
      <c r="K49" s="14">
        <v>0</v>
      </c>
    </row>
    <row r="50" spans="1:11">
      <c r="A50" s="2" t="s">
        <v>387</v>
      </c>
      <c r="B50" s="3" t="s">
        <v>388</v>
      </c>
      <c r="D50" s="14">
        <v>8.9546301497013026E-7</v>
      </c>
      <c r="E50" s="14">
        <v>1.3163905713996282E-5</v>
      </c>
      <c r="F50" s="14">
        <v>9.8144583729654647E-5</v>
      </c>
      <c r="G50" s="14">
        <v>1.9704340001381456E-5</v>
      </c>
      <c r="H50" s="14">
        <v>0</v>
      </c>
      <c r="I50" s="14">
        <v>2.2443288393659573E-7</v>
      </c>
      <c r="J50" s="14">
        <v>1.7867274656060868E-5</v>
      </c>
      <c r="K50" s="14">
        <v>0</v>
      </c>
    </row>
    <row r="51" spans="1:11">
      <c r="A51" s="2" t="s">
        <v>295</v>
      </c>
      <c r="B51" s="3" t="s">
        <v>296</v>
      </c>
      <c r="D51" s="14">
        <v>7.8975567297701991E-6</v>
      </c>
      <c r="E51" s="14">
        <v>1.3994257608265792E-4</v>
      </c>
      <c r="F51" s="14">
        <v>1.5693197432153948E-7</v>
      </c>
      <c r="G51" s="14">
        <v>6.0256928980479188E-8</v>
      </c>
      <c r="H51" s="14">
        <v>0</v>
      </c>
      <c r="I51" s="14">
        <v>9.3597491657827295E-9</v>
      </c>
      <c r="J51" s="14">
        <v>1.9333185351040861E-6</v>
      </c>
      <c r="K51" s="14">
        <v>0</v>
      </c>
    </row>
    <row r="52" spans="1:11">
      <c r="A52" s="2" t="s">
        <v>389</v>
      </c>
      <c r="B52" s="3" t="s">
        <v>390</v>
      </c>
      <c r="D52" s="14">
        <v>9.0440034714397648E-6</v>
      </c>
      <c r="E52" s="14">
        <v>1.2186467380772714E-4</v>
      </c>
      <c r="F52" s="14">
        <v>5.6725640030055342E-6</v>
      </c>
      <c r="G52" s="14">
        <v>1.6552933109113758E-6</v>
      </c>
      <c r="H52" s="14">
        <v>0</v>
      </c>
      <c r="I52" s="14">
        <v>2.6079579857403543E-8</v>
      </c>
      <c r="J52" s="14">
        <v>1.1737385827058739E-5</v>
      </c>
      <c r="K52" s="14">
        <v>0</v>
      </c>
    </row>
    <row r="53" spans="1:11">
      <c r="A53" s="2" t="s">
        <v>391</v>
      </c>
      <c r="B53" s="3" t="s">
        <v>392</v>
      </c>
      <c r="D53" s="14">
        <v>2.8419533041032808E-7</v>
      </c>
      <c r="E53" s="14">
        <v>7.0299793251731892E-5</v>
      </c>
      <c r="F53" s="14">
        <v>4.2996749242979507E-5</v>
      </c>
      <c r="G53" s="14">
        <v>1.037841845820364E-5</v>
      </c>
      <c r="H53" s="14">
        <v>0</v>
      </c>
      <c r="I53" s="14">
        <v>1.2128530689271051E-7</v>
      </c>
      <c r="J53" s="14">
        <v>2.5919558409781895E-5</v>
      </c>
      <c r="K53" s="14">
        <v>0</v>
      </c>
    </row>
    <row r="54" spans="1:11">
      <c r="A54" s="2" t="s">
        <v>393</v>
      </c>
      <c r="B54" s="3" t="s">
        <v>394</v>
      </c>
      <c r="D54" s="14">
        <v>2.4080303211877243E-8</v>
      </c>
      <c r="E54" s="14">
        <v>1.4561934093035872E-7</v>
      </c>
      <c r="F54" s="14">
        <v>4.6204112799575785E-5</v>
      </c>
      <c r="G54" s="14">
        <v>9.6422012292856612E-5</v>
      </c>
      <c r="H54" s="14">
        <v>0</v>
      </c>
      <c r="I54" s="14">
        <v>1.1162037513471198E-6</v>
      </c>
      <c r="J54" s="14">
        <v>6.0879715120782336E-6</v>
      </c>
      <c r="K54" s="14">
        <v>0</v>
      </c>
    </row>
    <row r="55" spans="1:11">
      <c r="A55" s="2" t="s">
        <v>395</v>
      </c>
      <c r="B55" s="3" t="s">
        <v>396</v>
      </c>
      <c r="D55" s="14">
        <v>1.8976785992858831E-5</v>
      </c>
      <c r="E55" s="14">
        <v>2.4997683779508741E-5</v>
      </c>
      <c r="F55" s="14">
        <v>7.0281552158530853E-5</v>
      </c>
      <c r="G55" s="14">
        <v>1.5161316000199001E-5</v>
      </c>
      <c r="H55" s="14">
        <v>0</v>
      </c>
      <c r="I55" s="14">
        <v>1.7311718740999422E-7</v>
      </c>
      <c r="J55" s="14">
        <v>2.0409544881492564E-5</v>
      </c>
      <c r="K55" s="14">
        <v>0</v>
      </c>
    </row>
    <row r="56" spans="1:11">
      <c r="A56" s="2" t="s">
        <v>397</v>
      </c>
      <c r="B56" s="3" t="s">
        <v>398</v>
      </c>
      <c r="D56" s="14">
        <v>8.5760500293711358E-5</v>
      </c>
      <c r="E56" s="14">
        <v>2.943231452272672E-6</v>
      </c>
      <c r="F56" s="14">
        <v>4.6462865466313582E-5</v>
      </c>
      <c r="G56" s="14">
        <v>8.8267646194951844E-6</v>
      </c>
      <c r="H56" s="14">
        <v>0</v>
      </c>
      <c r="I56" s="14">
        <v>1.0057665049043376E-7</v>
      </c>
      <c r="J56" s="14">
        <v>5.9060615177167425E-6</v>
      </c>
      <c r="K56" s="14">
        <v>0</v>
      </c>
    </row>
    <row r="57" spans="1:11">
      <c r="A57" s="2" t="s">
        <v>399</v>
      </c>
      <c r="B57" s="3" t="s">
        <v>400</v>
      </c>
      <c r="D57" s="14">
        <v>1.1306086080384456E-4</v>
      </c>
      <c r="E57" s="14">
        <v>5.523436909052197E-6</v>
      </c>
      <c r="F57" s="14">
        <v>2.1494679407453509E-5</v>
      </c>
      <c r="G57" s="14">
        <v>4.5271671267379368E-6</v>
      </c>
      <c r="H57" s="14">
        <v>0</v>
      </c>
      <c r="I57" s="14">
        <v>5.1621247536994264E-8</v>
      </c>
      <c r="J57" s="14">
        <v>5.3422345053747651E-6</v>
      </c>
      <c r="K57" s="14">
        <v>0</v>
      </c>
    </row>
    <row r="58" spans="1:11">
      <c r="A58" s="2" t="s">
        <v>297</v>
      </c>
      <c r="B58" s="3" t="s">
        <v>298</v>
      </c>
      <c r="D58" s="14">
        <v>1.3785937638214707E-4</v>
      </c>
      <c r="E58" s="14">
        <v>1.1256760331338517E-5</v>
      </c>
      <c r="F58" s="14">
        <v>1.8795548063092402E-7</v>
      </c>
      <c r="G58" s="14">
        <v>5.9149428015162353E-8</v>
      </c>
      <c r="H58" s="14">
        <v>0</v>
      </c>
      <c r="I58" s="14">
        <v>1.3587297050850906E-9</v>
      </c>
      <c r="J58" s="14">
        <v>6.3539964816323763E-7</v>
      </c>
      <c r="K58" s="14">
        <v>0</v>
      </c>
    </row>
    <row r="59" spans="1:11">
      <c r="A59" s="2" t="s">
        <v>401</v>
      </c>
      <c r="B59" s="3" t="s">
        <v>402</v>
      </c>
      <c r="D59" s="14">
        <v>1.3550199929658263E-4</v>
      </c>
      <c r="E59" s="14">
        <v>2.2962692661664268E-6</v>
      </c>
      <c r="F59" s="14">
        <v>8.2901881553605923E-6</v>
      </c>
      <c r="G59" s="14">
        <v>1.7557389461407356E-6</v>
      </c>
      <c r="H59" s="14">
        <v>0</v>
      </c>
      <c r="I59" s="14">
        <v>2.0025082146171591E-8</v>
      </c>
      <c r="J59" s="14">
        <v>2.1357792536034207E-6</v>
      </c>
      <c r="K59" s="14">
        <v>0</v>
      </c>
    </row>
    <row r="60" spans="1:11">
      <c r="A60" s="2" t="s">
        <v>299</v>
      </c>
      <c r="B60" s="3" t="s">
        <v>300</v>
      </c>
      <c r="D60" s="14">
        <v>1.4969372430260967E-4</v>
      </c>
      <c r="E60" s="14">
        <v>8.6349674246239E-8</v>
      </c>
      <c r="F60" s="14">
        <v>1.3659106079373934E-7</v>
      </c>
      <c r="G60" s="14">
        <v>3.0740988837726603E-8</v>
      </c>
      <c r="H60" s="14">
        <v>0</v>
      </c>
      <c r="I60" s="14">
        <v>3.5264003056747233E-10</v>
      </c>
      <c r="J60" s="14">
        <v>5.2241333482037022E-8</v>
      </c>
      <c r="K60" s="14">
        <v>0</v>
      </c>
    </row>
    <row r="61" spans="1:11">
      <c r="A61" s="2" t="s">
        <v>403</v>
      </c>
      <c r="B61" s="3" t="s">
        <v>404</v>
      </c>
      <c r="D61" s="14">
        <v>6.4708220156756423E-48</v>
      </c>
      <c r="E61" s="14">
        <v>5.2834373792534417E-5</v>
      </c>
      <c r="F61" s="14">
        <v>5.7435200137533094E-5</v>
      </c>
      <c r="G61" s="14">
        <v>1.3288430646075892E-5</v>
      </c>
      <c r="H61" s="14">
        <v>0</v>
      </c>
      <c r="I61" s="14">
        <v>1.532346220889857E-7</v>
      </c>
      <c r="J61" s="14">
        <v>2.6288760801767583E-5</v>
      </c>
      <c r="K61" s="14">
        <v>0</v>
      </c>
    </row>
    <row r="62" spans="1:11">
      <c r="A62" s="2" t="s">
        <v>405</v>
      </c>
      <c r="B62" s="3" t="s">
        <v>406</v>
      </c>
      <c r="D62" s="14">
        <v>1.3485186704748421E-11</v>
      </c>
      <c r="E62" s="14">
        <v>6.2643220055064804E-7</v>
      </c>
      <c r="F62" s="14">
        <v>9.0401502372896718E-5</v>
      </c>
      <c r="G62" s="14">
        <v>5.0393114853285062E-5</v>
      </c>
      <c r="H62" s="14">
        <v>0</v>
      </c>
      <c r="I62" s="14">
        <v>5.7934901666366984E-7</v>
      </c>
      <c r="J62" s="14">
        <v>7.9995880714171553E-6</v>
      </c>
      <c r="K62" s="14">
        <v>0</v>
      </c>
    </row>
    <row r="63" spans="1:11">
      <c r="A63" s="2" t="s">
        <v>407</v>
      </c>
      <c r="B63" s="3" t="s">
        <v>408</v>
      </c>
      <c r="D63" s="14">
        <v>3.1940974899203398E-9</v>
      </c>
      <c r="E63" s="14">
        <v>5.6619401914297578E-8</v>
      </c>
      <c r="F63" s="14">
        <v>2.74578704615249E-5</v>
      </c>
      <c r="G63" s="14">
        <v>1.1664400079631438E-4</v>
      </c>
      <c r="H63" s="14">
        <v>0</v>
      </c>
      <c r="I63" s="14">
        <v>1.3554175473063189E-6</v>
      </c>
      <c r="J63" s="14">
        <v>4.4828976954501613E-6</v>
      </c>
      <c r="K63" s="14">
        <v>0</v>
      </c>
    </row>
    <row r="64" spans="1:11">
      <c r="A64" s="2" t="s">
        <v>409</v>
      </c>
      <c r="B64" s="3" t="s">
        <v>410</v>
      </c>
      <c r="D64" s="14">
        <v>3.9263159524128682E-10</v>
      </c>
      <c r="E64" s="14">
        <v>1.9477909988282267E-8</v>
      </c>
      <c r="F64" s="14">
        <v>1.4689395663916423E-5</v>
      </c>
      <c r="G64" s="14">
        <v>1.3076739859197578E-4</v>
      </c>
      <c r="H64" s="14">
        <v>0</v>
      </c>
      <c r="I64" s="14">
        <v>1.5255817974452738E-6</v>
      </c>
      <c r="J64" s="14">
        <v>2.9977534050789818E-6</v>
      </c>
      <c r="K64" s="14">
        <v>0</v>
      </c>
    </row>
    <row r="65" spans="1:11">
      <c r="A65" s="2" t="s">
        <v>301</v>
      </c>
      <c r="B65" s="3" t="s">
        <v>302</v>
      </c>
      <c r="D65" s="14">
        <v>4.8195601667811433E-11</v>
      </c>
      <c r="E65" s="14">
        <v>5.4335606154844437E-9</v>
      </c>
      <c r="F65" s="14">
        <v>6.7705833772314257E-6</v>
      </c>
      <c r="G65" s="14">
        <v>1.3980465947033117E-4</v>
      </c>
      <c r="H65" s="14">
        <v>0</v>
      </c>
      <c r="I65" s="14">
        <v>1.6384634239412701E-6</v>
      </c>
      <c r="J65" s="14">
        <v>1.7808119722789766E-6</v>
      </c>
      <c r="K65" s="14">
        <v>0</v>
      </c>
    </row>
    <row r="66" spans="1:11">
      <c r="A66" s="2" t="s">
        <v>303</v>
      </c>
      <c r="B66" s="3" t="s">
        <v>304</v>
      </c>
      <c r="D66" s="14">
        <v>4.6681264709796058E-17</v>
      </c>
      <c r="E66" s="14">
        <v>1.1303156054262188E-8</v>
      </c>
      <c r="F66" s="14">
        <v>1.0584279455312888E-5</v>
      </c>
      <c r="G66" s="14">
        <v>1.3541190670011136E-4</v>
      </c>
      <c r="H66" s="14">
        <v>0</v>
      </c>
      <c r="I66" s="14">
        <v>1.5828645287215281E-6</v>
      </c>
      <c r="J66" s="14">
        <v>2.4096461597532719E-6</v>
      </c>
      <c r="K66" s="14">
        <v>0</v>
      </c>
    </row>
    <row r="67" spans="1:11">
      <c r="A67" s="2" t="s">
        <v>411</v>
      </c>
      <c r="B67" s="3" t="s">
        <v>412</v>
      </c>
      <c r="D67" s="14">
        <v>5.9577623620791499E-7</v>
      </c>
      <c r="E67" s="14">
        <v>1.3352429280557874E-4</v>
      </c>
      <c r="F67" s="14">
        <v>4.1658330463717092E-6</v>
      </c>
      <c r="G67" s="14">
        <v>1.2519800719330069E-6</v>
      </c>
      <c r="H67" s="14">
        <v>0</v>
      </c>
      <c r="I67" s="14">
        <v>2.2277981107147977E-8</v>
      </c>
      <c r="J67" s="14">
        <v>1.0439839858801489E-5</v>
      </c>
      <c r="K67" s="14">
        <v>0</v>
      </c>
    </row>
    <row r="68" spans="1:11">
      <c r="A68" s="2" t="s">
        <v>413</v>
      </c>
      <c r="B68" s="3" t="s">
        <v>414</v>
      </c>
      <c r="D68" s="14">
        <v>1.3150613758163577E-6</v>
      </c>
      <c r="E68" s="14">
        <v>1.2527463107203467E-4</v>
      </c>
      <c r="F68" s="14">
        <v>7.4879805347063323E-6</v>
      </c>
      <c r="G68" s="14">
        <v>2.1451628248452479E-6</v>
      </c>
      <c r="H68" s="14">
        <v>0</v>
      </c>
      <c r="I68" s="14">
        <v>3.1786339568890617E-8</v>
      </c>
      <c r="J68" s="14">
        <v>1.3745377853028468E-5</v>
      </c>
      <c r="K68" s="14">
        <v>0</v>
      </c>
    </row>
    <row r="69" spans="1:11">
      <c r="A69" s="2" t="s">
        <v>415</v>
      </c>
      <c r="B69" s="3" t="s">
        <v>416</v>
      </c>
      <c r="D69" s="14">
        <v>1.5547898083757701E-7</v>
      </c>
      <c r="E69" s="14">
        <v>2.2632305416244241E-7</v>
      </c>
      <c r="F69" s="14">
        <v>5.7834950670194803E-5</v>
      </c>
      <c r="G69" s="14">
        <v>8.3981944283774418E-5</v>
      </c>
      <c r="H69" s="14">
        <v>0</v>
      </c>
      <c r="I69" s="14">
        <v>9.7033352114311722E-7</v>
      </c>
      <c r="J69" s="14">
        <v>6.8309694898876398E-6</v>
      </c>
      <c r="K69" s="14">
        <v>0</v>
      </c>
    </row>
    <row r="70" spans="1:11">
      <c r="A70" s="2" t="s">
        <v>417</v>
      </c>
      <c r="B70" s="3" t="s">
        <v>418</v>
      </c>
      <c r="D70" s="14">
        <v>4.1050943196139842E-7</v>
      </c>
      <c r="E70" s="14">
        <v>4.2422889913977146E-6</v>
      </c>
      <c r="F70" s="14">
        <v>1.1322486833708129E-4</v>
      </c>
      <c r="G70" s="14">
        <v>2.0693663355661088E-5</v>
      </c>
      <c r="H70" s="14">
        <v>0</v>
      </c>
      <c r="I70" s="14">
        <v>2.3599727977392013E-7</v>
      </c>
      <c r="J70" s="14">
        <v>1.1192672604124549E-5</v>
      </c>
      <c r="K70" s="14">
        <v>0</v>
      </c>
    </row>
    <row r="71" spans="1:11">
      <c r="A71" s="2" t="s">
        <v>419</v>
      </c>
      <c r="B71" s="3" t="s">
        <v>420</v>
      </c>
      <c r="D71" s="14">
        <v>3.2196908878024485E-6</v>
      </c>
      <c r="E71" s="14">
        <v>1.2501763773863835E-4</v>
      </c>
      <c r="F71" s="14">
        <v>6.7613413610469192E-6</v>
      </c>
      <c r="G71" s="14">
        <v>1.9513196508953936E-6</v>
      </c>
      <c r="H71" s="14">
        <v>0</v>
      </c>
      <c r="I71" s="14">
        <v>2.959499705649185E-8</v>
      </c>
      <c r="J71" s="14">
        <v>1.3020415364560369E-5</v>
      </c>
      <c r="K71" s="14">
        <v>0</v>
      </c>
    </row>
    <row r="72" spans="1:11">
      <c r="A72" s="2" t="s">
        <v>421</v>
      </c>
      <c r="B72" s="3" t="s">
        <v>422</v>
      </c>
      <c r="D72" s="14">
        <v>1.7342763444136676E-6</v>
      </c>
      <c r="E72" s="14">
        <v>4.9410063307048742E-6</v>
      </c>
      <c r="F72" s="14">
        <v>1.1069728890180919E-4</v>
      </c>
      <c r="G72" s="14">
        <v>2.0494274084173594E-5</v>
      </c>
      <c r="H72" s="14">
        <v>0</v>
      </c>
      <c r="I72" s="14">
        <v>2.3364755977392161E-7</v>
      </c>
      <c r="J72" s="14">
        <v>1.1899506779124735E-5</v>
      </c>
      <c r="K72" s="14">
        <v>0</v>
      </c>
    </row>
    <row r="73" spans="1:11">
      <c r="A73" s="2" t="s">
        <v>423</v>
      </c>
      <c r="B73" s="3" t="s">
        <v>424</v>
      </c>
      <c r="D73" s="14">
        <v>1.883000805216132E-6</v>
      </c>
      <c r="E73" s="14">
        <v>4.8585605075879683E-5</v>
      </c>
      <c r="F73" s="14">
        <v>5.9850693917969321E-5</v>
      </c>
      <c r="G73" s="14">
        <v>1.3720335949289465E-5</v>
      </c>
      <c r="H73" s="14">
        <v>0</v>
      </c>
      <c r="I73" s="14">
        <v>1.5790112163575622E-7</v>
      </c>
      <c r="J73" s="14">
        <v>2.5802463130009631E-5</v>
      </c>
      <c r="K73" s="14">
        <v>0</v>
      </c>
    </row>
    <row r="74" spans="1:11">
      <c r="A74" s="2" t="s">
        <v>425</v>
      </c>
      <c r="B74" s="3" t="s">
        <v>426</v>
      </c>
      <c r="D74" s="14">
        <v>6.3479166977816006E-7</v>
      </c>
      <c r="E74" s="14">
        <v>4.4363758140141676E-6</v>
      </c>
      <c r="F74" s="14">
        <v>1.1262891575029564E-4</v>
      </c>
      <c r="G74" s="14">
        <v>2.0660720314050884E-5</v>
      </c>
      <c r="H74" s="14">
        <v>0</v>
      </c>
      <c r="I74" s="14">
        <v>2.355989705592735E-7</v>
      </c>
      <c r="J74" s="14">
        <v>1.1403597481301873E-5</v>
      </c>
      <c r="K74" s="14">
        <v>0</v>
      </c>
    </row>
    <row r="75" spans="1:11">
      <c r="A75" s="2" t="s">
        <v>427</v>
      </c>
      <c r="B75" s="3" t="s">
        <v>428</v>
      </c>
      <c r="D75" s="14">
        <v>6.4230111431079839E-14</v>
      </c>
      <c r="E75" s="14">
        <v>6.4791167049984648E-7</v>
      </c>
      <c r="F75" s="14">
        <v>1.4923042542308536E-4</v>
      </c>
      <c r="G75" s="14">
        <v>5.7584763315472302E-8</v>
      </c>
      <c r="H75" s="14">
        <v>0</v>
      </c>
      <c r="I75" s="14">
        <v>5.8788708148349751E-8</v>
      </c>
      <c r="J75" s="14">
        <v>5.2893707208332478E-9</v>
      </c>
      <c r="K75" s="14">
        <v>0</v>
      </c>
    </row>
    <row r="76" spans="1:11">
      <c r="A76" s="2" t="s">
        <v>429</v>
      </c>
      <c r="B76" s="3" t="s">
        <v>430</v>
      </c>
      <c r="D76" s="14">
        <v>1.6133874546542788E-15</v>
      </c>
      <c r="E76" s="14">
        <v>6.4791167077031395E-7</v>
      </c>
      <c r="F76" s="14">
        <v>1.4923042548538085E-4</v>
      </c>
      <c r="G76" s="14">
        <v>5.758476333951078E-8</v>
      </c>
      <c r="H76" s="14">
        <v>0</v>
      </c>
      <c r="I76" s="14">
        <v>5.8788708172890797E-8</v>
      </c>
      <c r="J76" s="14">
        <v>5.2893707230412683E-9</v>
      </c>
      <c r="K76" s="14">
        <v>0</v>
      </c>
    </row>
    <row r="77" spans="1:11">
      <c r="A77" s="2" t="s">
        <v>431</v>
      </c>
      <c r="B77" s="3" t="s">
        <v>432</v>
      </c>
      <c r="D77" s="14">
        <v>3.2909474915419437E-6</v>
      </c>
      <c r="E77" s="14">
        <v>1.8014327875176256E-5</v>
      </c>
      <c r="F77" s="14">
        <v>9.0020130318523031E-5</v>
      </c>
      <c r="G77" s="14">
        <v>1.8613806405574416E-5</v>
      </c>
      <c r="H77" s="14">
        <v>0</v>
      </c>
      <c r="I77" s="14">
        <v>2.1210867200319989E-7</v>
      </c>
      <c r="J77" s="14">
        <v>1.9848679237181132E-5</v>
      </c>
      <c r="K77" s="14">
        <v>0</v>
      </c>
    </row>
    <row r="78" spans="1:11">
      <c r="A78" s="2" t="s">
        <v>433</v>
      </c>
      <c r="B78" s="3" t="s">
        <v>434</v>
      </c>
      <c r="D78" s="14">
        <v>4.6886570645275937E-6</v>
      </c>
      <c r="E78" s="14">
        <v>9.4755751198180113E-5</v>
      </c>
      <c r="F78" s="14">
        <v>2.2975615426679686E-5</v>
      </c>
      <c r="G78" s="14">
        <v>5.9369406665344954E-6</v>
      </c>
      <c r="H78" s="14">
        <v>0</v>
      </c>
      <c r="I78" s="14">
        <v>7.2589420532823326E-8</v>
      </c>
      <c r="J78" s="14">
        <v>2.1570446223545265E-5</v>
      </c>
      <c r="K78" s="14">
        <v>0</v>
      </c>
    </row>
    <row r="79" spans="1:11">
      <c r="A79" s="2" t="s">
        <v>435</v>
      </c>
      <c r="B79" s="3" t="s">
        <v>436</v>
      </c>
      <c r="D79" s="14">
        <v>1.1260866508423065E-6</v>
      </c>
      <c r="E79" s="14">
        <v>6.8357932695567531E-5</v>
      </c>
      <c r="F79" s="14">
        <v>4.3953199518691632E-5</v>
      </c>
      <c r="G79" s="14">
        <v>1.0570269247431827E-5</v>
      </c>
      <c r="H79" s="14">
        <v>0</v>
      </c>
      <c r="I79" s="14">
        <v>1.2334333020223886E-7</v>
      </c>
      <c r="J79" s="14">
        <v>2.5869168557264421E-5</v>
      </c>
      <c r="K79" s="14">
        <v>0</v>
      </c>
    </row>
    <row r="80" spans="1:11">
      <c r="A80" s="2" t="s">
        <v>437</v>
      </c>
      <c r="B80" s="3" t="s">
        <v>438</v>
      </c>
      <c r="D80" s="14">
        <v>2.2989378264717672E-14</v>
      </c>
      <c r="E80" s="14">
        <v>4.3914137103607455E-7</v>
      </c>
      <c r="F80" s="14">
        <v>1.4932960893783776E-4</v>
      </c>
      <c r="G80" s="14">
        <v>1.106868776963285E-7</v>
      </c>
      <c r="H80" s="14">
        <v>0</v>
      </c>
      <c r="I80" s="14">
        <v>1.141182410329629E-7</v>
      </c>
      <c r="J80" s="14">
        <v>6.4445494074551971E-9</v>
      </c>
      <c r="K80" s="14">
        <v>0</v>
      </c>
    </row>
    <row r="81" spans="1:11">
      <c r="A81" s="2" t="s">
        <v>440</v>
      </c>
      <c r="B81" s="3" t="s">
        <v>441</v>
      </c>
      <c r="D81" s="14">
        <v>2.193728999758399E-17</v>
      </c>
      <c r="E81" s="14">
        <v>1.4793130428991444E-4</v>
      </c>
      <c r="F81" s="14">
        <v>1.392520703116325E-7</v>
      </c>
      <c r="G81" s="14">
        <v>5.4162314680404301E-8</v>
      </c>
      <c r="H81" s="14">
        <v>0</v>
      </c>
      <c r="I81" s="14">
        <v>9.788268986855039E-9</v>
      </c>
      <c r="J81" s="14">
        <v>1.8654930560847079E-6</v>
      </c>
      <c r="K81" s="14">
        <v>0</v>
      </c>
    </row>
    <row r="82" spans="1:11">
      <c r="A82" s="2" t="s">
        <v>442</v>
      </c>
      <c r="B82" s="3" t="s">
        <v>443</v>
      </c>
      <c r="D82" s="14">
        <v>1.0967018305029002E-8</v>
      </c>
      <c r="E82" s="14">
        <v>1.2257606585939856E-4</v>
      </c>
      <c r="F82" s="14">
        <v>9.4082154151387725E-6</v>
      </c>
      <c r="G82" s="14">
        <v>2.6460790116719738E-6</v>
      </c>
      <c r="H82" s="14">
        <v>0</v>
      </c>
      <c r="I82" s="14">
        <v>3.7245255715874487E-8</v>
      </c>
      <c r="J82" s="14">
        <v>1.5321427439769802E-5</v>
      </c>
      <c r="K82" s="14">
        <v>0</v>
      </c>
    </row>
    <row r="83" spans="1:11">
      <c r="A83" s="2" t="s">
        <v>444</v>
      </c>
      <c r="B83" s="3" t="s">
        <v>445</v>
      </c>
      <c r="D83" s="14">
        <v>7.0797627669642973E-8</v>
      </c>
      <c r="E83" s="14">
        <v>2.2854715281120868E-5</v>
      </c>
      <c r="F83" s="14">
        <v>8.6743589520285337E-5</v>
      </c>
      <c r="G83" s="14">
        <v>1.8303449486327672E-5</v>
      </c>
      <c r="H83" s="14">
        <v>0</v>
      </c>
      <c r="I83" s="14">
        <v>2.0872322525913094E-7</v>
      </c>
      <c r="J83" s="14">
        <v>2.1818724859337314E-5</v>
      </c>
      <c r="K83" s="14">
        <v>0</v>
      </c>
    </row>
    <row r="84" spans="1:11">
      <c r="A84" s="2" t="s">
        <v>446</v>
      </c>
      <c r="B84" s="3" t="s">
        <v>447</v>
      </c>
      <c r="D84" s="14">
        <v>6.8603434399572756E-19</v>
      </c>
      <c r="E84" s="14">
        <v>1.4505508828940343E-4</v>
      </c>
      <c r="F84" s="14">
        <v>6.3557168661069709E-7</v>
      </c>
      <c r="G84" s="14">
        <v>2.2072935662710144E-7</v>
      </c>
      <c r="H84" s="14">
        <v>0</v>
      </c>
      <c r="I84" s="14">
        <v>1.1462277040641292E-8</v>
      </c>
      <c r="J84" s="14">
        <v>4.0771483903174229E-6</v>
      </c>
      <c r="K84" s="14">
        <v>0</v>
      </c>
    </row>
    <row r="85" spans="1:11">
      <c r="A85" s="2" t="s">
        <v>448</v>
      </c>
      <c r="B85" s="3" t="s">
        <v>449</v>
      </c>
      <c r="D85" s="14">
        <v>4.6852646957080026E-12</v>
      </c>
      <c r="E85" s="14">
        <v>1.4918365443866458E-4</v>
      </c>
      <c r="F85" s="14">
        <v>2.5325196038627673E-8</v>
      </c>
      <c r="G85" s="14">
        <v>1.1175021599526869E-8</v>
      </c>
      <c r="H85" s="14">
        <v>0</v>
      </c>
      <c r="I85" s="14">
        <v>9.3900686505573324E-9</v>
      </c>
      <c r="J85" s="14">
        <v>7.7045058978199541E-7</v>
      </c>
      <c r="K85" s="14">
        <v>0</v>
      </c>
    </row>
    <row r="86" spans="1:11">
      <c r="A86" s="2" t="s">
        <v>450</v>
      </c>
      <c r="B86" s="3" t="s">
        <v>451</v>
      </c>
      <c r="D86" s="14">
        <v>1.7244428006550348E-12</v>
      </c>
      <c r="E86" s="14">
        <v>1.4519641835153974E-4</v>
      </c>
      <c r="F86" s="14">
        <v>6.0515618703751185E-7</v>
      </c>
      <c r="G86" s="14">
        <v>2.1094198728733898E-7</v>
      </c>
      <c r="H86" s="14">
        <v>0</v>
      </c>
      <c r="I86" s="14">
        <v>1.1362016036137315E-8</v>
      </c>
      <c r="J86" s="14">
        <v>3.9761197336564381E-6</v>
      </c>
      <c r="K86" s="14">
        <v>0</v>
      </c>
    </row>
    <row r="87" spans="1:11">
      <c r="A87" s="2" t="s">
        <v>452</v>
      </c>
      <c r="B87" s="3" t="s">
        <v>453</v>
      </c>
      <c r="D87" s="14">
        <v>5.9862930061604123E-12</v>
      </c>
      <c r="E87" s="14">
        <v>8.2587644573223595E-8</v>
      </c>
      <c r="F87" s="14">
        <v>3.3976344726995635E-5</v>
      </c>
      <c r="G87" s="14">
        <v>1.0956509251179447E-4</v>
      </c>
      <c r="H87" s="14">
        <v>0</v>
      </c>
      <c r="I87" s="14">
        <v>1.2712878599228334E-6</v>
      </c>
      <c r="J87" s="14">
        <v>5.1046812704208208E-6</v>
      </c>
      <c r="K87" s="14">
        <v>0</v>
      </c>
    </row>
    <row r="88" spans="1:11">
      <c r="A88" s="2" t="s">
        <v>454</v>
      </c>
      <c r="B88" s="3" t="s">
        <v>455</v>
      </c>
      <c r="D88" s="14">
        <v>5.5152957940532514E-9</v>
      </c>
      <c r="E88" s="14">
        <v>1.066512424735729E-4</v>
      </c>
      <c r="F88" s="14">
        <v>1.822164132036836E-5</v>
      </c>
      <c r="G88" s="14">
        <v>4.8315118493425379E-6</v>
      </c>
      <c r="H88" s="14">
        <v>0</v>
      </c>
      <c r="I88" s="14">
        <v>6.0853587821919937E-8</v>
      </c>
      <c r="J88" s="14">
        <v>2.0229235473100232E-5</v>
      </c>
      <c r="K88" s="14">
        <v>0</v>
      </c>
    </row>
    <row r="89" spans="1:11">
      <c r="A89" s="2" t="s">
        <v>456</v>
      </c>
      <c r="B89" s="3" t="s">
        <v>457</v>
      </c>
      <c r="D89" s="14">
        <v>3.6425253308126459E-21</v>
      </c>
      <c r="E89" s="14">
        <v>1.2004931618501059E-4</v>
      </c>
      <c r="F89" s="14">
        <v>1.0705852730317359E-5</v>
      </c>
      <c r="G89" s="14">
        <v>2.9779460137980599E-6</v>
      </c>
      <c r="H89" s="14">
        <v>0</v>
      </c>
      <c r="I89" s="14">
        <v>4.081896318748907E-8</v>
      </c>
      <c r="J89" s="14">
        <v>1.6226066107686484E-5</v>
      </c>
      <c r="K89" s="14">
        <v>0</v>
      </c>
    </row>
    <row r="90" spans="1:11">
      <c r="A90" s="2" t="s">
        <v>458</v>
      </c>
      <c r="B90" s="3" t="s">
        <v>459</v>
      </c>
      <c r="D90" s="14">
        <v>5.2580938085486588E-33</v>
      </c>
      <c r="E90" s="14">
        <v>1.3891381546302285E-4</v>
      </c>
      <c r="F90" s="14">
        <v>2.3781925501034793E-6</v>
      </c>
      <c r="G90" s="14">
        <v>7.4703778637101691E-7</v>
      </c>
      <c r="H90" s="14">
        <v>0</v>
      </c>
      <c r="I90" s="14">
        <v>1.6958683379205703E-8</v>
      </c>
      <c r="J90" s="14">
        <v>7.9439955171234079E-6</v>
      </c>
      <c r="K90" s="14">
        <v>0</v>
      </c>
    </row>
    <row r="91" spans="1:11">
      <c r="A91" s="2" t="s">
        <v>460</v>
      </c>
      <c r="B91" s="3" t="s">
        <v>461</v>
      </c>
      <c r="D91" s="14">
        <v>6.3032841210781559E-12</v>
      </c>
      <c r="E91" s="14">
        <v>5.4448258473991067E-7</v>
      </c>
      <c r="F91" s="14">
        <v>8.5681205407116306E-5</v>
      </c>
      <c r="G91" s="14">
        <v>5.5218057304557467E-5</v>
      </c>
      <c r="H91" s="14">
        <v>0</v>
      </c>
      <c r="I91" s="14">
        <v>6.3529343986880519E-7</v>
      </c>
      <c r="J91" s="14">
        <v>7.9209549604333541E-6</v>
      </c>
      <c r="K91" s="14">
        <v>0</v>
      </c>
    </row>
    <row r="92" spans="1:11">
      <c r="A92" s="2" t="s">
        <v>462</v>
      </c>
      <c r="B92" s="3" t="s">
        <v>463</v>
      </c>
      <c r="D92" s="14">
        <v>6.3197546992595095E-13</v>
      </c>
      <c r="E92" s="14">
        <v>3.2418829585482795E-5</v>
      </c>
      <c r="F92" s="14">
        <v>7.6510123999345471E-5</v>
      </c>
      <c r="G92" s="14">
        <v>1.6719160279519668E-5</v>
      </c>
      <c r="H92" s="14">
        <v>0</v>
      </c>
      <c r="I92" s="14">
        <v>1.9110933667245649E-7</v>
      </c>
      <c r="J92" s="14">
        <v>2.4160776167004125E-5</v>
      </c>
      <c r="K92" s="14">
        <v>0</v>
      </c>
    </row>
    <row r="93" spans="1:11">
      <c r="A93" s="2" t="s">
        <v>464</v>
      </c>
      <c r="B93" s="3" t="s">
        <v>465</v>
      </c>
      <c r="D93" s="14">
        <v>2.5825234326490742E-8</v>
      </c>
      <c r="E93" s="14">
        <v>6.5684270478737476E-6</v>
      </c>
      <c r="F93" s="14">
        <v>1.0900915047092856E-4</v>
      </c>
      <c r="G93" s="14">
        <v>2.0632816249835712E-5</v>
      </c>
      <c r="H93" s="14">
        <v>0</v>
      </c>
      <c r="I93" s="14">
        <v>2.3511635822978786E-7</v>
      </c>
      <c r="J93" s="14">
        <v>1.3528664638805665E-5</v>
      </c>
      <c r="K93" s="14">
        <v>0</v>
      </c>
    </row>
    <row r="94" spans="1:11">
      <c r="A94" s="2" t="s">
        <v>466</v>
      </c>
      <c r="B94" s="3" t="s">
        <v>467</v>
      </c>
      <c r="D94" s="14">
        <v>2.1401525779987336E-22</v>
      </c>
      <c r="E94" s="14">
        <v>1.3421897428868312E-4</v>
      </c>
      <c r="F94" s="14">
        <v>1.5759247997501159E-5</v>
      </c>
      <c r="G94" s="14">
        <v>2.0709708424898264E-9</v>
      </c>
      <c r="H94" s="14">
        <v>0</v>
      </c>
      <c r="I94" s="14">
        <v>9.6125778406849339E-9</v>
      </c>
      <c r="J94" s="14">
        <v>1.0094165132473641E-8</v>
      </c>
      <c r="K94" s="14">
        <v>0</v>
      </c>
    </row>
    <row r="95" spans="1:11">
      <c r="A95" s="2" t="s">
        <v>468</v>
      </c>
      <c r="B95" s="3" t="s">
        <v>469</v>
      </c>
      <c r="D95" s="14">
        <v>2.5285867508404025E-22</v>
      </c>
      <c r="E95" s="14">
        <v>1.2683963044195635E-6</v>
      </c>
      <c r="F95" s="14">
        <v>1.1271884819390992E-4</v>
      </c>
      <c r="G95" s="14">
        <v>2.7886377214392413E-5</v>
      </c>
      <c r="H95" s="14">
        <v>0</v>
      </c>
      <c r="I95" s="14">
        <v>3.1930028665486826E-7</v>
      </c>
      <c r="J95" s="14">
        <v>7.8070780006232231E-6</v>
      </c>
      <c r="K95" s="14">
        <v>0</v>
      </c>
    </row>
    <row r="96" spans="1:11">
      <c r="A96" s="2" t="s">
        <v>470</v>
      </c>
      <c r="B96" s="165">
        <v>354656</v>
      </c>
      <c r="D96" s="14">
        <v>4.3762777479415858E-14</v>
      </c>
      <c r="E96" s="14">
        <v>1.4784341560353261E-4</v>
      </c>
      <c r="F96" s="14">
        <v>1.5001115737272803E-7</v>
      </c>
      <c r="G96" s="14">
        <v>5.8025530157026795E-8</v>
      </c>
      <c r="H96" s="14">
        <v>0</v>
      </c>
      <c r="I96" s="14">
        <v>9.8256683517511173E-9</v>
      </c>
      <c r="J96" s="14">
        <v>1.9387219968230923E-6</v>
      </c>
      <c r="K96" s="14">
        <v>0</v>
      </c>
    </row>
    <row r="97" spans="1:11">
      <c r="A97" s="2" t="s">
        <v>472</v>
      </c>
      <c r="B97" s="3" t="s">
        <v>473</v>
      </c>
      <c r="D97" s="14">
        <v>6.8578711568338065E-14</v>
      </c>
      <c r="E97" s="14">
        <v>1.4498278284450514E-4</v>
      </c>
      <c r="F97" s="14">
        <v>6.5134038391281889E-7</v>
      </c>
      <c r="G97" s="14">
        <v>2.2578940606896717E-7</v>
      </c>
      <c r="H97" s="14">
        <v>0</v>
      </c>
      <c r="I97" s="14">
        <v>1.1514165175542424E-8</v>
      </c>
      <c r="J97" s="14">
        <v>4.1285731317588354E-6</v>
      </c>
      <c r="K97" s="14">
        <v>0</v>
      </c>
    </row>
    <row r="98" spans="1:11">
      <c r="A98" s="2" t="s">
        <v>474</v>
      </c>
      <c r="B98" s="3" t="s">
        <v>475</v>
      </c>
      <c r="D98" s="14">
        <v>5.9360961281211138E-24</v>
      </c>
      <c r="E98" s="14">
        <v>2.9983203694970197E-6</v>
      </c>
      <c r="F98" s="14">
        <v>1.1644466868301849E-4</v>
      </c>
      <c r="G98" s="14">
        <v>2.070213636252663E-5</v>
      </c>
      <c r="H98" s="14">
        <v>0</v>
      </c>
      <c r="I98" s="14">
        <v>2.3628076119538245E-7</v>
      </c>
      <c r="J98" s="14">
        <v>9.6185938237624811E-6</v>
      </c>
      <c r="K98" s="14">
        <v>0</v>
      </c>
    </row>
    <row r="99" spans="1:11">
      <c r="A99" s="2" t="s">
        <v>476</v>
      </c>
      <c r="B99" s="3" t="s">
        <v>477</v>
      </c>
      <c r="D99" s="14">
        <v>2.0406568444686197E-11</v>
      </c>
      <c r="E99" s="14">
        <v>1.4944007958319589E-4</v>
      </c>
      <c r="F99" s="14">
        <v>1.2439091559006175E-8</v>
      </c>
      <c r="G99" s="14">
        <v>5.7847450065171682E-9</v>
      </c>
      <c r="H99" s="14">
        <v>0</v>
      </c>
      <c r="I99" s="14">
        <v>9.3465430808247466E-9</v>
      </c>
      <c r="J99" s="14">
        <v>5.3232963058927858E-7</v>
      </c>
      <c r="K99" s="14">
        <v>0</v>
      </c>
    </row>
    <row r="100" spans="1:11">
      <c r="A100" s="2" t="s">
        <v>478</v>
      </c>
      <c r="B100" s="3" t="s">
        <v>479</v>
      </c>
      <c r="D100" s="14">
        <v>7.3507976762394936E-15</v>
      </c>
      <c r="E100" s="14">
        <v>7.5873755259078636E-5</v>
      </c>
      <c r="F100" s="14">
        <v>3.8954098105051731E-5</v>
      </c>
      <c r="G100" s="14">
        <v>9.5246430549899731E-6</v>
      </c>
      <c r="H100" s="14">
        <v>0</v>
      </c>
      <c r="I100" s="14">
        <v>1.119586656623641E-7</v>
      </c>
      <c r="J100" s="14">
        <v>2.5535544907866433E-5</v>
      </c>
      <c r="K100" s="14">
        <v>0</v>
      </c>
    </row>
    <row r="101" spans="1:11">
      <c r="A101" s="2" t="s">
        <v>480</v>
      </c>
      <c r="B101" s="3" t="s">
        <v>481</v>
      </c>
      <c r="D101" s="14">
        <v>5.508447715947266E-15</v>
      </c>
      <c r="E101" s="14">
        <v>1.4904806479285531E-4</v>
      </c>
      <c r="F101" s="14">
        <v>3.3732452380574126E-8</v>
      </c>
      <c r="G101" s="14">
        <v>1.457281566087798E-8</v>
      </c>
      <c r="H101" s="14">
        <v>0</v>
      </c>
      <c r="I101" s="14">
        <v>9.4191722838975862E-9</v>
      </c>
      <c r="J101" s="14">
        <v>8.9421076131087233E-7</v>
      </c>
      <c r="K101" s="14">
        <v>0</v>
      </c>
    </row>
    <row r="102" spans="1:11">
      <c r="A102" s="2" t="s">
        <v>482</v>
      </c>
      <c r="B102" s="3" t="s">
        <v>483</v>
      </c>
      <c r="D102" s="14">
        <v>3.4414586487814676E-31</v>
      </c>
      <c r="E102" s="14">
        <v>1.4976132217402955E-4</v>
      </c>
      <c r="F102" s="14">
        <v>2.3931021664029276E-9</v>
      </c>
      <c r="G102" s="14">
        <v>1.2567728650604183E-9</v>
      </c>
      <c r="H102" s="14">
        <v>0</v>
      </c>
      <c r="I102" s="14">
        <v>9.3166956854971901E-9</v>
      </c>
      <c r="J102" s="14">
        <v>2.2571125525345526E-7</v>
      </c>
      <c r="K102" s="14">
        <v>0</v>
      </c>
    </row>
    <row r="103" spans="1:11">
      <c r="A103" s="2" t="s">
        <v>484</v>
      </c>
      <c r="B103" s="3" t="s">
        <v>485</v>
      </c>
      <c r="D103" s="14">
        <v>2.7521530697657267E-17</v>
      </c>
      <c r="E103" s="14">
        <v>1.4945818188810318E-4</v>
      </c>
      <c r="F103" s="14">
        <v>1.1686683140297562E-8</v>
      </c>
      <c r="G103" s="14">
        <v>5.4599268545394485E-9</v>
      </c>
      <c r="H103" s="14">
        <v>0</v>
      </c>
      <c r="I103" s="14">
        <v>9.3440890907228016E-9</v>
      </c>
      <c r="J103" s="14">
        <v>5.1532741278369826E-7</v>
      </c>
      <c r="K103" s="14">
        <v>0</v>
      </c>
    </row>
    <row r="104" spans="1:11">
      <c r="A104" s="2" t="s">
        <v>486</v>
      </c>
      <c r="B104" s="3" t="s">
        <v>487</v>
      </c>
      <c r="D104" s="14">
        <v>3.4620459778696391E-13</v>
      </c>
      <c r="E104" s="14">
        <v>1.4657163797734119E-4</v>
      </c>
      <c r="F104" s="14">
        <v>3.394310093420297E-7</v>
      </c>
      <c r="G104" s="14">
        <v>1.2355122931882919E-7</v>
      </c>
      <c r="H104" s="14">
        <v>0</v>
      </c>
      <c r="I104" s="14">
        <v>1.047465036031522E-8</v>
      </c>
      <c r="J104" s="14">
        <v>2.954904787433043E-6</v>
      </c>
      <c r="K104" s="14">
        <v>0</v>
      </c>
    </row>
    <row r="105" spans="1:11">
      <c r="A105" s="2" t="s">
        <v>488</v>
      </c>
      <c r="B105" s="3" t="s">
        <v>489</v>
      </c>
      <c r="D105" s="14">
        <v>2.7380883457116455E-20</v>
      </c>
      <c r="E105" s="14">
        <v>1.4971474217037443E-4</v>
      </c>
      <c r="F105" s="14">
        <v>3.3952060887323441E-9</v>
      </c>
      <c r="G105" s="14">
        <v>1.7376475662798427E-9</v>
      </c>
      <c r="H105" s="14">
        <v>0</v>
      </c>
      <c r="I105" s="14">
        <v>9.3190789997820736E-9</v>
      </c>
      <c r="J105" s="14">
        <v>2.7080589697070184E-7</v>
      </c>
      <c r="K105" s="14">
        <v>0</v>
      </c>
    </row>
    <row r="106" spans="1:11">
      <c r="A106" s="2" t="s">
        <v>490</v>
      </c>
      <c r="B106" s="3" t="s">
        <v>491</v>
      </c>
      <c r="D106" s="14">
        <v>1.6203240158043103E-12</v>
      </c>
      <c r="E106" s="14">
        <v>1.3499540277228349E-4</v>
      </c>
      <c r="F106" s="14">
        <v>3.8108385804127496E-6</v>
      </c>
      <c r="G106" s="14">
        <v>1.1537616749021828E-6</v>
      </c>
      <c r="H106" s="14">
        <v>0</v>
      </c>
      <c r="I106" s="14">
        <v>2.1268658535452447E-8</v>
      </c>
      <c r="J106" s="14">
        <v>1.0018726693542084E-5</v>
      </c>
      <c r="K106" s="14">
        <v>0</v>
      </c>
    </row>
    <row r="107" spans="1:11">
      <c r="A107" s="2" t="s">
        <v>492</v>
      </c>
      <c r="B107" s="3" t="s">
        <v>493</v>
      </c>
      <c r="D107" s="14">
        <v>2.7607707812858498E-20</v>
      </c>
      <c r="E107" s="14">
        <v>2.2061115071560428E-6</v>
      </c>
      <c r="F107" s="14">
        <v>1.1859026355857069E-4</v>
      </c>
      <c r="G107" s="14">
        <v>2.058470225720403E-5</v>
      </c>
      <c r="H107" s="14">
        <v>0</v>
      </c>
      <c r="I107" s="14">
        <v>2.3512072899197492E-7</v>
      </c>
      <c r="J107" s="14">
        <v>8.3838019480771918E-6</v>
      </c>
      <c r="K107" s="14">
        <v>0</v>
      </c>
    </row>
    <row r="108" spans="1:11">
      <c r="A108" s="2" t="s">
        <v>291</v>
      </c>
      <c r="B108" s="3" t="s">
        <v>494</v>
      </c>
      <c r="D108" s="14">
        <v>4.1921531410842036E-14</v>
      </c>
      <c r="E108" s="14">
        <v>8.650361343257326E-5</v>
      </c>
      <c r="F108" s="14">
        <v>3.1293621364603041E-5</v>
      </c>
      <c r="G108" s="14">
        <v>7.8514772910457652E-6</v>
      </c>
      <c r="H108" s="14">
        <v>0</v>
      </c>
      <c r="I108" s="14">
        <v>9.3689588179617282E-8</v>
      </c>
      <c r="J108" s="14">
        <v>2.4257598281676755E-5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08"/>
  <sheetViews>
    <sheetView tabSelected="1" topLeftCell="A75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2.8146447821270585E-8</v>
      </c>
      <c r="B2">
        <f>'Mass Balance'!E2</f>
        <v>1.2936439556929404E-4</v>
      </c>
      <c r="C2">
        <f>SUM('Mass Balance'!E2:H2)</f>
        <v>1.373368740195984E-4</v>
      </c>
      <c r="D2">
        <f>Concentrations!F2/Concentrations!E2</f>
        <v>0.94563593622416298</v>
      </c>
    </row>
    <row r="3" spans="1:4">
      <c r="A3">
        <f>'Mass Balance'!I3</f>
        <v>1.2087821774555021E-6</v>
      </c>
      <c r="B3">
        <f>'Mass Balance'!E3</f>
        <v>1.0378669608313216E-7</v>
      </c>
      <c r="C3">
        <f>SUM('Mass Balance'!E3:H3)</f>
        <v>1.4286272565001867E-4</v>
      </c>
      <c r="D3">
        <f>Concentrations!F3/Concentrations!E3</f>
        <v>7.2932166972692735E-4</v>
      </c>
    </row>
    <row r="4" spans="1:4">
      <c r="A4">
        <f>'Mass Balance'!I4</f>
        <v>1.2982042962121995E-7</v>
      </c>
      <c r="B4">
        <f>'Mass Balance'!E4</f>
        <v>6.5762572096386986E-5</v>
      </c>
      <c r="C4">
        <f>SUM('Mass Balance'!E4:H4)</f>
        <v>1.2365140790593493E-4</v>
      </c>
      <c r="D4">
        <f>Concentrations!F4/Concentrations!E4</f>
        <v>0.53391987495413595</v>
      </c>
    </row>
    <row r="5" spans="1:4">
      <c r="A5">
        <f>'Mass Balance'!I5</f>
        <v>3.6235314739906495E-7</v>
      </c>
      <c r="B5">
        <f>'Mass Balance'!E5</f>
        <v>1.1147865649030619E-6</v>
      </c>
      <c r="C5">
        <f>SUM('Mass Balance'!E5:H5)</f>
        <v>1.4170332669161606E-4</v>
      </c>
      <c r="D5">
        <f>Concentrations!F5/Concentrations!E5</f>
        <v>7.8978347458445244E-3</v>
      </c>
    </row>
    <row r="6" spans="1:4">
      <c r="A6">
        <f>'Mass Balance'!I6</f>
        <v>1.3950869473355296E-6</v>
      </c>
      <c r="B6">
        <f>'Mass Balance'!E6</f>
        <v>4.6190885543802583E-8</v>
      </c>
      <c r="C6">
        <f>SUM('Mass Balance'!E6:H6)</f>
        <v>1.4443718579999347E-4</v>
      </c>
      <c r="D6">
        <f>Concentrations!F6/Concentrations!E6</f>
        <v>3.2105070844138663E-4</v>
      </c>
    </row>
    <row r="7" spans="1:4">
      <c r="A7">
        <f>'Mass Balance'!I7</f>
        <v>1.2423437187191921E-6</v>
      </c>
      <c r="B7">
        <f>'Mass Balance'!E7</f>
        <v>9.2784256120713466E-8</v>
      </c>
      <c r="C7">
        <f>SUM('Mass Balance'!E7:H7)</f>
        <v>1.4345196696444743E-4</v>
      </c>
      <c r="D7">
        <f>Concentrations!F7/Concentrations!E7</f>
        <v>6.4932802139476542E-4</v>
      </c>
    </row>
    <row r="8" spans="1:4">
      <c r="A8">
        <f>'Mass Balance'!I8</f>
        <v>1.0010293476022856E-6</v>
      </c>
      <c r="B8">
        <f>'Mass Balance'!E8</f>
        <v>2.0786842565120653E-7</v>
      </c>
      <c r="C8">
        <f>SUM('Mass Balance'!E8:H8)</f>
        <v>1.4228237489697268E-4</v>
      </c>
      <c r="D8">
        <f>Concentrations!F8/Concentrations!E8</f>
        <v>1.4666746427414957E-3</v>
      </c>
    </row>
    <row r="9" spans="1:4">
      <c r="A9">
        <f>'Mass Balance'!I9</f>
        <v>2.3046934230961026E-7</v>
      </c>
      <c r="B9">
        <f>'Mass Balance'!E9</f>
        <v>1.0237426178065484E-5</v>
      </c>
      <c r="C9">
        <f>SUM('Mass Balance'!E9:H9)</f>
        <v>1.3350851232714488E-4</v>
      </c>
      <c r="D9">
        <f>Concentrations!F9/Concentrations!E9</f>
        <v>7.6980049987451254E-2</v>
      </c>
    </row>
    <row r="10" spans="1:4">
      <c r="A10">
        <f>'Mass Balance'!I10</f>
        <v>3.8759775238134292E-7</v>
      </c>
      <c r="B10">
        <f>'Mass Balance'!E10</f>
        <v>1.0372776932959983E-6</v>
      </c>
      <c r="C10">
        <f>SUM('Mass Balance'!E10:H10)</f>
        <v>1.4164422232420073E-4</v>
      </c>
      <c r="D10">
        <f>Concentrations!F10/Concentrations!E10</f>
        <v>7.3517805761136139E-3</v>
      </c>
    </row>
    <row r="11" spans="1:4">
      <c r="A11">
        <f>'Mass Balance'!I11</f>
        <v>4.3223643087984026E-7</v>
      </c>
      <c r="B11">
        <f>'Mass Balance'!E11</f>
        <v>9.1689981619585628E-7</v>
      </c>
      <c r="C11">
        <f>SUM('Mass Balance'!E11:H11)</f>
        <v>1.4153396722419728E-4</v>
      </c>
      <c r="D11">
        <f>Concentrations!F11/Concentrations!E11</f>
        <v>6.5036560878853978E-3</v>
      </c>
    </row>
    <row r="12" spans="1:4">
      <c r="A12">
        <f>'Mass Balance'!I12</f>
        <v>2.35288625340511E-7</v>
      </c>
      <c r="B12">
        <f>'Mass Balance'!E12</f>
        <v>6.4225055560357678E-6</v>
      </c>
      <c r="C12">
        <f>SUM('Mass Balance'!E12:H12)</f>
        <v>1.3635611274656213E-4</v>
      </c>
      <c r="D12">
        <f>Concentrations!F12/Concentrations!E12</f>
        <v>4.7285309840487073E-2</v>
      </c>
    </row>
    <row r="13" spans="1:4">
      <c r="A13">
        <f>'Mass Balance'!I13</f>
        <v>2.3109333340942066E-7</v>
      </c>
      <c r="B13">
        <f>'Mass Balance'!E13</f>
        <v>9.8002030940631829E-6</v>
      </c>
      <c r="C13">
        <f>SUM('Mass Balance'!E13:H13)</f>
        <v>1.3378353062478549E-4</v>
      </c>
      <c r="D13">
        <f>Concentrations!F13/Concentrations!E13</f>
        <v>7.3540873690213046E-2</v>
      </c>
    </row>
    <row r="14" spans="1:4">
      <c r="A14">
        <f>'Mass Balance'!I14</f>
        <v>5.9032580490122304E-7</v>
      </c>
      <c r="B14">
        <f>'Mass Balance'!E14</f>
        <v>6.0931362252047496E-7</v>
      </c>
      <c r="C14">
        <f>SUM('Mass Balance'!E14:H14)</f>
        <v>1.4141648314075457E-4</v>
      </c>
      <c r="D14">
        <f>Concentrations!F14/Concentrations!E14</f>
        <v>4.3255089750456237E-3</v>
      </c>
    </row>
    <row r="15" spans="1:4">
      <c r="A15">
        <f>'Mass Balance'!I15</f>
        <v>4.0952066022950616E-7</v>
      </c>
      <c r="B15">
        <f>'Mass Balance'!E15</f>
        <v>9.7573855838057247E-7</v>
      </c>
      <c r="C15">
        <f>SUM('Mass Balance'!E15:H15)</f>
        <v>1.4159052306193589E-4</v>
      </c>
      <c r="D15">
        <f>Concentrations!F15/Concentrations!E15</f>
        <v>6.9182403118300565E-3</v>
      </c>
    </row>
    <row r="16" spans="1:4">
      <c r="A16">
        <f>'Mass Balance'!I16</f>
        <v>9.8892634132687416E-7</v>
      </c>
      <c r="B16">
        <f>'Mass Balance'!E16</f>
        <v>2.1512560474105071E-7</v>
      </c>
      <c r="C16">
        <f>SUM('Mass Balance'!E16:H16)</f>
        <v>1.4220672065700743E-4</v>
      </c>
      <c r="D16">
        <f>Concentrations!F16/Concentrations!E16</f>
        <v>1.5186872432767795E-3</v>
      </c>
    </row>
    <row r="17" spans="1:4">
      <c r="A17">
        <f>'Mass Balance'!I17</f>
        <v>3.7064920964629444E-7</v>
      </c>
      <c r="B17">
        <f>'Mass Balance'!E17</f>
        <v>1.0885314689900964E-6</v>
      </c>
      <c r="C17">
        <f>SUM('Mass Balance'!E17:H17)</f>
        <v>1.4168851859656893E-4</v>
      </c>
      <c r="D17">
        <f>Concentrations!F17/Concentrations!E17</f>
        <v>7.7126334484831213E-3</v>
      </c>
    </row>
    <row r="18" spans="1:4">
      <c r="A18">
        <f>'Mass Balance'!I18</f>
        <v>2.264824459427874E-7</v>
      </c>
      <c r="B18">
        <f>'Mass Balance'!E18</f>
        <v>1.2392615704603434E-5</v>
      </c>
      <c r="C18">
        <f>SUM('Mass Balance'!E18:H18)</f>
        <v>1.3186938822466735E-4</v>
      </c>
      <c r="D18">
        <f>Concentrations!F18/Concentrations!E18</f>
        <v>9.4344231965447362E-2</v>
      </c>
    </row>
    <row r="19" spans="1:4">
      <c r="A19">
        <f>'Mass Balance'!I19</f>
        <v>4.1400413570054966E-7</v>
      </c>
      <c r="B19">
        <f>'Mass Balance'!E19</f>
        <v>9.6376462167806224E-7</v>
      </c>
      <c r="C19">
        <f>SUM('Mass Balance'!E19:H19)</f>
        <v>1.4158052987707877E-4</v>
      </c>
      <c r="D19">
        <f>Concentrations!F19/Concentrations!E19</f>
        <v>6.8338243025118008E-3</v>
      </c>
    </row>
    <row r="20" spans="1:4">
      <c r="A20">
        <f>'Mass Balance'!I20</f>
        <v>2.3112095263562102E-7</v>
      </c>
      <c r="B20">
        <f>'Mass Balance'!E20</f>
        <v>9.8013743698506358E-6</v>
      </c>
      <c r="C20">
        <f>SUM('Mass Balance'!E20:H20)</f>
        <v>1.3379951982507826E-4</v>
      </c>
      <c r="D20">
        <f>Concentrations!F20/Concentrations!E20</f>
        <v>7.3540873690213046E-2</v>
      </c>
    </row>
    <row r="21" spans="1:4">
      <c r="A21">
        <f>'Mass Balance'!I21</f>
        <v>5.4143585790015045E-7</v>
      </c>
      <c r="B21">
        <f>'Mass Balance'!E21</f>
        <v>6.8885293988498738E-7</v>
      </c>
      <c r="C21">
        <f>SUM('Mass Balance'!E21:H21)</f>
        <v>1.413725268626412E-4</v>
      </c>
      <c r="D21">
        <f>Concentrations!F21/Concentrations!E21</f>
        <v>4.8916779614992965E-3</v>
      </c>
    </row>
    <row r="22" spans="1:4">
      <c r="A22">
        <f>'Mass Balance'!I22</f>
        <v>6.9512707462636139E-8</v>
      </c>
      <c r="B22">
        <f>'Mass Balance'!E22</f>
        <v>1.0091054319156568E-4</v>
      </c>
      <c r="C22">
        <f>SUM('Mass Balance'!E22:H22)</f>
        <v>1.281339096714376E-4</v>
      </c>
      <c r="D22">
        <f>Concentrations!F22/Concentrations!E22</f>
        <v>0.79062187913500204</v>
      </c>
    </row>
    <row r="23" spans="1:4">
      <c r="A23">
        <f>'Mass Balance'!I23</f>
        <v>3.839514748821793E-8</v>
      </c>
      <c r="B23">
        <f>'Mass Balance'!E23</f>
        <v>1.2175282477940873E-4</v>
      </c>
      <c r="C23">
        <f>SUM('Mass Balance'!E23:H23)</f>
        <v>1.3433003864504712E-4</v>
      </c>
      <c r="D23">
        <f>Concentrations!F23/Concentrations!E23</f>
        <v>0.90991802583642012</v>
      </c>
    </row>
    <row r="24" spans="1:4">
      <c r="A24">
        <f>'Mass Balance'!I24</f>
        <v>1.9214619301131619E-7</v>
      </c>
      <c r="B24">
        <f>'Mass Balance'!E24</f>
        <v>3.1853740738153488E-5</v>
      </c>
      <c r="C24">
        <f>SUM('Mass Balance'!E24:H24)</f>
        <v>1.2574649977683703E-4</v>
      </c>
      <c r="D24">
        <f>Concentrations!F24/Concentrations!E24</f>
        <v>0.25430851284398487</v>
      </c>
    </row>
    <row r="25" spans="1:4">
      <c r="A25">
        <f>'Mass Balance'!I25</f>
        <v>2.3389202557667271E-7</v>
      </c>
      <c r="B25">
        <f>'Mass Balance'!E25</f>
        <v>3.4116819578597867E-6</v>
      </c>
      <c r="C25">
        <f>SUM('Mass Balance'!E25:H25)</f>
        <v>1.3794943207466742E-4</v>
      </c>
      <c r="D25">
        <f>Concentrations!F25/Concentrations!E25</f>
        <v>2.4828185657071924E-2</v>
      </c>
    </row>
    <row r="26" spans="1:4">
      <c r="A26">
        <f>'Mass Balance'!I26</f>
        <v>5.1022252501430011E-7</v>
      </c>
      <c r="B26">
        <f>'Mass Balance'!E26</f>
        <v>7.4626259013962871E-7</v>
      </c>
      <c r="C26">
        <f>SUM('Mass Balance'!E26:H26)</f>
        <v>1.4139996783469678E-4</v>
      </c>
      <c r="D26">
        <f>Concentrations!F26/Concentrations!E26</f>
        <v>5.2983265655727266E-3</v>
      </c>
    </row>
    <row r="27" spans="1:4">
      <c r="A27">
        <f>'Mass Balance'!I27</f>
        <v>1.1841343979160422E-6</v>
      </c>
      <c r="B27">
        <f>'Mass Balance'!E27</f>
        <v>1.1419893620439771E-7</v>
      </c>
      <c r="C27">
        <f>SUM('Mass Balance'!E27:H27)</f>
        <v>1.4285322431215926E-4</v>
      </c>
      <c r="D27">
        <f>Concentrations!F27/Concentrations!E27</f>
        <v>8.0254311530271666E-4</v>
      </c>
    </row>
    <row r="28" spans="1:4">
      <c r="A28">
        <f>'Mass Balance'!I28</f>
        <v>7.4675056110360029E-7</v>
      </c>
      <c r="B28">
        <f>'Mass Balance'!E28</f>
        <v>4.1155189018956706E-7</v>
      </c>
      <c r="C28">
        <f>SUM('Mass Balance'!E28:H28)</f>
        <v>1.4156695748738526E-4</v>
      </c>
      <c r="D28">
        <f>Concentrations!F28/Concentrations!E28</f>
        <v>2.9184957454671031E-3</v>
      </c>
    </row>
    <row r="29" spans="1:4">
      <c r="A29">
        <f>'Mass Balance'!I29</f>
        <v>5.6074888490952372E-7</v>
      </c>
      <c r="B29">
        <f>'Mass Balance'!E29</f>
        <v>6.2057535859154845E-7</v>
      </c>
      <c r="C29">
        <f>SUM('Mass Balance'!E29:H29)</f>
        <v>1.3818372144687734E-4</v>
      </c>
      <c r="D29">
        <f>Concentrations!F29/Concentrations!E29</f>
        <v>4.5085200424820789E-3</v>
      </c>
    </row>
    <row r="30" spans="1:4">
      <c r="A30">
        <f>'Mass Balance'!I30</f>
        <v>7.4675056110360029E-7</v>
      </c>
      <c r="B30">
        <f>'Mass Balance'!E30</f>
        <v>4.1155189018956706E-7</v>
      </c>
      <c r="C30">
        <f>SUM('Mass Balance'!E30:H30)</f>
        <v>1.4156695748738526E-4</v>
      </c>
      <c r="D30">
        <f>Concentrations!F30/Concentrations!E30</f>
        <v>2.9184957454671031E-3</v>
      </c>
    </row>
    <row r="31" spans="1:4">
      <c r="A31">
        <f>'Mass Balance'!I31</f>
        <v>9.6208292255531319E-9</v>
      </c>
      <c r="B31">
        <f>'Mass Balance'!E31</f>
        <v>1.483633091911768E-4</v>
      </c>
      <c r="C31">
        <f>SUM('Mass Balance'!E31:H31)</f>
        <v>1.484912434234073E-4</v>
      </c>
      <c r="D31">
        <f>Concentrations!F31/Concentrations!E31</f>
        <v>1.0030487243621813</v>
      </c>
    </row>
    <row r="32" spans="1:4">
      <c r="A32">
        <f>'Mass Balance'!I32</f>
        <v>1.0580225714279753E-7</v>
      </c>
      <c r="B32">
        <f>'Mass Balance'!E32</f>
        <v>8.0029621074805262E-5</v>
      </c>
      <c r="C32">
        <f>SUM('Mass Balance'!E32:H32)</f>
        <v>1.2487695798544989E-4</v>
      </c>
      <c r="D32">
        <f>Concentrations!F32/Concentrations!E32</f>
        <v>0.64337593466145515</v>
      </c>
    </row>
    <row r="33" spans="1:4">
      <c r="A33">
        <f>'Mass Balance'!I33</f>
        <v>9.3419654492722613E-9</v>
      </c>
      <c r="B33">
        <f>'Mass Balance'!E33</f>
        <v>1.4935652363001815E-4</v>
      </c>
      <c r="C33">
        <f>SUM('Mass Balance'!E33:H33)</f>
        <v>1.4998704317684724E-4</v>
      </c>
      <c r="D33">
        <f>Concentrations!F33/Concentrations!E33</f>
        <v>0.99969337789726764</v>
      </c>
    </row>
    <row r="34" spans="1:4">
      <c r="A34">
        <f>'Mass Balance'!I34</f>
        <v>9.9176368178200213E-9</v>
      </c>
      <c r="B34">
        <f>'Mass Balance'!E34</f>
        <v>8.2146808346046345E-5</v>
      </c>
      <c r="C34">
        <f>SUM('Mass Balance'!E34:H34)</f>
        <v>1.4997776366902318E-4</v>
      </c>
      <c r="D34">
        <f>Concentrations!F34/Concentrations!E34</f>
        <v>0.54987019915558144</v>
      </c>
    </row>
    <row r="35" spans="1:4">
      <c r="A35">
        <f>'Mass Balance'!I35</f>
        <v>9.9261433028064915E-9</v>
      </c>
      <c r="B35">
        <f>'Mass Balance'!E35</f>
        <v>4.8639774890626789E-5</v>
      </c>
      <c r="C35">
        <f>SUM('Mass Balance'!E35:H35)</f>
        <v>1.4996025184805202E-4</v>
      </c>
      <c r="D35">
        <f>Concentrations!F35/Concentrations!E35</f>
        <v>0.32562051399863756</v>
      </c>
    </row>
    <row r="36" spans="1:4">
      <c r="A36">
        <f>'Mass Balance'!I36</f>
        <v>9.5095843161513833E-9</v>
      </c>
      <c r="B36">
        <f>'Mass Balance'!E36</f>
        <v>1.6225174709870396E-5</v>
      </c>
      <c r="C36">
        <f>SUM('Mass Balance'!E36:H36)</f>
        <v>1.4995715720216637E-4</v>
      </c>
      <c r="D36">
        <f>Concentrations!F36/Concentrations!E36</f>
        <v>0.1086221877125709</v>
      </c>
    </row>
    <row r="37" spans="1:4">
      <c r="A37">
        <f>'Mass Balance'!I37</f>
        <v>5.0020625526174145E-8</v>
      </c>
      <c r="B37">
        <f>'Mass Balance'!E37</f>
        <v>3.2547588353340675E-5</v>
      </c>
      <c r="C37">
        <f>SUM('Mass Balance'!E37:H37)</f>
        <v>1.4528288792630575E-4</v>
      </c>
      <c r="D37">
        <f>Concentrations!F37/Concentrations!E37</f>
        <v>0.22490582970047909</v>
      </c>
    </row>
    <row r="38" spans="1:4">
      <c r="A38">
        <f>'Mass Balance'!I38</f>
        <v>1.0368440099385033E-8</v>
      </c>
      <c r="B38">
        <f>'Mass Balance'!E38</f>
        <v>9.2078845869011412E-5</v>
      </c>
      <c r="C38">
        <f>SUM('Mass Balance'!E38:H38)</f>
        <v>1.4987036603870485E-4</v>
      </c>
      <c r="D38">
        <f>Concentrations!F38/Concentrations!E38</f>
        <v>0.61679445598249316</v>
      </c>
    </row>
    <row r="39" spans="1:4">
      <c r="A39">
        <f>'Mass Balance'!I39</f>
        <v>2.3904528481780513E-7</v>
      </c>
      <c r="B39">
        <f>'Mass Balance'!E39</f>
        <v>1.6583625063069425E-6</v>
      </c>
      <c r="C39">
        <f>SUM('Mass Balance'!E39:H39)</f>
        <v>1.4229340120726315E-4</v>
      </c>
      <c r="D39">
        <f>Concentrations!F39/Concentrations!E39</f>
        <v>1.1700140373438875E-2</v>
      </c>
    </row>
    <row r="40" spans="1:4">
      <c r="A40">
        <f>'Mass Balance'!I40</f>
        <v>6.7745500181953731E-7</v>
      </c>
      <c r="B40">
        <f>'Mass Balance'!E40</f>
        <v>1.5227486350579658E-7</v>
      </c>
      <c r="C40">
        <f>SUM('Mass Balance'!E40:H40)</f>
        <v>1.4913815957213943E-4</v>
      </c>
      <c r="D40">
        <f>Concentrations!F40/Concentrations!E40</f>
        <v>1.0250281720648681E-3</v>
      </c>
    </row>
    <row r="41" spans="1:4">
      <c r="A41">
        <f>'Mass Balance'!I41</f>
        <v>8.7165043070243751E-9</v>
      </c>
      <c r="B41">
        <f>'Mass Balance'!E41</f>
        <v>1.3994230225067633E-4</v>
      </c>
      <c r="C41">
        <f>SUM('Mass Balance'!E41:H41)</f>
        <v>1.3994873115706635E-4</v>
      </c>
      <c r="D41">
        <f>Concentrations!F41/Concentrations!E41</f>
        <v>1.0038675396339609</v>
      </c>
    </row>
    <row r="42" spans="1:4">
      <c r="A42">
        <f>'Mass Balance'!I42</f>
        <v>7.936928146670147E-8</v>
      </c>
      <c r="B42">
        <f>'Mass Balance'!E42</f>
        <v>9.5094595903244834E-5</v>
      </c>
      <c r="C42">
        <f>SUM('Mass Balance'!E42:H42)</f>
        <v>1.2711461418944272E-4</v>
      </c>
      <c r="D42">
        <f>Concentrations!F42/Concentrations!E42</f>
        <v>0.75102901537292632</v>
      </c>
    </row>
    <row r="43" spans="1:4">
      <c r="A43">
        <f>'Mass Balance'!I43</f>
        <v>1.8498123843752571E-8</v>
      </c>
      <c r="B43">
        <f>'Mass Balance'!E43</f>
        <v>1.3227698137220951E-6</v>
      </c>
      <c r="C43">
        <f>SUM('Mass Balance'!E43:H43)</f>
        <v>1.4995479358843232E-4</v>
      </c>
      <c r="D43">
        <f>Concentrations!F43/Concentrations!E43</f>
        <v>8.8556467538360353E-3</v>
      </c>
    </row>
    <row r="44" spans="1:4">
      <c r="A44">
        <f>'Mass Balance'!I44</f>
        <v>1.8778598212096163E-8</v>
      </c>
      <c r="B44">
        <f>'Mass Balance'!E44</f>
        <v>1.2596235245700444E-4</v>
      </c>
      <c r="C44">
        <f>SUM('Mass Balance'!E44:H44)</f>
        <v>1.3016102347798424E-4</v>
      </c>
      <c r="D44">
        <f>Concentrations!F44/Concentrations!E44</f>
        <v>0.97152989827926495</v>
      </c>
    </row>
    <row r="45" spans="1:4">
      <c r="A45">
        <f>'Mass Balance'!I45</f>
        <v>8.8702237097999629E-8</v>
      </c>
      <c r="B45">
        <f>'Mass Balance'!E45</f>
        <v>8.9376662854661194E-5</v>
      </c>
      <c r="C45">
        <f>SUM('Mass Balance'!E45:H45)</f>
        <v>1.2602641201907834E-4</v>
      </c>
      <c r="D45">
        <f>Concentrations!F45/Concentrations!E45</f>
        <v>0.7119654604094906</v>
      </c>
    </row>
    <row r="46" spans="1:4">
      <c r="A46">
        <f>'Mass Balance'!I46</f>
        <v>8.2655811325818951E-8</v>
      </c>
      <c r="B46">
        <f>'Mass Balance'!E46</f>
        <v>9.2829134768449914E-5</v>
      </c>
      <c r="C46">
        <f>SUM('Mass Balance'!E46:H46)</f>
        <v>1.2648348247368469E-4</v>
      </c>
      <c r="D46">
        <f>Concentrations!F46/Concentrations!E46</f>
        <v>0.73679530590858944</v>
      </c>
    </row>
    <row r="47" spans="1:4">
      <c r="A47">
        <f>'Mass Balance'!I47</f>
        <v>1.2123565397890148E-6</v>
      </c>
      <c r="B47">
        <f>'Mass Balance'!E47</f>
        <v>1.0409359277975634E-7</v>
      </c>
      <c r="C47">
        <f>SUM('Mass Balance'!E47:H47)</f>
        <v>1.4328516995383968E-4</v>
      </c>
      <c r="D47">
        <f>Concentrations!F47/Concentrations!E47</f>
        <v>7.2932166972692735E-4</v>
      </c>
    </row>
    <row r="48" spans="1:4">
      <c r="A48">
        <f>'Mass Balance'!I48</f>
        <v>1.2522123372013146E-8</v>
      </c>
      <c r="B48">
        <f>'Mass Balance'!E48</f>
        <v>1.4214084271108474E-4</v>
      </c>
      <c r="C48">
        <f>SUM('Mass Balance'!E48:H48)</f>
        <v>1.4346200255884166E-4</v>
      </c>
      <c r="D48">
        <f>Concentrations!F48/Concentrations!E48</f>
        <v>0.99466848831057519</v>
      </c>
    </row>
    <row r="49" spans="1:4">
      <c r="A49">
        <f>'Mass Balance'!I49</f>
        <v>1.4984896963152815E-8</v>
      </c>
      <c r="B49">
        <f>'Mass Balance'!E49</f>
        <v>1.3803727443539472E-4</v>
      </c>
      <c r="C49">
        <f>SUM('Mass Balance'!E49:H49)</f>
        <v>1.4040751673627318E-4</v>
      </c>
      <c r="D49">
        <f>Concentrations!F49/Concentrations!E49</f>
        <v>0.98696642602903806</v>
      </c>
    </row>
    <row r="50" spans="1:4">
      <c r="A50">
        <f>'Mass Balance'!I50</f>
        <v>2.2443288393659573E-7</v>
      </c>
      <c r="B50">
        <f>'Mass Balance'!E50</f>
        <v>1.3163905713996282E-5</v>
      </c>
      <c r="C50">
        <f>SUM('Mass Balance'!E50:H50)</f>
        <v>1.3101282944503239E-4</v>
      </c>
      <c r="D50">
        <f>Concentrations!F50/Concentrations!E50</f>
        <v>0.10087122598395439</v>
      </c>
    </row>
    <row r="51" spans="1:4">
      <c r="A51">
        <f>'Mass Balance'!I51</f>
        <v>9.3597491657827295E-9</v>
      </c>
      <c r="B51">
        <f>'Mass Balance'!E51</f>
        <v>1.3994257608265792E-4</v>
      </c>
      <c r="C51">
        <f>SUM('Mass Balance'!E51:H51)</f>
        <v>1.4015976498595994E-4</v>
      </c>
      <c r="D51">
        <f>Concentrations!F51/Concentrations!E51</f>
        <v>1.002358011511207</v>
      </c>
    </row>
    <row r="52" spans="1:4">
      <c r="A52">
        <f>'Mass Balance'!I52</f>
        <v>2.6079579857403543E-8</v>
      </c>
      <c r="B52">
        <f>'Mass Balance'!E52</f>
        <v>1.2186467380772714E-4</v>
      </c>
      <c r="C52">
        <f>SUM('Mass Balance'!E52:H52)</f>
        <v>1.2919253112164404E-4</v>
      </c>
      <c r="D52">
        <f>Concentrations!F52/Concentrations!E52</f>
        <v>0.94697123184535303</v>
      </c>
    </row>
    <row r="53" spans="1:4">
      <c r="A53">
        <f>'Mass Balance'!I53</f>
        <v>1.2128530689271051E-7</v>
      </c>
      <c r="B53">
        <f>'Mass Balance'!E53</f>
        <v>7.0299793251731892E-5</v>
      </c>
      <c r="C53">
        <f>SUM('Mass Balance'!E53:H53)</f>
        <v>1.2367496095291506E-4</v>
      </c>
      <c r="D53">
        <f>Concentrations!F53/Concentrations!E53</f>
        <v>0.57064843187288905</v>
      </c>
    </row>
    <row r="54" spans="1:4">
      <c r="A54">
        <f>'Mass Balance'!I54</f>
        <v>1.1162037513471198E-6</v>
      </c>
      <c r="B54">
        <f>'Mass Balance'!E54</f>
        <v>1.4561934093035872E-7</v>
      </c>
      <c r="C54">
        <f>SUM('Mass Balance'!E54:H54)</f>
        <v>1.4277174443336275E-4</v>
      </c>
      <c r="D54">
        <f>Concentrations!F54/Concentrations!E54</f>
        <v>1.0239368137133335E-3</v>
      </c>
    </row>
    <row r="55" spans="1:4">
      <c r="A55">
        <f>'Mass Balance'!I55</f>
        <v>1.7311718740999422E-7</v>
      </c>
      <c r="B55">
        <f>'Mass Balance'!E55</f>
        <v>2.4997683779508741E-5</v>
      </c>
      <c r="C55">
        <f>SUM('Mass Balance'!E55:H55)</f>
        <v>1.104405519382386E-4</v>
      </c>
      <c r="D55">
        <f>Concentrations!F55/Concentrations!E55</f>
        <v>0.22723099168919011</v>
      </c>
    </row>
    <row r="56" spans="1:4">
      <c r="A56">
        <f>'Mass Balance'!I56</f>
        <v>1.0057665049043376E-7</v>
      </c>
      <c r="B56">
        <f>'Mass Balance'!E56</f>
        <v>2.943231452272672E-6</v>
      </c>
      <c r="C56">
        <f>SUM('Mass Balance'!E56:H56)</f>
        <v>5.8232861538081443E-5</v>
      </c>
      <c r="D56">
        <f>Concentrations!F56/Concentrations!E56</f>
        <v>5.0740255117250992E-2</v>
      </c>
    </row>
    <row r="57" spans="1:4">
      <c r="A57">
        <f>'Mass Balance'!I57</f>
        <v>5.1621247536994264E-8</v>
      </c>
      <c r="B57">
        <f>'Mass Balance'!E57</f>
        <v>5.523436909052197E-6</v>
      </c>
      <c r="C57">
        <f>SUM('Mass Balance'!E57:H57)</f>
        <v>3.1545283443243645E-5</v>
      </c>
      <c r="D57">
        <f>Concentrations!F57/Concentrations!E57</f>
        <v>0.17578075519766784</v>
      </c>
    </row>
    <row r="58" spans="1:4">
      <c r="A58">
        <f>'Mass Balance'!I58</f>
        <v>1.3587297050850906E-9</v>
      </c>
      <c r="B58">
        <f>'Mass Balance'!E58</f>
        <v>1.1256760331338517E-5</v>
      </c>
      <c r="C58">
        <f>SUM('Mass Balance'!E58:H58)</f>
        <v>1.1503865239984603E-5</v>
      </c>
      <c r="D58">
        <f>Concentrations!F58/Concentrations!E58</f>
        <v>0.98234942729794861</v>
      </c>
    </row>
    <row r="59" spans="1:4">
      <c r="A59">
        <f>'Mass Balance'!I59</f>
        <v>2.0025082146171591E-8</v>
      </c>
      <c r="B59">
        <f>'Mass Balance'!E59</f>
        <v>2.2962692661664268E-6</v>
      </c>
      <c r="C59">
        <f>SUM('Mass Balance'!E59:H59)</f>
        <v>1.2342196367667754E-5</v>
      </c>
      <c r="D59">
        <f>Concentrations!F59/Concentrations!E59</f>
        <v>0.18677843130853472</v>
      </c>
    </row>
    <row r="60" spans="1:4">
      <c r="A60">
        <f>'Mass Balance'!I60</f>
        <v>3.5264003056747233E-10</v>
      </c>
      <c r="B60">
        <f>'Mass Balance'!E60</f>
        <v>8.6349674246239E-8</v>
      </c>
      <c r="C60">
        <f>SUM('Mass Balance'!E60:H60)</f>
        <v>2.5368172387770495E-7</v>
      </c>
      <c r="D60">
        <f>Concentrations!F60/Concentrations!E60</f>
        <v>0.34171802338874774</v>
      </c>
    </row>
    <row r="61" spans="1:4">
      <c r="A61">
        <f>'Mass Balance'!I61</f>
        <v>1.532346220889857E-7</v>
      </c>
      <c r="B61">
        <f>'Mass Balance'!E61</f>
        <v>5.2834373792534417E-5</v>
      </c>
      <c r="C61">
        <f>SUM('Mass Balance'!E61:H61)</f>
        <v>1.235580045761434E-4</v>
      </c>
      <c r="D61">
        <f>Concentrations!F61/Concentrations!E61</f>
        <v>0.42928136943734019</v>
      </c>
    </row>
    <row r="62" spans="1:4">
      <c r="A62">
        <f>'Mass Balance'!I62</f>
        <v>5.7934901666366984E-7</v>
      </c>
      <c r="B62">
        <f>'Mass Balance'!E62</f>
        <v>6.2643220055064804E-7</v>
      </c>
      <c r="C62">
        <f>SUM('Mass Balance'!E62:H62)</f>
        <v>1.4142104942673243E-4</v>
      </c>
      <c r="D62">
        <f>Concentrations!F62/Concentrations!E62</f>
        <v>4.4468899351751282E-3</v>
      </c>
    </row>
    <row r="63" spans="1:4">
      <c r="A63">
        <f>'Mass Balance'!I63</f>
        <v>1.3554175473063189E-6</v>
      </c>
      <c r="B63">
        <f>'Mass Balance'!E63</f>
        <v>5.6619401914297578E-8</v>
      </c>
      <c r="C63">
        <f>SUM('Mass Balance'!E63:H63)</f>
        <v>1.4415849065975357E-4</v>
      </c>
      <c r="D63">
        <f>Concentrations!F63/Concentrations!E63</f>
        <v>3.9429513012256975E-4</v>
      </c>
    </row>
    <row r="64" spans="1:4">
      <c r="A64">
        <f>'Mass Balance'!I64</f>
        <v>1.5255817974452738E-6</v>
      </c>
      <c r="B64">
        <f>'Mass Balance'!E64</f>
        <v>1.9477909988282267E-8</v>
      </c>
      <c r="C64">
        <f>SUM('Mass Balance'!E64:H64)</f>
        <v>1.4547627216588048E-4</v>
      </c>
      <c r="D64">
        <f>Concentrations!F64/Concentrations!E64</f>
        <v>1.3441463378141344E-4</v>
      </c>
    </row>
    <row r="65" spans="1:4">
      <c r="A65">
        <f>'Mass Balance'!I65</f>
        <v>1.6384634239412701E-6</v>
      </c>
      <c r="B65">
        <f>'Mass Balance'!E65</f>
        <v>5.4335606154844437E-9</v>
      </c>
      <c r="C65">
        <f>SUM('Mass Balance'!E65:H65)</f>
        <v>1.4658067640817808E-4</v>
      </c>
      <c r="D65">
        <f>Concentrations!F65/Concentrations!E65</f>
        <v>3.7213811818105853E-5</v>
      </c>
    </row>
    <row r="66" spans="1:4">
      <c r="A66">
        <f>'Mass Balance'!I66</f>
        <v>1.5828645287215281E-6</v>
      </c>
      <c r="B66">
        <f>'Mass Balance'!E66</f>
        <v>1.1303156054262188E-8</v>
      </c>
      <c r="C66">
        <f>SUM('Mass Balance'!E66:H66)</f>
        <v>1.4600748931147852E-4</v>
      </c>
      <c r="D66">
        <f>Concentrations!F66/Concentrations!E66</f>
        <v>7.7717881346988217E-5</v>
      </c>
    </row>
    <row r="67" spans="1:4">
      <c r="A67">
        <f>'Mass Balance'!I67</f>
        <v>2.2277981107147977E-8</v>
      </c>
      <c r="B67">
        <f>'Mass Balance'!E67</f>
        <v>1.3352429280557874E-4</v>
      </c>
      <c r="C67">
        <f>SUM('Mass Balance'!E67:H67)</f>
        <v>1.3894210592388343E-4</v>
      </c>
      <c r="D67">
        <f>Concentrations!F67/Concentrations!E67</f>
        <v>0.96476773687511463</v>
      </c>
    </row>
    <row r="68" spans="1:4">
      <c r="A68">
        <f>'Mass Balance'!I68</f>
        <v>3.1786339568890617E-8</v>
      </c>
      <c r="B68">
        <f>'Mass Balance'!E68</f>
        <v>1.2527463107203467E-4</v>
      </c>
      <c r="C68">
        <f>SUM('Mass Balance'!E68:H68)</f>
        <v>1.3490777443158624E-4</v>
      </c>
      <c r="D68">
        <f>Concentrations!F68/Concentrations!E68</f>
        <v>0.93222880251935281</v>
      </c>
    </row>
    <row r="69" spans="1:4">
      <c r="A69">
        <f>'Mass Balance'!I69</f>
        <v>9.7033352114311722E-7</v>
      </c>
      <c r="B69">
        <f>'Mass Balance'!E69</f>
        <v>2.2632305416244241E-7</v>
      </c>
      <c r="C69">
        <f>SUM('Mass Balance'!E69:H69)</f>
        <v>1.4204321800813166E-4</v>
      </c>
      <c r="D69">
        <f>Concentrations!F69/Concentrations!E69</f>
        <v>1.5995751726402129E-3</v>
      </c>
    </row>
    <row r="70" spans="1:4">
      <c r="A70">
        <f>'Mass Balance'!I70</f>
        <v>2.3599727977392013E-7</v>
      </c>
      <c r="B70">
        <f>'Mass Balance'!E70</f>
        <v>4.2422889913977146E-6</v>
      </c>
      <c r="C70">
        <f>SUM('Mass Balance'!E70:H70)</f>
        <v>1.3816082068414008E-4</v>
      </c>
      <c r="D70">
        <f>Concentrations!F70/Concentrations!E70</f>
        <v>3.0825612024579729E-2</v>
      </c>
    </row>
    <row r="71" spans="1:4">
      <c r="A71">
        <f>'Mass Balance'!I71</f>
        <v>2.959499705649185E-8</v>
      </c>
      <c r="B71">
        <f>'Mass Balance'!E71</f>
        <v>1.2501763773863835E-4</v>
      </c>
      <c r="C71">
        <f>SUM('Mass Balance'!E71:H71)</f>
        <v>1.3373029875058065E-4</v>
      </c>
      <c r="D71">
        <f>Concentrations!F71/Concentrations!E71</f>
        <v>0.93850769095966746</v>
      </c>
    </row>
    <row r="72" spans="1:4">
      <c r="A72">
        <f>'Mass Balance'!I72</f>
        <v>2.3364755977392161E-7</v>
      </c>
      <c r="B72">
        <f>'Mass Balance'!E72</f>
        <v>4.9410063307048742E-6</v>
      </c>
      <c r="C72">
        <f>SUM('Mass Balance'!E72:H72)</f>
        <v>1.3613256931668767E-4</v>
      </c>
      <c r="D72">
        <f>Concentrations!F72/Concentrations!E72</f>
        <v>3.6437597259925146E-2</v>
      </c>
    </row>
    <row r="73" spans="1:4">
      <c r="A73">
        <f>'Mass Balance'!I73</f>
        <v>1.5790112163575622E-7</v>
      </c>
      <c r="B73">
        <f>'Mass Balance'!E73</f>
        <v>4.8585605075879683E-5</v>
      </c>
      <c r="C73">
        <f>SUM('Mass Balance'!E73:H73)</f>
        <v>1.2215663494313846E-4</v>
      </c>
      <c r="D73">
        <f>Concentrations!F73/Concentrations!E73</f>
        <v>0.39928860591166571</v>
      </c>
    </row>
    <row r="74" spans="1:4">
      <c r="A74">
        <f>'Mass Balance'!I74</f>
        <v>2.355989705592735E-7</v>
      </c>
      <c r="B74">
        <f>'Mass Balance'!E74</f>
        <v>4.4363758140141676E-6</v>
      </c>
      <c r="C74">
        <f>SUM('Mass Balance'!E74:H74)</f>
        <v>1.377260118783607E-4</v>
      </c>
      <c r="D74">
        <f>Concentrations!F74/Concentrations!E74</f>
        <v>3.2337669598745407E-2</v>
      </c>
    </row>
    <row r="75" spans="1:4">
      <c r="A75">
        <f>'Mass Balance'!I75</f>
        <v>5.8788708148349751E-8</v>
      </c>
      <c r="B75">
        <f>'Mass Balance'!E75</f>
        <v>6.4791167049984648E-7</v>
      </c>
      <c r="C75">
        <f>SUM('Mass Balance'!E75:H75)</f>
        <v>1.4993592185690068E-4</v>
      </c>
      <c r="D75">
        <f>Concentrations!F75/Concentrations!E75</f>
        <v>4.3381690424097365E-3</v>
      </c>
    </row>
    <row r="76" spans="1:4">
      <c r="A76">
        <f>'Mass Balance'!I76</f>
        <v>5.8788708172890797E-8</v>
      </c>
      <c r="B76">
        <f>'Mass Balance'!E76</f>
        <v>6.4791167077031395E-7</v>
      </c>
      <c r="C76">
        <f>SUM('Mass Balance'!E76:H76)</f>
        <v>1.4993592191949067E-4</v>
      </c>
      <c r="D76">
        <f>Concentrations!F76/Concentrations!E76</f>
        <v>4.3381690424097365E-3</v>
      </c>
    </row>
    <row r="77" spans="1:4">
      <c r="A77">
        <f>'Mass Balance'!I77</f>
        <v>2.1210867200319989E-7</v>
      </c>
      <c r="B77">
        <f>'Mass Balance'!E77</f>
        <v>1.8014327875176256E-5</v>
      </c>
      <c r="C77">
        <f>SUM('Mass Balance'!E77:H77)</f>
        <v>1.2664826459927368E-4</v>
      </c>
      <c r="D77">
        <f>Concentrations!F77/Concentrations!E77</f>
        <v>0.14279571719987913</v>
      </c>
    </row>
    <row r="78" spans="1:4">
      <c r="A78">
        <f>'Mass Balance'!I78</f>
        <v>7.2589420532823326E-8</v>
      </c>
      <c r="B78">
        <f>'Mass Balance'!E78</f>
        <v>9.4755751198180113E-5</v>
      </c>
      <c r="C78">
        <f>SUM('Mass Balance'!E78:H78)</f>
        <v>1.236683072913943E-4</v>
      </c>
      <c r="D78">
        <f>Concentrations!F78/Concentrations!E78</f>
        <v>0.76920752608869414</v>
      </c>
    </row>
    <row r="79" spans="1:4">
      <c r="A79">
        <f>'Mass Balance'!I79</f>
        <v>1.2334333020223886E-7</v>
      </c>
      <c r="B79">
        <f>'Mass Balance'!E79</f>
        <v>6.8357932695567531E-5</v>
      </c>
      <c r="C79">
        <f>SUM('Mass Balance'!E79:H79)</f>
        <v>1.2288140146169099E-4</v>
      </c>
      <c r="D79">
        <f>Concentrations!F79/Concentrations!E79</f>
        <v>0.5584690716502958</v>
      </c>
    </row>
    <row r="80" spans="1:4">
      <c r="A80">
        <f>'Mass Balance'!I80</f>
        <v>1.141182410329629E-7</v>
      </c>
      <c r="B80">
        <f>'Mass Balance'!E80</f>
        <v>4.3914137103607455E-7</v>
      </c>
      <c r="C80">
        <f>SUM('Mass Balance'!E80:H80)</f>
        <v>1.4987943718657016E-4</v>
      </c>
      <c r="D80">
        <f>Concentrations!F80/Concentrations!E80</f>
        <v>2.941430979542805E-3</v>
      </c>
    </row>
    <row r="81" spans="1:4">
      <c r="A81">
        <f>'Mass Balance'!I81</f>
        <v>9.788268986855039E-9</v>
      </c>
      <c r="B81">
        <f>'Mass Balance'!E81</f>
        <v>1.4793130428991444E-4</v>
      </c>
      <c r="C81">
        <f>SUM('Mass Balance'!E81:H81)</f>
        <v>1.4812471867490647E-4</v>
      </c>
      <c r="D81">
        <f>Concentrations!F81/Concentrations!E81</f>
        <v>1.0026027931264743</v>
      </c>
    </row>
    <row r="82" spans="1:4">
      <c r="A82">
        <f>'Mass Balance'!I82</f>
        <v>3.7245255715874487E-8</v>
      </c>
      <c r="B82">
        <f>'Mass Balance'!E82</f>
        <v>1.2257606585939856E-4</v>
      </c>
      <c r="C82">
        <f>SUM('Mass Balance'!E82:H82)</f>
        <v>1.3463036028620929E-4</v>
      </c>
      <c r="D82">
        <f>Concentrations!F82/Concentrations!E82</f>
        <v>0.91402701646221429</v>
      </c>
    </row>
    <row r="83" spans="1:4">
      <c r="A83">
        <f>'Mass Balance'!I83</f>
        <v>2.0872322525913094E-7</v>
      </c>
      <c r="B83">
        <f>'Mass Balance'!E83</f>
        <v>2.2854715281120868E-5</v>
      </c>
      <c r="C83">
        <f>SUM('Mass Balance'!E83:H83)</f>
        <v>1.2790175428773387E-4</v>
      </c>
      <c r="D83">
        <f>Concentrations!F83/Concentrations!E83</f>
        <v>0.17938894525213353</v>
      </c>
    </row>
    <row r="84" spans="1:4">
      <c r="A84">
        <f>'Mass Balance'!I84</f>
        <v>1.1462277040641292E-8</v>
      </c>
      <c r="B84">
        <f>'Mass Balance'!E84</f>
        <v>1.4505508828940343E-4</v>
      </c>
      <c r="C84">
        <f>SUM('Mass Balance'!E84:H84)</f>
        <v>1.4591138933264122E-4</v>
      </c>
      <c r="D84">
        <f>Concentrations!F84/Concentrations!E84</f>
        <v>0.99802205172041059</v>
      </c>
    </row>
    <row r="85" spans="1:4">
      <c r="A85">
        <f>'Mass Balance'!I85</f>
        <v>9.3900686505573324E-9</v>
      </c>
      <c r="B85">
        <f>'Mass Balance'!E85</f>
        <v>1.4918365443866458E-4</v>
      </c>
      <c r="C85">
        <f>SUM('Mass Balance'!E85:H85)</f>
        <v>1.4922015465630272E-4</v>
      </c>
      <c r="D85">
        <f>Concentrations!F85/Concentrations!E85</f>
        <v>1.0036680932087843</v>
      </c>
    </row>
    <row r="86" spans="1:4">
      <c r="A86">
        <f>'Mass Balance'!I86</f>
        <v>1.1362016036137315E-8</v>
      </c>
      <c r="B86">
        <f>'Mass Balance'!E86</f>
        <v>1.4519641835153974E-4</v>
      </c>
      <c r="C86">
        <f>SUM('Mass Balance'!E86:H86)</f>
        <v>1.4601251652586458E-4</v>
      </c>
      <c r="D86">
        <f>Concentrations!F86/Concentrations!E86</f>
        <v>0.99830254829448739</v>
      </c>
    </row>
    <row r="87" spans="1:4">
      <c r="A87">
        <f>'Mass Balance'!I87</f>
        <v>1.2712878599228334E-6</v>
      </c>
      <c r="B87">
        <f>'Mass Balance'!E87</f>
        <v>8.2587644573223595E-8</v>
      </c>
      <c r="C87">
        <f>SUM('Mass Balance'!E87:H87)</f>
        <v>1.4362402488336335E-4</v>
      </c>
      <c r="D87">
        <f>Concentrations!F87/Concentrations!E87</f>
        <v>5.7727712584221193E-4</v>
      </c>
    </row>
    <row r="88" spans="1:4">
      <c r="A88">
        <f>'Mass Balance'!I88</f>
        <v>6.0853587821919937E-8</v>
      </c>
      <c r="B88">
        <f>'Mass Balance'!E88</f>
        <v>1.066512424735729E-4</v>
      </c>
      <c r="C88">
        <f>SUM('Mass Balance'!E88:H88)</f>
        <v>1.297043956432838E-4</v>
      </c>
      <c r="D88">
        <f>Concentrations!F88/Concentrations!E88</f>
        <v>0.82548196091787929</v>
      </c>
    </row>
    <row r="89" spans="1:4">
      <c r="A89">
        <f>'Mass Balance'!I89</f>
        <v>4.081896318748907E-8</v>
      </c>
      <c r="B89">
        <f>'Mass Balance'!E89</f>
        <v>1.2004931618501059E-4</v>
      </c>
      <c r="C89">
        <f>SUM('Mass Balance'!E89:H89)</f>
        <v>1.3373311492912601E-4</v>
      </c>
      <c r="D89">
        <f>Concentrations!F89/Concentrations!E89</f>
        <v>0.90119151188221702</v>
      </c>
    </row>
    <row r="90" spans="1:4">
      <c r="A90">
        <f>'Mass Balance'!I90</f>
        <v>1.6958683379205703E-8</v>
      </c>
      <c r="B90">
        <f>'Mass Balance'!E90</f>
        <v>1.3891381546302285E-4</v>
      </c>
      <c r="C90">
        <f>SUM('Mass Balance'!E90:H90)</f>
        <v>1.4203904579949733E-4</v>
      </c>
      <c r="D90">
        <f>Concentrations!F90/Concentrations!E90</f>
        <v>0.98182493204176779</v>
      </c>
    </row>
    <row r="91" spans="1:4">
      <c r="A91">
        <f>'Mass Balance'!I91</f>
        <v>6.3529343986880519E-7</v>
      </c>
      <c r="B91">
        <f>'Mass Balance'!E91</f>
        <v>5.4448258473991067E-7</v>
      </c>
      <c r="C91">
        <f>SUM('Mass Balance'!E91:H91)</f>
        <v>1.4144374529641369E-4</v>
      </c>
      <c r="D91">
        <f>Concentrations!F91/Concentrations!E91</f>
        <v>3.8645293340741366E-3</v>
      </c>
    </row>
    <row r="92" spans="1:4">
      <c r="A92">
        <f>'Mass Balance'!I92</f>
        <v>1.9110933667245649E-7</v>
      </c>
      <c r="B92">
        <f>'Mass Balance'!E92</f>
        <v>3.2418829585482795E-5</v>
      </c>
      <c r="C92">
        <f>SUM('Mass Balance'!E92:H92)</f>
        <v>1.2564811386434792E-4</v>
      </c>
      <c r="D92">
        <f>Concentrations!F92/Concentrations!E92</f>
        <v>0.25902263682185783</v>
      </c>
    </row>
    <row r="93" spans="1:4">
      <c r="A93">
        <f>'Mass Balance'!I93</f>
        <v>2.3511635822978786E-7</v>
      </c>
      <c r="B93">
        <f>'Mass Balance'!E93</f>
        <v>6.5684270478737476E-6</v>
      </c>
      <c r="C93">
        <f>SUM('Mass Balance'!E93:H93)</f>
        <v>1.3621039376863803E-4</v>
      </c>
      <c r="D93">
        <f>Concentrations!F93/Concentrations!E93</f>
        <v>4.8411383565722312E-2</v>
      </c>
    </row>
    <row r="94" spans="1:4">
      <c r="A94">
        <f>'Mass Balance'!I94</f>
        <v>9.6125778406849339E-9</v>
      </c>
      <c r="B94">
        <f>'Mass Balance'!E94</f>
        <v>1.3421897428868312E-4</v>
      </c>
      <c r="C94">
        <f>SUM('Mass Balance'!E94:H94)</f>
        <v>1.4998029325702676E-4</v>
      </c>
      <c r="D94">
        <f>Concentrations!F94/Concentrations!E94</f>
        <v>0.8984131074212871</v>
      </c>
    </row>
    <row r="95" spans="1:4">
      <c r="A95">
        <f>'Mass Balance'!I95</f>
        <v>3.1930028665486826E-7</v>
      </c>
      <c r="B95">
        <f>'Mass Balance'!E95</f>
        <v>1.2683963044195635E-6</v>
      </c>
      <c r="C95">
        <f>SUM('Mass Balance'!E95:H95)</f>
        <v>1.418736217127219E-4</v>
      </c>
      <c r="D95">
        <f>Concentrations!F95/Concentrations!E95</f>
        <v>8.9753144885108549E-3</v>
      </c>
    </row>
    <row r="96" spans="1:4">
      <c r="A96">
        <f>'Mass Balance'!I96</f>
        <v>9.8256683517511173E-9</v>
      </c>
      <c r="B96">
        <f>'Mass Balance'!E96</f>
        <v>1.4784341560353261E-4</v>
      </c>
      <c r="C96">
        <f>SUM('Mass Balance'!E96:H96)</f>
        <v>1.4805145229106236E-4</v>
      </c>
      <c r="D96">
        <f>Concentrations!F96/Concentrations!E96</f>
        <v>1.0025029928797253</v>
      </c>
    </row>
    <row r="97" spans="1:4">
      <c r="A97">
        <f>'Mass Balance'!I97</f>
        <v>1.1514165175542424E-8</v>
      </c>
      <c r="B97">
        <f>'Mass Balance'!E97</f>
        <v>1.4498278284450514E-4</v>
      </c>
      <c r="C97">
        <f>SUM('Mass Balance'!E97:H97)</f>
        <v>1.4585991263448692E-4</v>
      </c>
      <c r="D97">
        <f>Concentrations!F97/Concentrations!E97</f>
        <v>0.99787661392795612</v>
      </c>
    </row>
    <row r="98" spans="1:4">
      <c r="A98">
        <f>'Mass Balance'!I98</f>
        <v>2.3628076119538245E-7</v>
      </c>
      <c r="B98">
        <f>'Mass Balance'!E98</f>
        <v>2.9983203694970197E-6</v>
      </c>
      <c r="C98">
        <f>SUM('Mass Balance'!E98:H98)</f>
        <v>1.4014512541504214E-4</v>
      </c>
      <c r="D98">
        <f>Concentrations!F98/Concentrations!E98</f>
        <v>2.147812674958453E-2</v>
      </c>
    </row>
    <row r="99" spans="1:4">
      <c r="A99">
        <f>'Mass Balance'!I99</f>
        <v>9.3465430808247466E-9</v>
      </c>
      <c r="B99">
        <f>'Mass Balance'!E99</f>
        <v>1.4944007958319589E-4</v>
      </c>
      <c r="C99">
        <f>SUM('Mass Balance'!E99:H99)</f>
        <v>1.4945830341976142E-4</v>
      </c>
      <c r="D99">
        <f>Concentrations!F99/Concentrations!E99</f>
        <v>1.0037912472179729</v>
      </c>
    </row>
    <row r="100" spans="1:4">
      <c r="A100">
        <f>'Mass Balance'!I100</f>
        <v>1.119586656623641E-7</v>
      </c>
      <c r="B100">
        <f>'Mass Balance'!E100</f>
        <v>7.5873755259078636E-5</v>
      </c>
      <c r="C100">
        <f>SUM('Mass Balance'!E100:H100)</f>
        <v>1.2435249641912035E-4</v>
      </c>
      <c r="D100">
        <f>Concentrations!F100/Concentrations!E100</f>
        <v>0.6125385601891854</v>
      </c>
    </row>
    <row r="101" spans="1:4">
      <c r="A101">
        <f>'Mass Balance'!I101</f>
        <v>9.4191722838975862E-9</v>
      </c>
      <c r="B101">
        <f>'Mass Balance'!E101</f>
        <v>1.4904806479285531E-4</v>
      </c>
      <c r="C101">
        <f>SUM('Mass Balance'!E101:H101)</f>
        <v>1.4909637006089676E-4</v>
      </c>
      <c r="D101">
        <f>Concentrations!F101/Concentrations!E101</f>
        <v>1.0035884021450032</v>
      </c>
    </row>
    <row r="102" spans="1:4">
      <c r="A102">
        <f>'Mass Balance'!I102</f>
        <v>9.3166956854971901E-9</v>
      </c>
      <c r="B102">
        <f>'Mass Balance'!E102</f>
        <v>1.4976132217402955E-4</v>
      </c>
      <c r="C102">
        <f>SUM('Mass Balance'!E102:H102)</f>
        <v>1.4976497204906102E-4</v>
      </c>
      <c r="D102">
        <f>Concentrations!F102/Concentrations!E102</f>
        <v>1.0038891909364551</v>
      </c>
    </row>
    <row r="103" spans="1:4">
      <c r="A103">
        <f>'Mass Balance'!I103</f>
        <v>9.3440890907228016E-9</v>
      </c>
      <c r="B103">
        <f>'Mass Balance'!E103</f>
        <v>1.4945818188810318E-4</v>
      </c>
      <c r="C103">
        <f>SUM('Mass Balance'!E103:H103)</f>
        <v>1.4947532849809801E-4</v>
      </c>
      <c r="D103">
        <f>Concentrations!F103/Concentrations!E103</f>
        <v>1.0037984960831403</v>
      </c>
    </row>
    <row r="104" spans="1:4">
      <c r="A104">
        <f>'Mass Balance'!I104</f>
        <v>1.047465036031522E-8</v>
      </c>
      <c r="B104">
        <f>'Mass Balance'!E104</f>
        <v>1.4657163797734119E-4</v>
      </c>
      <c r="C104">
        <f>SUM('Mass Balance'!E104:H104)</f>
        <v>1.4703462021600205E-4</v>
      </c>
      <c r="D104">
        <f>Concentrations!F104/Concentrations!E104</f>
        <v>1.0007525362272784</v>
      </c>
    </row>
    <row r="105" spans="1:4">
      <c r="A105">
        <f>'Mass Balance'!I105</f>
        <v>9.3190789997820736E-9</v>
      </c>
      <c r="B105">
        <f>'Mass Balance'!E105</f>
        <v>1.4971474217037443E-4</v>
      </c>
      <c r="C105">
        <f>SUM('Mass Balance'!E105:H105)</f>
        <v>1.4971987502402945E-4</v>
      </c>
      <c r="D105">
        <f>Concentrations!F105/Concentrations!E105</f>
        <v>1.0038792397804066</v>
      </c>
    </row>
    <row r="106" spans="1:4">
      <c r="A106">
        <f>'Mass Balance'!I106</f>
        <v>2.1268658535452447E-8</v>
      </c>
      <c r="B106">
        <f>'Mass Balance'!E106</f>
        <v>1.3499540277228349E-4</v>
      </c>
      <c r="C106">
        <f>SUM('Mass Balance'!E106:H106)</f>
        <v>1.3996000302759842E-4</v>
      </c>
      <c r="D106">
        <f>Concentrations!F106/Concentrations!E106</f>
        <v>0.96830326910358988</v>
      </c>
    </row>
    <row r="107" spans="1:4">
      <c r="A107">
        <f>'Mass Balance'!I107</f>
        <v>2.3512072899197492E-7</v>
      </c>
      <c r="B107">
        <f>'Mass Balance'!E107</f>
        <v>2.2061115071560428E-6</v>
      </c>
      <c r="C107">
        <f>SUM('Mass Balance'!E107:H107)</f>
        <v>1.4138107732293077E-4</v>
      </c>
      <c r="D107">
        <f>Concentrations!F107/Concentrations!E107</f>
        <v>1.5665077058658022E-2</v>
      </c>
    </row>
    <row r="108" spans="1:4">
      <c r="A108">
        <f>'Mass Balance'!I108</f>
        <v>9.3689588179617282E-8</v>
      </c>
      <c r="B108">
        <f>'Mass Balance'!E108</f>
        <v>8.650361343257326E-5</v>
      </c>
      <c r="C108">
        <f>SUM('Mass Balance'!E108:H108)</f>
        <v>1.2564871208822206E-4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0.86299498888984105</v>
      </c>
      <c r="M2" s="115">
        <v>2.6806140782162458</v>
      </c>
      <c r="N2" s="115">
        <v>59.05271465636168</v>
      </c>
      <c r="O2" s="115">
        <v>1.2602059161694295</v>
      </c>
      <c r="P2" s="115">
        <v>1.2934470249820569</v>
      </c>
      <c r="Q2" s="111">
        <v>1.2602059161694295</v>
      </c>
      <c r="R2" s="68">
        <v>1.2934470249820569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6.9362878572657122E-4</v>
      </c>
      <c r="M3" s="115">
        <v>115.12211213861923</v>
      </c>
      <c r="N3" s="115">
        <v>3826.8971477240839</v>
      </c>
      <c r="O3" s="115">
        <v>23.080295300591551</v>
      </c>
      <c r="P3" s="115">
        <v>9.8864805598341459</v>
      </c>
      <c r="Q3" s="111">
        <v>23.080295300591555</v>
      </c>
      <c r="R3" s="68">
        <v>9.8864805598341476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0.43930045153038644</v>
      </c>
      <c r="M4" s="115">
        <v>12.363850440116185</v>
      </c>
      <c r="N4" s="115">
        <v>375.56394660314277</v>
      </c>
      <c r="O4" s="115">
        <v>4.0478393249645785</v>
      </c>
      <c r="P4" s="115">
        <v>3.7920035003430717</v>
      </c>
      <c r="Q4" s="111">
        <v>4.0478393249645785</v>
      </c>
      <c r="R4" s="68">
        <v>3.7920035003430717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7.4494066634784263E-3</v>
      </c>
      <c r="M5" s="115">
        <v>34.509823561815708</v>
      </c>
      <c r="N5" s="115">
        <v>1120.1000827876103</v>
      </c>
      <c r="O5" s="115">
        <v>9.8659522552314591</v>
      </c>
      <c r="P5" s="115">
        <v>8.3190463885970996</v>
      </c>
      <c r="Q5" s="111">
        <v>9.8659522552314591</v>
      </c>
      <c r="R5" s="68">
        <v>8.3190463885970996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3.0871411109742279E-4</v>
      </c>
      <c r="M6" s="115">
        <v>132.86542355576469</v>
      </c>
      <c r="N6" s="115">
        <v>4444.4844556140342</v>
      </c>
      <c r="O6" s="115">
        <v>26.042870439296788</v>
      </c>
      <c r="P6" s="115">
        <v>10.316356593224</v>
      </c>
      <c r="Q6" s="111">
        <v>26.042870439296788</v>
      </c>
      <c r="R6" s="68">
        <v>10.316356593224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6.2010019903025837E-4</v>
      </c>
      <c r="M7" s="115">
        <v>118.31844940182779</v>
      </c>
      <c r="N7" s="115">
        <v>3936.7641166900903</v>
      </c>
      <c r="O7" s="115">
        <v>23.622103964000011</v>
      </c>
      <c r="P7" s="115">
        <v>9.9794469009412978</v>
      </c>
      <c r="Q7" s="111">
        <v>23.622103964000011</v>
      </c>
      <c r="R7" s="68">
        <v>9.9794469009412978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1.389185648406712E-3</v>
      </c>
      <c r="M8" s="115">
        <v>95.336128343074819</v>
      </c>
      <c r="N8" s="115">
        <v>3150.7477157431995</v>
      </c>
      <c r="O8" s="115">
        <v>19.821757587519883</v>
      </c>
      <c r="P8" s="115">
        <v>9.4814857740909346</v>
      </c>
      <c r="Q8" s="111">
        <v>19.821757587519883</v>
      </c>
      <c r="R8" s="68">
        <v>9.4814857740909364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6.8402866101106796E-2</v>
      </c>
      <c r="M9" s="115">
        <v>21.949461172343831</v>
      </c>
      <c r="N9" s="115">
        <v>698.00074529295318</v>
      </c>
      <c r="O9" s="115">
        <v>7.3340171657762179</v>
      </c>
      <c r="P9" s="115">
        <v>7.1994286842467536</v>
      </c>
      <c r="Q9" s="111">
        <v>7.3340171657762188</v>
      </c>
      <c r="R9" s="68">
        <v>7.1994286842467536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6.9314993049961584E-3</v>
      </c>
      <c r="M10" s="115">
        <v>36.914071655365987</v>
      </c>
      <c r="N10" s="115">
        <v>1199.2787589350887</v>
      </c>
      <c r="O10" s="115">
        <v>10.257143588547102</v>
      </c>
      <c r="P10" s="115">
        <v>8.3614935106610044</v>
      </c>
      <c r="Q10" s="111">
        <v>10.257143588547102</v>
      </c>
      <c r="R10" s="68">
        <v>8.3614935106610062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6.1271380468467147E-3</v>
      </c>
      <c r="M11" s="115">
        <v>41.165374369508591</v>
      </c>
      <c r="N11" s="115">
        <v>1339.5131731031138</v>
      </c>
      <c r="O11" s="115">
        <v>10.948454631558915</v>
      </c>
      <c r="P11" s="115">
        <v>8.4356384003209932</v>
      </c>
      <c r="Q11" s="111">
        <v>10.948454631558917</v>
      </c>
      <c r="R11" s="68">
        <v>8.435638400320995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4.2913880338519853E-2</v>
      </c>
      <c r="M12" s="115">
        <v>22.408440508620092</v>
      </c>
      <c r="N12" s="115">
        <v>715.69765113712981</v>
      </c>
      <c r="O12" s="115">
        <v>7.5949050339421058</v>
      </c>
      <c r="P12" s="115">
        <v>7.5512963229903667</v>
      </c>
      <c r="Q12" s="111">
        <v>7.5949050339421067</v>
      </c>
      <c r="R12" s="68">
        <v>7.5512963229903667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6.5481644186122165E-2</v>
      </c>
      <c r="M13" s="115">
        <v>22.008888896135296</v>
      </c>
      <c r="N13" s="115">
        <v>700.19689266787498</v>
      </c>
      <c r="O13" s="115">
        <v>7.3634230200431547</v>
      </c>
      <c r="P13" s="115">
        <v>7.2370005300621001</v>
      </c>
      <c r="Q13" s="111">
        <v>7.3634230200431556</v>
      </c>
      <c r="R13" s="68">
        <v>7.2370005300621001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4.0718133500174053E-3</v>
      </c>
      <c r="M14" s="115">
        <v>56.221505228687903</v>
      </c>
      <c r="N14" s="115">
        <v>1838.3406521538232</v>
      </c>
      <c r="O14" s="115">
        <v>13.40381522784897</v>
      </c>
      <c r="P14" s="115">
        <v>8.7095081947491888</v>
      </c>
      <c r="Q14" s="111">
        <v>13.40381522784897</v>
      </c>
      <c r="R14" s="68">
        <v>8.7095081947491906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6.5202978041172472E-3</v>
      </c>
      <c r="M15" s="115">
        <v>39.001967640905342</v>
      </c>
      <c r="N15" s="115">
        <v>1268.1147984827185</v>
      </c>
      <c r="O15" s="115">
        <v>10.59670534300415</v>
      </c>
      <c r="P15" s="115">
        <v>8.3980160426789467</v>
      </c>
      <c r="Q15" s="111">
        <v>10.59670534300415</v>
      </c>
      <c r="R15" s="68">
        <v>8.3980160426789467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1.4376830317938279E-3</v>
      </c>
      <c r="M16" s="115">
        <v>94.183461078749914</v>
      </c>
      <c r="N16" s="115">
        <v>3111.6963285017132</v>
      </c>
      <c r="O16" s="115">
        <v>19.63091004396934</v>
      </c>
      <c r="P16" s="115">
        <v>9.455851597834906</v>
      </c>
      <c r="Q16" s="111">
        <v>19.63091004396934</v>
      </c>
      <c r="R16" s="68">
        <v>9.455851597834906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7.2739728565575481E-3</v>
      </c>
      <c r="M17" s="115">
        <v>35.299924728218514</v>
      </c>
      <c r="N17" s="115">
        <v>1146.1094464601395</v>
      </c>
      <c r="O17" s="115">
        <v>9.9946592234762655</v>
      </c>
      <c r="P17" s="115">
        <v>8.3332770748229983</v>
      </c>
      <c r="Q17" s="111">
        <v>9.9946592234762655</v>
      </c>
      <c r="R17" s="68">
        <v>8.3332770748230001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8.2802204919042152E-2</v>
      </c>
      <c r="M18" s="115">
        <v>21.569756756455941</v>
      </c>
      <c r="N18" s="115">
        <v>684.52306406712114</v>
      </c>
      <c r="O18" s="115">
        <v>7.1665341148074786</v>
      </c>
      <c r="P18" s="115">
        <v>6.9973280681199226</v>
      </c>
      <c r="Q18" s="111">
        <v>7.1665341148074786</v>
      </c>
      <c r="R18" s="68">
        <v>6.9973280681199226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6.440288281508999E-3</v>
      </c>
      <c r="M19" s="115">
        <v>39.428965304814248</v>
      </c>
      <c r="N19" s="115">
        <v>1282.2009172438411</v>
      </c>
      <c r="O19" s="115">
        <v>10.666170783630264</v>
      </c>
      <c r="P19" s="115">
        <v>8.4055178353296256</v>
      </c>
      <c r="Q19" s="111">
        <v>10.666170783630264</v>
      </c>
      <c r="R19" s="68">
        <v>8.4055178353296256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6.5489470254992535E-2</v>
      </c>
      <c r="M20" s="115">
        <v>22.011519298630571</v>
      </c>
      <c r="N20" s="115">
        <v>700.2805770220624</v>
      </c>
      <c r="O20" s="115">
        <v>7.364303062937509</v>
      </c>
      <c r="P20" s="115">
        <v>7.237865463514324</v>
      </c>
      <c r="Q20" s="111">
        <v>7.364303062937509</v>
      </c>
      <c r="R20" s="68">
        <v>7.2378654635143249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4.6033102731450086E-3</v>
      </c>
      <c r="M21" s="115">
        <v>51.565319800014329</v>
      </c>
      <c r="N21" s="115">
        <v>1683.72677997708</v>
      </c>
      <c r="O21" s="115">
        <v>12.642155738138879</v>
      </c>
      <c r="P21" s="115">
        <v>8.6208302331056981</v>
      </c>
      <c r="Q21" s="111">
        <v>12.64215573813888</v>
      </c>
      <c r="R21" s="68">
        <v>8.6208302331056981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0.67386689995979632</v>
      </c>
      <c r="M22" s="115">
        <v>6.620257853584393</v>
      </c>
      <c r="N22" s="115">
        <v>187.48289335121402</v>
      </c>
      <c r="O22" s="115">
        <v>2.3499140717034885</v>
      </c>
      <c r="P22" s="115">
        <v>2.2348962073960994</v>
      </c>
      <c r="Q22" s="111">
        <v>2.3499140717034885</v>
      </c>
      <c r="R22" s="68">
        <v>2.2348962073960998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0.81258914901279089</v>
      </c>
      <c r="M23" s="115">
        <v>3.6566807131636119</v>
      </c>
      <c r="N23" s="115">
        <v>90.837285839177923</v>
      </c>
      <c r="O23" s="115">
        <v>1.5225253534107246</v>
      </c>
      <c r="P23" s="115">
        <v>1.513978053082166</v>
      </c>
      <c r="Q23" s="111">
        <v>1.5225253534107246</v>
      </c>
      <c r="R23" s="68">
        <v>1.513978053082166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0.2128174148293924</v>
      </c>
      <c r="M24" s="115">
        <v>18.29963742964916</v>
      </c>
      <c r="N24" s="115">
        <v>572.40780145852978</v>
      </c>
      <c r="O24" s="115">
        <v>5.9467155142536852</v>
      </c>
      <c r="P24" s="115">
        <v>5.6560883330044485</v>
      </c>
      <c r="Q24" s="111">
        <v>5.9467155142536852</v>
      </c>
      <c r="R24" s="68">
        <v>5.6560883330044485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2.2796760737762007E-2</v>
      </c>
      <c r="M25" s="115">
        <v>22.27543100730216</v>
      </c>
      <c r="N25" s="115">
        <v>715.01251276677874</v>
      </c>
      <c r="O25" s="115">
        <v>7.7018205241362674</v>
      </c>
      <c r="P25" s="115">
        <v>7.7859686918257029</v>
      </c>
      <c r="Q25" s="111">
        <v>7.7018205241362674</v>
      </c>
      <c r="R25" s="68">
        <v>7.7859686918257029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4.9869296165188795E-3</v>
      </c>
      <c r="M26" s="115">
        <v>48.592621429933338</v>
      </c>
      <c r="N26" s="115">
        <v>1585.1733940057604</v>
      </c>
      <c r="O26" s="115">
        <v>12.157526683670625</v>
      </c>
      <c r="P26" s="115">
        <v>8.5670911877585141</v>
      </c>
      <c r="Q26" s="111">
        <v>12.157526683670627</v>
      </c>
      <c r="R26" s="68">
        <v>8.5670911877585141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7.6321286198327565E-4</v>
      </c>
      <c r="M27" s="115">
        <v>112.77470456343256</v>
      </c>
      <c r="N27" s="115">
        <v>3745.9947261006591</v>
      </c>
      <c r="O27" s="115">
        <v>22.694979317119316</v>
      </c>
      <c r="P27" s="115">
        <v>9.8411478161787436</v>
      </c>
      <c r="Q27" s="111">
        <v>22.694979317119316</v>
      </c>
      <c r="R27" s="68">
        <v>9.8411478161787436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2.7503076747640203E-3</v>
      </c>
      <c r="M28" s="115">
        <v>71.119101057485736</v>
      </c>
      <c r="N28" s="115">
        <v>2335.2302293818666</v>
      </c>
      <c r="O28" s="115">
        <v>15.841449532157377</v>
      </c>
      <c r="P28" s="115">
        <v>8.9930801688416473</v>
      </c>
      <c r="Q28" s="111">
        <v>15.841449532157378</v>
      </c>
      <c r="R28" s="68">
        <v>8.9930801688416491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4.1470609743277063E-3</v>
      </c>
      <c r="M29" s="115">
        <v>53.404655705668922</v>
      </c>
      <c r="N29" s="115">
        <v>1745.4187224058746</v>
      </c>
      <c r="O29" s="115">
        <v>12.847292425672041</v>
      </c>
      <c r="P29" s="115">
        <v>8.4820458776786811</v>
      </c>
      <c r="Q29" s="111">
        <v>12.847292425672043</v>
      </c>
      <c r="R29" s="68">
        <v>8.4820458776786811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2.7503076747640203E-3</v>
      </c>
      <c r="M30" s="115">
        <v>71.119101057485736</v>
      </c>
      <c r="N30" s="115">
        <v>2335.2302293818666</v>
      </c>
      <c r="O30" s="115">
        <v>15.841449532157377</v>
      </c>
      <c r="P30" s="115">
        <v>8.9930801688416473</v>
      </c>
      <c r="Q30" s="111">
        <v>15.841449532157378</v>
      </c>
      <c r="R30" s="68">
        <v>8.9930801688416491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0.98640901509696344</v>
      </c>
      <c r="M31" s="115">
        <v>0.91626945005267912</v>
      </c>
      <c r="N31" s="115">
        <v>1.1558769806032452</v>
      </c>
      <c r="O31" s="115">
        <v>0.82477545769930338</v>
      </c>
      <c r="P31" s="115">
        <v>0.95458177152650958</v>
      </c>
      <c r="Q31" s="111">
        <v>0.82477545769930338</v>
      </c>
      <c r="R31" s="68">
        <v>0.95458177152650958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0.53899277091010667</v>
      </c>
      <c r="M32" s="115">
        <v>10.076405442171191</v>
      </c>
      <c r="N32" s="115">
        <v>298.49878812880473</v>
      </c>
      <c r="O32" s="115">
        <v>3.0565553522260784</v>
      </c>
      <c r="P32" s="115">
        <v>2.8076440361042714</v>
      </c>
      <c r="Q32" s="111">
        <v>3.0565553522260784</v>
      </c>
      <c r="R32" s="68">
        <v>2.8076440361042714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0.99291654060008616</v>
      </c>
      <c r="M33" s="115">
        <v>0.8897109951687866</v>
      </c>
      <c r="N33" s="115">
        <v>0.59134421936656256</v>
      </c>
      <c r="O33" s="115">
        <v>0.84222867564761317</v>
      </c>
      <c r="P33" s="115">
        <v>0.9901036345791675</v>
      </c>
      <c r="Q33" s="111">
        <v>0.84222867564761317</v>
      </c>
      <c r="R33" s="68">
        <v>0.9901036345791675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0.55029692351063264</v>
      </c>
      <c r="M34" s="115">
        <v>0.94453683979238279</v>
      </c>
      <c r="N34" s="115">
        <v>45.023847090524761</v>
      </c>
      <c r="O34" s="115">
        <v>2.6274671235879326</v>
      </c>
      <c r="P34" s="115">
        <v>4.2954270451170302</v>
      </c>
      <c r="Q34" s="111">
        <v>2.6274671235879326</v>
      </c>
      <c r="R34" s="68">
        <v>4.2954270451170302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0.32688786962458821</v>
      </c>
      <c r="M35" s="115">
        <v>0.94534698121966565</v>
      </c>
      <c r="N35" s="115">
        <v>63.721753097973938</v>
      </c>
      <c r="O35" s="115">
        <v>3.508561042219664</v>
      </c>
      <c r="P35" s="115">
        <v>5.9386506129202834</v>
      </c>
      <c r="Q35" s="111">
        <v>3.508561042219664</v>
      </c>
      <c r="R35" s="68">
        <v>5.9386506129202834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0.10936659196349206</v>
      </c>
      <c r="M36" s="115">
        <v>0.90567469677632217</v>
      </c>
      <c r="N36" s="115">
        <v>77.433494087993665</v>
      </c>
      <c r="O36" s="115">
        <v>4.3500523685541799</v>
      </c>
      <c r="P36" s="115">
        <v>7.524594141579775</v>
      </c>
      <c r="Q36" s="111">
        <v>4.3500523685541799</v>
      </c>
      <c r="R36" s="68">
        <v>7.5245941415797759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0.21770133509517695</v>
      </c>
      <c r="M37" s="115">
        <v>4.7638690977308702</v>
      </c>
      <c r="N37" s="115">
        <v>182.39929431549203</v>
      </c>
      <c r="O37" s="115">
        <v>4.2752513252985525</v>
      </c>
      <c r="P37" s="115">
        <v>6.3873521193328839</v>
      </c>
      <c r="Q37" s="111">
        <v>4.2752513252985525</v>
      </c>
      <c r="R37" s="68">
        <v>6.3873521193328848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0.61614743392650551</v>
      </c>
      <c r="M38" s="115">
        <v>0.98747048565571727</v>
      </c>
      <c r="N38" s="115">
        <v>40.354967915040355</v>
      </c>
      <c r="O38" s="115">
        <v>2.3676736845627553</v>
      </c>
      <c r="P38" s="115">
        <v>3.8006025101865957</v>
      </c>
      <c r="Q38" s="111">
        <v>2.3676736845627553</v>
      </c>
      <c r="R38" s="68">
        <v>3.8006025101865957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1.1081446831339804E-2</v>
      </c>
      <c r="M39" s="115">
        <v>22.766217601695729</v>
      </c>
      <c r="N39" s="115">
        <v>734.75842330638443</v>
      </c>
      <c r="O39" s="115">
        <v>7.9612564837046556</v>
      </c>
      <c r="P39" s="115">
        <v>8.121589704755209</v>
      </c>
      <c r="Q39" s="111">
        <v>7.9612564837046556</v>
      </c>
      <c r="R39" s="68">
        <v>8.121589704755209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1.0267952232264747E-3</v>
      </c>
      <c r="M40" s="115">
        <v>64.51952398281307</v>
      </c>
      <c r="N40" s="115">
        <v>5661.3526681990306</v>
      </c>
      <c r="O40" s="115">
        <v>19.982072467091868</v>
      </c>
      <c r="P40" s="115">
        <v>13.103117824257842</v>
      </c>
      <c r="Q40" s="111">
        <v>19.982072467091868</v>
      </c>
      <c r="R40" s="68">
        <v>13.103117824257843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0.9302429837285805</v>
      </c>
      <c r="M41" s="115">
        <v>0.83014326733565458</v>
      </c>
      <c r="N41" s="115">
        <v>6.5816399078195892E-2</v>
      </c>
      <c r="O41" s="115">
        <v>0.7690324543741095</v>
      </c>
      <c r="P41" s="115">
        <v>0.89362027981328718</v>
      </c>
      <c r="Q41" s="111">
        <v>0.76903245437410961</v>
      </c>
      <c r="R41" s="68">
        <v>0.89362027981328718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0.63508366489139434</v>
      </c>
      <c r="M42" s="115">
        <v>7.5589791873049013</v>
      </c>
      <c r="N42" s="115">
        <v>218.08256199146024</v>
      </c>
      <c r="O42" s="115">
        <v>2.6204416222571414</v>
      </c>
      <c r="P42" s="115">
        <v>2.4769664640246072</v>
      </c>
      <c r="Q42" s="111">
        <v>2.6204416222571418</v>
      </c>
      <c r="R42" s="68">
        <v>2.4769664640246076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8.9278605653759762E-3</v>
      </c>
      <c r="M43" s="115">
        <v>1.7617260803573873</v>
      </c>
      <c r="N43" s="115">
        <v>164.64567486938353</v>
      </c>
      <c r="O43" s="115">
        <v>4.9546036516681466</v>
      </c>
      <c r="P43" s="115">
        <v>8.3273045593152926</v>
      </c>
      <c r="Q43" s="111">
        <v>4.9546036516681466</v>
      </c>
      <c r="R43" s="68">
        <v>8.3273045593152926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0.83973830281646722</v>
      </c>
      <c r="M44" s="115">
        <v>1.7884379249615392</v>
      </c>
      <c r="N44" s="115">
        <v>32.038034603854101</v>
      </c>
      <c r="O44" s="115">
        <v>0.98672056840012756</v>
      </c>
      <c r="P44" s="115">
        <v>1.0507464281031298</v>
      </c>
      <c r="Q44" s="111">
        <v>0.98672056840012756</v>
      </c>
      <c r="R44" s="68">
        <v>1.0507464281031298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0.59693618819563321</v>
      </c>
      <c r="M45" s="115">
        <v>8.4478321045713933</v>
      </c>
      <c r="N45" s="115">
        <v>247.15490748680915</v>
      </c>
      <c r="O45" s="115">
        <v>2.878354781305696</v>
      </c>
      <c r="P45" s="115">
        <v>2.7097355187280101</v>
      </c>
      <c r="Q45" s="111">
        <v>2.878354781305696</v>
      </c>
      <c r="R45" s="68">
        <v>2.7097355187280101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0.61996995432941659</v>
      </c>
      <c r="M46" s="115">
        <v>7.8719820310303756</v>
      </c>
      <c r="N46" s="115">
        <v>228.36492774285543</v>
      </c>
      <c r="O46" s="115">
        <v>2.7102404988624254</v>
      </c>
      <c r="P46" s="115">
        <v>2.5575682692469761</v>
      </c>
      <c r="Q46" s="111">
        <v>2.7102404988624258</v>
      </c>
      <c r="R46" s="68">
        <v>2.5575682692469761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6.9567984227867903E-4</v>
      </c>
      <c r="M47" s="115">
        <v>115.46252759895378</v>
      </c>
      <c r="N47" s="115">
        <v>3838.21326180499</v>
      </c>
      <c r="O47" s="115">
        <v>23.148543608440072</v>
      </c>
      <c r="P47" s="115">
        <v>9.9157148291534245</v>
      </c>
      <c r="Q47" s="111">
        <v>23.148543608440072</v>
      </c>
      <c r="R47" s="68">
        <v>9.9157148291534245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0.94622112848565831</v>
      </c>
      <c r="M48" s="115">
        <v>1.192583178286966</v>
      </c>
      <c r="N48" s="115">
        <v>10.710851279797982</v>
      </c>
      <c r="O48" s="115">
        <v>0.87706971612070816</v>
      </c>
      <c r="P48" s="115">
        <v>0.98518543439988637</v>
      </c>
      <c r="Q48" s="111">
        <v>0.87706971612070816</v>
      </c>
      <c r="R48" s="68">
        <v>0.98518543439988648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0.9195151718946829</v>
      </c>
      <c r="M49" s="115">
        <v>1.4271330441097916</v>
      </c>
      <c r="N49" s="115">
        <v>18.668158465439397</v>
      </c>
      <c r="O49" s="115">
        <v>0.92795858599647529</v>
      </c>
      <c r="P49" s="115">
        <v>1.0206241988744789</v>
      </c>
      <c r="Q49" s="111">
        <v>0.92795858599647529</v>
      </c>
      <c r="R49" s="68">
        <v>1.0206241988744789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8.7955313522556325E-2</v>
      </c>
      <c r="M50" s="115">
        <v>21.374560374913877</v>
      </c>
      <c r="N50" s="115">
        <v>677.84417178712431</v>
      </c>
      <c r="O50" s="115">
        <v>7.0888481504202474</v>
      </c>
      <c r="P50" s="115">
        <v>6.9092240546487202</v>
      </c>
      <c r="Q50" s="111">
        <v>7.0888481504202474</v>
      </c>
      <c r="R50" s="68">
        <v>6.9092240546487211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0.93055592394481856</v>
      </c>
      <c r="M51" s="115">
        <v>0.89140468245549787</v>
      </c>
      <c r="N51" s="115">
        <v>1.9115029273818835</v>
      </c>
      <c r="O51" s="115">
        <v>0.78524236867296826</v>
      </c>
      <c r="P51" s="115">
        <v>0.90611112165222241</v>
      </c>
      <c r="Q51" s="111">
        <v>0.78524236867296826</v>
      </c>
      <c r="R51" s="68">
        <v>0.90611112165222241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0.81294419173000221</v>
      </c>
      <c r="M52" s="115">
        <v>2.4837695102289086</v>
      </c>
      <c r="N52" s="115">
        <v>54.342915373551094</v>
      </c>
      <c r="O52" s="115">
        <v>1.1749429667080651</v>
      </c>
      <c r="P52" s="115">
        <v>1.2077874397898407</v>
      </c>
      <c r="Q52" s="111">
        <v>1.1749429667080651</v>
      </c>
      <c r="R52" s="68">
        <v>1.2077874397898409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0.46959648027378625</v>
      </c>
      <c r="M53" s="115">
        <v>11.55098160882957</v>
      </c>
      <c r="N53" s="115">
        <v>348.89853914287261</v>
      </c>
      <c r="O53" s="115">
        <v>3.8001818653223567</v>
      </c>
      <c r="P53" s="115">
        <v>3.5592186739358627</v>
      </c>
      <c r="Q53" s="111">
        <v>3.8001818653223567</v>
      </c>
      <c r="R53" s="68">
        <v>3.5592186739358627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9.7319083130358453E-4</v>
      </c>
      <c r="M54" s="115">
        <v>106.30511917591615</v>
      </c>
      <c r="N54" s="115">
        <v>3524.067062392061</v>
      </c>
      <c r="O54" s="115">
        <v>21.632154243287683</v>
      </c>
      <c r="P54" s="115">
        <v>9.7140135007268427</v>
      </c>
      <c r="Q54" s="111">
        <v>21.632154243287683</v>
      </c>
      <c r="R54" s="68">
        <v>9.7140135007268427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0.16701348633458551</v>
      </c>
      <c r="M55" s="115">
        <v>16.487351181904209</v>
      </c>
      <c r="N55" s="115">
        <v>516.89802547985028</v>
      </c>
      <c r="O55" s="115">
        <v>5.3671351419422741</v>
      </c>
      <c r="P55" s="115">
        <v>5.1197608781418262</v>
      </c>
      <c r="Q55" s="111">
        <v>5.3671351419422741</v>
      </c>
      <c r="R55" s="68">
        <v>5.1197608781418262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1.9666015687876487E-2</v>
      </c>
      <c r="M56" s="115">
        <v>9.5787286181365481</v>
      </c>
      <c r="N56" s="115">
        <v>305.75214964670658</v>
      </c>
      <c r="O56" s="115">
        <v>3.239664792683842</v>
      </c>
      <c r="P56" s="115">
        <v>3.2151516330936372</v>
      </c>
      <c r="Q56" s="111">
        <v>3.2396647926838424</v>
      </c>
      <c r="R56" s="68">
        <v>3.2151516330936376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3.6903783238330511E-2</v>
      </c>
      <c r="M57" s="115">
        <v>4.9163092892375477</v>
      </c>
      <c r="N57" s="115">
        <v>154.80839246589403</v>
      </c>
      <c r="O57" s="115">
        <v>1.6084053828568665</v>
      </c>
      <c r="P57" s="115">
        <v>1.5446898824739503</v>
      </c>
      <c r="Q57" s="111">
        <v>1.6084053828568665</v>
      </c>
      <c r="R57" s="68">
        <v>1.5446898824739503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7.5006982696529126E-2</v>
      </c>
      <c r="M58" s="115">
        <v>0.1294028290557229</v>
      </c>
      <c r="N58" s="115">
        <v>1.9236166294297472</v>
      </c>
      <c r="O58" s="115">
        <v>7.9399954653852314E-2</v>
      </c>
      <c r="P58" s="115">
        <v>8.6388999492001226E-2</v>
      </c>
      <c r="Q58" s="111">
        <v>7.9399954653852314E-2</v>
      </c>
      <c r="R58" s="68">
        <v>8.6388999492001226E-2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1.534200761669113E-2</v>
      </c>
      <c r="M59" s="115">
        <v>1.9071506805877703</v>
      </c>
      <c r="N59" s="115">
        <v>59.996776378012569</v>
      </c>
      <c r="O59" s="115">
        <v>0.62313894803809067</v>
      </c>
      <c r="P59" s="115">
        <v>0.59749247135770622</v>
      </c>
      <c r="Q59" s="111">
        <v>0.62313894803809067</v>
      </c>
      <c r="R59" s="68">
        <v>0.59749247135770622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5.7688679021352372E-4</v>
      </c>
      <c r="M60" s="115">
        <v>3.3584764815949741E-2</v>
      </c>
      <c r="N60" s="115">
        <v>1.0425233881368565</v>
      </c>
      <c r="O60" s="115">
        <v>1.0886825193968688E-2</v>
      </c>
      <c r="P60" s="115">
        <v>1.027918352714219E-2</v>
      </c>
      <c r="Q60" s="111">
        <v>1.0886825193968689E-2</v>
      </c>
      <c r="R60" s="68">
        <v>1.0279183527142192E-2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0.35296163207036829</v>
      </c>
      <c r="M61" s="115">
        <v>14.593773532284349</v>
      </c>
      <c r="N61" s="115">
        <v>449.09856530927868</v>
      </c>
      <c r="O61" s="115">
        <v>4.7390147774864051</v>
      </c>
      <c r="P61" s="115">
        <v>4.4527127880157851</v>
      </c>
      <c r="Q61" s="111">
        <v>4.7390147774864051</v>
      </c>
      <c r="R61" s="68">
        <v>4.4527127880157851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4.1862034160467018E-3</v>
      </c>
      <c r="M62" s="115">
        <v>55.176096825111408</v>
      </c>
      <c r="N62" s="115">
        <v>1803.5956407526767</v>
      </c>
      <c r="O62" s="115">
        <v>13.233237781301918</v>
      </c>
      <c r="P62" s="115">
        <v>8.6903982415394694</v>
      </c>
      <c r="Q62" s="111">
        <v>13.233237781301918</v>
      </c>
      <c r="R62" s="68">
        <v>8.6903982415394694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3.7840935449060724E-4</v>
      </c>
      <c r="M63" s="115">
        <v>129.08738545774463</v>
      </c>
      <c r="N63" s="115">
        <v>4311.519758977156</v>
      </c>
      <c r="O63" s="115">
        <v>25.412594134598788</v>
      </c>
      <c r="P63" s="115">
        <v>10.226652852381608</v>
      </c>
      <c r="Q63" s="111">
        <v>25.412594134598788</v>
      </c>
      <c r="R63" s="68">
        <v>10.22665285238161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1.3018392469364579E-4</v>
      </c>
      <c r="M64" s="115">
        <v>145.29350451859747</v>
      </c>
      <c r="N64" s="115">
        <v>4890.659844425456</v>
      </c>
      <c r="O64" s="115">
        <v>28.127059956628553</v>
      </c>
      <c r="P64" s="115">
        <v>10.626000752717617</v>
      </c>
      <c r="Q64" s="111">
        <v>28.127059956628553</v>
      </c>
      <c r="R64" s="68">
        <v>10.626000752717619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3.6317885181196271E-5</v>
      </c>
      <c r="M65" s="115">
        <v>156.04413561345427</v>
      </c>
      <c r="N65" s="115">
        <v>5298.9475348293709</v>
      </c>
      <c r="O65" s="115">
        <v>29.954623910634481</v>
      </c>
      <c r="P65" s="115">
        <v>10.925581307106803</v>
      </c>
      <c r="Q65" s="111">
        <v>29.954623910634481</v>
      </c>
      <c r="R65" s="68">
        <v>10.925581307106803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7.5548141107843227E-5</v>
      </c>
      <c r="M66" s="115">
        <v>150.74900273538361</v>
      </c>
      <c r="N66" s="115">
        <v>5093.5998829698219</v>
      </c>
      <c r="O66" s="115">
        <v>29.05005916761705</v>
      </c>
      <c r="P66" s="115">
        <v>10.772499304010864</v>
      </c>
      <c r="Q66" s="111">
        <v>29.05005916761705</v>
      </c>
      <c r="R66" s="68">
        <v>10.772499304010864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0.89035110457941569</v>
      </c>
      <c r="M67" s="115">
        <v>2.1217124863950452</v>
      </c>
      <c r="N67" s="115">
        <v>40.951082814711143</v>
      </c>
      <c r="O67" s="115">
        <v>1.1116379806199037</v>
      </c>
      <c r="P67" s="115">
        <v>1.1704864154796322</v>
      </c>
      <c r="Q67" s="111">
        <v>1.1116379806199037</v>
      </c>
      <c r="R67" s="68">
        <v>1.1704864154796322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0.83588689259957982</v>
      </c>
      <c r="M68" s="115">
        <v>3.0272704351324395</v>
      </c>
      <c r="N68" s="115">
        <v>70.587570693910024</v>
      </c>
      <c r="O68" s="115">
        <v>1.3478366662766992</v>
      </c>
      <c r="P68" s="115">
        <v>1.3644294555735359</v>
      </c>
      <c r="Q68" s="111">
        <v>1.3478366662766992</v>
      </c>
      <c r="R68" s="68">
        <v>1.3644294555735359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1.5125117618622886E-3</v>
      </c>
      <c r="M69" s="115">
        <v>92.412716299344481</v>
      </c>
      <c r="N69" s="115">
        <v>3051.7847495048159</v>
      </c>
      <c r="O69" s="115">
        <v>19.336359216162599</v>
      </c>
      <c r="P69" s="115">
        <v>9.4139460773156696</v>
      </c>
      <c r="Q69" s="111">
        <v>19.336359216162599</v>
      </c>
      <c r="R69" s="68">
        <v>9.4139460773156696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2.8346614612828083E-2</v>
      </c>
      <c r="M70" s="115">
        <v>22.475931407040012</v>
      </c>
      <c r="N70" s="115">
        <v>720.28662968895469</v>
      </c>
      <c r="O70" s="115">
        <v>7.718440437489658</v>
      </c>
      <c r="P70" s="115">
        <v>7.7595655566548389</v>
      </c>
      <c r="Q70" s="111">
        <v>7.718440437489658</v>
      </c>
      <c r="R70" s="68">
        <v>7.7595655566548389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0.83409655352950507</v>
      </c>
      <c r="M71" s="115">
        <v>2.8185711482373188</v>
      </c>
      <c r="N71" s="115">
        <v>64.149960267162683</v>
      </c>
      <c r="O71" s="115">
        <v>1.2851486979591566</v>
      </c>
      <c r="P71" s="115">
        <v>1.3089557255056585</v>
      </c>
      <c r="Q71" s="111">
        <v>1.2851486979591566</v>
      </c>
      <c r="R71" s="68">
        <v>1.3089557255056585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3.3015162986485894E-2</v>
      </c>
      <c r="M72" s="115">
        <v>22.252148549897292</v>
      </c>
      <c r="N72" s="115">
        <v>712.19761271708933</v>
      </c>
      <c r="O72" s="115">
        <v>7.6020511051021247</v>
      </c>
      <c r="P72" s="115">
        <v>7.609660136942475</v>
      </c>
      <c r="Q72" s="111">
        <v>7.6020511051021247</v>
      </c>
      <c r="R72" s="68">
        <v>7.609660136942475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0.3245827117855275</v>
      </c>
      <c r="M73" s="115">
        <v>15.038202060548208</v>
      </c>
      <c r="N73" s="115">
        <v>464.22948314668525</v>
      </c>
      <c r="O73" s="115">
        <v>4.8780925440846419</v>
      </c>
      <c r="P73" s="115">
        <v>4.5899348542770948</v>
      </c>
      <c r="Q73" s="111">
        <v>4.8780925440846419</v>
      </c>
      <c r="R73" s="68">
        <v>4.5899348542770948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2.9643429925172306E-2</v>
      </c>
      <c r="M74" s="115">
        <v>22.437997196121284</v>
      </c>
      <c r="N74" s="115">
        <v>718.80887764125032</v>
      </c>
      <c r="O74" s="115">
        <v>7.6939247637870034</v>
      </c>
      <c r="P74" s="115">
        <v>7.7253871694467184</v>
      </c>
      <c r="Q74" s="111">
        <v>7.6939247637870034</v>
      </c>
      <c r="R74" s="68">
        <v>7.7253871694467184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4.3764458418495689E-3</v>
      </c>
      <c r="M75" s="115">
        <v>5.5989245855571186</v>
      </c>
      <c r="N75" s="115">
        <v>550.11937764784136</v>
      </c>
      <c r="O75" s="115">
        <v>5.9850015646659038</v>
      </c>
      <c r="P75" s="115">
        <v>8.7326192902047293</v>
      </c>
      <c r="Q75" s="111">
        <v>5.9850015646659038</v>
      </c>
      <c r="R75" s="68">
        <v>8.7326192902047293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4.3764458436764938E-3</v>
      </c>
      <c r="M76" s="115">
        <v>5.598924587894361</v>
      </c>
      <c r="N76" s="115">
        <v>550.11937787748582</v>
      </c>
      <c r="O76" s="115">
        <v>5.9850015671643124</v>
      </c>
      <c r="P76" s="115">
        <v>8.7326192938501173</v>
      </c>
      <c r="Q76" s="111">
        <v>5.9850015671643124</v>
      </c>
      <c r="R76" s="68">
        <v>8.7326192938501173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0.12036109165166874</v>
      </c>
      <c r="M77" s="115">
        <v>20.200825905066655</v>
      </c>
      <c r="N77" s="115">
        <v>637.97427382241801</v>
      </c>
      <c r="O77" s="115">
        <v>6.640340249252854</v>
      </c>
      <c r="P77" s="115">
        <v>6.4126009227010998</v>
      </c>
      <c r="Q77" s="111">
        <v>6.640340249252854</v>
      </c>
      <c r="R77" s="68">
        <v>6.4126009227010998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0.63279747733371428</v>
      </c>
      <c r="M78" s="115">
        <v>6.9132781459831723</v>
      </c>
      <c r="N78" s="115">
        <v>197.89311385143114</v>
      </c>
      <c r="O78" s="115">
        <v>2.420534059155012</v>
      </c>
      <c r="P78" s="115">
        <v>2.2937665192984795</v>
      </c>
      <c r="Q78" s="111">
        <v>2.420534059155012</v>
      </c>
      <c r="R78" s="68">
        <v>2.2937665192984795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0.45662940399654284</v>
      </c>
      <c r="M79" s="115">
        <v>11.746983828784652</v>
      </c>
      <c r="N79" s="115">
        <v>355.51180261103809</v>
      </c>
      <c r="O79" s="115">
        <v>3.8578907790614752</v>
      </c>
      <c r="P79" s="115">
        <v>3.6133358528164377</v>
      </c>
      <c r="Q79" s="111">
        <v>3.8578907790614752</v>
      </c>
      <c r="R79" s="68">
        <v>3.6133358528164381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2.9662912174355841E-3</v>
      </c>
      <c r="M80" s="115">
        <v>10.868403907901227</v>
      </c>
      <c r="N80" s="115">
        <v>1068.428572656672</v>
      </c>
      <c r="O80" s="115">
        <v>7.3597294152694053</v>
      </c>
      <c r="P80" s="115">
        <v>9.2345516768844664</v>
      </c>
      <c r="Q80" s="111">
        <v>7.3597294152694062</v>
      </c>
      <c r="R80" s="68">
        <v>9.2345516768844664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0.98362894891747665</v>
      </c>
      <c r="M81" s="115">
        <v>0.93221609398619409</v>
      </c>
      <c r="N81" s="115">
        <v>1.7153991464176126</v>
      </c>
      <c r="O81" s="115">
        <v>0.8273556222991445</v>
      </c>
      <c r="P81" s="115">
        <v>0.95569859298706072</v>
      </c>
      <c r="Q81" s="111">
        <v>0.8273556222991445</v>
      </c>
      <c r="R81" s="68">
        <v>0.95569859298706072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0.81805183161036432</v>
      </c>
      <c r="M82" s="115">
        <v>3.5471672110356649</v>
      </c>
      <c r="N82" s="115">
        <v>87.271166628884444</v>
      </c>
      <c r="O82" s="115">
        <v>1.4927589183296899</v>
      </c>
      <c r="P82" s="115">
        <v>1.4886912545605506</v>
      </c>
      <c r="Q82" s="111">
        <v>1.4927589183296899</v>
      </c>
      <c r="R82" s="68">
        <v>1.4886912545605506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0.15269914743232338</v>
      </c>
      <c r="M83" s="115">
        <v>19.878402405631515</v>
      </c>
      <c r="N83" s="115">
        <v>625.75008686958552</v>
      </c>
      <c r="O83" s="115">
        <v>6.5005310748939413</v>
      </c>
      <c r="P83" s="115">
        <v>6.2396564087213235</v>
      </c>
      <c r="Q83" s="111">
        <v>6.5005310748939413</v>
      </c>
      <c r="R83" s="68">
        <v>6.2396564087213244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0.96523200251816577</v>
      </c>
      <c r="M84" s="115">
        <v>1.0916454324420277</v>
      </c>
      <c r="N84" s="115">
        <v>7.090519748936468</v>
      </c>
      <c r="O84" s="115">
        <v>0.85998811694698618</v>
      </c>
      <c r="P84" s="115">
        <v>0.97643560190754475</v>
      </c>
      <c r="Q84" s="111">
        <v>0.85998811694698618</v>
      </c>
      <c r="R84" s="68">
        <v>0.97643560190754475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0.9917231423104037</v>
      </c>
      <c r="M85" s="115">
        <v>0.89429225243403154</v>
      </c>
      <c r="N85" s="115">
        <v>0.34839053267930725</v>
      </c>
      <c r="O85" s="115">
        <v>0.8222086292682842</v>
      </c>
      <c r="P85" s="115">
        <v>0.95439685430461252</v>
      </c>
      <c r="Q85" s="111">
        <v>0.8222086292682842</v>
      </c>
      <c r="R85" s="68">
        <v>0.95439685430461252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0.96613547634410402</v>
      </c>
      <c r="M86" s="115">
        <v>1.0820967653464109</v>
      </c>
      <c r="N86" s="115">
        <v>6.7729989260687207</v>
      </c>
      <c r="O86" s="115">
        <v>0.85787702090253071</v>
      </c>
      <c r="P86" s="115">
        <v>0.97497031890873942</v>
      </c>
      <c r="Q86" s="111">
        <v>0.85787702090253071</v>
      </c>
      <c r="R86" s="68">
        <v>0.97497031890873942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5.5195646009450951E-4</v>
      </c>
      <c r="M87" s="115">
        <v>121.07503427836508</v>
      </c>
      <c r="N87" s="115">
        <v>4032.1825269604869</v>
      </c>
      <c r="O87" s="115">
        <v>24.079756655096176</v>
      </c>
      <c r="P87" s="115">
        <v>10.041811308244755</v>
      </c>
      <c r="Q87" s="111">
        <v>24.07975665509618</v>
      </c>
      <c r="R87" s="68">
        <v>10.041811308244755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0.712130559179322</v>
      </c>
      <c r="M88" s="115">
        <v>5.7955797925638031</v>
      </c>
      <c r="N88" s="115">
        <v>160.528084143672</v>
      </c>
      <c r="O88" s="115">
        <v>2.1164788578168547</v>
      </c>
      <c r="P88" s="115">
        <v>2.0286475902290211</v>
      </c>
      <c r="Q88" s="111">
        <v>2.1164788578168547</v>
      </c>
      <c r="R88" s="68">
        <v>2.0286475902290211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0.80127944244648719</v>
      </c>
      <c r="M89" s="115">
        <v>3.8875203035703869</v>
      </c>
      <c r="N89" s="115">
        <v>98.352361909270016</v>
      </c>
      <c r="O89" s="115">
        <v>1.5855481437386565</v>
      </c>
      <c r="P89" s="115">
        <v>1.5677213667786192</v>
      </c>
      <c r="Q89" s="111">
        <v>1.5855481437386565</v>
      </c>
      <c r="R89" s="68">
        <v>1.5677213667786192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0.9256491715553401</v>
      </c>
      <c r="M90" s="115">
        <v>1.6151127027814953</v>
      </c>
      <c r="N90" s="115">
        <v>24.300238899642885</v>
      </c>
      <c r="O90" s="115">
        <v>0.98506376250688443</v>
      </c>
      <c r="P90" s="115">
        <v>1.070531001771466</v>
      </c>
      <c r="Q90" s="111">
        <v>0.98506376250688454</v>
      </c>
      <c r="R90" s="68">
        <v>1.0705310017714662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3.6385960678733589E-3</v>
      </c>
      <c r="M91" s="115">
        <v>60.504137130362402</v>
      </c>
      <c r="N91" s="115">
        <v>1980.838628664628</v>
      </c>
      <c r="O91" s="115">
        <v>14.103997431128178</v>
      </c>
      <c r="P91" s="115">
        <v>8.7902139648214188</v>
      </c>
      <c r="Q91" s="111">
        <v>14.103997431128178</v>
      </c>
      <c r="R91" s="68">
        <v>8.7902139648214188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0.21659237941472526</v>
      </c>
      <c r="M92" s="115">
        <v>18.200889206900616</v>
      </c>
      <c r="N92" s="115">
        <v>569.09193996472914</v>
      </c>
      <c r="O92" s="115">
        <v>5.913140070931691</v>
      </c>
      <c r="P92" s="115">
        <v>5.6215003246295323</v>
      </c>
      <c r="Q92" s="111">
        <v>5.913140070931691</v>
      </c>
      <c r="R92" s="68">
        <v>5.6215003246295332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4.3888853515186586E-2</v>
      </c>
      <c r="M93" s="115">
        <v>22.392034117122648</v>
      </c>
      <c r="N93" s="115">
        <v>715.03365584592814</v>
      </c>
      <c r="O93" s="115">
        <v>7.5839765294110686</v>
      </c>
      <c r="P93" s="115">
        <v>7.5358120477428638</v>
      </c>
      <c r="Q93" s="111">
        <v>7.5839765294110695</v>
      </c>
      <c r="R93" s="68">
        <v>7.5358120477428638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0.89406506047316259</v>
      </c>
      <c r="M94" s="115">
        <v>0.91548360387475547</v>
      </c>
      <c r="N94" s="115">
        <v>11.880272565956917</v>
      </c>
      <c r="O94" s="115">
        <v>1.2476116329430367</v>
      </c>
      <c r="P94" s="115">
        <v>1.7355182482875069</v>
      </c>
      <c r="Q94" s="111">
        <v>1.2476116329430367</v>
      </c>
      <c r="R94" s="68">
        <v>1.7355182482875071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8.4758037522921961E-3</v>
      </c>
      <c r="M95" s="115">
        <v>30.409551109987447</v>
      </c>
      <c r="N95" s="115">
        <v>985.28091662979534</v>
      </c>
      <c r="O95" s="115">
        <v>9.2005408096418293</v>
      </c>
      <c r="P95" s="115">
        <v>8.2496362362559097</v>
      </c>
      <c r="Q95" s="111">
        <v>9.2005408096418293</v>
      </c>
      <c r="R95" s="68">
        <v>8.2496362362559115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0.98306447396370511</v>
      </c>
      <c r="M96" s="115">
        <v>0.93577793826201117</v>
      </c>
      <c r="N96" s="115">
        <v>1.8390227029389217</v>
      </c>
      <c r="O96" s="115">
        <v>0.82797106833680156</v>
      </c>
      <c r="P96" s="115">
        <v>0.95600219620310734</v>
      </c>
      <c r="Q96" s="111">
        <v>0.82797106833680156</v>
      </c>
      <c r="R96" s="68">
        <v>0.95600219620310734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0.9647697025490426</v>
      </c>
      <c r="M97" s="115">
        <v>1.0965871595754688</v>
      </c>
      <c r="N97" s="115">
        <v>7.2547346913257567</v>
      </c>
      <c r="O97" s="115">
        <v>0.86108519159691155</v>
      </c>
      <c r="P97" s="115">
        <v>0.97720047404183519</v>
      </c>
      <c r="Q97" s="111">
        <v>0.86108519159691155</v>
      </c>
      <c r="R97" s="68">
        <v>0.97720047404183519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2.0034800570883526E-2</v>
      </c>
      <c r="M98" s="115">
        <v>22.50292963765547</v>
      </c>
      <c r="N98" s="115">
        <v>723.07465403997332</v>
      </c>
      <c r="O98" s="115">
        <v>7.8164534927685807</v>
      </c>
      <c r="P98" s="115">
        <v>7.9311640731464568</v>
      </c>
      <c r="Q98" s="111">
        <v>7.8164534927685816</v>
      </c>
      <c r="R98" s="68">
        <v>7.9311640731464568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0.99339748573860531</v>
      </c>
      <c r="M99" s="115">
        <v>0.89014696007854721</v>
      </c>
      <c r="N99" s="115">
        <v>0.17916459551079339</v>
      </c>
      <c r="O99" s="115">
        <v>0.82215626421161281</v>
      </c>
      <c r="P99" s="115">
        <v>0.95494666922484317</v>
      </c>
      <c r="Q99" s="111">
        <v>0.82215626421161292</v>
      </c>
      <c r="R99" s="68">
        <v>0.95494666922484317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0.50681159397495112</v>
      </c>
      <c r="M100" s="115">
        <v>10.662730063082293</v>
      </c>
      <c r="N100" s="115">
        <v>319.68089513611687</v>
      </c>
      <c r="O100" s="115">
        <v>3.5334674768841974</v>
      </c>
      <c r="P100" s="115">
        <v>3.3107207709752009</v>
      </c>
      <c r="Q100" s="111">
        <v>3.5334674768841974</v>
      </c>
      <c r="R100" s="68">
        <v>3.3107207709752009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0.9908407535865803</v>
      </c>
      <c r="M101" s="115">
        <v>0.89706402703786525</v>
      </c>
      <c r="N101" s="115">
        <v>0.45552419034606434</v>
      </c>
      <c r="O101" s="115">
        <v>0.82239432349830943</v>
      </c>
      <c r="P101" s="115">
        <v>0.95423254369418276</v>
      </c>
      <c r="Q101" s="111">
        <v>0.82239432349830943</v>
      </c>
      <c r="R101" s="68">
        <v>0.95423254369418276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0.99550745734407164</v>
      </c>
      <c r="M102" s="115">
        <v>0.88730435099973226</v>
      </c>
      <c r="N102" s="115">
        <v>3.8337586497744665E-2</v>
      </c>
      <c r="O102" s="115">
        <v>0.82272000694782788</v>
      </c>
      <c r="P102" s="115">
        <v>0.95612793400268259</v>
      </c>
      <c r="Q102" s="111">
        <v>0.82272000694782788</v>
      </c>
      <c r="R102" s="68">
        <v>0.95612793400268259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0.99351599265805579</v>
      </c>
      <c r="M103" s="115">
        <v>0.88991324673550476</v>
      </c>
      <c r="N103" s="115">
        <v>0.16900704100923356</v>
      </c>
      <c r="O103" s="115">
        <v>0.82216848048894098</v>
      </c>
      <c r="P103" s="115">
        <v>0.95499807323966135</v>
      </c>
      <c r="Q103" s="111">
        <v>0.82216848048894098</v>
      </c>
      <c r="R103" s="68">
        <v>0.95499807323966135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0.97492215005186789</v>
      </c>
      <c r="M104" s="115">
        <v>0.99758574860144944</v>
      </c>
      <c r="N104" s="115">
        <v>3.9456180754844654</v>
      </c>
      <c r="O104" s="115">
        <v>0.83984379306847856</v>
      </c>
      <c r="P104" s="115">
        <v>0.96293784002684302</v>
      </c>
      <c r="Q104" s="111">
        <v>0.83984379306847856</v>
      </c>
      <c r="R104" s="68">
        <v>0.96293784002684302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0.99520051867931514</v>
      </c>
      <c r="M105" s="115">
        <v>0.88753133331257839</v>
      </c>
      <c r="N105" s="115">
        <v>5.3177714735784212E-2</v>
      </c>
      <c r="O105" s="115">
        <v>0.8225894743986969</v>
      </c>
      <c r="P105" s="115">
        <v>0.95591927517514563</v>
      </c>
      <c r="Q105" s="111">
        <v>0.82258947439869701</v>
      </c>
      <c r="R105" s="68">
        <v>0.95591927517514563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0.90006013233573046</v>
      </c>
      <c r="M106" s="115">
        <v>2.025586527185947</v>
      </c>
      <c r="N106" s="115">
        <v>37.703709641229381</v>
      </c>
      <c r="O106" s="115">
        <v>1.0890998144591042</v>
      </c>
      <c r="P106" s="115">
        <v>1.1533356859051267</v>
      </c>
      <c r="Q106" s="111">
        <v>1.0890998144591042</v>
      </c>
      <c r="R106" s="68">
        <v>1.1533356859051269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1.4741426460826953E-2</v>
      </c>
      <c r="M107" s="115">
        <v>22.392450380188084</v>
      </c>
      <c r="N107" s="115">
        <v>721.12833953178063</v>
      </c>
      <c r="O107" s="115">
        <v>7.8576721031883237</v>
      </c>
      <c r="P107" s="115">
        <v>8.0371452358850135</v>
      </c>
      <c r="Q107" s="111">
        <v>7.8576721031883237</v>
      </c>
      <c r="R107" s="68">
        <v>8.0371452358850135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0.57776453548461248</v>
      </c>
      <c r="M108" s="115">
        <v>8.9228179218683117</v>
      </c>
      <c r="N108" s="115">
        <v>262.67536987655529</v>
      </c>
      <c r="O108" s="115">
        <v>3.0176682744124794</v>
      </c>
      <c r="P108" s="115">
        <v>2.836458871486387</v>
      </c>
      <c r="Q108" s="111">
        <v>3.0176682744124794</v>
      </c>
      <c r="R108" s="68">
        <v>2.836458871486387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2024-10-28T23:14:54Z</dcterms:modified>
</cp:coreProperties>
</file>