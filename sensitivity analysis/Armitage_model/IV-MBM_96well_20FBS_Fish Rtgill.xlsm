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883C11DD-3BB9-4F73-A09F-D6175AC71DD2}" xr6:coauthVersionLast="47" xr6:coauthVersionMax="47" xr10:uidLastSave="{00000000-0000-0000-0000-000000000000}"/>
  <bookViews>
    <workbookView xWindow="-98" yWindow="-98" windowWidth="21795" windowHeight="13875" tabRatio="841" firstSheet="3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<sst xmlns="http://schemas.openxmlformats.org/spreadsheetml/2006/main" count="3131" uniqueCount="515">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</sst>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14" borderId="0" xfId="0" applyFill="1"/>
    <xf numFmtId="0" fontId="0" fillId="0" borderId="0" xfId="0" applyAlignment="1">
      <alignment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42863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0.49875000000000003</v>
      </c>
      <c r="K5" s="136">
        <v>0.52500000000000002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0.19950000000000001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9.9750000000000005E-2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4.9875000000000003E-2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1.0500000000000001E-2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8.3999999999999995E-3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2.9399999999999999E-3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1.6275E-3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1.0499999999999999E-3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1.2075E-3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6.3000000000000003E-4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1.0500000000000001E-2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P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6" ht="13.15">
      <c r="A1" s="74" t="s">
        <v>132</v>
      </c>
      <c r="B1" s="75"/>
      <c r="F1" s="74" t="s">
        <v>131</v>
      </c>
      <c r="I1" s="76"/>
    </row>
    <row r="2" spans="1:16" ht="13.15" thickBot="1">
      <c r="B2" s="75"/>
      <c r="I2" s="76"/>
    </row>
    <row r="3" spans="1:16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6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6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6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6" ht="13.15" thickBot="1">
      <c r="B7" s="87"/>
      <c r="I7" s="76"/>
    </row>
    <row r="8" spans="1:16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6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0.04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6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0.01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6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0.06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6" ht="13.15" thickBot="1">
      <c r="A12" s="76" t="s">
        <v>22</v>
      </c>
      <c r="B12" s="138">
        <f>G13/1000000/G12*1000000</f>
        <v>1.0500000000000001E-2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6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1.0500000000000001E-2</v>
      </c>
      <c r="H13" s="75" t="s">
        <v>16</v>
      </c>
      <c r="K13" s="75"/>
      <c r="L13" s="76"/>
      <c r="M13" s="75"/>
    </row>
    <row r="14" spans="1:16" ht="13.15" thickBot="1">
      <c r="C14" s="76"/>
      <c r="D14" s="76"/>
      <c r="E14" s="76"/>
      <c r="F14" s="102" t="s">
        <v>164</v>
      </c>
      <c r="G14" s="88">
        <v>7.4</v>
      </c>
    </row>
    <row r="15" spans="1:16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  <c r="P15" s="163">
        <v>0.04</v>
      </c>
    </row>
    <row r="16" spans="1:16" ht="15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  <c r="P16" s="163">
        <v>0.01</v>
      </c>
    </row>
    <row r="17" spans="1:16" ht="15.4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  <c r="P17" s="163">
        <v>0.06</v>
      </c>
    </row>
    <row r="18" spans="1:16">
      <c r="C18" s="76"/>
      <c r="D18" s="76"/>
      <c r="E18" s="76"/>
      <c r="K18" s="75"/>
    </row>
    <row r="19" spans="1:16" ht="13.15">
      <c r="A19" s="93" t="s">
        <v>15</v>
      </c>
      <c r="C19" s="76"/>
      <c r="D19" s="76"/>
      <c r="E19" s="76"/>
    </row>
    <row r="20" spans="1:16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6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7.0000000000000007E-5</v>
      </c>
      <c r="K21" s="76" t="s">
        <v>125</v>
      </c>
      <c r="M21" s="75"/>
    </row>
    <row r="22" spans="1:16" ht="13.15" thickBot="1">
      <c r="A22" s="75"/>
      <c r="C22" s="76"/>
      <c r="F22" s="102" t="s">
        <v>164</v>
      </c>
      <c r="G22" s="88">
        <v>7.4</v>
      </c>
      <c r="J22" s="95">
        <f>B12*(G9+G10)/B6</f>
        <v>3.5000000000000004E-6</v>
      </c>
      <c r="K22" s="78" t="s">
        <v>126</v>
      </c>
      <c r="L22" s="96"/>
    </row>
    <row r="23" spans="1:16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6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6">
      <c r="C25" s="96"/>
      <c r="F25" s="76" t="s">
        <v>137</v>
      </c>
    </row>
    <row r="26" spans="1:16">
      <c r="B26" s="75"/>
      <c r="F26" s="98" t="s">
        <v>152</v>
      </c>
      <c r="G26" s="76" t="b">
        <v>0</v>
      </c>
    </row>
    <row r="27" spans="1:16" ht="13.15">
      <c r="C27" s="96"/>
      <c r="F27" s="74"/>
      <c r="G27" s="75"/>
      <c r="H27" s="75"/>
      <c r="J27" s="99"/>
    </row>
    <row r="28" spans="1:16" ht="13.15">
      <c r="B28" s="100"/>
      <c r="C28" s="96"/>
      <c r="F28" s="6" t="s">
        <v>269</v>
      </c>
      <c r="G28" s="75"/>
      <c r="H28" s="75"/>
      <c r="J28" s="99"/>
    </row>
    <row r="29" spans="1:16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6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6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6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42863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8.2462480211190958E-8</v>
      </c>
      <c r="J2" s="67" t="s">
        <v>231</v>
      </c>
      <c r="K2" s="68">
        <v>9.162694500526792E-4</v>
      </c>
      <c r="L2" s="67" t="s">
        <v>231</v>
      </c>
      <c r="M2" s="68">
        <v>1.1558769806032452E-3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9.558692270598282E-6</v>
      </c>
      <c r="J3" s="67" t="s">
        <v>231</v>
      </c>
      <c r="K3" s="68">
        <v>1.0763240270987736E-2</v>
      </c>
      <c r="L3" s="67" t="s">
        <v>231</v>
      </c>
      <c r="M3" s="68">
        <v>0.29342812282251424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9.1660986086225801E-15</v>
      </c>
      <c r="J4" s="67" t="s">
        <v>231</v>
      </c>
      <c r="K4" s="68">
        <v>1.0162644777880394E-3</v>
      </c>
      <c r="L4" s="67" t="s">
        <v>231</v>
      </c>
      <c r="M4" s="68">
        <v>3.0603024254551676E-3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1.2216517980073287E-10</v>
      </c>
      <c r="J5" s="67" t="s">
        <v>231</v>
      </c>
      <c r="K5" s="68">
        <v>9.4434530400720632E-4</v>
      </c>
      <c r="L5" s="67" t="s">
        <v>231</v>
      </c>
      <c r="M5" s="68">
        <v>4.5018253439518943E-2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3.5116759752362148E-7</v>
      </c>
      <c r="J6" s="67" t="s">
        <v>231</v>
      </c>
      <c r="K6" s="68">
        <v>9.5542000193764689E-4</v>
      </c>
      <c r="L6" s="67" t="s">
        <v>231</v>
      </c>
      <c r="M6" s="68">
        <v>6.40154570636777E-2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1.5861333926734337E-6</v>
      </c>
      <c r="J7" s="67" t="s">
        <v>231</v>
      </c>
      <c r="K7" s="68">
        <v>1.1483963091788426E-3</v>
      </c>
      <c r="L7" s="67" t="s">
        <v>231</v>
      </c>
      <c r="M7" s="68">
        <v>8.4569025965886349E-2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5.3151851987176155E-9</v>
      </c>
      <c r="J8" s="67" t="s">
        <v>231</v>
      </c>
      <c r="K8" s="68">
        <v>9.2665092232246883E-4</v>
      </c>
      <c r="L8" s="67" t="s">
        <v>231</v>
      </c>
      <c r="M8" s="68">
        <v>7.0320213168636708E-2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4.2044225814542016E-7</v>
      </c>
      <c r="J9" s="67" t="s">
        <v>231</v>
      </c>
      <c r="K9" s="68">
        <v>9.6052311499409033E-4</v>
      </c>
      <c r="L9" s="67" t="s">
        <v>231</v>
      </c>
      <c r="M9" s="68">
        <v>3.9566617566884267E-2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2.2401427355651015E-4</v>
      </c>
      <c r="J10" s="67" t="s">
        <v>231</v>
      </c>
      <c r="K10" s="68">
        <v>2.2766217601695726E-2</v>
      </c>
      <c r="L10" s="67" t="s">
        <v>231</v>
      </c>
      <c r="M10" s="68">
        <v>0.73475842330638441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5.3738866221418078E-9</v>
      </c>
      <c r="J11" s="67" t="s">
        <v>231</v>
      </c>
      <c r="K11" s="68">
        <v>0.10039685897166259</v>
      </c>
      <c r="L11" s="67" t="s">
        <v>231</v>
      </c>
      <c r="M11" s="68">
        <v>5.4143238103116103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2.4513147924044031E-8</v>
      </c>
      <c r="J12" s="67" t="s">
        <v>231</v>
      </c>
      <c r="K12" s="68">
        <v>8.3523495925297536E-4</v>
      </c>
      <c r="L12" s="67" t="s">
        <v>231</v>
      </c>
      <c r="M12" s="68">
        <v>6.280334196894905E-5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1.1428888632277932E-3</v>
      </c>
      <c r="J13" s="67" t="s">
        <v>231</v>
      </c>
      <c r="K13" s="68">
        <v>7.5589791873049011E-3</v>
      </c>
      <c r="L13" s="67" t="s">
        <v>231</v>
      </c>
      <c r="M13" s="68">
        <v>0.21808256199146026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9.3714831912412825E-9</v>
      </c>
      <c r="J14" s="67" t="s">
        <v>231</v>
      </c>
      <c r="K14" s="68">
        <v>1.874065436171984E-3</v>
      </c>
      <c r="L14" s="67" t="s">
        <v>231</v>
      </c>
      <c r="M14" s="68">
        <v>0.16799522657659241</v>
      </c>
      <c r="N14" s="67" t="s">
        <v>231</v>
      </c>
      <c r="P14" s="109" t="s">
        <v>229</v>
      </c>
      <c r="Q14" s="103">
        <f>COUNTIF(N2:N50000,"Yes")</f>
        <v>1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1.1750811015917833E-6</v>
      </c>
      <c r="J15" s="67" t="s">
        <v>231</v>
      </c>
      <c r="K15" s="68">
        <v>1.7884379249615391E-3</v>
      </c>
      <c r="L15" s="67" t="s">
        <v>231</v>
      </c>
      <c r="M15" s="68">
        <v>3.2038034603854099E-2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1.0085780875349919E-4</v>
      </c>
      <c r="J16" s="67" t="s">
        <v>231</v>
      </c>
      <c r="K16" s="68">
        <v>8.4478321045713921E-3</v>
      </c>
      <c r="L16" s="67" t="s">
        <v>231</v>
      </c>
      <c r="M16" s="68">
        <v>0.24715490748680916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2.2589959824054801E-6</v>
      </c>
      <c r="J17" s="67" t="s">
        <v>231</v>
      </c>
      <c r="K17" s="68">
        <v>7.8719820310303758E-3</v>
      </c>
      <c r="L17" s="67" t="s">
        <v>231</v>
      </c>
      <c r="M17" s="68">
        <v>0.22836492774285544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2.7112683171762113E-3</v>
      </c>
      <c r="J18" s="67" t="s">
        <v>231</v>
      </c>
      <c r="K18" s="68">
        <v>0.11546252759895378</v>
      </c>
      <c r="L18" s="67" t="s">
        <v>231</v>
      </c>
      <c r="M18" s="68">
        <v>3.8382132618049902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1.8948297505363827E-6</v>
      </c>
      <c r="J19" s="67" t="s">
        <v>231</v>
      </c>
      <c r="K19" s="68">
        <v>1.192583178286966E-3</v>
      </c>
      <c r="L19" s="67" t="s">
        <v>231</v>
      </c>
      <c r="M19" s="68">
        <v>1.0710851279797982E-2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5.3728783618280387E-6</v>
      </c>
      <c r="J20" s="67" t="s">
        <v>231</v>
      </c>
      <c r="K20" s="68">
        <v>1.4271330441097917E-3</v>
      </c>
      <c r="L20" s="67" t="s">
        <v>231</v>
      </c>
      <c r="M20" s="68">
        <v>1.8668158465439396E-2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2.0978326675926546E-6</v>
      </c>
      <c r="J21" s="67" t="s">
        <v>231</v>
      </c>
      <c r="K21" s="68">
        <v>6.0621464406271693E-3</v>
      </c>
      <c r="L21" s="67" t="s">
        <v>231</v>
      </c>
      <c r="M21" s="68">
        <v>0.22829558084015733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4.1553125084767178E-8</v>
      </c>
      <c r="J22" s="67" t="s">
        <v>231</v>
      </c>
      <c r="K22" s="68">
        <v>8.9140468245549787E-4</v>
      </c>
      <c r="L22" s="67" t="s">
        <v>231</v>
      </c>
      <c r="M22" s="68">
        <v>1.9115029273818836E-3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1.210154446781054E-5</v>
      </c>
      <c r="J23" s="67" t="s">
        <v>231</v>
      </c>
      <c r="K23" s="68">
        <v>2.4837695102289084E-3</v>
      </c>
      <c r="L23" s="67" t="s">
        <v>231</v>
      </c>
      <c r="M23" s="68">
        <v>5.4342915373551098E-2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1.9206923624281322E-4</v>
      </c>
      <c r="J24" s="67" t="s">
        <v>231</v>
      </c>
      <c r="K24" s="68">
        <v>1.155098160882957E-2</v>
      </c>
      <c r="L24" s="67" t="s">
        <v>231</v>
      </c>
      <c r="M24" s="68">
        <v>0.34889853914287261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9.2744270906260778E-4</v>
      </c>
      <c r="J25" s="67" t="s">
        <v>231</v>
      </c>
      <c r="K25" s="68">
        <v>0.10630511917591615</v>
      </c>
      <c r="L25" s="67" t="s">
        <v>231</v>
      </c>
      <c r="M25" s="68">
        <v>3.5240670623920609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2.0945948532465067E-4</v>
      </c>
      <c r="J26" s="67" t="s">
        <v>231</v>
      </c>
      <c r="K26" s="68">
        <v>1.6487351181904208E-2</v>
      </c>
      <c r="L26" s="67" t="s">
        <v>231</v>
      </c>
      <c r="M26" s="68">
        <v>0.51689802547985031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6.1899440649952804E-5</v>
      </c>
      <c r="J27" s="67" t="s">
        <v>231</v>
      </c>
      <c r="K27" s="68">
        <v>9.5787286181365471E-3</v>
      </c>
      <c r="L27" s="67" t="s">
        <v>231</v>
      </c>
      <c r="M27" s="68">
        <v>0.30575214964670661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3.0265444455128502E-5</v>
      </c>
      <c r="J28" s="67" t="s">
        <v>231</v>
      </c>
      <c r="K28" s="68">
        <v>4.9163092892375478E-3</v>
      </c>
      <c r="L28" s="67" t="s">
        <v>231</v>
      </c>
      <c r="M28" s="68">
        <v>0.15480839246589403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3.278352822225265E-7</v>
      </c>
      <c r="J29" s="67" t="s">
        <v>231</v>
      </c>
      <c r="K29" s="68">
        <v>1.294028290557229E-4</v>
      </c>
      <c r="L29" s="67" t="s">
        <v>231</v>
      </c>
      <c r="M29" s="68">
        <v>1.9236166294297472E-3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7.3429169458836726E-6</v>
      </c>
      <c r="J30" s="67" t="s">
        <v>231</v>
      </c>
      <c r="K30" s="68">
        <v>1.9071506805877702E-3</v>
      </c>
      <c r="L30" s="67" t="s">
        <v>231</v>
      </c>
      <c r="M30" s="68">
        <v>5.9996776378012567E-2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1.1533467747396528E-7</v>
      </c>
      <c r="J31" s="67" t="s">
        <v>231</v>
      </c>
      <c r="K31" s="68">
        <v>3.3584764815949737E-5</v>
      </c>
      <c r="L31" s="67" t="s">
        <v>231</v>
      </c>
      <c r="M31" s="68">
        <v>1.0425233881368565E-3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1.0362125716907299E-4</v>
      </c>
      <c r="J32" s="67" t="s">
        <v>231</v>
      </c>
      <c r="K32" s="68">
        <v>6.6202578535843925E-3</v>
      </c>
      <c r="L32" s="67" t="s">
        <v>231</v>
      </c>
      <c r="M32" s="68">
        <v>0.18748289335121404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3.3509482361618185E-5</v>
      </c>
      <c r="J33" s="67" t="s">
        <v>231</v>
      </c>
      <c r="K33" s="68">
        <v>3.6566807131636118E-3</v>
      </c>
      <c r="L33" s="67" t="s">
        <v>231</v>
      </c>
      <c r="M33" s="68">
        <v>9.0837285839177925E-2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9.9558815414600788E-5</v>
      </c>
      <c r="J34" s="67" t="s">
        <v>231</v>
      </c>
      <c r="K34" s="68">
        <v>1.8299637429649161E-2</v>
      </c>
      <c r="L34" s="67" t="s">
        <v>231</v>
      </c>
      <c r="M34" s="68">
        <v>0.57240780145852976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4.4444980102696549E-4</v>
      </c>
      <c r="J35" s="67" t="s">
        <v>231</v>
      </c>
      <c r="K35" s="68">
        <v>2.2275431007302161E-2</v>
      </c>
      <c r="L35" s="67" t="s">
        <v>231</v>
      </c>
      <c r="M35" s="68">
        <v>0.7150125127667788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8.9964081770567991E-4</v>
      </c>
      <c r="J36" s="67" t="s">
        <v>231</v>
      </c>
      <c r="K36" s="68">
        <v>4.8592621429933334E-2</v>
      </c>
      <c r="L36" s="67" t="s">
        <v>231</v>
      </c>
      <c r="M36" s="68">
        <v>1.5851733940057604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5.8765658425378856E-4</v>
      </c>
      <c r="J37" s="67" t="s">
        <v>231</v>
      </c>
      <c r="K37" s="68">
        <v>0.11277470456343257</v>
      </c>
      <c r="L37" s="67" t="s">
        <v>231</v>
      </c>
      <c r="M37" s="68">
        <v>3.7459947261006592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3.1946413062559605E-4</v>
      </c>
      <c r="J38" s="67" t="s">
        <v>231</v>
      </c>
      <c r="K38" s="68">
        <v>7.1119101057485742E-2</v>
      </c>
      <c r="L38" s="67" t="s">
        <v>231</v>
      </c>
      <c r="M38" s="68">
        <v>2.3352302293818665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1.9679076666400682E-4</v>
      </c>
      <c r="J39" s="67" t="s">
        <v>231</v>
      </c>
      <c r="K39" s="68">
        <v>5.3404655705668921E-2</v>
      </c>
      <c r="L39" s="67" t="s">
        <v>231</v>
      </c>
      <c r="M39" s="68">
        <v>1.7454187224058746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3.1946413062559605E-4</v>
      </c>
      <c r="J40" s="67" t="s">
        <v>231</v>
      </c>
      <c r="K40" s="68">
        <v>7.1119101057485742E-2</v>
      </c>
      <c r="L40" s="67" t="s">
        <v>231</v>
      </c>
      <c r="M40" s="68">
        <v>2.3352302293818665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8.4579422302416373E-9</v>
      </c>
      <c r="J41" s="67" t="s">
        <v>231</v>
      </c>
      <c r="K41" s="68">
        <v>9.0334377524408575E-4</v>
      </c>
      <c r="L41" s="67" t="s">
        <v>231</v>
      </c>
      <c r="M41" s="68">
        <v>5.4780271637152626E-3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1.0689376344530349E-3</v>
      </c>
      <c r="J42" s="67" t="s">
        <v>231</v>
      </c>
      <c r="K42" s="68">
        <v>0.11512211213861923</v>
      </c>
      <c r="L42" s="67" t="s">
        <v>231</v>
      </c>
      <c r="M42" s="68">
        <v>3.8268971477240838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2.16949833472487E-3</v>
      </c>
      <c r="J43" s="67" t="s">
        <v>231</v>
      </c>
      <c r="K43" s="68">
        <v>1.2363850440116186E-2</v>
      </c>
      <c r="L43" s="67" t="s">
        <v>231</v>
      </c>
      <c r="M43" s="68">
        <v>0.3755639466031428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1.6621230873577594E-3</v>
      </c>
      <c r="J44" s="67" t="s">
        <v>231</v>
      </c>
      <c r="K44" s="68">
        <v>3.4509823561815707E-2</v>
      </c>
      <c r="L44" s="67" t="s">
        <v>231</v>
      </c>
      <c r="M44" s="68">
        <v>1.1201000827876102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2.8915034980049304E-3</v>
      </c>
      <c r="J45" s="67" t="s">
        <v>231</v>
      </c>
      <c r="K45" s="68">
        <v>0.13286542355576469</v>
      </c>
      <c r="L45" s="67" t="s">
        <v>231</v>
      </c>
      <c r="M45" s="68">
        <v>4.4444844556140337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4.244500781832035E-4</v>
      </c>
      <c r="J46" s="67" t="s">
        <v>231</v>
      </c>
      <c r="K46" s="68">
        <v>0.11831844940182779</v>
      </c>
      <c r="L46" s="67" t="s">
        <v>231</v>
      </c>
      <c r="M46" s="68">
        <v>3.9367641166900906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8.2565357670459627E-4</v>
      </c>
      <c r="J47" s="142" t="s">
        <v>231</v>
      </c>
      <c r="K47" s="143">
        <v>9.5336128343074811E-2</v>
      </c>
      <c r="L47" s="142" t="s">
        <v>231</v>
      </c>
      <c r="M47" s="143">
        <v>3.1507477157431993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2.5040805717275013E-4</v>
      </c>
      <c r="J48" s="142" t="s">
        <v>231</v>
      </c>
      <c r="K48" s="143">
        <v>2.1949461172343834E-2</v>
      </c>
      <c r="L48" s="142" t="s">
        <v>231</v>
      </c>
      <c r="M48" s="143">
        <v>0.6980007452929532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1.0010318575669967E-3</v>
      </c>
      <c r="J49" s="142" t="s">
        <v>231</v>
      </c>
      <c r="K49" s="143">
        <v>3.6914071655365983E-2</v>
      </c>
      <c r="L49" s="142" t="s">
        <v>231</v>
      </c>
      <c r="M49" s="143">
        <v>1.1992787589350888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2.4670427707609583E-4</v>
      </c>
      <c r="J50" s="142" t="s">
        <v>231</v>
      </c>
      <c r="K50" s="143">
        <v>4.1165374369508588E-2</v>
      </c>
      <c r="L50" s="142" t="s">
        <v>231</v>
      </c>
      <c r="M50" s="143">
        <v>1.3395131731031138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5.2572771082871276E-4</v>
      </c>
      <c r="J51" s="142" t="s">
        <v>231</v>
      </c>
      <c r="K51" s="143">
        <v>2.2408440508620092E-2</v>
      </c>
      <c r="L51" s="142" t="s">
        <v>231</v>
      </c>
      <c r="M51" s="143">
        <v>0.7156976511371298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1.1644475867008007E-2</v>
      </c>
      <c r="J52" s="142" t="s">
        <v>232</v>
      </c>
      <c r="K52" s="143">
        <v>2.2008888896135299E-2</v>
      </c>
      <c r="L52" s="142" t="s">
        <v>231</v>
      </c>
      <c r="M52" s="143">
        <v>0.70019689266787499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2.3599184833631025E-3</v>
      </c>
      <c r="J53" s="142" t="s">
        <v>231</v>
      </c>
      <c r="K53" s="143">
        <v>5.62215052286879E-2</v>
      </c>
      <c r="L53" s="142" t="s">
        <v>231</v>
      </c>
      <c r="M53" s="143">
        <v>1.8383406521538233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1.1823313345128256E-3</v>
      </c>
      <c r="J54" s="67" t="s">
        <v>231</v>
      </c>
      <c r="K54" s="68">
        <v>3.9001967640905348E-2</v>
      </c>
      <c r="L54" s="67" t="s">
        <v>231</v>
      </c>
      <c r="M54" s="68">
        <v>1.2681147984827184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8.6871796405853707E-4</v>
      </c>
      <c r="J55" s="67" t="s">
        <v>231</v>
      </c>
      <c r="K55" s="68">
        <v>9.4183461078749919E-2</v>
      </c>
      <c r="L55" s="67" t="s">
        <v>231</v>
      </c>
      <c r="M55" s="68">
        <v>3.1116963285017132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7.0038215335422455E-4</v>
      </c>
      <c r="J56" s="67" t="s">
        <v>231</v>
      </c>
      <c r="K56" s="68">
        <v>3.5299924728218517E-2</v>
      </c>
      <c r="L56" s="67" t="s">
        <v>231</v>
      </c>
      <c r="M56" s="68">
        <v>1.1461094464601396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1.8813332943877926E-3</v>
      </c>
      <c r="J57" s="67" t="s">
        <v>231</v>
      </c>
      <c r="K57" s="68">
        <v>2.1569756756455942E-2</v>
      </c>
      <c r="L57" s="67" t="s">
        <v>231</v>
      </c>
      <c r="M57" s="68">
        <v>0.68452306406712116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7.1891480248442311E-3</v>
      </c>
      <c r="J58" s="67" t="s">
        <v>231</v>
      </c>
      <c r="K58" s="68">
        <v>3.9428965304814247E-2</v>
      </c>
      <c r="L58" s="67" t="s">
        <v>231</v>
      </c>
      <c r="M58" s="68">
        <v>1.2822009172438411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1.2048911507080622E-3</v>
      </c>
      <c r="J59" s="67" t="s">
        <v>231</v>
      </c>
      <c r="K59" s="68">
        <v>2.2011519298630568E-2</v>
      </c>
      <c r="L59" s="67" t="s">
        <v>231</v>
      </c>
      <c r="M59" s="68">
        <v>0.70028057702206237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3.4016230135435889E-3</v>
      </c>
      <c r="J60" s="67" t="s">
        <v>231</v>
      </c>
      <c r="K60" s="68">
        <v>5.1565319800014331E-2</v>
      </c>
      <c r="L60" s="67" t="s">
        <v>231</v>
      </c>
      <c r="M60" s="68">
        <v>1.6837267799770799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2.8642308406900727E-5</v>
      </c>
      <c r="J61" s="67" t="s">
        <v>231</v>
      </c>
      <c r="K61" s="68">
        <v>3.9390393479950124E-2</v>
      </c>
      <c r="L61" s="67" t="s">
        <v>231</v>
      </c>
      <c r="M61" s="68">
        <v>0.9020505575052018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1.5359679755561878E-4</v>
      </c>
      <c r="J62" s="67" t="s">
        <v>231</v>
      </c>
      <c r="K62" s="68">
        <v>1.7893756868783712E-2</v>
      </c>
      <c r="L62" s="67" t="s">
        <v>231</v>
      </c>
      <c r="M62" s="68">
        <v>0.55880044415926022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1.7258061656345391E-6</v>
      </c>
      <c r="J63" s="67" t="s">
        <v>231</v>
      </c>
      <c r="K63" s="68">
        <v>5.8050871523576079E-3</v>
      </c>
      <c r="L63" s="67" t="s">
        <v>231</v>
      </c>
      <c r="M63" s="68">
        <v>0.11424971982869947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1.0556980466101288E-7</v>
      </c>
      <c r="J64" s="67" t="s">
        <v>231</v>
      </c>
      <c r="K64" s="68">
        <v>9.1424404305498735E-4</v>
      </c>
      <c r="L64" s="67" t="s">
        <v>231</v>
      </c>
      <c r="M64" s="68">
        <v>2.2607459619270577E-3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2.017085422442603E-8</v>
      </c>
      <c r="J65" s="67" t="s">
        <v>231</v>
      </c>
      <c r="K65" s="68">
        <v>1.2931873145951135E-3</v>
      </c>
      <c r="L65" s="67" t="s">
        <v>231</v>
      </c>
      <c r="M65" s="68">
        <v>9.5907182789835219E-3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1.473891932882188E-7</v>
      </c>
      <c r="J66" s="67" t="s">
        <v>231</v>
      </c>
      <c r="K66" s="68">
        <v>3.8821142992246566E-2</v>
      </c>
      <c r="L66" s="67" t="s">
        <v>231</v>
      </c>
      <c r="M66" s="68">
        <v>0.89796576757058499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1.9874520246261476E-8</v>
      </c>
      <c r="J67" s="67" t="s">
        <v>231</v>
      </c>
      <c r="K67" s="68">
        <v>1.2256230705954454E-3</v>
      </c>
      <c r="L67" s="67" t="s">
        <v>231</v>
      </c>
      <c r="M67" s="68">
        <v>7.9860980300411888E-3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6.4531449156453791E-9</v>
      </c>
      <c r="J68" s="67" t="s">
        <v>231</v>
      </c>
      <c r="K68" s="68">
        <v>9.3212807897565496E-4</v>
      </c>
      <c r="L68" s="67" t="s">
        <v>231</v>
      </c>
      <c r="M68" s="68">
        <v>1.0592274416621032E-3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3.9068533582990522E-5</v>
      </c>
      <c r="J69" s="67" t="s">
        <v>231</v>
      </c>
      <c r="K69" s="68">
        <v>3.1381198669354626E-2</v>
      </c>
      <c r="L69" s="67" t="s">
        <v>231</v>
      </c>
      <c r="M69" s="68">
        <v>1.0172033113214307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2.2306073491790916E-14</v>
      </c>
      <c r="J70" s="67" t="s">
        <v>231</v>
      </c>
      <c r="K70" s="68">
        <v>8.983393124322841E-4</v>
      </c>
      <c r="L70" s="67" t="s">
        <v>231</v>
      </c>
      <c r="M70" s="68">
        <v>3.7192102196285542E-3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1.8896426438816091E-10</v>
      </c>
      <c r="J71" s="67" t="s">
        <v>231</v>
      </c>
      <c r="K71" s="68">
        <v>9.0494752494377597E-4</v>
      </c>
      <c r="L71" s="67" t="s">
        <v>231</v>
      </c>
      <c r="M71" s="68">
        <v>6.648754903498171E-3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2.8990336092830218E-14</v>
      </c>
      <c r="J72" s="67" t="s">
        <v>231</v>
      </c>
      <c r="K72" s="68">
        <v>6.6825567213267779E-3</v>
      </c>
      <c r="L72" s="67" t="s">
        <v>231</v>
      </c>
      <c r="M72" s="68">
        <v>0.65671463831169508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1.5693812230010054E-11</v>
      </c>
      <c r="J73" s="67" t="s">
        <v>231</v>
      </c>
      <c r="K73" s="68">
        <v>8.121243775053949E-4</v>
      </c>
      <c r="L73" s="67" t="s">
        <v>231</v>
      </c>
      <c r="M73" s="68">
        <v>7.6675084911015393E-2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1.7803660070686182E-11</v>
      </c>
      <c r="J74" s="67" t="s">
        <v>231</v>
      </c>
      <c r="K74" s="68">
        <v>9.037539390580469E-4</v>
      </c>
      <c r="L74" s="67" t="s">
        <v>231</v>
      </c>
      <c r="M74" s="68">
        <v>6.0874375225929492E-3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9.7209258287179465E-14</v>
      </c>
      <c r="J75" s="67" t="s">
        <v>231</v>
      </c>
      <c r="K75" s="68">
        <v>8.2143768079956999E-4</v>
      </c>
      <c r="L75" s="67" t="s">
        <v>231</v>
      </c>
      <c r="M75" s="68">
        <v>7.7012767214237471E-2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8.3737031828721376E-9</v>
      </c>
      <c r="J76" s="67" t="s">
        <v>231</v>
      </c>
      <c r="K76" s="68">
        <v>9.4229602816115572E-4</v>
      </c>
      <c r="L76" s="67" t="s">
        <v>231</v>
      </c>
      <c r="M76" s="68">
        <v>5.3531701404010555E-2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6.5980836367573217E-8</v>
      </c>
      <c r="J77" s="67" t="s">
        <v>231</v>
      </c>
      <c r="K77" s="68">
        <v>8.1480575948997378E-4</v>
      </c>
      <c r="L77" s="67" t="s">
        <v>231</v>
      </c>
      <c r="M77" s="68">
        <v>7.6781157378048207E-2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2.8641361557978002E-13</v>
      </c>
      <c r="J78" s="67" t="s">
        <v>231</v>
      </c>
      <c r="K78" s="68">
        <v>5.5989265133342611E-3</v>
      </c>
      <c r="L78" s="67" t="s">
        <v>231</v>
      </c>
      <c r="M78" s="68">
        <v>0.55011943233942795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1.5756989612198371E-16</v>
      </c>
      <c r="J79" s="67" t="s">
        <v>231</v>
      </c>
      <c r="K79" s="68">
        <v>5.598917149633135E-3</v>
      </c>
      <c r="L79" s="67" t="s">
        <v>231</v>
      </c>
      <c r="M79" s="68">
        <v>0.55011916668876581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2.069512368941952E-14</v>
      </c>
      <c r="J80" s="67" t="s">
        <v>231</v>
      </c>
      <c r="K80" s="68">
        <v>8.992748565144062E-4</v>
      </c>
      <c r="L80" s="67" t="s">
        <v>231</v>
      </c>
      <c r="M80" s="68">
        <v>7.3840048595568628E-2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7.0108511311690628E-11</v>
      </c>
      <c r="J81" s="67" t="s">
        <v>231</v>
      </c>
      <c r="K81" s="68">
        <v>9.2804337591684727E-4</v>
      </c>
      <c r="L81" s="67" t="s">
        <v>231</v>
      </c>
      <c r="M81" s="68">
        <v>2.1018684701837754E-2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1.3933089684433776E-15</v>
      </c>
      <c r="J82" s="67" t="s">
        <v>231</v>
      </c>
      <c r="K82" s="68">
        <v>9.4282702079806014E-4</v>
      </c>
      <c r="L82" s="67" t="s">
        <v>231</v>
      </c>
      <c r="M82" s="68">
        <v>3.9580848889081297E-2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1.7047792395661761E-14</v>
      </c>
      <c r="J83" s="67" t="s">
        <v>231</v>
      </c>
      <c r="K83" s="68">
        <v>1.0868407495774437E-2</v>
      </c>
      <c r="L83" s="67" t="s">
        <v>231</v>
      </c>
      <c r="M83" s="68">
        <v>1.0684286662221338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4.1864973690899879E-2</v>
      </c>
      <c r="J84" s="67" t="s">
        <v>232</v>
      </c>
      <c r="K84" s="68">
        <v>1.4593773532284349E-2</v>
      </c>
      <c r="L84" s="67" t="s">
        <v>231</v>
      </c>
      <c r="M84" s="68">
        <v>0.44909856530927866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5.3023962360759303E-6</v>
      </c>
      <c r="J85" s="67" t="s">
        <v>231</v>
      </c>
      <c r="K85" s="68">
        <v>0.44004815621398208</v>
      </c>
      <c r="L85" s="67" t="s">
        <v>231</v>
      </c>
      <c r="M85" s="68">
        <v>10.378695466953177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2.8033398359909271E-4</v>
      </c>
      <c r="J86" s="67" t="s">
        <v>231</v>
      </c>
      <c r="K86" s="68">
        <v>0.12908738545774465</v>
      </c>
      <c r="L86" s="67" t="s">
        <v>231</v>
      </c>
      <c r="M86" s="68">
        <v>4.3115197589771554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2.0120354548697176E-4</v>
      </c>
      <c r="J87" s="67" t="s">
        <v>231</v>
      </c>
      <c r="K87" s="68">
        <v>0.14529350451859749</v>
      </c>
      <c r="L87" s="67" t="s">
        <v>231</v>
      </c>
      <c r="M87" s="68">
        <v>4.8906598444254552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3.0601377874398954E-4</v>
      </c>
      <c r="J88" s="67" t="s">
        <v>231</v>
      </c>
      <c r="K88" s="68">
        <v>0.15604413561345426</v>
      </c>
      <c r="L88" s="67" t="s">
        <v>231</v>
      </c>
      <c r="M88" s="68">
        <v>5.2989475348293702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7.7547979244077879E-7</v>
      </c>
      <c r="J89" s="67" t="s">
        <v>231</v>
      </c>
      <c r="K89" s="68">
        <v>2.5280135076549906</v>
      </c>
      <c r="L89" s="67" t="s">
        <v>232</v>
      </c>
      <c r="M89" s="68">
        <v>59.438921234155401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1.9386410789731977E-5</v>
      </c>
      <c r="J90" s="67" t="s">
        <v>231</v>
      </c>
      <c r="K90" s="68">
        <v>9.2623251367793822E-4</v>
      </c>
      <c r="L90" s="67" t="s">
        <v>231</v>
      </c>
      <c r="M90" s="68">
        <v>1.5029183379990706E-3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3.8026806612569006E-5</v>
      </c>
      <c r="J91" s="67" t="s">
        <v>231</v>
      </c>
      <c r="K91" s="68">
        <v>3.547167211035665E-3</v>
      </c>
      <c r="L91" s="67" t="s">
        <v>231</v>
      </c>
      <c r="M91" s="68">
        <v>8.7271166628884442E-2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3.3290896909661749E-5</v>
      </c>
      <c r="J92" s="67" t="s">
        <v>231</v>
      </c>
      <c r="K92" s="68">
        <v>1.9878402405631518E-2</v>
      </c>
      <c r="L92" s="67" t="s">
        <v>231</v>
      </c>
      <c r="M92" s="68">
        <v>0.62575008686958555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1.2898937635915802E-8</v>
      </c>
      <c r="J93" s="67" t="s">
        <v>231</v>
      </c>
      <c r="K93" s="68">
        <v>8.9008295640136885E-4</v>
      </c>
      <c r="L93" s="67" t="s">
        <v>231</v>
      </c>
      <c r="M93" s="68">
        <v>6.2190199949321802E-4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2.1145151775542224E-18</v>
      </c>
      <c r="J94" s="67" t="s">
        <v>231</v>
      </c>
      <c r="K94" s="68">
        <v>8.9373623349057606E-4</v>
      </c>
      <c r="L94" s="67" t="s">
        <v>231</v>
      </c>
      <c r="M94" s="68">
        <v>1.5149113212377542E-4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2.3528999404182879E-6</v>
      </c>
      <c r="J95" s="67" t="s">
        <v>231</v>
      </c>
      <c r="K95" s="68">
        <v>1.0846027449266716E-3</v>
      </c>
      <c r="L95" s="67" t="s">
        <v>231</v>
      </c>
      <c r="M95" s="68">
        <v>6.5994853362355034E-3</v>
      </c>
      <c r="N95" s="67" t="s">
        <v>231</v>
      </c>
      <c r="O95" s="65"/>
      <c r="P95" s="102"/>
    </row>
    <row r="96" spans="1:16">
      <c r="A96" s="65" t="s">
        <v>437</v>
      </c>
      <c r="B96" s="167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3.1265712791163701E-3</v>
      </c>
      <c r="J96" s="67" t="s">
        <v>231</v>
      </c>
      <c r="K96" s="68">
        <v>0.12107503427836508</v>
      </c>
      <c r="L96" s="67" t="s">
        <v>231</v>
      </c>
      <c r="M96" s="68">
        <v>4.0321825269604865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1.1691565845627493E-4</v>
      </c>
      <c r="J97" s="67" t="s">
        <v>231</v>
      </c>
      <c r="K97" s="68">
        <v>5.7955797925638031E-3</v>
      </c>
      <c r="L97" s="67" t="s">
        <v>231</v>
      </c>
      <c r="M97" s="68">
        <v>0.16052808414367201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3.0850602508891633E-5</v>
      </c>
      <c r="J98" s="67" t="s">
        <v>231</v>
      </c>
      <c r="K98" s="68">
        <v>3.8875203035703869E-3</v>
      </c>
      <c r="L98" s="67" t="s">
        <v>231</v>
      </c>
      <c r="M98" s="68">
        <v>9.8352361909270006E-2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1.8893390533444027E-6</v>
      </c>
      <c r="J99" s="67" t="s">
        <v>231</v>
      </c>
      <c r="K99" s="68">
        <v>1.6151127027814955E-3</v>
      </c>
      <c r="L99" s="67" t="s">
        <v>231</v>
      </c>
      <c r="M99" s="68">
        <v>2.4300238899642883E-2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2.4711411805056508E-3</v>
      </c>
      <c r="J100" s="67" t="s">
        <v>231</v>
      </c>
      <c r="K100" s="68">
        <v>6.0504137130362401E-2</v>
      </c>
      <c r="L100" s="67" t="s">
        <v>231</v>
      </c>
      <c r="M100" s="68">
        <v>1.980838628664628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2.262881842600642E-2</v>
      </c>
      <c r="J101" s="67" t="s">
        <v>232</v>
      </c>
      <c r="K101" s="68">
        <v>1.8200889206900616E-2</v>
      </c>
      <c r="L101" s="67" t="s">
        <v>231</v>
      </c>
      <c r="M101" s="68">
        <v>0.56909193996472907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6.3727127806094339E-3</v>
      </c>
      <c r="J102" s="67" t="s">
        <v>231</v>
      </c>
      <c r="K102" s="68">
        <v>2.239203411712265E-2</v>
      </c>
      <c r="L102" s="67" t="s">
        <v>231</v>
      </c>
      <c r="M102" s="68">
        <v>0.71503365584592815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1.5554212779457785E-9</v>
      </c>
      <c r="J103" s="67" t="s">
        <v>231</v>
      </c>
      <c r="K103" s="68">
        <v>9.1493976230148672E-4</v>
      </c>
      <c r="L103" s="67" t="s">
        <v>231</v>
      </c>
      <c r="M103" s="68">
        <v>1.1864081646428694E-2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2.4623720856003441E-7</v>
      </c>
      <c r="J104" s="67" t="s">
        <v>231</v>
      </c>
      <c r="K104" s="68">
        <v>1.2620271013373348E-3</v>
      </c>
      <c r="L104" s="67" t="s">
        <v>231</v>
      </c>
      <c r="M104" s="68">
        <v>0.11265295348416361</v>
      </c>
      <c r="N104" s="67" t="s">
        <v>231</v>
      </c>
      <c r="O104" s="65"/>
      <c r="P104" s="102"/>
    </row>
    <row r="105" spans="1:16">
      <c r="A105" s="65" t="s">
        <v>455</v>
      </c>
      <c r="B105" s="167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9.8924868036064656E-8</v>
      </c>
      <c r="J105" s="67" t="s">
        <v>231</v>
      </c>
      <c r="K105" s="68">
        <v>9.357779382620111E-4</v>
      </c>
      <c r="L105" s="67" t="s">
        <v>231</v>
      </c>
      <c r="M105" s="68">
        <v>1.8390227029389215E-3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3.4427743999153801E-8</v>
      </c>
      <c r="J106" s="67" t="s">
        <v>231</v>
      </c>
      <c r="K106" s="68">
        <v>1.0987751822760694E-3</v>
      </c>
      <c r="L106" s="67" t="s">
        <v>231</v>
      </c>
      <c r="M106" s="68">
        <v>7.1060649714676394E-3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9.2793238395554359E-6</v>
      </c>
      <c r="J107" s="67" t="s">
        <v>231</v>
      </c>
      <c r="K107" s="68">
        <v>2.5994637396912892E-2</v>
      </c>
      <c r="L107" s="67" t="s">
        <v>231</v>
      </c>
      <c r="M107" s="68">
        <v>0.76065507696363921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2.6568178144495066E-10</v>
      </c>
      <c r="J108" s="67" t="s">
        <v>231</v>
      </c>
      <c r="K108" s="68">
        <v>8.9064724235193426E-4</v>
      </c>
      <c r="L108" s="67" t="s">
        <v>231</v>
      </c>
      <c r="M108" s="68">
        <v>7.8411481421911239E-5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2.7823748582511202E-6</v>
      </c>
      <c r="J109" s="67" t="s">
        <v>231</v>
      </c>
      <c r="K109" s="68">
        <v>1.202156968315414E-2</v>
      </c>
      <c r="L109" s="67" t="s">
        <v>231</v>
      </c>
      <c r="M109" s="68">
        <v>0.26243658612739046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5.8664420378687587E-6</v>
      </c>
      <c r="J110" s="67" t="s">
        <v>231</v>
      </c>
      <c r="K110" s="68">
        <v>8.9176987116993843E-4</v>
      </c>
      <c r="L110" s="67" t="s">
        <v>231</v>
      </c>
      <c r="M110" s="68">
        <v>2.2357637959088787E-4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8.1480493290362739E-14</v>
      </c>
      <c r="J111" s="67" t="s">
        <v>231</v>
      </c>
      <c r="K111" s="68">
        <v>8.8737026457859358E-4</v>
      </c>
      <c r="L111" s="67" t="s">
        <v>231</v>
      </c>
      <c r="M111" s="68">
        <v>3.2454841582696614E-6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9.234774248977128E-9</v>
      </c>
      <c r="J112" s="67" t="s">
        <v>231</v>
      </c>
      <c r="K112" s="68">
        <v>8.8991324673550474E-4</v>
      </c>
      <c r="L112" s="67" t="s">
        <v>231</v>
      </c>
      <c r="M112" s="68">
        <v>1.6900704100923354E-4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4.3334628057527217E-7</v>
      </c>
      <c r="J113" s="67" t="s">
        <v>231</v>
      </c>
      <c r="K113" s="68">
        <v>9.9758574860144954E-4</v>
      </c>
      <c r="L113" s="67" t="s">
        <v>231</v>
      </c>
      <c r="M113" s="68">
        <v>3.9456180754844656E-3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5.732180793830715E-8</v>
      </c>
      <c r="J114" s="67" t="s">
        <v>231</v>
      </c>
      <c r="K114" s="68">
        <v>8.875289290094057E-4</v>
      </c>
      <c r="L114" s="67" t="s">
        <v>231</v>
      </c>
      <c r="M114" s="68">
        <v>5.2418712529458021E-5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4.7490822446077487E-11</v>
      </c>
      <c r="J115" s="67" t="s">
        <v>231</v>
      </c>
      <c r="K115" s="68">
        <v>8.9764054869299848E-4</v>
      </c>
      <c r="L115" s="67" t="s">
        <v>231</v>
      </c>
      <c r="M115" s="68">
        <v>3.399696450044717E-3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9.5401206641576412E-6</v>
      </c>
      <c r="J116" s="67" t="s">
        <v>231</v>
      </c>
      <c r="K116" s="68">
        <v>0.12430912284123823</v>
      </c>
      <c r="L116" s="67" t="s">
        <v>231</v>
      </c>
      <c r="M116" s="68">
        <v>2.9228974564002246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8.2451725812367104E-5</v>
      </c>
      <c r="J117" s="67" t="s">
        <v>231</v>
      </c>
      <c r="K117" s="68">
        <v>8.9228179218683121E-3</v>
      </c>
      <c r="L117" s="67" t="s">
        <v>231</v>
      </c>
      <c r="M117" s="68">
        <v>0.26267536987655526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0.98994162282271547</v>
      </c>
      <c r="F2" s="14">
        <v>0.99295968196535245</v>
      </c>
      <c r="G2" s="14">
        <v>2.9528412727234637E-10</v>
      </c>
      <c r="H2" s="14">
        <v>0.17298626221717664</v>
      </c>
      <c r="I2" s="14">
        <v>0.64278951724143385</v>
      </c>
      <c r="J2" s="14">
        <v>0</v>
      </c>
      <c r="K2" s="14">
        <v>1.0070902355478448</v>
      </c>
      <c r="L2" s="14">
        <v>0.99295968196535256</v>
      </c>
      <c r="M2" s="14">
        <v>0.81472341905257173</v>
      </c>
      <c r="N2" s="14">
        <v>0.91626945005267912</v>
      </c>
      <c r="O2" s="14">
        <v>177.93036450572976</v>
      </c>
      <c r="P2" s="8">
        <v>0.91626945005267924</v>
      </c>
      <c r="Q2" s="54">
        <v>1.5990748233427169E-2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0.84523006852776716</v>
      </c>
      <c r="F3" s="14">
        <v>0.56804179383154563</v>
      </c>
      <c r="G3" s="14">
        <v>2.6892844690587373E-10</v>
      </c>
      <c r="H3" s="14">
        <v>63.890661457908287</v>
      </c>
      <c r="I3" s="14">
        <v>143.71006724155248</v>
      </c>
      <c r="J3" s="14">
        <v>0</v>
      </c>
      <c r="K3" s="14">
        <v>1.760433846345737</v>
      </c>
      <c r="L3" s="14">
        <v>0.56804179383154563</v>
      </c>
      <c r="M3" s="14">
        <v>0.46607829183878319</v>
      </c>
      <c r="N3" s="14">
        <v>10.763240270987735</v>
      </c>
      <c r="O3" s="14">
        <v>2756.3582009972488</v>
      </c>
      <c r="P3" s="8">
        <v>10.763240270987737</v>
      </c>
      <c r="Q3" s="54">
        <v>0.24642637732523603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0.99992014953384345</v>
      </c>
      <c r="F4" s="14">
        <v>1.0034095604421369</v>
      </c>
      <c r="G4" s="14">
        <v>1.5114950258656148E-19</v>
      </c>
      <c r="H4" s="14">
        <v>0.119888695555249</v>
      </c>
      <c r="I4" s="14">
        <v>1.2224623490475798E-3</v>
      </c>
      <c r="J4" s="14">
        <v>0</v>
      </c>
      <c r="K4" s="14">
        <v>0.99660202515846619</v>
      </c>
      <c r="L4" s="14">
        <v>1.0034095604421369</v>
      </c>
      <c r="M4" s="14">
        <v>0.82329754434277347</v>
      </c>
      <c r="N4" s="14">
        <v>1.0162644777880394</v>
      </c>
      <c r="O4" s="14">
        <v>300.9667250969278</v>
      </c>
      <c r="P4" s="8">
        <v>1.0162644777880394</v>
      </c>
      <c r="Q4" s="54">
        <v>1.3939124338030301E-5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0.99985452527629426</v>
      </c>
      <c r="F5" s="14">
        <v>0.54979089175849782</v>
      </c>
      <c r="G5" s="14">
        <v>2.5163865960817755E-12</v>
      </c>
      <c r="H5" s="14">
        <v>128.51610086277915</v>
      </c>
      <c r="I5" s="14">
        <v>9.4444880593583913E-2</v>
      </c>
      <c r="J5" s="14">
        <v>0</v>
      </c>
      <c r="K5" s="14">
        <v>1.8188733480133059</v>
      </c>
      <c r="L5" s="14">
        <v>0.54979089175849782</v>
      </c>
      <c r="M5" s="14">
        <v>0.45110342668784748</v>
      </c>
      <c r="N5" s="14">
        <v>0.9443453040072064</v>
      </c>
      <c r="O5" s="14">
        <v>208.73808599775288</v>
      </c>
      <c r="P5" s="8">
        <v>0.9443453040072064</v>
      </c>
      <c r="Q5" s="54">
        <v>1.2699260204480957E-4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0.99963544768368606</v>
      </c>
      <c r="F6" s="14">
        <v>0.32548062576627296</v>
      </c>
      <c r="G6" s="14">
        <v>2.0649025115236382E-13</v>
      </c>
      <c r="H6" s="14">
        <v>191.91333048434453</v>
      </c>
      <c r="I6" s="14">
        <v>0.51529898100645444</v>
      </c>
      <c r="J6" s="14">
        <v>0</v>
      </c>
      <c r="K6" s="14">
        <v>3.0723794930826327</v>
      </c>
      <c r="L6" s="14">
        <v>0.32548062576627301</v>
      </c>
      <c r="M6" s="14">
        <v>0.26705685344122698</v>
      </c>
      <c r="N6" s="14">
        <v>0.95542000193764687</v>
      </c>
      <c r="O6" s="14">
        <v>219.99500964616254</v>
      </c>
      <c r="P6" s="8">
        <v>0.95542000193764687</v>
      </c>
      <c r="Q6" s="54">
        <v>4.7627664275818606E-4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0.99834427463776254</v>
      </c>
      <c r="F7" s="14">
        <v>0.10827347799276879</v>
      </c>
      <c r="G7" s="14">
        <v>1.8043018791945161E-9</v>
      </c>
      <c r="H7" s="14">
        <v>252.58181957466729</v>
      </c>
      <c r="I7" s="14">
        <v>4.7605683686611684</v>
      </c>
      <c r="J7" s="14">
        <v>0</v>
      </c>
      <c r="K7" s="14">
        <v>9.2358721502119518</v>
      </c>
      <c r="L7" s="14">
        <v>0.1082734779927688</v>
      </c>
      <c r="M7" s="14">
        <v>8.8838388693066803E-2</v>
      </c>
      <c r="N7" s="14">
        <v>1.1483963091788425</v>
      </c>
      <c r="O7" s="14">
        <v>236.89119065741161</v>
      </c>
      <c r="P7" s="8">
        <v>1.1483963091788425</v>
      </c>
      <c r="Q7" s="54">
        <v>2.5203381111414168E-3</v>
      </c>
    </row>
    <row r="8" spans="1:20">
      <c r="A8" s="2" t="s">
        <v>289</v>
      </c>
      <c r="B8" s="16" t="s">
        <v>290</v>
      </c>
      <c r="D8" s="14">
        <v>1</v>
      </c>
      <c r="E8" s="14">
        <v>0.99978833829614111</v>
      </c>
      <c r="F8" s="14">
        <v>0.23074293691780101</v>
      </c>
      <c r="G8" s="14">
        <v>1.2790986554420005E-19</v>
      </c>
      <c r="H8" s="14">
        <v>218.80055338529749</v>
      </c>
      <c r="I8" s="14">
        <v>0.30805950734089338</v>
      </c>
      <c r="J8" s="14">
        <v>0</v>
      </c>
      <c r="K8" s="14">
        <v>4.3338271296955719</v>
      </c>
      <c r="L8" s="14">
        <v>0.23074293691780101</v>
      </c>
      <c r="M8" s="14">
        <v>0.18932457974105574</v>
      </c>
      <c r="N8" s="14">
        <v>0.92665092232246882</v>
      </c>
      <c r="O8" s="14">
        <v>322.8637143555946</v>
      </c>
      <c r="P8" s="8">
        <v>0.92665092232246893</v>
      </c>
      <c r="Q8" s="54">
        <v>2.3487382287420234E-4</v>
      </c>
    </row>
    <row r="9" spans="1:20">
      <c r="A9" s="2" t="s">
        <v>291</v>
      </c>
      <c r="B9" s="16" t="s">
        <v>292</v>
      </c>
      <c r="D9" s="14">
        <v>1</v>
      </c>
      <c r="E9" s="14">
        <v>0.99957181556192942</v>
      </c>
      <c r="F9" s="14">
        <v>0.61663879089401152</v>
      </c>
      <c r="G9" s="14">
        <v>5.3630633698062749E-15</v>
      </c>
      <c r="H9" s="14">
        <v>109.47900493464574</v>
      </c>
      <c r="I9" s="14">
        <v>0.38420623231944095</v>
      </c>
      <c r="J9" s="14">
        <v>0</v>
      </c>
      <c r="K9" s="14">
        <v>1.6216949286472651</v>
      </c>
      <c r="L9" s="14">
        <v>0.61663879089401163</v>
      </c>
      <c r="M9" s="14">
        <v>0.5059521279285365</v>
      </c>
      <c r="N9" s="14">
        <v>0.96052311499409027</v>
      </c>
      <c r="O9" s="14">
        <v>296.15809204612782</v>
      </c>
      <c r="P9" s="8">
        <v>0.96052311499409038</v>
      </c>
      <c r="Q9" s="54">
        <v>5.7751651143268497E-4</v>
      </c>
    </row>
    <row r="10" spans="1:20">
      <c r="A10" s="2" t="s">
        <v>367</v>
      </c>
      <c r="B10" s="16" t="s">
        <v>368</v>
      </c>
      <c r="D10" s="14">
        <v>1</v>
      </c>
      <c r="E10" s="14">
        <v>0.94862267471508765</v>
      </c>
      <c r="F10" s="14">
        <v>1.109901845559357E-2</v>
      </c>
      <c r="G10" s="14">
        <v>1.7245391626553581E-7</v>
      </c>
      <c r="H10" s="14">
        <v>226.85302434791754</v>
      </c>
      <c r="I10" s="14">
        <v>366.86116791402134</v>
      </c>
      <c r="J10" s="14">
        <v>0</v>
      </c>
      <c r="K10" s="14">
        <v>90.098057229198517</v>
      </c>
      <c r="L10" s="14">
        <v>1.109901845559357E-2</v>
      </c>
      <c r="M10" s="14">
        <v>9.1067446428145238E-3</v>
      </c>
      <c r="N10" s="14">
        <v>22.766217601695729</v>
      </c>
      <c r="O10" s="14">
        <v>6336.7490072559885</v>
      </c>
      <c r="P10" s="8">
        <v>22.766217601695729</v>
      </c>
      <c r="Q10" s="54">
        <v>7.9634589245848264E-2</v>
      </c>
    </row>
    <row r="11" spans="1:20">
      <c r="A11" s="2" t="s">
        <v>369</v>
      </c>
      <c r="B11" s="16" t="s">
        <v>370</v>
      </c>
      <c r="D11" s="14">
        <v>1</v>
      </c>
      <c r="E11" s="14">
        <v>0.98534613302052299</v>
      </c>
      <c r="F11" s="14">
        <v>6.2607410606565508E-4</v>
      </c>
      <c r="G11" s="14">
        <v>6.7456197153115258E-14</v>
      </c>
      <c r="H11" s="14">
        <v>161.72074825594993</v>
      </c>
      <c r="I11" s="14">
        <v>1094.0111024684688</v>
      </c>
      <c r="J11" s="14">
        <v>0</v>
      </c>
      <c r="K11" s="14">
        <v>1597.2550059355624</v>
      </c>
      <c r="L11" s="14">
        <v>6.2607410606565518E-4</v>
      </c>
      <c r="M11" s="14">
        <v>5.1369380402687E-4</v>
      </c>
      <c r="N11" s="14">
        <v>100.3968589716626</v>
      </c>
      <c r="O11" s="14">
        <v>40851.481915569508</v>
      </c>
      <c r="P11" s="8">
        <v>100.3968589716626</v>
      </c>
      <c r="Q11" s="54">
        <v>1.2201738954781549E-2</v>
      </c>
    </row>
    <row r="12" spans="1:20">
      <c r="A12" s="2" t="s">
        <v>371</v>
      </c>
      <c r="B12" s="16" t="s">
        <v>372</v>
      </c>
      <c r="D12" s="14">
        <v>1</v>
      </c>
      <c r="E12" s="14">
        <v>0.93870459184527133</v>
      </c>
      <c r="F12" s="14">
        <v>0.94233874173552135</v>
      </c>
      <c r="G12" s="14">
        <v>8.4902963403340451E-4</v>
      </c>
      <c r="H12" s="14">
        <v>7.4992137931363615E-3</v>
      </c>
      <c r="I12" s="14">
        <v>3.4416386110560776E-2</v>
      </c>
      <c r="J12" s="14">
        <v>0</v>
      </c>
      <c r="K12" s="14">
        <v>1.0611895231626398</v>
      </c>
      <c r="L12" s="14">
        <v>0.94233874173552146</v>
      </c>
      <c r="M12" s="14">
        <v>0.77318893759399532</v>
      </c>
      <c r="N12" s="14">
        <v>0.83523495925297531</v>
      </c>
      <c r="O12" s="14">
        <v>117.09158893767462</v>
      </c>
      <c r="P12" s="8">
        <v>0.83523495925297531</v>
      </c>
      <c r="Q12" s="54">
        <v>2.8877877203882965E-3</v>
      </c>
    </row>
    <row r="13" spans="1:20">
      <c r="A13" s="2" t="s">
        <v>293</v>
      </c>
      <c r="B13" s="16" t="s">
        <v>294</v>
      </c>
      <c r="D13" s="14">
        <v>1</v>
      </c>
      <c r="E13" s="14">
        <v>0.84743076126295158</v>
      </c>
      <c r="F13" s="14">
        <v>0.63644509022804396</v>
      </c>
      <c r="G13" s="14">
        <v>2.3531490048668236E-10</v>
      </c>
      <c r="H13" s="14">
        <v>48.285967810630972</v>
      </c>
      <c r="I13" s="14">
        <v>114.67747218349626</v>
      </c>
      <c r="J13" s="14">
        <v>0</v>
      </c>
      <c r="K13" s="14">
        <v>1.5712274559957577</v>
      </c>
      <c r="L13" s="14">
        <v>0.63644509022804396</v>
      </c>
      <c r="M13" s="14">
        <v>0.52220319653211011</v>
      </c>
      <c r="N13" s="14">
        <v>7.5589791873049013</v>
      </c>
      <c r="O13" s="14">
        <v>2497.1843643180473</v>
      </c>
      <c r="P13" s="8">
        <v>7.5589791873049013</v>
      </c>
      <c r="Q13" s="54">
        <v>0.24326414995503043</v>
      </c>
    </row>
    <row r="14" spans="1:20">
      <c r="A14" s="2" t="s">
        <v>373</v>
      </c>
      <c r="B14" s="16" t="s">
        <v>374</v>
      </c>
      <c r="D14" s="14">
        <v>1</v>
      </c>
      <c r="E14" s="14">
        <v>0.99953873139759164</v>
      </c>
      <c r="F14" s="14">
        <v>8.8452348987622924E-3</v>
      </c>
      <c r="G14" s="14">
        <v>9.5374513006953193E-10</v>
      </c>
      <c r="H14" s="14">
        <v>281.144356857562</v>
      </c>
      <c r="I14" s="14">
        <v>4.0780884076641541</v>
      </c>
      <c r="J14" s="14">
        <v>0</v>
      </c>
      <c r="K14" s="14">
        <v>113.0552225515152</v>
      </c>
      <c r="L14" s="14">
        <v>8.8452348987622924E-3</v>
      </c>
      <c r="M14" s="14">
        <v>7.2575152344344614E-3</v>
      </c>
      <c r="N14" s="14">
        <v>1.8740654361719842</v>
      </c>
      <c r="O14" s="14">
        <v>499.13858827004617</v>
      </c>
      <c r="P14" s="8">
        <v>1.8740654361719842</v>
      </c>
      <c r="Q14" s="54">
        <v>5.2802761554730673E-4</v>
      </c>
    </row>
    <row r="15" spans="1:20">
      <c r="A15" s="2" t="s">
        <v>375</v>
      </c>
      <c r="B15" s="16" t="s">
        <v>376</v>
      </c>
      <c r="D15" s="14">
        <v>1</v>
      </c>
      <c r="E15" s="14">
        <v>0.86774015651989489</v>
      </c>
      <c r="F15" s="14">
        <v>0.84303550599660693</v>
      </c>
      <c r="G15" s="14">
        <v>1.0425439054577157E-3</v>
      </c>
      <c r="H15" s="14">
        <v>6.0962934805176374</v>
      </c>
      <c r="I15" s="14">
        <v>17.215634626347043</v>
      </c>
      <c r="J15" s="14">
        <v>0</v>
      </c>
      <c r="K15" s="14">
        <v>1.1861896597318697</v>
      </c>
      <c r="L15" s="14">
        <v>0.84303550599660704</v>
      </c>
      <c r="M15" s="14">
        <v>0.69171063267021604</v>
      </c>
      <c r="N15" s="14">
        <v>1.7884379249615392</v>
      </c>
      <c r="O15" s="14">
        <v>267.19262598925394</v>
      </c>
      <c r="P15" s="8">
        <v>1.7884379249615392</v>
      </c>
      <c r="Q15" s="54">
        <v>9.4650527109308047E-2</v>
      </c>
    </row>
    <row r="16" spans="1:20">
      <c r="A16" s="2" t="s">
        <v>377</v>
      </c>
      <c r="B16" s="16" t="s">
        <v>378</v>
      </c>
      <c r="D16" s="14">
        <v>1</v>
      </c>
      <c r="E16" s="14">
        <v>0.84017608012718892</v>
      </c>
      <c r="F16" s="14">
        <v>0.5981763497127951</v>
      </c>
      <c r="G16" s="14">
        <v>9.019816989718517E-6</v>
      </c>
      <c r="H16" s="14">
        <v>55.433109159307264</v>
      </c>
      <c r="I16" s="14">
        <v>129.72581534212503</v>
      </c>
      <c r="J16" s="14">
        <v>0</v>
      </c>
      <c r="K16" s="14">
        <v>1.6717478056097239</v>
      </c>
      <c r="L16" s="14">
        <v>0.5981763497127951</v>
      </c>
      <c r="M16" s="14">
        <v>0.49080369493934839</v>
      </c>
      <c r="N16" s="14">
        <v>8.4478321045713933</v>
      </c>
      <c r="O16" s="14">
        <v>1877.4462069199465</v>
      </c>
      <c r="P16" s="8">
        <v>8.4478321045713933</v>
      </c>
      <c r="Q16" s="54">
        <v>0.25376189509793728</v>
      </c>
    </row>
    <row r="17" spans="1:21">
      <c r="A17" s="2" t="s">
        <v>379</v>
      </c>
      <c r="B17" s="16" t="s">
        <v>380</v>
      </c>
      <c r="D17" s="14">
        <v>1</v>
      </c>
      <c r="E17" s="14">
        <v>0.84322321649123144</v>
      </c>
      <c r="F17" s="14">
        <v>0.62128290774388162</v>
      </c>
      <c r="G17" s="14">
        <v>2.6999635024115886E-5</v>
      </c>
      <c r="H17" s="14">
        <v>50.807684838992472</v>
      </c>
      <c r="I17" s="14">
        <v>120.00147288786171</v>
      </c>
      <c r="J17" s="14">
        <v>0</v>
      </c>
      <c r="K17" s="14">
        <v>1.6095726882804269</v>
      </c>
      <c r="L17" s="14">
        <v>0.62128290774388162</v>
      </c>
      <c r="M17" s="14">
        <v>0.5097626258038549</v>
      </c>
      <c r="N17" s="14">
        <v>7.8719820310303756</v>
      </c>
      <c r="O17" s="14">
        <v>1012.0220099092651</v>
      </c>
      <c r="P17" s="8">
        <v>7.8719820310303756</v>
      </c>
      <c r="Q17" s="54">
        <v>0.24693723250385324</v>
      </c>
    </row>
    <row r="18" spans="1:21">
      <c r="A18" s="2" t="s">
        <v>381</v>
      </c>
      <c r="B18" s="16" t="s">
        <v>382</v>
      </c>
      <c r="D18" s="14">
        <v>1</v>
      </c>
      <c r="E18" s="14">
        <v>0.95523446635893117</v>
      </c>
      <c r="F18" s="14">
        <v>6.9667319598560608E-4</v>
      </c>
      <c r="G18" s="14">
        <v>4.9631521530525662E-10</v>
      </c>
      <c r="H18" s="14">
        <v>73.135645975349817</v>
      </c>
      <c r="I18" s="14">
        <v>1834.7896112475314</v>
      </c>
      <c r="J18" s="14">
        <v>0</v>
      </c>
      <c r="K18" s="14">
        <v>1435.3932457316198</v>
      </c>
      <c r="L18" s="14">
        <v>6.9667319598560608E-4</v>
      </c>
      <c r="M18" s="14">
        <v>5.7162035730618985E-4</v>
      </c>
      <c r="N18" s="14">
        <v>115.46252759895378</v>
      </c>
      <c r="O18" s="14">
        <v>45179.332424194625</v>
      </c>
      <c r="P18" s="8">
        <v>115.46252759895378</v>
      </c>
      <c r="Q18" s="54">
        <v>5.8692995147323193E-2</v>
      </c>
    </row>
    <row r="19" spans="1:21">
      <c r="A19" s="2" t="s">
        <v>383</v>
      </c>
      <c r="B19" s="16" t="s">
        <v>384</v>
      </c>
      <c r="D19" s="14">
        <v>1</v>
      </c>
      <c r="E19" s="14">
        <v>0.95641335039227793</v>
      </c>
      <c r="F19" s="14">
        <v>0.95131422143473954</v>
      </c>
      <c r="G19" s="14">
        <v>1.3723107862063737E-4</v>
      </c>
      <c r="H19" s="14">
        <v>1.874234764430567</v>
      </c>
      <c r="I19" s="14">
        <v>5.8248019031764038</v>
      </c>
      <c r="J19" s="14">
        <v>0</v>
      </c>
      <c r="K19" s="14">
        <v>1.0511773896240446</v>
      </c>
      <c r="L19" s="14">
        <v>0.95131422143473965</v>
      </c>
      <c r="M19" s="14">
        <v>0.7805533186872039</v>
      </c>
      <c r="N19" s="14">
        <v>1.192583178286966</v>
      </c>
      <c r="O19" s="14">
        <v>111.06527139386515</v>
      </c>
      <c r="P19" s="8">
        <v>1.192583178286966</v>
      </c>
      <c r="Q19" s="54">
        <v>5.4235189250875587E-2</v>
      </c>
    </row>
    <row r="20" spans="1:21">
      <c r="A20" s="2" t="s">
        <v>385</v>
      </c>
      <c r="B20" s="16" t="s">
        <v>386</v>
      </c>
      <c r="D20" s="14">
        <v>1</v>
      </c>
      <c r="E20" s="14">
        <v>0.93605011157515472</v>
      </c>
      <c r="F20" s="14">
        <v>0.92385003320541281</v>
      </c>
      <c r="G20" s="14">
        <v>2.607533918826057E-4</v>
      </c>
      <c r="H20" s="14">
        <v>3.4009596452352726</v>
      </c>
      <c r="I20" s="14">
        <v>10.093891903668494</v>
      </c>
      <c r="J20" s="14">
        <v>0</v>
      </c>
      <c r="K20" s="14">
        <v>1.0824267619825432</v>
      </c>
      <c r="L20" s="14">
        <v>0.92385003320541292</v>
      </c>
      <c r="M20" s="14">
        <v>0.75801895224504134</v>
      </c>
      <c r="N20" s="14">
        <v>1.4271330441097916</v>
      </c>
      <c r="O20" s="14">
        <v>158.58302386148006</v>
      </c>
      <c r="P20" s="8">
        <v>1.4271330441097918</v>
      </c>
      <c r="Q20" s="54">
        <v>7.2955602687960142E-2</v>
      </c>
    </row>
    <row r="21" spans="1:21">
      <c r="A21" s="2" t="s">
        <v>387</v>
      </c>
      <c r="B21" s="16" t="s">
        <v>388</v>
      </c>
      <c r="D21" s="14">
        <v>1</v>
      </c>
      <c r="E21" s="14">
        <v>0.96790812050578556</v>
      </c>
      <c r="F21" s="14">
        <v>0.11096896972634337</v>
      </c>
      <c r="G21" s="14">
        <v>2.1564890034363364E-5</v>
      </c>
      <c r="H21" s="14">
        <v>234.22947981829114</v>
      </c>
      <c r="I21" s="14">
        <v>87.523027416704409</v>
      </c>
      <c r="J21" s="14">
        <v>0</v>
      </c>
      <c r="K21" s="14">
        <v>9.0115281998748316</v>
      </c>
      <c r="L21" s="14">
        <v>0.11096896972634339</v>
      </c>
      <c r="M21" s="14">
        <v>9.1050039660464752E-2</v>
      </c>
      <c r="N21" s="14">
        <v>6.0621464406271697</v>
      </c>
      <c r="O21" s="14">
        <v>1196.9708147018346</v>
      </c>
      <c r="P21" s="8">
        <v>6.0621464406271697</v>
      </c>
      <c r="Q21" s="54">
        <v>4.8252779105544104E-2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0.93439843323973293</v>
      </c>
      <c r="F22" s="14">
        <v>0.93660175550136593</v>
      </c>
      <c r="G22" s="14">
        <v>7.5214825997811413E-4</v>
      </c>
      <c r="H22" s="14">
        <v>0.29735480961334598</v>
      </c>
      <c r="I22" s="14">
        <v>1.0571391049206875</v>
      </c>
      <c r="J22" s="14">
        <v>0</v>
      </c>
      <c r="K22" s="14">
        <v>1.067689649444119</v>
      </c>
      <c r="L22" s="14">
        <v>0.93660175550136604</v>
      </c>
      <c r="M22" s="14">
        <v>0.76848174038887085</v>
      </c>
      <c r="N22" s="14">
        <v>0.89140468245549787</v>
      </c>
      <c r="O22" s="14">
        <v>51.772783957015314</v>
      </c>
      <c r="P22" s="8">
        <v>0.89140468245549798</v>
      </c>
      <c r="Q22" s="54">
        <v>2.0622064374443593E-2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0.86128354081096048</v>
      </c>
      <c r="F23" s="14">
        <v>0.81561073560988262</v>
      </c>
      <c r="G23" s="14">
        <v>8.6133366394664423E-4</v>
      </c>
      <c r="H23" s="14">
        <v>10.748378056323963</v>
      </c>
      <c r="I23" s="14">
        <v>29.040233524760978</v>
      </c>
      <c r="J23" s="14">
        <v>0</v>
      </c>
      <c r="K23" s="14">
        <v>1.2260750825603566</v>
      </c>
      <c r="L23" s="14">
        <v>0.81561073560988262</v>
      </c>
      <c r="M23" s="14">
        <v>0.66920860856790876</v>
      </c>
      <c r="N23" s="14">
        <v>2.4837695102289086</v>
      </c>
      <c r="O23" s="14">
        <v>266.13590302102756</v>
      </c>
      <c r="P23" s="8">
        <v>2.4837695102289086</v>
      </c>
      <c r="Q23" s="54">
        <v>0.12519878215529326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0.82449973968610035</v>
      </c>
      <c r="F24" s="14">
        <v>0.47049948353147841</v>
      </c>
      <c r="G24" s="14">
        <v>2.7066221943840769E-5</v>
      </c>
      <c r="H24" s="14">
        <v>81.470269143132299</v>
      </c>
      <c r="I24" s="14">
        <v>182.07751681059017</v>
      </c>
      <c r="J24" s="14">
        <v>0</v>
      </c>
      <c r="K24" s="14">
        <v>2.1254008452765829</v>
      </c>
      <c r="L24" s="14">
        <v>0.47049948353147841</v>
      </c>
      <c r="M24" s="14">
        <v>0.38604482623757808</v>
      </c>
      <c r="N24" s="14">
        <v>11.55098160882957</v>
      </c>
      <c r="O24" s="14">
        <v>1871.4900402625672</v>
      </c>
      <c r="P24" s="8">
        <v>11.550981608829572</v>
      </c>
      <c r="Q24" s="54">
        <v>0.27647528970434032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0.95181162955575183</v>
      </c>
      <c r="F25" s="14">
        <v>9.7459496722261229E-4</v>
      </c>
      <c r="G25" s="14">
        <v>2.2933622106549757E-6</v>
      </c>
      <c r="H25" s="14">
        <v>87.54758374938568</v>
      </c>
      <c r="I25" s="14">
        <v>1691.6142507518703</v>
      </c>
      <c r="J25" s="14">
        <v>0</v>
      </c>
      <c r="K25" s="14">
        <v>1026.0672726946113</v>
      </c>
      <c r="L25" s="14">
        <v>9.745949672226124E-4</v>
      </c>
      <c r="M25" s="14">
        <v>7.9965517060615347E-4</v>
      </c>
      <c r="N25" s="14">
        <v>106.30511917591615</v>
      </c>
      <c r="O25" s="14">
        <v>24810.551764467069</v>
      </c>
      <c r="P25" s="8">
        <v>106.30511917591615</v>
      </c>
      <c r="Q25" s="54">
        <v>6.4938362795501178E-2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0.73627034625492405</v>
      </c>
      <c r="F26" s="14">
        <v>0.16730344093084978</v>
      </c>
      <c r="G26" s="14">
        <v>1.8073129517008411E-3</v>
      </c>
      <c r="H26" s="14">
        <v>133.16953190565948</v>
      </c>
      <c r="I26" s="14">
        <v>265.98800000349121</v>
      </c>
      <c r="J26" s="14">
        <v>0</v>
      </c>
      <c r="K26" s="14">
        <v>5.9771633771317481</v>
      </c>
      <c r="L26" s="14">
        <v>0.16730344093084978</v>
      </c>
      <c r="M26" s="14">
        <v>0.13727247328376224</v>
      </c>
      <c r="N26" s="14">
        <v>16.487351181904209</v>
      </c>
      <c r="O26" s="14">
        <v>2113.183800984662</v>
      </c>
      <c r="P26" s="8">
        <v>16.487351181904209</v>
      </c>
      <c r="Q26" s="54">
        <v>0.21770181206925407</v>
      </c>
    </row>
    <row r="27" spans="1:21">
      <c r="A27" s="2" t="s">
        <v>397</v>
      </c>
      <c r="B27" s="16" t="s">
        <v>398</v>
      </c>
      <c r="D27" s="14">
        <v>1</v>
      </c>
      <c r="E27" s="14">
        <v>0.38821907692054297</v>
      </c>
      <c r="F27" s="14">
        <v>1.9698335004332036E-2</v>
      </c>
      <c r="G27" s="14">
        <v>8.1676666946391766E-3</v>
      </c>
      <c r="H27" s="14">
        <v>88.037868474900677</v>
      </c>
      <c r="I27" s="14">
        <v>154.85551964026641</v>
      </c>
      <c r="J27" s="14">
        <v>0</v>
      </c>
      <c r="K27" s="14">
        <v>50.765711913219107</v>
      </c>
      <c r="L27" s="14">
        <v>1.9698335004332039E-2</v>
      </c>
      <c r="M27" s="14">
        <v>1.6162483871054439E-2</v>
      </c>
      <c r="N27" s="14">
        <v>9.5787286181365481</v>
      </c>
      <c r="O27" s="14">
        <v>1738.0603077608764</v>
      </c>
      <c r="P27" s="8">
        <v>9.5787286181365481</v>
      </c>
      <c r="Q27" s="54">
        <v>6.2997989522311934E-2</v>
      </c>
    </row>
    <row r="28" spans="1:21">
      <c r="A28" s="2" t="s">
        <v>399</v>
      </c>
      <c r="B28" s="16" t="s">
        <v>400</v>
      </c>
      <c r="D28" s="14">
        <v>1</v>
      </c>
      <c r="E28" s="14">
        <v>0.21030188962162433</v>
      </c>
      <c r="F28" s="14">
        <v>3.6967024977185708E-2</v>
      </c>
      <c r="G28" s="14">
        <v>1.0767701028937577E-2</v>
      </c>
      <c r="H28" s="14">
        <v>40.728132877545683</v>
      </c>
      <c r="I28" s="14">
        <v>79.423984679612929</v>
      </c>
      <c r="J28" s="14">
        <v>0</v>
      </c>
      <c r="K28" s="14">
        <v>27.051135454290744</v>
      </c>
      <c r="L28" s="14">
        <v>3.6967024977185715E-2</v>
      </c>
      <c r="M28" s="14">
        <v>3.0331443993780877E-2</v>
      </c>
      <c r="N28" s="14">
        <v>4.9163092892375477</v>
      </c>
      <c r="O28" s="14">
        <v>722.69746551791957</v>
      </c>
      <c r="P28" s="8">
        <v>4.9163092892375477</v>
      </c>
      <c r="Q28" s="54">
        <v>5.6983834723997512E-2</v>
      </c>
    </row>
    <row r="29" spans="1:21">
      <c r="A29" s="2" t="s">
        <v>297</v>
      </c>
      <c r="B29" s="16" t="s">
        <v>298</v>
      </c>
      <c r="D29" s="14">
        <v>1</v>
      </c>
      <c r="E29" s="14">
        <v>7.6692434933230705E-2</v>
      </c>
      <c r="F29" s="14">
        <v>7.5338769534744374E-2</v>
      </c>
      <c r="G29" s="14">
        <v>1.3129464417347339E-2</v>
      </c>
      <c r="H29" s="14">
        <v>0.35613817006011067</v>
      </c>
      <c r="I29" s="14">
        <v>1.0377092634239009</v>
      </c>
      <c r="J29" s="14">
        <v>0</v>
      </c>
      <c r="K29" s="14">
        <v>13.273378450106287</v>
      </c>
      <c r="L29" s="14">
        <v>7.5338769534744374E-2</v>
      </c>
      <c r="M29" s="14">
        <v>6.1815460403257763E-2</v>
      </c>
      <c r="N29" s="14">
        <v>0.1294028290557229</v>
      </c>
      <c r="O29" s="14">
        <v>10.990182271702547</v>
      </c>
      <c r="P29" s="8">
        <v>0.12940282905572292</v>
      </c>
      <c r="Q29" s="54">
        <v>6.7775962470745365E-3</v>
      </c>
    </row>
    <row r="30" spans="1:21">
      <c r="A30" s="2" t="s">
        <v>401</v>
      </c>
      <c r="B30" s="16" t="s">
        <v>402</v>
      </c>
      <c r="D30" s="14">
        <v>1</v>
      </c>
      <c r="E30" s="14">
        <v>8.2281309117785043E-2</v>
      </c>
      <c r="F30" s="14">
        <v>1.5368373843032525E-2</v>
      </c>
      <c r="G30" s="14">
        <v>1.2904952313960249E-2</v>
      </c>
      <c r="H30" s="14">
        <v>15.708254046082676</v>
      </c>
      <c r="I30" s="14">
        <v>30.802437651591855</v>
      </c>
      <c r="J30" s="14">
        <v>0</v>
      </c>
      <c r="K30" s="14">
        <v>65.06869303243586</v>
      </c>
      <c r="L30" s="14">
        <v>1.5368373843032525E-2</v>
      </c>
      <c r="M30" s="14">
        <v>1.2609750738208188E-2</v>
      </c>
      <c r="N30" s="14">
        <v>1.9071506805877703</v>
      </c>
      <c r="O30" s="14">
        <v>316.26279736186996</v>
      </c>
      <c r="P30" s="8">
        <v>1.9071506805877705</v>
      </c>
      <c r="Q30" s="54">
        <v>2.278164537176983E-2</v>
      </c>
    </row>
    <row r="31" spans="1:21">
      <c r="A31" s="2" t="s">
        <v>299</v>
      </c>
      <c r="B31" s="16" t="s">
        <v>300</v>
      </c>
      <c r="D31" s="14">
        <v>1</v>
      </c>
      <c r="E31" s="14">
        <v>1.6912114925180331E-3</v>
      </c>
      <c r="F31" s="14">
        <v>5.779174483555962E-4</v>
      </c>
      <c r="G31" s="14">
        <v>1.4256545171677111E-2</v>
      </c>
      <c r="H31" s="14">
        <v>0.25881283309409453</v>
      </c>
      <c r="I31" s="14">
        <v>0.53931559364432635</v>
      </c>
      <c r="J31" s="14">
        <v>0</v>
      </c>
      <c r="K31" s="14">
        <v>1730.3509399922007</v>
      </c>
      <c r="L31" s="14">
        <v>5.779174483555962E-4</v>
      </c>
      <c r="M31" s="14">
        <v>4.7418126637576672E-4</v>
      </c>
      <c r="N31" s="14">
        <v>3.3584764815949741E-2</v>
      </c>
      <c r="O31" s="14">
        <v>2.7586525819821115</v>
      </c>
      <c r="P31" s="8">
        <v>3.3584764815949741E-2</v>
      </c>
      <c r="Q31" s="54">
        <v>5.5724089047506171E-4</v>
      </c>
    </row>
    <row r="32" spans="1:21">
      <c r="A32" s="2" t="s">
        <v>343</v>
      </c>
      <c r="B32" s="16" t="s">
        <v>344</v>
      </c>
      <c r="D32" s="14">
        <v>1</v>
      </c>
      <c r="E32" s="14">
        <v>0.85422606447625093</v>
      </c>
      <c r="F32" s="14">
        <v>0.67536981630231097</v>
      </c>
      <c r="G32" s="14">
        <v>2.61150062965872E-5</v>
      </c>
      <c r="H32" s="14">
        <v>40.913030269628997</v>
      </c>
      <c r="I32" s="14">
        <v>98.791326750395285</v>
      </c>
      <c r="J32" s="14">
        <v>0</v>
      </c>
      <c r="K32" s="14">
        <v>1.4806702577782616</v>
      </c>
      <c r="L32" s="14">
        <v>0.67536981630231097</v>
      </c>
      <c r="M32" s="14">
        <v>0.55414093427604616</v>
      </c>
      <c r="N32" s="14">
        <v>6.620257853584393</v>
      </c>
      <c r="O32" s="14">
        <v>1087.0463395585573</v>
      </c>
      <c r="P32" s="8">
        <v>6.620257853584393</v>
      </c>
      <c r="Q32" s="54">
        <v>0.22957194725317948</v>
      </c>
    </row>
    <row r="33" spans="1:17">
      <c r="A33" s="2" t="s">
        <v>345</v>
      </c>
      <c r="B33" s="16" t="s">
        <v>346</v>
      </c>
      <c r="D33" s="14">
        <v>1</v>
      </c>
      <c r="E33" s="14">
        <v>0.89553359096698082</v>
      </c>
      <c r="F33" s="14">
        <v>0.81486215716287536</v>
      </c>
      <c r="G33" s="14">
        <v>1.0619220458312895E-6</v>
      </c>
      <c r="H33" s="14">
        <v>18.615047523644154</v>
      </c>
      <c r="I33" s="14">
        <v>48.297129553683128</v>
      </c>
      <c r="J33" s="14">
        <v>0</v>
      </c>
      <c r="K33" s="14">
        <v>1.2272014244491649</v>
      </c>
      <c r="L33" s="14">
        <v>0.81486215716287547</v>
      </c>
      <c r="M33" s="14">
        <v>0.66859439995213932</v>
      </c>
      <c r="N33" s="14">
        <v>3.6566807131636119</v>
      </c>
      <c r="O33" s="14">
        <v>552.74385660181156</v>
      </c>
      <c r="P33" s="8">
        <v>3.6566807131636119</v>
      </c>
      <c r="Q33" s="54">
        <v>0.16661777094382305</v>
      </c>
    </row>
    <row r="34" spans="1:17">
      <c r="A34" s="2" t="s">
        <v>347</v>
      </c>
      <c r="B34" s="16" t="s">
        <v>348</v>
      </c>
      <c r="D34" s="14">
        <v>1</v>
      </c>
      <c r="E34" s="14">
        <v>0.83830999851224697</v>
      </c>
      <c r="F34" s="14">
        <v>0.21318936902389271</v>
      </c>
      <c r="G34" s="14">
        <v>9.8159882961619332E-7</v>
      </c>
      <c r="H34" s="14">
        <v>146.05133942690566</v>
      </c>
      <c r="I34" s="14">
        <v>294.95972180245292</v>
      </c>
      <c r="J34" s="14">
        <v>0</v>
      </c>
      <c r="K34" s="14">
        <v>4.6906654144087607</v>
      </c>
      <c r="L34" s="14">
        <v>0.21318936902389271</v>
      </c>
      <c r="M34" s="14">
        <v>0.17492187728410399</v>
      </c>
      <c r="N34" s="14">
        <v>18.29963742964916</v>
      </c>
      <c r="O34" s="14">
        <v>3225.3110969756644</v>
      </c>
      <c r="P34" s="8">
        <v>18.29963742964916</v>
      </c>
      <c r="Q34" s="54">
        <v>0.25654450391936734</v>
      </c>
    </row>
    <row r="35" spans="1:17">
      <c r="A35" s="2" t="s">
        <v>349</v>
      </c>
      <c r="B35" s="16" t="s">
        <v>350</v>
      </c>
      <c r="D35" s="14">
        <v>1</v>
      </c>
      <c r="E35" s="14">
        <v>0.919662880497783</v>
      </c>
      <c r="F35" s="14">
        <v>2.2833560738916507E-2</v>
      </c>
      <c r="G35" s="14">
        <v>1.6145151689930128E-4</v>
      </c>
      <c r="H35" s="14">
        <v>216.07953771907879</v>
      </c>
      <c r="I35" s="14">
        <v>359.64233842432668</v>
      </c>
      <c r="J35" s="14">
        <v>0</v>
      </c>
      <c r="K35" s="14">
        <v>43.795184265572928</v>
      </c>
      <c r="L35" s="14">
        <v>2.2833560738916507E-2</v>
      </c>
      <c r="M35" s="14">
        <v>1.8734936586280997E-2</v>
      </c>
      <c r="N35" s="14">
        <v>22.27543100730216</v>
      </c>
      <c r="O35" s="14">
        <v>4283.5653827042061</v>
      </c>
      <c r="P35" s="8">
        <v>22.275431007302164</v>
      </c>
      <c r="Q35" s="54">
        <v>0.1079619730380075</v>
      </c>
    </row>
    <row r="36" spans="1:17">
      <c r="A36" s="2" t="s">
        <v>351</v>
      </c>
      <c r="B36" s="16" t="s">
        <v>352</v>
      </c>
      <c r="D36" s="14">
        <v>1</v>
      </c>
      <c r="E36" s="14">
        <v>0.94266645223131207</v>
      </c>
      <c r="F36" s="14">
        <v>4.9945547063313545E-3</v>
      </c>
      <c r="G36" s="14">
        <v>4.3043270475549683E-6</v>
      </c>
      <c r="H36" s="14">
        <v>182.33782682653231</v>
      </c>
      <c r="I36" s="14">
        <v>779.35252208046438</v>
      </c>
      <c r="J36" s="14">
        <v>0</v>
      </c>
      <c r="K36" s="14">
        <v>200.21804921514797</v>
      </c>
      <c r="L36" s="14">
        <v>4.9945547063313545E-3</v>
      </c>
      <c r="M36" s="14">
        <v>4.0980321365448767E-3</v>
      </c>
      <c r="N36" s="14">
        <v>48.592621429933338</v>
      </c>
      <c r="O36" s="14">
        <v>10805.541227374275</v>
      </c>
      <c r="P36" s="8">
        <v>48.592621429933338</v>
      </c>
      <c r="Q36" s="54">
        <v>8.5809218200422158E-2</v>
      </c>
    </row>
    <row r="37" spans="1:17">
      <c r="A37" s="2" t="s">
        <v>353</v>
      </c>
      <c r="B37" s="16" t="s">
        <v>354</v>
      </c>
      <c r="D37" s="14">
        <v>1</v>
      </c>
      <c r="E37" s="14">
        <v>0.95235482874772848</v>
      </c>
      <c r="F37" s="14">
        <v>7.6430581113678725E-4</v>
      </c>
      <c r="G37" s="14">
        <v>2.9221038690282366E-5</v>
      </c>
      <c r="H37" s="14">
        <v>76.8364270425771</v>
      </c>
      <c r="I37" s="14">
        <v>1792.7689936835854</v>
      </c>
      <c r="J37" s="14">
        <v>0</v>
      </c>
      <c r="K37" s="14">
        <v>1308.3768112565492</v>
      </c>
      <c r="L37" s="14">
        <v>7.6430581113678725E-4</v>
      </c>
      <c r="M37" s="14">
        <v>6.2711291803773392E-4</v>
      </c>
      <c r="N37" s="14">
        <v>112.77470456343256</v>
      </c>
      <c r="O37" s="14">
        <v>26658.812411749823</v>
      </c>
      <c r="P37" s="8">
        <v>112.77470456343258</v>
      </c>
      <c r="Q37" s="54">
        <v>6.0328750759218397E-2</v>
      </c>
    </row>
    <row r="38" spans="1:17">
      <c r="A38" s="2" t="s">
        <v>355</v>
      </c>
      <c r="B38" s="16" t="s">
        <v>356</v>
      </c>
      <c r="D38" s="14">
        <v>1</v>
      </c>
      <c r="E38" s="14">
        <v>0.94377971658256854</v>
      </c>
      <c r="F38" s="14">
        <v>2.7544170875043747E-3</v>
      </c>
      <c r="G38" s="14">
        <v>1.6142031542552053E-6</v>
      </c>
      <c r="H38" s="14">
        <v>144.65375238401018</v>
      </c>
      <c r="I38" s="14">
        <v>1137.0691445440434</v>
      </c>
      <c r="J38" s="14">
        <v>0</v>
      </c>
      <c r="K38" s="14">
        <v>363.05322259892193</v>
      </c>
      <c r="L38" s="14">
        <v>2.7544170875043747E-3</v>
      </c>
      <c r="M38" s="14">
        <v>2.2599992202973398E-3</v>
      </c>
      <c r="N38" s="14">
        <v>71.119101057485736</v>
      </c>
      <c r="O38" s="14">
        <v>18377.175713254313</v>
      </c>
      <c r="P38" s="8">
        <v>71.119101057485736</v>
      </c>
      <c r="Q38" s="54">
        <v>8.180632339617544E-2</v>
      </c>
    </row>
    <row r="39" spans="1:17">
      <c r="A39" s="2" t="s">
        <v>357</v>
      </c>
      <c r="B39" s="16" t="s">
        <v>358</v>
      </c>
      <c r="D39" s="14">
        <v>1</v>
      </c>
      <c r="E39" s="14">
        <v>0.92122480964584919</v>
      </c>
      <c r="F39" s="14">
        <v>4.1533605179200489E-3</v>
      </c>
      <c r="G39" s="14">
        <v>3.2698521639163217E-4</v>
      </c>
      <c r="H39" s="14">
        <v>168.22852230314484</v>
      </c>
      <c r="I39" s="14">
        <v>855.7694939925982</v>
      </c>
      <c r="J39" s="14">
        <v>0</v>
      </c>
      <c r="K39" s="14">
        <v>240.76888959805191</v>
      </c>
      <c r="L39" s="14">
        <v>4.1533605179200489E-3</v>
      </c>
      <c r="M39" s="14">
        <v>3.4078323049534006E-3</v>
      </c>
      <c r="N39" s="14">
        <v>53.404655705668922</v>
      </c>
      <c r="O39" s="14">
        <v>12624.326562263075</v>
      </c>
      <c r="P39" s="8">
        <v>53.404655705668922</v>
      </c>
      <c r="Q39" s="54">
        <v>8.3436638891743631E-2</v>
      </c>
    </row>
    <row r="40" spans="1:17">
      <c r="A40" s="2" t="s">
        <v>359</v>
      </c>
      <c r="B40" s="16" t="s">
        <v>360</v>
      </c>
      <c r="D40" s="14">
        <v>1</v>
      </c>
      <c r="E40" s="14">
        <v>0.94377971658256854</v>
      </c>
      <c r="F40" s="14">
        <v>2.7544170875043747E-3</v>
      </c>
      <c r="G40" s="14">
        <v>1.6142031542552053E-6</v>
      </c>
      <c r="H40" s="14">
        <v>144.65375238401018</v>
      </c>
      <c r="I40" s="14">
        <v>1137.0691445440434</v>
      </c>
      <c r="J40" s="14">
        <v>0</v>
      </c>
      <c r="K40" s="14">
        <v>363.05322259892193</v>
      </c>
      <c r="L40" s="14">
        <v>2.7544170875043747E-3</v>
      </c>
      <c r="M40" s="14">
        <v>2.2599992202973398E-3</v>
      </c>
      <c r="N40" s="14">
        <v>71.119101057485736</v>
      </c>
      <c r="O40" s="14">
        <v>18377.175713254313</v>
      </c>
      <c r="P40" s="8">
        <v>71.119101057485736</v>
      </c>
      <c r="Q40" s="54">
        <v>8.180632339617544E-2</v>
      </c>
    </row>
    <row r="41" spans="1:17">
      <c r="A41" s="2" t="s">
        <v>313</v>
      </c>
      <c r="B41" s="16" t="s">
        <v>314</v>
      </c>
      <c r="D41" s="14">
        <v>1</v>
      </c>
      <c r="E41" s="14">
        <v>0.99986064319598689</v>
      </c>
      <c r="F41" s="14">
        <v>0.95803882466787027</v>
      </c>
      <c r="G41" s="14">
        <v>6.2361131799209244E-10</v>
      </c>
      <c r="H41" s="14">
        <v>12.945031431889046</v>
      </c>
      <c r="I41" s="14">
        <v>2.8522348009177668E-2</v>
      </c>
      <c r="J41" s="14">
        <v>0</v>
      </c>
      <c r="K41" s="14">
        <v>1.043799034289322</v>
      </c>
      <c r="L41" s="14">
        <v>0.95803882466787027</v>
      </c>
      <c r="M41" s="14">
        <v>0.78607085563998758</v>
      </c>
      <c r="N41" s="14">
        <v>0.90334377524408571</v>
      </c>
      <c r="O41" s="14">
        <v>166.31462246018864</v>
      </c>
      <c r="P41" s="8">
        <v>0.90334377524408582</v>
      </c>
      <c r="Q41" s="54">
        <v>1.2172653912569532E-4</v>
      </c>
    </row>
    <row r="42" spans="1:17">
      <c r="A42" s="2" t="s">
        <v>315</v>
      </c>
      <c r="B42" s="16" t="s">
        <v>316</v>
      </c>
      <c r="D42" s="14">
        <v>1</v>
      </c>
      <c r="E42" s="14">
        <v>0.9524181710001246</v>
      </c>
      <c r="F42" s="14">
        <v>6.9461921075207708E-4</v>
      </c>
      <c r="G42" s="14">
        <v>4.2118731009653335E-5</v>
      </c>
      <c r="H42" s="14">
        <v>72.920021866738239</v>
      </c>
      <c r="I42" s="14">
        <v>1829.3801440972943</v>
      </c>
      <c r="J42" s="14">
        <v>0</v>
      </c>
      <c r="K42" s="14">
        <v>1439.637695763239</v>
      </c>
      <c r="L42" s="14">
        <v>6.9461921075207708E-4</v>
      </c>
      <c r="M42" s="14">
        <v>5.6993506242207926E-4</v>
      </c>
      <c r="N42" s="14">
        <v>115.12211213861923</v>
      </c>
      <c r="O42" s="14">
        <v>42009.209940503548</v>
      </c>
      <c r="P42" s="8">
        <v>115.12211213861924</v>
      </c>
      <c r="Q42" s="54">
        <v>5.8519951967193895E-2</v>
      </c>
    </row>
    <row r="43" spans="1:17">
      <c r="A43" s="2" t="s">
        <v>317</v>
      </c>
      <c r="B43" s="16" t="s">
        <v>318</v>
      </c>
      <c r="D43" s="14">
        <v>1</v>
      </c>
      <c r="E43" s="14">
        <v>0.82434271937289971</v>
      </c>
      <c r="F43" s="14">
        <v>0.440132961646931</v>
      </c>
      <c r="G43" s="14">
        <v>6.0787233961706664E-14</v>
      </c>
      <c r="H43" s="14">
        <v>88.549047546690218</v>
      </c>
      <c r="I43" s="14">
        <v>195.72263993520559</v>
      </c>
      <c r="J43" s="14">
        <v>0</v>
      </c>
      <c r="K43" s="14">
        <v>2.2720406948348195</v>
      </c>
      <c r="L43" s="14">
        <v>0.440132961646931</v>
      </c>
      <c r="M43" s="14">
        <v>0.36112909503130691</v>
      </c>
      <c r="N43" s="14">
        <v>12.363850440116185</v>
      </c>
      <c r="O43" s="14">
        <v>3923.2970216576678</v>
      </c>
      <c r="P43" s="8">
        <v>12.363850440116186</v>
      </c>
      <c r="Q43" s="54">
        <v>0.27966689774725934</v>
      </c>
    </row>
    <row r="44" spans="1:17">
      <c r="A44" s="2" t="s">
        <v>307</v>
      </c>
      <c r="B44" s="16" t="s">
        <v>308</v>
      </c>
      <c r="D44" s="14">
        <v>1</v>
      </c>
      <c r="E44" s="14">
        <v>0.94468884461077374</v>
      </c>
      <c r="F44" s="14">
        <v>7.460996380978688E-3</v>
      </c>
      <c r="G44" s="14">
        <v>1.4331291081864597E-6</v>
      </c>
      <c r="H44" s="14">
        <v>206.46993893381952</v>
      </c>
      <c r="I44" s="14">
        <v>554.77131850877868</v>
      </c>
      <c r="J44" s="14">
        <v>0</v>
      </c>
      <c r="K44" s="14">
        <v>134.0303558582917</v>
      </c>
      <c r="L44" s="14">
        <v>7.460996380978688E-3</v>
      </c>
      <c r="M44" s="14">
        <v>6.1217475305930134E-3</v>
      </c>
      <c r="N44" s="14">
        <v>34.509823561815708</v>
      </c>
      <c r="O44" s="14">
        <v>12098.799042536968</v>
      </c>
      <c r="P44" s="8">
        <v>34.509823561815708</v>
      </c>
      <c r="Q44" s="54">
        <v>8.4472237923721633E-2</v>
      </c>
    </row>
    <row r="45" spans="1:17">
      <c r="A45" s="2" t="s">
        <v>319</v>
      </c>
      <c r="B45" s="16" t="s">
        <v>320</v>
      </c>
      <c r="D45" s="14">
        <v>1</v>
      </c>
      <c r="E45" s="14">
        <v>0.96291457199995656</v>
      </c>
      <c r="F45" s="14">
        <v>3.0914440550912066E-4</v>
      </c>
      <c r="G45" s="14">
        <v>1.365682924364983E-7</v>
      </c>
      <c r="H45" s="14">
        <v>46.282988282945972</v>
      </c>
      <c r="I45" s="14">
        <v>2104.6435968112646</v>
      </c>
      <c r="J45" s="14">
        <v>0</v>
      </c>
      <c r="K45" s="14">
        <v>3234.734260686781</v>
      </c>
      <c r="L45" s="14">
        <v>3.0914440550912071E-4</v>
      </c>
      <c r="M45" s="14">
        <v>2.5365298472023351E-4</v>
      </c>
      <c r="N45" s="14">
        <v>132.86542355576469</v>
      </c>
      <c r="O45" s="14">
        <v>47099.463996283033</v>
      </c>
      <c r="P45" s="8">
        <v>132.86542355576472</v>
      </c>
      <c r="Q45" s="54">
        <v>4.4440461713071096E-2</v>
      </c>
    </row>
    <row r="46" spans="1:17">
      <c r="A46" s="2" t="s">
        <v>321</v>
      </c>
      <c r="B46" s="16" t="s">
        <v>322</v>
      </c>
      <c r="D46" s="14">
        <v>1</v>
      </c>
      <c r="E46" s="14">
        <v>0.95634644642964961</v>
      </c>
      <c r="F46" s="14">
        <v>6.2098254582807942E-4</v>
      </c>
      <c r="G46" s="14">
        <v>2.0238013495100799E-7</v>
      </c>
      <c r="H46" s="14">
        <v>68.665627543651027</v>
      </c>
      <c r="I46" s="14">
        <v>1879.3019494015689</v>
      </c>
      <c r="J46" s="14">
        <v>0</v>
      </c>
      <c r="K46" s="14">
        <v>1610.351219560449</v>
      </c>
      <c r="L46" s="14">
        <v>6.2098254582807942E-4</v>
      </c>
      <c r="M46" s="14">
        <v>5.0951617885193912E-4</v>
      </c>
      <c r="N46" s="14">
        <v>118.31844940182779</v>
      </c>
      <c r="O46" s="14">
        <v>41942.707128453934</v>
      </c>
      <c r="P46" s="8">
        <v>118.31844940182779</v>
      </c>
      <c r="Q46" s="54">
        <v>5.6571352804441158E-2</v>
      </c>
    </row>
    <row r="47" spans="1:17">
      <c r="A47" s="2" t="s">
        <v>323</v>
      </c>
      <c r="B47" s="16" t="s">
        <v>324</v>
      </c>
      <c r="D47" s="14">
        <v>1</v>
      </c>
      <c r="E47" s="14">
        <v>0.94854916597981809</v>
      </c>
      <c r="F47" s="14">
        <v>1.3912130091361934E-3</v>
      </c>
      <c r="G47" s="14">
        <v>1.9223927404019814E-6</v>
      </c>
      <c r="H47" s="14">
        <v>105.10264125005703</v>
      </c>
      <c r="I47" s="14">
        <v>1519.3953776349363</v>
      </c>
      <c r="J47" s="14">
        <v>0</v>
      </c>
      <c r="K47" s="14">
        <v>718.79718880784606</v>
      </c>
      <c r="L47" s="14">
        <v>1.3912130091361934E-3</v>
      </c>
      <c r="M47" s="14">
        <v>1.1414902739962467E-3</v>
      </c>
      <c r="N47" s="14">
        <v>95.336128343074819</v>
      </c>
      <c r="O47" s="14">
        <v>30511.374514917665</v>
      </c>
      <c r="P47" s="8">
        <v>95.336128343074819</v>
      </c>
      <c r="Q47" s="54">
        <v>7.1428380070941752E-2</v>
      </c>
    </row>
    <row r="48" spans="1:17">
      <c r="A48" s="2" t="s">
        <v>325</v>
      </c>
      <c r="B48" s="16" t="s">
        <v>326</v>
      </c>
      <c r="D48" s="14">
        <v>1</v>
      </c>
      <c r="E48" s="14">
        <v>0.89005674884763275</v>
      </c>
      <c r="F48" s="14">
        <v>6.851661301795911E-2</v>
      </c>
      <c r="G48" s="14">
        <v>1.2953417815750472E-6</v>
      </c>
      <c r="H48" s="14">
        <v>195.23419512162636</v>
      </c>
      <c r="I48" s="14">
        <v>354.98749704719103</v>
      </c>
      <c r="J48" s="14">
        <v>0</v>
      </c>
      <c r="K48" s="14">
        <v>14.595000481677149</v>
      </c>
      <c r="L48" s="14">
        <v>6.851661301795911E-2</v>
      </c>
      <c r="M48" s="14">
        <v>5.6217880981235459E-2</v>
      </c>
      <c r="N48" s="14">
        <v>21.949461172343831</v>
      </c>
      <c r="O48" s="14">
        <v>6680.3185078028455</v>
      </c>
      <c r="P48" s="8">
        <v>21.949461172343835</v>
      </c>
      <c r="Q48" s="54">
        <v>0.17330578391294862</v>
      </c>
    </row>
    <row r="49" spans="1:17">
      <c r="A49" s="2" t="s">
        <v>275</v>
      </c>
      <c r="B49" s="16" t="s">
        <v>276</v>
      </c>
      <c r="D49" s="14">
        <v>1</v>
      </c>
      <c r="E49" s="14">
        <v>0.94429481549467176</v>
      </c>
      <c r="F49" s="14">
        <v>6.9422482826785167E-3</v>
      </c>
      <c r="G49" s="14">
        <v>1.8422502724157238E-8</v>
      </c>
      <c r="H49" s="14">
        <v>202.35788971437921</v>
      </c>
      <c r="I49" s="14">
        <v>593.16745184638546</v>
      </c>
      <c r="J49" s="14">
        <v>0</v>
      </c>
      <c r="K49" s="14">
        <v>144.0455540167128</v>
      </c>
      <c r="L49" s="14">
        <v>6.9422482826785176E-3</v>
      </c>
      <c r="M49" s="14">
        <v>5.6961147159377236E-3</v>
      </c>
      <c r="N49" s="14">
        <v>36.914071655365987</v>
      </c>
      <c r="O49" s="14">
        <v>13676.294407596544</v>
      </c>
      <c r="P49" s="8">
        <v>36.914071655365987</v>
      </c>
      <c r="Q49" s="54">
        <v>8.499185586281896E-2</v>
      </c>
    </row>
    <row r="50" spans="1:17">
      <c r="A50" s="2" t="s">
        <v>327</v>
      </c>
      <c r="B50" s="16" t="s">
        <v>328</v>
      </c>
      <c r="D50" s="14">
        <v>1</v>
      </c>
      <c r="E50" s="14">
        <v>0.9435597814946487</v>
      </c>
      <c r="F50" s="14">
        <v>6.1365883172014874E-3</v>
      </c>
      <c r="G50" s="14">
        <v>9.6023045616265582E-7</v>
      </c>
      <c r="H50" s="14">
        <v>195.05046451402396</v>
      </c>
      <c r="I50" s="14">
        <v>661.00410975579211</v>
      </c>
      <c r="J50" s="14">
        <v>0</v>
      </c>
      <c r="K50" s="14">
        <v>162.95699634875248</v>
      </c>
      <c r="L50" s="14">
        <v>6.1365883172014874E-3</v>
      </c>
      <c r="M50" s="14">
        <v>5.0350707142638208E-3</v>
      </c>
      <c r="N50" s="14">
        <v>41.165374369508591</v>
      </c>
      <c r="O50" s="14">
        <v>15680.302751089517</v>
      </c>
      <c r="P50" s="8">
        <v>41.165374369508591</v>
      </c>
      <c r="Q50" s="54">
        <v>8.5586281868086714E-2</v>
      </c>
    </row>
    <row r="51" spans="1:17">
      <c r="A51" s="2" t="s">
        <v>329</v>
      </c>
      <c r="B51" s="16" t="s">
        <v>330</v>
      </c>
      <c r="D51" s="14">
        <v>1</v>
      </c>
      <c r="E51" s="14">
        <v>0.90904075164374765</v>
      </c>
      <c r="F51" s="14">
        <v>4.2984273599103867E-2</v>
      </c>
      <c r="G51" s="14">
        <v>6.6245758888051256E-7</v>
      </c>
      <c r="H51" s="14">
        <v>207.07591636241287</v>
      </c>
      <c r="I51" s="14">
        <v>362.23195738770772</v>
      </c>
      <c r="J51" s="14">
        <v>0</v>
      </c>
      <c r="K51" s="14">
        <v>23.264322420022186</v>
      </c>
      <c r="L51" s="14">
        <v>4.2984273599103874E-2</v>
      </c>
      <c r="M51" s="14">
        <v>3.5268596488064727E-2</v>
      </c>
      <c r="N51" s="14">
        <v>22.408440508620092</v>
      </c>
      <c r="O51" s="14">
        <v>6148.8760755653529</v>
      </c>
      <c r="P51" s="8">
        <v>22.408440508620092</v>
      </c>
      <c r="Q51" s="54">
        <v>0.14295085678308347</v>
      </c>
    </row>
    <row r="52" spans="1:17">
      <c r="A52" s="2" t="s">
        <v>277</v>
      </c>
      <c r="B52" s="16" t="s">
        <v>278</v>
      </c>
      <c r="D52" s="14">
        <v>1</v>
      </c>
      <c r="E52" s="14">
        <v>0.89189020416523668</v>
      </c>
      <c r="F52" s="14">
        <v>6.5590384850054001E-2</v>
      </c>
      <c r="G52" s="14">
        <v>2.0116326080518025E-6</v>
      </c>
      <c r="H52" s="14">
        <v>196.48082776227182</v>
      </c>
      <c r="I52" s="14">
        <v>355.94045387553882</v>
      </c>
      <c r="J52" s="14">
        <v>0</v>
      </c>
      <c r="K52" s="14">
        <v>15.246137102047763</v>
      </c>
      <c r="L52" s="14">
        <v>6.5590384850054015E-2</v>
      </c>
      <c r="M52" s="14">
        <v>5.3816910769469317E-2</v>
      </c>
      <c r="N52" s="14">
        <v>22.008888896135296</v>
      </c>
      <c r="O52" s="14">
        <v>8956.0771585043367</v>
      </c>
      <c r="P52" s="8">
        <v>22.0088888961353</v>
      </c>
      <c r="Q52" s="54">
        <v>0.17028537492715234</v>
      </c>
    </row>
    <row r="53" spans="1:17">
      <c r="A53" s="2" t="s">
        <v>331</v>
      </c>
      <c r="B53" s="16" t="s">
        <v>332</v>
      </c>
      <c r="D53" s="14">
        <v>1</v>
      </c>
      <c r="E53" s="14">
        <v>0.94277655427169738</v>
      </c>
      <c r="F53" s="14">
        <v>4.0779884469648144E-3</v>
      </c>
      <c r="G53" s="14">
        <v>6.4084718175343561E-7</v>
      </c>
      <c r="H53" s="14">
        <v>169.52197017460142</v>
      </c>
      <c r="I53" s="14">
        <v>900.70621998046443</v>
      </c>
      <c r="J53" s="14">
        <v>0</v>
      </c>
      <c r="K53" s="14">
        <v>245.21893894630452</v>
      </c>
      <c r="L53" s="14">
        <v>4.0779884469648144E-3</v>
      </c>
      <c r="M53" s="14">
        <v>3.3459895207346305E-3</v>
      </c>
      <c r="N53" s="14">
        <v>56.221505228687903</v>
      </c>
      <c r="O53" s="14">
        <v>21415.333556659509</v>
      </c>
      <c r="P53" s="8">
        <v>56.221505228687903</v>
      </c>
      <c r="Q53" s="54">
        <v>8.5188929695314761E-2</v>
      </c>
    </row>
    <row r="54" spans="1:17">
      <c r="A54" s="2" t="s">
        <v>333</v>
      </c>
      <c r="B54" s="16" t="s">
        <v>334</v>
      </c>
      <c r="D54" s="14">
        <v>1</v>
      </c>
      <c r="E54" s="14">
        <v>0.94393682041290605</v>
      </c>
      <c r="F54" s="14">
        <v>6.5303817628012554E-3</v>
      </c>
      <c r="G54" s="14">
        <v>1.0449296640261544E-9</v>
      </c>
      <c r="H54" s="14">
        <v>198.77353927765637</v>
      </c>
      <c r="I54" s="14">
        <v>626.4923055154278</v>
      </c>
      <c r="J54" s="14">
        <v>0</v>
      </c>
      <c r="K54" s="14">
        <v>153.13040436567718</v>
      </c>
      <c r="L54" s="14">
        <v>6.5303817628012554E-3</v>
      </c>
      <c r="M54" s="14">
        <v>5.3581782363784297E-3</v>
      </c>
      <c r="N54" s="14">
        <v>39.001967640905342</v>
      </c>
      <c r="O54" s="14">
        <v>14995.476518575288</v>
      </c>
      <c r="P54" s="8">
        <v>39.001967640905349</v>
      </c>
      <c r="Q54" s="54">
        <v>8.53327499314466E-2</v>
      </c>
    </row>
    <row r="55" spans="1:17">
      <c r="A55" s="2" t="s">
        <v>335</v>
      </c>
      <c r="B55" s="16" t="s">
        <v>336</v>
      </c>
      <c r="D55" s="14">
        <v>1</v>
      </c>
      <c r="E55" s="14">
        <v>0.94804480438004968</v>
      </c>
      <c r="F55" s="14">
        <v>1.4397835504668113E-3</v>
      </c>
      <c r="G55" s="14">
        <v>4.996037564654452E-6</v>
      </c>
      <c r="H55" s="14">
        <v>106.90480051076241</v>
      </c>
      <c r="I55" s="14">
        <v>1501.2546935913404</v>
      </c>
      <c r="J55" s="14">
        <v>0</v>
      </c>
      <c r="K55" s="14">
        <v>694.54884359234177</v>
      </c>
      <c r="L55" s="14">
        <v>1.4397835504668115E-3</v>
      </c>
      <c r="M55" s="14">
        <v>1.1813424031580188E-3</v>
      </c>
      <c r="N55" s="14">
        <v>94.183461078749914</v>
      </c>
      <c r="O55" s="14">
        <v>35160.569689918921</v>
      </c>
      <c r="P55" s="8">
        <v>94.183461078749914</v>
      </c>
      <c r="Q55" s="54">
        <v>7.2020209143859135E-2</v>
      </c>
    </row>
    <row r="56" spans="1:17">
      <c r="A56" s="2" t="s">
        <v>337</v>
      </c>
      <c r="B56" s="16" t="s">
        <v>338</v>
      </c>
      <c r="D56" s="14">
        <v>1</v>
      </c>
      <c r="E56" s="14">
        <v>0.94459012397712627</v>
      </c>
      <c r="F56" s="14">
        <v>7.2852773852928026E-3</v>
      </c>
      <c r="G56" s="14">
        <v>3.6817524099982789E-7</v>
      </c>
      <c r="H56" s="14">
        <v>205.12854148056348</v>
      </c>
      <c r="I56" s="14">
        <v>567.39207150520417</v>
      </c>
      <c r="J56" s="14">
        <v>0</v>
      </c>
      <c r="K56" s="14">
        <v>137.26313318127816</v>
      </c>
      <c r="L56" s="14">
        <v>7.2852773852928026E-3</v>
      </c>
      <c r="M56" s="14">
        <v>5.977570094632745E-3</v>
      </c>
      <c r="N56" s="14">
        <v>35.299924728218514</v>
      </c>
      <c r="O56" s="14">
        <v>13742.966695190031</v>
      </c>
      <c r="P56" s="8">
        <v>35.299924728218514</v>
      </c>
      <c r="Q56" s="54">
        <v>8.4660974440045417E-2</v>
      </c>
    </row>
    <row r="57" spans="1:17">
      <c r="A57" s="2" t="s">
        <v>279</v>
      </c>
      <c r="B57" s="16" t="s">
        <v>280</v>
      </c>
      <c r="D57" s="14">
        <v>1</v>
      </c>
      <c r="E57" s="14">
        <v>0.87912925483111581</v>
      </c>
      <c r="F57" s="14">
        <v>8.2940774345397678E-2</v>
      </c>
      <c r="G57" s="14">
        <v>3.9338389253512264E-5</v>
      </c>
      <c r="H57" s="14">
        <v>188.70703269937127</v>
      </c>
      <c r="I57" s="14">
        <v>348.85524460778475</v>
      </c>
      <c r="J57" s="14">
        <v>0</v>
      </c>
      <c r="K57" s="14">
        <v>12.056796043832563</v>
      </c>
      <c r="L57" s="14">
        <v>8.2940774345397678E-2</v>
      </c>
      <c r="M57" s="14">
        <v>6.805290535039879E-2</v>
      </c>
      <c r="N57" s="14">
        <v>21.569756756455941</v>
      </c>
      <c r="O57" s="14">
        <v>6273.1323574800808</v>
      </c>
      <c r="P57" s="8">
        <v>21.569756756455941</v>
      </c>
      <c r="Q57" s="54">
        <v>0.18657147991709844</v>
      </c>
    </row>
    <row r="58" spans="1:17">
      <c r="A58" s="2" t="s">
        <v>339</v>
      </c>
      <c r="B58" s="16" t="s">
        <v>340</v>
      </c>
      <c r="D58" s="14">
        <v>1</v>
      </c>
      <c r="E58" s="14">
        <v>0.94387019918052528</v>
      </c>
      <c r="F58" s="14">
        <v>6.450243105576528E-3</v>
      </c>
      <c r="G58" s="14">
        <v>3.6625585063550725E-9</v>
      </c>
      <c r="H58" s="14">
        <v>198.04144351686492</v>
      </c>
      <c r="I58" s="14">
        <v>633.30549166561536</v>
      </c>
      <c r="J58" s="14">
        <v>0</v>
      </c>
      <c r="K58" s="14">
        <v>155.03291637728424</v>
      </c>
      <c r="L58" s="14">
        <v>6.450243105576528E-3</v>
      </c>
      <c r="M58" s="14">
        <v>5.2924244681255414E-3</v>
      </c>
      <c r="N58" s="14">
        <v>39.428965304814248</v>
      </c>
      <c r="O58" s="14">
        <v>13628.621857609043</v>
      </c>
      <c r="P58" s="8">
        <v>39.428965304814248</v>
      </c>
      <c r="Q58" s="54">
        <v>8.53912269904675E-2</v>
      </c>
    </row>
    <row r="59" spans="1:17">
      <c r="A59" s="2" t="s">
        <v>281</v>
      </c>
      <c r="B59" s="16" t="s">
        <v>282</v>
      </c>
      <c r="D59" s="14">
        <v>1</v>
      </c>
      <c r="E59" s="14">
        <v>0.89199679883385519</v>
      </c>
      <c r="F59" s="14">
        <v>6.5598223915114925E-2</v>
      </c>
      <c r="G59" s="14">
        <v>3.0450930538462404E-7</v>
      </c>
      <c r="H59" s="14">
        <v>196.50431025891478</v>
      </c>
      <c r="I59" s="14">
        <v>355.98299426285513</v>
      </c>
      <c r="J59" s="14">
        <v>0</v>
      </c>
      <c r="K59" s="14">
        <v>15.244315170697528</v>
      </c>
      <c r="L59" s="14">
        <v>6.5598223915114939E-2</v>
      </c>
      <c r="M59" s="14">
        <v>5.3823342722351807E-2</v>
      </c>
      <c r="N59" s="14">
        <v>22.011519298630571</v>
      </c>
      <c r="O59" s="14">
        <v>6411.0751109191397</v>
      </c>
      <c r="P59" s="8">
        <v>22.011519298630571</v>
      </c>
      <c r="Q59" s="54">
        <v>0.17030572666218222</v>
      </c>
    </row>
    <row r="60" spans="1:17">
      <c r="A60" s="2" t="s">
        <v>341</v>
      </c>
      <c r="B60" s="16" t="s">
        <v>342</v>
      </c>
      <c r="D60" s="14">
        <v>1</v>
      </c>
      <c r="E60" s="14">
        <v>0.94248351241760819</v>
      </c>
      <c r="F60" s="14">
        <v>4.6103258267696625E-3</v>
      </c>
      <c r="G60" s="14">
        <v>5.364140038088314E-6</v>
      </c>
      <c r="H60" s="14">
        <v>177.28484805382467</v>
      </c>
      <c r="I60" s="14">
        <v>826.6635528749074</v>
      </c>
      <c r="J60" s="14">
        <v>0</v>
      </c>
      <c r="K60" s="14">
        <v>216.90440927049931</v>
      </c>
      <c r="L60" s="14">
        <v>4.6103258267696625E-3</v>
      </c>
      <c r="M60" s="14">
        <v>3.7827723408645083E-3</v>
      </c>
      <c r="N60" s="14">
        <v>51.565319800014329</v>
      </c>
      <c r="O60" s="14">
        <v>17288.820422548804</v>
      </c>
      <c r="P60" s="8">
        <v>51.565319800014329</v>
      </c>
      <c r="Q60" s="54">
        <v>8.5650280629959386E-2</v>
      </c>
    </row>
    <row r="61" spans="1:17">
      <c r="A61" s="2" t="s">
        <v>483</v>
      </c>
      <c r="B61" s="16" t="s">
        <v>484</v>
      </c>
      <c r="D61" s="14">
        <v>1</v>
      </c>
      <c r="E61" s="14">
        <v>0.90369839457309153</v>
      </c>
      <c r="F61" s="14">
        <v>0.31509075900678996</v>
      </c>
      <c r="G61" s="14">
        <v>9.6064669053908954E-16</v>
      </c>
      <c r="H61" s="14">
        <v>143.70040659489192</v>
      </c>
      <c r="I61" s="14">
        <v>221.68546004669929</v>
      </c>
      <c r="J61" s="14">
        <v>0</v>
      </c>
      <c r="K61" s="14">
        <v>3.1736887592392091</v>
      </c>
      <c r="L61" s="14">
        <v>0.31509075900679001</v>
      </c>
      <c r="M61" s="14">
        <v>0.2585319677650712</v>
      </c>
      <c r="N61" s="14">
        <v>39.39039347995012</v>
      </c>
      <c r="O61" s="14">
        <v>18353.953841982759</v>
      </c>
      <c r="P61" s="8">
        <v>39.39039347995012</v>
      </c>
      <c r="Q61" s="54">
        <v>0.14967084461319155</v>
      </c>
    </row>
    <row r="62" spans="1:17">
      <c r="A62" s="2" t="s">
        <v>485</v>
      </c>
      <c r="B62" s="16" t="s">
        <v>486</v>
      </c>
      <c r="D62" s="14">
        <v>1</v>
      </c>
      <c r="E62" s="14">
        <v>0.83559466726714637</v>
      </c>
      <c r="F62" s="14">
        <v>0.22853711604887897</v>
      </c>
      <c r="G62" s="14">
        <v>2.7918059617182645E-9</v>
      </c>
      <c r="H62" s="14">
        <v>141.66310047230891</v>
      </c>
      <c r="I62" s="14">
        <v>288.21323055184376</v>
      </c>
      <c r="J62" s="14">
        <v>0</v>
      </c>
      <c r="K62" s="14">
        <v>4.3756568617332263</v>
      </c>
      <c r="L62" s="14">
        <v>0.22853711604887897</v>
      </c>
      <c r="M62" s="14">
        <v>0.18751470371810519</v>
      </c>
      <c r="N62" s="14">
        <v>17.893756868783711</v>
      </c>
      <c r="O62" s="14">
        <v>5804.5557906647473</v>
      </c>
      <c r="P62" s="8">
        <v>17.893756868783711</v>
      </c>
      <c r="Q62" s="54">
        <v>0.26104411892099422</v>
      </c>
    </row>
    <row r="63" spans="1:17">
      <c r="A63" s="2" t="s">
        <v>487</v>
      </c>
      <c r="B63" s="16" t="s">
        <v>488</v>
      </c>
      <c r="D63" s="14">
        <v>1</v>
      </c>
      <c r="E63" s="14">
        <v>0.98229970530516686</v>
      </c>
      <c r="F63" s="14">
        <v>0.94898689868832697</v>
      </c>
      <c r="G63" s="14">
        <v>8.1458051853685233E-15</v>
      </c>
      <c r="H63" s="14">
        <v>9.2934191977364087</v>
      </c>
      <c r="I63" s="14">
        <v>11.353607993080601</v>
      </c>
      <c r="J63" s="14">
        <v>0</v>
      </c>
      <c r="K63" s="14">
        <v>1.0537553272676181</v>
      </c>
      <c r="L63" s="14">
        <v>0.94898689868832697</v>
      </c>
      <c r="M63" s="14">
        <v>0.77864375037377231</v>
      </c>
      <c r="N63" s="14">
        <v>5.8050871523576077</v>
      </c>
      <c r="O63" s="14">
        <v>2563.2942829950252</v>
      </c>
      <c r="P63" s="8">
        <v>5.8050871523576077</v>
      </c>
      <c r="Q63" s="54">
        <v>2.7670301749756387E-2</v>
      </c>
    </row>
    <row r="64" spans="1:17">
      <c r="A64" s="2" t="s">
        <v>489</v>
      </c>
      <c r="B64" s="16" t="s">
        <v>490</v>
      </c>
      <c r="D64" s="14">
        <v>1</v>
      </c>
      <c r="E64" s="14">
        <v>0.99809961388257196</v>
      </c>
      <c r="F64" s="14">
        <v>0.98961369607422778</v>
      </c>
      <c r="G64" s="14">
        <v>1.4689935727152101E-16</v>
      </c>
      <c r="H64" s="14">
        <v>3.4653387680696563</v>
      </c>
      <c r="I64" s="14">
        <v>0.39836820932541955</v>
      </c>
      <c r="J64" s="14">
        <v>0</v>
      </c>
      <c r="K64" s="14">
        <v>1.0104953114199757</v>
      </c>
      <c r="L64" s="14">
        <v>0.98961369607422778</v>
      </c>
      <c r="M64" s="14">
        <v>0.81197803762890397</v>
      </c>
      <c r="N64" s="14">
        <v>0.9142440430549873</v>
      </c>
      <c r="O64" s="14">
        <v>367.00498620356359</v>
      </c>
      <c r="P64" s="8">
        <v>0.91424404305498741</v>
      </c>
      <c r="Q64" s="54">
        <v>2.9382224550458884E-3</v>
      </c>
    </row>
    <row r="65" spans="1:17">
      <c r="A65" s="2" t="s">
        <v>491</v>
      </c>
      <c r="B65" s="16" t="s">
        <v>492</v>
      </c>
      <c r="D65" s="14">
        <v>1</v>
      </c>
      <c r="E65" s="14">
        <v>0.99909114931849674</v>
      </c>
      <c r="F65" s="14">
        <v>1.0013274522309461</v>
      </c>
      <c r="G65" s="14">
        <v>2.4465747104923963E-14</v>
      </c>
      <c r="H65" s="14">
        <v>0.45369294786107406</v>
      </c>
      <c r="I65" s="14">
        <v>0.18683884098228781</v>
      </c>
      <c r="J65" s="14">
        <v>0</v>
      </c>
      <c r="K65" s="14">
        <v>0.99867430756243747</v>
      </c>
      <c r="L65" s="14">
        <v>1.0013274522309463</v>
      </c>
      <c r="M65" s="14">
        <v>0.82158917455549141</v>
      </c>
      <c r="N65" s="14">
        <v>1.2931873145951136</v>
      </c>
      <c r="O65" s="14">
        <v>358.6784335761007</v>
      </c>
      <c r="P65" s="8">
        <v>1.2931873145951136</v>
      </c>
      <c r="Q65" s="54">
        <v>1.3093241084303868E-3</v>
      </c>
    </row>
    <row r="66" spans="1:17">
      <c r="A66" s="2" t="s">
        <v>493</v>
      </c>
      <c r="B66" s="16" t="s">
        <v>494</v>
      </c>
      <c r="D66" s="14">
        <v>1</v>
      </c>
      <c r="E66" s="14">
        <v>0.98989031355503188</v>
      </c>
      <c r="F66" s="14">
        <v>0.78435737751466605</v>
      </c>
      <c r="G66" s="14">
        <v>3.2372121315962262E-13</v>
      </c>
      <c r="H66" s="14">
        <v>57.836181720396993</v>
      </c>
      <c r="I66" s="14">
        <v>13.42066598901099</v>
      </c>
      <c r="J66" s="14">
        <v>0</v>
      </c>
      <c r="K66" s="14">
        <v>1.2749290421269759</v>
      </c>
      <c r="L66" s="14">
        <v>0.78435737751466605</v>
      </c>
      <c r="M66" s="14">
        <v>0.64356522825078355</v>
      </c>
      <c r="N66" s="14">
        <v>38.821142992246564</v>
      </c>
      <c r="O66" s="14">
        <v>12594.35520954463</v>
      </c>
      <c r="P66" s="8">
        <v>38.821142992246564</v>
      </c>
      <c r="Q66" s="54">
        <v>1.1827530260560309E-2</v>
      </c>
    </row>
    <row r="67" spans="1:17">
      <c r="A67" s="2" t="s">
        <v>495</v>
      </c>
      <c r="B67" s="16" t="s">
        <v>496</v>
      </c>
      <c r="D67" s="14">
        <v>1</v>
      </c>
      <c r="E67" s="14">
        <v>0.99899390973001601</v>
      </c>
      <c r="F67" s="14">
        <v>1.0014782590424458</v>
      </c>
      <c r="G67" s="14">
        <v>1.9115691549997172E-14</v>
      </c>
      <c r="H67" s="14">
        <v>0.38262317937009516</v>
      </c>
      <c r="I67" s="14">
        <v>0.19366352190959726</v>
      </c>
      <c r="J67" s="14">
        <v>0</v>
      </c>
      <c r="K67" s="14">
        <v>0.99852392298175374</v>
      </c>
      <c r="L67" s="14">
        <v>1.0014782590424458</v>
      </c>
      <c r="M67" s="14">
        <v>0.8217129115443268</v>
      </c>
      <c r="N67" s="14">
        <v>1.2256230705954454</v>
      </c>
      <c r="O67" s="14">
        <v>384.13478278602452</v>
      </c>
      <c r="P67" s="8">
        <v>1.2256230705954454</v>
      </c>
      <c r="Q67" s="54">
        <v>1.4724746459264754E-3</v>
      </c>
    </row>
    <row r="68" spans="1:17">
      <c r="A68" s="2" t="s">
        <v>497</v>
      </c>
      <c r="B68" s="16" t="s">
        <v>498</v>
      </c>
      <c r="D68" s="14">
        <v>1</v>
      </c>
      <c r="E68" s="14">
        <v>0.99956286846661491</v>
      </c>
      <c r="F68" s="14">
        <v>1.0033016584956467</v>
      </c>
      <c r="G68" s="14">
        <v>1.7289554077045863E-13</v>
      </c>
      <c r="H68" s="14">
        <v>4.5511180255870323E-2</v>
      </c>
      <c r="I68" s="14">
        <v>3.2512157461648088E-2</v>
      </c>
      <c r="J68" s="14">
        <v>0</v>
      </c>
      <c r="K68" s="14">
        <v>0.99670920658040452</v>
      </c>
      <c r="L68" s="14">
        <v>1.0033016584956467</v>
      </c>
      <c r="M68" s="14">
        <v>0.82320901079567821</v>
      </c>
      <c r="N68" s="14">
        <v>0.93212807897565497</v>
      </c>
      <c r="O68" s="14">
        <v>253.87440358980939</v>
      </c>
      <c r="P68" s="8">
        <v>0.93212807897565497</v>
      </c>
      <c r="Q68" s="54">
        <v>5.9501208920626565E-4</v>
      </c>
    </row>
    <row r="69" spans="1:17">
      <c r="A69" s="2" t="s">
        <v>499</v>
      </c>
      <c r="B69" s="16" t="s">
        <v>500</v>
      </c>
      <c r="D69" s="14">
        <v>1</v>
      </c>
      <c r="E69" s="14">
        <v>0.9455522743589434</v>
      </c>
      <c r="F69" s="14">
        <v>8.2276491763042889E-3</v>
      </c>
      <c r="G69" s="14">
        <v>9.146738287849371E-14</v>
      </c>
      <c r="H69" s="14">
        <v>211.8984428465329</v>
      </c>
      <c r="I69" s="14">
        <v>504.77162773406991</v>
      </c>
      <c r="J69" s="14">
        <v>0</v>
      </c>
      <c r="K69" s="14">
        <v>121.54140004899695</v>
      </c>
      <c r="L69" s="14">
        <v>8.2276491763042907E-3</v>
      </c>
      <c r="M69" s="14">
        <v>6.7507861491576697E-3</v>
      </c>
      <c r="N69" s="14">
        <v>31.381198669354625</v>
      </c>
      <c r="O69" s="14">
        <v>13481.049136368052</v>
      </c>
      <c r="P69" s="8">
        <v>31.381198669354628</v>
      </c>
      <c r="Q69" s="54">
        <v>8.3601666764478472E-2</v>
      </c>
    </row>
    <row r="70" spans="1:17">
      <c r="A70" s="2" t="s">
        <v>501</v>
      </c>
      <c r="B70" s="16" t="s">
        <v>411</v>
      </c>
      <c r="D70" s="14">
        <v>1</v>
      </c>
      <c r="E70" s="14">
        <v>0.99991314160561051</v>
      </c>
      <c r="F70" s="14">
        <v>0.97345275678852394</v>
      </c>
      <c r="G70" s="14">
        <v>3.0977286114178755E-15</v>
      </c>
      <c r="H70" s="14">
        <v>8.5983452495091885</v>
      </c>
      <c r="I70" s="14">
        <v>7.5661007307724192E-3</v>
      </c>
      <c r="J70" s="14">
        <v>0</v>
      </c>
      <c r="K70" s="14">
        <v>1.0272712188920774</v>
      </c>
      <c r="L70" s="14">
        <v>0.97345275678852394</v>
      </c>
      <c r="M70" s="14">
        <v>0.79871798694498397</v>
      </c>
      <c r="N70" s="14">
        <v>0.89833931243228415</v>
      </c>
      <c r="O70" s="14">
        <v>269.59162766092851</v>
      </c>
      <c r="P70" s="8">
        <v>0.89833931243228415</v>
      </c>
      <c r="Q70" s="54">
        <v>3.8359427683720636E-5</v>
      </c>
    </row>
    <row r="71" spans="1:17">
      <c r="A71" s="2" t="s">
        <v>502</v>
      </c>
      <c r="B71" s="16" t="s">
        <v>412</v>
      </c>
      <c r="D71" s="14">
        <v>1</v>
      </c>
      <c r="E71" s="14">
        <v>0.99990380342860763</v>
      </c>
      <c r="F71" s="14">
        <v>0.94719566572724123</v>
      </c>
      <c r="G71" s="14">
        <v>1.4149065448702158E-10</v>
      </c>
      <c r="H71" s="14">
        <v>16.028751727999243</v>
      </c>
      <c r="I71" s="14">
        <v>1.3487381170934516E-2</v>
      </c>
      <c r="J71" s="14">
        <v>0</v>
      </c>
      <c r="K71" s="14">
        <v>1.0557480742188747</v>
      </c>
      <c r="L71" s="14">
        <v>0.94719566572724134</v>
      </c>
      <c r="M71" s="14">
        <v>0.77717404372920151</v>
      </c>
      <c r="N71" s="14">
        <v>0.90494752494377595</v>
      </c>
      <c r="O71" s="14">
        <v>296.95853031030009</v>
      </c>
      <c r="P71" s="8">
        <v>0.90494752494377606</v>
      </c>
      <c r="Q71" s="54">
        <v>5.2544544480934505E-5</v>
      </c>
    </row>
    <row r="72" spans="1:17">
      <c r="A72" s="2" t="s">
        <v>503</v>
      </c>
      <c r="B72" s="16" t="s">
        <v>413</v>
      </c>
      <c r="D72" s="14">
        <v>1</v>
      </c>
      <c r="E72" s="14">
        <v>0.99949504626988128</v>
      </c>
      <c r="F72" s="14">
        <v>3.9094945378385457E-3</v>
      </c>
      <c r="G72" s="14">
        <v>1.9154423114843958E-12</v>
      </c>
      <c r="H72" s="14">
        <v>282.83985810189512</v>
      </c>
      <c r="I72" s="14">
        <v>1.2027256837926978</v>
      </c>
      <c r="J72" s="14">
        <v>0</v>
      </c>
      <c r="K72" s="14">
        <v>255.78754243582421</v>
      </c>
      <c r="L72" s="14">
        <v>3.9094945378385457E-3</v>
      </c>
      <c r="M72" s="14">
        <v>3.2077402682965271E-3</v>
      </c>
      <c r="N72" s="14">
        <v>6.6825567213267778</v>
      </c>
      <c r="O72" s="14">
        <v>3101.2409232333312</v>
      </c>
      <c r="P72" s="8">
        <v>6.6825567213267778</v>
      </c>
      <c r="Q72" s="54">
        <v>5.9479400871478953E-5</v>
      </c>
    </row>
    <row r="73" spans="1:17">
      <c r="A73" s="2" t="s">
        <v>504</v>
      </c>
      <c r="B73" s="16" t="s">
        <v>414</v>
      </c>
      <c r="D73" s="14">
        <v>1</v>
      </c>
      <c r="E73" s="14">
        <v>0.99991301938122878</v>
      </c>
      <c r="F73" s="14">
        <v>3.6250848758853212E-2</v>
      </c>
      <c r="G73" s="14">
        <v>2.5017657655871392E-12</v>
      </c>
      <c r="H73" s="14">
        <v>273.916490912028</v>
      </c>
      <c r="I73" s="14">
        <v>0.14660343762539443</v>
      </c>
      <c r="J73" s="14">
        <v>0</v>
      </c>
      <c r="K73" s="14">
        <v>27.585561007196528</v>
      </c>
      <c r="L73" s="14">
        <v>3.6250848758853219E-2</v>
      </c>
      <c r="M73" s="14">
        <v>2.9743821406639063E-2</v>
      </c>
      <c r="N73" s="14">
        <v>0.8121243775053949</v>
      </c>
      <c r="O73" s="14">
        <v>255.04766075556927</v>
      </c>
      <c r="P73" s="8">
        <v>0.8121243775053949</v>
      </c>
      <c r="Q73" s="54">
        <v>4.821077955513642E-5</v>
      </c>
    </row>
    <row r="74" spans="1:17">
      <c r="A74" s="2" t="s">
        <v>505</v>
      </c>
      <c r="B74" s="16" t="s">
        <v>415</v>
      </c>
      <c r="D74" s="14">
        <v>1</v>
      </c>
      <c r="E74" s="14">
        <v>0.99990548928080325</v>
      </c>
      <c r="F74" s="14">
        <v>0.95231018841869186</v>
      </c>
      <c r="G74" s="14">
        <v>1.7491493645571027E-11</v>
      </c>
      <c r="H74" s="14">
        <v>14.581373372796831</v>
      </c>
      <c r="I74" s="14">
        <v>1.2323225774883E-2</v>
      </c>
      <c r="J74" s="14">
        <v>0</v>
      </c>
      <c r="K74" s="14">
        <v>1.0500780230656745</v>
      </c>
      <c r="L74" s="14">
        <v>0.95231018841869186</v>
      </c>
      <c r="M74" s="14">
        <v>0.78137050959753673</v>
      </c>
      <c r="N74" s="14">
        <v>0.90375393905804691</v>
      </c>
      <c r="O74" s="14">
        <v>193.43949311598433</v>
      </c>
      <c r="P74" s="8">
        <v>0.90375393905804691</v>
      </c>
      <c r="Q74" s="54">
        <v>4.9994750492640557E-5</v>
      </c>
    </row>
    <row r="75" spans="1:17">
      <c r="A75" s="2" t="s">
        <v>506</v>
      </c>
      <c r="B75" s="16" t="s">
        <v>416</v>
      </c>
      <c r="D75" s="14">
        <v>1</v>
      </c>
      <c r="E75" s="14">
        <v>0.99990995748046207</v>
      </c>
      <c r="F75" s="14">
        <v>4.2889071313772877E-2</v>
      </c>
      <c r="G75" s="14">
        <v>1.0736311621066822E-11</v>
      </c>
      <c r="H75" s="14">
        <v>272.03616416764669</v>
      </c>
      <c r="I75" s="14">
        <v>0.14748661802770369</v>
      </c>
      <c r="J75" s="14">
        <v>0</v>
      </c>
      <c r="K75" s="14">
        <v>23.315963003350742</v>
      </c>
      <c r="L75" s="14">
        <v>4.2889071313772877E-2</v>
      </c>
      <c r="M75" s="14">
        <v>3.5190483012950642E-2</v>
      </c>
      <c r="N75" s="14">
        <v>0.82143768079956991</v>
      </c>
      <c r="O75" s="14">
        <v>340.13270048867793</v>
      </c>
      <c r="P75" s="8">
        <v>0.82143768079957002</v>
      </c>
      <c r="Q75" s="54">
        <v>5.2065808544198449E-5</v>
      </c>
    </row>
    <row r="76" spans="1:17">
      <c r="A76" s="2" t="s">
        <v>507</v>
      </c>
      <c r="B76" s="16" t="s">
        <v>417</v>
      </c>
      <c r="D76" s="14">
        <v>1</v>
      </c>
      <c r="E76" s="14">
        <v>0.9998585512172331</v>
      </c>
      <c r="F76" s="14">
        <v>0.44972851547301607</v>
      </c>
      <c r="G76" s="14">
        <v>2.4802672494726606E-10</v>
      </c>
      <c r="H76" s="14">
        <v>156.8449085399472</v>
      </c>
      <c r="I76" s="14">
        <v>0.10560837364932696</v>
      </c>
      <c r="J76" s="14">
        <v>0</v>
      </c>
      <c r="K76" s="14">
        <v>2.2235636958626439</v>
      </c>
      <c r="L76" s="14">
        <v>0.44972851547301612</v>
      </c>
      <c r="M76" s="14">
        <v>0.36900224694560974</v>
      </c>
      <c r="N76" s="14">
        <v>0.94229602816115565</v>
      </c>
      <c r="O76" s="14">
        <v>403.46289037776205</v>
      </c>
      <c r="P76" s="8">
        <v>0.94229602816115576</v>
      </c>
      <c r="Q76" s="54">
        <v>1.2075311827976611E-4</v>
      </c>
    </row>
    <row r="77" spans="1:17">
      <c r="A77" s="2" t="s">
        <v>508</v>
      </c>
      <c r="B77" s="16" t="s">
        <v>418</v>
      </c>
      <c r="D77" s="14">
        <v>1</v>
      </c>
      <c r="E77" s="14">
        <v>0.9999120607719415</v>
      </c>
      <c r="F77" s="14">
        <v>3.8039432810592896E-2</v>
      </c>
      <c r="G77" s="14">
        <v>7.7453685212791737E-11</v>
      </c>
      <c r="H77" s="14">
        <v>273.4097720076573</v>
      </c>
      <c r="I77" s="14">
        <v>0.1473133012522887</v>
      </c>
      <c r="J77" s="14">
        <v>0</v>
      </c>
      <c r="K77" s="14">
        <v>26.288509741436748</v>
      </c>
      <c r="L77" s="14">
        <v>3.8039432810592896E-2</v>
      </c>
      <c r="M77" s="14">
        <v>3.121135462109147E-2</v>
      </c>
      <c r="N77" s="14">
        <v>0.8148057594899738</v>
      </c>
      <c r="O77" s="14">
        <v>430.36410604741428</v>
      </c>
      <c r="P77" s="8">
        <v>0.8148057594899738</v>
      </c>
      <c r="Q77" s="54">
        <v>4.9435845017856493E-5</v>
      </c>
    </row>
    <row r="78" spans="1:17">
      <c r="A78" s="2" t="s">
        <v>509</v>
      </c>
      <c r="B78" s="16" t="s">
        <v>419</v>
      </c>
      <c r="D78" s="14">
        <v>1</v>
      </c>
      <c r="E78" s="14">
        <v>0.99957281098507733</v>
      </c>
      <c r="F78" s="14">
        <v>4.3363157699867396E-3</v>
      </c>
      <c r="G78" s="14">
        <v>7.7010397642654025E-12</v>
      </c>
      <c r="H78" s="14">
        <v>282.76190569105432</v>
      </c>
      <c r="I78" s="14">
        <v>1.0102919081121644</v>
      </c>
      <c r="J78" s="14">
        <v>0</v>
      </c>
      <c r="K78" s="14">
        <v>230.61051202068202</v>
      </c>
      <c r="L78" s="14">
        <v>4.3363157699867396E-3</v>
      </c>
      <c r="M78" s="14">
        <v>3.5579470892741199E-3</v>
      </c>
      <c r="N78" s="14">
        <v>5.5989265133342609</v>
      </c>
      <c r="O78" s="14">
        <v>3158.2984569067235</v>
      </c>
      <c r="P78" s="8">
        <v>5.5989265133342609</v>
      </c>
      <c r="Q78" s="54">
        <v>5.6421791866444521E-5</v>
      </c>
    </row>
    <row r="79" spans="1:17">
      <c r="A79" s="2" t="s">
        <v>510</v>
      </c>
      <c r="B79" s="16" t="s">
        <v>420</v>
      </c>
      <c r="D79" s="14">
        <v>1</v>
      </c>
      <c r="E79" s="14">
        <v>0.99957281775788165</v>
      </c>
      <c r="F79" s="14">
        <v>4.3363160629384884E-3</v>
      </c>
      <c r="G79" s="14">
        <v>1.9344139567754481E-16</v>
      </c>
      <c r="H79" s="14">
        <v>282.76192479381325</v>
      </c>
      <c r="I79" s="14">
        <v>1.0101320919220229</v>
      </c>
      <c r="J79" s="14">
        <v>0</v>
      </c>
      <c r="K79" s="14">
        <v>230.61049644115511</v>
      </c>
      <c r="L79" s="14">
        <v>4.3363160629384884E-3</v>
      </c>
      <c r="M79" s="14">
        <v>3.5579473296410299E-3</v>
      </c>
      <c r="N79" s="14">
        <v>5.5989171496331354</v>
      </c>
      <c r="O79" s="14">
        <v>2800.1864340460197</v>
      </c>
      <c r="P79" s="8">
        <v>5.5989171496331354</v>
      </c>
      <c r="Q79" s="54">
        <v>5.641286660856149E-5</v>
      </c>
    </row>
    <row r="80" spans="1:17">
      <c r="A80" s="2" t="s">
        <v>511</v>
      </c>
      <c r="B80" s="16" t="s">
        <v>421</v>
      </c>
      <c r="D80" s="14">
        <v>1</v>
      </c>
      <c r="E80" s="14">
        <v>0.99987895114031156</v>
      </c>
      <c r="F80" s="14">
        <v>0.16736933385887948</v>
      </c>
      <c r="G80" s="14">
        <v>2.1806419047208439E-11</v>
      </c>
      <c r="H80" s="14">
        <v>236.78592722113086</v>
      </c>
      <c r="I80" s="14">
        <v>0.1433777834755266</v>
      </c>
      <c r="J80" s="14">
        <v>0</v>
      </c>
      <c r="K80" s="14">
        <v>5.9748101814348402</v>
      </c>
      <c r="L80" s="14">
        <v>0.16736933385887948</v>
      </c>
      <c r="M80" s="14">
        <v>0.13732653843121062</v>
      </c>
      <c r="N80" s="14">
        <v>0.8992748565144062</v>
      </c>
      <c r="O80" s="14">
        <v>327.39000426263476</v>
      </c>
      <c r="P80" s="8">
        <v>0.89927485651440631</v>
      </c>
      <c r="Q80" s="54">
        <v>9.2956949252443654E-5</v>
      </c>
    </row>
    <row r="81" spans="1:17">
      <c r="A81" s="2" t="s">
        <v>512</v>
      </c>
      <c r="B81" s="16" t="s">
        <v>422</v>
      </c>
      <c r="D81" s="14">
        <v>1</v>
      </c>
      <c r="E81" s="14">
        <v>0.99987709537484804</v>
      </c>
      <c r="F81" s="14">
        <v>0.80788482247195692</v>
      </c>
      <c r="G81" s="14">
        <v>2.8510045810792698E-11</v>
      </c>
      <c r="H81" s="14">
        <v>55.458669876606869</v>
      </c>
      <c r="I81" s="14">
        <v>4.1965792005765307E-2</v>
      </c>
      <c r="J81" s="14">
        <v>0</v>
      </c>
      <c r="K81" s="14">
        <v>1.2378002063960196</v>
      </c>
      <c r="L81" s="14">
        <v>0.80788482247195692</v>
      </c>
      <c r="M81" s="14">
        <v>0.6628694968382407</v>
      </c>
      <c r="N81" s="14">
        <v>0.92804337591684727</v>
      </c>
      <c r="O81" s="14">
        <v>245.04985341084353</v>
      </c>
      <c r="P81" s="8">
        <v>0.92804337591684727</v>
      </c>
      <c r="Q81" s="54">
        <v>9.2703349014953545E-5</v>
      </c>
    </row>
    <row r="82" spans="1:17">
      <c r="A82" s="2" t="s">
        <v>513</v>
      </c>
      <c r="B82" s="16" t="s">
        <v>423</v>
      </c>
      <c r="D82" s="14">
        <v>1</v>
      </c>
      <c r="E82" s="14">
        <v>0.99986117609844438</v>
      </c>
      <c r="F82" s="14">
        <v>0.61092691256780474</v>
      </c>
      <c r="G82" s="14">
        <v>7.1775750916006006E-15</v>
      </c>
      <c r="H82" s="14">
        <v>111.21138697749451</v>
      </c>
      <c r="I82" s="14">
        <v>7.8308065729306556E-2</v>
      </c>
      <c r="J82" s="14">
        <v>0</v>
      </c>
      <c r="K82" s="14">
        <v>1.6368570109260216</v>
      </c>
      <c r="L82" s="14">
        <v>0.61092691256780485</v>
      </c>
      <c r="M82" s="14">
        <v>0.50126553176188382</v>
      </c>
      <c r="N82" s="14">
        <v>0.94282702079806013</v>
      </c>
      <c r="O82" s="14">
        <v>377.23451929151184</v>
      </c>
      <c r="P82" s="8">
        <v>0.94282702079806013</v>
      </c>
      <c r="Q82" s="54">
        <v>1.1652161535620937E-4</v>
      </c>
    </row>
    <row r="83" spans="1:17">
      <c r="A83" s="2" t="s">
        <v>514</v>
      </c>
      <c r="B83" s="16" t="s">
        <v>424</v>
      </c>
      <c r="D83" s="14">
        <v>1</v>
      </c>
      <c r="E83" s="14">
        <v>0.99919624622088199</v>
      </c>
      <c r="F83" s="14">
        <v>2.9390667225563465E-3</v>
      </c>
      <c r="G83" s="14">
        <v>2.7563725195353045E-12</v>
      </c>
      <c r="H83" s="14">
        <v>282.94983532688985</v>
      </c>
      <c r="I83" s="14">
        <v>1.9419382681774287</v>
      </c>
      <c r="J83" s="14">
        <v>0</v>
      </c>
      <c r="K83" s="14">
        <v>340.24406194161469</v>
      </c>
      <c r="L83" s="14">
        <v>2.9390667225563465E-3</v>
      </c>
      <c r="M83" s="14">
        <v>2.4115042458574825E-3</v>
      </c>
      <c r="N83" s="14">
        <v>10.868407495774436</v>
      </c>
      <c r="O83" s="14">
        <v>5587.2309254277234</v>
      </c>
      <c r="P83" s="8">
        <v>10.868407495774438</v>
      </c>
      <c r="Q83" s="54">
        <v>6.8744098348297962E-5</v>
      </c>
    </row>
    <row r="84" spans="1:17">
      <c r="A84" s="2" t="s">
        <v>403</v>
      </c>
      <c r="B84" s="16" t="s">
        <v>404</v>
      </c>
      <c r="D84" s="14">
        <v>1</v>
      </c>
      <c r="E84" s="14">
        <v>0.82372003050762277</v>
      </c>
      <c r="F84" s="14">
        <v>0.35360766272927996</v>
      </c>
      <c r="G84" s="14">
        <v>6.162687633976802E-46</v>
      </c>
      <c r="H84" s="14">
        <v>108.82825552814366</v>
      </c>
      <c r="I84" s="14">
        <v>233.13036221185774</v>
      </c>
      <c r="J84" s="14">
        <v>0</v>
      </c>
      <c r="K84" s="14">
        <v>2.8279930142961702</v>
      </c>
      <c r="L84" s="14">
        <v>0.35360766272927996</v>
      </c>
      <c r="M84" s="14">
        <v>0.2901350872693742</v>
      </c>
      <c r="N84" s="14">
        <v>14.593773532284349</v>
      </c>
      <c r="O84" s="14">
        <v>17550.61798766048</v>
      </c>
      <c r="P84" s="8">
        <v>14.59377353228435</v>
      </c>
      <c r="Q84" s="54">
        <v>0.28041344855218764</v>
      </c>
    </row>
    <row r="85" spans="1:17">
      <c r="A85" s="2" t="s">
        <v>405</v>
      </c>
      <c r="B85" s="16" t="s">
        <v>406</v>
      </c>
      <c r="D85" s="14">
        <v>1</v>
      </c>
      <c r="E85" s="14">
        <v>0.96204198037301414</v>
      </c>
      <c r="F85" s="14">
        <v>5.506693033851074E-2</v>
      </c>
      <c r="G85" s="14">
        <v>1.670159628732541E-10</v>
      </c>
      <c r="H85" s="14">
        <v>245.03164697555266</v>
      </c>
      <c r="I85" s="14">
        <v>118.60625325513281</v>
      </c>
      <c r="J85" s="14">
        <v>0</v>
      </c>
      <c r="K85" s="14">
        <v>18.159719342493581</v>
      </c>
      <c r="L85" s="14">
        <v>5.506693033851074E-2</v>
      </c>
      <c r="M85" s="14">
        <v>4.5182416342748062E-2</v>
      </c>
      <c r="N85" s="14">
        <v>440.04815621398211</v>
      </c>
      <c r="O85" s="14">
        <v>140313.75509039033</v>
      </c>
      <c r="P85" s="8">
        <v>440.04815621398211</v>
      </c>
      <c r="Q85" s="54">
        <v>1.1447419201423347E-2</v>
      </c>
    </row>
    <row r="86" spans="1:17">
      <c r="A86" s="2" t="s">
        <v>407</v>
      </c>
      <c r="B86" s="16" t="s">
        <v>408</v>
      </c>
      <c r="D86" s="14">
        <v>1</v>
      </c>
      <c r="E86" s="14">
        <v>0.96105660439835727</v>
      </c>
      <c r="F86" s="14">
        <v>3.7893993888640532E-4</v>
      </c>
      <c r="G86" s="14">
        <v>3.0419976094479422E-7</v>
      </c>
      <c r="H86" s="14">
        <v>52.027191264068705</v>
      </c>
      <c r="I86" s="14">
        <v>2046.3859788827083</v>
      </c>
      <c r="J86" s="14">
        <v>0</v>
      </c>
      <c r="K86" s="14">
        <v>2638.9406272105025</v>
      </c>
      <c r="L86" s="14">
        <v>3.7893993888640537E-4</v>
      </c>
      <c r="M86" s="14">
        <v>3.1092021985629562E-4</v>
      </c>
      <c r="N86" s="14">
        <v>129.08738545774463</v>
      </c>
      <c r="O86" s="14">
        <v>62709.36098151777</v>
      </c>
      <c r="P86" s="8">
        <v>129.08738545774466</v>
      </c>
      <c r="Q86" s="54">
        <v>4.7817575418135062E-2</v>
      </c>
    </row>
    <row r="87" spans="1:17">
      <c r="A87" s="2" t="s">
        <v>409</v>
      </c>
      <c r="B87" s="16" t="s">
        <v>410</v>
      </c>
      <c r="D87" s="14">
        <v>1</v>
      </c>
      <c r="E87" s="14">
        <v>0.96984181443920336</v>
      </c>
      <c r="F87" s="14">
        <v>1.3036093231374706E-4</v>
      </c>
      <c r="G87" s="14">
        <v>3.7393485261074932E-8</v>
      </c>
      <c r="H87" s="14">
        <v>27.833476701372636</v>
      </c>
      <c r="I87" s="14">
        <v>2294.1648875785222</v>
      </c>
      <c r="J87" s="14">
        <v>0</v>
      </c>
      <c r="K87" s="14">
        <v>7671.0098819579107</v>
      </c>
      <c r="L87" s="14">
        <v>1.3036093231374706E-4</v>
      </c>
      <c r="M87" s="14">
        <v>1.0696114496342945E-4</v>
      </c>
      <c r="N87" s="14">
        <v>145.29350451859747</v>
      </c>
      <c r="O87" s="14">
        <v>82045.789066606812</v>
      </c>
      <c r="P87" s="8">
        <v>145.29350451859747</v>
      </c>
      <c r="Q87" s="54">
        <v>3.1976036320842484E-2</v>
      </c>
    </row>
    <row r="88" spans="1:17">
      <c r="A88" s="2" t="s">
        <v>301</v>
      </c>
      <c r="B88" s="16" t="s">
        <v>302</v>
      </c>
      <c r="D88" s="14">
        <v>1</v>
      </c>
      <c r="E88" s="14">
        <v>0.97720450938785408</v>
      </c>
      <c r="F88" s="14">
        <v>3.6365504720164055E-5</v>
      </c>
      <c r="G88" s="14">
        <v>4.5900573016963267E-9</v>
      </c>
      <c r="H88" s="14">
        <v>12.828905898952982</v>
      </c>
      <c r="I88" s="14">
        <v>2452.713324040898</v>
      </c>
      <c r="J88" s="14">
        <v>0</v>
      </c>
      <c r="K88" s="14">
        <v>27498.587127969022</v>
      </c>
      <c r="L88" s="14">
        <v>3.6365504720164055E-5</v>
      </c>
      <c r="M88" s="14">
        <v>2.9837896622894606E-5</v>
      </c>
      <c r="N88" s="14">
        <v>156.04413561345427</v>
      </c>
      <c r="O88" s="14">
        <v>100426.8847981069</v>
      </c>
      <c r="P88" s="8">
        <v>156.04413561345427</v>
      </c>
      <c r="Q88" s="54">
        <v>1.8995327704309086E-2</v>
      </c>
    </row>
    <row r="89" spans="1:17">
      <c r="A89" s="2" t="s">
        <v>303</v>
      </c>
      <c r="B89" s="16" t="s">
        <v>304</v>
      </c>
      <c r="D89" s="14">
        <v>1</v>
      </c>
      <c r="E89" s="14">
        <v>0.81261977942977148</v>
      </c>
      <c r="F89" s="14">
        <v>1.9775215517146552E-3</v>
      </c>
      <c r="G89" s="14">
        <v>2.8477082108983708E-15</v>
      </c>
      <c r="H89" s="14">
        <v>63.986711890077167</v>
      </c>
      <c r="I89" s="14">
        <v>1540.8397893000695</v>
      </c>
      <c r="J89" s="14">
        <v>0</v>
      </c>
      <c r="K89" s="14">
        <v>505.68349009037445</v>
      </c>
      <c r="L89" s="14">
        <v>1.9775215517146556E-3</v>
      </c>
      <c r="M89" s="14">
        <v>1.6225564331818747E-3</v>
      </c>
      <c r="N89" s="14">
        <v>2528.0135076549905</v>
      </c>
      <c r="O89" s="14">
        <v>1631352.3966248417</v>
      </c>
      <c r="P89" s="8">
        <v>2528.0135076549905</v>
      </c>
      <c r="Q89" s="54">
        <v>1.6670840054687538E-2</v>
      </c>
    </row>
    <row r="90" spans="1:17">
      <c r="A90" s="2" t="s">
        <v>425</v>
      </c>
      <c r="B90" s="16" t="s">
        <v>426</v>
      </c>
      <c r="D90" s="14">
        <v>1</v>
      </c>
      <c r="E90" s="14">
        <v>0.98918059162846361</v>
      </c>
      <c r="F90" s="14">
        <v>0.99180482234009482</v>
      </c>
      <c r="G90" s="14">
        <v>1.8066027589303351E-15</v>
      </c>
      <c r="H90" s="14">
        <v>0.26431768113460152</v>
      </c>
      <c r="I90" s="14">
        <v>0.82169968019849815</v>
      </c>
      <c r="J90" s="14">
        <v>0</v>
      </c>
      <c r="K90" s="14">
        <v>1.0082628935404541</v>
      </c>
      <c r="L90" s="14">
        <v>0.99180482234009493</v>
      </c>
      <c r="M90" s="14">
        <v>0.81377585673004782</v>
      </c>
      <c r="N90" s="14">
        <v>0.92623251367793813</v>
      </c>
      <c r="O90" s="14">
        <v>256.80722674234511</v>
      </c>
      <c r="P90" s="8">
        <v>0.92623251367793824</v>
      </c>
      <c r="Q90" s="54">
        <v>1.7207315352723702E-2</v>
      </c>
    </row>
    <row r="91" spans="1:17">
      <c r="A91" s="2" t="s">
        <v>427</v>
      </c>
      <c r="B91" s="16" t="s">
        <v>428</v>
      </c>
      <c r="D91" s="14">
        <v>1</v>
      </c>
      <c r="E91" s="14">
        <v>0.8975357352413954</v>
      </c>
      <c r="F91" s="14">
        <v>0.82037191025091249</v>
      </c>
      <c r="G91" s="14">
        <v>1.044477933812286E-6</v>
      </c>
      <c r="H91" s="14">
        <v>17.826692843600824</v>
      </c>
      <c r="I91" s="14">
        <v>46.4224388012627</v>
      </c>
      <c r="J91" s="14">
        <v>0</v>
      </c>
      <c r="K91" s="14">
        <v>1.2189593372280967</v>
      </c>
      <c r="L91" s="14">
        <v>0.82037191025091261</v>
      </c>
      <c r="M91" s="14">
        <v>0.67311515236087371</v>
      </c>
      <c r="N91" s="14">
        <v>3.5471672110356649</v>
      </c>
      <c r="O91" s="14">
        <v>585.95655159098146</v>
      </c>
      <c r="P91" s="8">
        <v>3.5471672110356653</v>
      </c>
      <c r="Q91" s="54">
        <v>0.16342855935754458</v>
      </c>
    </row>
    <row r="92" spans="1:17">
      <c r="A92" s="2" t="s">
        <v>429</v>
      </c>
      <c r="B92" s="16" t="s">
        <v>430</v>
      </c>
      <c r="D92" s="14">
        <v>1</v>
      </c>
      <c r="E92" s="14">
        <v>0.85267836191822599</v>
      </c>
      <c r="F92" s="14">
        <v>0.15296107198382755</v>
      </c>
      <c r="G92" s="14">
        <v>6.7426312066326637E-6</v>
      </c>
      <c r="H92" s="14">
        <v>164.36181127839424</v>
      </c>
      <c r="I92" s="14">
        <v>321.11314888294163</v>
      </c>
      <c r="J92" s="14">
        <v>0</v>
      </c>
      <c r="K92" s="14">
        <v>6.5376110864712622</v>
      </c>
      <c r="L92" s="14">
        <v>0.15296107198382758</v>
      </c>
      <c r="M92" s="14">
        <v>0.12550455956273052</v>
      </c>
      <c r="N92" s="14">
        <v>19.878402405631515</v>
      </c>
      <c r="O92" s="14">
        <v>3582.8832495910247</v>
      </c>
      <c r="P92" s="8">
        <v>19.878402405631519</v>
      </c>
      <c r="Q92" s="54">
        <v>0.23273306516626474</v>
      </c>
    </row>
    <row r="93" spans="1:17">
      <c r="A93" s="2" t="s">
        <v>431</v>
      </c>
      <c r="B93" s="16" t="s">
        <v>432</v>
      </c>
      <c r="D93" s="14">
        <v>1</v>
      </c>
      <c r="E93" s="14">
        <v>0.99987314444380604</v>
      </c>
      <c r="F93" s="14">
        <v>0.9994038205446365</v>
      </c>
      <c r="G93" s="14">
        <v>1.3393492071874541E-19</v>
      </c>
      <c r="H93" s="14">
        <v>1.2397411175022706</v>
      </c>
      <c r="I93" s="14">
        <v>9.1963298967681732E-3</v>
      </c>
      <c r="J93" s="14">
        <v>0</v>
      </c>
      <c r="K93" s="14">
        <v>1.0005965350973329</v>
      </c>
      <c r="L93" s="14">
        <v>0.9994038205446365</v>
      </c>
      <c r="M93" s="14">
        <v>0.82001083475687431</v>
      </c>
      <c r="N93" s="14">
        <v>0.89008295640136881</v>
      </c>
      <c r="O93" s="14">
        <v>346.14436091492831</v>
      </c>
      <c r="P93" s="8">
        <v>0.89008295640136892</v>
      </c>
      <c r="Q93" s="54">
        <v>1.0327959879327751E-4</v>
      </c>
    </row>
    <row r="94" spans="1:17">
      <c r="A94" s="2" t="s">
        <v>433</v>
      </c>
      <c r="B94" s="16" t="s">
        <v>434</v>
      </c>
      <c r="D94" s="14">
        <v>1</v>
      </c>
      <c r="E94" s="14">
        <v>0.99993580545542349</v>
      </c>
      <c r="F94" s="14">
        <v>1.0038321465360054</v>
      </c>
      <c r="G94" s="14">
        <v>2.8306070695007205E-20</v>
      </c>
      <c r="H94" s="14">
        <v>4.8244865454989457E-3</v>
      </c>
      <c r="I94" s="14">
        <v>6.2331611728952822E-5</v>
      </c>
      <c r="J94" s="14">
        <v>0</v>
      </c>
      <c r="K94" s="14">
        <v>0.99618248274950227</v>
      </c>
      <c r="L94" s="14">
        <v>1.0038321465360054</v>
      </c>
      <c r="M94" s="14">
        <v>0.82364427623279246</v>
      </c>
      <c r="N94" s="14">
        <v>0.89373623349057607</v>
      </c>
      <c r="O94" s="14">
        <v>160.19328249085086</v>
      </c>
      <c r="P94" s="8">
        <v>0.89373623349057607</v>
      </c>
      <c r="Q94" s="54">
        <v>2.6128131715258421E-6</v>
      </c>
    </row>
    <row r="95" spans="1:17">
      <c r="A95" s="2" t="s">
        <v>435</v>
      </c>
      <c r="B95" s="16" t="s">
        <v>436</v>
      </c>
      <c r="D95" s="14">
        <v>1</v>
      </c>
      <c r="E95" s="14">
        <v>0.97464326759728015</v>
      </c>
      <c r="F95" s="14">
        <v>0.97322920002572677</v>
      </c>
      <c r="G95" s="14">
        <v>1.5663009684864275E-10</v>
      </c>
      <c r="H95" s="14">
        <v>1.0990511902933857</v>
      </c>
      <c r="I95" s="14">
        <v>3.5294804658038279</v>
      </c>
      <c r="J95" s="14">
        <v>0</v>
      </c>
      <c r="K95" s="14">
        <v>1.0275071894406431</v>
      </c>
      <c r="L95" s="14">
        <v>0.97322920002572688</v>
      </c>
      <c r="M95" s="14">
        <v>0.79853455862110889</v>
      </c>
      <c r="N95" s="14">
        <v>1.0846027449266715</v>
      </c>
      <c r="O95" s="14">
        <v>283.17893067290464</v>
      </c>
      <c r="P95" s="8">
        <v>1.0846027449266715</v>
      </c>
      <c r="Q95" s="54">
        <v>4.0449278794349078E-2</v>
      </c>
    </row>
    <row r="96" spans="1:17">
      <c r="A96" s="2" t="s">
        <v>437</v>
      </c>
      <c r="B96" s="166" t="s">
        <v>438</v>
      </c>
      <c r="D96" s="14">
        <v>1</v>
      </c>
      <c r="E96" s="14">
        <v>0.95749349922242233</v>
      </c>
      <c r="F96" s="14">
        <v>5.527390952437221E-4</v>
      </c>
      <c r="G96" s="14">
        <v>5.7012314344384883E-10</v>
      </c>
      <c r="H96" s="14">
        <v>64.378400649908357</v>
      </c>
      <c r="I96" s="14">
        <v>1922.1946054700782</v>
      </c>
      <c r="J96" s="14">
        <v>0</v>
      </c>
      <c r="K96" s="14">
        <v>1809.1718291774976</v>
      </c>
      <c r="L96" s="14">
        <v>5.5273909524372221E-4</v>
      </c>
      <c r="M96" s="14">
        <v>4.5352242764747406E-4</v>
      </c>
      <c r="N96" s="14">
        <v>121.07503427836508</v>
      </c>
      <c r="O96" s="14">
        <v>50403.536770083381</v>
      </c>
      <c r="P96" s="8">
        <v>121.07503427836508</v>
      </c>
      <c r="Q96" s="54">
        <v>5.444993355115544E-2</v>
      </c>
    </row>
    <row r="97" spans="1:17">
      <c r="A97" s="2" t="s">
        <v>439</v>
      </c>
      <c r="B97" s="16" t="s">
        <v>440</v>
      </c>
      <c r="D97" s="14">
        <v>1</v>
      </c>
      <c r="E97" s="14">
        <v>0.86469597095522543</v>
      </c>
      <c r="F97" s="14">
        <v>0.71379092570190905</v>
      </c>
      <c r="G97" s="14">
        <v>5.2526626610030956E-7</v>
      </c>
      <c r="H97" s="14">
        <v>34.526378127119067</v>
      </c>
      <c r="I97" s="14">
        <v>84.763365777939271</v>
      </c>
      <c r="J97" s="14">
        <v>0</v>
      </c>
      <c r="K97" s="14">
        <v>1.4009704578643196</v>
      </c>
      <c r="L97" s="14">
        <v>0.71379092570190905</v>
      </c>
      <c r="M97" s="14">
        <v>0.58566545453841645</v>
      </c>
      <c r="N97" s="14">
        <v>5.7955797925638031</v>
      </c>
      <c r="O97" s="14">
        <v>1108.5205469236787</v>
      </c>
      <c r="P97" s="8">
        <v>5.795579792563804</v>
      </c>
      <c r="Q97" s="54">
        <v>0.21577851171306919</v>
      </c>
    </row>
    <row r="98" spans="1:17">
      <c r="A98" s="2" t="s">
        <v>441</v>
      </c>
      <c r="B98" s="16" t="s">
        <v>442</v>
      </c>
      <c r="D98" s="14">
        <v>1</v>
      </c>
      <c r="E98" s="14">
        <v>0.89155409952750675</v>
      </c>
      <c r="F98" s="14">
        <v>0.8034609868779824</v>
      </c>
      <c r="G98" s="14">
        <v>3.4690717436310913E-19</v>
      </c>
      <c r="H98" s="14">
        <v>20.28545689388616</v>
      </c>
      <c r="I98" s="14">
        <v>52.244666908737891</v>
      </c>
      <c r="J98" s="14">
        <v>0</v>
      </c>
      <c r="K98" s="14">
        <v>1.2446155025967238</v>
      </c>
      <c r="L98" s="14">
        <v>0.80346098687798251</v>
      </c>
      <c r="M98" s="14">
        <v>0.65923973973338457</v>
      </c>
      <c r="N98" s="14">
        <v>3.8875203035703869</v>
      </c>
      <c r="O98" s="14">
        <v>1525.6962183392341</v>
      </c>
      <c r="P98" s="8">
        <v>3.8875203035703874</v>
      </c>
      <c r="Q98" s="54">
        <v>0.17307803848198922</v>
      </c>
    </row>
    <row r="99" spans="1:17">
      <c r="A99" s="2" t="s">
        <v>443</v>
      </c>
      <c r="B99" s="16" t="s">
        <v>444</v>
      </c>
      <c r="D99" s="14">
        <v>1</v>
      </c>
      <c r="E99" s="14">
        <v>0.9469269719966491</v>
      </c>
      <c r="F99" s="14">
        <v>0.92971650992912691</v>
      </c>
      <c r="G99" s="14">
        <v>5.0077083890939601E-31</v>
      </c>
      <c r="H99" s="14">
        <v>4.5062008301187646</v>
      </c>
      <c r="I99" s="14">
        <v>13.105926076684508</v>
      </c>
      <c r="J99" s="14">
        <v>0</v>
      </c>
      <c r="K99" s="14">
        <v>1.0755966892275914</v>
      </c>
      <c r="L99" s="14">
        <v>0.92971650992912691</v>
      </c>
      <c r="M99" s="14">
        <v>0.76283239639684863</v>
      </c>
      <c r="N99" s="14">
        <v>1.6151127027814953</v>
      </c>
      <c r="O99" s="14">
        <v>1261.3061141101812</v>
      </c>
      <c r="P99" s="8">
        <v>1.6151127027814955</v>
      </c>
      <c r="Q99" s="54">
        <v>8.4735952182649704E-2</v>
      </c>
    </row>
    <row r="100" spans="1:17">
      <c r="A100" s="2" t="s">
        <v>445</v>
      </c>
      <c r="B100" s="16" t="s">
        <v>446</v>
      </c>
      <c r="D100" s="14">
        <v>1</v>
      </c>
      <c r="E100" s="14">
        <v>0.94295830197609132</v>
      </c>
      <c r="F100" s="14">
        <v>3.6440900187953429E-3</v>
      </c>
      <c r="G100" s="14">
        <v>6.003127734360148E-10</v>
      </c>
      <c r="H100" s="14">
        <v>162.34880515218342</v>
      </c>
      <c r="I100" s="14">
        <v>968.73784744837656</v>
      </c>
      <c r="J100" s="14">
        <v>0</v>
      </c>
      <c r="K100" s="14">
        <v>274.41693120703371</v>
      </c>
      <c r="L100" s="14">
        <v>3.6440900187953433E-3</v>
      </c>
      <c r="M100" s="14">
        <v>2.9899758604215792E-3</v>
      </c>
      <c r="N100" s="14">
        <v>60.504137130362402</v>
      </c>
      <c r="O100" s="14">
        <v>18538.467616743037</v>
      </c>
      <c r="P100" s="8">
        <v>60.504137130362402</v>
      </c>
      <c r="Q100" s="54">
        <v>8.449018624462247E-2</v>
      </c>
    </row>
    <row r="101" spans="1:17">
      <c r="A101" s="2" t="s">
        <v>447</v>
      </c>
      <c r="B101" s="16" t="s">
        <v>448</v>
      </c>
      <c r="D101" s="14">
        <v>1</v>
      </c>
      <c r="E101" s="14">
        <v>0.83765409242898625</v>
      </c>
      <c r="F101" s="14">
        <v>0.21697137176557624</v>
      </c>
      <c r="G101" s="14">
        <v>6.0188139992947704E-11</v>
      </c>
      <c r="H101" s="14">
        <v>144.97143398390455</v>
      </c>
      <c r="I101" s="14">
        <v>293.31860139508188</v>
      </c>
      <c r="J101" s="14">
        <v>0</v>
      </c>
      <c r="K101" s="14">
        <v>4.6089029712197993</v>
      </c>
      <c r="L101" s="14">
        <v>0.21697137176557624</v>
      </c>
      <c r="M101" s="14">
        <v>0.17802501053365533</v>
      </c>
      <c r="N101" s="14">
        <v>18.200889206900616</v>
      </c>
      <c r="O101" s="14">
        <v>6130.4235026682654</v>
      </c>
      <c r="P101" s="8">
        <v>18.200889206900616</v>
      </c>
      <c r="Q101" s="54">
        <v>0.25771494578137738</v>
      </c>
    </row>
    <row r="102" spans="1:17">
      <c r="A102" s="2" t="s">
        <v>449</v>
      </c>
      <c r="B102" s="16" t="s">
        <v>450</v>
      </c>
      <c r="D102" s="14">
        <v>1</v>
      </c>
      <c r="E102" s="14">
        <v>0.90806929179092022</v>
      </c>
      <c r="F102" s="14">
        <v>4.3960890789144051E-2</v>
      </c>
      <c r="G102" s="14">
        <v>2.4595461263324517E-6</v>
      </c>
      <c r="H102" s="14">
        <v>206.55061101813052</v>
      </c>
      <c r="I102" s="14">
        <v>361.97923245325813</v>
      </c>
      <c r="J102" s="14">
        <v>0</v>
      </c>
      <c r="K102" s="14">
        <v>22.747491737518331</v>
      </c>
      <c r="L102" s="14">
        <v>4.3960890789144051E-2</v>
      </c>
      <c r="M102" s="14">
        <v>3.6069910892492694E-2</v>
      </c>
      <c r="N102" s="14">
        <v>22.392034117122648</v>
      </c>
      <c r="O102" s="14">
        <v>10414.311147532571</v>
      </c>
      <c r="P102" s="8">
        <v>22.392034117122648</v>
      </c>
      <c r="Q102" s="54">
        <v>0.14430575614726046</v>
      </c>
    </row>
    <row r="103" spans="1:17">
      <c r="A103" s="2" t="s">
        <v>451</v>
      </c>
      <c r="B103" s="16" t="s">
        <v>452</v>
      </c>
      <c r="D103" s="14">
        <v>1</v>
      </c>
      <c r="E103" s="14">
        <v>0.99988625779848794</v>
      </c>
      <c r="F103" s="14">
        <v>0.89831416392023533</v>
      </c>
      <c r="G103" s="14">
        <v>4.8901192037323701E-21</v>
      </c>
      <c r="H103" s="14">
        <v>29.861268145206733</v>
      </c>
      <c r="I103" s="14">
        <v>2.6831507325981833E-2</v>
      </c>
      <c r="J103" s="14">
        <v>0</v>
      </c>
      <c r="K103" s="14">
        <v>1.1131962960886741</v>
      </c>
      <c r="L103" s="14">
        <v>0.89831416392023533</v>
      </c>
      <c r="M103" s="14">
        <v>0.73706677149655309</v>
      </c>
      <c r="N103" s="14">
        <v>0.91493976230148666</v>
      </c>
      <c r="O103" s="14">
        <v>302.60717698359372</v>
      </c>
      <c r="P103" s="8">
        <v>0.91493976230148677</v>
      </c>
      <c r="Q103" s="54">
        <v>7.9514269041382812E-5</v>
      </c>
    </row>
    <row r="104" spans="1:17">
      <c r="A104" s="2" t="s">
        <v>453</v>
      </c>
      <c r="B104" s="16" t="s">
        <v>454</v>
      </c>
      <c r="D104" s="14">
        <v>1</v>
      </c>
      <c r="E104" s="14">
        <v>0.99961891795067759</v>
      </c>
      <c r="F104" s="14">
        <v>1.1155139642804072E-2</v>
      </c>
      <c r="G104" s="14">
        <v>1.2548100082066701E-22</v>
      </c>
      <c r="H104" s="14">
        <v>280.65643947007266</v>
      </c>
      <c r="I104" s="14">
        <v>2.7517075598768743</v>
      </c>
      <c r="J104" s="14">
        <v>0</v>
      </c>
      <c r="K104" s="14">
        <v>89.644776490545979</v>
      </c>
      <c r="L104" s="14">
        <v>1.1155139642804072E-2</v>
      </c>
      <c r="M104" s="14">
        <v>9.1527920769207405E-3</v>
      </c>
      <c r="N104" s="14">
        <v>1.2620271013373348</v>
      </c>
      <c r="O104" s="14">
        <v>623.44138806064336</v>
      </c>
      <c r="P104" s="8">
        <v>1.2620271013373348</v>
      </c>
      <c r="Q104" s="54">
        <v>4.6838424356591377E-4</v>
      </c>
    </row>
    <row r="105" spans="1:17">
      <c r="A105" s="2" t="s">
        <v>455</v>
      </c>
      <c r="B105" s="166">
        <v>354656</v>
      </c>
      <c r="D105" s="14">
        <v>1</v>
      </c>
      <c r="E105" s="14">
        <v>0.98700968194041583</v>
      </c>
      <c r="F105" s="14">
        <v>0.98948016014653273</v>
      </c>
      <c r="G105" s="14">
        <v>4.1678835694681762E-12</v>
      </c>
      <c r="H105" s="14">
        <v>0.28424124104276194</v>
      </c>
      <c r="I105" s="14">
        <v>1.0179917571408208</v>
      </c>
      <c r="J105" s="14">
        <v>0</v>
      </c>
      <c r="K105" s="14">
        <v>1.0106316834608482</v>
      </c>
      <c r="L105" s="14">
        <v>0.98948016014653273</v>
      </c>
      <c r="M105" s="14">
        <v>0.81186847140023011</v>
      </c>
      <c r="N105" s="14">
        <v>0.93577793826201117</v>
      </c>
      <c r="O105" s="14">
        <v>184.52605164588599</v>
      </c>
      <c r="P105" s="8">
        <v>0.93577793826201117</v>
      </c>
      <c r="Q105" s="54">
        <v>2.0679701299446324E-2</v>
      </c>
    </row>
    <row r="106" spans="1:17">
      <c r="A106" s="2" t="s">
        <v>457</v>
      </c>
      <c r="B106" s="16" t="s">
        <v>458</v>
      </c>
      <c r="D106" s="14">
        <v>1</v>
      </c>
      <c r="E106" s="14">
        <v>0.97341931034328177</v>
      </c>
      <c r="F106" s="14">
        <v>0.97155942461638556</v>
      </c>
      <c r="G106" s="14">
        <v>6.2891733783191845E-12</v>
      </c>
      <c r="H106" s="14">
        <v>1.1931377996549104</v>
      </c>
      <c r="I106" s="14">
        <v>3.8144130355655275</v>
      </c>
      <c r="J106" s="14">
        <v>0</v>
      </c>
      <c r="K106" s="14">
        <v>1.0292731197526532</v>
      </c>
      <c r="L106" s="14">
        <v>0.97155942461638567</v>
      </c>
      <c r="M106" s="14">
        <v>0.7971645078977444</v>
      </c>
      <c r="N106" s="14">
        <v>1.0987751822760694</v>
      </c>
      <c r="O106" s="14">
        <v>176.00180869698079</v>
      </c>
      <c r="P106" s="8">
        <v>1.0987751822760694</v>
      </c>
      <c r="Q106" s="54">
        <v>4.2406039925946777E-2</v>
      </c>
    </row>
    <row r="107" spans="1:17">
      <c r="A107" s="2" t="s">
        <v>459</v>
      </c>
      <c r="B107" s="16" t="s">
        <v>460</v>
      </c>
      <c r="D107" s="14">
        <v>1</v>
      </c>
      <c r="E107" s="14">
        <v>0.93504783823416993</v>
      </c>
      <c r="F107" s="14">
        <v>2.2886865808274044E-2</v>
      </c>
      <c r="G107" s="14">
        <v>5.565738232742637E-22</v>
      </c>
      <c r="H107" s="14">
        <v>220.65990019415216</v>
      </c>
      <c r="I107" s="14">
        <v>357.58000458015175</v>
      </c>
      <c r="J107" s="14">
        <v>0</v>
      </c>
      <c r="K107" s="14">
        <v>43.69318229840281</v>
      </c>
      <c r="L107" s="14">
        <v>2.2886865808274044E-2</v>
      </c>
      <c r="M107" s="14">
        <v>1.8778673395688856E-2</v>
      </c>
      <c r="N107" s="14">
        <v>25.994637396912893</v>
      </c>
      <c r="O107" s="14">
        <v>13814.330151841417</v>
      </c>
      <c r="P107" s="8">
        <v>25.994637396912893</v>
      </c>
      <c r="Q107" s="54">
        <v>0.10101205943687398</v>
      </c>
    </row>
    <row r="108" spans="1:17">
      <c r="A108" s="2" t="s">
        <v>461</v>
      </c>
      <c r="B108" s="16" t="s">
        <v>462</v>
      </c>
      <c r="D108" s="14">
        <v>1</v>
      </c>
      <c r="E108" s="14">
        <v>0.99991420187636626</v>
      </c>
      <c r="F108" s="14">
        <v>1.003818440156921</v>
      </c>
      <c r="G108" s="14">
        <v>1.2230157580203926E-11</v>
      </c>
      <c r="H108" s="14">
        <v>2.4990557270668447E-3</v>
      </c>
      <c r="I108" s="14">
        <v>6.7065495520261061E-4</v>
      </c>
      <c r="J108" s="14">
        <v>0</v>
      </c>
      <c r="K108" s="14">
        <v>0.99619608486538258</v>
      </c>
      <c r="L108" s="14">
        <v>1.003818440156921</v>
      </c>
      <c r="M108" s="14">
        <v>0.82363303014875366</v>
      </c>
      <c r="N108" s="14">
        <v>0.89064724235193427</v>
      </c>
      <c r="O108" s="14">
        <v>115.03599782217583</v>
      </c>
      <c r="P108" s="8">
        <v>0.89064724235193438</v>
      </c>
      <c r="Q108" s="54">
        <v>3.7523136892884221E-5</v>
      </c>
    </row>
    <row r="109" spans="1:17">
      <c r="A109" s="2" t="s">
        <v>463</v>
      </c>
      <c r="B109" s="16" t="s">
        <v>464</v>
      </c>
      <c r="D109" s="14">
        <v>1</v>
      </c>
      <c r="E109" s="14">
        <v>0.99139081661079032</v>
      </c>
      <c r="F109" s="14">
        <v>0.93384475997124494</v>
      </c>
      <c r="G109" s="14">
        <v>3.1546337721075216E-14</v>
      </c>
      <c r="H109" s="14">
        <v>16.566976430857352</v>
      </c>
      <c r="I109" s="14">
        <v>7.6244925723388226</v>
      </c>
      <c r="J109" s="14">
        <v>0</v>
      </c>
      <c r="K109" s="14">
        <v>1.0708417960505472</v>
      </c>
      <c r="L109" s="14">
        <v>0.93384475997124494</v>
      </c>
      <c r="M109" s="14">
        <v>0.76621962555640655</v>
      </c>
      <c r="N109" s="14">
        <v>12.021569683154141</v>
      </c>
      <c r="O109" s="14">
        <v>3604.0665910096118</v>
      </c>
      <c r="P109" s="8">
        <v>12.021569683154141</v>
      </c>
      <c r="Q109" s="54">
        <v>1.2428277614689159E-2</v>
      </c>
    </row>
    <row r="110" spans="1:17">
      <c r="A110" s="2" t="s">
        <v>465</v>
      </c>
      <c r="B110" s="16" t="s">
        <v>466</v>
      </c>
      <c r="D110" s="14">
        <v>1</v>
      </c>
      <c r="E110" s="14">
        <v>0.9972885375951055</v>
      </c>
      <c r="F110" s="14">
        <v>1.0009217150380434</v>
      </c>
      <c r="G110" s="14">
        <v>2.330272489398655E-13</v>
      </c>
      <c r="H110" s="14">
        <v>6.413278671229157E-2</v>
      </c>
      <c r="I110" s="14">
        <v>0.1136078268367829</v>
      </c>
      <c r="J110" s="14">
        <v>0</v>
      </c>
      <c r="K110" s="14">
        <v>0.99907913373823809</v>
      </c>
      <c r="L110" s="14">
        <v>1.0009217150380434</v>
      </c>
      <c r="M110" s="14">
        <v>0.82125626718871458</v>
      </c>
      <c r="N110" s="14">
        <v>0.89176987116993833</v>
      </c>
      <c r="O110" s="14">
        <v>212.38391251783253</v>
      </c>
      <c r="P110" s="8">
        <v>0.89176987116993844</v>
      </c>
      <c r="Q110" s="54">
        <v>4.2384615961612677E-3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0.99993551328108399</v>
      </c>
      <c r="F111" s="14">
        <v>1.003832863962504</v>
      </c>
      <c r="G111" s="14">
        <v>4.1272758559341828E-32</v>
      </c>
      <c r="H111" s="14">
        <v>4.5413127280889516E-3</v>
      </c>
      <c r="I111" s="14">
        <v>3.4738812909567702E-5</v>
      </c>
      <c r="J111" s="14">
        <v>0</v>
      </c>
      <c r="K111" s="14">
        <v>0.99618177079063308</v>
      </c>
      <c r="L111" s="14">
        <v>1.003832863962504</v>
      </c>
      <c r="M111" s="14">
        <v>0.82364486488123456</v>
      </c>
      <c r="N111" s="14">
        <v>0.88737026457859358</v>
      </c>
      <c r="O111" s="14">
        <v>408.57189091992183</v>
      </c>
      <c r="P111" s="8">
        <v>0.88737026457859358</v>
      </c>
      <c r="Q111" s="54">
        <v>3.7932806331027571E-6</v>
      </c>
    </row>
    <row r="112" spans="1:17">
      <c r="A112" s="2" t="s">
        <v>469</v>
      </c>
      <c r="B112" s="16" t="s">
        <v>470</v>
      </c>
      <c r="D112" s="14">
        <v>1</v>
      </c>
      <c r="E112" s="14">
        <v>0.99650218998732032</v>
      </c>
      <c r="F112" s="14">
        <v>1.0002873996528279</v>
      </c>
      <c r="G112" s="14">
        <v>2.6210981616816442E-15</v>
      </c>
      <c r="H112" s="14">
        <v>2.2143935008900942E-2</v>
      </c>
      <c r="I112" s="14">
        <v>9.5788190430516632E-2</v>
      </c>
      <c r="J112" s="14">
        <v>0</v>
      </c>
      <c r="K112" s="14">
        <v>0.99971268292200055</v>
      </c>
      <c r="L112" s="14">
        <v>1.0002873996528279</v>
      </c>
      <c r="M112" s="14">
        <v>0.82073581141514529</v>
      </c>
      <c r="N112" s="14">
        <v>0.88991324673550476</v>
      </c>
      <c r="O112" s="14">
        <v>182.65469389246235</v>
      </c>
      <c r="P112" s="8">
        <v>0.88991324673550487</v>
      </c>
      <c r="Q112" s="54">
        <v>5.4968257363594494E-3</v>
      </c>
    </row>
    <row r="113" spans="1:17">
      <c r="A113" s="2" t="s">
        <v>471</v>
      </c>
      <c r="B113" s="16" t="s">
        <v>472</v>
      </c>
      <c r="D113" s="14">
        <v>1</v>
      </c>
      <c r="E113" s="14">
        <v>0.98023080144001373</v>
      </c>
      <c r="F113" s="14">
        <v>0.98096846062919152</v>
      </c>
      <c r="G113" s="14">
        <v>3.2971866455901326E-11</v>
      </c>
      <c r="H113" s="14">
        <v>0.64315410289152219</v>
      </c>
      <c r="I113" s="14">
        <v>2.1675654266461262</v>
      </c>
      <c r="J113" s="14">
        <v>0</v>
      </c>
      <c r="K113" s="14">
        <v>1.0194007658091286</v>
      </c>
      <c r="L113" s="14">
        <v>0.98096846062919152</v>
      </c>
      <c r="M113" s="14">
        <v>0.80488462194625165</v>
      </c>
      <c r="N113" s="14">
        <v>0.99758574860144944</v>
      </c>
      <c r="O113" s="14">
        <v>150.7950617585951</v>
      </c>
      <c r="P113" s="8">
        <v>0.99758574860144955</v>
      </c>
      <c r="Q113" s="54">
        <v>3.1518984399285799E-2</v>
      </c>
    </row>
    <row r="114" spans="1:17">
      <c r="A114" s="2" t="s">
        <v>473</v>
      </c>
      <c r="B114" s="16" t="s">
        <v>474</v>
      </c>
      <c r="D114" s="14">
        <v>1</v>
      </c>
      <c r="E114" s="14">
        <v>0.99816060786701399</v>
      </c>
      <c r="F114" s="14">
        <v>1.0020328935877676</v>
      </c>
      <c r="G114" s="14">
        <v>2.5670914347406911E-18</v>
      </c>
      <c r="H114" s="14">
        <v>6.4334210878878272E-3</v>
      </c>
      <c r="I114" s="14">
        <v>3.0010428560964655E-2</v>
      </c>
      <c r="J114" s="14">
        <v>0</v>
      </c>
      <c r="K114" s="14">
        <v>0.997971230684365</v>
      </c>
      <c r="L114" s="14">
        <v>1.0020328935877678</v>
      </c>
      <c r="M114" s="14">
        <v>0.82216798918876344</v>
      </c>
      <c r="N114" s="14">
        <v>0.88752892900940561</v>
      </c>
      <c r="O114" s="14">
        <v>301.1918173486319</v>
      </c>
      <c r="P114" s="8">
        <v>0.88752892900940572</v>
      </c>
      <c r="Q114" s="54">
        <v>2.8436241727282305E-3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0.99990861222849159</v>
      </c>
      <c r="F115" s="14">
        <v>0.97625939812337159</v>
      </c>
      <c r="G115" s="14">
        <v>1.3244001447103802E-14</v>
      </c>
      <c r="H115" s="14">
        <v>7.8023463996518174</v>
      </c>
      <c r="I115" s="14">
        <v>8.653079550229148E-3</v>
      </c>
      <c r="J115" s="14">
        <v>0</v>
      </c>
      <c r="K115" s="14">
        <v>1.0243179240294784</v>
      </c>
      <c r="L115" s="14">
        <v>0.97625939812337159</v>
      </c>
      <c r="M115" s="14">
        <v>0.80102083616022646</v>
      </c>
      <c r="N115" s="14">
        <v>0.89764054869299859</v>
      </c>
      <c r="O115" s="14">
        <v>172.46367862038579</v>
      </c>
      <c r="P115" s="8">
        <v>0.89764054869299859</v>
      </c>
      <c r="Q115" s="54">
        <v>4.5684691476489638E-5</v>
      </c>
    </row>
    <row r="116" spans="1:17">
      <c r="A116" s="2" t="s">
        <v>477</v>
      </c>
      <c r="B116" s="16" t="s">
        <v>478</v>
      </c>
      <c r="D116" s="14">
        <v>1</v>
      </c>
      <c r="E116" s="14">
        <v>0.98313038212514281</v>
      </c>
      <c r="F116" s="14">
        <v>0.1355959031638681</v>
      </c>
      <c r="G116" s="14">
        <v>3.7672628899054174E-19</v>
      </c>
      <c r="H116" s="14">
        <v>235.33659958460561</v>
      </c>
      <c r="I116" s="14">
        <v>52.775773820242691</v>
      </c>
      <c r="J116" s="14">
        <v>0</v>
      </c>
      <c r="K116" s="14">
        <v>7.3748540823648367</v>
      </c>
      <c r="L116" s="14">
        <v>0.13559590316386813</v>
      </c>
      <c r="M116" s="14">
        <v>0.1112564385459538</v>
      </c>
      <c r="N116" s="14">
        <v>124.30912284123823</v>
      </c>
      <c r="O116" s="14">
        <v>56510.927243626902</v>
      </c>
      <c r="P116" s="8">
        <v>124.30912284123823</v>
      </c>
      <c r="Q116" s="54">
        <v>1.3068766841552679E-2</v>
      </c>
    </row>
    <row r="117" spans="1:17">
      <c r="A117" s="2" t="s">
        <v>291</v>
      </c>
      <c r="B117" s="16" t="s">
        <v>479</v>
      </c>
      <c r="D117" s="14">
        <v>1</v>
      </c>
      <c r="E117" s="14">
        <v>0.83765808058814717</v>
      </c>
      <c r="F117" s="14">
        <v>0.57894772603231948</v>
      </c>
      <c r="G117" s="14">
        <v>3.9925268010325754E-12</v>
      </c>
      <c r="H117" s="14">
        <v>59.295174633551312</v>
      </c>
      <c r="I117" s="14">
        <v>137.74521563238184</v>
      </c>
      <c r="J117" s="14">
        <v>0</v>
      </c>
      <c r="K117" s="14">
        <v>1.7272716603505158</v>
      </c>
      <c r="L117" s="14">
        <v>0.57894772603231948</v>
      </c>
      <c r="M117" s="14">
        <v>0.47502660920951817</v>
      </c>
      <c r="N117" s="14">
        <v>8.9228179218683117</v>
      </c>
      <c r="O117" s="14">
        <v>2751.1724498496565</v>
      </c>
      <c r="P117" s="8">
        <v>8.9228179218683117</v>
      </c>
      <c r="Q117" s="54">
        <v>0.25874771500455213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2.066988890906425E-8</v>
      </c>
      <c r="E2" s="20">
        <v>0.98994162282271547</v>
      </c>
      <c r="F2" s="20">
        <v>6.0863486498491436E-4</v>
      </c>
      <c r="G2" s="20">
        <v>2.4426001655174494E-4</v>
      </c>
      <c r="H2" s="20">
        <v>0</v>
      </c>
      <c r="I2" s="20">
        <v>0.98908872794117886</v>
      </c>
      <c r="J2" s="20">
        <v>6.4138861503687563E-5</v>
      </c>
      <c r="K2" s="20">
        <v>9.9942176458919802E-3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1.8824991283411164E-8</v>
      </c>
      <c r="E3" s="20">
        <v>0.84523006852776728</v>
      </c>
      <c r="F3" s="20">
        <v>0.2247929032735046</v>
      </c>
      <c r="G3" s="20">
        <v>5.4609825551789962E-2</v>
      </c>
      <c r="H3" s="20">
        <v>0</v>
      </c>
      <c r="I3" s="20">
        <v>0.56582733970247268</v>
      </c>
      <c r="J3" s="20">
        <v>7.5342681896914171E-4</v>
      </c>
      <c r="K3" s="20">
        <v>0.15401648582827251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1.0580465181059306E-17</v>
      </c>
      <c r="E4" s="20">
        <v>0.99992014953384356</v>
      </c>
      <c r="F4" s="20">
        <v>4.2181638644158814E-4</v>
      </c>
      <c r="G4" s="20">
        <v>4.6453569263808034E-7</v>
      </c>
      <c r="H4" s="20">
        <v>0</v>
      </c>
      <c r="I4" s="20">
        <v>0.99949786861170931</v>
      </c>
      <c r="J4" s="20">
        <v>7.1138513445162779E-5</v>
      </c>
      <c r="K4" s="20">
        <v>8.7119527112689387E-6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1.7614706172572434E-10</v>
      </c>
      <c r="E5" s="20">
        <v>0.99985452527629437</v>
      </c>
      <c r="F5" s="20">
        <v>0.45217104927560231</v>
      </c>
      <c r="G5" s="20">
        <v>3.5889054625561895E-5</v>
      </c>
      <c r="H5" s="20">
        <v>0</v>
      </c>
      <c r="I5" s="20">
        <v>0.54764758694606652</v>
      </c>
      <c r="J5" s="20">
        <v>6.6104171280504471E-5</v>
      </c>
      <c r="K5" s="20">
        <v>7.9370376278005981E-5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1.4454317580665469E-11</v>
      </c>
      <c r="E6" s="20">
        <v>0.99963544768368606</v>
      </c>
      <c r="F6" s="20">
        <v>0.67522786197611784</v>
      </c>
      <c r="G6" s="20">
        <v>1.9581361278245271E-4</v>
      </c>
      <c r="H6" s="20">
        <v>0</v>
      </c>
      <c r="I6" s="20">
        <v>0.32421177209478574</v>
      </c>
      <c r="J6" s="20">
        <v>6.68794001356353E-5</v>
      </c>
      <c r="K6" s="20">
        <v>2.9767290172386622E-4</v>
      </c>
      <c r="L6" s="20">
        <v>0</v>
      </c>
    </row>
    <row r="7" spans="1:14">
      <c r="A7" s="2" t="s">
        <v>366</v>
      </c>
      <c r="B7" s="3" t="s">
        <v>305</v>
      </c>
      <c r="D7" s="20">
        <v>1.2630113154361615E-7</v>
      </c>
      <c r="E7" s="20">
        <v>0.99834427463776265</v>
      </c>
      <c r="F7" s="20">
        <v>0.88868387399150961</v>
      </c>
      <c r="G7" s="20">
        <v>1.8090159800912445E-3</v>
      </c>
      <c r="H7" s="20">
        <v>0</v>
      </c>
      <c r="I7" s="20">
        <v>0.10785138466616179</v>
      </c>
      <c r="J7" s="20">
        <v>8.0387741642519005E-5</v>
      </c>
      <c r="K7" s="20">
        <v>1.5752113194633852E-3</v>
      </c>
      <c r="L7" s="20">
        <v>0</v>
      </c>
    </row>
    <row r="8" spans="1:14">
      <c r="A8" s="2" t="s">
        <v>289</v>
      </c>
      <c r="B8" s="3" t="s">
        <v>290</v>
      </c>
      <c r="D8" s="20">
        <v>8.9536905880940059E-18</v>
      </c>
      <c r="E8" s="20">
        <v>0.99978833829614111</v>
      </c>
      <c r="F8" s="20">
        <v>0.76982786703083095</v>
      </c>
      <c r="G8" s="20">
        <v>1.170626127895395E-4</v>
      </c>
      <c r="H8" s="20">
        <v>0</v>
      </c>
      <c r="I8" s="20">
        <v>0.22984340865252068</v>
      </c>
      <c r="J8" s="20">
        <v>6.4865564562572835E-5</v>
      </c>
      <c r="K8" s="20">
        <v>1.4679613929637644E-4</v>
      </c>
      <c r="L8" s="20">
        <v>0</v>
      </c>
    </row>
    <row r="9" spans="1:14">
      <c r="A9" s="2" t="s">
        <v>291</v>
      </c>
      <c r="B9" s="3" t="s">
        <v>292</v>
      </c>
      <c r="D9" s="20">
        <v>3.7541443588643932E-13</v>
      </c>
      <c r="E9" s="20">
        <v>0.99957181556192953</v>
      </c>
      <c r="F9" s="20">
        <v>0.3851909309620577</v>
      </c>
      <c r="G9" s="20">
        <v>1.4599836828138758E-4</v>
      </c>
      <c r="H9" s="20">
        <v>0</v>
      </c>
      <c r="I9" s="20">
        <v>0.61423488623159039</v>
      </c>
      <c r="J9" s="20">
        <v>6.7236618049586341E-5</v>
      </c>
      <c r="K9" s="20">
        <v>3.6094781964542805E-4</v>
      </c>
      <c r="L9" s="20">
        <v>0</v>
      </c>
    </row>
    <row r="10" spans="1:14">
      <c r="A10" s="2" t="s">
        <v>367</v>
      </c>
      <c r="B10" s="3" t="s">
        <v>368</v>
      </c>
      <c r="D10" s="20">
        <v>1.2071774138587508E-5</v>
      </c>
      <c r="E10" s="20">
        <v>0.94862267471508777</v>
      </c>
      <c r="F10" s="20">
        <v>0.79815968086571332</v>
      </c>
      <c r="G10" s="20">
        <v>0.13940724380732814</v>
      </c>
      <c r="H10" s="20">
        <v>0</v>
      </c>
      <c r="I10" s="20">
        <v>1.1055750042046284E-2</v>
      </c>
      <c r="J10" s="20">
        <v>1.5936352321187014E-3</v>
      </c>
      <c r="K10" s="20">
        <v>4.9771618278655158E-2</v>
      </c>
      <c r="L10" s="20">
        <v>0</v>
      </c>
    </row>
    <row r="11" spans="1:14">
      <c r="A11" s="2" t="s">
        <v>369</v>
      </c>
      <c r="B11" s="3" t="s">
        <v>370</v>
      </c>
      <c r="D11" s="20">
        <v>4.7219338007180687E-12</v>
      </c>
      <c r="E11" s="20">
        <v>0.98534613302052299</v>
      </c>
      <c r="F11" s="20">
        <v>0.56899828066373426</v>
      </c>
      <c r="G11" s="20">
        <v>0.4157242189380182</v>
      </c>
      <c r="H11" s="20">
        <v>0</v>
      </c>
      <c r="I11" s="20">
        <v>6.2363341877056874E-4</v>
      </c>
      <c r="J11" s="20">
        <v>7.027780128016383E-3</v>
      </c>
      <c r="K11" s="20">
        <v>7.6260868467384691E-3</v>
      </c>
      <c r="L11" s="20">
        <v>0</v>
      </c>
    </row>
    <row r="12" spans="1:14">
      <c r="A12" s="2" t="s">
        <v>371</v>
      </c>
      <c r="B12" s="3" t="s">
        <v>372</v>
      </c>
      <c r="D12" s="20">
        <v>5.9432074382338336E-2</v>
      </c>
      <c r="E12" s="20">
        <v>0.93870459184527133</v>
      </c>
      <c r="F12" s="20">
        <v>2.6385233809770978E-5</v>
      </c>
      <c r="G12" s="20">
        <v>1.3078226722013097E-5</v>
      </c>
      <c r="H12" s="20">
        <v>0</v>
      </c>
      <c r="I12" s="20">
        <v>0.93866512838473959</v>
      </c>
      <c r="J12" s="20">
        <v>5.846644714770829E-5</v>
      </c>
      <c r="K12" s="20">
        <v>1.8048673252426851E-3</v>
      </c>
      <c r="L12" s="20">
        <v>0</v>
      </c>
    </row>
    <row r="13" spans="1:14">
      <c r="A13" s="2" t="s">
        <v>293</v>
      </c>
      <c r="B13" s="3" t="s">
        <v>294</v>
      </c>
      <c r="D13" s="20">
        <v>1.6472043034067768E-8</v>
      </c>
      <c r="E13" s="20">
        <v>0.84743076126295158</v>
      </c>
      <c r="F13" s="20">
        <v>0.16988934914492404</v>
      </c>
      <c r="G13" s="20">
        <v>4.3577439429728589E-2</v>
      </c>
      <c r="H13" s="20">
        <v>0</v>
      </c>
      <c r="I13" s="20">
        <v>0.63396397268829896</v>
      </c>
      <c r="J13" s="20">
        <v>5.2912854311134325E-4</v>
      </c>
      <c r="K13" s="20">
        <v>0.152040093721894</v>
      </c>
      <c r="L13" s="20">
        <v>0</v>
      </c>
    </row>
    <row r="14" spans="1:14">
      <c r="A14" s="2" t="s">
        <v>373</v>
      </c>
      <c r="B14" s="3" t="s">
        <v>374</v>
      </c>
      <c r="D14" s="20">
        <v>6.6762159104867252E-8</v>
      </c>
      <c r="E14" s="20">
        <v>0.99953873139759175</v>
      </c>
      <c r="F14" s="20">
        <v>0.98917830516764638</v>
      </c>
      <c r="G14" s="20">
        <v>1.549673594912379E-3</v>
      </c>
      <c r="H14" s="20">
        <v>0</v>
      </c>
      <c r="I14" s="20">
        <v>8.8107526350329583E-3</v>
      </c>
      <c r="J14" s="20">
        <v>1.3118458053203893E-4</v>
      </c>
      <c r="K14" s="20">
        <v>3.300172597170667E-4</v>
      </c>
      <c r="L14" s="20">
        <v>0</v>
      </c>
    </row>
    <row r="15" spans="1:14">
      <c r="A15" s="2" t="s">
        <v>375</v>
      </c>
      <c r="B15" s="3" t="s">
        <v>376</v>
      </c>
      <c r="D15" s="20">
        <v>7.2978073382040112E-2</v>
      </c>
      <c r="E15" s="20">
        <v>0.867740156519895</v>
      </c>
      <c r="F15" s="20">
        <v>2.1449198981853261E-2</v>
      </c>
      <c r="G15" s="20">
        <v>6.5419411580118778E-3</v>
      </c>
      <c r="H15" s="20">
        <v>0</v>
      </c>
      <c r="I15" s="20">
        <v>0.83974901638002986</v>
      </c>
      <c r="J15" s="20">
        <v>1.2519065474730776E-4</v>
      </c>
      <c r="K15" s="20">
        <v>5.9156579443317522E-2</v>
      </c>
      <c r="L15" s="20">
        <v>0</v>
      </c>
    </row>
    <row r="16" spans="1:14">
      <c r="A16" s="2" t="s">
        <v>377</v>
      </c>
      <c r="B16" s="3" t="s">
        <v>378</v>
      </c>
      <c r="D16" s="20">
        <v>6.3138718928029637E-4</v>
      </c>
      <c r="E16" s="20">
        <v>0.84017608012718903</v>
      </c>
      <c r="F16" s="20">
        <v>0.19503585126610673</v>
      </c>
      <c r="G16" s="20">
        <v>4.9295809830007517E-2</v>
      </c>
      <c r="H16" s="20">
        <v>0</v>
      </c>
      <c r="I16" s="20">
        <v>0.59584441903107477</v>
      </c>
      <c r="J16" s="20">
        <v>5.9134824731999771E-4</v>
      </c>
      <c r="K16" s="20">
        <v>0.1586011844362108</v>
      </c>
      <c r="L16" s="20">
        <v>0</v>
      </c>
    </row>
    <row r="17" spans="1:12">
      <c r="A17" s="2" t="s">
        <v>379</v>
      </c>
      <c r="B17" s="3" t="s">
        <v>380</v>
      </c>
      <c r="D17" s="20">
        <v>1.8899744516881125E-3</v>
      </c>
      <c r="E17" s="20">
        <v>0.84322321649123144</v>
      </c>
      <c r="F17" s="20">
        <v>0.17876175833751115</v>
      </c>
      <c r="G17" s="20">
        <v>4.5600559697387459E-2</v>
      </c>
      <c r="H17" s="20">
        <v>0</v>
      </c>
      <c r="I17" s="20">
        <v>0.61886089845633285</v>
      </c>
      <c r="J17" s="20">
        <v>5.510387421721265E-4</v>
      </c>
      <c r="K17" s="20">
        <v>0.15433577031490828</v>
      </c>
      <c r="L17" s="20">
        <v>0</v>
      </c>
    </row>
    <row r="18" spans="1:12">
      <c r="A18" s="2" t="s">
        <v>381</v>
      </c>
      <c r="B18" s="3" t="s">
        <v>382</v>
      </c>
      <c r="D18" s="20">
        <v>3.4742065071367971E-8</v>
      </c>
      <c r="E18" s="20">
        <v>0.95523446635893128</v>
      </c>
      <c r="F18" s="20">
        <v>0.25732045679967086</v>
      </c>
      <c r="G18" s="20">
        <v>0.69722005227406203</v>
      </c>
      <c r="H18" s="20">
        <v>0</v>
      </c>
      <c r="I18" s="20">
        <v>6.939572851983758E-4</v>
      </c>
      <c r="J18" s="20">
        <v>8.0823769319267671E-3</v>
      </c>
      <c r="K18" s="20">
        <v>3.6683121967076994E-2</v>
      </c>
      <c r="L18" s="20">
        <v>0</v>
      </c>
    </row>
    <row r="19" spans="1:12">
      <c r="A19" s="2" t="s">
        <v>383</v>
      </c>
      <c r="B19" s="3" t="s">
        <v>384</v>
      </c>
      <c r="D19" s="20">
        <v>9.6061755034446191E-3</v>
      </c>
      <c r="E19" s="20">
        <v>0.95641335039227804</v>
      </c>
      <c r="F19" s="20">
        <v>6.5943075951725083E-3</v>
      </c>
      <c r="G19" s="20">
        <v>2.2134247232070336E-3</v>
      </c>
      <c r="H19" s="20">
        <v>0</v>
      </c>
      <c r="I19" s="20">
        <v>0.94760561807389854</v>
      </c>
      <c r="J19" s="20">
        <v>8.3480822480087652E-5</v>
      </c>
      <c r="K19" s="20">
        <v>3.3896993281797239E-2</v>
      </c>
      <c r="L19" s="20">
        <v>0</v>
      </c>
    </row>
    <row r="20" spans="1:12">
      <c r="A20" s="2" t="s">
        <v>385</v>
      </c>
      <c r="B20" s="3" t="s">
        <v>386</v>
      </c>
      <c r="D20" s="20">
        <v>1.8252737431782403E-2</v>
      </c>
      <c r="E20" s="20">
        <v>0.93605011157515472</v>
      </c>
      <c r="F20" s="20">
        <v>1.1965936415795785E-2</v>
      </c>
      <c r="G20" s="20">
        <v>3.8356789233940287E-3</v>
      </c>
      <c r="H20" s="20">
        <v>0</v>
      </c>
      <c r="I20" s="20">
        <v>0.92024849623596494</v>
      </c>
      <c r="J20" s="20">
        <v>9.9899313087685443E-5</v>
      </c>
      <c r="K20" s="20">
        <v>4.5597251679975088E-2</v>
      </c>
      <c r="L20" s="20">
        <v>0</v>
      </c>
    </row>
    <row r="21" spans="1:12">
      <c r="A21" s="2" t="s">
        <v>387</v>
      </c>
      <c r="B21" s="3" t="s">
        <v>388</v>
      </c>
      <c r="D21" s="20">
        <v>1.5095423024054358E-3</v>
      </c>
      <c r="E21" s="20">
        <v>0.96790812050578567</v>
      </c>
      <c r="F21" s="20">
        <v>0.82411300179267577</v>
      </c>
      <c r="G21" s="20">
        <v>3.325875041834768E-2</v>
      </c>
      <c r="H21" s="20">
        <v>0</v>
      </c>
      <c r="I21" s="20">
        <v>0.11053636829476221</v>
      </c>
      <c r="J21" s="20">
        <v>4.2435025084390201E-4</v>
      </c>
      <c r="K21" s="20">
        <v>3.0157986940965061E-2</v>
      </c>
      <c r="L21" s="20">
        <v>0</v>
      </c>
    </row>
    <row r="22" spans="1:12">
      <c r="A22" s="2" t="s">
        <v>295</v>
      </c>
      <c r="B22" s="3" t="s">
        <v>296</v>
      </c>
      <c r="D22" s="20">
        <v>5.2650378198468004E-2</v>
      </c>
      <c r="E22" s="20">
        <v>0.93439843323973304</v>
      </c>
      <c r="F22" s="20">
        <v>1.0462131621435968E-3</v>
      </c>
      <c r="G22" s="20">
        <v>4.0171285986986138E-4</v>
      </c>
      <c r="H22" s="20">
        <v>0</v>
      </c>
      <c r="I22" s="20">
        <v>0.93295050721771955</v>
      </c>
      <c r="J22" s="20">
        <v>6.2398327771884878E-5</v>
      </c>
      <c r="K22" s="20">
        <v>1.2888790234027244E-2</v>
      </c>
      <c r="L22" s="20">
        <v>0</v>
      </c>
    </row>
    <row r="23" spans="1:12">
      <c r="A23" s="2" t="s">
        <v>389</v>
      </c>
      <c r="B23" s="3" t="s">
        <v>390</v>
      </c>
      <c r="D23" s="20">
        <v>6.029335647626511E-2</v>
      </c>
      <c r="E23" s="20">
        <v>0.86128354081096048</v>
      </c>
      <c r="F23" s="20">
        <v>3.7817093353370232E-2</v>
      </c>
      <c r="G23" s="20">
        <v>1.1035288739409174E-2</v>
      </c>
      <c r="H23" s="20">
        <v>0</v>
      </c>
      <c r="I23" s="20">
        <v>0.81243115871818106</v>
      </c>
      <c r="J23" s="20">
        <v>1.7386386571602365E-4</v>
      </c>
      <c r="K23" s="20">
        <v>7.8249238847058283E-2</v>
      </c>
      <c r="L23" s="20">
        <v>0</v>
      </c>
    </row>
    <row r="24" spans="1:12">
      <c r="A24" s="2" t="s">
        <v>391</v>
      </c>
      <c r="B24" s="3" t="s">
        <v>392</v>
      </c>
      <c r="D24" s="20">
        <v>1.8946355360688542E-3</v>
      </c>
      <c r="E24" s="20">
        <v>0.82449973968610046</v>
      </c>
      <c r="F24" s="20">
        <v>0.28664499495319679</v>
      </c>
      <c r="G24" s="20">
        <v>6.9189456388024276E-2</v>
      </c>
      <c r="H24" s="20">
        <v>0</v>
      </c>
      <c r="I24" s="20">
        <v>0.46866528834487936</v>
      </c>
      <c r="J24" s="20">
        <v>8.0856871261807009E-4</v>
      </c>
      <c r="K24" s="20">
        <v>0.17279705606521267</v>
      </c>
      <c r="L24" s="20">
        <v>0</v>
      </c>
    </row>
    <row r="25" spans="1:12">
      <c r="A25" s="2" t="s">
        <v>393</v>
      </c>
      <c r="B25" s="3" t="s">
        <v>394</v>
      </c>
      <c r="D25" s="20">
        <v>1.6053535474584832E-4</v>
      </c>
      <c r="E25" s="20">
        <v>0.95181162955575194</v>
      </c>
      <c r="F25" s="20">
        <v>0.30802741866383865</v>
      </c>
      <c r="G25" s="20">
        <v>0.6428134152857109</v>
      </c>
      <c r="H25" s="20">
        <v>0</v>
      </c>
      <c r="I25" s="20">
        <v>9.7079560620239166E-4</v>
      </c>
      <c r="J25" s="20">
        <v>7.4413583423141331E-3</v>
      </c>
      <c r="K25" s="20">
        <v>4.0586476747188231E-2</v>
      </c>
      <c r="L25" s="20">
        <v>0</v>
      </c>
    </row>
    <row r="26" spans="1:12">
      <c r="A26" s="2" t="s">
        <v>395</v>
      </c>
      <c r="B26" s="3" t="s">
        <v>396</v>
      </c>
      <c r="D26" s="20">
        <v>0.12651190661905889</v>
      </c>
      <c r="E26" s="20">
        <v>0.73627034625492405</v>
      </c>
      <c r="F26" s="20">
        <v>0.46854368105687244</v>
      </c>
      <c r="G26" s="20">
        <v>0.10107544000132669</v>
      </c>
      <c r="H26" s="20">
        <v>0</v>
      </c>
      <c r="I26" s="20">
        <v>0.16665122519672496</v>
      </c>
      <c r="J26" s="20">
        <v>1.1541145827332949E-3</v>
      </c>
      <c r="K26" s="20">
        <v>0.13606363254328377</v>
      </c>
      <c r="L26" s="20">
        <v>0</v>
      </c>
    </row>
    <row r="27" spans="1:12">
      <c r="A27" s="2" t="s">
        <v>397</v>
      </c>
      <c r="B27" s="3" t="s">
        <v>398</v>
      </c>
      <c r="D27" s="20">
        <v>0.57173666862474248</v>
      </c>
      <c r="E27" s="20">
        <v>0.38821907692054303</v>
      </c>
      <c r="F27" s="20">
        <v>0.30975243644209061</v>
      </c>
      <c r="G27" s="20">
        <v>5.8845097463301244E-2</v>
      </c>
      <c r="H27" s="20">
        <v>0</v>
      </c>
      <c r="I27" s="20">
        <v>1.9621543015151149E-2</v>
      </c>
      <c r="J27" s="20">
        <v>6.705110032695585E-4</v>
      </c>
      <c r="K27" s="20">
        <v>3.9373743451444961E-2</v>
      </c>
      <c r="L27" s="20">
        <v>0</v>
      </c>
    </row>
    <row r="28" spans="1:12">
      <c r="A28" s="2" t="s">
        <v>399</v>
      </c>
      <c r="B28" s="3" t="s">
        <v>400</v>
      </c>
      <c r="D28" s="20">
        <v>0.75373907202563062</v>
      </c>
      <c r="E28" s="20">
        <v>0.21030188962162433</v>
      </c>
      <c r="F28" s="20">
        <v>0.14329786271635675</v>
      </c>
      <c r="G28" s="20">
        <v>3.0181114178252918E-2</v>
      </c>
      <c r="H28" s="20">
        <v>0</v>
      </c>
      <c r="I28" s="20">
        <v>3.6822912727014649E-2</v>
      </c>
      <c r="J28" s="20">
        <v>3.4414165024662847E-4</v>
      </c>
      <c r="K28" s="20">
        <v>3.5614896702498441E-2</v>
      </c>
      <c r="L28" s="20">
        <v>0</v>
      </c>
    </row>
    <row r="29" spans="1:12">
      <c r="A29" s="2" t="s">
        <v>297</v>
      </c>
      <c r="B29" s="3" t="s">
        <v>298</v>
      </c>
      <c r="D29" s="20">
        <v>0.91906250921431409</v>
      </c>
      <c r="E29" s="20">
        <v>7.6692434933230691E-2</v>
      </c>
      <c r="F29" s="20">
        <v>1.2530365375394937E-3</v>
      </c>
      <c r="G29" s="20">
        <v>3.9432952010108244E-4</v>
      </c>
      <c r="H29" s="20">
        <v>0</v>
      </c>
      <c r="I29" s="20">
        <v>7.5045068875590121E-2</v>
      </c>
      <c r="J29" s="20">
        <v>9.0581980339006051E-6</v>
      </c>
      <c r="K29" s="20">
        <v>4.2359976544215855E-3</v>
      </c>
      <c r="L29" s="20">
        <v>0</v>
      </c>
    </row>
    <row r="30" spans="1:12">
      <c r="A30" s="2" t="s">
        <v>401</v>
      </c>
      <c r="B30" s="3" t="s">
        <v>402</v>
      </c>
      <c r="D30" s="20">
        <v>0.90334666197721769</v>
      </c>
      <c r="E30" s="20">
        <v>8.2281309117785043E-2</v>
      </c>
      <c r="F30" s="20">
        <v>5.5267921035737293E-2</v>
      </c>
      <c r="G30" s="20">
        <v>1.1704926307604906E-2</v>
      </c>
      <c r="H30" s="20">
        <v>0</v>
      </c>
      <c r="I30" s="20">
        <v>1.5308461774442847E-2</v>
      </c>
      <c r="J30" s="20">
        <v>1.3350054764114396E-4</v>
      </c>
      <c r="K30" s="20">
        <v>1.4238528357356142E-2</v>
      </c>
      <c r="L30" s="20">
        <v>0</v>
      </c>
    </row>
    <row r="31" spans="1:12">
      <c r="A31" s="2" t="s">
        <v>299</v>
      </c>
      <c r="B31" s="3" t="s">
        <v>300</v>
      </c>
      <c r="D31" s="20">
        <v>0.99795816201739806</v>
      </c>
      <c r="E31" s="20">
        <v>1.6912114925180331E-3</v>
      </c>
      <c r="F31" s="20">
        <v>9.1060707195826239E-4</v>
      </c>
      <c r="G31" s="20">
        <v>2.0493992558484402E-4</v>
      </c>
      <c r="H31" s="20">
        <v>0</v>
      </c>
      <c r="I31" s="20">
        <v>5.7566449497492675E-4</v>
      </c>
      <c r="J31" s="20">
        <v>2.3509335371164825E-6</v>
      </c>
      <c r="K31" s="20">
        <v>3.4827555654691353E-4</v>
      </c>
      <c r="L31" s="20">
        <v>0</v>
      </c>
    </row>
    <row r="32" spans="1:12">
      <c r="A32" s="2" t="s">
        <v>343</v>
      </c>
      <c r="B32" s="3" t="s">
        <v>344</v>
      </c>
      <c r="D32" s="20">
        <v>1.8280504407611044E-3</v>
      </c>
      <c r="E32" s="20">
        <v>0.85422606447625093</v>
      </c>
      <c r="F32" s="20">
        <v>0.1439484057006627</v>
      </c>
      <c r="G32" s="20">
        <v>3.7540704165150221E-2</v>
      </c>
      <c r="H32" s="20">
        <v>0</v>
      </c>
      <c r="I32" s="20">
        <v>0.67273695461043803</v>
      </c>
      <c r="J32" s="20">
        <v>4.6341804975090766E-4</v>
      </c>
      <c r="K32" s="20">
        <v>0.14348246703323717</v>
      </c>
      <c r="L32" s="20">
        <v>0</v>
      </c>
    </row>
    <row r="33" spans="1:12">
      <c r="A33" s="2" t="s">
        <v>345</v>
      </c>
      <c r="B33" s="3" t="s">
        <v>346</v>
      </c>
      <c r="D33" s="20">
        <v>7.4334543208190286E-5</v>
      </c>
      <c r="E33" s="20">
        <v>0.89553359096698082</v>
      </c>
      <c r="F33" s="20">
        <v>6.5495183207189597E-2</v>
      </c>
      <c r="G33" s="20">
        <v>1.8352909230399589E-2</v>
      </c>
      <c r="H33" s="20">
        <v>0</v>
      </c>
      <c r="I33" s="20">
        <v>0.81168549852939165</v>
      </c>
      <c r="J33" s="20">
        <v>2.5596764992145293E-4</v>
      </c>
      <c r="K33" s="20">
        <v>0.10413610683988939</v>
      </c>
      <c r="L33" s="20">
        <v>0</v>
      </c>
    </row>
    <row r="34" spans="1:12">
      <c r="A34" s="2" t="s">
        <v>347</v>
      </c>
      <c r="B34" s="3" t="s">
        <v>348</v>
      </c>
      <c r="D34" s="20">
        <v>6.8711918073133547E-5</v>
      </c>
      <c r="E34" s="20">
        <v>0.83830999851224697</v>
      </c>
      <c r="F34" s="20">
        <v>0.51386703263962485</v>
      </c>
      <c r="G34" s="20">
        <v>0.11208469428493213</v>
      </c>
      <c r="H34" s="20">
        <v>0</v>
      </c>
      <c r="I34" s="20">
        <v>0.21235827158768997</v>
      </c>
      <c r="J34" s="20">
        <v>1.2809746200754416E-3</v>
      </c>
      <c r="K34" s="20">
        <v>0.16034031494960457</v>
      </c>
      <c r="L34" s="20">
        <v>0</v>
      </c>
    </row>
    <row r="35" spans="1:12">
      <c r="A35" s="2" t="s">
        <v>349</v>
      </c>
      <c r="B35" s="3" t="s">
        <v>350</v>
      </c>
      <c r="D35" s="20">
        <v>1.1301606182951092E-2</v>
      </c>
      <c r="E35" s="20">
        <v>0.91966288049778311</v>
      </c>
      <c r="F35" s="20">
        <v>0.760254245510807</v>
      </c>
      <c r="G35" s="20">
        <v>0.13666408860124415</v>
      </c>
      <c r="H35" s="20">
        <v>0</v>
      </c>
      <c r="I35" s="20">
        <v>2.2744546385731916E-2</v>
      </c>
      <c r="J35" s="20">
        <v>1.5592801705111515E-3</v>
      </c>
      <c r="K35" s="20">
        <v>6.7476233148754672E-2</v>
      </c>
      <c r="L35" s="20">
        <v>0</v>
      </c>
    </row>
    <row r="36" spans="1:12">
      <c r="A36" s="2" t="s">
        <v>351</v>
      </c>
      <c r="B36" s="3" t="s">
        <v>352</v>
      </c>
      <c r="D36" s="20">
        <v>3.0130289332884784E-4</v>
      </c>
      <c r="E36" s="20">
        <v>0.94266645223131218</v>
      </c>
      <c r="F36" s="20">
        <v>0.64153740990647146</v>
      </c>
      <c r="G36" s="20">
        <v>0.29615395839057651</v>
      </c>
      <c r="H36" s="20">
        <v>0</v>
      </c>
      <c r="I36" s="20">
        <v>4.975083934264192E-3</v>
      </c>
      <c r="J36" s="20">
        <v>3.4014835000953348E-3</v>
      </c>
      <c r="K36" s="20">
        <v>5.3630761375263847E-2</v>
      </c>
      <c r="L36" s="20">
        <v>0</v>
      </c>
    </row>
    <row r="37" spans="1:12">
      <c r="A37" s="2" t="s">
        <v>353</v>
      </c>
      <c r="B37" s="3" t="s">
        <v>354</v>
      </c>
      <c r="D37" s="20">
        <v>2.0454727083197661E-3</v>
      </c>
      <c r="E37" s="20">
        <v>0.95235482874772859</v>
      </c>
      <c r="F37" s="20">
        <v>0.27034128490660331</v>
      </c>
      <c r="G37" s="20">
        <v>0.68125221759976262</v>
      </c>
      <c r="H37" s="20">
        <v>0</v>
      </c>
      <c r="I37" s="20">
        <v>7.6132624136265165E-4</v>
      </c>
      <c r="J37" s="20">
        <v>7.8942293194402824E-3</v>
      </c>
      <c r="K37" s="20">
        <v>3.7705469224511491E-2</v>
      </c>
      <c r="L37" s="20">
        <v>0</v>
      </c>
    </row>
    <row r="38" spans="1:12">
      <c r="A38" s="2" t="s">
        <v>355</v>
      </c>
      <c r="B38" s="3" t="s">
        <v>356</v>
      </c>
      <c r="D38" s="20">
        <v>1.129942207978644E-4</v>
      </c>
      <c r="E38" s="20">
        <v>0.94377971658256854</v>
      </c>
      <c r="F38" s="20">
        <v>0.50894976238790146</v>
      </c>
      <c r="G38" s="20">
        <v>0.43208627492673662</v>
      </c>
      <c r="H38" s="20">
        <v>0</v>
      </c>
      <c r="I38" s="20">
        <v>2.7436792679304475E-3</v>
      </c>
      <c r="J38" s="20">
        <v>4.9783370740240033E-3</v>
      </c>
      <c r="K38" s="20">
        <v>5.1128952122609643E-2</v>
      </c>
      <c r="L38" s="20">
        <v>0</v>
      </c>
    </row>
    <row r="39" spans="1:12">
      <c r="A39" s="2" t="s">
        <v>357</v>
      </c>
      <c r="B39" s="3" t="s">
        <v>358</v>
      </c>
      <c r="D39" s="20">
        <v>2.2888965147414259E-2</v>
      </c>
      <c r="E39" s="20">
        <v>0.92122480964584919</v>
      </c>
      <c r="F39" s="20">
        <v>0.5918952328713849</v>
      </c>
      <c r="G39" s="20">
        <v>0.32519240771718733</v>
      </c>
      <c r="H39" s="20">
        <v>0</v>
      </c>
      <c r="I39" s="20">
        <v>4.13716905727699E-3</v>
      </c>
      <c r="J39" s="20">
        <v>3.7383258993968255E-3</v>
      </c>
      <c r="K39" s="20">
        <v>5.2147899307339762E-2</v>
      </c>
      <c r="L39" s="20">
        <v>0</v>
      </c>
    </row>
    <row r="40" spans="1:12">
      <c r="A40" s="2" t="s">
        <v>359</v>
      </c>
      <c r="B40" s="3" t="s">
        <v>360</v>
      </c>
      <c r="D40" s="20">
        <v>1.129942207978644E-4</v>
      </c>
      <c r="E40" s="20">
        <v>0.94377971658256854</v>
      </c>
      <c r="F40" s="20">
        <v>0.50894976238790146</v>
      </c>
      <c r="G40" s="20">
        <v>0.43208627492673662</v>
      </c>
      <c r="H40" s="20">
        <v>0</v>
      </c>
      <c r="I40" s="20">
        <v>2.7436792679304475E-3</v>
      </c>
      <c r="J40" s="20">
        <v>4.9783370740240033E-3</v>
      </c>
      <c r="K40" s="20">
        <v>5.1128952122609643E-2</v>
      </c>
      <c r="L40" s="20">
        <v>0</v>
      </c>
    </row>
    <row r="41" spans="1:12">
      <c r="A41" s="2" t="s">
        <v>313</v>
      </c>
      <c r="B41" s="3" t="s">
        <v>314</v>
      </c>
      <c r="D41" s="20">
        <v>4.3652792259446483E-8</v>
      </c>
      <c r="E41" s="20">
        <v>0.999860643195987</v>
      </c>
      <c r="F41" s="20">
        <v>4.5545798589958428E-2</v>
      </c>
      <c r="G41" s="20">
        <v>1.0838492243487516E-5</v>
      </c>
      <c r="H41" s="20">
        <v>0</v>
      </c>
      <c r="I41" s="20">
        <v>0.95430400611378507</v>
      </c>
      <c r="J41" s="20">
        <v>6.3234064267086022E-5</v>
      </c>
      <c r="K41" s="20">
        <v>7.6079086953559575E-5</v>
      </c>
      <c r="L41" s="20">
        <v>0</v>
      </c>
    </row>
    <row r="42" spans="1:12">
      <c r="A42" s="2" t="s">
        <v>315</v>
      </c>
      <c r="B42" s="3" t="s">
        <v>316</v>
      </c>
      <c r="D42" s="20">
        <v>2.9483111706757343E-3</v>
      </c>
      <c r="E42" s="20">
        <v>0.95241817100012471</v>
      </c>
      <c r="F42" s="20">
        <v>0.25656180493593189</v>
      </c>
      <c r="G42" s="20">
        <v>0.69516445475697197</v>
      </c>
      <c r="H42" s="20">
        <v>0</v>
      </c>
      <c r="I42" s="20">
        <v>6.9191130722088125E-4</v>
      </c>
      <c r="J42" s="20">
        <v>8.0585478497033486E-3</v>
      </c>
      <c r="K42" s="20">
        <v>3.6574969979496184E-2</v>
      </c>
      <c r="L42" s="20">
        <v>0</v>
      </c>
    </row>
    <row r="43" spans="1:12">
      <c r="A43" s="2" t="s">
        <v>317</v>
      </c>
      <c r="B43" s="3" t="s">
        <v>318</v>
      </c>
      <c r="D43" s="20">
        <v>4.2551063773194677E-12</v>
      </c>
      <c r="E43" s="20">
        <v>0.82434271937289971</v>
      </c>
      <c r="F43" s="20">
        <v>0.31155096888827494</v>
      </c>
      <c r="G43" s="20">
        <v>7.437460317537814E-2</v>
      </c>
      <c r="H43" s="20">
        <v>0</v>
      </c>
      <c r="I43" s="20">
        <v>0.43841714730924664</v>
      </c>
      <c r="J43" s="20">
        <v>8.6546953080813313E-4</v>
      </c>
      <c r="K43" s="20">
        <v>0.17479181109203706</v>
      </c>
      <c r="L43" s="20">
        <v>0</v>
      </c>
    </row>
    <row r="44" spans="1:12">
      <c r="A44" s="2" t="s">
        <v>307</v>
      </c>
      <c r="B44" s="3" t="s">
        <v>308</v>
      </c>
      <c r="D44" s="20">
        <v>1.003190375730522E-4</v>
      </c>
      <c r="E44" s="20">
        <v>0.94468884461077385</v>
      </c>
      <c r="F44" s="20">
        <v>0.72644383314475081</v>
      </c>
      <c r="G44" s="20">
        <v>0.21081310103333595</v>
      </c>
      <c r="H44" s="20">
        <v>0</v>
      </c>
      <c r="I44" s="20">
        <v>7.4319104326870805E-3</v>
      </c>
      <c r="J44" s="20">
        <v>2.4156876493271005E-3</v>
      </c>
      <c r="K44" s="20">
        <v>5.279514870232601E-2</v>
      </c>
      <c r="L44" s="20">
        <v>0</v>
      </c>
    </row>
    <row r="45" spans="1:12">
      <c r="A45" s="2" t="s">
        <v>319</v>
      </c>
      <c r="B45" s="3" t="s">
        <v>320</v>
      </c>
      <c r="D45" s="20">
        <v>9.5597804705548828E-6</v>
      </c>
      <c r="E45" s="20">
        <v>0.96291457199995667</v>
      </c>
      <c r="F45" s="20">
        <v>0.16284206597471715</v>
      </c>
      <c r="G45" s="20">
        <v>0.79976456678828078</v>
      </c>
      <c r="H45" s="20">
        <v>0</v>
      </c>
      <c r="I45" s="20">
        <v>3.0793923695868398E-4</v>
      </c>
      <c r="J45" s="20">
        <v>9.3005796489035331E-3</v>
      </c>
      <c r="K45" s="20">
        <v>2.7775288570669434E-2</v>
      </c>
      <c r="L45" s="20">
        <v>0</v>
      </c>
    </row>
    <row r="46" spans="1:12">
      <c r="A46" s="2" t="s">
        <v>321</v>
      </c>
      <c r="B46" s="3" t="s">
        <v>322</v>
      </c>
      <c r="D46" s="20">
        <v>1.4166609446570561E-5</v>
      </c>
      <c r="E46" s="20">
        <v>0.95634644642964961</v>
      </c>
      <c r="F46" s="20">
        <v>0.24159314394958181</v>
      </c>
      <c r="G46" s="20">
        <v>0.71413474077259642</v>
      </c>
      <c r="H46" s="20">
        <v>0</v>
      </c>
      <c r="I46" s="20">
        <v>6.1856170747142324E-4</v>
      </c>
      <c r="J46" s="20">
        <v>8.2822914581279477E-3</v>
      </c>
      <c r="K46" s="20">
        <v>3.5357095502775715E-2</v>
      </c>
      <c r="L46" s="20">
        <v>0</v>
      </c>
    </row>
    <row r="47" spans="1:12">
      <c r="A47" s="2" t="s">
        <v>323</v>
      </c>
      <c r="B47" s="3" t="s">
        <v>324</v>
      </c>
      <c r="D47" s="20">
        <v>1.3456749182813872E-4</v>
      </c>
      <c r="E47" s="20">
        <v>0.94854916597981809</v>
      </c>
      <c r="F47" s="20">
        <v>0.36979313297420074</v>
      </c>
      <c r="G47" s="20">
        <v>0.57737024350127597</v>
      </c>
      <c r="H47" s="20">
        <v>0</v>
      </c>
      <c r="I47" s="20">
        <v>1.3857895043413772E-3</v>
      </c>
      <c r="J47" s="20">
        <v>6.6735289840152388E-3</v>
      </c>
      <c r="K47" s="20">
        <v>4.4642737544338583E-2</v>
      </c>
      <c r="L47" s="20">
        <v>0</v>
      </c>
    </row>
    <row r="48" spans="1:12">
      <c r="A48" s="2" t="s">
        <v>325</v>
      </c>
      <c r="B48" s="3" t="s">
        <v>326</v>
      </c>
      <c r="D48" s="20">
        <v>9.0673924710253333E-5</v>
      </c>
      <c r="E48" s="20">
        <v>0.89005674884763275</v>
      </c>
      <c r="F48" s="20">
        <v>0.68691199211593024</v>
      </c>
      <c r="G48" s="20">
        <v>0.13489524887793261</v>
      </c>
      <c r="H48" s="20">
        <v>0</v>
      </c>
      <c r="I48" s="20">
        <v>6.8249507853769903E-2</v>
      </c>
      <c r="J48" s="20">
        <v>1.5364622820640687E-3</v>
      </c>
      <c r="K48" s="20">
        <v>0.1083161149455929</v>
      </c>
      <c r="L48" s="20">
        <v>0</v>
      </c>
    </row>
    <row r="49" spans="1:12">
      <c r="A49" s="2" t="s">
        <v>275</v>
      </c>
      <c r="B49" s="3" t="s">
        <v>276</v>
      </c>
      <c r="D49" s="20">
        <v>1.289575190691007E-6</v>
      </c>
      <c r="E49" s="20">
        <v>0.94429481549467176</v>
      </c>
      <c r="F49" s="20">
        <v>0.71197599917107202</v>
      </c>
      <c r="G49" s="20">
        <v>0.22540363170162647</v>
      </c>
      <c r="H49" s="20">
        <v>0</v>
      </c>
      <c r="I49" s="20">
        <v>6.9151846219733231E-3</v>
      </c>
      <c r="J49" s="20">
        <v>2.5839850158756198E-3</v>
      </c>
      <c r="K49" s="20">
        <v>5.3119909914261847E-2</v>
      </c>
      <c r="L49" s="20">
        <v>0</v>
      </c>
    </row>
    <row r="50" spans="1:12">
      <c r="A50" s="2" t="s">
        <v>327</v>
      </c>
      <c r="B50" s="3" t="s">
        <v>328</v>
      </c>
      <c r="D50" s="20">
        <v>6.7216131931385916E-5</v>
      </c>
      <c r="E50" s="20">
        <v>0.9435597814946487</v>
      </c>
      <c r="F50" s="20">
        <v>0.686265554346142</v>
      </c>
      <c r="G50" s="20">
        <v>0.25118156170720102</v>
      </c>
      <c r="H50" s="20">
        <v>0</v>
      </c>
      <c r="I50" s="20">
        <v>6.1126654413057096E-3</v>
      </c>
      <c r="J50" s="20">
        <v>2.8815762058656022E-3</v>
      </c>
      <c r="K50" s="20">
        <v>5.3491426167554187E-2</v>
      </c>
      <c r="L50" s="20">
        <v>0</v>
      </c>
    </row>
    <row r="51" spans="1:12">
      <c r="A51" s="2" t="s">
        <v>329</v>
      </c>
      <c r="B51" s="3" t="s">
        <v>330</v>
      </c>
      <c r="D51" s="20">
        <v>4.6372031221635888E-5</v>
      </c>
      <c r="E51" s="20">
        <v>0.90904075164374765</v>
      </c>
      <c r="F51" s="20">
        <v>0.72857590412951356</v>
      </c>
      <c r="G51" s="20">
        <v>0.13764814380732895</v>
      </c>
      <c r="H51" s="20">
        <v>0</v>
      </c>
      <c r="I51" s="20">
        <v>4.2816703706905122E-2</v>
      </c>
      <c r="J51" s="20">
        <v>1.5685908356034069E-3</v>
      </c>
      <c r="K51" s="20">
        <v>8.9344285489427161E-2</v>
      </c>
      <c r="L51" s="20">
        <v>0</v>
      </c>
    </row>
    <row r="52" spans="1:12">
      <c r="A52" s="2" t="s">
        <v>277</v>
      </c>
      <c r="B52" s="3" t="s">
        <v>278</v>
      </c>
      <c r="D52" s="20">
        <v>1.4081428256362621E-4</v>
      </c>
      <c r="E52" s="20">
        <v>0.89189020416523668</v>
      </c>
      <c r="F52" s="20">
        <v>0.69129814439877735</v>
      </c>
      <c r="G52" s="20">
        <v>0.13525737247270478</v>
      </c>
      <c r="H52" s="20">
        <v>0</v>
      </c>
      <c r="I52" s="20">
        <v>6.5334687293754565E-2</v>
      </c>
      <c r="J52" s="20">
        <v>1.5406222227294713E-3</v>
      </c>
      <c r="K52" s="20">
        <v>0.1064283593294702</v>
      </c>
      <c r="L52" s="20">
        <v>0</v>
      </c>
    </row>
    <row r="53" spans="1:12">
      <c r="A53" s="2" t="s">
        <v>331</v>
      </c>
      <c r="B53" s="3" t="s">
        <v>332</v>
      </c>
      <c r="D53" s="20">
        <v>4.4859302722740503E-5</v>
      </c>
      <c r="E53" s="20">
        <v>0.94277655427169738</v>
      </c>
      <c r="F53" s="20">
        <v>0.59644609986231767</v>
      </c>
      <c r="G53" s="20">
        <v>0.34226836359257656</v>
      </c>
      <c r="H53" s="20">
        <v>0</v>
      </c>
      <c r="I53" s="20">
        <v>4.0620908168031667E-3</v>
      </c>
      <c r="J53" s="20">
        <v>3.9355053660081541E-3</v>
      </c>
      <c r="K53" s="20">
        <v>5.324308105957172E-2</v>
      </c>
      <c r="L53" s="20">
        <v>0</v>
      </c>
    </row>
    <row r="54" spans="1:12">
      <c r="A54" s="2" t="s">
        <v>333</v>
      </c>
      <c r="B54" s="3" t="s">
        <v>334</v>
      </c>
      <c r="D54" s="20">
        <v>7.3145076481830823E-8</v>
      </c>
      <c r="E54" s="20">
        <v>0.94393682041290605</v>
      </c>
      <c r="F54" s="20">
        <v>0.69936482059450633</v>
      </c>
      <c r="G54" s="20">
        <v>0.23806707609586261</v>
      </c>
      <c r="H54" s="20">
        <v>0</v>
      </c>
      <c r="I54" s="20">
        <v>6.5049237225371509E-3</v>
      </c>
      <c r="J54" s="20">
        <v>2.7301377348633751E-3</v>
      </c>
      <c r="K54" s="20">
        <v>5.3332968707154121E-2</v>
      </c>
      <c r="L54" s="20">
        <v>0</v>
      </c>
    </row>
    <row r="55" spans="1:12">
      <c r="A55" s="2" t="s">
        <v>335</v>
      </c>
      <c r="B55" s="3" t="s">
        <v>336</v>
      </c>
      <c r="D55" s="20">
        <v>3.4972262952581175E-4</v>
      </c>
      <c r="E55" s="20">
        <v>0.94804480438004968</v>
      </c>
      <c r="F55" s="20">
        <v>0.37613385011706657</v>
      </c>
      <c r="G55" s="20">
        <v>0.57047678356470943</v>
      </c>
      <c r="H55" s="20">
        <v>0</v>
      </c>
      <c r="I55" s="20">
        <v>1.4341706982736715E-3</v>
      </c>
      <c r="J55" s="20">
        <v>6.5928422755124954E-3</v>
      </c>
      <c r="K55" s="20">
        <v>4.5012630714911954E-2</v>
      </c>
      <c r="L55" s="20">
        <v>0</v>
      </c>
    </row>
    <row r="56" spans="1:12">
      <c r="A56" s="2" t="s">
        <v>337</v>
      </c>
      <c r="B56" s="3" t="s">
        <v>338</v>
      </c>
      <c r="D56" s="20">
        <v>2.5772266869987958E-5</v>
      </c>
      <c r="E56" s="20">
        <v>0.94459012397712627</v>
      </c>
      <c r="F56" s="20">
        <v>0.72172426034521464</v>
      </c>
      <c r="G56" s="20">
        <v>0.21560898717197763</v>
      </c>
      <c r="H56" s="20">
        <v>0</v>
      </c>
      <c r="I56" s="20">
        <v>7.2568764599339778E-3</v>
      </c>
      <c r="J56" s="20">
        <v>2.4709947309752966E-3</v>
      </c>
      <c r="K56" s="20">
        <v>5.2913109025028375E-2</v>
      </c>
      <c r="L56" s="20">
        <v>0</v>
      </c>
    </row>
    <row r="57" spans="1:12">
      <c r="A57" s="2" t="s">
        <v>279</v>
      </c>
      <c r="B57" s="3" t="s">
        <v>280</v>
      </c>
      <c r="D57" s="20">
        <v>2.7536872477458589E-3</v>
      </c>
      <c r="E57" s="20">
        <v>0.87912925483111581</v>
      </c>
      <c r="F57" s="20">
        <v>0.66394682384946802</v>
      </c>
      <c r="G57" s="20">
        <v>0.13256499295095822</v>
      </c>
      <c r="H57" s="20">
        <v>0</v>
      </c>
      <c r="I57" s="20">
        <v>8.2617438030689577E-2</v>
      </c>
      <c r="J57" s="20">
        <v>1.5098829729519162E-3</v>
      </c>
      <c r="K57" s="20">
        <v>0.11660717494818651</v>
      </c>
      <c r="L57" s="20">
        <v>0</v>
      </c>
    </row>
    <row r="58" spans="1:12">
      <c r="A58" s="2" t="s">
        <v>339</v>
      </c>
      <c r="B58" s="3" t="s">
        <v>340</v>
      </c>
      <c r="D58" s="20">
        <v>2.5637909544485516E-7</v>
      </c>
      <c r="E58" s="20">
        <v>0.94387019918052528</v>
      </c>
      <c r="F58" s="20">
        <v>0.69678901486973766</v>
      </c>
      <c r="G58" s="20">
        <v>0.24065608683293388</v>
      </c>
      <c r="H58" s="20">
        <v>0</v>
      </c>
      <c r="I58" s="20">
        <v>6.425097477853749E-3</v>
      </c>
      <c r="J58" s="20">
        <v>2.7600275713369985E-3</v>
      </c>
      <c r="K58" s="20">
        <v>5.3369516869042177E-2</v>
      </c>
      <c r="L58" s="20">
        <v>0</v>
      </c>
    </row>
    <row r="59" spans="1:12">
      <c r="A59" s="2" t="s">
        <v>281</v>
      </c>
      <c r="B59" s="3" t="s">
        <v>282</v>
      </c>
      <c r="D59" s="20">
        <v>2.1315651376923687E-5</v>
      </c>
      <c r="E59" s="20">
        <v>0.89199679883385519</v>
      </c>
      <c r="F59" s="20">
        <v>0.69138076521496594</v>
      </c>
      <c r="G59" s="20">
        <v>0.13527353781988496</v>
      </c>
      <c r="H59" s="20">
        <v>0</v>
      </c>
      <c r="I59" s="20">
        <v>6.5342495799004252E-2</v>
      </c>
      <c r="J59" s="20">
        <v>1.5408063509041404E-3</v>
      </c>
      <c r="K59" s="20">
        <v>0.10644107916386387</v>
      </c>
      <c r="L59" s="20">
        <v>0</v>
      </c>
    </row>
    <row r="60" spans="1:12">
      <c r="A60" s="2" t="s">
        <v>341</v>
      </c>
      <c r="B60" s="3" t="s">
        <v>342</v>
      </c>
      <c r="D60" s="20">
        <v>3.7548980266618212E-4</v>
      </c>
      <c r="E60" s="20">
        <v>0.9424835124176083</v>
      </c>
      <c r="F60" s="20">
        <v>0.62375900939257689</v>
      </c>
      <c r="G60" s="20">
        <v>0.31413215009246481</v>
      </c>
      <c r="H60" s="20">
        <v>0</v>
      </c>
      <c r="I60" s="20">
        <v>4.5923529325665839E-3</v>
      </c>
      <c r="J60" s="20">
        <v>3.6095723860010039E-3</v>
      </c>
      <c r="K60" s="20">
        <v>5.3531425393724602E-2</v>
      </c>
      <c r="L60" s="20">
        <v>0</v>
      </c>
    </row>
    <row r="61" spans="1:12">
      <c r="A61" s="2" t="s">
        <v>483</v>
      </c>
      <c r="B61" s="3" t="s">
        <v>484</v>
      </c>
      <c r="D61" s="20">
        <v>6.7245268337736279E-14</v>
      </c>
      <c r="E61" s="20">
        <v>0.90369839457309153</v>
      </c>
      <c r="F61" s="20">
        <v>0.50559551056346785</v>
      </c>
      <c r="G61" s="20">
        <v>8.4240474817745742E-2</v>
      </c>
      <c r="H61" s="20">
        <v>0</v>
      </c>
      <c r="I61" s="20">
        <v>0.31386240919187791</v>
      </c>
      <c r="J61" s="20">
        <v>2.7573275435965093E-3</v>
      </c>
      <c r="K61" s="20">
        <v>9.3544277883244722E-2</v>
      </c>
      <c r="L61" s="20">
        <v>0</v>
      </c>
    </row>
    <row r="62" spans="1:12">
      <c r="A62" s="2" t="s">
        <v>485</v>
      </c>
      <c r="B62" s="3" t="s">
        <v>486</v>
      </c>
      <c r="D62" s="20">
        <v>1.9542641732027859E-7</v>
      </c>
      <c r="E62" s="20">
        <v>0.83559466726714648</v>
      </c>
      <c r="F62" s="20">
        <v>0.49842745270177174</v>
      </c>
      <c r="G62" s="20">
        <v>0.10952102760970066</v>
      </c>
      <c r="H62" s="20">
        <v>0</v>
      </c>
      <c r="I62" s="20">
        <v>0.22764618695567404</v>
      </c>
      <c r="J62" s="20">
        <v>1.2525629808148601E-3</v>
      </c>
      <c r="K62" s="20">
        <v>0.16315257432562136</v>
      </c>
      <c r="L62" s="20">
        <v>0</v>
      </c>
    </row>
    <row r="63" spans="1:12">
      <c r="A63" s="2" t="s">
        <v>487</v>
      </c>
      <c r="B63" s="3" t="s">
        <v>488</v>
      </c>
      <c r="D63" s="20">
        <v>5.7020636297579674E-13</v>
      </c>
      <c r="E63" s="20">
        <v>0.98229970530516686</v>
      </c>
      <c r="F63" s="20">
        <v>3.2697966105315786E-2</v>
      </c>
      <c r="G63" s="20">
        <v>4.3143710373706292E-3</v>
      </c>
      <c r="H63" s="20">
        <v>0</v>
      </c>
      <c r="I63" s="20">
        <v>0.94528736816248049</v>
      </c>
      <c r="J63" s="20">
        <v>4.0635610066503265E-4</v>
      </c>
      <c r="K63" s="20">
        <v>1.7293938593597739E-2</v>
      </c>
      <c r="L63" s="20">
        <v>0</v>
      </c>
    </row>
    <row r="64" spans="1:12">
      <c r="A64" s="2" t="s">
        <v>489</v>
      </c>
      <c r="B64" s="3" t="s">
        <v>490</v>
      </c>
      <c r="D64" s="20">
        <v>1.0282955009006475E-14</v>
      </c>
      <c r="E64" s="20">
        <v>0.99809961388257196</v>
      </c>
      <c r="F64" s="20">
        <v>1.2192447921576283E-2</v>
      </c>
      <c r="G64" s="20">
        <v>1.5137991954365947E-4</v>
      </c>
      <c r="H64" s="20">
        <v>0</v>
      </c>
      <c r="I64" s="20">
        <v>0.98575578604145198</v>
      </c>
      <c r="J64" s="20">
        <v>6.3997083013849135E-5</v>
      </c>
      <c r="K64" s="20">
        <v>1.8363890344036801E-3</v>
      </c>
      <c r="L64" s="20">
        <v>0</v>
      </c>
    </row>
    <row r="65" spans="1:12">
      <c r="A65" s="2" t="s">
        <v>491</v>
      </c>
      <c r="B65" s="3" t="s">
        <v>492</v>
      </c>
      <c r="D65" s="20">
        <v>1.7126022973446778E-12</v>
      </c>
      <c r="E65" s="20">
        <v>0.99909114931849674</v>
      </c>
      <c r="F65" s="20">
        <v>1.5962732677544031E-3</v>
      </c>
      <c r="G65" s="20">
        <v>7.0998759573269368E-5</v>
      </c>
      <c r="H65" s="20">
        <v>0</v>
      </c>
      <c r="I65" s="20">
        <v>0.9974238772911691</v>
      </c>
      <c r="J65" s="20">
        <v>9.0523112021657969E-5</v>
      </c>
      <c r="K65" s="20">
        <v>8.1832756776899164E-4</v>
      </c>
      <c r="L65" s="20">
        <v>0</v>
      </c>
    </row>
    <row r="66" spans="1:12">
      <c r="A66" s="2" t="s">
        <v>493</v>
      </c>
      <c r="B66" s="3" t="s">
        <v>494</v>
      </c>
      <c r="D66" s="20">
        <v>2.2660484921173589E-11</v>
      </c>
      <c r="E66" s="20">
        <v>0.98989031355503199</v>
      </c>
      <c r="F66" s="20">
        <v>0.20349082176504482</v>
      </c>
      <c r="G66" s="20">
        <v>5.0998530758241773E-3</v>
      </c>
      <c r="H66" s="20">
        <v>0</v>
      </c>
      <c r="I66" s="20">
        <v>0.78129963871416297</v>
      </c>
      <c r="J66" s="20">
        <v>2.7174800094572605E-3</v>
      </c>
      <c r="K66" s="20">
        <v>7.3922064128501917E-3</v>
      </c>
      <c r="L66" s="20">
        <v>0</v>
      </c>
    </row>
    <row r="67" spans="1:12">
      <c r="A67" s="2" t="s">
        <v>495</v>
      </c>
      <c r="B67" s="3" t="s">
        <v>496</v>
      </c>
      <c r="D67" s="20">
        <v>1.3380984084998022E-12</v>
      </c>
      <c r="E67" s="20">
        <v>0.99899390973001612</v>
      </c>
      <c r="F67" s="20">
        <v>1.3462213942957433E-3</v>
      </c>
      <c r="G67" s="20">
        <v>7.3592138325646967E-5</v>
      </c>
      <c r="H67" s="20">
        <v>0</v>
      </c>
      <c r="I67" s="20">
        <v>0.99757409619739468</v>
      </c>
      <c r="J67" s="20">
        <v>8.5793614941681205E-5</v>
      </c>
      <c r="K67" s="20">
        <v>9.2029665370404708E-4</v>
      </c>
      <c r="L67" s="20">
        <v>0</v>
      </c>
    </row>
    <row r="68" spans="1:12">
      <c r="A68" s="2" t="s">
        <v>497</v>
      </c>
      <c r="B68" s="3" t="s">
        <v>498</v>
      </c>
      <c r="D68" s="20">
        <v>1.2102687853932108E-11</v>
      </c>
      <c r="E68" s="20">
        <v>0.99956286846661491</v>
      </c>
      <c r="F68" s="20">
        <v>1.6012653661225419E-4</v>
      </c>
      <c r="G68" s="20">
        <v>1.2354619835426276E-5</v>
      </c>
      <c r="H68" s="20">
        <v>0</v>
      </c>
      <c r="I68" s="20">
        <v>0.99939038731016727</v>
      </c>
      <c r="J68" s="20">
        <v>6.5248965528295875E-5</v>
      </c>
      <c r="K68" s="20">
        <v>3.7188255575391595E-4</v>
      </c>
      <c r="L68" s="20">
        <v>0</v>
      </c>
    </row>
    <row r="69" spans="1:12">
      <c r="A69" s="2" t="s">
        <v>499</v>
      </c>
      <c r="B69" s="3" t="s">
        <v>500</v>
      </c>
      <c r="D69" s="20">
        <v>6.4027168014945617E-12</v>
      </c>
      <c r="E69" s="20">
        <v>0.94555227435894351</v>
      </c>
      <c r="F69" s="20">
        <v>0.74554348131124148</v>
      </c>
      <c r="G69" s="20">
        <v>0.19181321853894659</v>
      </c>
      <c r="H69" s="20">
        <v>0</v>
      </c>
      <c r="I69" s="20">
        <v>8.1955745087553857E-3</v>
      </c>
      <c r="J69" s="20">
        <v>2.1966839068548244E-3</v>
      </c>
      <c r="K69" s="20">
        <v>5.2251041727799034E-2</v>
      </c>
      <c r="L69" s="20">
        <v>0</v>
      </c>
    </row>
    <row r="70" spans="1:12">
      <c r="A70" s="2" t="s">
        <v>501</v>
      </c>
      <c r="B70" s="3" t="s">
        <v>411</v>
      </c>
      <c r="D70" s="20">
        <v>2.1684100279925132E-13</v>
      </c>
      <c r="E70" s="20">
        <v>0.99991314160561051</v>
      </c>
      <c r="F70" s="20">
        <v>3.0252417925873135E-2</v>
      </c>
      <c r="G70" s="20">
        <v>2.87511827769352E-6</v>
      </c>
      <c r="H70" s="20">
        <v>0</v>
      </c>
      <c r="I70" s="20">
        <v>0.96965784856145965</v>
      </c>
      <c r="J70" s="20">
        <v>6.28837518702599E-5</v>
      </c>
      <c r="K70" s="20">
        <v>2.3974642302325396E-5</v>
      </c>
      <c r="L70" s="20">
        <v>0</v>
      </c>
    </row>
    <row r="71" spans="1:12">
      <c r="A71" s="2" t="s">
        <v>502</v>
      </c>
      <c r="B71" s="3" t="s">
        <v>412</v>
      </c>
      <c r="D71" s="20">
        <v>9.904345814091513E-9</v>
      </c>
      <c r="E71" s="20">
        <v>0.99990380342860774</v>
      </c>
      <c r="F71" s="20">
        <v>5.6395560079792538E-2</v>
      </c>
      <c r="G71" s="20">
        <v>5.1252048449551176E-6</v>
      </c>
      <c r="H71" s="20">
        <v>0</v>
      </c>
      <c r="I71" s="20">
        <v>0.94350311814397025</v>
      </c>
      <c r="J71" s="20">
        <v>6.3346326746064341E-5</v>
      </c>
      <c r="K71" s="20">
        <v>3.2840340300584062E-5</v>
      </c>
      <c r="L71" s="20">
        <v>0</v>
      </c>
    </row>
    <row r="72" spans="1:12">
      <c r="A72" s="2" t="s">
        <v>503</v>
      </c>
      <c r="B72" s="3" t="s">
        <v>413</v>
      </c>
      <c r="D72" s="20">
        <v>1.3408096180390773E-10</v>
      </c>
      <c r="E72" s="20">
        <v>0.99949504626988128</v>
      </c>
      <c r="F72" s="20">
        <v>0.99514375674570787</v>
      </c>
      <c r="G72" s="20">
        <v>4.5703575984122532E-4</v>
      </c>
      <c r="H72" s="20">
        <v>0</v>
      </c>
      <c r="I72" s="20">
        <v>3.8942537643322363E-3</v>
      </c>
      <c r="J72" s="20">
        <v>4.6777897049287461E-4</v>
      </c>
      <c r="K72" s="20">
        <v>3.7174625544674342E-5</v>
      </c>
      <c r="L72" s="20">
        <v>0</v>
      </c>
    </row>
    <row r="73" spans="1:12">
      <c r="A73" s="2" t="s">
        <v>504</v>
      </c>
      <c r="B73" s="3" t="s">
        <v>414</v>
      </c>
      <c r="D73" s="20">
        <v>1.7512360359109978E-10</v>
      </c>
      <c r="E73" s="20">
        <v>0.9999130193812289</v>
      </c>
      <c r="F73" s="20">
        <v>0.96374778162487951</v>
      </c>
      <c r="G73" s="20">
        <v>5.57093062976499E-5</v>
      </c>
      <c r="H73" s="20">
        <v>0</v>
      </c>
      <c r="I73" s="20">
        <v>3.6109528450051699E-2</v>
      </c>
      <c r="J73" s="20">
        <v>5.6848706425377656E-5</v>
      </c>
      <c r="K73" s="20">
        <v>3.013173722196026E-5</v>
      </c>
      <c r="L73" s="20">
        <v>0</v>
      </c>
    </row>
    <row r="74" spans="1:12">
      <c r="A74" s="2" t="s">
        <v>505</v>
      </c>
      <c r="B74" s="3" t="s">
        <v>415</v>
      </c>
      <c r="D74" s="20">
        <v>1.2244045551899721E-9</v>
      </c>
      <c r="E74" s="20">
        <v>0.99990548928080336</v>
      </c>
      <c r="F74" s="20">
        <v>5.130310407484838E-2</v>
      </c>
      <c r="G74" s="20">
        <v>4.6828257944555407E-6</v>
      </c>
      <c r="H74" s="20">
        <v>0</v>
      </c>
      <c r="I74" s="20">
        <v>0.9485977023801605</v>
      </c>
      <c r="J74" s="20">
        <v>6.3262775734063308E-5</v>
      </c>
      <c r="K74" s="20">
        <v>3.1246719057900345E-5</v>
      </c>
      <c r="L74" s="20">
        <v>0</v>
      </c>
    </row>
    <row r="75" spans="1:12">
      <c r="A75" s="2" t="s">
        <v>506</v>
      </c>
      <c r="B75" s="3" t="s">
        <v>416</v>
      </c>
      <c r="D75" s="20">
        <v>7.515418134746777E-10</v>
      </c>
      <c r="E75" s="20">
        <v>0.99990995748046219</v>
      </c>
      <c r="F75" s="20">
        <v>0.95713204000744834</v>
      </c>
      <c r="G75" s="20">
        <v>5.6044914850527413E-5</v>
      </c>
      <c r="H75" s="20">
        <v>0</v>
      </c>
      <c r="I75" s="20">
        <v>4.2721872558163267E-2</v>
      </c>
      <c r="J75" s="20">
        <v>5.7500637655969912E-5</v>
      </c>
      <c r="K75" s="20">
        <v>3.2541130340124028E-5</v>
      </c>
      <c r="L75" s="20">
        <v>0</v>
      </c>
    </row>
    <row r="76" spans="1:12">
      <c r="A76" s="2" t="s">
        <v>507</v>
      </c>
      <c r="B76" s="3" t="s">
        <v>417</v>
      </c>
      <c r="D76" s="20">
        <v>1.7361870746308625E-8</v>
      </c>
      <c r="E76" s="20">
        <v>0.9998585512172331</v>
      </c>
      <c r="F76" s="20">
        <v>0.55184312620695031</v>
      </c>
      <c r="G76" s="20">
        <v>4.0131181986744257E-5</v>
      </c>
      <c r="H76" s="20">
        <v>0</v>
      </c>
      <c r="I76" s="20">
        <v>0.4479752938282961</v>
      </c>
      <c r="J76" s="20">
        <v>6.5960721971280921E-5</v>
      </c>
      <c r="K76" s="20">
        <v>7.5470698924853818E-5</v>
      </c>
      <c r="L76" s="20">
        <v>0</v>
      </c>
    </row>
    <row r="77" spans="1:12">
      <c r="A77" s="2" t="s">
        <v>508</v>
      </c>
      <c r="B77" s="3" t="s">
        <v>418</v>
      </c>
      <c r="D77" s="20">
        <v>5.4217579648954229E-9</v>
      </c>
      <c r="E77" s="20">
        <v>0.99991206077194161</v>
      </c>
      <c r="F77" s="20">
        <v>0.96196494183174164</v>
      </c>
      <c r="G77" s="20">
        <v>5.5979054475869718E-5</v>
      </c>
      <c r="H77" s="20">
        <v>0</v>
      </c>
      <c r="I77" s="20">
        <v>3.7891139885724082E-2</v>
      </c>
      <c r="J77" s="20">
        <v>5.7036403164298184E-5</v>
      </c>
      <c r="K77" s="20">
        <v>3.0897403136160304E-5</v>
      </c>
      <c r="L77" s="20">
        <v>0</v>
      </c>
    </row>
    <row r="78" spans="1:12">
      <c r="A78" s="2" t="s">
        <v>509</v>
      </c>
      <c r="B78" s="3" t="s">
        <v>419</v>
      </c>
      <c r="D78" s="20">
        <v>5.3907278349857835E-10</v>
      </c>
      <c r="E78" s="20">
        <v>0.99957281098507744</v>
      </c>
      <c r="F78" s="20">
        <v>0.99486948898340577</v>
      </c>
      <c r="G78" s="20">
        <v>3.8391092508262259E-4</v>
      </c>
      <c r="H78" s="20">
        <v>0</v>
      </c>
      <c r="I78" s="20">
        <v>4.3194110765890237E-3</v>
      </c>
      <c r="J78" s="20">
        <v>3.9192485593339841E-4</v>
      </c>
      <c r="K78" s="20">
        <v>3.5263619916527824E-5</v>
      </c>
      <c r="L78" s="20">
        <v>0</v>
      </c>
    </row>
    <row r="79" spans="1:12">
      <c r="A79" s="2" t="s">
        <v>510</v>
      </c>
      <c r="B79" s="3" t="s">
        <v>420</v>
      </c>
      <c r="D79" s="20">
        <v>1.3540897697428141E-14</v>
      </c>
      <c r="E79" s="20">
        <v>0.99957281775788176</v>
      </c>
      <c r="F79" s="20">
        <v>0.99486955619455264</v>
      </c>
      <c r="G79" s="20">
        <v>3.8385019493036881E-4</v>
      </c>
      <c r="H79" s="20">
        <v>0</v>
      </c>
      <c r="I79" s="20">
        <v>4.3194113683987295E-3</v>
      </c>
      <c r="J79" s="20">
        <v>3.9192420047431953E-4</v>
      </c>
      <c r="K79" s="20">
        <v>3.5258041630350927E-5</v>
      </c>
      <c r="L79" s="20">
        <v>0</v>
      </c>
    </row>
    <row r="80" spans="1:12">
      <c r="A80" s="2" t="s">
        <v>511</v>
      </c>
      <c r="B80" s="3" t="s">
        <v>421</v>
      </c>
      <c r="D80" s="20">
        <v>1.526449333304591E-9</v>
      </c>
      <c r="E80" s="20">
        <v>0.99987895114031167</v>
      </c>
      <c r="F80" s="20">
        <v>0.83310760633482694</v>
      </c>
      <c r="G80" s="20">
        <v>5.4483557720700121E-5</v>
      </c>
      <c r="H80" s="20">
        <v>0</v>
      </c>
      <c r="I80" s="20">
        <v>0.16671686124776403</v>
      </c>
      <c r="J80" s="20">
        <v>6.2949239956008456E-5</v>
      </c>
      <c r="K80" s="20">
        <v>5.809809328277728E-5</v>
      </c>
      <c r="L80" s="20">
        <v>0</v>
      </c>
    </row>
    <row r="81" spans="1:12">
      <c r="A81" s="2" t="s">
        <v>512</v>
      </c>
      <c r="B81" s="3" t="s">
        <v>422</v>
      </c>
      <c r="D81" s="20">
        <v>1.9957032067554892E-9</v>
      </c>
      <c r="E81" s="20">
        <v>0.99987709537484804</v>
      </c>
      <c r="F81" s="20">
        <v>0.19512578409385367</v>
      </c>
      <c r="G81" s="20">
        <v>1.5947000962190819E-5</v>
      </c>
      <c r="H81" s="20">
        <v>0</v>
      </c>
      <c r="I81" s="20">
        <v>0.80473536428003223</v>
      </c>
      <c r="J81" s="20">
        <v>6.4963036314179333E-5</v>
      </c>
      <c r="K81" s="20">
        <v>5.7939593134345955E-5</v>
      </c>
      <c r="L81" s="20">
        <v>0</v>
      </c>
    </row>
    <row r="82" spans="1:12">
      <c r="A82" s="2" t="s">
        <v>513</v>
      </c>
      <c r="B82" s="3" t="s">
        <v>423</v>
      </c>
      <c r="D82" s="20">
        <v>5.0243025641204213E-13</v>
      </c>
      <c r="E82" s="20">
        <v>0.99986117609844449</v>
      </c>
      <c r="F82" s="20">
        <v>0.39128614394161682</v>
      </c>
      <c r="G82" s="20">
        <v>2.9757064977136495E-5</v>
      </c>
      <c r="H82" s="20">
        <v>0</v>
      </c>
      <c r="I82" s="20">
        <v>0.60854527509185052</v>
      </c>
      <c r="J82" s="20">
        <v>6.5997891455864231E-5</v>
      </c>
      <c r="K82" s="20">
        <v>7.2826009597630847E-5</v>
      </c>
      <c r="L82" s="20">
        <v>0</v>
      </c>
    </row>
    <row r="83" spans="1:12">
      <c r="A83" s="2" t="s">
        <v>514</v>
      </c>
      <c r="B83" s="3" t="s">
        <v>424</v>
      </c>
      <c r="D83" s="20">
        <v>1.9294607636747137E-10</v>
      </c>
      <c r="E83" s="20">
        <v>0.9991962462208821</v>
      </c>
      <c r="F83" s="20">
        <v>0.99553070061412952</v>
      </c>
      <c r="G83" s="20">
        <v>7.3793654190742303E-4</v>
      </c>
      <c r="H83" s="20">
        <v>0</v>
      </c>
      <c r="I83" s="20">
        <v>2.927609064845133E-3</v>
      </c>
      <c r="J83" s="20">
        <v>7.6078852470421083E-4</v>
      </c>
      <c r="K83" s="20">
        <v>4.2965061467686219E-5</v>
      </c>
      <c r="L83" s="20">
        <v>0</v>
      </c>
    </row>
    <row r="84" spans="1:12">
      <c r="A84" s="2" t="s">
        <v>403</v>
      </c>
      <c r="B84" s="3" t="s">
        <v>404</v>
      </c>
      <c r="D84" s="20">
        <v>4.3138813437837629E-44</v>
      </c>
      <c r="E84" s="20">
        <v>0.82372003050762288</v>
      </c>
      <c r="F84" s="20">
        <v>0.38290133425022072</v>
      </c>
      <c r="G84" s="20">
        <v>8.8589537640505964E-2</v>
      </c>
      <c r="H84" s="20">
        <v>0</v>
      </c>
      <c r="I84" s="20">
        <v>0.35222915861689619</v>
      </c>
      <c r="J84" s="20">
        <v>1.0215641472599048E-3</v>
      </c>
      <c r="K84" s="20">
        <v>0.17525840534511725</v>
      </c>
      <c r="L84" s="20">
        <v>0</v>
      </c>
    </row>
    <row r="85" spans="1:12">
      <c r="A85" s="2" t="s">
        <v>405</v>
      </c>
      <c r="B85" s="3" t="s">
        <v>406</v>
      </c>
      <c r="D85" s="20">
        <v>1.1691117401127791E-8</v>
      </c>
      <c r="E85" s="20">
        <v>0.96204198037301425</v>
      </c>
      <c r="F85" s="20">
        <v>0.86211934671878465</v>
      </c>
      <c r="G85" s="20">
        <v>4.5070376236950475E-2</v>
      </c>
      <c r="H85" s="20">
        <v>0</v>
      </c>
      <c r="I85" s="20">
        <v>5.4852257417279088E-2</v>
      </c>
      <c r="J85" s="20">
        <v>3.0803370934978754E-2</v>
      </c>
      <c r="K85" s="20">
        <v>7.1546370008895915E-3</v>
      </c>
      <c r="L85" s="20">
        <v>0</v>
      </c>
    </row>
    <row r="86" spans="1:12">
      <c r="A86" s="2" t="s">
        <v>407</v>
      </c>
      <c r="B86" s="3" t="s">
        <v>408</v>
      </c>
      <c r="D86" s="20">
        <v>2.12939832661356E-5</v>
      </c>
      <c r="E86" s="20">
        <v>0.96105660439835738</v>
      </c>
      <c r="F86" s="20">
        <v>0.18305246974349937</v>
      </c>
      <c r="G86" s="20">
        <v>0.77762667197542934</v>
      </c>
      <c r="H86" s="20">
        <v>0</v>
      </c>
      <c r="I86" s="20">
        <v>3.7746267942865061E-4</v>
      </c>
      <c r="J86" s="20">
        <v>9.0361169820421285E-3</v>
      </c>
      <c r="K86" s="20">
        <v>2.9885984636334413E-2</v>
      </c>
      <c r="L86" s="20">
        <v>0</v>
      </c>
    </row>
    <row r="87" spans="1:12">
      <c r="A87" s="2" t="s">
        <v>409</v>
      </c>
      <c r="B87" s="3" t="s">
        <v>410</v>
      </c>
      <c r="D87" s="20">
        <v>2.6175439682752457E-6</v>
      </c>
      <c r="E87" s="20">
        <v>0.96984181443920336</v>
      </c>
      <c r="F87" s="20">
        <v>9.7929304426109504E-2</v>
      </c>
      <c r="G87" s="20">
        <v>0.87178265727983861</v>
      </c>
      <c r="H87" s="20">
        <v>0</v>
      </c>
      <c r="I87" s="20">
        <v>1.2985273325521513E-4</v>
      </c>
      <c r="J87" s="20">
        <v>1.0170545316301826E-2</v>
      </c>
      <c r="K87" s="20">
        <v>1.9985022700526548E-2</v>
      </c>
      <c r="L87" s="20">
        <v>0</v>
      </c>
    </row>
    <row r="88" spans="1:12">
      <c r="A88" s="2" t="s">
        <v>301</v>
      </c>
      <c r="B88" s="3" t="s">
        <v>302</v>
      </c>
      <c r="D88" s="20">
        <v>3.2130401111874294E-7</v>
      </c>
      <c r="E88" s="20">
        <v>0.97720450938785419</v>
      </c>
      <c r="F88" s="20">
        <v>4.5137222514876181E-2</v>
      </c>
      <c r="G88" s="20">
        <v>0.9320310631355414</v>
      </c>
      <c r="H88" s="20">
        <v>0</v>
      </c>
      <c r="I88" s="20">
        <v>3.6223737436562968E-5</v>
      </c>
      <c r="J88" s="20">
        <v>1.0923089492941802E-2</v>
      </c>
      <c r="K88" s="20">
        <v>1.1872079815193179E-2</v>
      </c>
      <c r="L88" s="20">
        <v>0</v>
      </c>
    </row>
    <row r="89" spans="1:12">
      <c r="A89" s="2" t="s">
        <v>303</v>
      </c>
      <c r="B89" s="3" t="s">
        <v>304</v>
      </c>
      <c r="D89" s="20">
        <v>1.9933957476288603E-13</v>
      </c>
      <c r="E89" s="20">
        <v>0.81261977942977148</v>
      </c>
      <c r="F89" s="20">
        <v>0.22513084711404757</v>
      </c>
      <c r="G89" s="20">
        <v>0.5855191199340265</v>
      </c>
      <c r="H89" s="20">
        <v>0</v>
      </c>
      <c r="I89" s="20">
        <v>1.969812381697451E-3</v>
      </c>
      <c r="J89" s="20">
        <v>0.17696094553584937</v>
      </c>
      <c r="K89" s="20">
        <v>1.041927503417971E-2</v>
      </c>
      <c r="L89" s="20">
        <v>0</v>
      </c>
    </row>
    <row r="90" spans="1:12">
      <c r="A90" s="2" t="s">
        <v>425</v>
      </c>
      <c r="B90" s="3" t="s">
        <v>426</v>
      </c>
      <c r="D90" s="20">
        <v>1.2646219312512349E-13</v>
      </c>
      <c r="E90" s="20">
        <v>0.98918059162846372</v>
      </c>
      <c r="F90" s="20">
        <v>9.2997532930398207E-4</v>
      </c>
      <c r="G90" s="20">
        <v>3.1224587847542939E-4</v>
      </c>
      <c r="H90" s="20">
        <v>0</v>
      </c>
      <c r="I90" s="20">
        <v>0.98793837042068433</v>
      </c>
      <c r="J90" s="20">
        <v>6.4836275957455699E-5</v>
      </c>
      <c r="K90" s="20">
        <v>1.0754572095452311E-2</v>
      </c>
      <c r="L90" s="20">
        <v>0</v>
      </c>
    </row>
    <row r="91" spans="1:12">
      <c r="A91" s="2" t="s">
        <v>427</v>
      </c>
      <c r="B91" s="3" t="s">
        <v>428</v>
      </c>
      <c r="D91" s="20">
        <v>7.3113455366860026E-5</v>
      </c>
      <c r="E91" s="20">
        <v>0.8975357352413954</v>
      </c>
      <c r="F91" s="20">
        <v>6.2721436100925163E-2</v>
      </c>
      <c r="G91" s="20">
        <v>1.7640526744479829E-2</v>
      </c>
      <c r="H91" s="20">
        <v>0</v>
      </c>
      <c r="I91" s="20">
        <v>0.81717377239599043</v>
      </c>
      <c r="J91" s="20">
        <v>2.4830170477249664E-4</v>
      </c>
      <c r="K91" s="20">
        <v>0.10214284959846537</v>
      </c>
      <c r="L91" s="20">
        <v>0</v>
      </c>
    </row>
    <row r="92" spans="1:12">
      <c r="A92" s="2" t="s">
        <v>429</v>
      </c>
      <c r="B92" s="3" t="s">
        <v>430</v>
      </c>
      <c r="D92" s="20">
        <v>4.7198418446428656E-4</v>
      </c>
      <c r="E92" s="20">
        <v>0.85267836191822599</v>
      </c>
      <c r="F92" s="20">
        <v>0.57829059680190231</v>
      </c>
      <c r="G92" s="20">
        <v>0.12202299657551784</v>
      </c>
      <c r="H92" s="20">
        <v>0</v>
      </c>
      <c r="I92" s="20">
        <v>0.1523647685408058</v>
      </c>
      <c r="J92" s="20">
        <v>1.3914881683942065E-3</v>
      </c>
      <c r="K92" s="20">
        <v>0.14545816572891546</v>
      </c>
      <c r="L92" s="20">
        <v>0</v>
      </c>
    </row>
    <row r="93" spans="1:12">
      <c r="A93" s="2" t="s">
        <v>431</v>
      </c>
      <c r="B93" s="3" t="s">
        <v>432</v>
      </c>
      <c r="D93" s="20">
        <v>9.3754444503121808E-18</v>
      </c>
      <c r="E93" s="20">
        <v>0.99987314444380604</v>
      </c>
      <c r="F93" s="20">
        <v>4.361905147819989E-3</v>
      </c>
      <c r="G93" s="20">
        <v>3.494605360771907E-6</v>
      </c>
      <c r="H93" s="20">
        <v>0</v>
      </c>
      <c r="I93" s="20">
        <v>0.99550774469062531</v>
      </c>
      <c r="J93" s="20">
        <v>6.2305806948095849E-5</v>
      </c>
      <c r="K93" s="20">
        <v>6.4549749245798428E-5</v>
      </c>
      <c r="L93" s="20">
        <v>0</v>
      </c>
    </row>
    <row r="94" spans="1:12">
      <c r="A94" s="2" t="s">
        <v>433</v>
      </c>
      <c r="B94" s="3" t="s">
        <v>434</v>
      </c>
      <c r="D94" s="20">
        <v>1.9814249486505048E-18</v>
      </c>
      <c r="E94" s="20">
        <v>0.99993580545542349</v>
      </c>
      <c r="F94" s="20">
        <v>1.6974473461683495E-5</v>
      </c>
      <c r="G94" s="20">
        <v>2.368601245700208E-8</v>
      </c>
      <c r="H94" s="20">
        <v>0</v>
      </c>
      <c r="I94" s="20">
        <v>0.9999188072959494</v>
      </c>
      <c r="J94" s="20">
        <v>6.2561536344340346E-5</v>
      </c>
      <c r="K94" s="20">
        <v>1.6330082322036512E-6</v>
      </c>
      <c r="L94" s="20">
        <v>0</v>
      </c>
    </row>
    <row r="95" spans="1:12">
      <c r="A95" s="2" t="s">
        <v>435</v>
      </c>
      <c r="B95" s="3" t="s">
        <v>436</v>
      </c>
      <c r="D95" s="20">
        <v>1.0964106779404995E-8</v>
      </c>
      <c r="E95" s="20">
        <v>0.97464326759728026</v>
      </c>
      <c r="F95" s="20">
        <v>3.8669017079282493E-3</v>
      </c>
      <c r="G95" s="20">
        <v>1.341202577005455E-3</v>
      </c>
      <c r="H95" s="20">
        <v>0</v>
      </c>
      <c r="I95" s="20">
        <v>0.96943516331234658</v>
      </c>
      <c r="J95" s="20">
        <v>7.592219214486703E-5</v>
      </c>
      <c r="K95" s="20">
        <v>2.5280799246468172E-2</v>
      </c>
      <c r="L95" s="20">
        <v>0</v>
      </c>
    </row>
    <row r="96" spans="1:12">
      <c r="A96" s="2" t="s">
        <v>437</v>
      </c>
      <c r="B96" s="165" t="s">
        <v>438</v>
      </c>
      <c r="D96" s="20">
        <v>3.9908620041069426E-8</v>
      </c>
      <c r="E96" s="20">
        <v>0.95749349922242233</v>
      </c>
      <c r="F96" s="20">
        <v>0.2265089648466376</v>
      </c>
      <c r="G96" s="20">
        <v>0.73043395007862988</v>
      </c>
      <c r="H96" s="20">
        <v>0</v>
      </c>
      <c r="I96" s="20">
        <v>5.5058429715482409E-4</v>
      </c>
      <c r="J96" s="20">
        <v>8.4752523994855583E-3</v>
      </c>
      <c r="K96" s="20">
        <v>3.4031208469472149E-2</v>
      </c>
      <c r="L96" s="20">
        <v>0</v>
      </c>
    </row>
    <row r="97" spans="1:12">
      <c r="A97" s="2" t="s">
        <v>439</v>
      </c>
      <c r="B97" s="3" t="s">
        <v>440</v>
      </c>
      <c r="D97" s="20">
        <v>3.6768638627021678E-5</v>
      </c>
      <c r="E97" s="20">
        <v>0.86469597095522555</v>
      </c>
      <c r="F97" s="20">
        <v>0.12147760880245576</v>
      </c>
      <c r="G97" s="20">
        <v>3.2210078995616925E-2</v>
      </c>
      <c r="H97" s="20">
        <v>0</v>
      </c>
      <c r="I97" s="20">
        <v>0.71100828315715281</v>
      </c>
      <c r="J97" s="20">
        <v>4.0569058547946634E-4</v>
      </c>
      <c r="K97" s="20">
        <v>0.13486156982066824</v>
      </c>
      <c r="L97" s="20">
        <v>0</v>
      </c>
    </row>
    <row r="98" spans="1:12">
      <c r="A98" s="2" t="s">
        <v>441</v>
      </c>
      <c r="B98" s="3" t="s">
        <v>442</v>
      </c>
      <c r="D98" s="20">
        <v>2.4283502205417646E-17</v>
      </c>
      <c r="E98" s="20">
        <v>0.89155409952750686</v>
      </c>
      <c r="F98" s="20">
        <v>7.1372351535449075E-2</v>
      </c>
      <c r="G98" s="20">
        <v>1.9852973425320403E-2</v>
      </c>
      <c r="H98" s="20">
        <v>0</v>
      </c>
      <c r="I98" s="20">
        <v>0.80032877456673734</v>
      </c>
      <c r="J98" s="20">
        <v>2.7212642124992717E-4</v>
      </c>
      <c r="K98" s="20">
        <v>0.10817377405124325</v>
      </c>
      <c r="L98" s="20">
        <v>0</v>
      </c>
    </row>
    <row r="99" spans="1:12">
      <c r="A99" s="2" t="s">
        <v>443</v>
      </c>
      <c r="B99" s="3" t="s">
        <v>444</v>
      </c>
      <c r="D99" s="20">
        <v>3.5053958723657729E-29</v>
      </c>
      <c r="E99" s="20">
        <v>0.94692697199664921</v>
      </c>
      <c r="F99" s="20">
        <v>1.5854617000689866E-2</v>
      </c>
      <c r="G99" s="20">
        <v>4.9802519091401137E-3</v>
      </c>
      <c r="H99" s="20">
        <v>0</v>
      </c>
      <c r="I99" s="20">
        <v>0.92609210308681922</v>
      </c>
      <c r="J99" s="20">
        <v>1.1305788919470471E-4</v>
      </c>
      <c r="K99" s="20">
        <v>5.2959970114156062E-2</v>
      </c>
      <c r="L99" s="20">
        <v>0</v>
      </c>
    </row>
    <row r="100" spans="1:12">
      <c r="A100" s="2" t="s">
        <v>445</v>
      </c>
      <c r="B100" s="3" t="s">
        <v>446</v>
      </c>
      <c r="D100" s="20">
        <v>4.2021894140521049E-8</v>
      </c>
      <c r="E100" s="20">
        <v>0.94295830197609143</v>
      </c>
      <c r="F100" s="20">
        <v>0.57120803604744219</v>
      </c>
      <c r="G100" s="20">
        <v>0.36812038203038316</v>
      </c>
      <c r="H100" s="20">
        <v>0</v>
      </c>
      <c r="I100" s="20">
        <v>3.6298838982660717E-3</v>
      </c>
      <c r="J100" s="20">
        <v>4.2352895991253688E-3</v>
      </c>
      <c r="K100" s="20">
        <v>5.2806366402889035E-2</v>
      </c>
      <c r="L100" s="20">
        <v>0</v>
      </c>
    </row>
    <row r="101" spans="1:12">
      <c r="A101" s="2" t="s">
        <v>447</v>
      </c>
      <c r="B101" s="3" t="s">
        <v>448</v>
      </c>
      <c r="D101" s="20">
        <v>4.21316979950634E-9</v>
      </c>
      <c r="E101" s="20">
        <v>0.83765409242898625</v>
      </c>
      <c r="F101" s="20">
        <v>0.51006749332896983</v>
      </c>
      <c r="G101" s="20">
        <v>0.11146106853013114</v>
      </c>
      <c r="H101" s="20">
        <v>0</v>
      </c>
      <c r="I101" s="20">
        <v>0.21612553056988532</v>
      </c>
      <c r="J101" s="20">
        <v>1.2740622444830435E-3</v>
      </c>
      <c r="K101" s="20">
        <v>0.16107184111336084</v>
      </c>
      <c r="L101" s="20">
        <v>0</v>
      </c>
    </row>
    <row r="102" spans="1:12">
      <c r="A102" s="2" t="s">
        <v>449</v>
      </c>
      <c r="B102" s="3" t="s">
        <v>450</v>
      </c>
      <c r="D102" s="20">
        <v>1.7216822884327164E-4</v>
      </c>
      <c r="E102" s="20">
        <v>0.90806929179092033</v>
      </c>
      <c r="F102" s="20">
        <v>0.72672766980619052</v>
      </c>
      <c r="G102" s="20">
        <v>0.1375521083322381</v>
      </c>
      <c r="H102" s="20">
        <v>0</v>
      </c>
      <c r="I102" s="20">
        <v>4.3789513652491653E-2</v>
      </c>
      <c r="J102" s="20">
        <v>1.567442388198586E-3</v>
      </c>
      <c r="K102" s="20">
        <v>9.0191097592037778E-2</v>
      </c>
      <c r="L102" s="20">
        <v>0</v>
      </c>
    </row>
    <row r="103" spans="1:12">
      <c r="A103" s="2" t="s">
        <v>451</v>
      </c>
      <c r="B103" s="3" t="s">
        <v>452</v>
      </c>
      <c r="D103" s="20">
        <v>3.4230834426126595E-19</v>
      </c>
      <c r="E103" s="20">
        <v>0.99988625779848805</v>
      </c>
      <c r="F103" s="20">
        <v>0.1050638858420954</v>
      </c>
      <c r="G103" s="20">
        <v>1.0195972783873099E-5</v>
      </c>
      <c r="H103" s="20">
        <v>0</v>
      </c>
      <c r="I103" s="20">
        <v>0.89481217598360874</v>
      </c>
      <c r="J103" s="20">
        <v>6.4045783361104094E-5</v>
      </c>
      <c r="K103" s="20">
        <v>4.9696418150864256E-5</v>
      </c>
      <c r="L103" s="20">
        <v>0</v>
      </c>
    </row>
    <row r="104" spans="1:12">
      <c r="A104" s="2" t="s">
        <v>453</v>
      </c>
      <c r="B104" s="3" t="s">
        <v>454</v>
      </c>
      <c r="D104" s="20">
        <v>8.7836700574466925E-21</v>
      </c>
      <c r="E104" s="20">
        <v>0.99961891795067759</v>
      </c>
      <c r="F104" s="20">
        <v>0.98746161663150378</v>
      </c>
      <c r="G104" s="20">
        <v>1.0456488727532125E-3</v>
      </c>
      <c r="H104" s="20">
        <v>0</v>
      </c>
      <c r="I104" s="20">
        <v>1.1111652446420565E-2</v>
      </c>
      <c r="J104" s="20">
        <v>8.8341897093613465E-5</v>
      </c>
      <c r="K104" s="20">
        <v>2.9274015222869606E-4</v>
      </c>
      <c r="L104" s="20">
        <v>0</v>
      </c>
    </row>
    <row r="105" spans="1:12">
      <c r="A105" s="2" t="s">
        <v>455</v>
      </c>
      <c r="B105" s="165">
        <v>354656</v>
      </c>
      <c r="D105" s="20">
        <v>2.9175184986277241E-10</v>
      </c>
      <c r="E105" s="20">
        <v>0.98700968194041594</v>
      </c>
      <c r="F105" s="20">
        <v>1.0000743824848538E-3</v>
      </c>
      <c r="G105" s="20">
        <v>3.8683686771351204E-4</v>
      </c>
      <c r="H105" s="20">
        <v>0</v>
      </c>
      <c r="I105" s="20">
        <v>0.98562277069021753</v>
      </c>
      <c r="J105" s="20">
        <v>6.5504455678340792E-5</v>
      </c>
      <c r="K105" s="20">
        <v>1.2924813312153952E-2</v>
      </c>
      <c r="L105" s="20">
        <v>0</v>
      </c>
    </row>
    <row r="106" spans="1:12">
      <c r="A106" s="2" t="s">
        <v>457</v>
      </c>
      <c r="B106" s="3" t="s">
        <v>458</v>
      </c>
      <c r="D106" s="20">
        <v>4.4024213648234299E-10</v>
      </c>
      <c r="E106" s="20">
        <v>0.97341931034328188</v>
      </c>
      <c r="F106" s="20">
        <v>4.1979360343058379E-3</v>
      </c>
      <c r="G106" s="20">
        <v>1.4494769535149006E-3</v>
      </c>
      <c r="H106" s="20">
        <v>0</v>
      </c>
      <c r="I106" s="20">
        <v>0.9677718973554611</v>
      </c>
      <c r="J106" s="20">
        <v>7.691426275932488E-5</v>
      </c>
      <c r="K106" s="20">
        <v>2.6503774953716735E-2</v>
      </c>
      <c r="L106" s="20">
        <v>0</v>
      </c>
    </row>
    <row r="107" spans="1:12">
      <c r="A107" s="2" t="s">
        <v>459</v>
      </c>
      <c r="B107" s="3" t="s">
        <v>460</v>
      </c>
      <c r="D107" s="20">
        <v>3.896016762919847E-20</v>
      </c>
      <c r="E107" s="20">
        <v>0.93504783823416993</v>
      </c>
      <c r="F107" s="20">
        <v>0.77636979284310514</v>
      </c>
      <c r="G107" s="20">
        <v>0.13588040174045771</v>
      </c>
      <c r="H107" s="20">
        <v>0</v>
      </c>
      <c r="I107" s="20">
        <v>2.2797643650607071E-2</v>
      </c>
      <c r="J107" s="20">
        <v>1.819624617783903E-3</v>
      </c>
      <c r="K107" s="20">
        <v>6.3132537148046231E-2</v>
      </c>
      <c r="L107" s="20">
        <v>0</v>
      </c>
    </row>
    <row r="108" spans="1:12">
      <c r="A108" s="2" t="s">
        <v>461</v>
      </c>
      <c r="B108" s="3" t="s">
        <v>462</v>
      </c>
      <c r="D108" s="20">
        <v>8.5611103061427507E-10</v>
      </c>
      <c r="E108" s="20">
        <v>0.99991420187636626</v>
      </c>
      <c r="F108" s="20">
        <v>8.7926776701119881E-6</v>
      </c>
      <c r="G108" s="20">
        <v>2.548488829769921E-7</v>
      </c>
      <c r="H108" s="20">
        <v>0</v>
      </c>
      <c r="I108" s="20">
        <v>0.9999051543498132</v>
      </c>
      <c r="J108" s="20">
        <v>6.2345306964635419E-5</v>
      </c>
      <c r="K108" s="20">
        <v>2.3451960558052637E-5</v>
      </c>
      <c r="L108" s="20">
        <v>0</v>
      </c>
    </row>
    <row r="109" spans="1:12">
      <c r="A109" s="2" t="s">
        <v>463</v>
      </c>
      <c r="B109" s="3" t="s">
        <v>464</v>
      </c>
      <c r="D109" s="20">
        <v>2.2082436404752656E-12</v>
      </c>
      <c r="E109" s="20">
        <v>0.99139081661079043</v>
      </c>
      <c r="F109" s="20">
        <v>5.8289249874328521E-2</v>
      </c>
      <c r="G109" s="20">
        <v>2.8973071774887533E-3</v>
      </c>
      <c r="H109" s="20">
        <v>0</v>
      </c>
      <c r="I109" s="20">
        <v>0.93020425955897312</v>
      </c>
      <c r="J109" s="20">
        <v>8.4150987782079017E-4</v>
      </c>
      <c r="K109" s="20">
        <v>7.7676735091807246E-3</v>
      </c>
      <c r="L109" s="20">
        <v>0</v>
      </c>
    </row>
    <row r="110" spans="1:12">
      <c r="A110" s="2" t="s">
        <v>465</v>
      </c>
      <c r="B110" s="3" t="s">
        <v>466</v>
      </c>
      <c r="D110" s="20">
        <v>1.6311907425790592E-11</v>
      </c>
      <c r="E110" s="20">
        <v>0.9972885375951055</v>
      </c>
      <c r="F110" s="20">
        <v>2.2564479676852667E-4</v>
      </c>
      <c r="G110" s="20">
        <v>4.3170974197977512E-5</v>
      </c>
      <c r="H110" s="20">
        <v>0</v>
      </c>
      <c r="I110" s="20">
        <v>0.997019721824139</v>
      </c>
      <c r="J110" s="20">
        <v>6.2423890981895707E-5</v>
      </c>
      <c r="K110" s="20">
        <v>2.649038497600792E-3</v>
      </c>
      <c r="L110" s="20">
        <v>0</v>
      </c>
    </row>
    <row r="111" spans="1:12">
      <c r="A111" s="2" t="s">
        <v>467</v>
      </c>
      <c r="B111" s="3" t="s">
        <v>468</v>
      </c>
      <c r="D111" s="20">
        <v>2.8890930991539289E-30</v>
      </c>
      <c r="E111" s="20">
        <v>0.99993551328108399</v>
      </c>
      <c r="F111" s="20">
        <v>1.5978154702508171E-5</v>
      </c>
      <c r="G111" s="20">
        <v>1.320074890563573E-8</v>
      </c>
      <c r="H111" s="20">
        <v>0</v>
      </c>
      <c r="I111" s="20">
        <v>0.9999195219256326</v>
      </c>
      <c r="J111" s="20">
        <v>6.2115918520501572E-5</v>
      </c>
      <c r="K111" s="20">
        <v>2.3708003956892227E-6</v>
      </c>
      <c r="L111" s="20">
        <v>0</v>
      </c>
    </row>
    <row r="112" spans="1:12">
      <c r="A112" s="2" t="s">
        <v>469</v>
      </c>
      <c r="B112" s="3" t="s">
        <v>470</v>
      </c>
      <c r="D112" s="20">
        <v>1.8347687131771516E-13</v>
      </c>
      <c r="E112" s="20">
        <v>0.99650218998732032</v>
      </c>
      <c r="F112" s="20">
        <v>7.7911220935317086E-5</v>
      </c>
      <c r="G112" s="20">
        <v>3.6399512363596328E-5</v>
      </c>
      <c r="H112" s="20">
        <v>0</v>
      </c>
      <c r="I112" s="20">
        <v>0.99638787925402139</v>
      </c>
      <c r="J112" s="20">
        <v>6.2293927271485353E-5</v>
      </c>
      <c r="K112" s="20">
        <v>3.4355160852246555E-3</v>
      </c>
      <c r="L112" s="20">
        <v>0</v>
      </c>
    </row>
    <row r="113" spans="1:12">
      <c r="A113" s="2" t="s">
        <v>471</v>
      </c>
      <c r="B113" s="3" t="s">
        <v>472</v>
      </c>
      <c r="D113" s="20">
        <v>2.3080306519130931E-9</v>
      </c>
      <c r="E113" s="20">
        <v>0.98023080144001384</v>
      </c>
      <c r="F113" s="20">
        <v>2.2628733956135318E-3</v>
      </c>
      <c r="G113" s="20">
        <v>8.2367486212552813E-4</v>
      </c>
      <c r="H113" s="20">
        <v>0</v>
      </c>
      <c r="I113" s="20">
        <v>0.97714425318227482</v>
      </c>
      <c r="J113" s="20">
        <v>6.9831002402101483E-5</v>
      </c>
      <c r="K113" s="20">
        <v>1.9699365249553624E-2</v>
      </c>
      <c r="L113" s="20">
        <v>0</v>
      </c>
    </row>
    <row r="114" spans="1:12">
      <c r="A114" s="2" t="s">
        <v>473</v>
      </c>
      <c r="B114" s="3" t="s">
        <v>474</v>
      </c>
      <c r="D114" s="20">
        <v>1.7969640043184844E-16</v>
      </c>
      <c r="E114" s="20">
        <v>0.9981606078670141</v>
      </c>
      <c r="F114" s="20">
        <v>2.2635348755624538E-5</v>
      </c>
      <c r="G114" s="20">
        <v>1.1403962853166571E-5</v>
      </c>
      <c r="H114" s="20">
        <v>0</v>
      </c>
      <c r="I114" s="20">
        <v>0.99812656855540527</v>
      </c>
      <c r="J114" s="20">
        <v>6.212702503065841E-5</v>
      </c>
      <c r="K114" s="20">
        <v>1.7772651079551441E-3</v>
      </c>
      <c r="L114" s="20">
        <v>0</v>
      </c>
    </row>
    <row r="115" spans="1:12">
      <c r="A115" s="2" t="s">
        <v>475</v>
      </c>
      <c r="B115" s="3" t="s">
        <v>476</v>
      </c>
      <c r="D115" s="20">
        <v>9.2708010129726637E-13</v>
      </c>
      <c r="E115" s="20">
        <v>0.99990861222849159</v>
      </c>
      <c r="F115" s="20">
        <v>2.7451775572534962E-2</v>
      </c>
      <c r="G115" s="20">
        <v>3.2881702290870767E-6</v>
      </c>
      <c r="H115" s="20">
        <v>0</v>
      </c>
      <c r="I115" s="20">
        <v>0.97245354848572751</v>
      </c>
      <c r="J115" s="20">
        <v>6.2834838408509924E-5</v>
      </c>
      <c r="K115" s="20">
        <v>2.8552932172806024E-5</v>
      </c>
      <c r="L115" s="20">
        <v>0</v>
      </c>
    </row>
    <row r="116" spans="1:12">
      <c r="A116" s="2" t="s">
        <v>477</v>
      </c>
      <c r="B116" s="3" t="s">
        <v>478</v>
      </c>
      <c r="D116" s="20">
        <v>2.6370840229337929E-17</v>
      </c>
      <c r="E116" s="20">
        <v>0.98313038212514292</v>
      </c>
      <c r="F116" s="20">
        <v>0.82800829197847658</v>
      </c>
      <c r="G116" s="20">
        <v>2.0054794051692224E-2</v>
      </c>
      <c r="H116" s="20">
        <v>0</v>
      </c>
      <c r="I116" s="20">
        <v>0.13506729609497409</v>
      </c>
      <c r="J116" s="20">
        <v>8.7016385988866792E-3</v>
      </c>
      <c r="K116" s="20">
        <v>8.1679792759704242E-3</v>
      </c>
      <c r="L116" s="20">
        <v>0</v>
      </c>
    </row>
    <row r="117" spans="1:12">
      <c r="A117" s="2" t="s">
        <v>291</v>
      </c>
      <c r="B117" s="3" t="s">
        <v>479</v>
      </c>
      <c r="D117" s="20">
        <v>2.7947687607228032E-10</v>
      </c>
      <c r="E117" s="20">
        <v>0.83765808058814728</v>
      </c>
      <c r="F117" s="20">
        <v>0.20862414243068697</v>
      </c>
      <c r="G117" s="20">
        <v>5.2343181940305114E-2</v>
      </c>
      <c r="H117" s="20">
        <v>0</v>
      </c>
      <c r="I117" s="20">
        <v>0.57669075621715515</v>
      </c>
      <c r="J117" s="20">
        <v>6.2459725453078193E-4</v>
      </c>
      <c r="K117" s="20">
        <v>0.16171732187784507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3.1004833363596371E-12</v>
      </c>
      <c r="E2" s="14">
        <v>1.483633091911768E-4</v>
      </c>
      <c r="F2" s="14">
        <v>9.1295229747737136E-8</v>
      </c>
      <c r="G2" s="14">
        <v>3.6639002482761732E-8</v>
      </c>
      <c r="H2" s="14">
        <v>0</v>
      </c>
      <c r="I2" s="14">
        <v>9.6208292255531319E-9</v>
      </c>
      <c r="J2" s="14">
        <v>1.4991326468837967E-6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2.8237486925116745E-12</v>
      </c>
      <c r="E3" s="14">
        <v>8.4874100955370881E-5</v>
      </c>
      <c r="F3" s="14">
        <v>3.371893549102568E-5</v>
      </c>
      <c r="G3" s="14">
        <v>8.1914738327684929E-6</v>
      </c>
      <c r="H3" s="14">
        <v>0</v>
      </c>
      <c r="I3" s="14">
        <v>1.1301402284537124E-7</v>
      </c>
      <c r="J3" s="14">
        <v>2.310247287424087E-5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1.5870697771588957E-21</v>
      </c>
      <c r="E4" s="14">
        <v>1.4992468029175637E-4</v>
      </c>
      <c r="F4" s="14">
        <v>6.3272457966238212E-8</v>
      </c>
      <c r="G4" s="14">
        <v>6.9680353895712037E-11</v>
      </c>
      <c r="H4" s="14">
        <v>0</v>
      </c>
      <c r="I4" s="14">
        <v>1.0670777016774414E-8</v>
      </c>
      <c r="J4" s="14">
        <v>1.3067929066903405E-9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2.6422059258858645E-14</v>
      </c>
      <c r="E5" s="14">
        <v>8.2147138041909959E-5</v>
      </c>
      <c r="F5" s="14">
        <v>6.7825657391340334E-5</v>
      </c>
      <c r="G5" s="14">
        <v>5.3833581938342836E-9</v>
      </c>
      <c r="H5" s="14">
        <v>0</v>
      </c>
      <c r="I5" s="14">
        <v>9.9156256920756683E-9</v>
      </c>
      <c r="J5" s="14">
        <v>1.1905556441700895E-8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2.1681476370998203E-15</v>
      </c>
      <c r="E6" s="14">
        <v>4.8631765814217856E-5</v>
      </c>
      <c r="F6" s="14">
        <v>1.0128417929641767E-4</v>
      </c>
      <c r="G6" s="14">
        <v>2.9372041917367903E-8</v>
      </c>
      <c r="H6" s="14">
        <v>0</v>
      </c>
      <c r="I6" s="14">
        <v>1.0031910020345293E-8</v>
      </c>
      <c r="J6" s="14">
        <v>4.4650935258579925E-8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1.8945169731542419E-11</v>
      </c>
      <c r="E7" s="14">
        <v>1.6177707699924265E-5</v>
      </c>
      <c r="F7" s="14">
        <v>1.3330258109872642E-4</v>
      </c>
      <c r="G7" s="14">
        <v>2.7135239701368664E-7</v>
      </c>
      <c r="H7" s="14">
        <v>0</v>
      </c>
      <c r="I7" s="14">
        <v>1.2058161246377848E-8</v>
      </c>
      <c r="J7" s="14">
        <v>2.3628169791950772E-7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1.3430535882141007E-21</v>
      </c>
      <c r="E8" s="14">
        <v>3.4476511297878094E-5</v>
      </c>
      <c r="F8" s="14">
        <v>1.1547418005462461E-4</v>
      </c>
      <c r="G8" s="14">
        <v>1.7559391918430924E-8</v>
      </c>
      <c r="H8" s="14">
        <v>0</v>
      </c>
      <c r="I8" s="14">
        <v>9.729834684385924E-9</v>
      </c>
      <c r="J8" s="14">
        <v>2.2019420894456464E-8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5.6312165382965889E-17</v>
      </c>
      <c r="E9" s="14">
        <v>9.2135232934738539E-5</v>
      </c>
      <c r="F9" s="14">
        <v>5.7778639644308645E-5</v>
      </c>
      <c r="G9" s="14">
        <v>2.1899755242208134E-8</v>
      </c>
      <c r="H9" s="14">
        <v>0</v>
      </c>
      <c r="I9" s="14">
        <v>1.0085492707437951E-8</v>
      </c>
      <c r="J9" s="14">
        <v>5.4142172946814201E-8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1.8107661207881259E-9</v>
      </c>
      <c r="E10" s="14">
        <v>1.6583625063069425E-6</v>
      </c>
      <c r="F10" s="14">
        <v>1.1972395212985698E-4</v>
      </c>
      <c r="G10" s="14">
        <v>2.0911086571099217E-5</v>
      </c>
      <c r="H10" s="14">
        <v>0</v>
      </c>
      <c r="I10" s="14">
        <v>2.3904528481780513E-7</v>
      </c>
      <c r="J10" s="14">
        <v>7.4657427417982721E-6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7.0829007010771019E-16</v>
      </c>
      <c r="E11" s="14">
        <v>9.3545012815585299E-8</v>
      </c>
      <c r="F11" s="14">
        <v>8.5349742099560133E-5</v>
      </c>
      <c r="G11" s="14">
        <v>6.2358632840702722E-5</v>
      </c>
      <c r="H11" s="14">
        <v>0</v>
      </c>
      <c r="I11" s="14">
        <v>1.0541670192024573E-6</v>
      </c>
      <c r="J11" s="14">
        <v>1.1439130270107701E-6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8.914811157350749E-6</v>
      </c>
      <c r="E12" s="14">
        <v>1.4079976925771093E-4</v>
      </c>
      <c r="F12" s="14">
        <v>3.9577850714656462E-9</v>
      </c>
      <c r="G12" s="14">
        <v>1.9617340083019643E-9</v>
      </c>
      <c r="H12" s="14">
        <v>0</v>
      </c>
      <c r="I12" s="14">
        <v>8.7699670721562415E-9</v>
      </c>
      <c r="J12" s="14">
        <v>2.7073009878640273E-7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2.4708064551101647E-12</v>
      </c>
      <c r="E13" s="14">
        <v>9.5094595903244834E-5</v>
      </c>
      <c r="F13" s="14">
        <v>2.5483402371738599E-5</v>
      </c>
      <c r="G13" s="14">
        <v>6.5366159144592877E-6</v>
      </c>
      <c r="H13" s="14">
        <v>0</v>
      </c>
      <c r="I13" s="14">
        <v>7.936928146670147E-8</v>
      </c>
      <c r="J13" s="14">
        <v>2.2806014058284096E-5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1.0014323865730086E-11</v>
      </c>
      <c r="E14" s="14">
        <v>1.3216128952549436E-6</v>
      </c>
      <c r="F14" s="14">
        <v>1.4837674577514694E-4</v>
      </c>
      <c r="G14" s="14">
        <v>2.3245103923685681E-7</v>
      </c>
      <c r="H14" s="14">
        <v>0</v>
      </c>
      <c r="I14" s="14">
        <v>1.9677687079805835E-8</v>
      </c>
      <c r="J14" s="14">
        <v>4.9502588957559998E-8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1.0946711007306016E-5</v>
      </c>
      <c r="E15" s="14">
        <v>1.2596235245700444E-4</v>
      </c>
      <c r="F15" s="14">
        <v>3.2173798472779888E-6</v>
      </c>
      <c r="G15" s="14">
        <v>9.812911737017815E-7</v>
      </c>
      <c r="H15" s="14">
        <v>0</v>
      </c>
      <c r="I15" s="14">
        <v>1.8778598212096163E-8</v>
      </c>
      <c r="J15" s="14">
        <v>8.873486916497627E-6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9.4708078392044443E-8</v>
      </c>
      <c r="E16" s="14">
        <v>8.9376662854661194E-5</v>
      </c>
      <c r="F16" s="14">
        <v>2.9255377689916004E-5</v>
      </c>
      <c r="G16" s="14">
        <v>7.3943714745011262E-6</v>
      </c>
      <c r="H16" s="14">
        <v>0</v>
      </c>
      <c r="I16" s="14">
        <v>8.8702237097999629E-8</v>
      </c>
      <c r="J16" s="14">
        <v>2.3790177665431613E-5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2.8349616775321683E-7</v>
      </c>
      <c r="E17" s="14">
        <v>9.2829134768449914E-5</v>
      </c>
      <c r="F17" s="14">
        <v>2.6814263750626666E-5</v>
      </c>
      <c r="G17" s="14">
        <v>6.840083954608118E-6</v>
      </c>
      <c r="H17" s="14">
        <v>0</v>
      </c>
      <c r="I17" s="14">
        <v>8.2655811325818951E-8</v>
      </c>
      <c r="J17" s="14">
        <v>2.3150365547236236E-5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5.2113097607051952E-12</v>
      </c>
      <c r="E18" s="14">
        <v>1.0409359277975634E-7</v>
      </c>
      <c r="F18" s="14">
        <v>3.8598068519950624E-5</v>
      </c>
      <c r="G18" s="14">
        <v>1.0458300784110928E-4</v>
      </c>
      <c r="H18" s="14">
        <v>0</v>
      </c>
      <c r="I18" s="14">
        <v>1.2123565397890148E-6</v>
      </c>
      <c r="J18" s="14">
        <v>5.5024682950615481E-6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1.4409263255166926E-6</v>
      </c>
      <c r="E19" s="14">
        <v>1.4214084271108474E-4</v>
      </c>
      <c r="F19" s="14">
        <v>9.8914613927587605E-7</v>
      </c>
      <c r="G19" s="14">
        <v>3.3201370848105497E-7</v>
      </c>
      <c r="H19" s="14">
        <v>0</v>
      </c>
      <c r="I19" s="14">
        <v>1.2522123372013146E-8</v>
      </c>
      <c r="J19" s="14">
        <v>5.0845489922695852E-6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2.73791061476736E-6</v>
      </c>
      <c r="E20" s="14">
        <v>1.3803727443539472E-4</v>
      </c>
      <c r="F20" s="14">
        <v>1.7948904623693674E-6</v>
      </c>
      <c r="G20" s="14">
        <v>5.753518385091042E-7</v>
      </c>
      <c r="H20" s="14">
        <v>0</v>
      </c>
      <c r="I20" s="14">
        <v>1.4984896963152815E-8</v>
      </c>
      <c r="J20" s="14">
        <v>6.8395877519962614E-6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2.2643134536081534E-7</v>
      </c>
      <c r="E21" s="14">
        <v>1.6580455244214329E-5</v>
      </c>
      <c r="F21" s="14">
        <v>1.2361695026890133E-4</v>
      </c>
      <c r="G21" s="14">
        <v>4.9888125627521517E-6</v>
      </c>
      <c r="H21" s="14">
        <v>0</v>
      </c>
      <c r="I21" s="14">
        <v>6.3652537626585286E-8</v>
      </c>
      <c r="J21" s="14">
        <v>4.5236980411447583E-6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7.8975567297701991E-6</v>
      </c>
      <c r="E22" s="14">
        <v>1.3994257608265792E-4</v>
      </c>
      <c r="F22" s="14">
        <v>1.5693197432153948E-7</v>
      </c>
      <c r="G22" s="14">
        <v>6.0256928980479188E-8</v>
      </c>
      <c r="H22" s="14">
        <v>0</v>
      </c>
      <c r="I22" s="14">
        <v>9.3597491657827295E-9</v>
      </c>
      <c r="J22" s="14">
        <v>1.9333185351040861E-6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9.0440034714397648E-6</v>
      </c>
      <c r="E23" s="14">
        <v>1.2186467380772714E-4</v>
      </c>
      <c r="F23" s="14">
        <v>5.6725640030055342E-6</v>
      </c>
      <c r="G23" s="14">
        <v>1.6552933109113758E-6</v>
      </c>
      <c r="H23" s="14">
        <v>0</v>
      </c>
      <c r="I23" s="14">
        <v>2.6079579857403543E-8</v>
      </c>
      <c r="J23" s="14">
        <v>1.1737385827058739E-5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2.8419533041032808E-7</v>
      </c>
      <c r="E24" s="14">
        <v>7.0299793251731892E-5</v>
      </c>
      <c r="F24" s="14">
        <v>4.2996749242979507E-5</v>
      </c>
      <c r="G24" s="14">
        <v>1.037841845820364E-5</v>
      </c>
      <c r="H24" s="14">
        <v>0</v>
      </c>
      <c r="I24" s="14">
        <v>1.2128530689271051E-7</v>
      </c>
      <c r="J24" s="14">
        <v>2.5919558409781895E-5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2.4080303211877243E-8</v>
      </c>
      <c r="E25" s="14">
        <v>1.4561934093035872E-7</v>
      </c>
      <c r="F25" s="14">
        <v>4.6204112799575785E-5</v>
      </c>
      <c r="G25" s="14">
        <v>9.6422012292856612E-5</v>
      </c>
      <c r="H25" s="14">
        <v>0</v>
      </c>
      <c r="I25" s="14">
        <v>1.1162037513471198E-6</v>
      </c>
      <c r="J25" s="14">
        <v>6.0879715120782336E-6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1.8976785992858831E-5</v>
      </c>
      <c r="E26" s="14">
        <v>2.4997683779508741E-5</v>
      </c>
      <c r="F26" s="14">
        <v>7.0281552158530853E-5</v>
      </c>
      <c r="G26" s="14">
        <v>1.5161316000199001E-5</v>
      </c>
      <c r="H26" s="14">
        <v>0</v>
      </c>
      <c r="I26" s="14">
        <v>1.7311718740999422E-7</v>
      </c>
      <c r="J26" s="14">
        <v>2.0409544881492564E-5</v>
      </c>
      <c r="K26" s="14">
        <v>0</v>
      </c>
    </row>
    <row r="27" spans="1:13">
      <c r="A27" s="2" t="s">
        <v>397</v>
      </c>
      <c r="B27" s="3" t="s">
        <v>398</v>
      </c>
      <c r="D27" s="14">
        <v>8.5760500293711358E-5</v>
      </c>
      <c r="E27" s="14">
        <v>2.943231452272672E-6</v>
      </c>
      <c r="F27" s="14">
        <v>4.6462865466313582E-5</v>
      </c>
      <c r="G27" s="14">
        <v>8.8267646194951844E-6</v>
      </c>
      <c r="H27" s="14">
        <v>0</v>
      </c>
      <c r="I27" s="14">
        <v>1.0057665049043376E-7</v>
      </c>
      <c r="J27" s="14">
        <v>5.9060615177167425E-6</v>
      </c>
      <c r="K27" s="14">
        <v>0</v>
      </c>
    </row>
    <row r="28" spans="1:13">
      <c r="A28" s="2" t="s">
        <v>399</v>
      </c>
      <c r="B28" s="3" t="s">
        <v>400</v>
      </c>
      <c r="D28" s="14">
        <v>1.1306086080384456E-4</v>
      </c>
      <c r="E28" s="14">
        <v>5.523436909052197E-6</v>
      </c>
      <c r="F28" s="14">
        <v>2.1494679407453509E-5</v>
      </c>
      <c r="G28" s="14">
        <v>4.5271671267379368E-6</v>
      </c>
      <c r="H28" s="14">
        <v>0</v>
      </c>
      <c r="I28" s="14">
        <v>5.1621247536994264E-8</v>
      </c>
      <c r="J28" s="14">
        <v>5.3422345053747651E-6</v>
      </c>
      <c r="K28" s="14">
        <v>0</v>
      </c>
    </row>
    <row r="29" spans="1:13">
      <c r="A29" s="2" t="s">
        <v>297</v>
      </c>
      <c r="B29" s="3" t="s">
        <v>298</v>
      </c>
      <c r="D29" s="14">
        <v>1.3785937638214707E-4</v>
      </c>
      <c r="E29" s="14">
        <v>1.1256760331338517E-5</v>
      </c>
      <c r="F29" s="14">
        <v>1.8795548063092402E-7</v>
      </c>
      <c r="G29" s="14">
        <v>5.9149428015162353E-8</v>
      </c>
      <c r="H29" s="14">
        <v>0</v>
      </c>
      <c r="I29" s="14">
        <v>1.3587297050850906E-9</v>
      </c>
      <c r="J29" s="14">
        <v>6.3539964816323763E-7</v>
      </c>
      <c r="K29" s="14">
        <v>0</v>
      </c>
    </row>
    <row r="30" spans="1:13">
      <c r="A30" s="2" t="s">
        <v>401</v>
      </c>
      <c r="B30" s="3" t="s">
        <v>402</v>
      </c>
      <c r="D30" s="14">
        <v>1.3550199929658263E-4</v>
      </c>
      <c r="E30" s="14">
        <v>2.2962692661664268E-6</v>
      </c>
      <c r="F30" s="14">
        <v>8.2901881553605923E-6</v>
      </c>
      <c r="G30" s="14">
        <v>1.7557389461407356E-6</v>
      </c>
      <c r="H30" s="14">
        <v>0</v>
      </c>
      <c r="I30" s="14">
        <v>2.0025082146171591E-8</v>
      </c>
      <c r="J30" s="14">
        <v>2.1357792536034207E-6</v>
      </c>
      <c r="K30" s="14">
        <v>0</v>
      </c>
    </row>
    <row r="31" spans="1:13">
      <c r="A31" s="2" t="s">
        <v>299</v>
      </c>
      <c r="B31" s="3" t="s">
        <v>300</v>
      </c>
      <c r="D31" s="14">
        <v>1.4969372430260967E-4</v>
      </c>
      <c r="E31" s="14">
        <v>8.6349674246239E-8</v>
      </c>
      <c r="F31" s="14">
        <v>1.3659106079373934E-7</v>
      </c>
      <c r="G31" s="14">
        <v>3.0740988837726603E-8</v>
      </c>
      <c r="H31" s="14">
        <v>0</v>
      </c>
      <c r="I31" s="14">
        <v>3.5264003056747233E-10</v>
      </c>
      <c r="J31" s="14">
        <v>5.2241333482037022E-8</v>
      </c>
      <c r="K31" s="14">
        <v>0</v>
      </c>
    </row>
    <row r="32" spans="1:13">
      <c r="A32" s="2" t="s">
        <v>343</v>
      </c>
      <c r="B32" s="3" t="s">
        <v>344</v>
      </c>
      <c r="D32" s="14">
        <v>2.7420756611416562E-7</v>
      </c>
      <c r="E32" s="14">
        <v>1.0091054319156568E-4</v>
      </c>
      <c r="F32" s="14">
        <v>2.1592260855099402E-5</v>
      </c>
      <c r="G32" s="14">
        <v>5.6311056247725316E-6</v>
      </c>
      <c r="H32" s="14">
        <v>0</v>
      </c>
      <c r="I32" s="14">
        <v>6.9512707462636139E-8</v>
      </c>
      <c r="J32" s="14">
        <v>2.1522370054985571E-5</v>
      </c>
      <c r="K32" s="14">
        <v>0</v>
      </c>
    </row>
    <row r="33" spans="1:11">
      <c r="A33" s="2" t="s">
        <v>345</v>
      </c>
      <c r="B33" s="3" t="s">
        <v>346</v>
      </c>
      <c r="D33" s="14">
        <v>1.1150181481228541E-8</v>
      </c>
      <c r="E33" s="14">
        <v>1.2175282477940873E-4</v>
      </c>
      <c r="F33" s="14">
        <v>9.8242774810784378E-6</v>
      </c>
      <c r="G33" s="14">
        <v>2.7529363845599381E-6</v>
      </c>
      <c r="H33" s="14">
        <v>0</v>
      </c>
      <c r="I33" s="14">
        <v>3.839514748821793E-8</v>
      </c>
      <c r="J33" s="14">
        <v>1.5620416025983404E-5</v>
      </c>
      <c r="K33" s="14">
        <v>0</v>
      </c>
    </row>
    <row r="34" spans="1:11">
      <c r="A34" s="2" t="s">
        <v>347</v>
      </c>
      <c r="B34" s="3" t="s">
        <v>348</v>
      </c>
      <c r="D34" s="14">
        <v>1.0306787710970031E-8</v>
      </c>
      <c r="E34" s="14">
        <v>3.1853740738153488E-5</v>
      </c>
      <c r="F34" s="14">
        <v>7.7080054895943721E-5</v>
      </c>
      <c r="G34" s="14">
        <v>1.6812704142739817E-5</v>
      </c>
      <c r="H34" s="14">
        <v>0</v>
      </c>
      <c r="I34" s="14">
        <v>1.9214619301131619E-7</v>
      </c>
      <c r="J34" s="14">
        <v>2.4051047242440683E-5</v>
      </c>
      <c r="K34" s="14">
        <v>0</v>
      </c>
    </row>
    <row r="35" spans="1:11">
      <c r="A35" s="2" t="s">
        <v>349</v>
      </c>
      <c r="B35" s="3" t="s">
        <v>350</v>
      </c>
      <c r="D35" s="14">
        <v>1.6952409274426637E-6</v>
      </c>
      <c r="E35" s="14">
        <v>3.4116819578597867E-6</v>
      </c>
      <c r="F35" s="14">
        <v>1.1403813682662102E-4</v>
      </c>
      <c r="G35" s="14">
        <v>2.0499613290186622E-5</v>
      </c>
      <c r="H35" s="14">
        <v>0</v>
      </c>
      <c r="I35" s="14">
        <v>2.3389202557667271E-7</v>
      </c>
      <c r="J35" s="14">
        <v>1.01214349723132E-5</v>
      </c>
      <c r="K35" s="14">
        <v>0</v>
      </c>
    </row>
    <row r="36" spans="1:11">
      <c r="A36" s="2" t="s">
        <v>351</v>
      </c>
      <c r="B36" s="3" t="s">
        <v>352</v>
      </c>
      <c r="D36" s="14">
        <v>4.5195433999327166E-8</v>
      </c>
      <c r="E36" s="14">
        <v>7.4626259013962871E-7</v>
      </c>
      <c r="F36" s="14">
        <v>9.6230611485970696E-5</v>
      </c>
      <c r="G36" s="14">
        <v>4.4423093758586471E-5</v>
      </c>
      <c r="H36" s="14">
        <v>0</v>
      </c>
      <c r="I36" s="14">
        <v>5.1022252501430011E-7</v>
      </c>
      <c r="J36" s="14">
        <v>8.0446142062895761E-6</v>
      </c>
      <c r="K36" s="14">
        <v>0</v>
      </c>
    </row>
    <row r="37" spans="1:11">
      <c r="A37" s="2" t="s">
        <v>353</v>
      </c>
      <c r="B37" s="3" t="s">
        <v>354</v>
      </c>
      <c r="D37" s="14">
        <v>3.0682090624796481E-7</v>
      </c>
      <c r="E37" s="14">
        <v>1.1419893620439771E-7</v>
      </c>
      <c r="F37" s="14">
        <v>4.0551192735990489E-5</v>
      </c>
      <c r="G37" s="14">
        <v>1.0218783263996437E-4</v>
      </c>
      <c r="H37" s="14">
        <v>0</v>
      </c>
      <c r="I37" s="14">
        <v>1.1841343979160422E-6</v>
      </c>
      <c r="J37" s="14">
        <v>5.6558203836767226E-6</v>
      </c>
      <c r="K37" s="14">
        <v>0</v>
      </c>
    </row>
    <row r="38" spans="1:11">
      <c r="A38" s="2" t="s">
        <v>355</v>
      </c>
      <c r="B38" s="3" t="s">
        <v>356</v>
      </c>
      <c r="D38" s="14">
        <v>1.6949133119679659E-8</v>
      </c>
      <c r="E38" s="14">
        <v>4.1155189018956706E-7</v>
      </c>
      <c r="F38" s="14">
        <v>7.6342464358185213E-5</v>
      </c>
      <c r="G38" s="14">
        <v>6.4812941239010481E-5</v>
      </c>
      <c r="H38" s="14">
        <v>0</v>
      </c>
      <c r="I38" s="14">
        <v>7.4675056110360029E-7</v>
      </c>
      <c r="J38" s="14">
        <v>7.6693428183914441E-6</v>
      </c>
      <c r="K38" s="14">
        <v>0</v>
      </c>
    </row>
    <row r="39" spans="1:11">
      <c r="A39" s="2" t="s">
        <v>357</v>
      </c>
      <c r="B39" s="3" t="s">
        <v>358</v>
      </c>
      <c r="D39" s="14">
        <v>3.4333447721121379E-6</v>
      </c>
      <c r="E39" s="14">
        <v>6.2057535859154845E-7</v>
      </c>
      <c r="F39" s="14">
        <v>8.8784284930707713E-5</v>
      </c>
      <c r="G39" s="14">
        <v>4.8778861157578094E-5</v>
      </c>
      <c r="H39" s="14">
        <v>0</v>
      </c>
      <c r="I39" s="14">
        <v>5.6074888490952372E-7</v>
      </c>
      <c r="J39" s="14">
        <v>7.8221848961009635E-6</v>
      </c>
      <c r="K39" s="14">
        <v>0</v>
      </c>
    </row>
    <row r="40" spans="1:11">
      <c r="A40" s="2" t="s">
        <v>359</v>
      </c>
      <c r="B40" s="3" t="s">
        <v>360</v>
      </c>
      <c r="D40" s="14">
        <v>1.6949133119679659E-8</v>
      </c>
      <c r="E40" s="14">
        <v>4.1155189018956706E-7</v>
      </c>
      <c r="F40" s="14">
        <v>7.6342464358185213E-5</v>
      </c>
      <c r="G40" s="14">
        <v>6.4812941239010481E-5</v>
      </c>
      <c r="H40" s="14">
        <v>0</v>
      </c>
      <c r="I40" s="14">
        <v>7.4675056110360029E-7</v>
      </c>
      <c r="J40" s="14">
        <v>7.6693428183914441E-6</v>
      </c>
      <c r="K40" s="14">
        <v>0</v>
      </c>
    </row>
    <row r="41" spans="1:11">
      <c r="A41" s="2" t="s">
        <v>313</v>
      </c>
      <c r="B41" s="3" t="s">
        <v>314</v>
      </c>
      <c r="D41" s="14">
        <v>6.5479188389169713E-12</v>
      </c>
      <c r="E41" s="14">
        <v>1.4314560091706772E-4</v>
      </c>
      <c r="F41" s="14">
        <v>6.8318697884937625E-6</v>
      </c>
      <c r="G41" s="14">
        <v>1.6257738365231272E-9</v>
      </c>
      <c r="H41" s="14">
        <v>0</v>
      </c>
      <c r="I41" s="14">
        <v>9.4851096400629019E-9</v>
      </c>
      <c r="J41" s="14">
        <v>1.1411863043033933E-8</v>
      </c>
      <c r="K41" s="14">
        <v>0</v>
      </c>
    </row>
    <row r="42" spans="1:11">
      <c r="A42" s="2" t="s">
        <v>315</v>
      </c>
      <c r="B42" s="3" t="s">
        <v>316</v>
      </c>
      <c r="D42" s="14">
        <v>4.4224667560136008E-7</v>
      </c>
      <c r="E42" s="14">
        <v>1.0378669608313216E-7</v>
      </c>
      <c r="F42" s="14">
        <v>3.8484270740389776E-5</v>
      </c>
      <c r="G42" s="14">
        <v>1.0427466821354577E-4</v>
      </c>
      <c r="H42" s="14">
        <v>0</v>
      </c>
      <c r="I42" s="14">
        <v>1.2087821774555021E-6</v>
      </c>
      <c r="J42" s="14">
        <v>5.4862454969244263E-6</v>
      </c>
      <c r="K42" s="14">
        <v>0</v>
      </c>
    </row>
    <row r="43" spans="1:11">
      <c r="A43" s="2" t="s">
        <v>317</v>
      </c>
      <c r="B43" s="3" t="s">
        <v>318</v>
      </c>
      <c r="D43" s="14">
        <v>6.3826595659792006E-16</v>
      </c>
      <c r="E43" s="14">
        <v>6.5762572096386986E-5</v>
      </c>
      <c r="F43" s="14">
        <v>4.673264533324123E-5</v>
      </c>
      <c r="G43" s="14">
        <v>1.1156190476306719E-5</v>
      </c>
      <c r="H43" s="14">
        <v>0</v>
      </c>
      <c r="I43" s="14">
        <v>1.2982042962121995E-7</v>
      </c>
      <c r="J43" s="14">
        <v>2.6218771663805556E-5</v>
      </c>
      <c r="K43" s="14">
        <v>0</v>
      </c>
    </row>
    <row r="44" spans="1:11">
      <c r="A44" s="2" t="s">
        <v>307</v>
      </c>
      <c r="B44" s="3" t="s">
        <v>308</v>
      </c>
      <c r="D44" s="14">
        <v>1.5047855635957826E-8</v>
      </c>
      <c r="E44" s="14">
        <v>1.1147865649030619E-6</v>
      </c>
      <c r="F44" s="14">
        <v>1.089665749717126E-4</v>
      </c>
      <c r="G44" s="14">
        <v>3.1621965155000389E-5</v>
      </c>
      <c r="H44" s="14">
        <v>0</v>
      </c>
      <c r="I44" s="14">
        <v>3.6235314739906495E-7</v>
      </c>
      <c r="J44" s="14">
        <v>7.9192723053489E-6</v>
      </c>
      <c r="K44" s="14">
        <v>0</v>
      </c>
    </row>
    <row r="45" spans="1:11">
      <c r="A45" s="2" t="s">
        <v>319</v>
      </c>
      <c r="B45" s="3" t="s">
        <v>320</v>
      </c>
      <c r="D45" s="14">
        <v>1.4339670705832322E-9</v>
      </c>
      <c r="E45" s="14">
        <v>4.6190885543802583E-8</v>
      </c>
      <c r="F45" s="14">
        <v>2.4426309896207565E-5</v>
      </c>
      <c r="G45" s="14">
        <v>1.199646850182421E-4</v>
      </c>
      <c r="H45" s="14">
        <v>0</v>
      </c>
      <c r="I45" s="14">
        <v>1.3950869473355296E-6</v>
      </c>
      <c r="J45" s="14">
        <v>4.1662932856004146E-6</v>
      </c>
      <c r="K45" s="14">
        <v>0</v>
      </c>
    </row>
    <row r="46" spans="1:11">
      <c r="A46" s="2" t="s">
        <v>321</v>
      </c>
      <c r="B46" s="3" t="s">
        <v>322</v>
      </c>
      <c r="D46" s="14">
        <v>2.1249914169855837E-9</v>
      </c>
      <c r="E46" s="14">
        <v>9.2784256120713466E-8</v>
      </c>
      <c r="F46" s="14">
        <v>3.6238971592437263E-5</v>
      </c>
      <c r="G46" s="14">
        <v>1.0712021111588944E-4</v>
      </c>
      <c r="H46" s="14">
        <v>0</v>
      </c>
      <c r="I46" s="14">
        <v>1.2423437187191921E-6</v>
      </c>
      <c r="J46" s="14">
        <v>5.3035643254163569E-6</v>
      </c>
      <c r="K46" s="14">
        <v>0</v>
      </c>
    </row>
    <row r="47" spans="1:11">
      <c r="A47" s="2" t="s">
        <v>323</v>
      </c>
      <c r="B47" s="3" t="s">
        <v>324</v>
      </c>
      <c r="D47" s="14">
        <v>2.0185123774220802E-8</v>
      </c>
      <c r="E47" s="14">
        <v>2.0786842565120653E-7</v>
      </c>
      <c r="F47" s="14">
        <v>5.5468969946130105E-5</v>
      </c>
      <c r="G47" s="14">
        <v>8.6605536525191369E-5</v>
      </c>
      <c r="H47" s="14">
        <v>0</v>
      </c>
      <c r="I47" s="14">
        <v>1.0010293476022856E-6</v>
      </c>
      <c r="J47" s="14">
        <v>6.6964106316507865E-6</v>
      </c>
      <c r="K47" s="14">
        <v>0</v>
      </c>
    </row>
    <row r="48" spans="1:11">
      <c r="A48" s="2" t="s">
        <v>325</v>
      </c>
      <c r="B48" s="3" t="s">
        <v>326</v>
      </c>
      <c r="D48" s="14">
        <v>1.3601088706537996E-8</v>
      </c>
      <c r="E48" s="14">
        <v>1.0237426178065484E-5</v>
      </c>
      <c r="F48" s="14">
        <v>1.0303679881738952E-4</v>
      </c>
      <c r="G48" s="14">
        <v>2.0234287331689887E-5</v>
      </c>
      <c r="H48" s="14">
        <v>0</v>
      </c>
      <c r="I48" s="14">
        <v>2.3046934230961026E-7</v>
      </c>
      <c r="J48" s="14">
        <v>1.6247417241838931E-5</v>
      </c>
      <c r="K48" s="14">
        <v>0</v>
      </c>
    </row>
    <row r="49" spans="1:11">
      <c r="A49" s="2" t="s">
        <v>275</v>
      </c>
      <c r="B49" s="3" t="s">
        <v>276</v>
      </c>
      <c r="D49" s="14">
        <v>1.9343627860365102E-10</v>
      </c>
      <c r="E49" s="14">
        <v>1.0372776932959983E-6</v>
      </c>
      <c r="F49" s="14">
        <v>1.0679639987566078E-4</v>
      </c>
      <c r="G49" s="14">
        <v>3.3810544755243969E-5</v>
      </c>
      <c r="H49" s="14">
        <v>0</v>
      </c>
      <c r="I49" s="14">
        <v>3.8759775238134292E-7</v>
      </c>
      <c r="J49" s="14">
        <v>7.9679864871392755E-6</v>
      </c>
      <c r="K49" s="14">
        <v>0</v>
      </c>
    </row>
    <row r="50" spans="1:11">
      <c r="A50" s="2" t="s">
        <v>327</v>
      </c>
      <c r="B50" s="3" t="s">
        <v>328</v>
      </c>
      <c r="D50" s="14">
        <v>1.0082419789707887E-8</v>
      </c>
      <c r="E50" s="14">
        <v>9.1689981619585628E-7</v>
      </c>
      <c r="F50" s="14">
        <v>1.0293983315192129E-4</v>
      </c>
      <c r="G50" s="14">
        <v>3.7677234256080149E-5</v>
      </c>
      <c r="H50" s="14">
        <v>0</v>
      </c>
      <c r="I50" s="14">
        <v>4.3223643087984026E-7</v>
      </c>
      <c r="J50" s="14">
        <v>8.0237139251331268E-6</v>
      </c>
      <c r="K50" s="14">
        <v>0</v>
      </c>
    </row>
    <row r="51" spans="1:11">
      <c r="A51" s="2" t="s">
        <v>329</v>
      </c>
      <c r="B51" s="3" t="s">
        <v>330</v>
      </c>
      <c r="D51" s="14">
        <v>6.9558046832453824E-9</v>
      </c>
      <c r="E51" s="14">
        <v>6.4225055560357678E-6</v>
      </c>
      <c r="F51" s="14">
        <v>1.0928638561942703E-4</v>
      </c>
      <c r="G51" s="14">
        <v>2.0647221571099339E-5</v>
      </c>
      <c r="H51" s="14">
        <v>0</v>
      </c>
      <c r="I51" s="14">
        <v>2.35288625340511E-7</v>
      </c>
      <c r="J51" s="14">
        <v>1.3401642823414071E-5</v>
      </c>
      <c r="K51" s="14">
        <v>0</v>
      </c>
    </row>
    <row r="52" spans="1:11">
      <c r="A52" s="2" t="s">
        <v>277</v>
      </c>
      <c r="B52" s="3" t="s">
        <v>278</v>
      </c>
      <c r="D52" s="14">
        <v>2.112214238454393E-8</v>
      </c>
      <c r="E52" s="14">
        <v>9.8002030940631829E-6</v>
      </c>
      <c r="F52" s="14">
        <v>1.0369472165981659E-4</v>
      </c>
      <c r="G52" s="14">
        <v>2.0288605870905715E-5</v>
      </c>
      <c r="H52" s="14">
        <v>0</v>
      </c>
      <c r="I52" s="14">
        <v>2.3109333340942066E-7</v>
      </c>
      <c r="J52" s="14">
        <v>1.5964253899420526E-5</v>
      </c>
      <c r="K52" s="14">
        <v>0</v>
      </c>
    </row>
    <row r="53" spans="1:11">
      <c r="A53" s="2" t="s">
        <v>331</v>
      </c>
      <c r="B53" s="3" t="s">
        <v>332</v>
      </c>
      <c r="D53" s="14">
        <v>6.7288954084110744E-9</v>
      </c>
      <c r="E53" s="14">
        <v>6.0931362252047496E-7</v>
      </c>
      <c r="F53" s="14">
        <v>8.9466914979347632E-5</v>
      </c>
      <c r="G53" s="14">
        <v>5.1340254538886475E-5</v>
      </c>
      <c r="H53" s="14">
        <v>0</v>
      </c>
      <c r="I53" s="14">
        <v>5.9032580490122304E-7</v>
      </c>
      <c r="J53" s="14">
        <v>7.9864621589357578E-6</v>
      </c>
      <c r="K53" s="14">
        <v>0</v>
      </c>
    </row>
    <row r="54" spans="1:11">
      <c r="A54" s="2" t="s">
        <v>333</v>
      </c>
      <c r="B54" s="3" t="s">
        <v>334</v>
      </c>
      <c r="D54" s="14">
        <v>1.0971761472274623E-11</v>
      </c>
      <c r="E54" s="14">
        <v>9.7573855838057247E-7</v>
      </c>
      <c r="F54" s="14">
        <v>1.0490472308917592E-4</v>
      </c>
      <c r="G54" s="14">
        <v>3.5710061414379389E-5</v>
      </c>
      <c r="H54" s="14">
        <v>0</v>
      </c>
      <c r="I54" s="14">
        <v>4.0952066022950616E-7</v>
      </c>
      <c r="J54" s="14">
        <v>7.9999453060731168E-6</v>
      </c>
      <c r="K54" s="14">
        <v>0</v>
      </c>
    </row>
    <row r="55" spans="1:11">
      <c r="A55" s="2" t="s">
        <v>335</v>
      </c>
      <c r="B55" s="3" t="s">
        <v>336</v>
      </c>
      <c r="D55" s="14">
        <v>5.2458394428871752E-8</v>
      </c>
      <c r="E55" s="14">
        <v>2.1512560474105071E-7</v>
      </c>
      <c r="F55" s="14">
        <v>5.6420077517559976E-5</v>
      </c>
      <c r="G55" s="14">
        <v>8.5571517534706399E-5</v>
      </c>
      <c r="H55" s="14">
        <v>0</v>
      </c>
      <c r="I55" s="14">
        <v>9.8892634132687416E-7</v>
      </c>
      <c r="J55" s="14">
        <v>6.7518946072367916E-6</v>
      </c>
      <c r="K55" s="14">
        <v>0</v>
      </c>
    </row>
    <row r="56" spans="1:11">
      <c r="A56" s="2" t="s">
        <v>337</v>
      </c>
      <c r="B56" s="3" t="s">
        <v>338</v>
      </c>
      <c r="D56" s="14">
        <v>3.865840030498193E-9</v>
      </c>
      <c r="E56" s="14">
        <v>1.0885314689900964E-6</v>
      </c>
      <c r="F56" s="14">
        <v>1.0825863905178219E-4</v>
      </c>
      <c r="G56" s="14">
        <v>3.2341348075796641E-5</v>
      </c>
      <c r="H56" s="14">
        <v>0</v>
      </c>
      <c r="I56" s="14">
        <v>3.7064920964629444E-7</v>
      </c>
      <c r="J56" s="14">
        <v>7.9369663537542547E-6</v>
      </c>
      <c r="K56" s="14">
        <v>0</v>
      </c>
    </row>
    <row r="57" spans="1:11">
      <c r="A57" s="2" t="s">
        <v>279</v>
      </c>
      <c r="B57" s="3" t="s">
        <v>280</v>
      </c>
      <c r="D57" s="14">
        <v>4.1305308716187878E-7</v>
      </c>
      <c r="E57" s="14">
        <v>1.2392615704603434E-5</v>
      </c>
      <c r="F57" s="14">
        <v>9.9592023577420186E-5</v>
      </c>
      <c r="G57" s="14">
        <v>1.988474894264373E-5</v>
      </c>
      <c r="H57" s="14">
        <v>0</v>
      </c>
      <c r="I57" s="14">
        <v>2.264824459427874E-7</v>
      </c>
      <c r="J57" s="14">
        <v>1.7491076242227974E-5</v>
      </c>
      <c r="K57" s="14">
        <v>0</v>
      </c>
    </row>
    <row r="58" spans="1:11">
      <c r="A58" s="2" t="s">
        <v>339</v>
      </c>
      <c r="B58" s="3" t="s">
        <v>340</v>
      </c>
      <c r="D58" s="14">
        <v>3.8456864316728266E-11</v>
      </c>
      <c r="E58" s="14">
        <v>9.6376462167806224E-7</v>
      </c>
      <c r="F58" s="14">
        <v>1.0451835223046064E-4</v>
      </c>
      <c r="G58" s="14">
        <v>3.6098413024940074E-5</v>
      </c>
      <c r="H58" s="14">
        <v>0</v>
      </c>
      <c r="I58" s="14">
        <v>4.1400413570054966E-7</v>
      </c>
      <c r="J58" s="14">
        <v>8.0054275303563258E-6</v>
      </c>
      <c r="K58" s="14">
        <v>0</v>
      </c>
    </row>
    <row r="59" spans="1:11">
      <c r="A59" s="2" t="s">
        <v>281</v>
      </c>
      <c r="B59" s="3" t="s">
        <v>282</v>
      </c>
      <c r="D59" s="14">
        <v>3.1973477065385526E-9</v>
      </c>
      <c r="E59" s="14">
        <v>9.8013743698506358E-6</v>
      </c>
      <c r="F59" s="14">
        <v>1.0370711478224488E-4</v>
      </c>
      <c r="G59" s="14">
        <v>2.0291030672982742E-5</v>
      </c>
      <c r="H59" s="14">
        <v>0</v>
      </c>
      <c r="I59" s="14">
        <v>2.3112095263562102E-7</v>
      </c>
      <c r="J59" s="14">
        <v>1.596616187457958E-5</v>
      </c>
      <c r="K59" s="14">
        <v>0</v>
      </c>
    </row>
    <row r="60" spans="1:11">
      <c r="A60" s="2" t="s">
        <v>341</v>
      </c>
      <c r="B60" s="3" t="s">
        <v>342</v>
      </c>
      <c r="D60" s="14">
        <v>5.6323470399927306E-8</v>
      </c>
      <c r="E60" s="14">
        <v>6.8885293988498738E-7</v>
      </c>
      <c r="F60" s="14">
        <v>9.3563851408886507E-5</v>
      </c>
      <c r="G60" s="14">
        <v>4.7119822513869718E-5</v>
      </c>
      <c r="H60" s="14">
        <v>0</v>
      </c>
      <c r="I60" s="14">
        <v>5.4143585790015045E-7</v>
      </c>
      <c r="J60" s="14">
        <v>8.0297138090586892E-6</v>
      </c>
      <c r="K60" s="14">
        <v>0</v>
      </c>
    </row>
    <row r="61" spans="1:11">
      <c r="A61" s="2" t="s">
        <v>483</v>
      </c>
      <c r="B61" s="3" t="s">
        <v>484</v>
      </c>
      <c r="D61" s="14">
        <v>1.0086790250660441E-17</v>
      </c>
      <c r="E61" s="14">
        <v>4.7079361378781677E-5</v>
      </c>
      <c r="F61" s="14">
        <v>7.5839326584520173E-5</v>
      </c>
      <c r="G61" s="14">
        <v>1.2636071222661858E-5</v>
      </c>
      <c r="H61" s="14">
        <v>0</v>
      </c>
      <c r="I61" s="14">
        <v>4.1359913153947631E-7</v>
      </c>
      <c r="J61" s="14">
        <v>1.4031641682486706E-5</v>
      </c>
      <c r="K61" s="14">
        <v>0</v>
      </c>
    </row>
    <row r="62" spans="1:11">
      <c r="A62" s="2" t="s">
        <v>485</v>
      </c>
      <c r="B62" s="3" t="s">
        <v>486</v>
      </c>
      <c r="D62" s="14">
        <v>2.9313962598041779E-11</v>
      </c>
      <c r="E62" s="14">
        <v>3.4146928043351099E-5</v>
      </c>
      <c r="F62" s="14">
        <v>7.4764117905265755E-5</v>
      </c>
      <c r="G62" s="14">
        <v>1.6428154141455096E-5</v>
      </c>
      <c r="H62" s="14">
        <v>0</v>
      </c>
      <c r="I62" s="14">
        <v>1.8788444712222897E-7</v>
      </c>
      <c r="J62" s="14">
        <v>2.44728861488432E-5</v>
      </c>
      <c r="K62" s="14">
        <v>0</v>
      </c>
    </row>
    <row r="63" spans="1:11">
      <c r="A63" s="2" t="s">
        <v>487</v>
      </c>
      <c r="B63" s="3" t="s">
        <v>488</v>
      </c>
      <c r="D63" s="14">
        <v>8.5530954446369498E-17</v>
      </c>
      <c r="E63" s="14">
        <v>1.4179310522437205E-4</v>
      </c>
      <c r="F63" s="14">
        <v>4.9046949157973673E-6</v>
      </c>
      <c r="G63" s="14">
        <v>6.4715565560559425E-7</v>
      </c>
      <c r="H63" s="14">
        <v>0</v>
      </c>
      <c r="I63" s="14">
        <v>6.0953415099754885E-8</v>
      </c>
      <c r="J63" s="14">
        <v>2.5940907890396604E-6</v>
      </c>
      <c r="K63" s="14">
        <v>0</v>
      </c>
    </row>
    <row r="64" spans="1:11">
      <c r="A64" s="2" t="s">
        <v>489</v>
      </c>
      <c r="B64" s="3" t="s">
        <v>490</v>
      </c>
      <c r="D64" s="14">
        <v>1.5424432513509708E-18</v>
      </c>
      <c r="E64" s="14">
        <v>1.4786336790621778E-4</v>
      </c>
      <c r="F64" s="14">
        <v>1.828867188236442E-6</v>
      </c>
      <c r="G64" s="14">
        <v>2.2706987931548914E-8</v>
      </c>
      <c r="H64" s="14">
        <v>0</v>
      </c>
      <c r="I64" s="14">
        <v>9.5995624520773684E-9</v>
      </c>
      <c r="J64" s="14">
        <v>2.7545835516055199E-7</v>
      </c>
      <c r="K64" s="14">
        <v>0</v>
      </c>
    </row>
    <row r="65" spans="1:11">
      <c r="A65" s="2" t="s">
        <v>491</v>
      </c>
      <c r="B65" s="3" t="s">
        <v>492</v>
      </c>
      <c r="D65" s="14">
        <v>2.5689034460170162E-16</v>
      </c>
      <c r="E65" s="14">
        <v>1.4961358159367534E-4</v>
      </c>
      <c r="F65" s="14">
        <v>2.3944099016316043E-7</v>
      </c>
      <c r="G65" s="14">
        <v>1.0649813935990405E-8</v>
      </c>
      <c r="H65" s="14">
        <v>0</v>
      </c>
      <c r="I65" s="14">
        <v>1.3578466803248693E-8</v>
      </c>
      <c r="J65" s="14">
        <v>1.2274913516534872E-7</v>
      </c>
      <c r="K65" s="14">
        <v>0</v>
      </c>
    </row>
    <row r="66" spans="1:11">
      <c r="A66" s="2" t="s">
        <v>493</v>
      </c>
      <c r="B66" s="3" t="s">
        <v>494</v>
      </c>
      <c r="D66" s="14">
        <v>3.3990727381760378E-15</v>
      </c>
      <c r="E66" s="14">
        <v>1.1719494580712442E-4</v>
      </c>
      <c r="F66" s="14">
        <v>3.0523623264756719E-5</v>
      </c>
      <c r="G66" s="14">
        <v>7.6497796137362642E-7</v>
      </c>
      <c r="H66" s="14">
        <v>0</v>
      </c>
      <c r="I66" s="14">
        <v>4.0762200141858896E-7</v>
      </c>
      <c r="J66" s="14">
        <v>1.1088309619275287E-6</v>
      </c>
      <c r="K66" s="14">
        <v>0</v>
      </c>
    </row>
    <row r="67" spans="1:11">
      <c r="A67" s="2" t="s">
        <v>495</v>
      </c>
      <c r="B67" s="3" t="s">
        <v>496</v>
      </c>
      <c r="D67" s="14">
        <v>2.007147612749703E-16</v>
      </c>
      <c r="E67" s="14">
        <v>1.4963611442960918E-4</v>
      </c>
      <c r="F67" s="14">
        <v>2.0193320914436144E-7</v>
      </c>
      <c r="G67" s="14">
        <v>1.1038820748847045E-8</v>
      </c>
      <c r="H67" s="14">
        <v>0</v>
      </c>
      <c r="I67" s="14">
        <v>1.2869042241252178E-8</v>
      </c>
      <c r="J67" s="14">
        <v>1.3804449805560705E-7</v>
      </c>
      <c r="K67" s="14">
        <v>0</v>
      </c>
    </row>
    <row r="68" spans="1:11">
      <c r="A68" s="2" t="s">
        <v>497</v>
      </c>
      <c r="B68" s="3" t="s">
        <v>498</v>
      </c>
      <c r="D68" s="14">
        <v>1.8154031780898156E-15</v>
      </c>
      <c r="E68" s="14">
        <v>1.4990855809652505E-4</v>
      </c>
      <c r="F68" s="14">
        <v>2.4018980491838123E-8</v>
      </c>
      <c r="G68" s="14">
        <v>1.8531929753139409E-9</v>
      </c>
      <c r="H68" s="14">
        <v>0</v>
      </c>
      <c r="I68" s="14">
        <v>9.7873448292443792E-9</v>
      </c>
      <c r="J68" s="14">
        <v>5.5782383363087385E-8</v>
      </c>
      <c r="K68" s="14">
        <v>0</v>
      </c>
    </row>
    <row r="69" spans="1:11">
      <c r="A69" s="2" t="s">
        <v>499</v>
      </c>
      <c r="B69" s="3" t="s">
        <v>500</v>
      </c>
      <c r="D69" s="14">
        <v>9.6040752022418403E-16</v>
      </c>
      <c r="E69" s="14">
        <v>1.2293361763133077E-6</v>
      </c>
      <c r="F69" s="14">
        <v>1.1183152219668621E-4</v>
      </c>
      <c r="G69" s="14">
        <v>2.8771982780841984E-5</v>
      </c>
      <c r="H69" s="14">
        <v>0</v>
      </c>
      <c r="I69" s="14">
        <v>3.295025860282236E-7</v>
      </c>
      <c r="J69" s="14">
        <v>7.8376562591698549E-6</v>
      </c>
      <c r="K69" s="14">
        <v>0</v>
      </c>
    </row>
    <row r="70" spans="1:11">
      <c r="A70" s="2" t="s">
        <v>501</v>
      </c>
      <c r="B70" s="3" t="s">
        <v>411</v>
      </c>
      <c r="D70" s="14">
        <v>3.2526150419887689E-17</v>
      </c>
      <c r="E70" s="14">
        <v>1.4544867728421892E-4</v>
      </c>
      <c r="F70" s="14">
        <v>4.5378626888809697E-6</v>
      </c>
      <c r="G70" s="14">
        <v>4.3126774165402789E-10</v>
      </c>
      <c r="H70" s="14">
        <v>0</v>
      </c>
      <c r="I70" s="14">
        <v>9.432562780538985E-9</v>
      </c>
      <c r="J70" s="14">
        <v>3.5961963453488086E-9</v>
      </c>
      <c r="K70" s="14">
        <v>0</v>
      </c>
    </row>
    <row r="71" spans="1:11">
      <c r="A71" s="2" t="s">
        <v>502</v>
      </c>
      <c r="B71" s="3" t="s">
        <v>412</v>
      </c>
      <c r="D71" s="14">
        <v>1.4856518721137268E-12</v>
      </c>
      <c r="E71" s="14">
        <v>1.4152546772159551E-4</v>
      </c>
      <c r="F71" s="14">
        <v>8.4593340119688789E-6</v>
      </c>
      <c r="G71" s="14">
        <v>7.6878072674326756E-10</v>
      </c>
      <c r="H71" s="14">
        <v>0</v>
      </c>
      <c r="I71" s="14">
        <v>9.5019490119096488E-9</v>
      </c>
      <c r="J71" s="14">
        <v>4.9260510450876087E-9</v>
      </c>
      <c r="K71" s="14">
        <v>0</v>
      </c>
    </row>
    <row r="72" spans="1:11">
      <c r="A72" s="2" t="s">
        <v>503</v>
      </c>
      <c r="B72" s="3" t="s">
        <v>413</v>
      </c>
      <c r="D72" s="14">
        <v>2.0112144270586155E-14</v>
      </c>
      <c r="E72" s="14">
        <v>5.8413806464983527E-7</v>
      </c>
      <c r="F72" s="14">
        <v>1.4927156351185616E-4</v>
      </c>
      <c r="G72" s="14">
        <v>6.855536397618378E-8</v>
      </c>
      <c r="H72" s="14">
        <v>0</v>
      </c>
      <c r="I72" s="14">
        <v>7.0166845573931184E-8</v>
      </c>
      <c r="J72" s="14">
        <v>5.5761938317011505E-9</v>
      </c>
      <c r="K72" s="14">
        <v>0</v>
      </c>
    </row>
    <row r="73" spans="1:11">
      <c r="A73" s="2" t="s">
        <v>504</v>
      </c>
      <c r="B73" s="3" t="s">
        <v>414</v>
      </c>
      <c r="D73" s="14">
        <v>2.6268540538664959E-14</v>
      </c>
      <c r="E73" s="14">
        <v>5.4164292675077546E-6</v>
      </c>
      <c r="F73" s="14">
        <v>1.445621672437319E-4</v>
      </c>
      <c r="G73" s="14">
        <v>8.3563959446474832E-9</v>
      </c>
      <c r="H73" s="14">
        <v>0</v>
      </c>
      <c r="I73" s="14">
        <v>8.5273059638066469E-9</v>
      </c>
      <c r="J73" s="14">
        <v>4.5197605832940386E-9</v>
      </c>
      <c r="K73" s="14">
        <v>0</v>
      </c>
    </row>
    <row r="74" spans="1:11">
      <c r="A74" s="2" t="s">
        <v>505</v>
      </c>
      <c r="B74" s="3" t="s">
        <v>415</v>
      </c>
      <c r="D74" s="14">
        <v>1.836606832784958E-13</v>
      </c>
      <c r="E74" s="14">
        <v>1.4228965535702405E-4</v>
      </c>
      <c r="F74" s="14">
        <v>7.6954656112272557E-6</v>
      </c>
      <c r="G74" s="14">
        <v>7.0242386916833091E-10</v>
      </c>
      <c r="H74" s="14">
        <v>0</v>
      </c>
      <c r="I74" s="14">
        <v>9.4894163601094947E-9</v>
      </c>
      <c r="J74" s="14">
        <v>4.6870078586850507E-9</v>
      </c>
      <c r="K74" s="14">
        <v>0</v>
      </c>
    </row>
    <row r="75" spans="1:11">
      <c r="A75" s="2" t="s">
        <v>506</v>
      </c>
      <c r="B75" s="3" t="s">
        <v>416</v>
      </c>
      <c r="D75" s="14">
        <v>1.1273127202120164E-13</v>
      </c>
      <c r="E75" s="14">
        <v>6.4082808837244888E-6</v>
      </c>
      <c r="F75" s="14">
        <v>1.4356980600111721E-4</v>
      </c>
      <c r="G75" s="14">
        <v>8.4067372275791092E-9</v>
      </c>
      <c r="H75" s="14">
        <v>0</v>
      </c>
      <c r="I75" s="14">
        <v>8.6250956483954857E-9</v>
      </c>
      <c r="J75" s="14">
        <v>4.8811695510186029E-9</v>
      </c>
      <c r="K75" s="14">
        <v>0</v>
      </c>
    </row>
    <row r="76" spans="1:11">
      <c r="A76" s="2" t="s">
        <v>507</v>
      </c>
      <c r="B76" s="3" t="s">
        <v>417</v>
      </c>
      <c r="D76" s="14">
        <v>2.6042806119462933E-12</v>
      </c>
      <c r="E76" s="14">
        <v>6.7196294074244406E-5</v>
      </c>
      <c r="F76" s="14">
        <v>8.2776468931042537E-5</v>
      </c>
      <c r="G76" s="14">
        <v>6.0196772980116373E-9</v>
      </c>
      <c r="H76" s="14">
        <v>0</v>
      </c>
      <c r="I76" s="14">
        <v>9.8941082956921366E-9</v>
      </c>
      <c r="J76" s="14">
        <v>1.1320604838728069E-8</v>
      </c>
      <c r="K76" s="14">
        <v>0</v>
      </c>
    </row>
    <row r="77" spans="1:11">
      <c r="A77" s="2" t="s">
        <v>508</v>
      </c>
      <c r="B77" s="3" t="s">
        <v>418</v>
      </c>
      <c r="D77" s="14">
        <v>8.1326369473431335E-13</v>
      </c>
      <c r="E77" s="14">
        <v>5.6836709828586113E-6</v>
      </c>
      <c r="F77" s="14">
        <v>1.4429474127476122E-4</v>
      </c>
      <c r="G77" s="14">
        <v>8.3968581713804559E-9</v>
      </c>
      <c r="H77" s="14">
        <v>0</v>
      </c>
      <c r="I77" s="14">
        <v>8.5554604746447262E-9</v>
      </c>
      <c r="J77" s="14">
        <v>4.6346104704240444E-9</v>
      </c>
      <c r="K77" s="14">
        <v>0</v>
      </c>
    </row>
    <row r="78" spans="1:11">
      <c r="A78" s="2" t="s">
        <v>509</v>
      </c>
      <c r="B78" s="3" t="s">
        <v>419</v>
      </c>
      <c r="D78" s="14">
        <v>8.0860917524786727E-14</v>
      </c>
      <c r="E78" s="14">
        <v>6.4791166148835338E-7</v>
      </c>
      <c r="F78" s="14">
        <v>1.4923042334751083E-4</v>
      </c>
      <c r="G78" s="14">
        <v>5.758663876239338E-8</v>
      </c>
      <c r="H78" s="14">
        <v>0</v>
      </c>
      <c r="I78" s="14">
        <v>5.8788728390009747E-8</v>
      </c>
      <c r="J78" s="14">
        <v>5.2895429874791727E-9</v>
      </c>
      <c r="K78" s="14">
        <v>0</v>
      </c>
    </row>
    <row r="79" spans="1:11">
      <c r="A79" s="2" t="s">
        <v>510</v>
      </c>
      <c r="B79" s="3" t="s">
        <v>420</v>
      </c>
      <c r="D79" s="14">
        <v>2.0311346546142206E-18</v>
      </c>
      <c r="E79" s="14">
        <v>6.4791170525980923E-7</v>
      </c>
      <c r="F79" s="14">
        <v>1.4923043342918285E-4</v>
      </c>
      <c r="G79" s="14">
        <v>5.757752923955531E-8</v>
      </c>
      <c r="H79" s="14">
        <v>0</v>
      </c>
      <c r="I79" s="14">
        <v>5.8788630071147921E-8</v>
      </c>
      <c r="J79" s="14">
        <v>5.2887062445526385E-9</v>
      </c>
      <c r="K79" s="14">
        <v>0</v>
      </c>
    </row>
    <row r="80" spans="1:11">
      <c r="A80" s="2" t="s">
        <v>511</v>
      </c>
      <c r="B80" s="3" t="s">
        <v>421</v>
      </c>
      <c r="D80" s="14">
        <v>2.289673999956886E-13</v>
      </c>
      <c r="E80" s="14">
        <v>2.5007529187164601E-5</v>
      </c>
      <c r="F80" s="14">
        <v>1.2496614095022402E-4</v>
      </c>
      <c r="G80" s="14">
        <v>8.1725336581050176E-9</v>
      </c>
      <c r="H80" s="14">
        <v>0</v>
      </c>
      <c r="I80" s="14">
        <v>9.442385993401266E-9</v>
      </c>
      <c r="J80" s="14">
        <v>8.7147139924165906E-9</v>
      </c>
      <c r="K80" s="14">
        <v>0</v>
      </c>
    </row>
    <row r="81" spans="1:11">
      <c r="A81" s="2" t="s">
        <v>512</v>
      </c>
      <c r="B81" s="3" t="s">
        <v>422</v>
      </c>
      <c r="D81" s="14">
        <v>2.9935548101332332E-13</v>
      </c>
      <c r="E81" s="14">
        <v>1.2071030464200482E-4</v>
      </c>
      <c r="F81" s="14">
        <v>2.9268867614078043E-5</v>
      </c>
      <c r="G81" s="14">
        <v>2.3920501443286225E-9</v>
      </c>
      <c r="H81" s="14">
        <v>0</v>
      </c>
      <c r="I81" s="14">
        <v>9.7444554471268989E-9</v>
      </c>
      <c r="J81" s="14">
        <v>8.6909389701518926E-9</v>
      </c>
      <c r="K81" s="14">
        <v>0</v>
      </c>
    </row>
    <row r="82" spans="1:11">
      <c r="A82" s="2" t="s">
        <v>513</v>
      </c>
      <c r="B82" s="3" t="s">
        <v>423</v>
      </c>
      <c r="D82" s="14">
        <v>7.5364538461806298E-17</v>
      </c>
      <c r="E82" s="14">
        <v>9.1281791263777559E-5</v>
      </c>
      <c r="F82" s="14">
        <v>5.8692921591242508E-5</v>
      </c>
      <c r="G82" s="14">
        <v>4.4635597465704734E-9</v>
      </c>
      <c r="H82" s="14">
        <v>0</v>
      </c>
      <c r="I82" s="14">
        <v>9.8996837183796333E-9</v>
      </c>
      <c r="J82" s="14">
        <v>1.0923901439644625E-8</v>
      </c>
      <c r="K82" s="14">
        <v>0</v>
      </c>
    </row>
    <row r="83" spans="1:11">
      <c r="A83" s="2" t="s">
        <v>514</v>
      </c>
      <c r="B83" s="3" t="s">
        <v>424</v>
      </c>
      <c r="D83" s="14">
        <v>2.89419114551207E-14</v>
      </c>
      <c r="E83" s="14">
        <v>4.3914135972676989E-7</v>
      </c>
      <c r="F83" s="14">
        <v>1.4932960509211939E-4</v>
      </c>
      <c r="G83" s="14">
        <v>1.1069048128611344E-7</v>
      </c>
      <c r="H83" s="14">
        <v>0</v>
      </c>
      <c r="I83" s="14">
        <v>1.141182787056316E-7</v>
      </c>
      <c r="J83" s="14">
        <v>6.4447592201529315E-9</v>
      </c>
      <c r="K83" s="14">
        <v>0</v>
      </c>
    </row>
    <row r="84" spans="1:11">
      <c r="A84" s="2" t="s">
        <v>403</v>
      </c>
      <c r="B84" s="3" t="s">
        <v>404</v>
      </c>
      <c r="D84" s="14">
        <v>6.4708220156756423E-48</v>
      </c>
      <c r="E84" s="14">
        <v>5.2834373792534417E-5</v>
      </c>
      <c r="F84" s="14">
        <v>5.7435200137533094E-5</v>
      </c>
      <c r="G84" s="14">
        <v>1.3288430646075892E-5</v>
      </c>
      <c r="H84" s="14">
        <v>0</v>
      </c>
      <c r="I84" s="14">
        <v>1.532346220889857E-7</v>
      </c>
      <c r="J84" s="14">
        <v>2.6288760801767583E-5</v>
      </c>
      <c r="K84" s="14">
        <v>0</v>
      </c>
    </row>
    <row r="85" spans="1:11">
      <c r="A85" s="2" t="s">
        <v>405</v>
      </c>
      <c r="B85" s="3" t="s">
        <v>406</v>
      </c>
      <c r="D85" s="14">
        <v>1.7536676101691684E-12</v>
      </c>
      <c r="E85" s="14">
        <v>8.227838612591861E-6</v>
      </c>
      <c r="F85" s="14">
        <v>1.2931790200781766E-4</v>
      </c>
      <c r="G85" s="14">
        <v>6.7605564355425701E-6</v>
      </c>
      <c r="H85" s="14">
        <v>0</v>
      </c>
      <c r="I85" s="14">
        <v>4.620505640246812E-6</v>
      </c>
      <c r="J85" s="14">
        <v>1.0731955501334385E-6</v>
      </c>
      <c r="K85" s="14">
        <v>0</v>
      </c>
    </row>
    <row r="86" spans="1:11">
      <c r="A86" s="2" t="s">
        <v>407</v>
      </c>
      <c r="B86" s="3" t="s">
        <v>408</v>
      </c>
      <c r="D86" s="14">
        <v>3.1940974899203398E-9</v>
      </c>
      <c r="E86" s="14">
        <v>5.6619401914297578E-8</v>
      </c>
      <c r="F86" s="14">
        <v>2.74578704615249E-5</v>
      </c>
      <c r="G86" s="14">
        <v>1.1664400079631438E-4</v>
      </c>
      <c r="H86" s="14">
        <v>0</v>
      </c>
      <c r="I86" s="14">
        <v>1.3554175473063189E-6</v>
      </c>
      <c r="J86" s="14">
        <v>4.4828976954501613E-6</v>
      </c>
      <c r="K86" s="14">
        <v>0</v>
      </c>
    </row>
    <row r="87" spans="1:11">
      <c r="A87" s="2" t="s">
        <v>409</v>
      </c>
      <c r="B87" s="3" t="s">
        <v>410</v>
      </c>
      <c r="D87" s="14">
        <v>3.9263159524128682E-10</v>
      </c>
      <c r="E87" s="14">
        <v>1.9477909988282267E-8</v>
      </c>
      <c r="F87" s="14">
        <v>1.4689395663916423E-5</v>
      </c>
      <c r="G87" s="14">
        <v>1.3076739859197578E-4</v>
      </c>
      <c r="H87" s="14">
        <v>0</v>
      </c>
      <c r="I87" s="14">
        <v>1.5255817974452738E-6</v>
      </c>
      <c r="J87" s="14">
        <v>2.9977534050789818E-6</v>
      </c>
      <c r="K87" s="14">
        <v>0</v>
      </c>
    </row>
    <row r="88" spans="1:11">
      <c r="A88" s="2" t="s">
        <v>301</v>
      </c>
      <c r="B88" s="3" t="s">
        <v>302</v>
      </c>
      <c r="D88" s="14">
        <v>4.8195601667811433E-11</v>
      </c>
      <c r="E88" s="14">
        <v>5.4335606154844437E-9</v>
      </c>
      <c r="F88" s="14">
        <v>6.7705833772314257E-6</v>
      </c>
      <c r="G88" s="14">
        <v>1.3980465947033117E-4</v>
      </c>
      <c r="H88" s="14">
        <v>0</v>
      </c>
      <c r="I88" s="14">
        <v>1.6384634239412701E-6</v>
      </c>
      <c r="J88" s="14">
        <v>1.7808119722789766E-6</v>
      </c>
      <c r="K88" s="14">
        <v>0</v>
      </c>
    </row>
    <row r="89" spans="1:11">
      <c r="A89" s="2" t="s">
        <v>303</v>
      </c>
      <c r="B89" s="3" t="s">
        <v>304</v>
      </c>
      <c r="D89" s="14">
        <v>2.99009362144329E-17</v>
      </c>
      <c r="E89" s="14">
        <v>2.9547185725461757E-7</v>
      </c>
      <c r="F89" s="14">
        <v>3.376962706710713E-5</v>
      </c>
      <c r="G89" s="14">
        <v>8.7827867990103971E-5</v>
      </c>
      <c r="H89" s="14">
        <v>0</v>
      </c>
      <c r="I89" s="14">
        <v>2.6544141830377404E-5</v>
      </c>
      <c r="J89" s="14">
        <v>1.5628912551269563E-6</v>
      </c>
      <c r="K89" s="14">
        <v>0</v>
      </c>
    </row>
    <row r="90" spans="1:11">
      <c r="A90" s="2" t="s">
        <v>425</v>
      </c>
      <c r="B90" s="3" t="s">
        <v>426</v>
      </c>
      <c r="D90" s="14">
        <v>1.8969328968768522E-17</v>
      </c>
      <c r="E90" s="14">
        <v>1.4819075556310262E-4</v>
      </c>
      <c r="F90" s="14">
        <v>1.3949629939559728E-7</v>
      </c>
      <c r="G90" s="14">
        <v>4.6836881771314399E-8</v>
      </c>
      <c r="H90" s="14">
        <v>0</v>
      </c>
      <c r="I90" s="14">
        <v>9.7254413936183523E-9</v>
      </c>
      <c r="J90" s="14">
        <v>1.6131858143178464E-6</v>
      </c>
      <c r="K90" s="14">
        <v>0</v>
      </c>
    </row>
    <row r="91" spans="1:11">
      <c r="A91" s="2" t="s">
        <v>427</v>
      </c>
      <c r="B91" s="3" t="s">
        <v>428</v>
      </c>
      <c r="D91" s="14">
        <v>1.0967018305029002E-8</v>
      </c>
      <c r="E91" s="14">
        <v>1.2257606585939856E-4</v>
      </c>
      <c r="F91" s="14">
        <v>9.4082154151387725E-6</v>
      </c>
      <c r="G91" s="14">
        <v>2.6460790116719738E-6</v>
      </c>
      <c r="H91" s="14">
        <v>0</v>
      </c>
      <c r="I91" s="14">
        <v>3.7245255715874487E-8</v>
      </c>
      <c r="J91" s="14">
        <v>1.5321427439769802E-5</v>
      </c>
      <c r="K91" s="14">
        <v>0</v>
      </c>
    </row>
    <row r="92" spans="1:11">
      <c r="A92" s="2" t="s">
        <v>429</v>
      </c>
      <c r="B92" s="3" t="s">
        <v>430</v>
      </c>
      <c r="D92" s="14">
        <v>7.0797627669642973E-8</v>
      </c>
      <c r="E92" s="14">
        <v>2.2854715281120868E-5</v>
      </c>
      <c r="F92" s="14">
        <v>8.6743589520285337E-5</v>
      </c>
      <c r="G92" s="14">
        <v>1.8303449486327672E-5</v>
      </c>
      <c r="H92" s="14">
        <v>0</v>
      </c>
      <c r="I92" s="14">
        <v>2.0872322525913094E-7</v>
      </c>
      <c r="J92" s="14">
        <v>2.1818724859337314E-5</v>
      </c>
      <c r="K92" s="14">
        <v>0</v>
      </c>
    </row>
    <row r="93" spans="1:11">
      <c r="A93" s="2" t="s">
        <v>431</v>
      </c>
      <c r="B93" s="3" t="s">
        <v>432</v>
      </c>
      <c r="D93" s="14">
        <v>1.406316667546827E-21</v>
      </c>
      <c r="E93" s="14">
        <v>1.4932616170359377E-4</v>
      </c>
      <c r="F93" s="14">
        <v>6.5428577217299831E-7</v>
      </c>
      <c r="G93" s="14">
        <v>5.241908041157859E-10</v>
      </c>
      <c r="H93" s="14">
        <v>0</v>
      </c>
      <c r="I93" s="14">
        <v>9.3458710422143751E-9</v>
      </c>
      <c r="J93" s="14">
        <v>9.6824623868697639E-9</v>
      </c>
      <c r="K93" s="14">
        <v>0</v>
      </c>
    </row>
    <row r="94" spans="1:11">
      <c r="A94" s="2" t="s">
        <v>433</v>
      </c>
      <c r="B94" s="3" t="s">
        <v>434</v>
      </c>
      <c r="D94" s="14">
        <v>2.9721374229757563E-22</v>
      </c>
      <c r="E94" s="14">
        <v>1.499878210943924E-4</v>
      </c>
      <c r="F94" s="14">
        <v>2.5461710192525237E-9</v>
      </c>
      <c r="G94" s="14">
        <v>3.552901868550311E-12</v>
      </c>
      <c r="H94" s="14">
        <v>0</v>
      </c>
      <c r="I94" s="14">
        <v>9.3842304516510505E-9</v>
      </c>
      <c r="J94" s="14">
        <v>2.4495123483054764E-10</v>
      </c>
      <c r="K94" s="14">
        <v>0</v>
      </c>
    </row>
    <row r="95" spans="1:11">
      <c r="A95" s="2" t="s">
        <v>435</v>
      </c>
      <c r="B95" s="3" t="s">
        <v>436</v>
      </c>
      <c r="D95" s="14">
        <v>1.644616016910749E-12</v>
      </c>
      <c r="E95" s="14">
        <v>1.4541527449685195E-4</v>
      </c>
      <c r="F95" s="14">
        <v>5.8003525618923727E-7</v>
      </c>
      <c r="G95" s="14">
        <v>2.011803865508182E-7</v>
      </c>
      <c r="H95" s="14">
        <v>0</v>
      </c>
      <c r="I95" s="14">
        <v>1.1388328821730053E-8</v>
      </c>
      <c r="J95" s="14">
        <v>3.792119886970225E-6</v>
      </c>
      <c r="K95" s="14">
        <v>0</v>
      </c>
    </row>
    <row r="96" spans="1:11">
      <c r="A96" s="2" t="s">
        <v>437</v>
      </c>
      <c r="B96" s="165" t="s">
        <v>438</v>
      </c>
      <c r="D96" s="14">
        <v>5.9862930061604123E-12</v>
      </c>
      <c r="E96" s="14">
        <v>8.2587644573223595E-8</v>
      </c>
      <c r="F96" s="14">
        <v>3.3976344726995635E-5</v>
      </c>
      <c r="G96" s="14">
        <v>1.0956509251179447E-4</v>
      </c>
      <c r="H96" s="14">
        <v>0</v>
      </c>
      <c r="I96" s="14">
        <v>1.2712878599228334E-6</v>
      </c>
      <c r="J96" s="14">
        <v>5.1046812704208208E-6</v>
      </c>
      <c r="K96" s="14">
        <v>0</v>
      </c>
    </row>
    <row r="97" spans="1:11">
      <c r="A97" s="2" t="s">
        <v>439</v>
      </c>
      <c r="B97" s="3" t="s">
        <v>440</v>
      </c>
      <c r="D97" s="14">
        <v>5.5152957940532514E-9</v>
      </c>
      <c r="E97" s="14">
        <v>1.066512424735729E-4</v>
      </c>
      <c r="F97" s="14">
        <v>1.822164132036836E-5</v>
      </c>
      <c r="G97" s="14">
        <v>4.8315118493425379E-6</v>
      </c>
      <c r="H97" s="14">
        <v>0</v>
      </c>
      <c r="I97" s="14">
        <v>6.0853587821919937E-8</v>
      </c>
      <c r="J97" s="14">
        <v>2.0229235473100232E-5</v>
      </c>
      <c r="K97" s="14">
        <v>0</v>
      </c>
    </row>
    <row r="98" spans="1:11">
      <c r="A98" s="2" t="s">
        <v>441</v>
      </c>
      <c r="B98" s="3" t="s">
        <v>442</v>
      </c>
      <c r="D98" s="14">
        <v>3.6425253308126459E-21</v>
      </c>
      <c r="E98" s="14">
        <v>1.2004931618501059E-4</v>
      </c>
      <c r="F98" s="14">
        <v>1.0705852730317359E-5</v>
      </c>
      <c r="G98" s="14">
        <v>2.9779460137980599E-6</v>
      </c>
      <c r="H98" s="14">
        <v>0</v>
      </c>
      <c r="I98" s="14">
        <v>4.081896318748907E-8</v>
      </c>
      <c r="J98" s="14">
        <v>1.6226066107686484E-5</v>
      </c>
      <c r="K98" s="14">
        <v>0</v>
      </c>
    </row>
    <row r="99" spans="1:11">
      <c r="A99" s="2" t="s">
        <v>443</v>
      </c>
      <c r="B99" s="3" t="s">
        <v>444</v>
      </c>
      <c r="D99" s="14">
        <v>5.2580938085486588E-33</v>
      </c>
      <c r="E99" s="14">
        <v>1.3891381546302285E-4</v>
      </c>
      <c r="F99" s="14">
        <v>2.3781925501034793E-6</v>
      </c>
      <c r="G99" s="14">
        <v>7.4703778637101691E-7</v>
      </c>
      <c r="H99" s="14">
        <v>0</v>
      </c>
      <c r="I99" s="14">
        <v>1.6958683379205703E-8</v>
      </c>
      <c r="J99" s="14">
        <v>7.9439955171234079E-6</v>
      </c>
      <c r="K99" s="14">
        <v>0</v>
      </c>
    </row>
    <row r="100" spans="1:11">
      <c r="A100" s="2" t="s">
        <v>445</v>
      </c>
      <c r="B100" s="3" t="s">
        <v>446</v>
      </c>
      <c r="D100" s="14">
        <v>6.3032841210781559E-12</v>
      </c>
      <c r="E100" s="14">
        <v>5.4448258473991067E-7</v>
      </c>
      <c r="F100" s="14">
        <v>8.5681205407116306E-5</v>
      </c>
      <c r="G100" s="14">
        <v>5.5218057304557467E-5</v>
      </c>
      <c r="H100" s="14">
        <v>0</v>
      </c>
      <c r="I100" s="14">
        <v>6.3529343986880519E-7</v>
      </c>
      <c r="J100" s="14">
        <v>7.9209549604333541E-6</v>
      </c>
      <c r="K100" s="14">
        <v>0</v>
      </c>
    </row>
    <row r="101" spans="1:11">
      <c r="A101" s="2" t="s">
        <v>447</v>
      </c>
      <c r="B101" s="3" t="s">
        <v>448</v>
      </c>
      <c r="D101" s="14">
        <v>6.3197546992595095E-13</v>
      </c>
      <c r="E101" s="14">
        <v>3.2418829585482795E-5</v>
      </c>
      <c r="F101" s="14">
        <v>7.6510123999345471E-5</v>
      </c>
      <c r="G101" s="14">
        <v>1.6719160279519668E-5</v>
      </c>
      <c r="H101" s="14">
        <v>0</v>
      </c>
      <c r="I101" s="14">
        <v>1.9110933667245649E-7</v>
      </c>
      <c r="J101" s="14">
        <v>2.4160776167004125E-5</v>
      </c>
      <c r="K101" s="14">
        <v>0</v>
      </c>
    </row>
    <row r="102" spans="1:11">
      <c r="A102" s="2" t="s">
        <v>449</v>
      </c>
      <c r="B102" s="3" t="s">
        <v>450</v>
      </c>
      <c r="D102" s="14">
        <v>2.5825234326490742E-8</v>
      </c>
      <c r="E102" s="14">
        <v>6.5684270478737476E-6</v>
      </c>
      <c r="F102" s="14">
        <v>1.0900915047092856E-4</v>
      </c>
      <c r="G102" s="14">
        <v>2.0632816249835712E-5</v>
      </c>
      <c r="H102" s="14">
        <v>0</v>
      </c>
      <c r="I102" s="14">
        <v>2.3511635822978786E-7</v>
      </c>
      <c r="J102" s="14">
        <v>1.3528664638805665E-5</v>
      </c>
      <c r="K102" s="14">
        <v>0</v>
      </c>
    </row>
    <row r="103" spans="1:11">
      <c r="A103" s="2" t="s">
        <v>451</v>
      </c>
      <c r="B103" s="3" t="s">
        <v>452</v>
      </c>
      <c r="D103" s="14">
        <v>5.1346251639189889E-23</v>
      </c>
      <c r="E103" s="14">
        <v>1.3422182639754129E-4</v>
      </c>
      <c r="F103" s="14">
        <v>1.5759582876314309E-5</v>
      </c>
      <c r="G103" s="14">
        <v>1.5293959175809646E-9</v>
      </c>
      <c r="H103" s="14">
        <v>0</v>
      </c>
      <c r="I103" s="14">
        <v>9.6068675041656125E-9</v>
      </c>
      <c r="J103" s="14">
        <v>7.454462722629637E-9</v>
      </c>
      <c r="K103" s="14">
        <v>0</v>
      </c>
    </row>
    <row r="104" spans="1:11">
      <c r="A104" s="2" t="s">
        <v>453</v>
      </c>
      <c r="B104" s="3" t="s">
        <v>454</v>
      </c>
      <c r="D104" s="14">
        <v>1.3175505086170038E-24</v>
      </c>
      <c r="E104" s="14">
        <v>1.6667478669630844E-6</v>
      </c>
      <c r="F104" s="14">
        <v>1.4811924249472555E-4</v>
      </c>
      <c r="G104" s="14">
        <v>1.5684733091298185E-7</v>
      </c>
      <c r="H104" s="14">
        <v>0</v>
      </c>
      <c r="I104" s="14">
        <v>1.3251284564042017E-8</v>
      </c>
      <c r="J104" s="14">
        <v>4.39110228343044E-8</v>
      </c>
      <c r="K104" s="14">
        <v>0</v>
      </c>
    </row>
    <row r="105" spans="1:11">
      <c r="A105" s="2" t="s">
        <v>455</v>
      </c>
      <c r="B105" s="165">
        <v>354656</v>
      </c>
      <c r="D105" s="14">
        <v>4.3762777479415858E-14</v>
      </c>
      <c r="E105" s="14">
        <v>1.4784341560353261E-4</v>
      </c>
      <c r="F105" s="14">
        <v>1.5001115737272803E-7</v>
      </c>
      <c r="G105" s="14">
        <v>5.8025530157026795E-8</v>
      </c>
      <c r="H105" s="14">
        <v>0</v>
      </c>
      <c r="I105" s="14">
        <v>9.8256683517511173E-9</v>
      </c>
      <c r="J105" s="14">
        <v>1.9387219968230923E-6</v>
      </c>
      <c r="K105" s="14">
        <v>0</v>
      </c>
    </row>
    <row r="106" spans="1:11">
      <c r="A106" s="2" t="s">
        <v>457</v>
      </c>
      <c r="B106" s="3" t="s">
        <v>458</v>
      </c>
      <c r="D106" s="14">
        <v>6.603632047235144E-14</v>
      </c>
      <c r="E106" s="14">
        <v>1.4516578460331913E-4</v>
      </c>
      <c r="F106" s="14">
        <v>6.296904051458756E-7</v>
      </c>
      <c r="G106" s="14">
        <v>2.1742154302723506E-7</v>
      </c>
      <c r="H106" s="14">
        <v>0</v>
      </c>
      <c r="I106" s="14">
        <v>1.1537139413898729E-8</v>
      </c>
      <c r="J106" s="14">
        <v>3.9755662430575095E-6</v>
      </c>
      <c r="K106" s="14">
        <v>0</v>
      </c>
    </row>
    <row r="107" spans="1:11">
      <c r="A107" s="2" t="s">
        <v>459</v>
      </c>
      <c r="B107" s="3" t="s">
        <v>460</v>
      </c>
      <c r="D107" s="14">
        <v>5.8440251443797692E-24</v>
      </c>
      <c r="E107" s="14">
        <v>3.4196465475910602E-6</v>
      </c>
      <c r="F107" s="14">
        <v>1.1645546892646575E-4</v>
      </c>
      <c r="G107" s="14">
        <v>2.0382060261068653E-5</v>
      </c>
      <c r="H107" s="14">
        <v>0</v>
      </c>
      <c r="I107" s="14">
        <v>2.7294369266758542E-7</v>
      </c>
      <c r="J107" s="14">
        <v>9.4698805722069335E-6</v>
      </c>
      <c r="K107" s="14">
        <v>0</v>
      </c>
    </row>
    <row r="108" spans="1:11">
      <c r="A108" s="2" t="s">
        <v>461</v>
      </c>
      <c r="B108" s="3" t="s">
        <v>462</v>
      </c>
      <c r="D108" s="14">
        <v>1.2841665459214124E-13</v>
      </c>
      <c r="E108" s="14">
        <v>1.4998577315247194E-4</v>
      </c>
      <c r="F108" s="14">
        <v>1.3189016505167978E-9</v>
      </c>
      <c r="G108" s="14">
        <v>3.8227332446548805E-11</v>
      </c>
      <c r="H108" s="14">
        <v>0</v>
      </c>
      <c r="I108" s="14">
        <v>9.3517960446953125E-9</v>
      </c>
      <c r="J108" s="14">
        <v>3.5177940837078947E-9</v>
      </c>
      <c r="K108" s="14">
        <v>0</v>
      </c>
    </row>
    <row r="109" spans="1:11">
      <c r="A109" s="2" t="s">
        <v>463</v>
      </c>
      <c r="B109" s="3" t="s">
        <v>464</v>
      </c>
      <c r="D109" s="14">
        <v>3.3123654607128979E-16</v>
      </c>
      <c r="E109" s="14">
        <v>1.3953063893384595E-4</v>
      </c>
      <c r="F109" s="14">
        <v>8.7433874811492775E-6</v>
      </c>
      <c r="G109" s="14">
        <v>4.345960766233129E-7</v>
      </c>
      <c r="H109" s="14">
        <v>0</v>
      </c>
      <c r="I109" s="14">
        <v>1.2622648167311851E-7</v>
      </c>
      <c r="J109" s="14">
        <v>1.1651510263771085E-6</v>
      </c>
      <c r="K109" s="14">
        <v>0</v>
      </c>
    </row>
    <row r="110" spans="1:11">
      <c r="A110" s="2" t="s">
        <v>465</v>
      </c>
      <c r="B110" s="3" t="s">
        <v>466</v>
      </c>
      <c r="D110" s="14">
        <v>2.4467861138685881E-15</v>
      </c>
      <c r="E110" s="14">
        <v>1.4955295827362084E-4</v>
      </c>
      <c r="F110" s="14">
        <v>3.3846719515278992E-8</v>
      </c>
      <c r="G110" s="14">
        <v>6.4756461296966253E-9</v>
      </c>
      <c r="H110" s="14">
        <v>0</v>
      </c>
      <c r="I110" s="14">
        <v>9.3635836472843536E-9</v>
      </c>
      <c r="J110" s="14">
        <v>3.9735577464011876E-7</v>
      </c>
      <c r="K110" s="14">
        <v>0</v>
      </c>
    </row>
    <row r="111" spans="1:11">
      <c r="A111" s="2" t="s">
        <v>467</v>
      </c>
      <c r="B111" s="3" t="s">
        <v>468</v>
      </c>
      <c r="D111" s="14">
        <v>4.3336396487308928E-34</v>
      </c>
      <c r="E111" s="14">
        <v>1.4998792828884485E-4</v>
      </c>
      <c r="F111" s="14">
        <v>2.396723205376225E-9</v>
      </c>
      <c r="G111" s="14">
        <v>1.9801123358453591E-12</v>
      </c>
      <c r="H111" s="14">
        <v>0</v>
      </c>
      <c r="I111" s="14">
        <v>9.3173877780752333E-9</v>
      </c>
      <c r="J111" s="14">
        <v>3.5562005935338337E-10</v>
      </c>
      <c r="K111" s="14">
        <v>0</v>
      </c>
    </row>
    <row r="112" spans="1:11">
      <c r="A112" s="2" t="s">
        <v>469</v>
      </c>
      <c r="B112" s="3" t="s">
        <v>470</v>
      </c>
      <c r="D112" s="14">
        <v>2.7521530697657267E-17</v>
      </c>
      <c r="E112" s="14">
        <v>1.4945818188810318E-4</v>
      </c>
      <c r="F112" s="14">
        <v>1.1686683140297562E-8</v>
      </c>
      <c r="G112" s="14">
        <v>5.4599268545394485E-9</v>
      </c>
      <c r="H112" s="14">
        <v>0</v>
      </c>
      <c r="I112" s="14">
        <v>9.3440890907228016E-9</v>
      </c>
      <c r="J112" s="14">
        <v>5.1532741278369826E-7</v>
      </c>
      <c r="K112" s="14">
        <v>0</v>
      </c>
    </row>
    <row r="113" spans="1:11">
      <c r="A113" s="2" t="s">
        <v>471</v>
      </c>
      <c r="B113" s="3" t="s">
        <v>472</v>
      </c>
      <c r="D113" s="14">
        <v>3.4620459778696391E-13</v>
      </c>
      <c r="E113" s="14">
        <v>1.4657163797734119E-4</v>
      </c>
      <c r="F113" s="14">
        <v>3.394310093420297E-7</v>
      </c>
      <c r="G113" s="14">
        <v>1.2355122931882919E-7</v>
      </c>
      <c r="H113" s="14">
        <v>0</v>
      </c>
      <c r="I113" s="14">
        <v>1.047465036031522E-8</v>
      </c>
      <c r="J113" s="14">
        <v>2.954904787433043E-6</v>
      </c>
      <c r="K113" s="14">
        <v>0</v>
      </c>
    </row>
    <row r="114" spans="1:11">
      <c r="A114" s="2" t="s">
        <v>473</v>
      </c>
      <c r="B114" s="3" t="s">
        <v>474</v>
      </c>
      <c r="D114" s="14">
        <v>2.6954460064777261E-20</v>
      </c>
      <c r="E114" s="14">
        <v>1.4971898528331077E-4</v>
      </c>
      <c r="F114" s="14">
        <v>3.3953023133436797E-9</v>
      </c>
      <c r="G114" s="14">
        <v>1.7105944279749854E-9</v>
      </c>
      <c r="H114" s="14">
        <v>0</v>
      </c>
      <c r="I114" s="14">
        <v>9.3190537545987606E-9</v>
      </c>
      <c r="J114" s="14">
        <v>2.6658976619327154E-7</v>
      </c>
      <c r="K114" s="14">
        <v>0</v>
      </c>
    </row>
    <row r="115" spans="1:11">
      <c r="A115" s="2" t="s">
        <v>475</v>
      </c>
      <c r="B115" s="3" t="s">
        <v>476</v>
      </c>
      <c r="D115" s="14">
        <v>1.3906201519458991E-16</v>
      </c>
      <c r="E115" s="14">
        <v>1.4586803227285912E-4</v>
      </c>
      <c r="F115" s="14">
        <v>4.1177663358802436E-6</v>
      </c>
      <c r="G115" s="14">
        <v>4.9322553436306144E-10</v>
      </c>
      <c r="H115" s="14">
        <v>0</v>
      </c>
      <c r="I115" s="14">
        <v>9.4252257612764868E-9</v>
      </c>
      <c r="J115" s="14">
        <v>4.2829398259209031E-9</v>
      </c>
      <c r="K115" s="14">
        <v>0</v>
      </c>
    </row>
    <row r="116" spans="1:11">
      <c r="A116" s="2" t="s">
        <v>477</v>
      </c>
      <c r="B116" s="3" t="s">
        <v>478</v>
      </c>
      <c r="D116" s="14">
        <v>3.9556260344006886E-21</v>
      </c>
      <c r="E116" s="14">
        <v>2.0260094414246111E-5</v>
      </c>
      <c r="F116" s="14">
        <v>1.2420124379677145E-4</v>
      </c>
      <c r="G116" s="14">
        <v>3.0082191077538333E-6</v>
      </c>
      <c r="H116" s="14">
        <v>0</v>
      </c>
      <c r="I116" s="14">
        <v>1.3052457898330016E-6</v>
      </c>
      <c r="J116" s="14">
        <v>1.2251968913955633E-6</v>
      </c>
      <c r="K116" s="14">
        <v>0</v>
      </c>
    </row>
    <row r="117" spans="1:11">
      <c r="A117" s="2" t="s">
        <v>291</v>
      </c>
      <c r="B117" s="3" t="s">
        <v>479</v>
      </c>
      <c r="D117" s="14">
        <v>4.1921531410842036E-14</v>
      </c>
      <c r="E117" s="14">
        <v>8.650361343257326E-5</v>
      </c>
      <c r="F117" s="14">
        <v>3.1293621364603041E-5</v>
      </c>
      <c r="G117" s="14">
        <v>7.8514772910457652E-6</v>
      </c>
      <c r="H117" s="14">
        <v>0</v>
      </c>
      <c r="I117" s="14">
        <v>9.3689588179617282E-8</v>
      </c>
      <c r="J117" s="14">
        <v>2.4257598281676755E-5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68B54-1554-4FB2-A19E-8F397D4DB40E}">
  <dimension ref="A1:D117"/>
  <sheetViews>
    <sheetView tabSelected="1" topLeftCell="A103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s="164" t="s">
        <v>309</v>
      </c>
      <c r="B1" s="164" t="s">
        <v>310</v>
      </c>
      <c r="C1" s="164" t="s">
        <v>311</v>
      </c>
      <c r="D1" s="164" t="s">
        <v>312</v>
      </c>
    </row>
    <row r="2" spans="1:4">
      <c r="A2">
        <f>'Mass Balance'!I2</f>
        <v>9.6208292255531319E-9</v>
      </c>
      <c r="B2">
        <f>'Mass Balance'!E2</f>
        <v>1.483633091911768E-4</v>
      </c>
      <c r="C2">
        <f>SUM('Mass Balance'!E2:H2)</f>
        <v>1.484912434234073E-4</v>
      </c>
      <c r="D2">
        <f>Concentrations!F2/Concentrations!E2</f>
        <v>1.0030487243621813</v>
      </c>
    </row>
    <row r="3" spans="1:4">
      <c r="A3">
        <f>'Mass Balance'!I3</f>
        <v>1.1301402284537124E-7</v>
      </c>
      <c r="B3">
        <f>'Mass Balance'!E3</f>
        <v>8.4874100955370881E-5</v>
      </c>
      <c r="C3">
        <f>SUM('Mass Balance'!E3:H3)</f>
        <v>1.2678451027916504E-4</v>
      </c>
      <c r="D3">
        <f>Concentrations!F3/Concentrations!E3</f>
        <v>0.67205582832727218</v>
      </c>
    </row>
    <row r="4" spans="1:4">
      <c r="A4">
        <f>'Mass Balance'!I4</f>
        <v>1.0670777016774414E-8</v>
      </c>
      <c r="B4">
        <f>'Mass Balance'!E4</f>
        <v>1.4992468029175637E-4</v>
      </c>
      <c r="C4">
        <f>SUM('Mass Balance'!E4:H4)</f>
        <v>1.499880224300765E-4</v>
      </c>
      <c r="D4">
        <f>Concentrations!F4/Concentrations!E4</f>
        <v>1.0034896895616316</v>
      </c>
    </row>
    <row r="5" spans="1:4">
      <c r="A5">
        <f>'Mass Balance'!I5</f>
        <v>9.9156256920756683E-9</v>
      </c>
      <c r="B5">
        <f>'Mass Balance'!E5</f>
        <v>8.2147138041909959E-5</v>
      </c>
      <c r="C5">
        <f>SUM('Mass Balance'!E5:H5)</f>
        <v>1.4997817879144415E-4</v>
      </c>
      <c r="D5">
        <f>Concentrations!F5/Concentrations!E5</f>
        <v>0.54987088407343221</v>
      </c>
    </row>
    <row r="6" spans="1:4">
      <c r="A6">
        <f>'Mass Balance'!I6</f>
        <v>1.0031910020345293E-8</v>
      </c>
      <c r="B6">
        <f>'Mass Balance'!E6</f>
        <v>4.8631765814217856E-5</v>
      </c>
      <c r="C6">
        <f>SUM('Mass Balance'!E6:H6)</f>
        <v>1.4994531715255288E-4</v>
      </c>
      <c r="D6">
        <f>Concentrations!F6/Concentrations!E6</f>
        <v>0.32559932375393769</v>
      </c>
    </row>
    <row r="7" spans="1:4">
      <c r="A7">
        <f>'Mass Balance'!I7</f>
        <v>1.2058161246377848E-8</v>
      </c>
      <c r="B7">
        <f>'Mass Balance'!E7</f>
        <v>1.6177707699924265E-5</v>
      </c>
      <c r="C7">
        <f>SUM('Mass Balance'!E7:H7)</f>
        <v>1.4975164119566438E-4</v>
      </c>
      <c r="D7">
        <f>Concentrations!F7/Concentrations!E7</f>
        <v>0.10845304645239193</v>
      </c>
    </row>
    <row r="8" spans="1:4">
      <c r="A8">
        <f>'Mass Balance'!I8</f>
        <v>9.729834684385924E-9</v>
      </c>
      <c r="B8">
        <f>'Mass Balance'!E8</f>
        <v>3.4476511297878094E-5</v>
      </c>
      <c r="C8">
        <f>SUM('Mass Balance'!E8:H8)</f>
        <v>1.4996825074442116E-4</v>
      </c>
      <c r="D8">
        <f>Concentrations!F8/Concentrations!E8</f>
        <v>0.23079178670061071</v>
      </c>
    </row>
    <row r="9" spans="1:4">
      <c r="A9">
        <f>'Mass Balance'!I9</f>
        <v>1.0085492707437951E-8</v>
      </c>
      <c r="B9">
        <f>'Mass Balance'!E9</f>
        <v>9.2135232934738539E-5</v>
      </c>
      <c r="C9">
        <f>SUM('Mass Balance'!E9:H9)</f>
        <v>1.499357723342894E-4</v>
      </c>
      <c r="D9">
        <f>Concentrations!F9/Concentrations!E9</f>
        <v>0.61690293913234795</v>
      </c>
    </row>
    <row r="10" spans="1:4">
      <c r="A10">
        <f>'Mass Balance'!I10</f>
        <v>2.3904528481780513E-7</v>
      </c>
      <c r="B10">
        <f>'Mass Balance'!E10</f>
        <v>1.6583625063069425E-6</v>
      </c>
      <c r="C10">
        <f>SUM('Mass Balance'!E10:H10)</f>
        <v>1.4229340120726315E-4</v>
      </c>
      <c r="D10">
        <f>Concentrations!F10/Concentrations!E10</f>
        <v>1.1700140373438875E-2</v>
      </c>
    </row>
    <row r="11" spans="1:4">
      <c r="A11">
        <f>'Mass Balance'!I11</f>
        <v>1.0541670192024573E-6</v>
      </c>
      <c r="B11">
        <f>'Mass Balance'!E11</f>
        <v>9.3545012815585299E-8</v>
      </c>
      <c r="C11">
        <f>SUM('Mass Balance'!E11:H11)</f>
        <v>1.4780191995307843E-4</v>
      </c>
      <c r="D11">
        <f>Concentrations!F11/Concentrations!E11</f>
        <v>6.3538495264243869E-4</v>
      </c>
    </row>
    <row r="12" spans="1:4">
      <c r="A12">
        <f>'Mass Balance'!I12</f>
        <v>8.7699670721562415E-9</v>
      </c>
      <c r="B12">
        <f>'Mass Balance'!E12</f>
        <v>1.4079976925771093E-4</v>
      </c>
      <c r="C12">
        <f>SUM('Mass Balance'!E12:H12)</f>
        <v>1.4080568877679071E-4</v>
      </c>
      <c r="D12">
        <f>Concentrations!F12/Concentrations!E12</f>
        <v>1.0038714521286256</v>
      </c>
    </row>
    <row r="13" spans="1:4">
      <c r="A13">
        <f>'Mass Balance'!I13</f>
        <v>7.936928146670147E-8</v>
      </c>
      <c r="B13">
        <f>'Mass Balance'!E13</f>
        <v>9.5094595903244834E-5</v>
      </c>
      <c r="C13">
        <f>SUM('Mass Balance'!E13:H13)</f>
        <v>1.2711461418944272E-4</v>
      </c>
      <c r="D13">
        <f>Concentrations!F13/Concentrations!E13</f>
        <v>0.75102901537292632</v>
      </c>
    </row>
    <row r="14" spans="1:4">
      <c r="A14">
        <f>'Mass Balance'!I14</f>
        <v>1.9677687079805835E-8</v>
      </c>
      <c r="B14">
        <f>'Mass Balance'!E14</f>
        <v>1.3216128952549436E-6</v>
      </c>
      <c r="C14">
        <f>SUM('Mass Balance'!E14:H14)</f>
        <v>1.4993080970963874E-4</v>
      </c>
      <c r="D14">
        <f>Concentrations!F14/Concentrations!E14</f>
        <v>8.8493168107598597E-3</v>
      </c>
    </row>
    <row r="15" spans="1:4">
      <c r="A15">
        <f>'Mass Balance'!I15</f>
        <v>1.8778598212096163E-8</v>
      </c>
      <c r="B15">
        <f>'Mass Balance'!E15</f>
        <v>1.2596235245700444E-4</v>
      </c>
      <c r="C15">
        <f>SUM('Mass Balance'!E15:H15)</f>
        <v>1.3016102347798424E-4</v>
      </c>
      <c r="D15">
        <f>Concentrations!F15/Concentrations!E15</f>
        <v>0.97152989827926495</v>
      </c>
    </row>
    <row r="16" spans="1:4">
      <c r="A16">
        <f>'Mass Balance'!I16</f>
        <v>8.8702237097999629E-8</v>
      </c>
      <c r="B16">
        <f>'Mass Balance'!E16</f>
        <v>8.9376662854661194E-5</v>
      </c>
      <c r="C16">
        <f>SUM('Mass Balance'!E16:H16)</f>
        <v>1.2602641201907834E-4</v>
      </c>
      <c r="D16">
        <f>Concentrations!F16/Concentrations!E16</f>
        <v>0.7119654604094906</v>
      </c>
    </row>
    <row r="17" spans="1:4">
      <c r="A17">
        <f>'Mass Balance'!I17</f>
        <v>8.2655811325818951E-8</v>
      </c>
      <c r="B17">
        <f>'Mass Balance'!E17</f>
        <v>9.2829134768449914E-5</v>
      </c>
      <c r="C17">
        <f>SUM('Mass Balance'!E17:H17)</f>
        <v>1.2648348247368469E-4</v>
      </c>
      <c r="D17">
        <f>Concentrations!F17/Concentrations!E17</f>
        <v>0.73679530590858944</v>
      </c>
    </row>
    <row r="18" spans="1:4">
      <c r="A18">
        <f>'Mass Balance'!I18</f>
        <v>1.2123565397890148E-6</v>
      </c>
      <c r="B18">
        <f>'Mass Balance'!E18</f>
        <v>1.0409359277975634E-7</v>
      </c>
      <c r="C18">
        <f>SUM('Mass Balance'!E18:H18)</f>
        <v>1.4328516995383968E-4</v>
      </c>
      <c r="D18">
        <f>Concentrations!F18/Concentrations!E18</f>
        <v>7.2932166972692735E-4</v>
      </c>
    </row>
    <row r="19" spans="1:4">
      <c r="A19">
        <f>'Mass Balance'!I19</f>
        <v>1.2522123372013146E-8</v>
      </c>
      <c r="B19">
        <f>'Mass Balance'!E19</f>
        <v>1.4214084271108474E-4</v>
      </c>
      <c r="C19">
        <f>SUM('Mass Balance'!E19:H19)</f>
        <v>1.4346200255884166E-4</v>
      </c>
      <c r="D19">
        <f>Concentrations!F19/Concentrations!E19</f>
        <v>0.99466848831057519</v>
      </c>
    </row>
    <row r="20" spans="1:4">
      <c r="A20">
        <f>'Mass Balance'!I20</f>
        <v>1.4984896963152815E-8</v>
      </c>
      <c r="B20">
        <f>'Mass Balance'!E20</f>
        <v>1.3803727443539472E-4</v>
      </c>
      <c r="C20">
        <f>SUM('Mass Balance'!E20:H20)</f>
        <v>1.4040751673627318E-4</v>
      </c>
      <c r="D20">
        <f>Concentrations!F20/Concentrations!E20</f>
        <v>0.98696642602903806</v>
      </c>
    </row>
    <row r="21" spans="1:4">
      <c r="A21">
        <f>'Mass Balance'!I21</f>
        <v>6.3652537626585286E-8</v>
      </c>
      <c r="B21">
        <f>'Mass Balance'!E21</f>
        <v>1.6580455244214329E-5</v>
      </c>
      <c r="C21">
        <f>SUM('Mass Balance'!E21:H21)</f>
        <v>1.451862180758678E-4</v>
      </c>
      <c r="D21">
        <f>Concentrations!F21/Concentrations!E21</f>
        <v>0.11464824746831956</v>
      </c>
    </row>
    <row r="22" spans="1:4">
      <c r="A22">
        <f>'Mass Balance'!I22</f>
        <v>9.3597491657827295E-9</v>
      </c>
      <c r="B22">
        <f>'Mass Balance'!E22</f>
        <v>1.3994257608265792E-4</v>
      </c>
      <c r="C22">
        <f>SUM('Mass Balance'!E22:H22)</f>
        <v>1.4015976498595994E-4</v>
      </c>
      <c r="D22">
        <f>Concentrations!F22/Concentrations!E22</f>
        <v>1.002358011511207</v>
      </c>
    </row>
    <row r="23" spans="1:4">
      <c r="A23">
        <f>'Mass Balance'!I23</f>
        <v>2.6079579857403543E-8</v>
      </c>
      <c r="B23">
        <f>'Mass Balance'!E23</f>
        <v>1.2186467380772714E-4</v>
      </c>
      <c r="C23">
        <f>SUM('Mass Balance'!E23:H23)</f>
        <v>1.2919253112164404E-4</v>
      </c>
      <c r="D23">
        <f>Concentrations!F23/Concentrations!E23</f>
        <v>0.94697123184535303</v>
      </c>
    </row>
    <row r="24" spans="1:4">
      <c r="A24">
        <f>'Mass Balance'!I24</f>
        <v>1.2128530689271051E-7</v>
      </c>
      <c r="B24">
        <f>'Mass Balance'!E24</f>
        <v>7.0299793251731892E-5</v>
      </c>
      <c r="C24">
        <f>SUM('Mass Balance'!E24:H24)</f>
        <v>1.2367496095291506E-4</v>
      </c>
      <c r="D24">
        <f>Concentrations!F24/Concentrations!E24</f>
        <v>0.57064843187288905</v>
      </c>
    </row>
    <row r="25" spans="1:4">
      <c r="A25">
        <f>'Mass Balance'!I25</f>
        <v>1.1162037513471198E-6</v>
      </c>
      <c r="B25">
        <f>'Mass Balance'!E25</f>
        <v>1.4561934093035872E-7</v>
      </c>
      <c r="C25">
        <f>SUM('Mass Balance'!E25:H25)</f>
        <v>1.4277174443336275E-4</v>
      </c>
      <c r="D25">
        <f>Concentrations!F25/Concentrations!E25</f>
        <v>1.0239368137133335E-3</v>
      </c>
    </row>
    <row r="26" spans="1:4">
      <c r="A26">
        <f>'Mass Balance'!I26</f>
        <v>1.7311718740999422E-7</v>
      </c>
      <c r="B26">
        <f>'Mass Balance'!E26</f>
        <v>2.4997683779508741E-5</v>
      </c>
      <c r="C26">
        <f>SUM('Mass Balance'!E26:H26)</f>
        <v>1.104405519382386E-4</v>
      </c>
      <c r="D26">
        <f>Concentrations!F26/Concentrations!E26</f>
        <v>0.22723099168919011</v>
      </c>
    </row>
    <row r="27" spans="1:4">
      <c r="A27">
        <f>'Mass Balance'!I27</f>
        <v>1.0057665049043376E-7</v>
      </c>
      <c r="B27">
        <f>'Mass Balance'!E27</f>
        <v>2.943231452272672E-6</v>
      </c>
      <c r="C27">
        <f>SUM('Mass Balance'!E27:H27)</f>
        <v>5.8232861538081443E-5</v>
      </c>
      <c r="D27">
        <f>Concentrations!F27/Concentrations!E27</f>
        <v>5.0740255117250992E-2</v>
      </c>
    </row>
    <row r="28" spans="1:4">
      <c r="A28">
        <f>'Mass Balance'!I28</f>
        <v>5.1621247536994264E-8</v>
      </c>
      <c r="B28">
        <f>'Mass Balance'!E28</f>
        <v>5.523436909052197E-6</v>
      </c>
      <c r="C28">
        <f>SUM('Mass Balance'!E28:H28)</f>
        <v>3.1545283443243645E-5</v>
      </c>
      <c r="D28">
        <f>Concentrations!F28/Concentrations!E28</f>
        <v>0.17578075519766784</v>
      </c>
    </row>
    <row r="29" spans="1:4">
      <c r="A29">
        <f>'Mass Balance'!I29</f>
        <v>1.3587297050850906E-9</v>
      </c>
      <c r="B29">
        <f>'Mass Balance'!E29</f>
        <v>1.1256760331338517E-5</v>
      </c>
      <c r="C29">
        <f>SUM('Mass Balance'!E29:H29)</f>
        <v>1.1503865239984603E-5</v>
      </c>
      <c r="D29">
        <f>Concentrations!F29/Concentrations!E29</f>
        <v>0.98234942729794861</v>
      </c>
    </row>
    <row r="30" spans="1:4">
      <c r="A30">
        <f>'Mass Balance'!I30</f>
        <v>2.0025082146171591E-8</v>
      </c>
      <c r="B30">
        <f>'Mass Balance'!E30</f>
        <v>2.2962692661664268E-6</v>
      </c>
      <c r="C30">
        <f>SUM('Mass Balance'!E30:H30)</f>
        <v>1.2342196367667754E-5</v>
      </c>
      <c r="D30">
        <f>Concentrations!F30/Concentrations!E30</f>
        <v>0.18677843130853472</v>
      </c>
    </row>
    <row r="31" spans="1:4">
      <c r="A31">
        <f>'Mass Balance'!I31</f>
        <v>3.5264003056747233E-10</v>
      </c>
      <c r="B31">
        <f>'Mass Balance'!E31</f>
        <v>8.6349674246239E-8</v>
      </c>
      <c r="C31">
        <f>SUM('Mass Balance'!E31:H31)</f>
        <v>2.5368172387770495E-7</v>
      </c>
      <c r="D31">
        <f>Concentrations!F31/Concentrations!E31</f>
        <v>0.34171802338874774</v>
      </c>
    </row>
    <row r="32" spans="1:4">
      <c r="A32">
        <f>'Mass Balance'!I32</f>
        <v>6.9512707462636139E-8</v>
      </c>
      <c r="B32">
        <f>'Mass Balance'!E32</f>
        <v>1.0091054319156568E-4</v>
      </c>
      <c r="C32">
        <f>SUM('Mass Balance'!E32:H32)</f>
        <v>1.281339096714376E-4</v>
      </c>
      <c r="D32">
        <f>Concentrations!F32/Concentrations!E32</f>
        <v>0.79062187913500204</v>
      </c>
    </row>
    <row r="33" spans="1:4">
      <c r="A33">
        <f>'Mass Balance'!I33</f>
        <v>3.839514748821793E-8</v>
      </c>
      <c r="B33">
        <f>'Mass Balance'!E33</f>
        <v>1.2175282477940873E-4</v>
      </c>
      <c r="C33">
        <f>SUM('Mass Balance'!E33:H33)</f>
        <v>1.3433003864504712E-4</v>
      </c>
      <c r="D33">
        <f>Concentrations!F33/Concentrations!E33</f>
        <v>0.90991802583642012</v>
      </c>
    </row>
    <row r="34" spans="1:4">
      <c r="A34">
        <f>'Mass Balance'!I34</f>
        <v>1.9214619301131619E-7</v>
      </c>
      <c r="B34">
        <f>'Mass Balance'!E34</f>
        <v>3.1853740738153488E-5</v>
      </c>
      <c r="C34">
        <f>SUM('Mass Balance'!E34:H34)</f>
        <v>1.2574649977683703E-4</v>
      </c>
      <c r="D34">
        <f>Concentrations!F34/Concentrations!E34</f>
        <v>0.25430851284398487</v>
      </c>
    </row>
    <row r="35" spans="1:4">
      <c r="A35">
        <f>'Mass Balance'!I35</f>
        <v>2.3389202557667271E-7</v>
      </c>
      <c r="B35">
        <f>'Mass Balance'!E35</f>
        <v>3.4116819578597867E-6</v>
      </c>
      <c r="C35">
        <f>SUM('Mass Balance'!E35:H35)</f>
        <v>1.3794943207466742E-4</v>
      </c>
      <c r="D35">
        <f>Concentrations!F35/Concentrations!E35</f>
        <v>2.4828185657071924E-2</v>
      </c>
    </row>
    <row r="36" spans="1:4">
      <c r="A36">
        <f>'Mass Balance'!I36</f>
        <v>5.1022252501430011E-7</v>
      </c>
      <c r="B36">
        <f>'Mass Balance'!E36</f>
        <v>7.4626259013962871E-7</v>
      </c>
      <c r="C36">
        <f>SUM('Mass Balance'!E36:H36)</f>
        <v>1.4139996783469678E-4</v>
      </c>
      <c r="D36">
        <f>Concentrations!F36/Concentrations!E36</f>
        <v>5.2983265655727266E-3</v>
      </c>
    </row>
    <row r="37" spans="1:4">
      <c r="A37">
        <f>'Mass Balance'!I37</f>
        <v>1.1841343979160422E-6</v>
      </c>
      <c r="B37">
        <f>'Mass Balance'!E37</f>
        <v>1.1419893620439771E-7</v>
      </c>
      <c r="C37">
        <f>SUM('Mass Balance'!E37:H37)</f>
        <v>1.4285322431215926E-4</v>
      </c>
      <c r="D37">
        <f>Concentrations!F37/Concentrations!E37</f>
        <v>8.0254311530271666E-4</v>
      </c>
    </row>
    <row r="38" spans="1:4">
      <c r="A38">
        <f>'Mass Balance'!I38</f>
        <v>7.4675056110360029E-7</v>
      </c>
      <c r="B38">
        <f>'Mass Balance'!E38</f>
        <v>4.1155189018956706E-7</v>
      </c>
      <c r="C38">
        <f>SUM('Mass Balance'!E38:H38)</f>
        <v>1.4156695748738526E-4</v>
      </c>
      <c r="D38">
        <f>Concentrations!F38/Concentrations!E38</f>
        <v>2.9184957454671031E-3</v>
      </c>
    </row>
    <row r="39" spans="1:4">
      <c r="A39">
        <f>'Mass Balance'!I39</f>
        <v>5.6074888490952372E-7</v>
      </c>
      <c r="B39">
        <f>'Mass Balance'!E39</f>
        <v>6.2057535859154845E-7</v>
      </c>
      <c r="C39">
        <f>SUM('Mass Balance'!E39:H39)</f>
        <v>1.3818372144687734E-4</v>
      </c>
      <c r="D39">
        <f>Concentrations!F39/Concentrations!E39</f>
        <v>4.5085200424820789E-3</v>
      </c>
    </row>
    <row r="40" spans="1:4">
      <c r="A40">
        <f>'Mass Balance'!I40</f>
        <v>7.4675056110360029E-7</v>
      </c>
      <c r="B40">
        <f>'Mass Balance'!E40</f>
        <v>4.1155189018956706E-7</v>
      </c>
      <c r="C40">
        <f>SUM('Mass Balance'!E40:H40)</f>
        <v>1.4156695748738526E-4</v>
      </c>
      <c r="D40">
        <f>Concentrations!F40/Concentrations!E40</f>
        <v>2.9184957454671031E-3</v>
      </c>
    </row>
    <row r="41" spans="1:4">
      <c r="A41">
        <f>'Mass Balance'!I41</f>
        <v>9.4851096400629019E-9</v>
      </c>
      <c r="B41">
        <f>'Mass Balance'!E41</f>
        <v>1.4314560091706772E-4</v>
      </c>
      <c r="C41">
        <f>SUM('Mass Balance'!E41:H41)</f>
        <v>1.4997909647939799E-4</v>
      </c>
      <c r="D41">
        <f>Concentrations!F41/Concentrations!E41</f>
        <v>0.95817235250460908</v>
      </c>
    </row>
    <row r="42" spans="1:4">
      <c r="A42">
        <f>'Mass Balance'!I42</f>
        <v>1.2087821774555021E-6</v>
      </c>
      <c r="B42">
        <f>'Mass Balance'!E42</f>
        <v>1.0378669608313216E-7</v>
      </c>
      <c r="C42">
        <f>SUM('Mass Balance'!E42:H42)</f>
        <v>1.4286272565001867E-4</v>
      </c>
      <c r="D42">
        <f>Concentrations!F42/Concentrations!E42</f>
        <v>7.2932166972692735E-4</v>
      </c>
    </row>
    <row r="43" spans="1:4">
      <c r="A43">
        <f>'Mass Balance'!I43</f>
        <v>1.2982042962121995E-7</v>
      </c>
      <c r="B43">
        <f>'Mass Balance'!E43</f>
        <v>6.5762572096386986E-5</v>
      </c>
      <c r="C43">
        <f>SUM('Mass Balance'!E43:H43)</f>
        <v>1.2365140790593493E-4</v>
      </c>
      <c r="D43">
        <f>Concentrations!F43/Concentrations!E43</f>
        <v>0.53391987495413595</v>
      </c>
    </row>
    <row r="44" spans="1:4">
      <c r="A44">
        <f>'Mass Balance'!I44</f>
        <v>3.6235314739906495E-7</v>
      </c>
      <c r="B44">
        <f>'Mass Balance'!E44</f>
        <v>1.1147865649030619E-6</v>
      </c>
      <c r="C44">
        <f>SUM('Mass Balance'!E44:H44)</f>
        <v>1.4170332669161606E-4</v>
      </c>
      <c r="D44">
        <f>Concentrations!F44/Concentrations!E44</f>
        <v>7.8978347458445244E-3</v>
      </c>
    </row>
    <row r="45" spans="1:4">
      <c r="A45">
        <f>'Mass Balance'!I45</f>
        <v>1.3950869473355296E-6</v>
      </c>
      <c r="B45">
        <f>'Mass Balance'!E45</f>
        <v>4.6190885543802583E-8</v>
      </c>
      <c r="C45">
        <f>SUM('Mass Balance'!E45:H45)</f>
        <v>1.4443718579999347E-4</v>
      </c>
      <c r="D45">
        <f>Concentrations!F45/Concentrations!E45</f>
        <v>3.2105070844138663E-4</v>
      </c>
    </row>
    <row r="46" spans="1:4">
      <c r="A46">
        <f>'Mass Balance'!I46</f>
        <v>1.2423437187191921E-6</v>
      </c>
      <c r="B46">
        <f>'Mass Balance'!E46</f>
        <v>9.2784256120713466E-8</v>
      </c>
      <c r="C46">
        <f>SUM('Mass Balance'!E46:H46)</f>
        <v>1.4345196696444743E-4</v>
      </c>
      <c r="D46">
        <f>Concentrations!F46/Concentrations!E46</f>
        <v>6.4932802139476542E-4</v>
      </c>
    </row>
    <row r="47" spans="1:4">
      <c r="A47">
        <f>'Mass Balance'!I47</f>
        <v>1.0010293476022856E-6</v>
      </c>
      <c r="B47">
        <f>'Mass Balance'!E47</f>
        <v>2.0786842565120653E-7</v>
      </c>
      <c r="C47">
        <f>SUM('Mass Balance'!E47:H47)</f>
        <v>1.4228237489697268E-4</v>
      </c>
      <c r="D47">
        <f>Concentrations!F47/Concentrations!E47</f>
        <v>1.4666746427414957E-3</v>
      </c>
    </row>
    <row r="48" spans="1:4">
      <c r="A48">
        <f>'Mass Balance'!I48</f>
        <v>2.3046934230961026E-7</v>
      </c>
      <c r="B48">
        <f>'Mass Balance'!E48</f>
        <v>1.0237426178065484E-5</v>
      </c>
      <c r="C48">
        <f>SUM('Mass Balance'!E48:H48)</f>
        <v>1.3350851232714488E-4</v>
      </c>
      <c r="D48">
        <f>Concentrations!F48/Concentrations!E48</f>
        <v>7.6980049987451254E-2</v>
      </c>
    </row>
    <row r="49" spans="1:4">
      <c r="A49">
        <f>'Mass Balance'!I49</f>
        <v>3.8759775238134292E-7</v>
      </c>
      <c r="B49">
        <f>'Mass Balance'!E49</f>
        <v>1.0372776932959983E-6</v>
      </c>
      <c r="C49">
        <f>SUM('Mass Balance'!E49:H49)</f>
        <v>1.4164422232420073E-4</v>
      </c>
      <c r="D49">
        <f>Concentrations!F49/Concentrations!E49</f>
        <v>7.3517805761136139E-3</v>
      </c>
    </row>
    <row r="50" spans="1:4">
      <c r="A50">
        <f>'Mass Balance'!I50</f>
        <v>4.3223643087984026E-7</v>
      </c>
      <c r="B50">
        <f>'Mass Balance'!E50</f>
        <v>9.1689981619585628E-7</v>
      </c>
      <c r="C50">
        <f>SUM('Mass Balance'!E50:H50)</f>
        <v>1.4153396722419728E-4</v>
      </c>
      <c r="D50">
        <f>Concentrations!F50/Concentrations!E50</f>
        <v>6.5036560878853978E-3</v>
      </c>
    </row>
    <row r="51" spans="1:4">
      <c r="A51">
        <f>'Mass Balance'!I51</f>
        <v>2.35288625340511E-7</v>
      </c>
      <c r="B51">
        <f>'Mass Balance'!E51</f>
        <v>6.4225055560357678E-6</v>
      </c>
      <c r="C51">
        <f>SUM('Mass Balance'!E51:H51)</f>
        <v>1.3635611274656213E-4</v>
      </c>
      <c r="D51">
        <f>Concentrations!F51/Concentrations!E51</f>
        <v>4.7285309840487073E-2</v>
      </c>
    </row>
    <row r="52" spans="1:4">
      <c r="A52">
        <f>'Mass Balance'!I52</f>
        <v>2.3109333340942066E-7</v>
      </c>
      <c r="B52">
        <f>'Mass Balance'!E52</f>
        <v>9.8002030940631829E-6</v>
      </c>
      <c r="C52">
        <f>SUM('Mass Balance'!E52:H52)</f>
        <v>1.3378353062478549E-4</v>
      </c>
      <c r="D52">
        <f>Concentrations!F52/Concentrations!E52</f>
        <v>7.3540873690213046E-2</v>
      </c>
    </row>
    <row r="53" spans="1:4">
      <c r="A53">
        <f>'Mass Balance'!I53</f>
        <v>5.9032580490122304E-7</v>
      </c>
      <c r="B53">
        <f>'Mass Balance'!E53</f>
        <v>6.0931362252047496E-7</v>
      </c>
      <c r="C53">
        <f>SUM('Mass Balance'!E53:H53)</f>
        <v>1.4141648314075457E-4</v>
      </c>
      <c r="D53">
        <f>Concentrations!F53/Concentrations!E53</f>
        <v>4.3255089750456237E-3</v>
      </c>
    </row>
    <row r="54" spans="1:4">
      <c r="A54">
        <f>'Mass Balance'!I54</f>
        <v>4.0952066022950616E-7</v>
      </c>
      <c r="B54">
        <f>'Mass Balance'!E54</f>
        <v>9.7573855838057247E-7</v>
      </c>
      <c r="C54">
        <f>SUM('Mass Balance'!E54:H54)</f>
        <v>1.4159052306193589E-4</v>
      </c>
      <c r="D54">
        <f>Concentrations!F54/Concentrations!E54</f>
        <v>6.9182403118300565E-3</v>
      </c>
    </row>
    <row r="55" spans="1:4">
      <c r="A55">
        <f>'Mass Balance'!I55</f>
        <v>9.8892634132687416E-7</v>
      </c>
      <c r="B55">
        <f>'Mass Balance'!E55</f>
        <v>2.1512560474105071E-7</v>
      </c>
      <c r="C55">
        <f>SUM('Mass Balance'!E55:H55)</f>
        <v>1.4220672065700743E-4</v>
      </c>
      <c r="D55">
        <f>Concentrations!F55/Concentrations!E55</f>
        <v>1.5186872432767795E-3</v>
      </c>
    </row>
    <row r="56" spans="1:4">
      <c r="A56">
        <f>'Mass Balance'!I56</f>
        <v>3.7064920964629444E-7</v>
      </c>
      <c r="B56">
        <f>'Mass Balance'!E56</f>
        <v>1.0885314689900964E-6</v>
      </c>
      <c r="C56">
        <f>SUM('Mass Balance'!E56:H56)</f>
        <v>1.4168851859656893E-4</v>
      </c>
      <c r="D56">
        <f>Concentrations!F56/Concentrations!E56</f>
        <v>7.7126334484831213E-3</v>
      </c>
    </row>
    <row r="57" spans="1:4">
      <c r="A57">
        <f>'Mass Balance'!I57</f>
        <v>2.264824459427874E-7</v>
      </c>
      <c r="B57">
        <f>'Mass Balance'!E57</f>
        <v>1.2392615704603434E-5</v>
      </c>
      <c r="C57">
        <f>SUM('Mass Balance'!E57:H57)</f>
        <v>1.3186938822466735E-4</v>
      </c>
      <c r="D57">
        <f>Concentrations!F57/Concentrations!E57</f>
        <v>9.4344231965447362E-2</v>
      </c>
    </row>
    <row r="58" spans="1:4">
      <c r="A58">
        <f>'Mass Balance'!I58</f>
        <v>4.1400413570054966E-7</v>
      </c>
      <c r="B58">
        <f>'Mass Balance'!E58</f>
        <v>9.6376462167806224E-7</v>
      </c>
      <c r="C58">
        <f>SUM('Mass Balance'!E58:H58)</f>
        <v>1.4158052987707877E-4</v>
      </c>
      <c r="D58">
        <f>Concentrations!F58/Concentrations!E58</f>
        <v>6.8338243025118008E-3</v>
      </c>
    </row>
    <row r="59" spans="1:4">
      <c r="A59">
        <f>'Mass Balance'!I59</f>
        <v>2.3112095263562102E-7</v>
      </c>
      <c r="B59">
        <f>'Mass Balance'!E59</f>
        <v>9.8013743698506358E-6</v>
      </c>
      <c r="C59">
        <f>SUM('Mass Balance'!E59:H59)</f>
        <v>1.3379951982507826E-4</v>
      </c>
      <c r="D59">
        <f>Concentrations!F59/Concentrations!E59</f>
        <v>7.3540873690213046E-2</v>
      </c>
    </row>
    <row r="60" spans="1:4">
      <c r="A60">
        <f>'Mass Balance'!I60</f>
        <v>5.4143585790015045E-7</v>
      </c>
      <c r="B60">
        <f>'Mass Balance'!E60</f>
        <v>6.8885293988498738E-7</v>
      </c>
      <c r="C60">
        <f>SUM('Mass Balance'!E60:H60)</f>
        <v>1.413725268626412E-4</v>
      </c>
      <c r="D60">
        <f>Concentrations!F60/Concentrations!E60</f>
        <v>4.8916779614992965E-3</v>
      </c>
    </row>
    <row r="61" spans="1:4">
      <c r="A61">
        <f>'Mass Balance'!I61</f>
        <v>4.1359913153947631E-7</v>
      </c>
      <c r="B61">
        <f>'Mass Balance'!E61</f>
        <v>4.7079361378781677E-5</v>
      </c>
      <c r="C61">
        <f>SUM('Mass Balance'!E61:H61)</f>
        <v>1.3555475918596371E-4</v>
      </c>
      <c r="D61">
        <f>Concentrations!F61/Concentrations!E61</f>
        <v>0.34866805219416075</v>
      </c>
    </row>
    <row r="62" spans="1:4">
      <c r="A62">
        <f>'Mass Balance'!I62</f>
        <v>1.8788444712222897E-7</v>
      </c>
      <c r="B62">
        <f>'Mass Balance'!E62</f>
        <v>3.4146928043351099E-5</v>
      </c>
      <c r="C62">
        <f>SUM('Mass Balance'!E62:H62)</f>
        <v>1.2533920009007195E-4</v>
      </c>
      <c r="D62">
        <f>Concentrations!F62/Concentrations!E62</f>
        <v>0.27350236304920528</v>
      </c>
    </row>
    <row r="63" spans="1:4">
      <c r="A63">
        <f>'Mass Balance'!I63</f>
        <v>6.0953415099754885E-8</v>
      </c>
      <c r="B63">
        <f>'Mass Balance'!E63</f>
        <v>1.4179310522437205E-4</v>
      </c>
      <c r="C63">
        <f>SUM('Mass Balance'!E63:H63)</f>
        <v>1.4734495579577501E-4</v>
      </c>
      <c r="D63">
        <f>Concentrations!F63/Concentrations!E63</f>
        <v>0.96608692190690337</v>
      </c>
    </row>
    <row r="64" spans="1:4">
      <c r="A64">
        <f>'Mass Balance'!I64</f>
        <v>9.5995624520773684E-9</v>
      </c>
      <c r="B64">
        <f>'Mass Balance'!E64</f>
        <v>1.4786336790621778E-4</v>
      </c>
      <c r="C64">
        <f>SUM('Mass Balance'!E64:H64)</f>
        <v>1.4971494208238577E-4</v>
      </c>
      <c r="D64">
        <f>Concentrations!F64/Concentrations!E64</f>
        <v>0.99149792496629241</v>
      </c>
    </row>
    <row r="65" spans="1:4">
      <c r="A65">
        <f>'Mass Balance'!I65</f>
        <v>1.3578466803248693E-8</v>
      </c>
      <c r="B65">
        <f>'Mass Balance'!E65</f>
        <v>1.4961358159367534E-4</v>
      </c>
      <c r="C65">
        <f>SUM('Mass Balance'!E65:H65)</f>
        <v>1.498636723977745E-4</v>
      </c>
      <c r="D65">
        <f>Concentrations!F65/Concentrations!E65</f>
        <v>1.0022383372267634</v>
      </c>
    </row>
    <row r="66" spans="1:4">
      <c r="A66">
        <f>'Mass Balance'!I66</f>
        <v>4.0762200141858896E-7</v>
      </c>
      <c r="B66">
        <f>'Mass Balance'!E66</f>
        <v>1.1719494580712442E-4</v>
      </c>
      <c r="C66">
        <f>SUM('Mass Balance'!E66:H66)</f>
        <v>1.4848354703325478E-4</v>
      </c>
      <c r="D66">
        <f>Concentrations!F66/Concentrations!E66</f>
        <v>0.79236796923264419</v>
      </c>
    </row>
    <row r="67" spans="1:4">
      <c r="A67">
        <f>'Mass Balance'!I67</f>
        <v>1.2869042241252178E-8</v>
      </c>
      <c r="B67">
        <f>'Mass Balance'!E67</f>
        <v>1.4963611442960918E-4</v>
      </c>
      <c r="C67">
        <f>SUM('Mass Balance'!E67:H67)</f>
        <v>1.4984908645950239E-4</v>
      </c>
      <c r="D67">
        <f>Concentrations!F67/Concentrations!E67</f>
        <v>1.002486851309335</v>
      </c>
    </row>
    <row r="68" spans="1:4">
      <c r="A68">
        <f>'Mass Balance'!I68</f>
        <v>9.7873448292443792E-9</v>
      </c>
      <c r="B68">
        <f>'Mass Balance'!E68</f>
        <v>1.4990855809652505E-4</v>
      </c>
      <c r="C68">
        <f>SUM('Mass Balance'!E68:H68)</f>
        <v>1.4993443026999222E-4</v>
      </c>
      <c r="D68">
        <f>Concentrations!F68/Concentrations!E68</f>
        <v>1.0037404250867854</v>
      </c>
    </row>
    <row r="69" spans="1:4">
      <c r="A69">
        <f>'Mass Balance'!I69</f>
        <v>3.295025860282236E-7</v>
      </c>
      <c r="B69">
        <f>'Mass Balance'!E69</f>
        <v>1.2293361763133077E-6</v>
      </c>
      <c r="C69">
        <f>SUM('Mass Balance'!E69:H69)</f>
        <v>1.4183284115384151E-4</v>
      </c>
      <c r="D69">
        <f>Concentrations!F69/Concentrations!E69</f>
        <v>8.7014218033396335E-3</v>
      </c>
    </row>
    <row r="70" spans="1:4">
      <c r="A70">
        <f>'Mass Balance'!I70</f>
        <v>9.432562780538985E-9</v>
      </c>
      <c r="B70">
        <f>'Mass Balance'!E70</f>
        <v>1.4544867728421892E-4</v>
      </c>
      <c r="C70">
        <f>SUM('Mass Balance'!E70:H70)</f>
        <v>1.4998697124084153E-4</v>
      </c>
      <c r="D70">
        <f>Concentrations!F70/Concentrations!E70</f>
        <v>0.97353731667672871</v>
      </c>
    </row>
    <row r="71" spans="1:4">
      <c r="A71">
        <f>'Mass Balance'!I71</f>
        <v>9.5019490119096488E-9</v>
      </c>
      <c r="B71">
        <f>'Mass Balance'!E71</f>
        <v>1.4152546772159551E-4</v>
      </c>
      <c r="C71">
        <f>SUM('Mass Balance'!E71:H71)</f>
        <v>1.4998557051429113E-4</v>
      </c>
      <c r="D71">
        <f>Concentrations!F71/Concentrations!E71</f>
        <v>0.94728679146870576</v>
      </c>
    </row>
    <row r="72" spans="1:4">
      <c r="A72">
        <f>'Mass Balance'!I72</f>
        <v>7.0166845573931184E-8</v>
      </c>
      <c r="B72">
        <f>'Mass Balance'!E72</f>
        <v>5.8413806464983527E-7</v>
      </c>
      <c r="C72">
        <f>SUM('Mass Balance'!E72:H72)</f>
        <v>1.4992425694048217E-4</v>
      </c>
      <c r="D72">
        <f>Concentrations!F72/Concentrations!E72</f>
        <v>3.911469649028069E-3</v>
      </c>
    </row>
    <row r="73" spans="1:4">
      <c r="A73">
        <f>'Mass Balance'!I73</f>
        <v>8.5273059638066469E-9</v>
      </c>
      <c r="B73">
        <f>'Mass Balance'!E73</f>
        <v>5.4164292675077546E-6</v>
      </c>
      <c r="C73">
        <f>SUM('Mass Balance'!E73:H73)</f>
        <v>1.499869529071843E-4</v>
      </c>
      <c r="D73">
        <f>Concentrations!F73/Concentrations!E73</f>
        <v>3.6254002154393533E-2</v>
      </c>
    </row>
    <row r="74" spans="1:4">
      <c r="A74">
        <f>'Mass Balance'!I74</f>
        <v>9.4894163601094947E-9</v>
      </c>
      <c r="B74">
        <f>'Mass Balance'!E74</f>
        <v>1.4228965535702405E-4</v>
      </c>
      <c r="C74">
        <f>SUM('Mass Balance'!E74:H74)</f>
        <v>1.4998582339212049E-4</v>
      </c>
      <c r="D74">
        <f>Concentrations!F74/Concentrations!E74</f>
        <v>0.95240020044659923</v>
      </c>
    </row>
    <row r="75" spans="1:4">
      <c r="A75">
        <f>'Mass Balance'!I75</f>
        <v>8.6250956483954857E-9</v>
      </c>
      <c r="B75">
        <f>'Mass Balance'!E75</f>
        <v>6.4082808837244888E-6</v>
      </c>
      <c r="C75">
        <f>SUM('Mass Balance'!E75:H75)</f>
        <v>1.4998649362206928E-4</v>
      </c>
      <c r="D75">
        <f>Concentrations!F75/Concentrations!E75</f>
        <v>4.2892933501575733E-2</v>
      </c>
    </row>
    <row r="76" spans="1:4">
      <c r="A76">
        <f>'Mass Balance'!I76</f>
        <v>9.8941082956921366E-9</v>
      </c>
      <c r="B76">
        <f>'Mass Balance'!E76</f>
        <v>6.7196294074244406E-5</v>
      </c>
      <c r="C76">
        <f>SUM('Mass Balance'!E76:H76)</f>
        <v>1.4997878268258494E-4</v>
      </c>
      <c r="D76">
        <f>Concentrations!F76/Concentrations!E76</f>
        <v>0.44979213802343759</v>
      </c>
    </row>
    <row r="77" spans="1:4">
      <c r="A77">
        <f>'Mass Balance'!I77</f>
        <v>8.5554604746447262E-9</v>
      </c>
      <c r="B77">
        <f>'Mass Balance'!E77</f>
        <v>5.6836709828586113E-6</v>
      </c>
      <c r="C77">
        <f>SUM('Mass Balance'!E77:H77)</f>
        <v>1.499868091157912E-4</v>
      </c>
      <c r="D77">
        <f>Concentrations!F77/Concentrations!E77</f>
        <v>3.8042778263146559E-2</v>
      </c>
    </row>
    <row r="78" spans="1:4">
      <c r="A78">
        <f>'Mass Balance'!I78</f>
        <v>5.8788728390009747E-8</v>
      </c>
      <c r="B78">
        <f>'Mass Balance'!E78</f>
        <v>6.4791166148835338E-7</v>
      </c>
      <c r="C78">
        <f>SUM('Mass Balance'!E78:H78)</f>
        <v>1.4993592164776157E-4</v>
      </c>
      <c r="D78">
        <f>Concentrations!F78/Concentrations!E78</f>
        <v>4.3381689881233443E-3</v>
      </c>
    </row>
    <row r="79" spans="1:4">
      <c r="A79">
        <f>'Mass Balance'!I79</f>
        <v>5.8788630071147921E-8</v>
      </c>
      <c r="B79">
        <f>'Mass Balance'!E79</f>
        <v>6.4791170525980923E-7</v>
      </c>
      <c r="C79">
        <f>SUM('Mass Balance'!E79:H79)</f>
        <v>1.4993592266368221E-4</v>
      </c>
      <c r="D79">
        <f>Concentrations!F79/Concentrations!E79</f>
        <v>4.3381692518061638E-3</v>
      </c>
    </row>
    <row r="80" spans="1:4">
      <c r="A80">
        <f>'Mass Balance'!I80</f>
        <v>9.442385993401266E-9</v>
      </c>
      <c r="B80">
        <f>'Mass Balance'!E80</f>
        <v>2.5007529187164601E-5</v>
      </c>
      <c r="C80">
        <f>SUM('Mass Balance'!E80:H80)</f>
        <v>1.4998184267104675E-4</v>
      </c>
      <c r="D80">
        <f>Concentrations!F80/Concentrations!E80</f>
        <v>0.16738959617862062</v>
      </c>
    </row>
    <row r="81" spans="1:4">
      <c r="A81">
        <f>'Mass Balance'!I81</f>
        <v>9.7444554471268989E-9</v>
      </c>
      <c r="B81">
        <f>'Mass Balance'!E81</f>
        <v>1.2071030464200482E-4</v>
      </c>
      <c r="C81">
        <f>SUM('Mass Balance'!E81:H81)</f>
        <v>1.4998156430622719E-4</v>
      </c>
      <c r="D81">
        <f>Concentrations!F81/Concentrations!E81</f>
        <v>0.80798412745827086</v>
      </c>
    </row>
    <row r="82" spans="1:4">
      <c r="A82">
        <f>'Mass Balance'!I82</f>
        <v>9.8996837183796333E-9</v>
      </c>
      <c r="B82">
        <f>'Mass Balance'!E82</f>
        <v>9.1281791263777559E-5</v>
      </c>
      <c r="C82">
        <f>SUM('Mass Balance'!E82:H82)</f>
        <v>1.4997917641476662E-4</v>
      </c>
      <c r="D82">
        <f>Concentrations!F82/Concentrations!E82</f>
        <v>0.6110117356008371</v>
      </c>
    </row>
    <row r="83" spans="1:4">
      <c r="A83">
        <f>'Mass Balance'!I83</f>
        <v>1.141182787056316E-7</v>
      </c>
      <c r="B83">
        <f>'Mass Balance'!E83</f>
        <v>4.3914135972676989E-7</v>
      </c>
      <c r="C83">
        <f>SUM('Mass Balance'!E83:H83)</f>
        <v>1.4987943693313226E-4</v>
      </c>
      <c r="D83">
        <f>Concentrations!F83/Concentrations!E83</f>
        <v>2.941430908765281E-3</v>
      </c>
    </row>
    <row r="84" spans="1:4">
      <c r="A84">
        <f>'Mass Balance'!I84</f>
        <v>1.532346220889857E-7</v>
      </c>
      <c r="B84">
        <f>'Mass Balance'!E84</f>
        <v>5.2834373792534417E-5</v>
      </c>
      <c r="C84">
        <f>SUM('Mass Balance'!E84:H84)</f>
        <v>1.235580045761434E-4</v>
      </c>
      <c r="D84">
        <f>Concentrations!F84/Concentrations!E84</f>
        <v>0.42928136943734019</v>
      </c>
    </row>
    <row r="85" spans="1:4">
      <c r="A85">
        <f>'Mass Balance'!I85</f>
        <v>4.620505640246812E-6</v>
      </c>
      <c r="B85">
        <f>'Mass Balance'!E85</f>
        <v>8.227838612591861E-6</v>
      </c>
      <c r="C85">
        <f>SUM('Mass Balance'!E85:H85)</f>
        <v>1.443062970559521E-4</v>
      </c>
      <c r="D85">
        <f>Concentrations!F85/Concentrations!E85</f>
        <v>5.7239633469175169E-2</v>
      </c>
    </row>
    <row r="86" spans="1:4">
      <c r="A86">
        <f>'Mass Balance'!I86</f>
        <v>1.3554175473063189E-6</v>
      </c>
      <c r="B86">
        <f>'Mass Balance'!E86</f>
        <v>5.6619401914297578E-8</v>
      </c>
      <c r="C86">
        <f>SUM('Mass Balance'!E86:H86)</f>
        <v>1.4415849065975357E-4</v>
      </c>
      <c r="D86">
        <f>Concentrations!F86/Concentrations!E86</f>
        <v>3.9429513012256975E-4</v>
      </c>
    </row>
    <row r="87" spans="1:4">
      <c r="A87">
        <f>'Mass Balance'!I87</f>
        <v>1.5255817974452738E-6</v>
      </c>
      <c r="B87">
        <f>'Mass Balance'!E87</f>
        <v>1.9477909988282267E-8</v>
      </c>
      <c r="C87">
        <f>SUM('Mass Balance'!E87:H87)</f>
        <v>1.4547627216588048E-4</v>
      </c>
      <c r="D87">
        <f>Concentrations!F87/Concentrations!E87</f>
        <v>1.3441463378141344E-4</v>
      </c>
    </row>
    <row r="88" spans="1:4">
      <c r="A88">
        <f>'Mass Balance'!I88</f>
        <v>1.6384634239412701E-6</v>
      </c>
      <c r="B88">
        <f>'Mass Balance'!E88</f>
        <v>5.4335606154844437E-9</v>
      </c>
      <c r="C88">
        <f>SUM('Mass Balance'!E88:H88)</f>
        <v>1.4658067640817808E-4</v>
      </c>
      <c r="D88">
        <f>Concentrations!F88/Concentrations!E88</f>
        <v>3.7213811818105853E-5</v>
      </c>
    </row>
    <row r="89" spans="1:4">
      <c r="A89">
        <f>'Mass Balance'!I89</f>
        <v>2.6544141830377404E-5</v>
      </c>
      <c r="B89">
        <f>'Mass Balance'!E89</f>
        <v>2.9547185725461757E-7</v>
      </c>
      <c r="C89">
        <f>SUM('Mass Balance'!E89:H89)</f>
        <v>1.2189296691446572E-4</v>
      </c>
      <c r="D89">
        <f>Concentrations!F89/Concentrations!E89</f>
        <v>2.4335139283741215E-3</v>
      </c>
    </row>
    <row r="90" spans="1:4">
      <c r="A90">
        <f>'Mass Balance'!I90</f>
        <v>9.7254413936183523E-9</v>
      </c>
      <c r="B90">
        <f>'Mass Balance'!E90</f>
        <v>1.4819075556310262E-4</v>
      </c>
      <c r="C90">
        <f>SUM('Mass Balance'!E90:H90)</f>
        <v>1.4837708874426952E-4</v>
      </c>
      <c r="D90">
        <f>Concentrations!F90/Concentrations!E90</f>
        <v>1.0026529338867345</v>
      </c>
    </row>
    <row r="91" spans="1:4">
      <c r="A91">
        <f>'Mass Balance'!I91</f>
        <v>3.7245255715874487E-8</v>
      </c>
      <c r="B91">
        <f>'Mass Balance'!E91</f>
        <v>1.2257606585939856E-4</v>
      </c>
      <c r="C91">
        <f>SUM('Mass Balance'!E91:H91)</f>
        <v>1.3463036028620929E-4</v>
      </c>
      <c r="D91">
        <f>Concentrations!F91/Concentrations!E91</f>
        <v>0.91402701646221429</v>
      </c>
    </row>
    <row r="92" spans="1:4">
      <c r="A92">
        <f>'Mass Balance'!I92</f>
        <v>2.0872322525913094E-7</v>
      </c>
      <c r="B92">
        <f>'Mass Balance'!E92</f>
        <v>2.2854715281120868E-5</v>
      </c>
      <c r="C92">
        <f>SUM('Mass Balance'!E92:H92)</f>
        <v>1.2790175428773387E-4</v>
      </c>
      <c r="D92">
        <f>Concentrations!F92/Concentrations!E92</f>
        <v>0.17938894525213353</v>
      </c>
    </row>
    <row r="93" spans="1:4">
      <c r="A93">
        <f>'Mass Balance'!I93</f>
        <v>9.3458710422143751E-9</v>
      </c>
      <c r="B93">
        <f>'Mass Balance'!E93</f>
        <v>1.4932616170359377E-4</v>
      </c>
      <c r="C93">
        <f>SUM('Mass Balance'!E93:H93)</f>
        <v>1.4998097166657088E-4</v>
      </c>
      <c r="D93">
        <f>Concentrations!F93/Concentrations!E93</f>
        <v>0.99953061655693276</v>
      </c>
    </row>
    <row r="94" spans="1:4">
      <c r="A94">
        <f>'Mass Balance'!I94</f>
        <v>9.3842304516510505E-9</v>
      </c>
      <c r="B94">
        <f>'Mass Balance'!E94</f>
        <v>1.499878210943924E-4</v>
      </c>
      <c r="C94">
        <f>SUM('Mass Balance'!E94:H94)</f>
        <v>1.4999037081831352E-4</v>
      </c>
      <c r="D94">
        <f>Concentrations!F94/Concentrations!E94</f>
        <v>1.0038965912204807</v>
      </c>
    </row>
    <row r="95" spans="1:4">
      <c r="A95">
        <f>'Mass Balance'!I95</f>
        <v>1.1388328821730053E-8</v>
      </c>
      <c r="B95">
        <f>'Mass Balance'!E95</f>
        <v>1.4541527449685195E-4</v>
      </c>
      <c r="C95">
        <f>SUM('Mass Balance'!E95:H95)</f>
        <v>1.4619649013959202E-4</v>
      </c>
      <c r="D95">
        <f>Concentrations!F95/Concentrations!E95</f>
        <v>0.99854914344707946</v>
      </c>
    </row>
    <row r="96" spans="1:4">
      <c r="A96">
        <f>'Mass Balance'!I96</f>
        <v>1.2712878599228334E-6</v>
      </c>
      <c r="B96">
        <f>'Mass Balance'!E96</f>
        <v>8.2587644573223595E-8</v>
      </c>
      <c r="C96">
        <f>SUM('Mass Balance'!E96:H96)</f>
        <v>1.4362402488336335E-4</v>
      </c>
      <c r="D96">
        <f>Concentrations!F96/Concentrations!E96</f>
        <v>5.7727712584221193E-4</v>
      </c>
    </row>
    <row r="97" spans="1:4">
      <c r="A97">
        <f>'Mass Balance'!I97</f>
        <v>6.0853587821919937E-8</v>
      </c>
      <c r="B97">
        <f>'Mass Balance'!E97</f>
        <v>1.066512424735729E-4</v>
      </c>
      <c r="C97">
        <f>SUM('Mass Balance'!E97:H97)</f>
        <v>1.297043956432838E-4</v>
      </c>
      <c r="D97">
        <f>Concentrations!F97/Concentrations!E97</f>
        <v>0.82548196091787929</v>
      </c>
    </row>
    <row r="98" spans="1:4">
      <c r="A98">
        <f>'Mass Balance'!I98</f>
        <v>4.081896318748907E-8</v>
      </c>
      <c r="B98">
        <f>'Mass Balance'!E98</f>
        <v>1.2004931618501059E-4</v>
      </c>
      <c r="C98">
        <f>SUM('Mass Balance'!E98:H98)</f>
        <v>1.3373311492912601E-4</v>
      </c>
      <c r="D98">
        <f>Concentrations!F98/Concentrations!E98</f>
        <v>0.90119151188221702</v>
      </c>
    </row>
    <row r="99" spans="1:4">
      <c r="A99">
        <f>'Mass Balance'!I99</f>
        <v>1.6958683379205703E-8</v>
      </c>
      <c r="B99">
        <f>'Mass Balance'!E99</f>
        <v>1.3891381546302285E-4</v>
      </c>
      <c r="C99">
        <f>SUM('Mass Balance'!E99:H99)</f>
        <v>1.4203904579949733E-4</v>
      </c>
      <c r="D99">
        <f>Concentrations!F99/Concentrations!E99</f>
        <v>0.98182493204176779</v>
      </c>
    </row>
    <row r="100" spans="1:4">
      <c r="A100">
        <f>'Mass Balance'!I100</f>
        <v>6.3529343986880519E-7</v>
      </c>
      <c r="B100">
        <f>'Mass Balance'!E100</f>
        <v>5.4448258473991067E-7</v>
      </c>
      <c r="C100">
        <f>SUM('Mass Balance'!E100:H100)</f>
        <v>1.4144374529641369E-4</v>
      </c>
      <c r="D100">
        <f>Concentrations!F100/Concentrations!E100</f>
        <v>3.8645293340741366E-3</v>
      </c>
    </row>
    <row r="101" spans="1:4">
      <c r="A101">
        <f>'Mass Balance'!I101</f>
        <v>1.9110933667245649E-7</v>
      </c>
      <c r="B101">
        <f>'Mass Balance'!E101</f>
        <v>3.2418829585482795E-5</v>
      </c>
      <c r="C101">
        <f>SUM('Mass Balance'!E101:H101)</f>
        <v>1.2564811386434792E-4</v>
      </c>
      <c r="D101">
        <f>Concentrations!F101/Concentrations!E101</f>
        <v>0.25902263682185783</v>
      </c>
    </row>
    <row r="102" spans="1:4">
      <c r="A102">
        <f>'Mass Balance'!I102</f>
        <v>2.3511635822978786E-7</v>
      </c>
      <c r="B102">
        <f>'Mass Balance'!E102</f>
        <v>6.5684270478737476E-6</v>
      </c>
      <c r="C102">
        <f>SUM('Mass Balance'!E102:H102)</f>
        <v>1.3621039376863803E-4</v>
      </c>
      <c r="D102">
        <f>Concentrations!F102/Concentrations!E102</f>
        <v>4.8411383565722312E-2</v>
      </c>
    </row>
    <row r="103" spans="1:4">
      <c r="A103">
        <f>'Mass Balance'!I103</f>
        <v>9.6068675041656125E-9</v>
      </c>
      <c r="B103">
        <f>'Mass Balance'!E103</f>
        <v>1.3422182639754129E-4</v>
      </c>
      <c r="C103">
        <f>SUM('Mass Balance'!E103:H103)</f>
        <v>1.4998293866977318E-4</v>
      </c>
      <c r="D103">
        <f>Concentrations!F103/Concentrations!E103</f>
        <v>0.89841635177396051</v>
      </c>
    </row>
    <row r="104" spans="1:4">
      <c r="A104">
        <f>'Mass Balance'!I104</f>
        <v>1.3251284564042017E-8</v>
      </c>
      <c r="B104">
        <f>'Mass Balance'!E104</f>
        <v>1.6667478669630844E-6</v>
      </c>
      <c r="C104">
        <f>SUM('Mass Balance'!E104:H104)</f>
        <v>1.4994283769260161E-4</v>
      </c>
      <c r="D104">
        <f>Concentrations!F104/Concentrations!E104</f>
        <v>1.1159392286885951E-2</v>
      </c>
    </row>
    <row r="105" spans="1:4">
      <c r="A105">
        <f>'Mass Balance'!I105</f>
        <v>9.8256683517511173E-9</v>
      </c>
      <c r="B105">
        <f>'Mass Balance'!E105</f>
        <v>1.4784341560353261E-4</v>
      </c>
      <c r="C105">
        <f>SUM('Mass Balance'!E105:H105)</f>
        <v>1.4805145229106236E-4</v>
      </c>
      <c r="D105">
        <f>Concentrations!F105/Concentrations!E105</f>
        <v>1.0025029928797253</v>
      </c>
    </row>
    <row r="106" spans="1:4">
      <c r="A106">
        <f>'Mass Balance'!I106</f>
        <v>1.1537139413898729E-8</v>
      </c>
      <c r="B106">
        <f>'Mass Balance'!E106</f>
        <v>1.4516578460331913E-4</v>
      </c>
      <c r="C106">
        <f>SUM('Mass Balance'!E106:H106)</f>
        <v>1.4601289655149225E-4</v>
      </c>
      <c r="D106">
        <f>Concentrations!F106/Concentrations!E106</f>
        <v>0.99808932727434763</v>
      </c>
    </row>
    <row r="107" spans="1:4">
      <c r="A107">
        <f>'Mass Balance'!I107</f>
        <v>2.7294369266758542E-7</v>
      </c>
      <c r="B107">
        <f>'Mass Balance'!E107</f>
        <v>3.4196465475910602E-6</v>
      </c>
      <c r="C107">
        <f>SUM('Mass Balance'!E107:H107)</f>
        <v>1.4025717573512548E-4</v>
      </c>
      <c r="D107">
        <f>Concentrations!F107/Concentrations!E107</f>
        <v>2.4476679023712519E-2</v>
      </c>
    </row>
    <row r="108" spans="1:4">
      <c r="A108">
        <f>'Mass Balance'!I108</f>
        <v>9.3517960446953125E-9</v>
      </c>
      <c r="B108">
        <f>'Mass Balance'!E108</f>
        <v>1.4998577315247194E-4</v>
      </c>
      <c r="C108">
        <f>SUM('Mass Balance'!E108:H108)</f>
        <v>1.4998713028145492E-4</v>
      </c>
      <c r="D108">
        <f>Concentrations!F108/Concentrations!E108</f>
        <v>1.0039045732856162</v>
      </c>
    </row>
    <row r="109" spans="1:4">
      <c r="A109">
        <f>'Mass Balance'!I109</f>
        <v>1.2622648167311851E-7</v>
      </c>
      <c r="B109">
        <f>'Mass Balance'!E109</f>
        <v>1.3953063893384595E-4</v>
      </c>
      <c r="C109">
        <f>SUM('Mass Balance'!E109:H109)</f>
        <v>1.4870862249161853E-4</v>
      </c>
      <c r="D109">
        <f>Concentrations!F109/Concentrations!E109</f>
        <v>0.94195421656590006</v>
      </c>
    </row>
    <row r="110" spans="1:4">
      <c r="A110">
        <f>'Mass Balance'!I110</f>
        <v>9.3635836472843536E-9</v>
      </c>
      <c r="B110">
        <f>'Mass Balance'!E110</f>
        <v>1.4955295827362084E-4</v>
      </c>
      <c r="C110">
        <f>SUM('Mass Balance'!E110:H110)</f>
        <v>1.4959328063926582E-4</v>
      </c>
      <c r="D110">
        <f>Concentrations!F110/Concentrations!E110</f>
        <v>1.0036430554508318</v>
      </c>
    </row>
    <row r="111" spans="1:4">
      <c r="A111">
        <f>'Mass Balance'!I111</f>
        <v>9.3173877780752333E-9</v>
      </c>
      <c r="B111">
        <f>'Mass Balance'!E111</f>
        <v>1.4998792828884485E-4</v>
      </c>
      <c r="C111">
        <f>SUM('Mass Balance'!E111:H111)</f>
        <v>1.4999032699216256E-4</v>
      </c>
      <c r="D111">
        <f>Concentrations!F111/Concentrations!E111</f>
        <v>1.0038976020249863</v>
      </c>
    </row>
    <row r="112" spans="1:4">
      <c r="A112">
        <f>'Mass Balance'!I112</f>
        <v>9.3440890907228016E-9</v>
      </c>
      <c r="B112">
        <f>'Mass Balance'!E112</f>
        <v>1.4945818188810318E-4</v>
      </c>
      <c r="C112">
        <f>SUM('Mass Balance'!E112:H112)</f>
        <v>1.4947532849809801E-4</v>
      </c>
      <c r="D112">
        <f>Concentrations!F112/Concentrations!E112</f>
        <v>1.0037984960831403</v>
      </c>
    </row>
    <row r="113" spans="1:4">
      <c r="A113">
        <f>'Mass Balance'!I113</f>
        <v>1.047465036031522E-8</v>
      </c>
      <c r="B113">
        <f>'Mass Balance'!E113</f>
        <v>1.4657163797734119E-4</v>
      </c>
      <c r="C113">
        <f>SUM('Mass Balance'!E113:H113)</f>
        <v>1.4703462021600205E-4</v>
      </c>
      <c r="D113">
        <f>Concentrations!F113/Concentrations!E113</f>
        <v>1.0007525362272784</v>
      </c>
    </row>
    <row r="114" spans="1:4">
      <c r="A114">
        <f>'Mass Balance'!I114</f>
        <v>9.3190537545987606E-9</v>
      </c>
      <c r="B114">
        <f>'Mass Balance'!E114</f>
        <v>1.4971898528331077E-4</v>
      </c>
      <c r="C114">
        <f>SUM('Mass Balance'!E114:H114)</f>
        <v>1.4972409118005209E-4</v>
      </c>
      <c r="D114">
        <f>Concentrations!F114/Concentrations!E114</f>
        <v>1.0038794214981379</v>
      </c>
    </row>
    <row r="115" spans="1:4">
      <c r="A115">
        <f>'Mass Balance'!I115</f>
        <v>9.4252257612764868E-9</v>
      </c>
      <c r="B115">
        <f>'Mass Balance'!E115</f>
        <v>1.4586803227285912E-4</v>
      </c>
      <c r="C115">
        <f>SUM('Mass Balance'!E115:H115)</f>
        <v>1.4998629183427372E-4</v>
      </c>
      <c r="D115">
        <f>Concentrations!F115/Concentrations!E115</f>
        <v>0.97634862444837522</v>
      </c>
    </row>
    <row r="116" spans="1:4">
      <c r="A116">
        <f>'Mass Balance'!I116</f>
        <v>1.3052457898330016E-6</v>
      </c>
      <c r="B116">
        <f>'Mass Balance'!E116</f>
        <v>2.0260094414246111E-5</v>
      </c>
      <c r="C116">
        <f>SUM('Mass Balance'!E116:H116)</f>
        <v>1.4746955731877141E-4</v>
      </c>
      <c r="D116">
        <f>Concentrations!F116/Concentrations!E116</f>
        <v>0.13792260480320309</v>
      </c>
    </row>
    <row r="117" spans="1:4">
      <c r="A117">
        <f>'Mass Balance'!I117</f>
        <v>9.3689588179617282E-8</v>
      </c>
      <c r="B117">
        <f>'Mass Balance'!E117</f>
        <v>8.650361343257326E-5</v>
      </c>
      <c r="C117">
        <f>SUM('Mass Balance'!E117:H117)</f>
        <v>1.2564871208822206E-4</v>
      </c>
      <c r="D117">
        <f>Concentrations!F117/Concentrations!E117</f>
        <v>0.69115041023160828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0.98640901509696344</v>
      </c>
      <c r="M2" s="115">
        <v>0.91626945005267912</v>
      </c>
      <c r="N2" s="115">
        <v>1.1558769806032452</v>
      </c>
      <c r="O2" s="115">
        <v>0.82477545769930338</v>
      </c>
      <c r="P2" s="115">
        <v>0.95458177152650958</v>
      </c>
      <c r="Q2" s="111">
        <v>0.82477545769930338</v>
      </c>
      <c r="R2" s="68">
        <v>0.95458177152650958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0.64425179454590831</v>
      </c>
      <c r="M3" s="115">
        <v>10.763240270987735</v>
      </c>
      <c r="N3" s="115">
        <v>293.42812282251424</v>
      </c>
      <c r="O3" s="115">
        <v>2.9070004174561945</v>
      </c>
      <c r="P3" s="115">
        <v>2.6934028522109688</v>
      </c>
      <c r="Q3" s="111">
        <v>2.9070004174561945</v>
      </c>
      <c r="R3" s="68">
        <v>2.6934028522109688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1.1039749248622934</v>
      </c>
      <c r="M4" s="115">
        <v>1.0162644777880394</v>
      </c>
      <c r="N4" s="115">
        <v>3.0603024254551676</v>
      </c>
      <c r="O4" s="115">
        <v>0.82814929810530913</v>
      </c>
      <c r="P4" s="115">
        <v>0.96257595220103931</v>
      </c>
      <c r="Q4" s="111">
        <v>0.82814929810530913</v>
      </c>
      <c r="R4" s="68">
        <v>0.96257595220103931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0.55029946835499599</v>
      </c>
      <c r="M5" s="115">
        <v>0.9443453040072064</v>
      </c>
      <c r="N5" s="115">
        <v>45.018253439518944</v>
      </c>
      <c r="O5" s="115">
        <v>2.6274468493942491</v>
      </c>
      <c r="P5" s="115">
        <v>4.2954380367348257</v>
      </c>
      <c r="Q5" s="111">
        <v>2.6274468493942496</v>
      </c>
      <c r="R5" s="68">
        <v>4.2954380367348257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0.32681247236674027</v>
      </c>
      <c r="M6" s="115">
        <v>0.95542000193764687</v>
      </c>
      <c r="N6" s="115">
        <v>64.015457063677701</v>
      </c>
      <c r="O6" s="115">
        <v>3.509598980865817</v>
      </c>
      <c r="P6" s="115">
        <v>5.9380014464839368</v>
      </c>
      <c r="Q6" s="111">
        <v>3.5095989808658175</v>
      </c>
      <c r="R6" s="68">
        <v>5.9380014464839377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0.10883478122931216</v>
      </c>
      <c r="M7" s="115">
        <v>1.1483963091788425</v>
      </c>
      <c r="N7" s="115">
        <v>84.56902596588634</v>
      </c>
      <c r="O7" s="115">
        <v>4.3761394570378318</v>
      </c>
      <c r="P7" s="115">
        <v>7.5105125072549175</v>
      </c>
      <c r="Q7" s="111">
        <v>4.3761394570378318</v>
      </c>
      <c r="R7" s="68">
        <v>7.5105125072549184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0.23202450301476699</v>
      </c>
      <c r="M8" s="115">
        <v>0.92665092232246882</v>
      </c>
      <c r="N8" s="115">
        <v>70.320213168636712</v>
      </c>
      <c r="O8" s="115">
        <v>3.8775914058924759</v>
      </c>
      <c r="P8" s="115">
        <v>6.633234811661211</v>
      </c>
      <c r="Q8" s="111">
        <v>3.8775914058924763</v>
      </c>
      <c r="R8" s="68">
        <v>6.633234811661211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0.61655748368193208</v>
      </c>
      <c r="M9" s="115">
        <v>0.96052311499409027</v>
      </c>
      <c r="N9" s="115">
        <v>39.566617566884268</v>
      </c>
      <c r="O9" s="115">
        <v>2.3647778426040524</v>
      </c>
      <c r="P9" s="115">
        <v>3.8020499643232819</v>
      </c>
      <c r="Q9" s="111">
        <v>2.3647778426040524</v>
      </c>
      <c r="R9" s="68">
        <v>3.8020499643232823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1.1081446831339804E-2</v>
      </c>
      <c r="M10" s="115">
        <v>22.766217601695729</v>
      </c>
      <c r="N10" s="115">
        <v>734.75842330638443</v>
      </c>
      <c r="O10" s="115">
        <v>7.9612564837046556</v>
      </c>
      <c r="P10" s="115">
        <v>8.121589704755209</v>
      </c>
      <c r="Q10" s="111">
        <v>7.9612564837046556</v>
      </c>
      <c r="R10" s="68">
        <v>8.121589704755209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6.2729371972846412E-4</v>
      </c>
      <c r="M11" s="115">
        <v>100.3968589716626</v>
      </c>
      <c r="N11" s="115">
        <v>5414.32381031161</v>
      </c>
      <c r="O11" s="115">
        <v>21.978635665270428</v>
      </c>
      <c r="P11" s="115">
        <v>10.08865766956249</v>
      </c>
      <c r="Q11" s="111">
        <v>21.978635665270431</v>
      </c>
      <c r="R11" s="68">
        <v>10.08865766956249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0.93614791111077744</v>
      </c>
      <c r="M12" s="115">
        <v>0.83523495925297531</v>
      </c>
      <c r="N12" s="115">
        <v>6.2803341968949059E-2</v>
      </c>
      <c r="O12" s="115">
        <v>0.77374926486538176</v>
      </c>
      <c r="P12" s="115">
        <v>0.89912400401639769</v>
      </c>
      <c r="Q12" s="111">
        <v>0.77374926486538176</v>
      </c>
      <c r="R12" s="68">
        <v>0.8991240040163978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0.63508366489139434</v>
      </c>
      <c r="M13" s="115">
        <v>7.5589791873049013</v>
      </c>
      <c r="N13" s="115">
        <v>218.08256199146024</v>
      </c>
      <c r="O13" s="115">
        <v>2.6204416222571414</v>
      </c>
      <c r="P13" s="115">
        <v>2.4769664640246072</v>
      </c>
      <c r="Q13" s="111">
        <v>2.6204416222571418</v>
      </c>
      <c r="R13" s="68">
        <v>2.4769664640246076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8.9144617413054947E-3</v>
      </c>
      <c r="M14" s="115">
        <v>1.8740654361719842</v>
      </c>
      <c r="N14" s="115">
        <v>167.99522657659242</v>
      </c>
      <c r="O14" s="115">
        <v>4.9683466297139045</v>
      </c>
      <c r="P14" s="115">
        <v>8.323753775524537</v>
      </c>
      <c r="Q14" s="111">
        <v>4.9683466297139054</v>
      </c>
      <c r="R14" s="68">
        <v>8.323753775524537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0.83973830281646722</v>
      </c>
      <c r="M15" s="115">
        <v>1.7884379249615392</v>
      </c>
      <c r="N15" s="115">
        <v>32.038034603854101</v>
      </c>
      <c r="O15" s="115">
        <v>0.98672056840012756</v>
      </c>
      <c r="P15" s="115">
        <v>1.0507464281031298</v>
      </c>
      <c r="Q15" s="111">
        <v>0.98672056840012756</v>
      </c>
      <c r="R15" s="68">
        <v>1.0507464281031298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0.59693618819563321</v>
      </c>
      <c r="M16" s="115">
        <v>8.4478321045713933</v>
      </c>
      <c r="N16" s="115">
        <v>247.15490748680915</v>
      </c>
      <c r="O16" s="115">
        <v>2.878354781305696</v>
      </c>
      <c r="P16" s="115">
        <v>2.7097355187280101</v>
      </c>
      <c r="Q16" s="111">
        <v>2.878354781305696</v>
      </c>
      <c r="R16" s="68">
        <v>2.7097355187280101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0.61996995432941659</v>
      </c>
      <c r="M17" s="115">
        <v>7.8719820310303756</v>
      </c>
      <c r="N17" s="115">
        <v>228.36492774285543</v>
      </c>
      <c r="O17" s="115">
        <v>2.7102404988624254</v>
      </c>
      <c r="P17" s="115">
        <v>2.5575682692469761</v>
      </c>
      <c r="Q17" s="111">
        <v>2.7102404988624258</v>
      </c>
      <c r="R17" s="68">
        <v>2.5575682692469761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6.9567984227867903E-4</v>
      </c>
      <c r="M18" s="115">
        <v>115.46252759895378</v>
      </c>
      <c r="N18" s="115">
        <v>3838.21326180499</v>
      </c>
      <c r="O18" s="115">
        <v>23.148543608440072</v>
      </c>
      <c r="P18" s="115">
        <v>9.9157148291534245</v>
      </c>
      <c r="Q18" s="111">
        <v>23.148543608440072</v>
      </c>
      <c r="R18" s="68">
        <v>9.9157148291534245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0.94622112848565831</v>
      </c>
      <c r="M19" s="115">
        <v>1.192583178286966</v>
      </c>
      <c r="N19" s="115">
        <v>10.710851279797982</v>
      </c>
      <c r="O19" s="115">
        <v>0.87706971612070816</v>
      </c>
      <c r="P19" s="115">
        <v>0.98518543439988637</v>
      </c>
      <c r="Q19" s="111">
        <v>0.87706971612070816</v>
      </c>
      <c r="R19" s="68">
        <v>0.98518543439988648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0.9195151718946829</v>
      </c>
      <c r="M20" s="115">
        <v>1.4271330441097916</v>
      </c>
      <c r="N20" s="115">
        <v>18.668158465439397</v>
      </c>
      <c r="O20" s="115">
        <v>0.92795858599647529</v>
      </c>
      <c r="P20" s="115">
        <v>1.0206241988744789</v>
      </c>
      <c r="Q20" s="111">
        <v>0.92795858599647529</v>
      </c>
      <c r="R20" s="68">
        <v>1.0206241988744789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0.11089047380604072</v>
      </c>
      <c r="M21" s="115">
        <v>6.0621464406271697</v>
      </c>
      <c r="N21" s="115">
        <v>228.29558084015733</v>
      </c>
      <c r="O21" s="115">
        <v>4.8562338625538146</v>
      </c>
      <c r="P21" s="115">
        <v>7.1363498395093172</v>
      </c>
      <c r="Q21" s="111">
        <v>4.8562338625538146</v>
      </c>
      <c r="R21" s="68">
        <v>7.1363498395093172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0.93055592394481856</v>
      </c>
      <c r="M22" s="115">
        <v>0.89140468245549787</v>
      </c>
      <c r="N22" s="115">
        <v>1.9115029273818835</v>
      </c>
      <c r="O22" s="115">
        <v>0.78524236867296826</v>
      </c>
      <c r="P22" s="115">
        <v>0.90611112165222241</v>
      </c>
      <c r="Q22" s="111">
        <v>0.78524236867296826</v>
      </c>
      <c r="R22" s="68">
        <v>0.90611112165222241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0.81294419173000221</v>
      </c>
      <c r="M23" s="115">
        <v>2.4837695102289086</v>
      </c>
      <c r="N23" s="115">
        <v>54.342915373551094</v>
      </c>
      <c r="O23" s="115">
        <v>1.1749429667080651</v>
      </c>
      <c r="P23" s="115">
        <v>1.2077874397898407</v>
      </c>
      <c r="Q23" s="111">
        <v>1.1749429667080651</v>
      </c>
      <c r="R23" s="68">
        <v>1.2077874397898409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0.46959648027378625</v>
      </c>
      <c r="M24" s="115">
        <v>11.55098160882957</v>
      </c>
      <c r="N24" s="115">
        <v>348.89853914287261</v>
      </c>
      <c r="O24" s="115">
        <v>3.8001818653223567</v>
      </c>
      <c r="P24" s="115">
        <v>3.5592186739358627</v>
      </c>
      <c r="Q24" s="111">
        <v>3.8001818653223567</v>
      </c>
      <c r="R24" s="68">
        <v>3.5592186739358627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9.7319083130358453E-4</v>
      </c>
      <c r="M25" s="115">
        <v>106.30511917591615</v>
      </c>
      <c r="N25" s="115">
        <v>3524.067062392061</v>
      </c>
      <c r="O25" s="115">
        <v>21.632154243287683</v>
      </c>
      <c r="P25" s="115">
        <v>9.7140135007268427</v>
      </c>
      <c r="Q25" s="111">
        <v>21.632154243287683</v>
      </c>
      <c r="R25" s="68">
        <v>9.7140135007268427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0.16701348633458551</v>
      </c>
      <c r="M26" s="115">
        <v>16.487351181904209</v>
      </c>
      <c r="N26" s="115">
        <v>516.89802547985028</v>
      </c>
      <c r="O26" s="115">
        <v>5.3671351419422741</v>
      </c>
      <c r="P26" s="115">
        <v>5.1197608781418262</v>
      </c>
      <c r="Q26" s="111">
        <v>5.3671351419422741</v>
      </c>
      <c r="R26" s="68">
        <v>5.1197608781418262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1.9666015687876487E-2</v>
      </c>
      <c r="M27" s="115">
        <v>9.5787286181365481</v>
      </c>
      <c r="N27" s="115">
        <v>305.75214964670658</v>
      </c>
      <c r="O27" s="115">
        <v>3.239664792683842</v>
      </c>
      <c r="P27" s="115">
        <v>3.2151516330936372</v>
      </c>
      <c r="Q27" s="111">
        <v>3.2396647926838424</v>
      </c>
      <c r="R27" s="68">
        <v>3.2151516330936376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3.6903783238330511E-2</v>
      </c>
      <c r="M28" s="115">
        <v>4.9163092892375477</v>
      </c>
      <c r="N28" s="115">
        <v>154.80839246589403</v>
      </c>
      <c r="O28" s="115">
        <v>1.6084053828568665</v>
      </c>
      <c r="P28" s="115">
        <v>1.5446898824739503</v>
      </c>
      <c r="Q28" s="111">
        <v>1.6084053828568665</v>
      </c>
      <c r="R28" s="68">
        <v>1.5446898824739503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7.5006982696529126E-2</v>
      </c>
      <c r="M29" s="115">
        <v>0.1294028290557229</v>
      </c>
      <c r="N29" s="115">
        <v>1.9236166294297472</v>
      </c>
      <c r="O29" s="115">
        <v>7.9399954653852314E-2</v>
      </c>
      <c r="P29" s="115">
        <v>8.6388999492001226E-2</v>
      </c>
      <c r="Q29" s="111">
        <v>7.9399954653852314E-2</v>
      </c>
      <c r="R29" s="68">
        <v>8.6388999492001226E-2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1.534200761669113E-2</v>
      </c>
      <c r="M30" s="115">
        <v>1.9071506805877703</v>
      </c>
      <c r="N30" s="115">
        <v>59.996776378012569</v>
      </c>
      <c r="O30" s="115">
        <v>0.62313894803809067</v>
      </c>
      <c r="P30" s="115">
        <v>0.59749247135770622</v>
      </c>
      <c r="Q30" s="111">
        <v>0.62313894803809067</v>
      </c>
      <c r="R30" s="68">
        <v>0.59749247135770622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5.7688679021352372E-4</v>
      </c>
      <c r="M31" s="115">
        <v>3.3584764815949741E-2</v>
      </c>
      <c r="N31" s="115">
        <v>1.0425233881368565</v>
      </c>
      <c r="O31" s="115">
        <v>1.0886825193968688E-2</v>
      </c>
      <c r="P31" s="115">
        <v>1.027918352714219E-2</v>
      </c>
      <c r="Q31" s="111">
        <v>1.0886825193968689E-2</v>
      </c>
      <c r="R31" s="68">
        <v>1.0279183527142192E-2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0.67386689995979632</v>
      </c>
      <c r="M32" s="115">
        <v>6.620257853584393</v>
      </c>
      <c r="N32" s="115">
        <v>187.48289335121402</v>
      </c>
      <c r="O32" s="115">
        <v>2.3499140717034885</v>
      </c>
      <c r="P32" s="115">
        <v>2.2348962073960994</v>
      </c>
      <c r="Q32" s="111">
        <v>2.3499140717034885</v>
      </c>
      <c r="R32" s="68">
        <v>2.2348962073960998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0.81258914901279089</v>
      </c>
      <c r="M33" s="115">
        <v>3.6566807131636119</v>
      </c>
      <c r="N33" s="115">
        <v>90.837285839177923</v>
      </c>
      <c r="O33" s="115">
        <v>1.5225253534107246</v>
      </c>
      <c r="P33" s="115">
        <v>1.513978053082166</v>
      </c>
      <c r="Q33" s="111">
        <v>1.5225253534107246</v>
      </c>
      <c r="R33" s="68">
        <v>1.513978053082166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0.2128174148293924</v>
      </c>
      <c r="M34" s="115">
        <v>18.29963742964916</v>
      </c>
      <c r="N34" s="115">
        <v>572.40780145852978</v>
      </c>
      <c r="O34" s="115">
        <v>5.9467155142536852</v>
      </c>
      <c r="P34" s="115">
        <v>5.6560883330044485</v>
      </c>
      <c r="Q34" s="111">
        <v>5.9467155142536852</v>
      </c>
      <c r="R34" s="68">
        <v>5.6560883330044485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2.2796760737762007E-2</v>
      </c>
      <c r="M35" s="115">
        <v>22.27543100730216</v>
      </c>
      <c r="N35" s="115">
        <v>715.01251276677874</v>
      </c>
      <c r="O35" s="115">
        <v>7.7018205241362674</v>
      </c>
      <c r="P35" s="115">
        <v>7.7859686918257029</v>
      </c>
      <c r="Q35" s="111">
        <v>7.7018205241362674</v>
      </c>
      <c r="R35" s="68">
        <v>7.7859686918257029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4.9869296165188795E-3</v>
      </c>
      <c r="M36" s="115">
        <v>48.592621429933338</v>
      </c>
      <c r="N36" s="115">
        <v>1585.1733940057604</v>
      </c>
      <c r="O36" s="115">
        <v>12.157526683670625</v>
      </c>
      <c r="P36" s="115">
        <v>8.5670911877585141</v>
      </c>
      <c r="Q36" s="111">
        <v>12.157526683670627</v>
      </c>
      <c r="R36" s="68">
        <v>8.5670911877585141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7.6321286198327565E-4</v>
      </c>
      <c r="M37" s="115">
        <v>112.77470456343256</v>
      </c>
      <c r="N37" s="115">
        <v>3745.9947261006591</v>
      </c>
      <c r="O37" s="115">
        <v>22.694979317119316</v>
      </c>
      <c r="P37" s="115">
        <v>9.8411478161787436</v>
      </c>
      <c r="Q37" s="111">
        <v>22.694979317119316</v>
      </c>
      <c r="R37" s="68">
        <v>9.8411478161787436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2.7503076747640203E-3</v>
      </c>
      <c r="M38" s="115">
        <v>71.119101057485736</v>
      </c>
      <c r="N38" s="115">
        <v>2335.2302293818666</v>
      </c>
      <c r="O38" s="115">
        <v>15.841449532157377</v>
      </c>
      <c r="P38" s="115">
        <v>8.9930801688416473</v>
      </c>
      <c r="Q38" s="111">
        <v>15.841449532157378</v>
      </c>
      <c r="R38" s="68">
        <v>8.9930801688416491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4.1470609743277063E-3</v>
      </c>
      <c r="M39" s="115">
        <v>53.404655705668922</v>
      </c>
      <c r="N39" s="115">
        <v>1745.4187224058746</v>
      </c>
      <c r="O39" s="115">
        <v>12.847292425672041</v>
      </c>
      <c r="P39" s="115">
        <v>8.4820458776786811</v>
      </c>
      <c r="Q39" s="111">
        <v>12.847292425672043</v>
      </c>
      <c r="R39" s="68">
        <v>8.4820458776786811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2.7503076747640203E-3</v>
      </c>
      <c r="M40" s="115">
        <v>71.119101057485736</v>
      </c>
      <c r="N40" s="115">
        <v>2335.2302293818666</v>
      </c>
      <c r="O40" s="115">
        <v>15.841449532157377</v>
      </c>
      <c r="P40" s="115">
        <v>8.9930801688416473</v>
      </c>
      <c r="Q40" s="111">
        <v>15.841449532157378</v>
      </c>
      <c r="R40" s="68">
        <v>8.9930801688416491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0.95245926204612419</v>
      </c>
      <c r="M41" s="115">
        <v>0.90334377524408571</v>
      </c>
      <c r="N41" s="115">
        <v>5.4780271637152627</v>
      </c>
      <c r="O41" s="115">
        <v>1.0091165381142944</v>
      </c>
      <c r="P41" s="115">
        <v>1.2958824723733571</v>
      </c>
      <c r="Q41" s="111">
        <v>1.0091165381142944</v>
      </c>
      <c r="R41" s="68">
        <v>1.2958824723733573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6.9362878572657122E-4</v>
      </c>
      <c r="M42" s="115">
        <v>115.12211213861923</v>
      </c>
      <c r="N42" s="115">
        <v>3826.8971477240839</v>
      </c>
      <c r="O42" s="115">
        <v>23.080295300591551</v>
      </c>
      <c r="P42" s="115">
        <v>9.8864805598341459</v>
      </c>
      <c r="Q42" s="111">
        <v>23.080295300591555</v>
      </c>
      <c r="R42" s="68">
        <v>9.8864805598341476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0.43930045153038644</v>
      </c>
      <c r="M43" s="115">
        <v>12.363850440116185</v>
      </c>
      <c r="N43" s="115">
        <v>375.56394660314277</v>
      </c>
      <c r="O43" s="115">
        <v>4.0478393249645785</v>
      </c>
      <c r="P43" s="115">
        <v>3.7920035003430717</v>
      </c>
      <c r="Q43" s="111">
        <v>4.0478393249645785</v>
      </c>
      <c r="R43" s="68">
        <v>3.7920035003430717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7.4494066634784263E-3</v>
      </c>
      <c r="M44" s="115">
        <v>34.509823561815708</v>
      </c>
      <c r="N44" s="115">
        <v>1120.1000827876103</v>
      </c>
      <c r="O44" s="115">
        <v>9.8659522552314591</v>
      </c>
      <c r="P44" s="115">
        <v>8.3190463885970996</v>
      </c>
      <c r="Q44" s="111">
        <v>9.8659522552314591</v>
      </c>
      <c r="R44" s="68">
        <v>8.3190463885970996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3.0871411109742279E-4</v>
      </c>
      <c r="M45" s="115">
        <v>132.86542355576469</v>
      </c>
      <c r="N45" s="115">
        <v>4444.4844556140342</v>
      </c>
      <c r="O45" s="115">
        <v>26.042870439296788</v>
      </c>
      <c r="P45" s="115">
        <v>10.316356593224</v>
      </c>
      <c r="Q45" s="111">
        <v>26.042870439296788</v>
      </c>
      <c r="R45" s="68">
        <v>10.316356593224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6.2010019903025837E-4</v>
      </c>
      <c r="M46" s="115">
        <v>118.31844940182779</v>
      </c>
      <c r="N46" s="115">
        <v>3936.7641166900903</v>
      </c>
      <c r="O46" s="115">
        <v>23.622103964000011</v>
      </c>
      <c r="P46" s="115">
        <v>9.9794469009412978</v>
      </c>
      <c r="Q46" s="111">
        <v>23.622103964000011</v>
      </c>
      <c r="R46" s="68">
        <v>9.9794469009412978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1.389185648406712E-3</v>
      </c>
      <c r="M47" s="115">
        <v>95.336128343074819</v>
      </c>
      <c r="N47" s="115">
        <v>3150.7477157431995</v>
      </c>
      <c r="O47" s="115">
        <v>19.821757587519883</v>
      </c>
      <c r="P47" s="115">
        <v>9.4814857740909346</v>
      </c>
      <c r="Q47" s="111">
        <v>19.821757587519883</v>
      </c>
      <c r="R47" s="68">
        <v>9.4814857740909364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6.8402866101106796E-2</v>
      </c>
      <c r="M48" s="115">
        <v>21.949461172343831</v>
      </c>
      <c r="N48" s="115">
        <v>698.00074529295318</v>
      </c>
      <c r="O48" s="115">
        <v>7.3340171657762179</v>
      </c>
      <c r="P48" s="115">
        <v>7.1994286842467536</v>
      </c>
      <c r="Q48" s="111">
        <v>7.3340171657762188</v>
      </c>
      <c r="R48" s="68">
        <v>7.1994286842467536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6.9314993049961584E-3</v>
      </c>
      <c r="M49" s="115">
        <v>36.914071655365987</v>
      </c>
      <c r="N49" s="115">
        <v>1199.2787589350887</v>
      </c>
      <c r="O49" s="115">
        <v>10.257143588547102</v>
      </c>
      <c r="P49" s="115">
        <v>8.3614935106610044</v>
      </c>
      <c r="Q49" s="111">
        <v>10.257143588547102</v>
      </c>
      <c r="R49" s="68">
        <v>8.3614935106610062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6.1271380468467147E-3</v>
      </c>
      <c r="M50" s="115">
        <v>41.165374369508591</v>
      </c>
      <c r="N50" s="115">
        <v>1339.5131731031138</v>
      </c>
      <c r="O50" s="115">
        <v>10.948454631558915</v>
      </c>
      <c r="P50" s="115">
        <v>8.4356384003209932</v>
      </c>
      <c r="Q50" s="111">
        <v>10.948454631558917</v>
      </c>
      <c r="R50" s="68">
        <v>8.435638400320995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4.2913880338519853E-2</v>
      </c>
      <c r="M51" s="115">
        <v>22.408440508620092</v>
      </c>
      <c r="N51" s="115">
        <v>715.69765113712981</v>
      </c>
      <c r="O51" s="115">
        <v>7.5949050339421058</v>
      </c>
      <c r="P51" s="115">
        <v>7.5512963229903667</v>
      </c>
      <c r="Q51" s="111">
        <v>7.5949050339421067</v>
      </c>
      <c r="R51" s="68">
        <v>7.5512963229903667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6.5481644186122165E-2</v>
      </c>
      <c r="M52" s="115">
        <v>22.008888896135296</v>
      </c>
      <c r="N52" s="115">
        <v>700.19689266787498</v>
      </c>
      <c r="O52" s="115">
        <v>7.3634230200431547</v>
      </c>
      <c r="P52" s="115">
        <v>7.2370005300621001</v>
      </c>
      <c r="Q52" s="111">
        <v>7.3634230200431556</v>
      </c>
      <c r="R52" s="68">
        <v>7.2370005300621001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4.0718133500174053E-3</v>
      </c>
      <c r="M53" s="115">
        <v>56.221505228687903</v>
      </c>
      <c r="N53" s="115">
        <v>1838.3406521538232</v>
      </c>
      <c r="O53" s="115">
        <v>13.40381522784897</v>
      </c>
      <c r="P53" s="115">
        <v>8.7095081947491888</v>
      </c>
      <c r="Q53" s="111">
        <v>13.40381522784897</v>
      </c>
      <c r="R53" s="68">
        <v>8.7095081947491906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6.5202978041172472E-3</v>
      </c>
      <c r="M54" s="115">
        <v>39.001967640905342</v>
      </c>
      <c r="N54" s="115">
        <v>1268.1147984827185</v>
      </c>
      <c r="O54" s="115">
        <v>10.59670534300415</v>
      </c>
      <c r="P54" s="115">
        <v>8.3980160426789467</v>
      </c>
      <c r="Q54" s="111">
        <v>10.59670534300415</v>
      </c>
      <c r="R54" s="68">
        <v>8.3980160426789467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1.4376830317938279E-3</v>
      </c>
      <c r="M55" s="115">
        <v>94.183461078749914</v>
      </c>
      <c r="N55" s="115">
        <v>3111.6963285017132</v>
      </c>
      <c r="O55" s="115">
        <v>19.63091004396934</v>
      </c>
      <c r="P55" s="115">
        <v>9.455851597834906</v>
      </c>
      <c r="Q55" s="111">
        <v>19.63091004396934</v>
      </c>
      <c r="R55" s="68">
        <v>9.455851597834906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7.2739728565575481E-3</v>
      </c>
      <c r="M56" s="115">
        <v>35.299924728218514</v>
      </c>
      <c r="N56" s="115">
        <v>1146.1094464601395</v>
      </c>
      <c r="O56" s="115">
        <v>9.9946592234762655</v>
      </c>
      <c r="P56" s="115">
        <v>8.3332770748229983</v>
      </c>
      <c r="Q56" s="111">
        <v>9.9946592234762655</v>
      </c>
      <c r="R56" s="68">
        <v>8.3332770748230001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8.2802204919042152E-2</v>
      </c>
      <c r="M57" s="115">
        <v>21.569756756455941</v>
      </c>
      <c r="N57" s="115">
        <v>684.52306406712114</v>
      </c>
      <c r="O57" s="115">
        <v>7.1665341148074786</v>
      </c>
      <c r="P57" s="115">
        <v>6.9973280681199226</v>
      </c>
      <c r="Q57" s="111">
        <v>7.1665341148074786</v>
      </c>
      <c r="R57" s="68">
        <v>6.9973280681199226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6.440288281508999E-3</v>
      </c>
      <c r="M58" s="115">
        <v>39.428965304814248</v>
      </c>
      <c r="N58" s="115">
        <v>1282.2009172438411</v>
      </c>
      <c r="O58" s="115">
        <v>10.666170783630264</v>
      </c>
      <c r="P58" s="115">
        <v>8.4055178353296256</v>
      </c>
      <c r="Q58" s="111">
        <v>10.666170783630264</v>
      </c>
      <c r="R58" s="68">
        <v>8.4055178353296256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6.5489470254992535E-2</v>
      </c>
      <c r="M59" s="115">
        <v>22.011519298630571</v>
      </c>
      <c r="N59" s="115">
        <v>700.2805770220624</v>
      </c>
      <c r="O59" s="115">
        <v>7.364303062937509</v>
      </c>
      <c r="P59" s="115">
        <v>7.237865463514324</v>
      </c>
      <c r="Q59" s="111">
        <v>7.364303062937509</v>
      </c>
      <c r="R59" s="68">
        <v>7.2378654635143249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4.6033102731450086E-3</v>
      </c>
      <c r="M60" s="115">
        <v>51.565319800014329</v>
      </c>
      <c r="N60" s="115">
        <v>1683.72677997708</v>
      </c>
      <c r="O60" s="115">
        <v>12.642155738138879</v>
      </c>
      <c r="P60" s="115">
        <v>8.6208302331056981</v>
      </c>
      <c r="Q60" s="111">
        <v>12.64215573813888</v>
      </c>
      <c r="R60" s="68">
        <v>8.6208302331056981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0.66607381332177551</v>
      </c>
      <c r="M61" s="115">
        <v>39.39039347995012</v>
      </c>
      <c r="N61" s="115">
        <v>902.05055750520182</v>
      </c>
      <c r="O61" s="115">
        <v>4.9897136553344126</v>
      </c>
      <c r="P61" s="115">
        <v>5.0174721411599839</v>
      </c>
      <c r="Q61" s="111">
        <v>4.9897136553344126</v>
      </c>
      <c r="R61" s="68">
        <v>5.0174721411599839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0.22813649338247552</v>
      </c>
      <c r="M62" s="115">
        <v>17.893756868783711</v>
      </c>
      <c r="N62" s="115">
        <v>558.80044415926022</v>
      </c>
      <c r="O62" s="115">
        <v>5.8093970194309774</v>
      </c>
      <c r="P62" s="115">
        <v>5.5152122625420912</v>
      </c>
      <c r="Q62" s="111">
        <v>5.8093970194309774</v>
      </c>
      <c r="R62" s="68">
        <v>5.5152122625420912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2.2347940888078139</v>
      </c>
      <c r="M63" s="115">
        <v>5.8050871523576077</v>
      </c>
      <c r="N63" s="115">
        <v>114.24971982869947</v>
      </c>
      <c r="O63" s="115">
        <v>1.0865314972370856</v>
      </c>
      <c r="P63" s="115">
        <v>1.2162425188777164</v>
      </c>
      <c r="Q63" s="111">
        <v>1.0865314972370856</v>
      </c>
      <c r="R63" s="68">
        <v>1.2162425188777164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0.98327797008025586</v>
      </c>
      <c r="M64" s="115">
        <v>0.9142440430549873</v>
      </c>
      <c r="N64" s="115">
        <v>2.260745961927058</v>
      </c>
      <c r="O64" s="115">
        <v>0.8766065978641171</v>
      </c>
      <c r="P64" s="115">
        <v>1.0480597709555983</v>
      </c>
      <c r="Q64" s="111">
        <v>0.8766065978641171</v>
      </c>
      <c r="R64" s="68">
        <v>1.0480597709555983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1.3014704886616737</v>
      </c>
      <c r="M65" s="115">
        <v>1.2931873145951136</v>
      </c>
      <c r="N65" s="115">
        <v>9.5907182789835215</v>
      </c>
      <c r="O65" s="115">
        <v>0.83670137932799415</v>
      </c>
      <c r="P65" s="115">
        <v>0.97176703737023784</v>
      </c>
      <c r="Q65" s="111">
        <v>0.83670137932799415</v>
      </c>
      <c r="R65" s="68">
        <v>0.97176703737023795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2.9728014893699708</v>
      </c>
      <c r="M66" s="115">
        <v>38.821142992246564</v>
      </c>
      <c r="N66" s="115">
        <v>897.96576757058494</v>
      </c>
      <c r="O66" s="115">
        <v>2.1449288012211953</v>
      </c>
      <c r="P66" s="115">
        <v>2.6153275972213921</v>
      </c>
      <c r="Q66" s="111">
        <v>2.1449288012211953</v>
      </c>
      <c r="R66" s="68">
        <v>2.6153275972213921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1.2533415988810388</v>
      </c>
      <c r="M67" s="115">
        <v>1.2256230705954454</v>
      </c>
      <c r="N67" s="115">
        <v>7.9860980300411883</v>
      </c>
      <c r="O67" s="115">
        <v>0.83492549245151082</v>
      </c>
      <c r="P67" s="115">
        <v>0.96955691966640312</v>
      </c>
      <c r="Q67" s="111">
        <v>0.83492549245151093</v>
      </c>
      <c r="R67" s="68">
        <v>0.96955691966640312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1.0334911610047106</v>
      </c>
      <c r="M68" s="115">
        <v>0.93212807897565497</v>
      </c>
      <c r="N68" s="115">
        <v>1.0592274416621033</v>
      </c>
      <c r="O68" s="115">
        <v>0.82608410582348513</v>
      </c>
      <c r="P68" s="115">
        <v>0.9599493476746167</v>
      </c>
      <c r="Q68" s="111">
        <v>0.82608410582348524</v>
      </c>
      <c r="R68" s="68">
        <v>0.9599493476746167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8.2148110586003267E-3</v>
      </c>
      <c r="M69" s="115">
        <v>31.381198669354625</v>
      </c>
      <c r="N69" s="115">
        <v>1017.2033113214306</v>
      </c>
      <c r="O69" s="115">
        <v>9.3582579024952448</v>
      </c>
      <c r="P69" s="115">
        <v>8.266165802013683</v>
      </c>
      <c r="Q69" s="111">
        <v>9.3582579024952448</v>
      </c>
      <c r="R69" s="68">
        <v>8.266165802013683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0.96748175458486096</v>
      </c>
      <c r="M70" s="115">
        <v>0.89833931243228415</v>
      </c>
      <c r="N70" s="115">
        <v>3.7192102196285544</v>
      </c>
      <c r="O70" s="115">
        <v>0.94749156218566322</v>
      </c>
      <c r="P70" s="115">
        <v>1.182857158773041</v>
      </c>
      <c r="Q70" s="111">
        <v>0.94749156218566333</v>
      </c>
      <c r="R70" s="68">
        <v>1.1828571587730412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0.94187507921769154</v>
      </c>
      <c r="M71" s="115">
        <v>0.90494752494377595</v>
      </c>
      <c r="N71" s="115">
        <v>6.6487549034981708</v>
      </c>
      <c r="O71" s="115">
        <v>1.0525658354080685</v>
      </c>
      <c r="P71" s="115">
        <v>1.3760752149977431</v>
      </c>
      <c r="Q71" s="111">
        <v>1.0525658354080685</v>
      </c>
      <c r="R71" s="68">
        <v>1.3760752149977431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3.9456865754250179E-3</v>
      </c>
      <c r="M72" s="115">
        <v>6.6825567213267778</v>
      </c>
      <c r="N72" s="115">
        <v>656.71463831169501</v>
      </c>
      <c r="O72" s="115">
        <v>6.2682465245829535</v>
      </c>
      <c r="P72" s="115">
        <v>8.8368533586492344</v>
      </c>
      <c r="Q72" s="111">
        <v>6.2682465245829535</v>
      </c>
      <c r="R72" s="68">
        <v>8.8368533586492362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3.6563221402932E-2</v>
      </c>
      <c r="M73" s="115">
        <v>0.8121243775053949</v>
      </c>
      <c r="N73" s="115">
        <v>76.675084911015404</v>
      </c>
      <c r="O73" s="115">
        <v>4.6156016458009725</v>
      </c>
      <c r="P73" s="115">
        <v>8.0518588652335552</v>
      </c>
      <c r="Q73" s="111">
        <v>4.6156016458009725</v>
      </c>
      <c r="R73" s="68">
        <v>8.051858865233557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0.94686703718966414</v>
      </c>
      <c r="M74" s="115">
        <v>0.90375393905804691</v>
      </c>
      <c r="N74" s="115">
        <v>6.0874375225929489</v>
      </c>
      <c r="O74" s="115">
        <v>1.0321229827909359</v>
      </c>
      <c r="P74" s="115">
        <v>1.3384471051797773</v>
      </c>
      <c r="Q74" s="111">
        <v>1.0321229827909362</v>
      </c>
      <c r="R74" s="68">
        <v>1.3384471051797773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4.3253956440128742E-2</v>
      </c>
      <c r="M75" s="115">
        <v>0.82143768079956991</v>
      </c>
      <c r="N75" s="115">
        <v>77.012767214237471</v>
      </c>
      <c r="O75" s="115">
        <v>4.5918685140833677</v>
      </c>
      <c r="P75" s="115">
        <v>8.0039956465648405</v>
      </c>
      <c r="Q75" s="111">
        <v>4.5918685140833677</v>
      </c>
      <c r="R75" s="68">
        <v>8.0039956465648405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0.45081670097215476</v>
      </c>
      <c r="M76" s="115">
        <v>0.94229602816115565</v>
      </c>
      <c r="N76" s="115">
        <v>53.531701404010555</v>
      </c>
      <c r="O76" s="115">
        <v>3.0209985715196264</v>
      </c>
      <c r="P76" s="115">
        <v>5.0295595998796232</v>
      </c>
      <c r="Q76" s="111">
        <v>3.0209985715196264</v>
      </c>
      <c r="R76" s="68">
        <v>5.0295595998796232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3.8366078983846107E-2</v>
      </c>
      <c r="M77" s="115">
        <v>0.8148057594899738</v>
      </c>
      <c r="N77" s="115">
        <v>76.781157378048206</v>
      </c>
      <c r="O77" s="115">
        <v>4.6092477075468015</v>
      </c>
      <c r="P77" s="115">
        <v>8.0389747416094188</v>
      </c>
      <c r="Q77" s="111">
        <v>4.6092477075468015</v>
      </c>
      <c r="R77" s="68">
        <v>8.0389747416094188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4.3764457636553018E-3</v>
      </c>
      <c r="M78" s="115">
        <v>5.5989265133342609</v>
      </c>
      <c r="N78" s="115">
        <v>550.11943233942793</v>
      </c>
      <c r="O78" s="115">
        <v>5.9850018004417898</v>
      </c>
      <c r="P78" s="115">
        <v>8.73261923501917</v>
      </c>
      <c r="Q78" s="111">
        <v>5.9850018004417906</v>
      </c>
      <c r="R78" s="68">
        <v>8.73261923501917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4.3764461434671704E-3</v>
      </c>
      <c r="M79" s="115">
        <v>5.5989171496331354</v>
      </c>
      <c r="N79" s="115">
        <v>550.11916668876586</v>
      </c>
      <c r="O79" s="115">
        <v>5.9850006552214658</v>
      </c>
      <c r="P79" s="115">
        <v>8.7326195030740656</v>
      </c>
      <c r="Q79" s="111">
        <v>5.9850006552214658</v>
      </c>
      <c r="R79" s="68">
        <v>8.7326195030740656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0.16847079587134958</v>
      </c>
      <c r="M80" s="115">
        <v>0.8992748565144062</v>
      </c>
      <c r="N80" s="115">
        <v>73.840048595568618</v>
      </c>
      <c r="O80" s="115">
        <v>4.1217822071144363</v>
      </c>
      <c r="P80" s="115">
        <v>7.0976124976929871</v>
      </c>
      <c r="Q80" s="111">
        <v>4.1217822071144363</v>
      </c>
      <c r="R80" s="68">
        <v>7.097612497692988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0.8053441819144016</v>
      </c>
      <c r="M81" s="115">
        <v>0.92804337591684727</v>
      </c>
      <c r="N81" s="115">
        <v>21.018684701837753</v>
      </c>
      <c r="O81" s="115">
        <v>1.6070328241331826</v>
      </c>
      <c r="P81" s="115">
        <v>2.4002726145203259</v>
      </c>
      <c r="Q81" s="111">
        <v>1.6070328241331826</v>
      </c>
      <c r="R81" s="68">
        <v>2.4002726145203259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0.61092484563961302</v>
      </c>
      <c r="M82" s="115">
        <v>0.94282702079806013</v>
      </c>
      <c r="N82" s="115">
        <v>39.580848889081295</v>
      </c>
      <c r="O82" s="115">
        <v>2.3863850844923173</v>
      </c>
      <c r="P82" s="115">
        <v>3.8467805125330554</v>
      </c>
      <c r="Q82" s="111">
        <v>2.3863850844923173</v>
      </c>
      <c r="R82" s="68">
        <v>3.8467805125330554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2.9662911294081997E-3</v>
      </c>
      <c r="M83" s="115">
        <v>10.868407495774436</v>
      </c>
      <c r="N83" s="115">
        <v>1068.4286662221339</v>
      </c>
      <c r="O83" s="115">
        <v>7.3597298416318333</v>
      </c>
      <c r="P83" s="115">
        <v>9.2345515674310938</v>
      </c>
      <c r="Q83" s="111">
        <v>7.3597298416318333</v>
      </c>
      <c r="R83" s="68">
        <v>9.2345515674310956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0.35296163207036829</v>
      </c>
      <c r="M84" s="115">
        <v>14.593773532284349</v>
      </c>
      <c r="N84" s="115">
        <v>449.09856530927868</v>
      </c>
      <c r="O84" s="115">
        <v>4.7390147774864051</v>
      </c>
      <c r="P84" s="115">
        <v>4.4527127880157851</v>
      </c>
      <c r="Q84" s="111">
        <v>4.7390147774864051</v>
      </c>
      <c r="R84" s="68">
        <v>4.4527127880157851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0.22266158054117796</v>
      </c>
      <c r="M85" s="115">
        <v>440.04815621398211</v>
      </c>
      <c r="N85" s="115">
        <v>10378.695466953177</v>
      </c>
      <c r="O85" s="115">
        <v>10.306060131752124</v>
      </c>
      <c r="P85" s="115">
        <v>9.2848813102882808</v>
      </c>
      <c r="Q85" s="111">
        <v>10.306060131752124</v>
      </c>
      <c r="R85" s="68">
        <v>9.2848813102882826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3.7840935449060724E-4</v>
      </c>
      <c r="M86" s="115">
        <v>129.08738545774463</v>
      </c>
      <c r="N86" s="115">
        <v>4311.519758977156</v>
      </c>
      <c r="O86" s="115">
        <v>25.412594134598788</v>
      </c>
      <c r="P86" s="115">
        <v>10.226652852381608</v>
      </c>
      <c r="Q86" s="111">
        <v>25.412594134598788</v>
      </c>
      <c r="R86" s="68">
        <v>10.22665285238161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1.3018392469364579E-4</v>
      </c>
      <c r="M87" s="115">
        <v>145.29350451859747</v>
      </c>
      <c r="N87" s="115">
        <v>4890.659844425456</v>
      </c>
      <c r="O87" s="115">
        <v>28.127059956628553</v>
      </c>
      <c r="P87" s="115">
        <v>10.626000752717617</v>
      </c>
      <c r="Q87" s="111">
        <v>28.127059956628553</v>
      </c>
      <c r="R87" s="68">
        <v>10.626000752717619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3.6317885181196271E-5</v>
      </c>
      <c r="M88" s="115">
        <v>156.04413561345427</v>
      </c>
      <c r="N88" s="115">
        <v>5298.9475348293709</v>
      </c>
      <c r="O88" s="115">
        <v>29.954623910634481</v>
      </c>
      <c r="P88" s="115">
        <v>10.925581307106803</v>
      </c>
      <c r="Q88" s="111">
        <v>29.954623910634481</v>
      </c>
      <c r="R88" s="68">
        <v>10.925581307106803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7.5830457046224741E-3</v>
      </c>
      <c r="M89" s="115">
        <v>2528.0135076549905</v>
      </c>
      <c r="N89" s="115">
        <v>59438.921234155401</v>
      </c>
      <c r="O89" s="115">
        <v>45.40796915478446</v>
      </c>
      <c r="P89" s="115">
        <v>15.668521495023267</v>
      </c>
      <c r="Q89" s="111">
        <v>45.40796915478446</v>
      </c>
      <c r="R89" s="68">
        <v>15.668521495023267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0.9853193908392468</v>
      </c>
      <c r="M90" s="115">
        <v>0.92623251367793813</v>
      </c>
      <c r="N90" s="115">
        <v>1.5029183379990705</v>
      </c>
      <c r="O90" s="115">
        <v>0.82610566702925836</v>
      </c>
      <c r="P90" s="115">
        <v>0.95539885293883098</v>
      </c>
      <c r="Q90" s="111">
        <v>0.82610566702925847</v>
      </c>
      <c r="R90" s="68">
        <v>0.95539885293883098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0.81805183161036432</v>
      </c>
      <c r="M91" s="115">
        <v>3.5471672110356649</v>
      </c>
      <c r="N91" s="115">
        <v>87.271166628884444</v>
      </c>
      <c r="O91" s="115">
        <v>1.4927589183296899</v>
      </c>
      <c r="P91" s="115">
        <v>1.4886912545605506</v>
      </c>
      <c r="Q91" s="111">
        <v>1.4927589183296899</v>
      </c>
      <c r="R91" s="68">
        <v>1.4886912545605506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0.15269914743232338</v>
      </c>
      <c r="M92" s="115">
        <v>19.878402405631515</v>
      </c>
      <c r="N92" s="115">
        <v>625.75008686958552</v>
      </c>
      <c r="O92" s="115">
        <v>6.5005310748939413</v>
      </c>
      <c r="P92" s="115">
        <v>6.2396564087213235</v>
      </c>
      <c r="Q92" s="111">
        <v>6.5005310748939413</v>
      </c>
      <c r="R92" s="68">
        <v>6.2396564087213244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0.99272016932195917</v>
      </c>
      <c r="M93" s="115">
        <v>0.89008295640136881</v>
      </c>
      <c r="N93" s="115">
        <v>0.62190199949321801</v>
      </c>
      <c r="O93" s="115">
        <v>0.84289492014203493</v>
      </c>
      <c r="P93" s="115">
        <v>0.99125481095459089</v>
      </c>
      <c r="Q93" s="111">
        <v>0.84289492014203493</v>
      </c>
      <c r="R93" s="68">
        <v>0.991254810954591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1.0024951900473189</v>
      </c>
      <c r="M94" s="115">
        <v>0.89373623349057607</v>
      </c>
      <c r="N94" s="115">
        <v>0.15149113212377541</v>
      </c>
      <c r="O94" s="115">
        <v>0.82514533923393618</v>
      </c>
      <c r="P94" s="115">
        <v>0.95907629371990211</v>
      </c>
      <c r="Q94" s="111">
        <v>0.82514533923393629</v>
      </c>
      <c r="R94" s="68">
        <v>0.95907629371990211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0.97668963698913247</v>
      </c>
      <c r="M95" s="115">
        <v>1.0846027449266715</v>
      </c>
      <c r="N95" s="115">
        <v>6.599485336235503</v>
      </c>
      <c r="O95" s="115">
        <v>0.85023191711898827</v>
      </c>
      <c r="P95" s="115">
        <v>0.96716308139326446</v>
      </c>
      <c r="Q95" s="111">
        <v>0.85023191711898827</v>
      </c>
      <c r="R95" s="68">
        <v>0.96716308139326446</v>
      </c>
    </row>
    <row r="96" spans="1:18">
      <c r="A96" s="102" t="s">
        <v>437</v>
      </c>
      <c r="B96" s="168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5.5195646009450951E-4</v>
      </c>
      <c r="M96" s="115">
        <v>121.07503427836508</v>
      </c>
      <c r="N96" s="115">
        <v>4032.1825269604869</v>
      </c>
      <c r="O96" s="115">
        <v>24.079756655096176</v>
      </c>
      <c r="P96" s="115">
        <v>10.041811308244755</v>
      </c>
      <c r="Q96" s="111">
        <v>24.07975665509618</v>
      </c>
      <c r="R96" s="68">
        <v>10.041811308244755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0.712130559179322</v>
      </c>
      <c r="M97" s="115">
        <v>5.7955797925638031</v>
      </c>
      <c r="N97" s="115">
        <v>160.528084143672</v>
      </c>
      <c r="O97" s="115">
        <v>2.1164788578168547</v>
      </c>
      <c r="P97" s="115">
        <v>2.0286475902290211</v>
      </c>
      <c r="Q97" s="111">
        <v>2.1164788578168547</v>
      </c>
      <c r="R97" s="68">
        <v>2.0286475902290211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0.80127944244648719</v>
      </c>
      <c r="M98" s="115">
        <v>3.8875203035703869</v>
      </c>
      <c r="N98" s="115">
        <v>98.352361909270016</v>
      </c>
      <c r="O98" s="115">
        <v>1.5855481437386565</v>
      </c>
      <c r="P98" s="115">
        <v>1.5677213667786192</v>
      </c>
      <c r="Q98" s="111">
        <v>1.5855481437386565</v>
      </c>
      <c r="R98" s="68">
        <v>1.5677213667786192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0.9256491715553401</v>
      </c>
      <c r="M99" s="115">
        <v>1.6151127027814953</v>
      </c>
      <c r="N99" s="115">
        <v>24.300238899642885</v>
      </c>
      <c r="O99" s="115">
        <v>0.98506376250688443</v>
      </c>
      <c r="P99" s="115">
        <v>1.070531001771466</v>
      </c>
      <c r="Q99" s="111">
        <v>0.98506376250688454</v>
      </c>
      <c r="R99" s="68">
        <v>1.0705310017714662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3.6385960678733589E-3</v>
      </c>
      <c r="M100" s="115">
        <v>60.504137130362402</v>
      </c>
      <c r="N100" s="115">
        <v>1980.838628664628</v>
      </c>
      <c r="O100" s="115">
        <v>14.103997431128178</v>
      </c>
      <c r="P100" s="115">
        <v>8.7902139648214188</v>
      </c>
      <c r="Q100" s="111">
        <v>14.103997431128178</v>
      </c>
      <c r="R100" s="68">
        <v>8.7902139648214188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0.21659237941472526</v>
      </c>
      <c r="M101" s="115">
        <v>18.200889206900616</v>
      </c>
      <c r="N101" s="115">
        <v>569.09193996472914</v>
      </c>
      <c r="O101" s="115">
        <v>5.913140070931691</v>
      </c>
      <c r="P101" s="115">
        <v>5.6215003246295323</v>
      </c>
      <c r="Q101" s="111">
        <v>5.913140070931691</v>
      </c>
      <c r="R101" s="68">
        <v>5.6215003246295332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4.3888853515186586E-2</v>
      </c>
      <c r="M102" s="115">
        <v>22.392034117122648</v>
      </c>
      <c r="N102" s="115">
        <v>715.03365584592814</v>
      </c>
      <c r="O102" s="115">
        <v>7.5839765294110686</v>
      </c>
      <c r="P102" s="115">
        <v>7.5358120477428638</v>
      </c>
      <c r="Q102" s="111">
        <v>7.5839765294110695</v>
      </c>
      <c r="R102" s="68">
        <v>7.5358120477428638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0.894082611038303</v>
      </c>
      <c r="M103" s="115">
        <v>0.91493976230148666</v>
      </c>
      <c r="N103" s="115">
        <v>11.864081646428694</v>
      </c>
      <c r="O103" s="115">
        <v>1.2475495655166826</v>
      </c>
      <c r="P103" s="115">
        <v>1.7355373984119606</v>
      </c>
      <c r="Q103" s="111">
        <v>1.2475495655166826</v>
      </c>
      <c r="R103" s="68">
        <v>1.7355373984119609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1.1241745580017511E-2</v>
      </c>
      <c r="M104" s="115">
        <v>1.2620271013373348</v>
      </c>
      <c r="N104" s="115">
        <v>112.65295348416362</v>
      </c>
      <c r="O104" s="115">
        <v>4.8100858993981594</v>
      </c>
      <c r="P104" s="115">
        <v>8.2584140610167562</v>
      </c>
      <c r="Q104" s="111">
        <v>4.8100858993981594</v>
      </c>
      <c r="R104" s="68">
        <v>8.2584140610167562</v>
      </c>
    </row>
    <row r="105" spans="1:18">
      <c r="A105" s="102" t="s">
        <v>455</v>
      </c>
      <c r="B105" s="168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0.98306447396370511</v>
      </c>
      <c r="M105" s="115">
        <v>0.93577793826201117</v>
      </c>
      <c r="N105" s="115">
        <v>1.8390227029389217</v>
      </c>
      <c r="O105" s="115">
        <v>0.82797106833680156</v>
      </c>
      <c r="P105" s="115">
        <v>0.95600219620310734</v>
      </c>
      <c r="Q105" s="111">
        <v>0.82797106833680156</v>
      </c>
      <c r="R105" s="68">
        <v>0.95600219620310734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0.97372159607432507</v>
      </c>
      <c r="M106" s="115">
        <v>1.0987751822760694</v>
      </c>
      <c r="N106" s="115">
        <v>7.1060649714676396</v>
      </c>
      <c r="O106" s="115">
        <v>0.85309827954817008</v>
      </c>
      <c r="P106" s="115">
        <v>0.96885175473273277</v>
      </c>
      <c r="Q106" s="111">
        <v>0.85309827954817008</v>
      </c>
      <c r="R106" s="68">
        <v>0.96885175473273277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2.6230535422415876E-2</v>
      </c>
      <c r="M107" s="115">
        <v>25.994637396912893</v>
      </c>
      <c r="N107" s="115">
        <v>760.6550769636392</v>
      </c>
      <c r="O107" s="115">
        <v>7.1429022147317625</v>
      </c>
      <c r="P107" s="115">
        <v>7.1874441069111477</v>
      </c>
      <c r="Q107" s="111">
        <v>7.1429022147317625</v>
      </c>
      <c r="R107" s="68">
        <v>7.1874441069111477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0.99981812388445646</v>
      </c>
      <c r="M108" s="115">
        <v>0.89064724235193427</v>
      </c>
      <c r="N108" s="115">
        <v>7.8411481421911247E-2</v>
      </c>
      <c r="O108" s="115">
        <v>0.82505130814945904</v>
      </c>
      <c r="P108" s="115">
        <v>0.95896745096436364</v>
      </c>
      <c r="Q108" s="111">
        <v>0.82505130814945915</v>
      </c>
      <c r="R108" s="68">
        <v>0.95896745096436375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2.9726844359263587</v>
      </c>
      <c r="M109" s="115">
        <v>12.021569683154141</v>
      </c>
      <c r="N109" s="115">
        <v>262.43658612739046</v>
      </c>
      <c r="O109" s="115">
        <v>1.23312761028801</v>
      </c>
      <c r="P109" s="115">
        <v>1.4339343332649395</v>
      </c>
      <c r="Q109" s="111">
        <v>1.23312761028801</v>
      </c>
      <c r="R109" s="68">
        <v>1.4339343332649395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0.99415579971729373</v>
      </c>
      <c r="M110" s="115">
        <v>0.89176987116993833</v>
      </c>
      <c r="N110" s="115">
        <v>0.22357637959088786</v>
      </c>
      <c r="O110" s="115">
        <v>0.82416925774069483</v>
      </c>
      <c r="P110" s="115">
        <v>0.9575455651570447</v>
      </c>
      <c r="Q110" s="111">
        <v>0.82416925774069483</v>
      </c>
      <c r="R110" s="68">
        <v>0.95754556515704481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0.99700739084380963</v>
      </c>
      <c r="M111" s="115">
        <v>0.88737026457859358</v>
      </c>
      <c r="N111" s="115">
        <v>3.2454841582696611E-3</v>
      </c>
      <c r="O111" s="115">
        <v>0.82505359137891432</v>
      </c>
      <c r="P111" s="115">
        <v>0.95902175777277476</v>
      </c>
      <c r="Q111" s="111">
        <v>0.82505359137891432</v>
      </c>
      <c r="R111" s="68">
        <v>0.95902175777277476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0.99351599265805579</v>
      </c>
      <c r="M112" s="115">
        <v>0.88991324673550476</v>
      </c>
      <c r="N112" s="115">
        <v>0.16900704100923356</v>
      </c>
      <c r="O112" s="115">
        <v>0.82216848048894098</v>
      </c>
      <c r="P112" s="115">
        <v>0.95499807323966135</v>
      </c>
      <c r="Q112" s="111">
        <v>0.82216848048894098</v>
      </c>
      <c r="R112" s="68">
        <v>0.95499807323966135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0.97492215005186789</v>
      </c>
      <c r="M113" s="115">
        <v>0.99758574860144944</v>
      </c>
      <c r="N113" s="115">
        <v>3.9456180754844654</v>
      </c>
      <c r="O113" s="115">
        <v>0.83984379306847856</v>
      </c>
      <c r="P113" s="115">
        <v>0.96293784002684302</v>
      </c>
      <c r="Q113" s="111">
        <v>0.83984379306847856</v>
      </c>
      <c r="R113" s="68">
        <v>0.96293784002684302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0.99522858620513677</v>
      </c>
      <c r="M114" s="115">
        <v>0.88752892900940561</v>
      </c>
      <c r="N114" s="115">
        <v>5.2418712529458025E-2</v>
      </c>
      <c r="O114" s="115">
        <v>0.82257508818604785</v>
      </c>
      <c r="P114" s="115">
        <v>0.95590698862910273</v>
      </c>
      <c r="Q114" s="111">
        <v>0.82257508818604785</v>
      </c>
      <c r="R114" s="68">
        <v>0.95590698862910273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0.9702157385882999</v>
      </c>
      <c r="M115" s="115">
        <v>0.89764054869299859</v>
      </c>
      <c r="N115" s="115">
        <v>3.3996964500447171</v>
      </c>
      <c r="O115" s="115">
        <v>0.93622302659998902</v>
      </c>
      <c r="P115" s="115">
        <v>1.1621468497840592</v>
      </c>
      <c r="Q115" s="111">
        <v>0.93622302659998902</v>
      </c>
      <c r="R115" s="68">
        <v>1.1621468497840595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0.53389290268421374</v>
      </c>
      <c r="M116" s="115">
        <v>124.30912284123823</v>
      </c>
      <c r="N116" s="115">
        <v>2922.8974564002247</v>
      </c>
      <c r="O116" s="115">
        <v>5.8339526253410332</v>
      </c>
      <c r="P116" s="115">
        <v>7.5862398220614802</v>
      </c>
      <c r="Q116" s="111">
        <v>5.8339526253410341</v>
      </c>
      <c r="R116" s="68">
        <v>7.5862398220614802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0.57776453548461248</v>
      </c>
      <c r="M117" s="115">
        <v>8.9228179218683117</v>
      </c>
      <c r="N117" s="115">
        <v>262.67536987655529</v>
      </c>
      <c r="O117" s="115">
        <v>3.0176682744124794</v>
      </c>
      <c r="P117" s="115">
        <v>2.836458871486387</v>
      </c>
      <c r="Q117" s="111">
        <v>3.0176682744124794</v>
      </c>
      <c r="R117" s="68">
        <v>2.836458871486387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8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8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2025-02-02T13:44:01Z</dcterms:modified>
</cp:coreProperties>
</file>