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1010A6E2-9438-45FA-8C48-D37873F23F98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<sst xmlns="http://schemas.openxmlformats.org/spreadsheetml/2006/main" count="2915" uniqueCount="495">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</sst>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7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0.02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0.02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1.3333333333333334E-4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1.5256164244823477E-5</v>
      </c>
      <c r="J2" s="67" t="s">
        <v>231</v>
      </c>
      <c r="K2" s="68">
        <v>2.6801590616491199E-3</v>
      </c>
      <c r="L2" s="67" t="s">
        <v>231</v>
      </c>
      <c r="M2" s="68">
        <v>5.9042690847369274E-2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1.0612003514815973E-3</v>
      </c>
      <c r="J3" s="67" t="s">
        <v>231</v>
      </c>
      <c r="K3" s="68">
        <v>0.11428882464908122</v>
      </c>
      <c r="L3" s="67" t="s">
        <v>231</v>
      </c>
      <c r="M3" s="68">
        <v>3.7991969478432179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2.1678008515757237E-3</v>
      </c>
      <c r="J4" s="67" t="s">
        <v>231</v>
      </c>
      <c r="K4" s="68">
        <v>1.2354176577986521E-2</v>
      </c>
      <c r="L4" s="67" t="s">
        <v>231</v>
      </c>
      <c r="M4" s="68">
        <v>0.37527009366000763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1.6584982368607548E-3</v>
      </c>
      <c r="J5" s="67" t="s">
        <v>231</v>
      </c>
      <c r="K5" s="68">
        <v>3.4434562618723671E-2</v>
      </c>
      <c r="L5" s="67" t="s">
        <v>231</v>
      </c>
      <c r="M5" s="68">
        <v>1.1176573062130775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2.8673750810446351E-3</v>
      </c>
      <c r="J6" s="67" t="s">
        <v>231</v>
      </c>
      <c r="K6" s="68">
        <v>0.13175671580515272</v>
      </c>
      <c r="L6" s="67" t="s">
        <v>231</v>
      </c>
      <c r="M6" s="68">
        <v>4.407397046177179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4.2129311745117286E-4</v>
      </c>
      <c r="J7" s="67" t="s">
        <v>231</v>
      </c>
      <c r="K7" s="68">
        <v>0.11743842435804608</v>
      </c>
      <c r="L7" s="67" t="s">
        <v>231</v>
      </c>
      <c r="M7" s="68">
        <v>3.9074833829443105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8.2069823784410717E-4</v>
      </c>
      <c r="J8" s="67" t="s">
        <v>231</v>
      </c>
      <c r="K8" s="68">
        <v>9.4763947909396351E-2</v>
      </c>
      <c r="L8" s="67" t="s">
        <v>231</v>
      </c>
      <c r="M8" s="68">
        <v>3.1318378205572124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2.5006044001788571E-4</v>
      </c>
      <c r="J9" s="67" t="s">
        <v>231</v>
      </c>
      <c r="K9" s="68">
        <v>2.1918990869871605E-2</v>
      </c>
      <c r="L9" s="67" t="s">
        <v>231</v>
      </c>
      <c r="M9" s="68">
        <v>0.69703177873528144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9.9869701260492795E-4</v>
      </c>
      <c r="J10" s="67" t="s">
        <v>231</v>
      </c>
      <c r="K10" s="68">
        <v>3.68279718638534E-2</v>
      </c>
      <c r="L10" s="67" t="s">
        <v>231</v>
      </c>
      <c r="M10" s="68">
        <v>1.1964815153236601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2.4606275692729977E-4</v>
      </c>
      <c r="J11" s="67" t="s">
        <v>231</v>
      </c>
      <c r="K11" s="68">
        <v>4.1058329540761551E-2</v>
      </c>
      <c r="L11" s="67" t="s">
        <v>231</v>
      </c>
      <c r="M11" s="68">
        <v>1.3360299554617012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5.2498265479813304E-4</v>
      </c>
      <c r="J12" s="67" t="s">
        <v>231</v>
      </c>
      <c r="K12" s="68">
        <v>2.2376683491835647E-2</v>
      </c>
      <c r="L12" s="67" t="s">
        <v>231</v>
      </c>
      <c r="M12" s="68">
        <v>0.71468337161549111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1.1628267268325007E-2</v>
      </c>
      <c r="J13" s="67" t="s">
        <v>232</v>
      </c>
      <c r="K13" s="68">
        <v>2.1978253489986457E-2</v>
      </c>
      <c r="L13" s="67" t="s">
        <v>231</v>
      </c>
      <c r="M13" s="68">
        <v>0.69922224936387778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2.3515453468256719E-3</v>
      </c>
      <c r="J14" s="67" t="s">
        <v>231</v>
      </c>
      <c r="K14" s="68">
        <v>5.6022027855660676E-2</v>
      </c>
      <c r="L14" s="67" t="s">
        <v>231</v>
      </c>
      <c r="M14" s="68">
        <v>1.8318181059763565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1.1794180250151987E-3</v>
      </c>
      <c r="J15" s="67" t="s">
        <v>231</v>
      </c>
      <c r="K15" s="68">
        <v>3.8905865305259128E-2</v>
      </c>
      <c r="L15" s="67" t="s">
        <v>231</v>
      </c>
      <c r="M15" s="68">
        <v>1.2649901152584315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8.6356682891327967E-4</v>
      </c>
      <c r="J16" s="67" t="s">
        <v>231</v>
      </c>
      <c r="K16" s="68">
        <v>9.3624992442740404E-2</v>
      </c>
      <c r="L16" s="67" t="s">
        <v>231</v>
      </c>
      <c r="M16" s="68">
        <v>3.0932452673031747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6.9881982848908869E-4</v>
      </c>
      <c r="J17" s="67" t="s">
        <v>231</v>
      </c>
      <c r="K17" s="68">
        <v>3.5221182073403287E-2</v>
      </c>
      <c r="L17" s="67" t="s">
        <v>231</v>
      </c>
      <c r="M17" s="68">
        <v>1.1435528489257845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1.8787667400873582E-3</v>
      </c>
      <c r="J18" s="67" t="s">
        <v>231</v>
      </c>
      <c r="K18" s="68">
        <v>2.1540330842330171E-2</v>
      </c>
      <c r="L18" s="67" t="s">
        <v>231</v>
      </c>
      <c r="M18" s="68">
        <v>0.68358922336007089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7.1712402346253406E-3</v>
      </c>
      <c r="J19" s="67" t="s">
        <v>231</v>
      </c>
      <c r="K19" s="68">
        <v>3.9330749822703369E-2</v>
      </c>
      <c r="L19" s="67" t="s">
        <v>231</v>
      </c>
      <c r="M19" s="68">
        <v>1.2790070220889322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1.2032137950090114E-3</v>
      </c>
      <c r="J20" s="67" t="s">
        <v>231</v>
      </c>
      <c r="K20" s="68">
        <v>2.1980876574332505E-2</v>
      </c>
      <c r="L20" s="67" t="s">
        <v>231</v>
      </c>
      <c r="M20" s="68">
        <v>0.69930570089643707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3.3905501427244425E-3</v>
      </c>
      <c r="J21" s="67" t="s">
        <v>231</v>
      </c>
      <c r="K21" s="68">
        <v>5.1397465771916513E-2</v>
      </c>
      <c r="L21" s="67" t="s">
        <v>231</v>
      </c>
      <c r="M21" s="68">
        <v>1.678245958306015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1.0357782874657259E-4</v>
      </c>
      <c r="J22" s="67" t="s">
        <v>231</v>
      </c>
      <c r="K22" s="68">
        <v>6.6174832553698775E-3</v>
      </c>
      <c r="L22" s="67" t="s">
        <v>231</v>
      </c>
      <c r="M22" s="68">
        <v>0.1874043179070774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3.3501723704845993E-5</v>
      </c>
      <c r="J23" s="67" t="s">
        <v>231</v>
      </c>
      <c r="K23" s="68">
        <v>3.6558340593635698E-3</v>
      </c>
      <c r="L23" s="67" t="s">
        <v>231</v>
      </c>
      <c r="M23" s="68">
        <v>9.0816253723093959E-2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9.9443562609038435E-5</v>
      </c>
      <c r="J24" s="67" t="s">
        <v>231</v>
      </c>
      <c r="K24" s="68">
        <v>1.8278453122204785E-2</v>
      </c>
      <c r="L24" s="67" t="s">
        <v>231</v>
      </c>
      <c r="M24" s="68">
        <v>0.57174516194469926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4.4382366467691072E-4</v>
      </c>
      <c r="J25" s="67" t="s">
        <v>231</v>
      </c>
      <c r="K25" s="68">
        <v>2.2244049607120224E-2</v>
      </c>
      <c r="L25" s="67" t="s">
        <v>231</v>
      </c>
      <c r="M25" s="68">
        <v>0.71400521042587806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8.9688063822201893E-4</v>
      </c>
      <c r="J26" s="67" t="s">
        <v>231</v>
      </c>
      <c r="K26" s="68">
        <v>4.844353486773148E-2</v>
      </c>
      <c r="L26" s="67" t="s">
        <v>231</v>
      </c>
      <c r="M26" s="68">
        <v>1.5803099385087787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5.8348907309097953E-4</v>
      </c>
      <c r="J27" s="67" t="s">
        <v>231</v>
      </c>
      <c r="K27" s="68">
        <v>0.11197493501648298</v>
      </c>
      <c r="L27" s="67" t="s">
        <v>231</v>
      </c>
      <c r="M27" s="68">
        <v>3.7194290834189356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3.180316493748759E-4</v>
      </c>
      <c r="J28" s="67" t="s">
        <v>231</v>
      </c>
      <c r="K28" s="68">
        <v>7.0800202098051962E-2</v>
      </c>
      <c r="L28" s="67" t="s">
        <v>231</v>
      </c>
      <c r="M28" s="68">
        <v>2.324759027143438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1.9612740594670162E-4</v>
      </c>
      <c r="J29" s="67" t="s">
        <v>231</v>
      </c>
      <c r="K29" s="68">
        <v>5.3224634298583103E-2</v>
      </c>
      <c r="L29" s="67" t="s">
        <v>231</v>
      </c>
      <c r="M29" s="68">
        <v>1.7395351017700043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3.180316493748759E-4</v>
      </c>
      <c r="J30" s="67" t="s">
        <v>231</v>
      </c>
      <c r="K30" s="68">
        <v>7.0800202098051962E-2</v>
      </c>
      <c r="L30" s="67" t="s">
        <v>231</v>
      </c>
      <c r="M30" s="68">
        <v>2.324759027143438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8.2457695158281263E-8</v>
      </c>
      <c r="J31" s="67" t="s">
        <v>231</v>
      </c>
      <c r="K31" s="68">
        <v>9.1621628165673957E-4</v>
      </c>
      <c r="L31" s="67" t="s">
        <v>231</v>
      </c>
      <c r="M31" s="68">
        <v>1.1558099084936616E-3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1.0344817948389343E-5</v>
      </c>
      <c r="J32" s="67" t="s">
        <v>231</v>
      </c>
      <c r="K32" s="68">
        <v>1.0069979060023672E-2</v>
      </c>
      <c r="L32" s="67" t="s">
        <v>231</v>
      </c>
      <c r="M32" s="68">
        <v>0.29830841594756452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8.1333032653489361E-8</v>
      </c>
      <c r="J33" s="67" t="s">
        <v>231</v>
      </c>
      <c r="K33" s="68">
        <v>8.8966086423543735E-4</v>
      </c>
      <c r="L33" s="67" t="s">
        <v>231</v>
      </c>
      <c r="M33" s="68">
        <v>5.9131089996530915E-4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1.9360414372795598E-10</v>
      </c>
      <c r="J34" s="67" t="s">
        <v>231</v>
      </c>
      <c r="K34" s="68">
        <v>9.4448034034890795E-4</v>
      </c>
      <c r="L34" s="67" t="s">
        <v>231</v>
      </c>
      <c r="M34" s="68">
        <v>4.5021153895091252E-2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1.9758313719041073E-7</v>
      </c>
      <c r="J35" s="67" t="s">
        <v>231</v>
      </c>
      <c r="K35" s="68">
        <v>9.4529038481692691E-4</v>
      </c>
      <c r="L35" s="67" t="s">
        <v>231</v>
      </c>
      <c r="M35" s="68">
        <v>6.37179381791418E-2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1.8006178717942687E-7</v>
      </c>
      <c r="J36" s="67" t="s">
        <v>231</v>
      </c>
      <c r="K36" s="68">
        <v>9.0562275080100798E-4</v>
      </c>
      <c r="L36" s="67" t="s">
        <v>231</v>
      </c>
      <c r="M36" s="68">
        <v>7.7429052804178722E-2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2.0174814309729032E-6</v>
      </c>
      <c r="J37" s="67" t="s">
        <v>231</v>
      </c>
      <c r="K37" s="68">
        <v>4.7624322161654437E-3</v>
      </c>
      <c r="L37" s="67" t="s">
        <v>231</v>
      </c>
      <c r="M37" s="68">
        <v>0.18234427891137994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1.0533884126318733E-6</v>
      </c>
      <c r="J38" s="67" t="s">
        <v>231</v>
      </c>
      <c r="K38" s="68">
        <v>9.8740873331356043E-4</v>
      </c>
      <c r="L38" s="67" t="s">
        <v>231</v>
      </c>
      <c r="M38" s="68">
        <v>4.0352444281349403E-2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2.2369174128218709E-4</v>
      </c>
      <c r="J39" s="67" t="s">
        <v>231</v>
      </c>
      <c r="K39" s="68">
        <v>2.2733439154928779E-2</v>
      </c>
      <c r="L39" s="67" t="s">
        <v>231</v>
      </c>
      <c r="M39" s="68">
        <v>0.73370052953209663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8.208467158036904E-10</v>
      </c>
      <c r="J40" s="67" t="s">
        <v>231</v>
      </c>
      <c r="K40" s="68">
        <v>6.4256954867240493E-2</v>
      </c>
      <c r="L40" s="67" t="s">
        <v>231</v>
      </c>
      <c r="M40" s="68">
        <v>5.6383131869494569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2.6798840856695429E-8</v>
      </c>
      <c r="J41" s="67" t="s">
        <v>231</v>
      </c>
      <c r="K41" s="68">
        <v>8.3009962423341696E-4</v>
      </c>
      <c r="L41" s="67" t="s">
        <v>231</v>
      </c>
      <c r="M41" s="68">
        <v>6.581293891421348E-5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1.1423419837400675E-3</v>
      </c>
      <c r="J42" s="67" t="s">
        <v>231</v>
      </c>
      <c r="K42" s="68">
        <v>7.5553621683639638E-3</v>
      </c>
      <c r="L42" s="67" t="s">
        <v>231</v>
      </c>
      <c r="M42" s="68">
        <v>0.21797820811802507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4.7097704597221748E-9</v>
      </c>
      <c r="J43" s="67" t="s">
        <v>231</v>
      </c>
      <c r="K43" s="68">
        <v>1.7615295359641482E-3</v>
      </c>
      <c r="L43" s="67" t="s">
        <v>231</v>
      </c>
      <c r="M43" s="68">
        <v>0.16462730641549761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1.1749480178907633E-6</v>
      </c>
      <c r="J44" s="67" t="s">
        <v>231</v>
      </c>
      <c r="K44" s="68">
        <v>1.7882353755904565E-3</v>
      </c>
      <c r="L44" s="67" t="s">
        <v>231</v>
      </c>
      <c r="M44" s="68">
        <v>3.2034406139220713E-2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1.0080387571971974E-4</v>
      </c>
      <c r="J45" s="67" t="s">
        <v>231</v>
      </c>
      <c r="K45" s="68">
        <v>8.4433146832642077E-3</v>
      </c>
      <c r="L45" s="67" t="s">
        <v>231</v>
      </c>
      <c r="M45" s="68">
        <v>0.24702274306504562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2.2578703011576699E-6</v>
      </c>
      <c r="J46" s="67" t="s">
        <v>231</v>
      </c>
      <c r="K46" s="68">
        <v>7.8680593403197899E-3</v>
      </c>
      <c r="L46" s="67" t="s">
        <v>231</v>
      </c>
      <c r="M46" s="68">
        <v>0.22825113111868259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2.6915857551884624E-3</v>
      </c>
      <c r="J47" s="142" t="s">
        <v>231</v>
      </c>
      <c r="K47" s="143">
        <v>0.11462432271073544</v>
      </c>
      <c r="L47" s="142" t="s">
        <v>231</v>
      </c>
      <c r="M47" s="143">
        <v>3.810349597419918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1.8946866443464383E-6</v>
      </c>
      <c r="J48" s="142" t="s">
        <v>231</v>
      </c>
      <c r="K48" s="143">
        <v>1.1924931089629077E-3</v>
      </c>
      <c r="L48" s="142" t="s">
        <v>231</v>
      </c>
      <c r="M48" s="143">
        <v>1.0710042347429637E-2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5.3723927776083102E-6</v>
      </c>
      <c r="J49" s="142" t="s">
        <v>231</v>
      </c>
      <c r="K49" s="143">
        <v>1.4270040642150306E-3</v>
      </c>
      <c r="L49" s="142" t="s">
        <v>231</v>
      </c>
      <c r="M49" s="143">
        <v>1.8666471294699293E-2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8.2850366432610415E-6</v>
      </c>
      <c r="J50" s="142" t="s">
        <v>231</v>
      </c>
      <c r="K50" s="143">
        <v>2.1345664276225605E-2</v>
      </c>
      <c r="L50" s="142" t="s">
        <v>231</v>
      </c>
      <c r="M50" s="143">
        <v>0.67692779962602867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4.1550779309348891E-8</v>
      </c>
      <c r="J51" s="142" t="s">
        <v>231</v>
      </c>
      <c r="K51" s="143">
        <v>8.9135436048362257E-4</v>
      </c>
      <c r="L51" s="142" t="s">
        <v>231</v>
      </c>
      <c r="M51" s="143">
        <v>1.9113950183721549E-3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1.2099641128894897E-5</v>
      </c>
      <c r="J52" s="142" t="s">
        <v>231</v>
      </c>
      <c r="K52" s="143">
        <v>2.4833788613180295E-3</v>
      </c>
      <c r="L52" s="142" t="s">
        <v>231</v>
      </c>
      <c r="M52" s="143">
        <v>5.4334368283888698E-2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1.9192882837291967E-4</v>
      </c>
      <c r="J53" s="142" t="s">
        <v>231</v>
      </c>
      <c r="K53" s="143">
        <v>1.1542537525047072E-2</v>
      </c>
      <c r="L53" s="142" t="s">
        <v>231</v>
      </c>
      <c r="M53" s="143">
        <v>0.34864348475910822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9.212403135124927E-4</v>
      </c>
      <c r="J54" s="67" t="s">
        <v>231</v>
      </c>
      <c r="K54" s="68">
        <v>0.10559418965791113</v>
      </c>
      <c r="L54" s="67" t="s">
        <v>231</v>
      </c>
      <c r="M54" s="68">
        <v>3.5004993986943438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2.0924099610496983E-4</v>
      </c>
      <c r="J55" s="67" t="s">
        <v>231</v>
      </c>
      <c r="K55" s="68">
        <v>1.6470153066054954E-2</v>
      </c>
      <c r="L55" s="67" t="s">
        <v>231</v>
      </c>
      <c r="M55" s="68">
        <v>0.51635884413856792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6.1861911947084602E-5</v>
      </c>
      <c r="J56" s="67" t="s">
        <v>231</v>
      </c>
      <c r="K56" s="68">
        <v>9.5729211785798955E-3</v>
      </c>
      <c r="L56" s="67" t="s">
        <v>231</v>
      </c>
      <c r="M56" s="68">
        <v>0.30556677670221921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3.0256023750322631E-5</v>
      </c>
      <c r="J57" s="67" t="s">
        <v>231</v>
      </c>
      <c r="K57" s="68">
        <v>4.914778992908448E-3</v>
      </c>
      <c r="L57" s="67" t="s">
        <v>231</v>
      </c>
      <c r="M57" s="68">
        <v>0.15476020536033031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3.2783259546639009E-7</v>
      </c>
      <c r="J58" s="67" t="s">
        <v>231</v>
      </c>
      <c r="K58" s="68">
        <v>1.2940176854191039E-4</v>
      </c>
      <c r="L58" s="67" t="s">
        <v>231</v>
      </c>
      <c r="M58" s="68">
        <v>1.9236008645348033E-3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7.3420301298922608E-6</v>
      </c>
      <c r="J59" s="67" t="s">
        <v>231</v>
      </c>
      <c r="K59" s="68">
        <v>1.9069203509062497E-3</v>
      </c>
      <c r="L59" s="67" t="s">
        <v>231</v>
      </c>
      <c r="M59" s="68">
        <v>5.9989530470001169E-2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1.1533443215357927E-7</v>
      </c>
      <c r="J60" s="67" t="s">
        <v>231</v>
      </c>
      <c r="K60" s="68">
        <v>3.3584693380127927E-5</v>
      </c>
      <c r="L60" s="67" t="s">
        <v>231</v>
      </c>
      <c r="M60" s="68">
        <v>1.0425211706577289E-3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4.182631478574058E-2</v>
      </c>
      <c r="J61" s="67" t="s">
        <v>232</v>
      </c>
      <c r="K61" s="68">
        <v>1.4580297366956589E-2</v>
      </c>
      <c r="L61" s="67" t="s">
        <v>231</v>
      </c>
      <c r="M61" s="68">
        <v>0.44868385923609072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4.0631875668662552E-5</v>
      </c>
      <c r="J62" s="67" t="s">
        <v>231</v>
      </c>
      <c r="K62" s="68">
        <v>5.498395615283868E-2</v>
      </c>
      <c r="L62" s="67" t="s">
        <v>231</v>
      </c>
      <c r="M62" s="68">
        <v>1.7973149485895323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2.7806068886853356E-4</v>
      </c>
      <c r="J63" s="67" t="s">
        <v>231</v>
      </c>
      <c r="K63" s="68">
        <v>0.12804058524688466</v>
      </c>
      <c r="L63" s="67" t="s">
        <v>231</v>
      </c>
      <c r="M63" s="68">
        <v>4.2765566231384371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1.9936896780540725E-4</v>
      </c>
      <c r="J64" s="67" t="s">
        <v>231</v>
      </c>
      <c r="K64" s="68">
        <v>0.14396871563368505</v>
      </c>
      <c r="L64" s="67" t="s">
        <v>231</v>
      </c>
      <c r="M64" s="68">
        <v>4.8460667167199221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3.0301910299062224E-4</v>
      </c>
      <c r="J65" s="67" t="s">
        <v>231</v>
      </c>
      <c r="K65" s="68">
        <v>0.15451707499776965</v>
      </c>
      <c r="L65" s="67" t="s">
        <v>231</v>
      </c>
      <c r="M65" s="68">
        <v>5.2470916028316328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1.1992275084538834E-6</v>
      </c>
      <c r="J66" s="67" t="s">
        <v>231</v>
      </c>
      <c r="K66" s="68">
        <v>0.14932334750634324</v>
      </c>
      <c r="L66" s="67" t="s">
        <v>231</v>
      </c>
      <c r="M66" s="68">
        <v>5.0454289685622342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4.0852184501725486E-4</v>
      </c>
      <c r="J67" s="67" t="s">
        <v>231</v>
      </c>
      <c r="K67" s="68">
        <v>2.1214274193222232E-3</v>
      </c>
      <c r="L67" s="67" t="s">
        <v>231</v>
      </c>
      <c r="M67" s="68">
        <v>4.0945580747215313E-2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1.6723431322459716E-4</v>
      </c>
      <c r="J68" s="67" t="s">
        <v>231</v>
      </c>
      <c r="K68" s="68">
        <v>3.0266901365265538E-3</v>
      </c>
      <c r="L68" s="67" t="s">
        <v>231</v>
      </c>
      <c r="M68" s="68">
        <v>7.0574039735991245E-2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2.2280869155748322E-7</v>
      </c>
      <c r="J69" s="67" t="s">
        <v>231</v>
      </c>
      <c r="K69" s="68">
        <v>9.1874989865691814E-2</v>
      </c>
      <c r="L69" s="67" t="s">
        <v>231</v>
      </c>
      <c r="M69" s="68">
        <v>3.0340271789523907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2.4490512855182165E-4</v>
      </c>
      <c r="J70" s="67" t="s">
        <v>231</v>
      </c>
      <c r="K70" s="68">
        <v>2.2443982943700928E-2</v>
      </c>
      <c r="L70" s="67" t="s">
        <v>231</v>
      </c>
      <c r="M70" s="68">
        <v>0.71926277663630478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3.120540026862299E-4</v>
      </c>
      <c r="J71" s="67" t="s">
        <v>231</v>
      </c>
      <c r="K71" s="68">
        <v>2.8180680962934198E-3</v>
      </c>
      <c r="L71" s="67" t="s">
        <v>231</v>
      </c>
      <c r="M71" s="68">
        <v>6.4138510933256884E-2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1.493378521520652E-6</v>
      </c>
      <c r="J72" s="67" t="s">
        <v>231</v>
      </c>
      <c r="K72" s="68">
        <v>2.2220832669497897E-2</v>
      </c>
      <c r="L72" s="67" t="s">
        <v>231</v>
      </c>
      <c r="M72" s="68">
        <v>0.71119532319836842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6.0487670177844927E-3</v>
      </c>
      <c r="J73" s="67" t="s">
        <v>231</v>
      </c>
      <c r="K73" s="68">
        <v>1.502389301242061E-2</v>
      </c>
      <c r="L73" s="67" t="s">
        <v>231</v>
      </c>
      <c r="M73" s="68">
        <v>0.46378776265444477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5.1428152609563377E-2</v>
      </c>
      <c r="J74" s="67" t="s">
        <v>232</v>
      </c>
      <c r="K74" s="68">
        <v>2.2406156408725213E-2</v>
      </c>
      <c r="L74" s="67" t="s">
        <v>231</v>
      </c>
      <c r="M74" s="68">
        <v>0.71778884717902447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2.2742578231964678E-13</v>
      </c>
      <c r="J75" s="67" t="s">
        <v>231</v>
      </c>
      <c r="K75" s="68">
        <v>5.5969399187378406E-3</v>
      </c>
      <c r="L75" s="67" t="s">
        <v>231</v>
      </c>
      <c r="M75" s="68">
        <v>0.54992437525786886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1.251178391878715E-13</v>
      </c>
      <c r="J76" s="67" t="s">
        <v>231</v>
      </c>
      <c r="K76" s="68">
        <v>5.5969399210734272E-3</v>
      </c>
      <c r="L76" s="67" t="s">
        <v>231</v>
      </c>
      <c r="M76" s="68">
        <v>0.54992437548735063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2.9707085885848154E-7</v>
      </c>
      <c r="J77" s="67" t="s">
        <v>231</v>
      </c>
      <c r="K77" s="68">
        <v>2.0175014281494919E-2</v>
      </c>
      <c r="L77" s="67" t="s">
        <v>231</v>
      </c>
      <c r="M77" s="68">
        <v>0.63715910161699718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1.0975944183012525E-3</v>
      </c>
      <c r="J78" s="67" t="s">
        <v>231</v>
      </c>
      <c r="K78" s="68">
        <v>6.9102525544452063E-3</v>
      </c>
      <c r="L78" s="67" t="s">
        <v>231</v>
      </c>
      <c r="M78" s="68">
        <v>0.1978065060630495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2.080315546030439E-5</v>
      </c>
      <c r="J79" s="67" t="s">
        <v>231</v>
      </c>
      <c r="K79" s="68">
        <v>1.1738250856062307E-2</v>
      </c>
      <c r="L79" s="67" t="s">
        <v>231</v>
      </c>
      <c r="M79" s="68">
        <v>0.35524750711868658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1.353222865855048E-14</v>
      </c>
      <c r="J80" s="67" t="s">
        <v>231</v>
      </c>
      <c r="K80" s="68">
        <v>1.086092798093417E-2</v>
      </c>
      <c r="L80" s="67" t="s">
        <v>231</v>
      </c>
      <c r="M80" s="68">
        <v>1.0676936446905803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2.2418305291355521E-5</v>
      </c>
      <c r="J81" s="67" t="s">
        <v>231</v>
      </c>
      <c r="K81" s="68">
        <v>9.3216105886858062E-4</v>
      </c>
      <c r="L81" s="67" t="s">
        <v>231</v>
      </c>
      <c r="M81" s="68">
        <v>1.7152978746262479E-3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3.8018265660028922E-5</v>
      </c>
      <c r="J82" s="67" t="s">
        <v>231</v>
      </c>
      <c r="K82" s="68">
        <v>3.5463705049880116E-3</v>
      </c>
      <c r="L82" s="67" t="s">
        <v>231</v>
      </c>
      <c r="M82" s="68">
        <v>8.7251565222437447E-2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3.3249037518992931E-5</v>
      </c>
      <c r="J83" s="67" t="s">
        <v>231</v>
      </c>
      <c r="K83" s="68">
        <v>1.9853407650626046E-2</v>
      </c>
      <c r="L83" s="67" t="s">
        <v>231</v>
      </c>
      <c r="M83" s="68">
        <v>0.62496327967065657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6.291970122919931E-6</v>
      </c>
      <c r="J84" s="67" t="s">
        <v>231</v>
      </c>
      <c r="K84" s="68">
        <v>1.0915699639755545E-3</v>
      </c>
      <c r="L84" s="67" t="s">
        <v>231</v>
      </c>
      <c r="M84" s="68">
        <v>7.0900295617052954E-3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3.333123880421594E-8</v>
      </c>
      <c r="J85" s="67" t="s">
        <v>231</v>
      </c>
      <c r="K85" s="68">
        <v>8.942416039226127E-4</v>
      </c>
      <c r="L85" s="67" t="s">
        <v>231</v>
      </c>
      <c r="M85" s="68">
        <v>3.4837080147642069E-4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2.4669365204132631E-6</v>
      </c>
      <c r="J86" s="67" t="s">
        <v>231</v>
      </c>
      <c r="K86" s="68">
        <v>1.0820226113124546E-3</v>
      </c>
      <c r="L86" s="67" t="s">
        <v>231</v>
      </c>
      <c r="M86" s="68">
        <v>6.7725347853297103E-3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3.1027789051705948E-3</v>
      </c>
      <c r="J87" s="67" t="s">
        <v>231</v>
      </c>
      <c r="K87" s="68">
        <v>0.12015368554395765</v>
      </c>
      <c r="L87" s="67" t="s">
        <v>231</v>
      </c>
      <c r="M87" s="68">
        <v>4.0014986928384708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1.1687275991391656E-4</v>
      </c>
      <c r="J88" s="67" t="s">
        <v>231</v>
      </c>
      <c r="K88" s="68">
        <v>5.7934532859135798E-3</v>
      </c>
      <c r="L88" s="67" t="s">
        <v>231</v>
      </c>
      <c r="M88" s="68">
        <v>0.16046918338642299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3.0843008663472815E-5</v>
      </c>
      <c r="J89" s="67" t="s">
        <v>231</v>
      </c>
      <c r="K89" s="68">
        <v>3.8865633942769843E-3</v>
      </c>
      <c r="L89" s="67" t="s">
        <v>231</v>
      </c>
      <c r="M89" s="68">
        <v>9.8328152572265987E-2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1.8891458117292002E-6</v>
      </c>
      <c r="J90" s="67" t="s">
        <v>231</v>
      </c>
      <c r="K90" s="68">
        <v>1.6149475090398708E-3</v>
      </c>
      <c r="L90" s="67" t="s">
        <v>231</v>
      </c>
      <c r="M90" s="68">
        <v>2.429775347099181E-2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2.4617080906591472E-3</v>
      </c>
      <c r="J91" s="67" t="s">
        <v>231</v>
      </c>
      <c r="K91" s="68">
        <v>6.0273174623590893E-2</v>
      </c>
      <c r="L91" s="67" t="s">
        <v>231</v>
      </c>
      <c r="M91" s="68">
        <v>1.9732771712687398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2.2602763700806838E-2</v>
      </c>
      <c r="J92" s="67" t="s">
        <v>232</v>
      </c>
      <c r="K92" s="68">
        <v>1.8179932780553191E-2</v>
      </c>
      <c r="L92" s="67" t="s">
        <v>231</v>
      </c>
      <c r="M92" s="68">
        <v>0.56843668992780993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6.3636880390296573E-3</v>
      </c>
      <c r="J93" s="67" t="s">
        <v>231</v>
      </c>
      <c r="K93" s="68">
        <v>2.2360323552358542E-2</v>
      </c>
      <c r="L93" s="67" t="s">
        <v>231</v>
      </c>
      <c r="M93" s="68">
        <v>0.71402105819921058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6.4827436368323768E-9</v>
      </c>
      <c r="J94" s="67" t="s">
        <v>231</v>
      </c>
      <c r="K94" s="68">
        <v>9.1543052663770606E-4</v>
      </c>
      <c r="L94" s="67" t="s">
        <v>231</v>
      </c>
      <c r="M94" s="68">
        <v>1.1879583780226046E-2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4.7165956300270546E-5</v>
      </c>
      <c r="J95" s="67" t="s">
        <v>231</v>
      </c>
      <c r="K95" s="68">
        <v>3.0351096772180057E-2</v>
      </c>
      <c r="L95" s="67" t="s">
        <v>231</v>
      </c>
      <c r="M95" s="68">
        <v>0.9833869740547293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9.8919005508606087E-8</v>
      </c>
      <c r="J96" s="67" t="s">
        <v>231</v>
      </c>
      <c r="K96" s="68">
        <v>9.3572248179320705E-4</v>
      </c>
      <c r="L96" s="67" t="s">
        <v>231</v>
      </c>
      <c r="M96" s="68">
        <v>1.8389137179960356E-3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3.5750725460955365E-8</v>
      </c>
      <c r="J97" s="67" t="s">
        <v>231</v>
      </c>
      <c r="K97" s="68">
        <v>1.0965110063157781E-3</v>
      </c>
      <c r="L97" s="67" t="s">
        <v>231</v>
      </c>
      <c r="M97" s="68">
        <v>7.2542308812180859E-3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9.4121030015254004E-6</v>
      </c>
      <c r="J98" s="67" t="s">
        <v>231</v>
      </c>
      <c r="K98" s="68">
        <v>2.2470904429508262E-2</v>
      </c>
      <c r="L98" s="67" t="s">
        <v>231</v>
      </c>
      <c r="M98" s="68">
        <v>0.72204560508170568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4.2216859184008119E-8</v>
      </c>
      <c r="J99" s="67" t="s">
        <v>231</v>
      </c>
      <c r="K99" s="68">
        <v>8.9009678000549709E-4</v>
      </c>
      <c r="L99" s="67" t="s">
        <v>231</v>
      </c>
      <c r="M99" s="68">
        <v>1.7915449550158825E-4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6.1704761708925037E-5</v>
      </c>
      <c r="J100" s="67" t="s">
        <v>231</v>
      </c>
      <c r="K100" s="68">
        <v>1.065553431429778E-2</v>
      </c>
      <c r="L100" s="67" t="s">
        <v>231</v>
      </c>
      <c r="M100" s="68">
        <v>0.31946515832209282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1.3206366187794428E-5</v>
      </c>
      <c r="J101" s="67" t="s">
        <v>231</v>
      </c>
      <c r="K101" s="68">
        <v>8.9701306408826529E-4</v>
      </c>
      <c r="L101" s="67" t="s">
        <v>231</v>
      </c>
      <c r="M101" s="68">
        <v>4.5549831163991351E-4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6.4702193526009683E-11</v>
      </c>
      <c r="J102" s="67" t="s">
        <v>231</v>
      </c>
      <c r="K102" s="68">
        <v>8.8725449089761853E-4</v>
      </c>
      <c r="L102" s="67" t="s">
        <v>231</v>
      </c>
      <c r="M102" s="68">
        <v>3.8335432202011279E-5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9.2342537956079538E-9</v>
      </c>
      <c r="J103" s="67" t="s">
        <v>231</v>
      </c>
      <c r="K103" s="68">
        <v>8.8986309300840226E-4</v>
      </c>
      <c r="L103" s="67" t="s">
        <v>231</v>
      </c>
      <c r="M103" s="68">
        <v>1.6899751611111085E-4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4.3331890330031189E-7</v>
      </c>
      <c r="J104" s="67" t="s">
        <v>231</v>
      </c>
      <c r="K104" s="68">
        <v>9.9752272468602628E-4</v>
      </c>
      <c r="L104" s="67" t="s">
        <v>231</v>
      </c>
      <c r="M104" s="68">
        <v>3.9453688053838944E-3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5.8225374226795415E-8</v>
      </c>
      <c r="J105" s="67" t="s">
        <v>231</v>
      </c>
      <c r="K105" s="68">
        <v>8.8748144769838257E-4</v>
      </c>
      <c r="L105" s="67" t="s">
        <v>231</v>
      </c>
      <c r="M105" s="68">
        <v>5.3174725767551142E-5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5.5328300496440252E-7</v>
      </c>
      <c r="J106" s="67" t="s">
        <v>231</v>
      </c>
      <c r="K106" s="68">
        <v>2.0253267038019369E-3</v>
      </c>
      <c r="L106" s="67" t="s">
        <v>231</v>
      </c>
      <c r="M106" s="68">
        <v>3.7698873360331356E-2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6.6489568722259438E-5</v>
      </c>
      <c r="J107" s="67" t="s">
        <v>231</v>
      </c>
      <c r="K107" s="68">
        <v>2.2360738637262796E-2</v>
      </c>
      <c r="L107" s="67" t="s">
        <v>231</v>
      </c>
      <c r="M107" s="68">
        <v>0.720107091917915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8.2405157685236716E-5</v>
      </c>
      <c r="J108" s="67" t="s">
        <v>231</v>
      </c>
      <c r="K108" s="68">
        <v>8.9177783800606317E-3</v>
      </c>
      <c r="L108" s="67" t="s">
        <v>231</v>
      </c>
      <c r="M108" s="68">
        <v>0.26252701276337287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0.91542374660441972</v>
      </c>
      <c r="F2" s="14">
        <v>0.86565759166210143</v>
      </c>
      <c r="G2" s="14">
        <v>1.1248500442815631E-6</v>
      </c>
      <c r="H2" s="14">
        <v>11.69677516691886</v>
      </c>
      <c r="I2" s="14">
        <v>31.544475658859437</v>
      </c>
      <c r="J2" s="14">
        <v>0</v>
      </c>
      <c r="K2" s="14">
        <v>1.1551911629169163</v>
      </c>
      <c r="L2" s="14">
        <v>0.86565759166210143</v>
      </c>
      <c r="M2" s="14">
        <v>0.71027205395875426</v>
      </c>
      <c r="N2" s="14">
        <v>2.6801590616491202</v>
      </c>
      <c r="O2" s="14">
        <v>493.44408484021955</v>
      </c>
      <c r="P2" s="8">
        <v>2.6801590616491202</v>
      </c>
      <c r="Q2" s="54">
        <v>0.13462425496148356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0.94552428995538274</v>
      </c>
      <c r="F3" s="14">
        <v>6.8959135391762712E-4</v>
      </c>
      <c r="G3" s="14">
        <v>4.1813863326342409E-5</v>
      </c>
      <c r="H3" s="14">
        <v>72.392205439211054</v>
      </c>
      <c r="I3" s="14">
        <v>1816.1385560186288</v>
      </c>
      <c r="J3" s="14">
        <v>0</v>
      </c>
      <c r="K3" s="14">
        <v>1450.1341908057793</v>
      </c>
      <c r="L3" s="14">
        <v>6.8959135391762712E-4</v>
      </c>
      <c r="M3" s="14">
        <v>5.6580970588941302E-4</v>
      </c>
      <c r="N3" s="14">
        <v>114.28882464908121</v>
      </c>
      <c r="O3" s="14">
        <v>41705.135002696232</v>
      </c>
      <c r="P3" s="8">
        <v>114.28882464908122</v>
      </c>
      <c r="Q3" s="54">
        <v>5.8096367453699983E-2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0.82369772792355866</v>
      </c>
      <c r="F4" s="14">
        <v>0.43978858789295239</v>
      </c>
      <c r="G4" s="14">
        <v>6.0739672134310155E-14</v>
      </c>
      <c r="H4" s="14">
        <v>88.479764010640608</v>
      </c>
      <c r="I4" s="14">
        <v>195.56950043844788</v>
      </c>
      <c r="J4" s="14">
        <v>0</v>
      </c>
      <c r="K4" s="14">
        <v>2.2738198023533225</v>
      </c>
      <c r="L4" s="14">
        <v>0.43978858789295244</v>
      </c>
      <c r="M4" s="14">
        <v>0.36084653636616748</v>
      </c>
      <c r="N4" s="14">
        <v>12.354176577986522</v>
      </c>
      <c r="O4" s="14">
        <v>3920.2273117266832</v>
      </c>
      <c r="P4" s="8">
        <v>12.354176577986522</v>
      </c>
      <c r="Q4" s="54">
        <v>0.27944807764553287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0.94262861462302627</v>
      </c>
      <c r="F5" s="14">
        <v>7.4447250249970237E-3</v>
      </c>
      <c r="G5" s="14">
        <v>1.430003660498744E-6</v>
      </c>
      <c r="H5" s="14">
        <v>206.01965780454981</v>
      </c>
      <c r="I5" s="14">
        <v>553.56144235404872</v>
      </c>
      <c r="J5" s="14">
        <v>0</v>
      </c>
      <c r="K5" s="14">
        <v>134.32329557402286</v>
      </c>
      <c r="L5" s="14">
        <v>7.4447250249970245E-3</v>
      </c>
      <c r="M5" s="14">
        <v>6.1083968830100586E-3</v>
      </c>
      <c r="N5" s="14">
        <v>34.434562618723675</v>
      </c>
      <c r="O5" s="14">
        <v>12072.413308498331</v>
      </c>
      <c r="P5" s="8">
        <v>34.434562618723675</v>
      </c>
      <c r="Q5" s="54">
        <v>8.4288016167854168E-2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0.95487944276480607</v>
      </c>
      <c r="F6" s="14">
        <v>3.0656472157575753E-4</v>
      </c>
      <c r="G6" s="14">
        <v>1.3542868575584343E-7</v>
      </c>
      <c r="H6" s="14">
        <v>45.896775629138048</v>
      </c>
      <c r="I6" s="14">
        <v>2087.0812046883725</v>
      </c>
      <c r="J6" s="14">
        <v>0</v>
      </c>
      <c r="K6" s="14">
        <v>3261.9539354037593</v>
      </c>
      <c r="L6" s="14">
        <v>3.0656472157575753E-4</v>
      </c>
      <c r="M6" s="14">
        <v>2.5153635405290907E-4</v>
      </c>
      <c r="N6" s="14">
        <v>131.75671580515271</v>
      </c>
      <c r="O6" s="14">
        <v>46706.438185768588</v>
      </c>
      <c r="P6" s="8">
        <v>131.75671580515274</v>
      </c>
      <c r="Q6" s="54">
        <v>4.4069624191739765E-2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0.94923336450840579</v>
      </c>
      <c r="F7" s="14">
        <v>6.1636382241813921E-4</v>
      </c>
      <c r="G7" s="14">
        <v>2.0087487868690704E-7</v>
      </c>
      <c r="H7" s="14">
        <v>68.154908613586457</v>
      </c>
      <c r="I7" s="14">
        <v>1865.3241396122901</v>
      </c>
      <c r="J7" s="14">
        <v>0</v>
      </c>
      <c r="K7" s="14">
        <v>1622.4183893155284</v>
      </c>
      <c r="L7" s="14">
        <v>6.1636382241813932E-4</v>
      </c>
      <c r="M7" s="14">
        <v>5.0572651629408329E-4</v>
      </c>
      <c r="N7" s="14">
        <v>117.43842435804608</v>
      </c>
      <c r="O7" s="14">
        <v>41630.747050683756</v>
      </c>
      <c r="P7" s="8">
        <v>117.43842435804609</v>
      </c>
      <c r="Q7" s="54">
        <v>5.6150588270421242E-2</v>
      </c>
    </row>
    <row r="8" spans="1:20">
      <c r="A8" s="2" t="s">
        <v>323</v>
      </c>
      <c r="B8" s="16" t="s">
        <v>324</v>
      </c>
      <c r="D8" s="14">
        <v>1</v>
      </c>
      <c r="E8" s="14">
        <v>0.94285624260870526</v>
      </c>
      <c r="F8" s="14">
        <v>1.3828633427847121E-3</v>
      </c>
      <c r="G8" s="14">
        <v>1.9108550837861673E-6</v>
      </c>
      <c r="H8" s="14">
        <v>104.47184497275491</v>
      </c>
      <c r="I8" s="14">
        <v>1510.2763970216715</v>
      </c>
      <c r="J8" s="14">
        <v>0</v>
      </c>
      <c r="K8" s="14">
        <v>723.13725374068486</v>
      </c>
      <c r="L8" s="14">
        <v>1.3828633427847121E-3</v>
      </c>
      <c r="M8" s="14">
        <v>1.1346393727548563E-3</v>
      </c>
      <c r="N8" s="14">
        <v>94.76394790939635</v>
      </c>
      <c r="O8" s="14">
        <v>30328.253888923209</v>
      </c>
      <c r="P8" s="8">
        <v>94.76394790939635</v>
      </c>
      <c r="Q8" s="54">
        <v>7.0999687169349734E-2</v>
      </c>
    </row>
    <row r="9" spans="1:20">
      <c r="A9" s="2" t="s">
        <v>325</v>
      </c>
      <c r="B9" s="16" t="s">
        <v>326</v>
      </c>
      <c r="D9" s="14">
        <v>1</v>
      </c>
      <c r="E9" s="14">
        <v>0.88882116961669455</v>
      </c>
      <c r="F9" s="14">
        <v>6.8421498066998029E-2</v>
      </c>
      <c r="G9" s="14">
        <v>1.2935435845450792E-6</v>
      </c>
      <c r="H9" s="14">
        <v>194.96317047407038</v>
      </c>
      <c r="I9" s="14">
        <v>354.494702425767</v>
      </c>
      <c r="J9" s="14">
        <v>0</v>
      </c>
      <c r="K9" s="14">
        <v>14.615289466781396</v>
      </c>
      <c r="L9" s="14">
        <v>6.8421498066998029E-2</v>
      </c>
      <c r="M9" s="14">
        <v>5.6139839163971882E-2</v>
      </c>
      <c r="N9" s="14">
        <v>21.918990869871607</v>
      </c>
      <c r="O9" s="14">
        <v>6671.0448712454236</v>
      </c>
      <c r="P9" s="8">
        <v>21.918990869871607</v>
      </c>
      <c r="Q9" s="54">
        <v>0.17306520034624734</v>
      </c>
    </row>
    <row r="10" spans="1:20">
      <c r="A10" s="2" t="s">
        <v>275</v>
      </c>
      <c r="B10" s="16" t="s">
        <v>276</v>
      </c>
      <c r="D10" s="14">
        <v>1</v>
      </c>
      <c r="E10" s="14">
        <v>0.94209230617791129</v>
      </c>
      <c r="F10" s="14">
        <v>6.9260559174648476E-3</v>
      </c>
      <c r="G10" s="14">
        <v>1.8379533374731396E-8</v>
      </c>
      <c r="H10" s="14">
        <v>201.88590243868666</v>
      </c>
      <c r="I10" s="14">
        <v>591.78392541199923</v>
      </c>
      <c r="J10" s="14">
        <v>0</v>
      </c>
      <c r="K10" s="14">
        <v>144.38231685054475</v>
      </c>
      <c r="L10" s="14">
        <v>6.9260559174648476E-3</v>
      </c>
      <c r="M10" s="14">
        <v>5.6828288802799071E-3</v>
      </c>
      <c r="N10" s="14">
        <v>36.827971863853399</v>
      </c>
      <c r="O10" s="14">
        <v>13644.395295839046</v>
      </c>
      <c r="P10" s="8">
        <v>36.827971863853399</v>
      </c>
      <c r="Q10" s="54">
        <v>8.4793617609982039E-2</v>
      </c>
    </row>
    <row r="11" spans="1:20">
      <c r="A11" s="2" t="s">
        <v>327</v>
      </c>
      <c r="B11" s="16" t="s">
        <v>328</v>
      </c>
      <c r="D11" s="14">
        <v>1</v>
      </c>
      <c r="E11" s="14">
        <v>0.941106185559481</v>
      </c>
      <c r="F11" s="14">
        <v>6.120630973060523E-3</v>
      </c>
      <c r="G11" s="14">
        <v>9.5773351045738949E-7</v>
      </c>
      <c r="H11" s="14">
        <v>194.5432629182479</v>
      </c>
      <c r="I11" s="14">
        <v>659.28526053326914</v>
      </c>
      <c r="J11" s="14">
        <v>0</v>
      </c>
      <c r="K11" s="14">
        <v>163.38184811360489</v>
      </c>
      <c r="L11" s="14">
        <v>6.120630973060523E-3</v>
      </c>
      <c r="M11" s="14">
        <v>5.0219777133961594E-3</v>
      </c>
      <c r="N11" s="14">
        <v>41.058329540761555</v>
      </c>
      <c r="O11" s="14">
        <v>15639.528305371485</v>
      </c>
      <c r="P11" s="8">
        <v>41.058329540761555</v>
      </c>
      <c r="Q11" s="54">
        <v>8.5363726649629851E-2</v>
      </c>
    </row>
    <row r="12" spans="1:20">
      <c r="A12" s="2" t="s">
        <v>329</v>
      </c>
      <c r="B12" s="16" t="s">
        <v>330</v>
      </c>
      <c r="D12" s="14">
        <v>1</v>
      </c>
      <c r="E12" s="14">
        <v>0.90775246822230249</v>
      </c>
      <c r="F12" s="14">
        <v>4.2923356718358473E-2</v>
      </c>
      <c r="G12" s="14">
        <v>6.6151876064028005E-7</v>
      </c>
      <c r="H12" s="14">
        <v>206.7824504539287</v>
      </c>
      <c r="I12" s="14">
        <v>361.71860589650515</v>
      </c>
      <c r="J12" s="14">
        <v>0</v>
      </c>
      <c r="K12" s="14">
        <v>23.297339175067275</v>
      </c>
      <c r="L12" s="14">
        <v>4.2923356718358473E-2</v>
      </c>
      <c r="M12" s="14">
        <v>3.5218614187413129E-2</v>
      </c>
      <c r="N12" s="14">
        <v>22.376683491835646</v>
      </c>
      <c r="O12" s="14">
        <v>6140.1619501597006</v>
      </c>
      <c r="P12" s="8">
        <v>22.376683491835646</v>
      </c>
      <c r="Q12" s="54">
        <v>0.14274826826486578</v>
      </c>
    </row>
    <row r="13" spans="1:20">
      <c r="A13" s="2" t="s">
        <v>277</v>
      </c>
      <c r="B13" s="16" t="s">
        <v>278</v>
      </c>
      <c r="D13" s="14">
        <v>1</v>
      </c>
      <c r="E13" s="14">
        <v>0.89064873219571927</v>
      </c>
      <c r="F13" s="14">
        <v>6.5499085916753796E-2</v>
      </c>
      <c r="G13" s="14">
        <v>2.0088325038638652E-6</v>
      </c>
      <c r="H13" s="14">
        <v>196.20733508450132</v>
      </c>
      <c r="I13" s="14">
        <v>355.4450004057731</v>
      </c>
      <c r="J13" s="14">
        <v>0</v>
      </c>
      <c r="K13" s="14">
        <v>15.267388636094131</v>
      </c>
      <c r="L13" s="14">
        <v>6.5499085916753796E-2</v>
      </c>
      <c r="M13" s="14">
        <v>5.374199999469649E-2</v>
      </c>
      <c r="N13" s="14">
        <v>21.978253489986457</v>
      </c>
      <c r="O13" s="14">
        <v>8943.6106926801895</v>
      </c>
      <c r="P13" s="8">
        <v>21.978253489986457</v>
      </c>
      <c r="Q13" s="54">
        <v>0.17004834516855255</v>
      </c>
    </row>
    <row r="14" spans="1:20">
      <c r="A14" s="2" t="s">
        <v>331</v>
      </c>
      <c r="B14" s="16" t="s">
        <v>332</v>
      </c>
      <c r="D14" s="14">
        <v>1</v>
      </c>
      <c r="E14" s="14">
        <v>0.93943152482730941</v>
      </c>
      <c r="F14" s="14">
        <v>4.0635194920813225E-3</v>
      </c>
      <c r="G14" s="14">
        <v>6.3857341637116606E-7</v>
      </c>
      <c r="H14" s="14">
        <v>168.92049575403442</v>
      </c>
      <c r="I14" s="14">
        <v>897.51045868058191</v>
      </c>
      <c r="J14" s="14">
        <v>0</v>
      </c>
      <c r="K14" s="14">
        <v>246.09208887732024</v>
      </c>
      <c r="L14" s="14">
        <v>4.0635194920813225E-3</v>
      </c>
      <c r="M14" s="14">
        <v>3.3341177432527251E-3</v>
      </c>
      <c r="N14" s="14">
        <v>56.022027855660674</v>
      </c>
      <c r="O14" s="14">
        <v>21339.35063049971</v>
      </c>
      <c r="P14" s="8">
        <v>56.022027855660681</v>
      </c>
      <c r="Q14" s="54">
        <v>8.4886674111130378E-2</v>
      </c>
    </row>
    <row r="15" spans="1:20">
      <c r="A15" s="2" t="s">
        <v>333</v>
      </c>
      <c r="B15" s="16" t="s">
        <v>334</v>
      </c>
      <c r="D15" s="14">
        <v>1</v>
      </c>
      <c r="E15" s="14">
        <v>0.94161092408943436</v>
      </c>
      <c r="F15" s="14">
        <v>6.5142906530950753E-3</v>
      </c>
      <c r="G15" s="14">
        <v>1.0423549174845566E-9</v>
      </c>
      <c r="H15" s="14">
        <v>198.2837536964486</v>
      </c>
      <c r="I15" s="14">
        <v>624.9486045827274</v>
      </c>
      <c r="J15" s="14">
        <v>0</v>
      </c>
      <c r="K15" s="14">
        <v>153.50865554715139</v>
      </c>
      <c r="L15" s="14">
        <v>6.5142906530950761E-3</v>
      </c>
      <c r="M15" s="14">
        <v>5.3449754808645097E-3</v>
      </c>
      <c r="N15" s="14">
        <v>38.905865305259127</v>
      </c>
      <c r="O15" s="14">
        <v>14958.52709256603</v>
      </c>
      <c r="P15" s="8">
        <v>38.905865305259127</v>
      </c>
      <c r="Q15" s="54">
        <v>8.5122486781365789E-2</v>
      </c>
    </row>
    <row r="16" spans="1:20">
      <c r="A16" s="2" t="s">
        <v>335</v>
      </c>
      <c r="B16" s="16" t="s">
        <v>336</v>
      </c>
      <c r="D16" s="14">
        <v>1</v>
      </c>
      <c r="E16" s="14">
        <v>0.9424232941625037</v>
      </c>
      <c r="F16" s="14">
        <v>1.4312462346114741E-3</v>
      </c>
      <c r="G16" s="14">
        <v>4.9664131459696047E-6</v>
      </c>
      <c r="H16" s="14">
        <v>106.27089963856793</v>
      </c>
      <c r="I16" s="14">
        <v>1492.352879499673</v>
      </c>
      <c r="J16" s="14">
        <v>0</v>
      </c>
      <c r="K16" s="14">
        <v>698.69179447760064</v>
      </c>
      <c r="L16" s="14">
        <v>1.4312462346114743E-3</v>
      </c>
      <c r="M16" s="14">
        <v>1.1743375354987147E-3</v>
      </c>
      <c r="N16" s="14">
        <v>93.624992442740393</v>
      </c>
      <c r="O16" s="14">
        <v>34952.082178723846</v>
      </c>
      <c r="P16" s="8">
        <v>93.624992442740407</v>
      </c>
      <c r="Q16" s="54">
        <v>7.1593159346527296E-2</v>
      </c>
    </row>
    <row r="17" spans="1:21">
      <c r="A17" s="2" t="s">
        <v>337</v>
      </c>
      <c r="B17" s="16" t="s">
        <v>338</v>
      </c>
      <c r="D17" s="14">
        <v>1</v>
      </c>
      <c r="E17" s="14">
        <v>0.942483050530175</v>
      </c>
      <c r="F17" s="14">
        <v>7.2690263001474352E-3</v>
      </c>
      <c r="G17" s="14">
        <v>3.6735396174394362E-7</v>
      </c>
      <c r="H17" s="14">
        <v>204.67096639906072</v>
      </c>
      <c r="I17" s="14">
        <v>566.12640427289659</v>
      </c>
      <c r="J17" s="14">
        <v>0</v>
      </c>
      <c r="K17" s="14">
        <v>137.57000713833119</v>
      </c>
      <c r="L17" s="14">
        <v>7.269026300147436E-3</v>
      </c>
      <c r="M17" s="14">
        <v>5.9642360792709712E-3</v>
      </c>
      <c r="N17" s="14">
        <v>35.221182073403284</v>
      </c>
      <c r="O17" s="14">
        <v>13712.310604817367</v>
      </c>
      <c r="P17" s="8">
        <v>35.221182073403284</v>
      </c>
      <c r="Q17" s="54">
        <v>8.4472123332345328E-2</v>
      </c>
    </row>
    <row r="18" spans="1:21">
      <c r="A18" s="2" t="s">
        <v>279</v>
      </c>
      <c r="B18" s="16" t="s">
        <v>280</v>
      </c>
      <c r="D18" s="14">
        <v>1</v>
      </c>
      <c r="E18" s="14">
        <v>0.87792992828097416</v>
      </c>
      <c r="F18" s="14">
        <v>8.28276248031488E-2</v>
      </c>
      <c r="G18" s="14">
        <v>3.928472299862167E-5</v>
      </c>
      <c r="H18" s="14">
        <v>188.44959461131873</v>
      </c>
      <c r="I18" s="14">
        <v>348.37932897340562</v>
      </c>
      <c r="J18" s="14">
        <v>0</v>
      </c>
      <c r="K18" s="14">
        <v>12.073266647167983</v>
      </c>
      <c r="L18" s="14">
        <v>8.28276248031488E-2</v>
      </c>
      <c r="M18" s="14">
        <v>6.7960066150983586E-2</v>
      </c>
      <c r="N18" s="14">
        <v>21.540330842330171</v>
      </c>
      <c r="O18" s="14">
        <v>6264.5744188748831</v>
      </c>
      <c r="P18" s="8">
        <v>21.540330842330171</v>
      </c>
      <c r="Q18" s="54">
        <v>0.18631695519489844</v>
      </c>
    </row>
    <row r="19" spans="1:21">
      <c r="A19" s="2" t="s">
        <v>339</v>
      </c>
      <c r="B19" s="16" t="s">
        <v>340</v>
      </c>
      <c r="D19" s="14">
        <v>1</v>
      </c>
      <c r="E19" s="14">
        <v>0.94151906807815067</v>
      </c>
      <c r="F19" s="14">
        <v>6.4341758887107277E-3</v>
      </c>
      <c r="G19" s="14">
        <v>3.6534352654411901E-9</v>
      </c>
      <c r="H19" s="14">
        <v>197.54813268046397</v>
      </c>
      <c r="I19" s="14">
        <v>631.72796094152591</v>
      </c>
      <c r="J19" s="14">
        <v>0</v>
      </c>
      <c r="K19" s="14">
        <v>155.42005958441069</v>
      </c>
      <c r="L19" s="14">
        <v>6.4341758887107286E-3</v>
      </c>
      <c r="M19" s="14">
        <v>5.2792413166871527E-3</v>
      </c>
      <c r="N19" s="14">
        <v>39.330749822703368</v>
      </c>
      <c r="O19" s="14">
        <v>13594.673676217419</v>
      </c>
      <c r="P19" s="8">
        <v>39.330749822703368</v>
      </c>
      <c r="Q19" s="54">
        <v>8.5178521928032505E-2</v>
      </c>
    </row>
    <row r="20" spans="1:21">
      <c r="A20" s="2" t="s">
        <v>281</v>
      </c>
      <c r="B20" s="16" t="s">
        <v>282</v>
      </c>
      <c r="D20" s="14">
        <v>1</v>
      </c>
      <c r="E20" s="14">
        <v>0.89075503030299674</v>
      </c>
      <c r="F20" s="14">
        <v>6.55069031724346E-2</v>
      </c>
      <c r="G20" s="14">
        <v>3.0408539122565564E-7</v>
      </c>
      <c r="H20" s="14">
        <v>196.23075224954016</v>
      </c>
      <c r="I20" s="14">
        <v>355.48742243975641</v>
      </c>
      <c r="J20" s="14">
        <v>0</v>
      </c>
      <c r="K20" s="14">
        <v>15.265566704743897</v>
      </c>
      <c r="L20" s="14">
        <v>6.55069031724346E-2</v>
      </c>
      <c r="M20" s="14">
        <v>5.3748414052982592E-2</v>
      </c>
      <c r="N20" s="14">
        <v>21.980876574332505</v>
      </c>
      <c r="O20" s="14">
        <v>6402.150111040085</v>
      </c>
      <c r="P20" s="8">
        <v>21.980876574332505</v>
      </c>
      <c r="Q20" s="54">
        <v>0.17006864028219687</v>
      </c>
    </row>
    <row r="21" spans="1:21">
      <c r="A21" s="2" t="s">
        <v>341</v>
      </c>
      <c r="B21" s="16" t="s">
        <v>342</v>
      </c>
      <c r="D21" s="14">
        <v>1</v>
      </c>
      <c r="E21" s="14">
        <v>0.93941556569316986</v>
      </c>
      <c r="F21" s="14">
        <v>4.5953184193906734E-3</v>
      </c>
      <c r="G21" s="14">
        <v>5.3466788351680983E-6</v>
      </c>
      <c r="H21" s="14">
        <v>176.70775523287537</v>
      </c>
      <c r="I21" s="14">
        <v>823.97262013620139</v>
      </c>
      <c r="J21" s="14">
        <v>0</v>
      </c>
      <c r="K21" s="14">
        <v>217.61277646840352</v>
      </c>
      <c r="L21" s="14">
        <v>4.5953184193906734E-3</v>
      </c>
      <c r="M21" s="14">
        <v>3.7704587631100478E-3</v>
      </c>
      <c r="N21" s="14">
        <v>51.397465771916515</v>
      </c>
      <c r="O21" s="14">
        <v>17232.542324008169</v>
      </c>
      <c r="P21" s="8">
        <v>51.397465771916515</v>
      </c>
      <c r="Q21" s="54">
        <v>8.5371474163380603E-2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0.85386805211997929</v>
      </c>
      <c r="F22" s="14">
        <v>0.67508676390044198</v>
      </c>
      <c r="G22" s="14">
        <v>2.6104061307518035E-5</v>
      </c>
      <c r="H22" s="14">
        <v>40.895883321089066</v>
      </c>
      <c r="I22" s="14">
        <v>98.749922586860677</v>
      </c>
      <c r="J22" s="14">
        <v>0</v>
      </c>
      <c r="K22" s="14">
        <v>1.4812910776420947</v>
      </c>
      <c r="L22" s="14">
        <v>0.67508676390044198</v>
      </c>
      <c r="M22" s="14">
        <v>0.5539086897803126</v>
      </c>
      <c r="N22" s="14">
        <v>6.6174832553698781</v>
      </c>
      <c r="O22" s="14">
        <v>1086.5907505317339</v>
      </c>
      <c r="P22" s="8">
        <v>6.6174832553698781</v>
      </c>
      <c r="Q22" s="54">
        <v>0.22947573198044557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0.89532624256078053</v>
      </c>
      <c r="F23" s="14">
        <v>0.81467348711044529</v>
      </c>
      <c r="G23" s="14">
        <v>1.0616761724816654E-6</v>
      </c>
      <c r="H23" s="14">
        <v>18.610737467076426</v>
      </c>
      <c r="I23" s="14">
        <v>48.285947021907639</v>
      </c>
      <c r="J23" s="14">
        <v>0</v>
      </c>
      <c r="K23" s="14">
        <v>1.2274856317552285</v>
      </c>
      <c r="L23" s="14">
        <v>0.8146734871104454</v>
      </c>
      <c r="M23" s="14">
        <v>0.66843959617412041</v>
      </c>
      <c r="N23" s="14">
        <v>3.6558340593635696</v>
      </c>
      <c r="O23" s="14">
        <v>552.61587641339713</v>
      </c>
      <c r="P23" s="8">
        <v>3.6558340593635696</v>
      </c>
      <c r="Q23" s="54">
        <v>0.1665791929054353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0.83733954121163379</v>
      </c>
      <c r="F24" s="14">
        <v>0.21294257347099518</v>
      </c>
      <c r="G24" s="14">
        <v>9.8046249609736991E-7</v>
      </c>
      <c r="H24" s="14">
        <v>145.88226523136615</v>
      </c>
      <c r="I24" s="14">
        <v>294.61826599741892</v>
      </c>
      <c r="J24" s="14">
        <v>0</v>
      </c>
      <c r="K24" s="14">
        <v>4.6961017879133014</v>
      </c>
      <c r="L24" s="14">
        <v>0.21294257347099518</v>
      </c>
      <c r="M24" s="14">
        <v>0.17471938153295155</v>
      </c>
      <c r="N24" s="14">
        <v>18.278453122204784</v>
      </c>
      <c r="O24" s="14">
        <v>3221.5773627885928</v>
      </c>
      <c r="P24" s="8">
        <v>18.278453122204784</v>
      </c>
      <c r="Q24" s="54">
        <v>0.25624751892908615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0.91836726880452713</v>
      </c>
      <c r="F25" s="14">
        <v>2.2801393051256877E-2</v>
      </c>
      <c r="G25" s="14">
        <v>1.6122406564773463E-4</v>
      </c>
      <c r="H25" s="14">
        <v>215.77512706852539</v>
      </c>
      <c r="I25" s="14">
        <v>359.13567796326703</v>
      </c>
      <c r="J25" s="14">
        <v>0</v>
      </c>
      <c r="K25" s="14">
        <v>43.856969517258378</v>
      </c>
      <c r="L25" s="14">
        <v>2.280139305125688E-2</v>
      </c>
      <c r="M25" s="14">
        <v>1.8708542998556271E-2</v>
      </c>
      <c r="N25" s="14">
        <v>22.244049607120221</v>
      </c>
      <c r="O25" s="14">
        <v>4277.5307394492193</v>
      </c>
      <c r="P25" s="8">
        <v>22.244049607120225</v>
      </c>
      <c r="Q25" s="54">
        <v>0.1078098773106913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0.93977426620531568</v>
      </c>
      <c r="F26" s="14">
        <v>4.97923096027724E-3</v>
      </c>
      <c r="G26" s="14">
        <v>4.2911209824523118E-6</v>
      </c>
      <c r="H26" s="14">
        <v>181.77839786466569</v>
      </c>
      <c r="I26" s="14">
        <v>776.96139797887906</v>
      </c>
      <c r="J26" s="14">
        <v>0</v>
      </c>
      <c r="K26" s="14">
        <v>200.83422680684825</v>
      </c>
      <c r="L26" s="14">
        <v>4.97923096027724E-3</v>
      </c>
      <c r="M26" s="14">
        <v>4.0854590029074751E-3</v>
      </c>
      <c r="N26" s="14">
        <v>48.443534867731479</v>
      </c>
      <c r="O26" s="14">
        <v>10772.38884853745</v>
      </c>
      <c r="P26" s="8">
        <v>48.443534867731486</v>
      </c>
      <c r="Q26" s="54">
        <v>8.5545947749677373E-2</v>
      </c>
    </row>
    <row r="27" spans="1:21">
      <c r="A27" s="2" t="s">
        <v>353</v>
      </c>
      <c r="B27" s="16" t="s">
        <v>354</v>
      </c>
      <c r="D27" s="14">
        <v>1</v>
      </c>
      <c r="E27" s="14">
        <v>0.94560097031048995</v>
      </c>
      <c r="F27" s="14">
        <v>7.5888554854625231E-4</v>
      </c>
      <c r="G27" s="14">
        <v>2.9013810509413327E-5</v>
      </c>
      <c r="H27" s="14">
        <v>76.291522627327652</v>
      </c>
      <c r="I27" s="14">
        <v>1780.0551315509906</v>
      </c>
      <c r="J27" s="14">
        <v>0</v>
      </c>
      <c r="K27" s="14">
        <v>1317.7217591185324</v>
      </c>
      <c r="L27" s="14">
        <v>7.5888554854625231E-4</v>
      </c>
      <c r="M27" s="14">
        <v>6.226655925822E-4</v>
      </c>
      <c r="N27" s="14">
        <v>111.97493501648297</v>
      </c>
      <c r="O27" s="14">
        <v>26469.754888546409</v>
      </c>
      <c r="P27" s="8">
        <v>111.97493501648299</v>
      </c>
      <c r="Q27" s="54">
        <v>5.9900914589312092E-2</v>
      </c>
    </row>
    <row r="28" spans="1:21">
      <c r="A28" s="2" t="s">
        <v>355</v>
      </c>
      <c r="B28" s="16" t="s">
        <v>356</v>
      </c>
      <c r="D28" s="14">
        <v>1</v>
      </c>
      <c r="E28" s="14">
        <v>0.93954779625346296</v>
      </c>
      <c r="F28" s="14">
        <v>2.7420662460287243E-3</v>
      </c>
      <c r="G28" s="14">
        <v>1.6069650466504617E-6</v>
      </c>
      <c r="H28" s="14">
        <v>144.0051231068183</v>
      </c>
      <c r="I28" s="14">
        <v>1131.9705119459425</v>
      </c>
      <c r="J28" s="14">
        <v>0</v>
      </c>
      <c r="K28" s="14">
        <v>364.68849045798163</v>
      </c>
      <c r="L28" s="14">
        <v>2.7420662460287243E-3</v>
      </c>
      <c r="M28" s="14">
        <v>2.2498653548665686E-3</v>
      </c>
      <c r="N28" s="14">
        <v>70.800202098051955</v>
      </c>
      <c r="O28" s="14">
        <v>18294.772222136624</v>
      </c>
      <c r="P28" s="8">
        <v>70.800202098051955</v>
      </c>
      <c r="Q28" s="54">
        <v>8.1439502794983396E-2</v>
      </c>
    </row>
    <row r="29" spans="1:21">
      <c r="A29" s="2" t="s">
        <v>357</v>
      </c>
      <c r="B29" s="16" t="s">
        <v>358</v>
      </c>
      <c r="D29" s="14">
        <v>1</v>
      </c>
      <c r="E29" s="14">
        <v>0.91811945891783753</v>
      </c>
      <c r="F29" s="14">
        <v>4.1393599819238725E-3</v>
      </c>
      <c r="G29" s="14">
        <v>3.2588298404927793E-4</v>
      </c>
      <c r="H29" s="14">
        <v>167.66144186986037</v>
      </c>
      <c r="I29" s="14">
        <v>852.88478616302757</v>
      </c>
      <c r="J29" s="14">
        <v>0</v>
      </c>
      <c r="K29" s="14">
        <v>241.58324097611452</v>
      </c>
      <c r="L29" s="14">
        <v>4.1393599819238725E-3</v>
      </c>
      <c r="M29" s="14">
        <v>3.3963448651685374E-3</v>
      </c>
      <c r="N29" s="14">
        <v>53.224634298583105</v>
      </c>
      <c r="O29" s="14">
        <v>12581.77130184206</v>
      </c>
      <c r="P29" s="8">
        <v>53.224634298583105</v>
      </c>
      <c r="Q29" s="54">
        <v>8.3155382867576275E-2</v>
      </c>
    </row>
    <row r="30" spans="1:21">
      <c r="A30" s="2" t="s">
        <v>359</v>
      </c>
      <c r="B30" s="16" t="s">
        <v>360</v>
      </c>
      <c r="D30" s="14">
        <v>1</v>
      </c>
      <c r="E30" s="14">
        <v>0.93954779625346296</v>
      </c>
      <c r="F30" s="14">
        <v>2.7420662460287243E-3</v>
      </c>
      <c r="G30" s="14">
        <v>1.6069650466504617E-6</v>
      </c>
      <c r="H30" s="14">
        <v>144.0051231068183</v>
      </c>
      <c r="I30" s="14">
        <v>1131.9705119459425</v>
      </c>
      <c r="J30" s="14">
        <v>0</v>
      </c>
      <c r="K30" s="14">
        <v>364.68849045798163</v>
      </c>
      <c r="L30" s="14">
        <v>2.7420662460287243E-3</v>
      </c>
      <c r="M30" s="14">
        <v>2.2498653548665686E-3</v>
      </c>
      <c r="N30" s="14">
        <v>70.800202098051955</v>
      </c>
      <c r="O30" s="14">
        <v>18294.772222136624</v>
      </c>
      <c r="P30" s="8">
        <v>70.800202098051955</v>
      </c>
      <c r="Q30" s="54">
        <v>8.1439502794983396E-2</v>
      </c>
    </row>
    <row r="31" spans="1:21">
      <c r="A31" s="2" t="s">
        <v>283</v>
      </c>
      <c r="B31" s="16" t="s">
        <v>284</v>
      </c>
      <c r="D31" s="14">
        <v>1</v>
      </c>
      <c r="E31" s="14">
        <v>0.98988417944930984</v>
      </c>
      <c r="F31" s="14">
        <v>0.99290206346293508</v>
      </c>
      <c r="G31" s="14">
        <v>2.9526699281108867E-10</v>
      </c>
      <c r="H31" s="14">
        <v>0.17297622433794674</v>
      </c>
      <c r="I31" s="14">
        <v>0.64275221807408012</v>
      </c>
      <c r="J31" s="14">
        <v>0</v>
      </c>
      <c r="K31" s="14">
        <v>1.0071486773955425</v>
      </c>
      <c r="L31" s="14">
        <v>0.99290206346293508</v>
      </c>
      <c r="M31" s="14">
        <v>0.81467614307133829</v>
      </c>
      <c r="N31" s="14">
        <v>0.91621628165673963</v>
      </c>
      <c r="O31" s="14">
        <v>177.92003973492226</v>
      </c>
      <c r="P31" s="8">
        <v>0.91621628165673963</v>
      </c>
      <c r="Q31" s="54">
        <v>1.5989820337780975E-2</v>
      </c>
    </row>
    <row r="32" spans="1:21">
      <c r="A32" s="2" t="s">
        <v>361</v>
      </c>
      <c r="B32" s="16" t="s">
        <v>362</v>
      </c>
      <c r="D32" s="14">
        <v>1</v>
      </c>
      <c r="E32" s="14">
        <v>0.83198210526549143</v>
      </c>
      <c r="F32" s="14">
        <v>0.53527726459679059</v>
      </c>
      <c r="G32" s="14">
        <v>2.9104565202309058E-10</v>
      </c>
      <c r="H32" s="14">
        <v>68.125659262973286</v>
      </c>
      <c r="I32" s="14">
        <v>155.52170001620959</v>
      </c>
      <c r="J32" s="14">
        <v>0</v>
      </c>
      <c r="K32" s="14">
        <v>1.8681906857248496</v>
      </c>
      <c r="L32" s="14">
        <v>0.53527726459679059</v>
      </c>
      <c r="M32" s="14">
        <v>0.43919499560166669</v>
      </c>
      <c r="N32" s="14">
        <v>10.069979060023671</v>
      </c>
      <c r="O32" s="14">
        <v>2578.8209374814619</v>
      </c>
      <c r="P32" s="8">
        <v>10.069979060023671</v>
      </c>
      <c r="Q32" s="54">
        <v>0.26668033677862896</v>
      </c>
    </row>
    <row r="33" spans="1:17">
      <c r="A33" s="2" t="s">
        <v>364</v>
      </c>
      <c r="B33" s="16" t="s">
        <v>365</v>
      </c>
      <c r="D33" s="14">
        <v>1</v>
      </c>
      <c r="E33" s="14">
        <v>0.99985728085794423</v>
      </c>
      <c r="F33" s="14">
        <v>0.99955070251605527</v>
      </c>
      <c r="G33" s="14">
        <v>1.341186469221157E-12</v>
      </c>
      <c r="H33" s="14">
        <v>1.1942763406114012</v>
      </c>
      <c r="I33" s="14">
        <v>3.3813783430051971E-3</v>
      </c>
      <c r="J33" s="14">
        <v>0</v>
      </c>
      <c r="K33" s="14">
        <v>1.0004494994429134</v>
      </c>
      <c r="L33" s="14">
        <v>0.99955070251605538</v>
      </c>
      <c r="M33" s="14">
        <v>0.82013135141442339</v>
      </c>
      <c r="N33" s="14">
        <v>0.88966086423543733</v>
      </c>
      <c r="O33" s="14">
        <v>263.47306494332474</v>
      </c>
      <c r="P33" s="8">
        <v>0.88966086423543733</v>
      </c>
      <c r="Q33" s="54">
        <v>3.8556159372756144E-5</v>
      </c>
    </row>
    <row r="34" spans="1:17">
      <c r="A34" s="2" t="s">
        <v>285</v>
      </c>
      <c r="B34" s="16" t="s">
        <v>286</v>
      </c>
      <c r="D34" s="14">
        <v>1</v>
      </c>
      <c r="E34" s="14">
        <v>0.99979194957268314</v>
      </c>
      <c r="F34" s="14">
        <v>0.54975579842567834</v>
      </c>
      <c r="G34" s="14">
        <v>3.9879028788528434E-12</v>
      </c>
      <c r="H34" s="14">
        <v>128.5078976379389</v>
      </c>
      <c r="I34" s="14">
        <v>9.771605858740269E-2</v>
      </c>
      <c r="J34" s="14">
        <v>0</v>
      </c>
      <c r="K34" s="14">
        <v>1.8189894547063883</v>
      </c>
      <c r="L34" s="14">
        <v>0.54975579842567845</v>
      </c>
      <c r="M34" s="14">
        <v>0.45107463260826913</v>
      </c>
      <c r="N34" s="14">
        <v>0.94448034034890793</v>
      </c>
      <c r="O34" s="14">
        <v>208.76793443072262</v>
      </c>
      <c r="P34" s="8">
        <v>0.94448034034890804</v>
      </c>
      <c r="Q34" s="54">
        <v>1.3139109778725628E-4</v>
      </c>
    </row>
    <row r="35" spans="1:17">
      <c r="A35" s="2" t="s">
        <v>287</v>
      </c>
      <c r="B35" s="16" t="s">
        <v>288</v>
      </c>
      <c r="D35" s="14">
        <v>1</v>
      </c>
      <c r="E35" s="14">
        <v>0.99967515979369459</v>
      </c>
      <c r="F35" s="14">
        <v>0.32551473936369291</v>
      </c>
      <c r="G35" s="14">
        <v>1.1618096860196647E-13</v>
      </c>
      <c r="H35" s="14">
        <v>191.93344490461223</v>
      </c>
      <c r="I35" s="14">
        <v>0.34414351986644764</v>
      </c>
      <c r="J35" s="14">
        <v>0</v>
      </c>
      <c r="K35" s="14">
        <v>3.0720575109894317</v>
      </c>
      <c r="L35" s="14">
        <v>0.32551473936369291</v>
      </c>
      <c r="M35" s="14">
        <v>0.26708484364791008</v>
      </c>
      <c r="N35" s="14">
        <v>0.94529038481692684</v>
      </c>
      <c r="O35" s="14">
        <v>217.66256400794558</v>
      </c>
      <c r="P35" s="8">
        <v>0.94529038481692695</v>
      </c>
      <c r="Q35" s="54">
        <v>3.1808236831526682E-4</v>
      </c>
    </row>
    <row r="36" spans="1:17">
      <c r="A36" s="2" t="s">
        <v>366</v>
      </c>
      <c r="B36" s="16" t="s">
        <v>305</v>
      </c>
      <c r="D36" s="14">
        <v>1</v>
      </c>
      <c r="E36" s="14">
        <v>0.99965704162219915</v>
      </c>
      <c r="F36" s="14">
        <v>0.10858493482327981</v>
      </c>
      <c r="G36" s="14">
        <v>2.0482881356615709E-10</v>
      </c>
      <c r="H36" s="14">
        <v>253.30839024024328</v>
      </c>
      <c r="I36" s="14">
        <v>0.67151075674312188</v>
      </c>
      <c r="J36" s="14">
        <v>0</v>
      </c>
      <c r="K36" s="14">
        <v>9.2093806717062847</v>
      </c>
      <c r="L36" s="14">
        <v>0.10858493482327983</v>
      </c>
      <c r="M36" s="14">
        <v>8.9093939022501095E-2</v>
      </c>
      <c r="N36" s="14">
        <v>0.90562275080100796</v>
      </c>
      <c r="O36" s="14">
        <v>186.81186103523191</v>
      </c>
      <c r="P36" s="8">
        <v>0.90562275080100796</v>
      </c>
      <c r="Q36" s="54">
        <v>3.5551094348363959E-4</v>
      </c>
    </row>
    <row r="37" spans="1:17">
      <c r="A37" s="2" t="s">
        <v>289</v>
      </c>
      <c r="B37" s="16" t="s">
        <v>290</v>
      </c>
      <c r="D37" s="14">
        <v>1</v>
      </c>
      <c r="E37" s="14">
        <v>0.96826045065953992</v>
      </c>
      <c r="F37" s="14">
        <v>0.2177674200217436</v>
      </c>
      <c r="G37" s="14">
        <v>4.8550665484981607E-17</v>
      </c>
      <c r="H37" s="14">
        <v>206.49660027088856</v>
      </c>
      <c r="I37" s="14">
        <v>65.274570407670168</v>
      </c>
      <c r="J37" s="14">
        <v>0</v>
      </c>
      <c r="K37" s="14">
        <v>4.5920551380006804</v>
      </c>
      <c r="L37" s="14">
        <v>0.21776742002174362</v>
      </c>
      <c r="M37" s="14">
        <v>0.17867816812784065</v>
      </c>
      <c r="N37" s="14">
        <v>4.7624322161654433</v>
      </c>
      <c r="O37" s="14">
        <v>1659.326632756364</v>
      </c>
      <c r="P37" s="8">
        <v>4.7624322161654442</v>
      </c>
      <c r="Q37" s="54">
        <v>4.976729340528175E-2</v>
      </c>
    </row>
    <row r="38" spans="1:17">
      <c r="A38" s="2" t="s">
        <v>291</v>
      </c>
      <c r="B38" s="16" t="s">
        <v>292</v>
      </c>
      <c r="D38" s="14">
        <v>1</v>
      </c>
      <c r="E38" s="14">
        <v>0.99907329175008719</v>
      </c>
      <c r="F38" s="14">
        <v>0.61622286747163368</v>
      </c>
      <c r="G38" s="14">
        <v>1.3436776871297266E-14</v>
      </c>
      <c r="H38" s="14">
        <v>109.40516124676338</v>
      </c>
      <c r="I38" s="14">
        <v>0.84628466945418768</v>
      </c>
      <c r="J38" s="14">
        <v>0</v>
      </c>
      <c r="K38" s="14">
        <v>1.6227895016343781</v>
      </c>
      <c r="L38" s="14">
        <v>0.6162228674716338</v>
      </c>
      <c r="M38" s="14">
        <v>0.50561086276047551</v>
      </c>
      <c r="N38" s="14">
        <v>0.98740873331356049</v>
      </c>
      <c r="O38" s="14">
        <v>304.44773474257011</v>
      </c>
      <c r="P38" s="8">
        <v>0.98740873331356049</v>
      </c>
      <c r="Q38" s="54">
        <v>1.2720860019152138E-3</v>
      </c>
    </row>
    <row r="39" spans="1:17">
      <c r="A39" s="2" t="s">
        <v>367</v>
      </c>
      <c r="B39" s="16" t="s">
        <v>368</v>
      </c>
      <c r="D39" s="14">
        <v>1</v>
      </c>
      <c r="E39" s="14">
        <v>0.94725686251083485</v>
      </c>
      <c r="F39" s="14">
        <v>1.1083038261080057E-2</v>
      </c>
      <c r="G39" s="14">
        <v>1.7220561979341382E-7</v>
      </c>
      <c r="H39" s="14">
        <v>226.52640488426294</v>
      </c>
      <c r="I39" s="14">
        <v>366.33296689821293</v>
      </c>
      <c r="J39" s="14">
        <v>0</v>
      </c>
      <c r="K39" s="14">
        <v>90.227966054368622</v>
      </c>
      <c r="L39" s="14">
        <v>1.1083038261080057E-2</v>
      </c>
      <c r="M39" s="14">
        <v>9.0936328932161876E-3</v>
      </c>
      <c r="N39" s="14">
        <v>22.733439154928778</v>
      </c>
      <c r="O39" s="14">
        <v>6327.6254543828754</v>
      </c>
      <c r="P39" s="8">
        <v>22.733439154928778</v>
      </c>
      <c r="Q39" s="54">
        <v>7.9519932600195867E-2</v>
      </c>
    </row>
    <row r="40" spans="1:17">
      <c r="A40" s="2" t="s">
        <v>369</v>
      </c>
      <c r="B40" s="16" t="s">
        <v>370</v>
      </c>
      <c r="D40" s="14">
        <v>1</v>
      </c>
      <c r="E40" s="14">
        <v>0.99020817235240544</v>
      </c>
      <c r="F40" s="14">
        <v>1.0149912728700799E-3</v>
      </c>
      <c r="G40" s="14">
        <v>1.0303752532775289E-14</v>
      </c>
      <c r="H40" s="14">
        <v>262.18165953759285</v>
      </c>
      <c r="I40" s="14">
        <v>175.62417632749137</v>
      </c>
      <c r="J40" s="14">
        <v>0</v>
      </c>
      <c r="K40" s="14">
        <v>985.23014604087268</v>
      </c>
      <c r="L40" s="14">
        <v>1.0149912728700799E-3</v>
      </c>
      <c r="M40" s="14">
        <v>8.3280033938990059E-4</v>
      </c>
      <c r="N40" s="14">
        <v>64.256954867240495</v>
      </c>
      <c r="O40" s="14">
        <v>26146.154935480157</v>
      </c>
      <c r="P40" s="8">
        <v>64.256954867240495</v>
      </c>
      <c r="Q40" s="54">
        <v>1.9587738633194884E-3</v>
      </c>
    </row>
    <row r="41" spans="1:17">
      <c r="A41" s="2" t="s">
        <v>371</v>
      </c>
      <c r="B41" s="16" t="s">
        <v>372</v>
      </c>
      <c r="D41" s="14">
        <v>1</v>
      </c>
      <c r="E41" s="14">
        <v>0.93294249090502523</v>
      </c>
      <c r="F41" s="14">
        <v>0.93655068296480681</v>
      </c>
      <c r="G41" s="14">
        <v>9.2819617111525657E-4</v>
      </c>
      <c r="H41" s="14">
        <v>8.1172941672972478E-3</v>
      </c>
      <c r="I41" s="14">
        <v>3.7624302342720295E-2</v>
      </c>
      <c r="J41" s="14">
        <v>0</v>
      </c>
      <c r="K41" s="14">
        <v>1.0677478733284713</v>
      </c>
      <c r="L41" s="14">
        <v>0.93655068296480692</v>
      </c>
      <c r="M41" s="14">
        <v>0.76843983537262406</v>
      </c>
      <c r="N41" s="14">
        <v>0.83009962423341699</v>
      </c>
      <c r="O41" s="14">
        <v>116.37166632128273</v>
      </c>
      <c r="P41" s="8">
        <v>0.83009962423341699</v>
      </c>
      <c r="Q41" s="54">
        <v>3.156955467214043E-3</v>
      </c>
    </row>
    <row r="42" spans="1:17">
      <c r="A42" s="2" t="s">
        <v>293</v>
      </c>
      <c r="B42" s="16" t="s">
        <v>294</v>
      </c>
      <c r="D42" s="14">
        <v>1</v>
      </c>
      <c r="E42" s="14">
        <v>0.84702526032973446</v>
      </c>
      <c r="F42" s="14">
        <v>0.63614054726143709</v>
      </c>
      <c r="G42" s="14">
        <v>2.3520230083121905E-10</v>
      </c>
      <c r="H42" s="14">
        <v>48.262862672248545</v>
      </c>
      <c r="I42" s="14">
        <v>114.62259829395266</v>
      </c>
      <c r="J42" s="14">
        <v>0</v>
      </c>
      <c r="K42" s="14">
        <v>1.5719796581195227</v>
      </c>
      <c r="L42" s="14">
        <v>0.63614054726143709</v>
      </c>
      <c r="M42" s="14">
        <v>0.52195331902800912</v>
      </c>
      <c r="N42" s="14">
        <v>7.5553621683639642</v>
      </c>
      <c r="O42" s="14">
        <v>2495.9894459407192</v>
      </c>
      <c r="P42" s="8">
        <v>7.5553621683639642</v>
      </c>
      <c r="Q42" s="54">
        <v>0.24314774653384943</v>
      </c>
    </row>
    <row r="43" spans="1:17">
      <c r="A43" s="2" t="s">
        <v>373</v>
      </c>
      <c r="B43" s="16" t="s">
        <v>374</v>
      </c>
      <c r="D43" s="14">
        <v>1</v>
      </c>
      <c r="E43" s="14">
        <v>0.99958709400818591</v>
      </c>
      <c r="F43" s="14">
        <v>8.8519902042299859E-3</v>
      </c>
      <c r="G43" s="14">
        <v>4.7931800634328358E-10</v>
      </c>
      <c r="H43" s="14">
        <v>281.35907314636927</v>
      </c>
      <c r="I43" s="14">
        <v>2.1996038010058432</v>
      </c>
      <c r="J43" s="14">
        <v>0</v>
      </c>
      <c r="K43" s="14">
        <v>112.96894561882173</v>
      </c>
      <c r="L43" s="14">
        <v>8.8519902042299859E-3</v>
      </c>
      <c r="M43" s="14">
        <v>7.2630579625707035E-3</v>
      </c>
      <c r="N43" s="14">
        <v>1.7615295359641483</v>
      </c>
      <c r="O43" s="14">
        <v>469.1657766086912</v>
      </c>
      <c r="P43" s="8">
        <v>1.7615295359641483</v>
      </c>
      <c r="Q43" s="54">
        <v>2.8480293561344437E-4</v>
      </c>
    </row>
    <row r="44" spans="1:17">
      <c r="A44" s="2" t="s">
        <v>375</v>
      </c>
      <c r="B44" s="16" t="s">
        <v>376</v>
      </c>
      <c r="D44" s="14">
        <v>1</v>
      </c>
      <c r="E44" s="14">
        <v>0.86764188068906334</v>
      </c>
      <c r="F44" s="14">
        <v>0.84294002808867596</v>
      </c>
      <c r="G44" s="14">
        <v>1.042425832244534E-3</v>
      </c>
      <c r="H44" s="14">
        <v>6.0956030453657215</v>
      </c>
      <c r="I44" s="14">
        <v>17.213684871246414</v>
      </c>
      <c r="J44" s="14">
        <v>0</v>
      </c>
      <c r="K44" s="14">
        <v>1.1863240167482016</v>
      </c>
      <c r="L44" s="14">
        <v>0.84294002808867596</v>
      </c>
      <c r="M44" s="14">
        <v>0.69163229304675866</v>
      </c>
      <c r="N44" s="14">
        <v>1.7882353755904565</v>
      </c>
      <c r="O44" s="14">
        <v>267.16236511321421</v>
      </c>
      <c r="P44" s="8">
        <v>1.7882353755904565</v>
      </c>
      <c r="Q44" s="54">
        <v>9.4639807472651369E-2</v>
      </c>
    </row>
    <row r="45" spans="1:17">
      <c r="A45" s="2" t="s">
        <v>377</v>
      </c>
      <c r="B45" s="16" t="s">
        <v>378</v>
      </c>
      <c r="D45" s="14">
        <v>1</v>
      </c>
      <c r="E45" s="14">
        <v>0.83972680162837754</v>
      </c>
      <c r="F45" s="14">
        <v>0.59785647893953664</v>
      </c>
      <c r="G45" s="14">
        <v>9.0149937033473062E-6</v>
      </c>
      <c r="H45" s="14">
        <v>55.403466677622035</v>
      </c>
      <c r="I45" s="14">
        <v>129.65644533629816</v>
      </c>
      <c r="J45" s="14">
        <v>0</v>
      </c>
      <c r="K45" s="14">
        <v>1.6726422397793124</v>
      </c>
      <c r="L45" s="14">
        <v>0.59785647893953675</v>
      </c>
      <c r="M45" s="14">
        <v>0.49054124096988988</v>
      </c>
      <c r="N45" s="14">
        <v>8.4433146832642088</v>
      </c>
      <c r="O45" s="14">
        <v>1876.4422552086378</v>
      </c>
      <c r="P45" s="8">
        <v>8.4433146832642088</v>
      </c>
      <c r="Q45" s="54">
        <v>0.25362619763405814</v>
      </c>
    </row>
    <row r="46" spans="1:17">
      <c r="A46" s="2" t="s">
        <v>379</v>
      </c>
      <c r="B46" s="16" t="s">
        <v>380</v>
      </c>
      <c r="D46" s="14">
        <v>1</v>
      </c>
      <c r="E46" s="14">
        <v>0.84280302957194719</v>
      </c>
      <c r="F46" s="14">
        <v>0.62097331599414873</v>
      </c>
      <c r="G46" s="14">
        <v>2.6986180824515225E-5</v>
      </c>
      <c r="H46" s="14">
        <v>50.782366839972831</v>
      </c>
      <c r="I46" s="14">
        <v>119.9416749029199</v>
      </c>
      <c r="J46" s="14">
        <v>0</v>
      </c>
      <c r="K46" s="14">
        <v>1.6103751550081464</v>
      </c>
      <c r="L46" s="14">
        <v>0.62097331599414873</v>
      </c>
      <c r="M46" s="14">
        <v>0.50950860577319912</v>
      </c>
      <c r="N46" s="14">
        <v>7.8680593403197889</v>
      </c>
      <c r="O46" s="14">
        <v>1011.5177087915122</v>
      </c>
      <c r="P46" s="8">
        <v>7.8680593403197898</v>
      </c>
      <c r="Q46" s="54">
        <v>0.2468141811066038</v>
      </c>
    </row>
    <row r="47" spans="1:17">
      <c r="A47" s="2" t="s">
        <v>381</v>
      </c>
      <c r="B47" s="16" t="s">
        <v>382</v>
      </c>
      <c r="D47" s="14">
        <v>1</v>
      </c>
      <c r="E47" s="14">
        <v>0.94829990312229606</v>
      </c>
      <c r="F47" s="14">
        <v>6.9161566874703629E-4</v>
      </c>
      <c r="G47" s="14">
        <v>4.9271219492958129E-10</v>
      </c>
      <c r="H47" s="14">
        <v>72.604714795907157</v>
      </c>
      <c r="I47" s="14">
        <v>1821.4698818688214</v>
      </c>
      <c r="J47" s="14">
        <v>0</v>
      </c>
      <c r="K47" s="14">
        <v>1445.8897407741604</v>
      </c>
      <c r="L47" s="14">
        <v>6.916156687470364E-4</v>
      </c>
      <c r="M47" s="14">
        <v>5.6747065620694332E-4</v>
      </c>
      <c r="N47" s="14">
        <v>114.62432271073544</v>
      </c>
      <c r="O47" s="14">
        <v>44851.351233483678</v>
      </c>
      <c r="P47" s="8">
        <v>114.62432271073546</v>
      </c>
      <c r="Q47" s="54">
        <v>5.8266910975603506E-2</v>
      </c>
    </row>
    <row r="48" spans="1:17">
      <c r="A48" s="2" t="s">
        <v>383</v>
      </c>
      <c r="B48" s="16" t="s">
        <v>384</v>
      </c>
      <c r="D48" s="14">
        <v>1</v>
      </c>
      <c r="E48" s="14">
        <v>0.95634111769139918</v>
      </c>
      <c r="F48" s="14">
        <v>0.95124237384334986</v>
      </c>
      <c r="G48" s="14">
        <v>1.3722071430331663E-4</v>
      </c>
      <c r="H48" s="14">
        <v>1.8740932136679598</v>
      </c>
      <c r="I48" s="14">
        <v>5.8243619875547976</v>
      </c>
      <c r="J48" s="14">
        <v>0</v>
      </c>
      <c r="K48" s="14">
        <v>1.0512567853339547</v>
      </c>
      <c r="L48" s="14">
        <v>0.95124237384334998</v>
      </c>
      <c r="M48" s="14">
        <v>0.78049436773846859</v>
      </c>
      <c r="N48" s="14">
        <v>1.1924931089629076</v>
      </c>
      <c r="O48" s="14">
        <v>111.05688323771558</v>
      </c>
      <c r="P48" s="8">
        <v>1.1924931089629078</v>
      </c>
      <c r="Q48" s="54">
        <v>5.4231093161877394E-2</v>
      </c>
    </row>
    <row r="49" spans="1:17">
      <c r="A49" s="2" t="s">
        <v>385</v>
      </c>
      <c r="B49" s="16" t="s">
        <v>386</v>
      </c>
      <c r="D49" s="14">
        <v>1</v>
      </c>
      <c r="E49" s="14">
        <v>0.93596551424529784</v>
      </c>
      <c r="F49" s="14">
        <v>0.92376653848111245</v>
      </c>
      <c r="G49" s="14">
        <v>2.6072982579310725E-4</v>
      </c>
      <c r="H49" s="14">
        <v>3.4006522769636596</v>
      </c>
      <c r="I49" s="14">
        <v>10.092979648766375</v>
      </c>
      <c r="J49" s="14">
        <v>0</v>
      </c>
      <c r="K49" s="14">
        <v>1.0825245972258672</v>
      </c>
      <c r="L49" s="14">
        <v>0.92376653848111256</v>
      </c>
      <c r="M49" s="14">
        <v>0.75795044482375284</v>
      </c>
      <c r="N49" s="14">
        <v>1.4270040642150306</v>
      </c>
      <c r="O49" s="14">
        <v>158.56869161557421</v>
      </c>
      <c r="P49" s="8">
        <v>1.4270040642150306</v>
      </c>
      <c r="Q49" s="54">
        <v>7.294900918499575E-2</v>
      </c>
    </row>
    <row r="50" spans="1:17">
      <c r="A50" s="2" t="s">
        <v>387</v>
      </c>
      <c r="B50" s="16" t="s">
        <v>388</v>
      </c>
      <c r="D50" s="14">
        <v>1</v>
      </c>
      <c r="E50" s="14">
        <v>0.87223809493152649</v>
      </c>
      <c r="F50" s="14">
        <v>8.7983725985651878E-2</v>
      </c>
      <c r="G50" s="14">
        <v>8.5166899582902165E-5</v>
      </c>
      <c r="H50" s="14">
        <v>185.71301888190817</v>
      </c>
      <c r="I50" s="14">
        <v>345.22283965566129</v>
      </c>
      <c r="J50" s="14">
        <v>0</v>
      </c>
      <c r="K50" s="14">
        <v>11.365738252129455</v>
      </c>
      <c r="L50" s="14">
        <v>8.7983725985651878E-2</v>
      </c>
      <c r="M50" s="14">
        <v>7.2190647171227362E-2</v>
      </c>
      <c r="N50" s="14">
        <v>21.345664276225605</v>
      </c>
      <c r="O50" s="14">
        <v>4214.7014113407458</v>
      </c>
      <c r="P50" s="8">
        <v>21.345664276225605</v>
      </c>
      <c r="Q50" s="54">
        <v>0.19032661364401116</v>
      </c>
    </row>
    <row r="51" spans="1:17">
      <c r="A51" s="2" t="s">
        <v>295</v>
      </c>
      <c r="B51" s="16" t="s">
        <v>296</v>
      </c>
      <c r="D51" s="14">
        <v>1</v>
      </c>
      <c r="E51" s="14">
        <v>0.93434568416559927</v>
      </c>
      <c r="F51" s="14">
        <v>0.93654888204430831</v>
      </c>
      <c r="G51" s="14">
        <v>7.5210579937146755E-4</v>
      </c>
      <c r="H51" s="14">
        <v>0.29733802320795588</v>
      </c>
      <c r="I51" s="14">
        <v>1.0570794268358028</v>
      </c>
      <c r="J51" s="14">
        <v>0</v>
      </c>
      <c r="K51" s="14">
        <v>1.0677499265358044</v>
      </c>
      <c r="L51" s="14">
        <v>0.93654888204430842</v>
      </c>
      <c r="M51" s="14">
        <v>0.76843835771735503</v>
      </c>
      <c r="N51" s="14">
        <v>0.8913543604836226</v>
      </c>
      <c r="O51" s="14">
        <v>51.769861256888795</v>
      </c>
      <c r="P51" s="8">
        <v>0.8913543604836226</v>
      </c>
      <c r="Q51" s="54">
        <v>2.0620900208533438E-2</v>
      </c>
    </row>
    <row r="52" spans="1:17">
      <c r="A52" s="2" t="s">
        <v>389</v>
      </c>
      <c r="B52" s="16" t="s">
        <v>390</v>
      </c>
      <c r="D52" s="14">
        <v>1</v>
      </c>
      <c r="E52" s="14">
        <v>0.8611480775661664</v>
      </c>
      <c r="F52" s="14">
        <v>0.81548245581409029</v>
      </c>
      <c r="G52" s="14">
        <v>8.6119819281845042E-4</v>
      </c>
      <c r="H52" s="14">
        <v>10.746687544316254</v>
      </c>
      <c r="I52" s="14">
        <v>29.035666057630309</v>
      </c>
      <c r="J52" s="14">
        <v>0</v>
      </c>
      <c r="K52" s="14">
        <v>1.2262679507944867</v>
      </c>
      <c r="L52" s="14">
        <v>0.81548245581409029</v>
      </c>
      <c r="M52" s="14">
        <v>0.66910335499546114</v>
      </c>
      <c r="N52" s="14">
        <v>2.4833788613180294</v>
      </c>
      <c r="O52" s="14">
        <v>266.09404499022691</v>
      </c>
      <c r="P52" s="8">
        <v>2.4833788613180299</v>
      </c>
      <c r="Q52" s="54">
        <v>0.12517909080805234</v>
      </c>
    </row>
    <row r="53" spans="1:17">
      <c r="A53" s="2" t="s">
        <v>391</v>
      </c>
      <c r="B53" s="16" t="s">
        <v>392</v>
      </c>
      <c r="D53" s="14">
        <v>1</v>
      </c>
      <c r="E53" s="14">
        <v>0.82389700780440145</v>
      </c>
      <c r="F53" s="14">
        <v>0.47015553552834716</v>
      </c>
      <c r="G53" s="14">
        <v>2.7046435794619062E-5</v>
      </c>
      <c r="H53" s="14">
        <v>81.410712146010823</v>
      </c>
      <c r="I53" s="14">
        <v>181.94441316114077</v>
      </c>
      <c r="J53" s="14">
        <v>0</v>
      </c>
      <c r="K53" s="14">
        <v>2.1269557081280115</v>
      </c>
      <c r="L53" s="14">
        <v>0.47015553552834716</v>
      </c>
      <c r="M53" s="14">
        <v>0.38576261690100888</v>
      </c>
      <c r="N53" s="14">
        <v>11.542537525047072</v>
      </c>
      <c r="O53" s="14">
        <v>1870.1219298081267</v>
      </c>
      <c r="P53" s="8">
        <v>11.542537525047072</v>
      </c>
      <c r="Q53" s="54">
        <v>0.27627317869861678</v>
      </c>
    </row>
    <row r="54" spans="1:17">
      <c r="A54" s="2" t="s">
        <v>393</v>
      </c>
      <c r="B54" s="16" t="s">
        <v>394</v>
      </c>
      <c r="D54" s="14">
        <v>1</v>
      </c>
      <c r="E54" s="14">
        <v>0.945446263632857</v>
      </c>
      <c r="F54" s="14">
        <v>9.680772347214039E-4</v>
      </c>
      <c r="G54" s="14">
        <v>2.27802504812065E-6</v>
      </c>
      <c r="H54" s="14">
        <v>86.962097725759108</v>
      </c>
      <c r="I54" s="14">
        <v>1680.3013571371487</v>
      </c>
      <c r="J54" s="14">
        <v>0</v>
      </c>
      <c r="K54" s="14">
        <v>1032.9754322626777</v>
      </c>
      <c r="L54" s="14">
        <v>9.6807723472140401E-4</v>
      </c>
      <c r="M54" s="14">
        <v>7.9430737108891194E-4</v>
      </c>
      <c r="N54" s="14">
        <v>105.59418965791113</v>
      </c>
      <c r="O54" s="14">
        <v>24644.627924259876</v>
      </c>
      <c r="P54" s="8">
        <v>105.59418965791113</v>
      </c>
      <c r="Q54" s="54">
        <v>6.4504078921684666E-2</v>
      </c>
    </row>
    <row r="55" spans="1:17">
      <c r="A55" s="2" t="s">
        <v>395</v>
      </c>
      <c r="B55" s="16" t="s">
        <v>396</v>
      </c>
      <c r="D55" s="14">
        <v>1</v>
      </c>
      <c r="E55" s="14">
        <v>0.73550233551920563</v>
      </c>
      <c r="F55" s="14">
        <v>0.16712892508974456</v>
      </c>
      <c r="G55" s="14">
        <v>1.8054277260404984E-3</v>
      </c>
      <c r="H55" s="14">
        <v>133.03062147595878</v>
      </c>
      <c r="I55" s="14">
        <v>265.71054534215108</v>
      </c>
      <c r="J55" s="14">
        <v>0</v>
      </c>
      <c r="K55" s="14">
        <v>5.9834047246042061</v>
      </c>
      <c r="L55" s="14">
        <v>0.16712892508974456</v>
      </c>
      <c r="M55" s="14">
        <v>0.13712928303613542</v>
      </c>
      <c r="N55" s="14">
        <v>16.470153066054955</v>
      </c>
      <c r="O55" s="14">
        <v>2110.9795184762634</v>
      </c>
      <c r="P55" s="8">
        <v>16.470153066054955</v>
      </c>
      <c r="Q55" s="54">
        <v>0.21747472519864333</v>
      </c>
    </row>
    <row r="56" spans="1:17">
      <c r="A56" s="2" t="s">
        <v>397</v>
      </c>
      <c r="B56" s="16" t="s">
        <v>398</v>
      </c>
      <c r="D56" s="14">
        <v>1</v>
      </c>
      <c r="E56" s="14">
        <v>0.38798370551439548</v>
      </c>
      <c r="F56" s="14">
        <v>1.9686392199136808E-2</v>
      </c>
      <c r="G56" s="14">
        <v>8.1627147607720666E-3</v>
      </c>
      <c r="H56" s="14">
        <v>87.984492435110127</v>
      </c>
      <c r="I56" s="14">
        <v>154.76163306030605</v>
      </c>
      <c r="J56" s="14">
        <v>0</v>
      </c>
      <c r="K56" s="14">
        <v>50.796509075128917</v>
      </c>
      <c r="L56" s="14">
        <v>1.9686392199136808E-2</v>
      </c>
      <c r="M56" s="14">
        <v>1.6152684799391751E-2</v>
      </c>
      <c r="N56" s="14">
        <v>9.5729211785798949</v>
      </c>
      <c r="O56" s="14">
        <v>1737.006547853322</v>
      </c>
      <c r="P56" s="8">
        <v>9.5729211785798967</v>
      </c>
      <c r="Q56" s="54">
        <v>6.2959794785731882E-2</v>
      </c>
    </row>
    <row r="57" spans="1:17">
      <c r="A57" s="2" t="s">
        <v>399</v>
      </c>
      <c r="B57" s="16" t="s">
        <v>400</v>
      </c>
      <c r="D57" s="14">
        <v>1</v>
      </c>
      <c r="E57" s="14">
        <v>0.21023642909203655</v>
      </c>
      <c r="F57" s="14">
        <v>3.6955518275859134E-2</v>
      </c>
      <c r="G57" s="14">
        <v>1.0764349373785714E-2</v>
      </c>
      <c r="H57" s="14">
        <v>40.715455458659513</v>
      </c>
      <c r="I57" s="14">
        <v>79.399262428621967</v>
      </c>
      <c r="J57" s="14">
        <v>0</v>
      </c>
      <c r="K57" s="14">
        <v>27.059558265030237</v>
      </c>
      <c r="L57" s="14">
        <v>3.6955518275859134E-2</v>
      </c>
      <c r="M57" s="14">
        <v>3.032200274534242E-2</v>
      </c>
      <c r="N57" s="14">
        <v>4.914778992908448</v>
      </c>
      <c r="O57" s="14">
        <v>722.47251195754188</v>
      </c>
      <c r="P57" s="8">
        <v>4.914778992908448</v>
      </c>
      <c r="Q57" s="54">
        <v>5.6966097403587851E-2</v>
      </c>
    </row>
    <row r="58" spans="1:17">
      <c r="A58" s="2" t="s">
        <v>297</v>
      </c>
      <c r="B58" s="16" t="s">
        <v>298</v>
      </c>
      <c r="D58" s="14">
        <v>1</v>
      </c>
      <c r="E58" s="14">
        <v>7.6691806404572127E-2</v>
      </c>
      <c r="F58" s="14">
        <v>7.5338152099976574E-2</v>
      </c>
      <c r="G58" s="14">
        <v>1.3129356815539346E-2</v>
      </c>
      <c r="H58" s="14">
        <v>0.35613525134920404</v>
      </c>
      <c r="I58" s="14">
        <v>1.0377007589343523</v>
      </c>
      <c r="J58" s="14">
        <v>0</v>
      </c>
      <c r="K58" s="14">
        <v>13.273487232245387</v>
      </c>
      <c r="L58" s="14">
        <v>7.5338152099976574E-2</v>
      </c>
      <c r="M58" s="14">
        <v>6.1814953798030779E-2</v>
      </c>
      <c r="N58" s="14">
        <v>0.12940176854191038</v>
      </c>
      <c r="O58" s="14">
        <v>10.990092202264449</v>
      </c>
      <c r="P58" s="8">
        <v>0.12940176854191041</v>
      </c>
      <c r="Q58" s="54">
        <v>6.777540701654948E-3</v>
      </c>
    </row>
    <row r="59" spans="1:17">
      <c r="A59" s="2" t="s">
        <v>401</v>
      </c>
      <c r="B59" s="16" t="s">
        <v>402</v>
      </c>
      <c r="D59" s="14">
        <v>1</v>
      </c>
      <c r="E59" s="14">
        <v>8.2271371870604168E-2</v>
      </c>
      <c r="F59" s="14">
        <v>1.5366517779592553E-2</v>
      </c>
      <c r="G59" s="14">
        <v>1.2903393761934565E-2</v>
      </c>
      <c r="H59" s="14">
        <v>15.706356934759221</v>
      </c>
      <c r="I59" s="14">
        <v>30.798717591228211</v>
      </c>
      <c r="J59" s="14">
        <v>0</v>
      </c>
      <c r="K59" s="14">
        <v>65.076552433241972</v>
      </c>
      <c r="L59" s="14">
        <v>1.5366517779592555E-2</v>
      </c>
      <c r="M59" s="14">
        <v>1.2608227838155692E-2</v>
      </c>
      <c r="N59" s="14">
        <v>1.9069203509062498</v>
      </c>
      <c r="O59" s="14">
        <v>316.22460179078342</v>
      </c>
      <c r="P59" s="8">
        <v>1.9069203509062498</v>
      </c>
      <c r="Q59" s="54">
        <v>2.2778893995501343E-2</v>
      </c>
    </row>
    <row r="60" spans="1:17">
      <c r="A60" s="2" t="s">
        <v>299</v>
      </c>
      <c r="B60" s="16" t="s">
        <v>300</v>
      </c>
      <c r="D60" s="14">
        <v>1</v>
      </c>
      <c r="E60" s="14">
        <v>1.69120789525947E-3</v>
      </c>
      <c r="F60" s="14">
        <v>5.7791621910751039E-4</v>
      </c>
      <c r="G60" s="14">
        <v>1.4256514847569554E-2</v>
      </c>
      <c r="H60" s="14">
        <v>0.25881228259128386</v>
      </c>
      <c r="I60" s="14">
        <v>0.53931444650356597</v>
      </c>
      <c r="J60" s="14">
        <v>0</v>
      </c>
      <c r="K60" s="14">
        <v>1730.3546205093942</v>
      </c>
      <c r="L60" s="14">
        <v>5.7791621910751039E-4</v>
      </c>
      <c r="M60" s="14">
        <v>4.7418025777771231E-4</v>
      </c>
      <c r="N60" s="14">
        <v>3.3584693380127928E-2</v>
      </c>
      <c r="O60" s="14">
        <v>2.7586467142437083</v>
      </c>
      <c r="P60" s="8">
        <v>3.3584693380127928E-2</v>
      </c>
      <c r="Q60" s="54">
        <v>5.5723970520664672E-4</v>
      </c>
    </row>
    <row r="61" spans="1:17">
      <c r="A61" s="2" t="s">
        <v>403</v>
      </c>
      <c r="B61" s="16" t="s">
        <v>404</v>
      </c>
      <c r="D61" s="14">
        <v>1</v>
      </c>
      <c r="E61" s="14">
        <v>0.8229593919181345</v>
      </c>
      <c r="F61" s="14">
        <v>0.35328113475393758</v>
      </c>
      <c r="G61" s="14">
        <v>6.1569968921522093E-46</v>
      </c>
      <c r="H61" s="14">
        <v>108.72776146740024</v>
      </c>
      <c r="I61" s="14">
        <v>232.9150852447911</v>
      </c>
      <c r="J61" s="14">
        <v>0</v>
      </c>
      <c r="K61" s="14">
        <v>2.8306068499709331</v>
      </c>
      <c r="L61" s="14">
        <v>0.35328113475393758</v>
      </c>
      <c r="M61" s="14">
        <v>0.28986717106560578</v>
      </c>
      <c r="N61" s="14">
        <v>14.580297366956589</v>
      </c>
      <c r="O61" s="14">
        <v>17534.411416475661</v>
      </c>
      <c r="P61" s="8">
        <v>14.580297366956589</v>
      </c>
      <c r="Q61" s="54">
        <v>0.2801545094927006</v>
      </c>
    </row>
    <row r="62" spans="1:17">
      <c r="A62" s="2" t="s">
        <v>405</v>
      </c>
      <c r="B62" s="16" t="s">
        <v>406</v>
      </c>
      <c r="D62" s="14">
        <v>1</v>
      </c>
      <c r="E62" s="14">
        <v>0.93952384313744763</v>
      </c>
      <c r="F62" s="14">
        <v>4.1779591219049715E-3</v>
      </c>
      <c r="G62" s="14">
        <v>1.279831143507707E-9</v>
      </c>
      <c r="H62" s="14">
        <v>170.69633102962959</v>
      </c>
      <c r="I62" s="14">
        <v>881.01105335982788</v>
      </c>
      <c r="J62" s="14">
        <v>0</v>
      </c>
      <c r="K62" s="14">
        <v>239.35131264377776</v>
      </c>
      <c r="L62" s="14">
        <v>4.1779591219049715E-3</v>
      </c>
      <c r="M62" s="14">
        <v>3.4280154595230294E-3</v>
      </c>
      <c r="N62" s="14">
        <v>54.98395615283868</v>
      </c>
      <c r="O62" s="14">
        <v>17532.184258894144</v>
      </c>
      <c r="P62" s="8">
        <v>54.98395615283868</v>
      </c>
      <c r="Q62" s="54">
        <v>8.5031796993056533E-2</v>
      </c>
    </row>
    <row r="63" spans="1:17">
      <c r="A63" s="2" t="s">
        <v>407</v>
      </c>
      <c r="B63" s="16" t="s">
        <v>408</v>
      </c>
      <c r="D63" s="14">
        <v>1</v>
      </c>
      <c r="E63" s="14">
        <v>0.95326316855979598</v>
      </c>
      <c r="F63" s="14">
        <v>3.7586702508833787E-4</v>
      </c>
      <c r="G63" s="14">
        <v>3.0173293296798315E-7</v>
      </c>
      <c r="H63" s="14">
        <v>51.605290436249192</v>
      </c>
      <c r="I63" s="14">
        <v>2029.791349852155</v>
      </c>
      <c r="J63" s="14">
        <v>0</v>
      </c>
      <c r="K63" s="14">
        <v>2660.5153771203413</v>
      </c>
      <c r="L63" s="14">
        <v>3.7586702508833787E-4</v>
      </c>
      <c r="M63" s="14">
        <v>3.0839889408498122E-4</v>
      </c>
      <c r="N63" s="14">
        <v>128.04058524688466</v>
      </c>
      <c r="O63" s="14">
        <v>62200.835907084111</v>
      </c>
      <c r="P63" s="8">
        <v>128.04058524688469</v>
      </c>
      <c r="Q63" s="54">
        <v>4.7429811363165472E-2</v>
      </c>
    </row>
    <row r="64" spans="1:17">
      <c r="A64" s="2" t="s">
        <v>409</v>
      </c>
      <c r="B64" s="16" t="s">
        <v>410</v>
      </c>
      <c r="D64" s="14">
        <v>1</v>
      </c>
      <c r="E64" s="14">
        <v>0.96099877868100181</v>
      </c>
      <c r="F64" s="14">
        <v>1.2917229890079245E-4</v>
      </c>
      <c r="G64" s="14">
        <v>3.705253076482168E-8</v>
      </c>
      <c r="H64" s="14">
        <v>27.57969054152591</v>
      </c>
      <c r="I64" s="14">
        <v>2273.2466493318057</v>
      </c>
      <c r="J64" s="14">
        <v>0</v>
      </c>
      <c r="K64" s="14">
        <v>7741.5979161911873</v>
      </c>
      <c r="L64" s="14">
        <v>1.2917229890079245E-4</v>
      </c>
      <c r="M64" s="14">
        <v>1.059858712481002E-4</v>
      </c>
      <c r="N64" s="14">
        <v>143.96871563368506</v>
      </c>
      <c r="O64" s="14">
        <v>81297.694031185616</v>
      </c>
      <c r="P64" s="8">
        <v>143.96871563368506</v>
      </c>
      <c r="Q64" s="54">
        <v>3.1684478225098525E-2</v>
      </c>
    </row>
    <row r="65" spans="1:17">
      <c r="A65" s="2" t="s">
        <v>301</v>
      </c>
      <c r="B65" s="16" t="s">
        <v>302</v>
      </c>
      <c r="D65" s="14">
        <v>1</v>
      </c>
      <c r="E65" s="14">
        <v>0.96764150649838854</v>
      </c>
      <c r="F65" s="14">
        <v>3.6009628930219482E-5</v>
      </c>
      <c r="G65" s="14">
        <v>4.5451386272354087E-9</v>
      </c>
      <c r="H65" s="14">
        <v>12.703361181340883</v>
      </c>
      <c r="I65" s="14">
        <v>2428.7108717604365</v>
      </c>
      <c r="J65" s="14">
        <v>0</v>
      </c>
      <c r="K65" s="14">
        <v>27770.350034370789</v>
      </c>
      <c r="L65" s="14">
        <v>3.6009628930219482E-5</v>
      </c>
      <c r="M65" s="14">
        <v>2.9545900537245088E-5</v>
      </c>
      <c r="N65" s="14">
        <v>154.51707499776964</v>
      </c>
      <c r="O65" s="14">
        <v>99444.09912706459</v>
      </c>
      <c r="P65" s="8">
        <v>154.51707499776964</v>
      </c>
      <c r="Q65" s="54">
        <v>1.8809437880861132E-2</v>
      </c>
    </row>
    <row r="66" spans="1:17">
      <c r="A66" s="2" t="s">
        <v>303</v>
      </c>
      <c r="B66" s="16" t="s">
        <v>304</v>
      </c>
      <c r="D66" s="14">
        <v>1</v>
      </c>
      <c r="E66" s="14">
        <v>0.96417783509352939</v>
      </c>
      <c r="F66" s="14">
        <v>7.493385858519488E-5</v>
      </c>
      <c r="G66" s="14">
        <v>4.4037898290175192E-15</v>
      </c>
      <c r="H66" s="14">
        <v>19.865435777934906</v>
      </c>
      <c r="I66" s="14">
        <v>2353.180642410558</v>
      </c>
      <c r="J66" s="14">
        <v>0</v>
      </c>
      <c r="K66" s="14">
        <v>13345.10218585722</v>
      </c>
      <c r="L66" s="14">
        <v>7.493385858519488E-5</v>
      </c>
      <c r="M66" s="14">
        <v>6.1483230969152408E-5</v>
      </c>
      <c r="N66" s="14">
        <v>149.32334750634323</v>
      </c>
      <c r="O66" s="14">
        <v>96359.849379318344</v>
      </c>
      <c r="P66" s="8">
        <v>149.32334750634325</v>
      </c>
      <c r="Q66" s="54">
        <v>2.5459816381840309E-2</v>
      </c>
    </row>
    <row r="67" spans="1:17">
      <c r="A67" s="2" t="s">
        <v>411</v>
      </c>
      <c r="B67" s="16" t="s">
        <v>412</v>
      </c>
      <c r="D67" s="14">
        <v>1</v>
      </c>
      <c r="E67" s="14">
        <v>0.92615625379764743</v>
      </c>
      <c r="F67" s="14">
        <v>0.89352567296909058</v>
      </c>
      <c r="G67" s="14">
        <v>5.673297042461977E-5</v>
      </c>
      <c r="H67" s="14">
        <v>7.8923626975328673</v>
      </c>
      <c r="I67" s="14">
        <v>21.961611571210188</v>
      </c>
      <c r="J67" s="14">
        <v>0</v>
      </c>
      <c r="K67" s="14">
        <v>1.1191620232657744</v>
      </c>
      <c r="L67" s="14">
        <v>0.89352567296909058</v>
      </c>
      <c r="M67" s="14">
        <v>0.73313781467113881</v>
      </c>
      <c r="N67" s="14">
        <v>2.1214274193222229</v>
      </c>
      <c r="O67" s="14">
        <v>636.6403685385992</v>
      </c>
      <c r="P67" s="8">
        <v>2.1214274193222229</v>
      </c>
      <c r="Q67" s="54">
        <v>0.111343330053418</v>
      </c>
    </row>
    <row r="68" spans="1:17">
      <c r="A68" s="2" t="s">
        <v>413</v>
      </c>
      <c r="B68" s="16" t="s">
        <v>414</v>
      </c>
      <c r="D68" s="14">
        <v>1</v>
      </c>
      <c r="E68" s="14">
        <v>0.89921275939781875</v>
      </c>
      <c r="F68" s="14">
        <v>0.83827203390355132</v>
      </c>
      <c r="G68" s="14">
        <v>1.2521993249596831E-4</v>
      </c>
      <c r="H68" s="14">
        <v>14.185510764186931</v>
      </c>
      <c r="I68" s="14">
        <v>37.627221364530612</v>
      </c>
      <c r="J68" s="14">
        <v>0</v>
      </c>
      <c r="K68" s="14">
        <v>1.1929301701063983</v>
      </c>
      <c r="L68" s="14">
        <v>0.83827203390355132</v>
      </c>
      <c r="M68" s="14">
        <v>0.68780220381786383</v>
      </c>
      <c r="N68" s="14">
        <v>3.0266901365265539</v>
      </c>
      <c r="O68" s="14">
        <v>993.20836830118856</v>
      </c>
      <c r="P68" s="8">
        <v>3.0266901365265539</v>
      </c>
      <c r="Q68" s="54">
        <v>0.14658925862814937</v>
      </c>
    </row>
    <row r="69" spans="1:17">
      <c r="A69" s="2" t="s">
        <v>415</v>
      </c>
      <c r="B69" s="16" t="s">
        <v>416</v>
      </c>
      <c r="D69" s="14">
        <v>1</v>
      </c>
      <c r="E69" s="14">
        <v>0.94144469416343868</v>
      </c>
      <c r="F69" s="14">
        <v>1.5059115591976948E-3</v>
      </c>
      <c r="G69" s="14">
        <v>1.4721360725487705E-5</v>
      </c>
      <c r="H69" s="14">
        <v>108.94805136445231</v>
      </c>
      <c r="I69" s="14">
        <v>1464.7942877083533</v>
      </c>
      <c r="J69" s="14">
        <v>0</v>
      </c>
      <c r="K69" s="14">
        <v>664.04962090387983</v>
      </c>
      <c r="L69" s="14">
        <v>1.5059115591976951E-3</v>
      </c>
      <c r="M69" s="14">
        <v>1.2356004343217087E-3</v>
      </c>
      <c r="N69" s="14">
        <v>91.874989865691816</v>
      </c>
      <c r="O69" s="14">
        <v>42637.345296870255</v>
      </c>
      <c r="P69" s="8">
        <v>91.874989865691816</v>
      </c>
      <c r="Q69" s="54">
        <v>7.243969909922926E-2</v>
      </c>
    </row>
    <row r="70" spans="1:17">
      <c r="A70" s="2" t="s">
        <v>417</v>
      </c>
      <c r="B70" s="16" t="s">
        <v>418</v>
      </c>
      <c r="D70" s="14">
        <v>1</v>
      </c>
      <c r="E70" s="14">
        <v>0.91976287782858901</v>
      </c>
      <c r="F70" s="14">
        <v>2.835225362655501E-2</v>
      </c>
      <c r="G70" s="14">
        <v>3.904056308613501E-5</v>
      </c>
      <c r="H70" s="14">
        <v>214.23359972880945</v>
      </c>
      <c r="I70" s="14">
        <v>362.53067195191704</v>
      </c>
      <c r="J70" s="14">
        <v>0</v>
      </c>
      <c r="K70" s="14">
        <v>35.270564843684582</v>
      </c>
      <c r="L70" s="14">
        <v>2.8352253626555014E-2</v>
      </c>
      <c r="M70" s="14">
        <v>2.3263024100588389E-2</v>
      </c>
      <c r="N70" s="14">
        <v>22.443982943700931</v>
      </c>
      <c r="O70" s="14">
        <v>7048.5328434692774</v>
      </c>
      <c r="P70" s="8">
        <v>22.443982943700931</v>
      </c>
      <c r="Q70" s="54">
        <v>0.11921880271395412</v>
      </c>
    </row>
    <row r="71" spans="1:17">
      <c r="A71" s="2" t="s">
        <v>419</v>
      </c>
      <c r="B71" s="16" t="s">
        <v>420</v>
      </c>
      <c r="D71" s="14">
        <v>1</v>
      </c>
      <c r="E71" s="14">
        <v>0.89137620587765076</v>
      </c>
      <c r="F71" s="14">
        <v>0.83656342475462309</v>
      </c>
      <c r="G71" s="14">
        <v>3.065824995192026E-4</v>
      </c>
      <c r="H71" s="14">
        <v>12.809107573056561</v>
      </c>
      <c r="I71" s="14">
        <v>34.227568139602027</v>
      </c>
      <c r="J71" s="14">
        <v>0</v>
      </c>
      <c r="K71" s="14">
        <v>1.195366627812249</v>
      </c>
      <c r="L71" s="14">
        <v>0.83656342475462309</v>
      </c>
      <c r="M71" s="14">
        <v>0.68640029001116831</v>
      </c>
      <c r="N71" s="14">
        <v>2.8180680962934197</v>
      </c>
      <c r="O71" s="14">
        <v>603.17929533064353</v>
      </c>
      <c r="P71" s="8">
        <v>2.8180680962934201</v>
      </c>
      <c r="Q71" s="54">
        <v>0.13885964278906535</v>
      </c>
    </row>
    <row r="72" spans="1:17">
      <c r="A72" s="2" t="s">
        <v>421</v>
      </c>
      <c r="B72" s="16" t="s">
        <v>422</v>
      </c>
      <c r="D72" s="14">
        <v>1</v>
      </c>
      <c r="E72" s="14">
        <v>0.90627324873726345</v>
      </c>
      <c r="F72" s="14">
        <v>3.3022419644932369E-2</v>
      </c>
      <c r="G72" s="14">
        <v>1.6493672987286171E-4</v>
      </c>
      <c r="H72" s="14">
        <v>209.45411258781343</v>
      </c>
      <c r="I72" s="14">
        <v>359.04266832661051</v>
      </c>
      <c r="J72" s="14">
        <v>0</v>
      </c>
      <c r="K72" s="14">
        <v>30.282456911162786</v>
      </c>
      <c r="L72" s="14">
        <v>3.3022419644932369E-2</v>
      </c>
      <c r="M72" s="14">
        <v>2.709489531866701E-2</v>
      </c>
      <c r="N72" s="14">
        <v>22.220832669497899</v>
      </c>
      <c r="O72" s="14">
        <v>9200.9801834589944</v>
      </c>
      <c r="P72" s="8">
        <v>22.220832669497899</v>
      </c>
      <c r="Q72" s="54">
        <v>0.12674944397179161</v>
      </c>
    </row>
    <row r="73" spans="1:17">
      <c r="A73" s="2" t="s">
        <v>423</v>
      </c>
      <c r="B73" s="16" t="s">
        <v>424</v>
      </c>
      <c r="D73" s="14">
        <v>1</v>
      </c>
      <c r="E73" s="14">
        <v>0.81360267526384056</v>
      </c>
      <c r="F73" s="14">
        <v>0.32486227797210054</v>
      </c>
      <c r="G73" s="14">
        <v>1.7916277190942287E-4</v>
      </c>
      <c r="H73" s="14">
        <v>113.29722826897378</v>
      </c>
      <c r="I73" s="14">
        <v>240.47861172270783</v>
      </c>
      <c r="J73" s="14">
        <v>0</v>
      </c>
      <c r="K73" s="14">
        <v>3.0782275068756393</v>
      </c>
      <c r="L73" s="14">
        <v>0.32486227797210054</v>
      </c>
      <c r="M73" s="14">
        <v>0.26654949907610853</v>
      </c>
      <c r="N73" s="14">
        <v>15.02389301242061</v>
      </c>
      <c r="O73" s="14">
        <v>6432.7802711281329</v>
      </c>
      <c r="P73" s="8">
        <v>15.02389301242061</v>
      </c>
      <c r="Q73" s="54">
        <v>0.2749643919480167</v>
      </c>
    </row>
    <row r="74" spans="1:17">
      <c r="A74" s="2" t="s">
        <v>425</v>
      </c>
      <c r="B74" s="16" t="s">
        <v>426</v>
      </c>
      <c r="D74" s="14">
        <v>1</v>
      </c>
      <c r="E74" s="14">
        <v>0.91687047250662179</v>
      </c>
      <c r="F74" s="14">
        <v>2.9649454404764724E-2</v>
      </c>
      <c r="G74" s="14">
        <v>6.0370558522567598E-5</v>
      </c>
      <c r="H74" s="14">
        <v>213.10650475053188</v>
      </c>
      <c r="I74" s="14">
        <v>361.95441373851861</v>
      </c>
      <c r="J74" s="14">
        <v>0</v>
      </c>
      <c r="K74" s="14">
        <v>33.727433441044973</v>
      </c>
      <c r="L74" s="14">
        <v>2.9649454404764727E-2</v>
      </c>
      <c r="M74" s="14">
        <v>2.4327377339109457E-2</v>
      </c>
      <c r="N74" s="14">
        <v>22.406156408725213</v>
      </c>
      <c r="O74" s="14">
        <v>11834.483691960482</v>
      </c>
      <c r="P74" s="8">
        <v>22.406156408725213</v>
      </c>
      <c r="Q74" s="54">
        <v>0.12146576140101646</v>
      </c>
    </row>
    <row r="75" spans="1:17">
      <c r="A75" s="2" t="s">
        <v>427</v>
      </c>
      <c r="B75" s="16" t="s">
        <v>428</v>
      </c>
      <c r="D75" s="14">
        <v>1</v>
      </c>
      <c r="E75" s="14">
        <v>0.9992184909442362</v>
      </c>
      <c r="F75" s="14">
        <v>4.3347787240176593E-3</v>
      </c>
      <c r="G75" s="14">
        <v>6.1149851047319149E-12</v>
      </c>
      <c r="H75" s="14">
        <v>282.66167820062105</v>
      </c>
      <c r="I75" s="14">
        <v>1.0099008961340337</v>
      </c>
      <c r="J75" s="14">
        <v>0</v>
      </c>
      <c r="K75" s="14">
        <v>230.69228296690471</v>
      </c>
      <c r="L75" s="14">
        <v>4.3347787240176593E-3</v>
      </c>
      <c r="M75" s="14">
        <v>3.5566859430564896E-3</v>
      </c>
      <c r="N75" s="14">
        <v>5.5969399187378412</v>
      </c>
      <c r="O75" s="14">
        <v>3157.1778387608288</v>
      </c>
      <c r="P75" s="8">
        <v>5.5969399187378412</v>
      </c>
      <c r="Q75" s="54">
        <v>5.6399955012887409E-5</v>
      </c>
    </row>
    <row r="76" spans="1:17">
      <c r="A76" s="2" t="s">
        <v>429</v>
      </c>
      <c r="B76" s="16" t="s">
        <v>430</v>
      </c>
      <c r="D76" s="14">
        <v>1</v>
      </c>
      <c r="E76" s="14">
        <v>0.99921849136120711</v>
      </c>
      <c r="F76" s="14">
        <v>4.3347787258265491E-3</v>
      </c>
      <c r="G76" s="14">
        <v>1.5360148119869028E-13</v>
      </c>
      <c r="H76" s="14">
        <v>282.66167831857496</v>
      </c>
      <c r="I76" s="14">
        <v>1.0099008965554621</v>
      </c>
      <c r="J76" s="14">
        <v>0</v>
      </c>
      <c r="K76" s="14">
        <v>230.69228287063754</v>
      </c>
      <c r="L76" s="14">
        <v>4.3347787258265491E-3</v>
      </c>
      <c r="M76" s="14">
        <v>3.5566859445406839E-3</v>
      </c>
      <c r="N76" s="14">
        <v>5.5969399210734272</v>
      </c>
      <c r="O76" s="14">
        <v>2799.1975627264528</v>
      </c>
      <c r="P76" s="8">
        <v>5.5969399210734272</v>
      </c>
      <c r="Q76" s="54">
        <v>5.6399955036422944E-5</v>
      </c>
    </row>
    <row r="77" spans="1:17">
      <c r="A77" s="2" t="s">
        <v>431</v>
      </c>
      <c r="B77" s="16" t="s">
        <v>432</v>
      </c>
      <c r="D77" s="14">
        <v>1</v>
      </c>
      <c r="E77" s="14">
        <v>0.8432429310975289</v>
      </c>
      <c r="F77" s="14">
        <v>0.12041147911979989</v>
      </c>
      <c r="G77" s="14">
        <v>3.1302309337218867E-4</v>
      </c>
      <c r="H77" s="14">
        <v>170.35225673712637</v>
      </c>
      <c r="I77" s="14">
        <v>326.14074732637903</v>
      </c>
      <c r="J77" s="14">
        <v>0</v>
      </c>
      <c r="K77" s="14">
        <v>8.3048560428784288</v>
      </c>
      <c r="L77" s="14">
        <v>0.12041147911979989</v>
      </c>
      <c r="M77" s="14">
        <v>9.8797618617795818E-2</v>
      </c>
      <c r="N77" s="14">
        <v>20.175014281494917</v>
      </c>
      <c r="O77" s="14">
        <v>7344.9156993210399</v>
      </c>
      <c r="P77" s="8">
        <v>20.175014281494917</v>
      </c>
      <c r="Q77" s="54">
        <v>0.21144872073954993</v>
      </c>
    </row>
    <row r="78" spans="1:17">
      <c r="A78" s="2" t="s">
        <v>433</v>
      </c>
      <c r="B78" s="16" t="s">
        <v>434</v>
      </c>
      <c r="D78" s="14">
        <v>1</v>
      </c>
      <c r="E78" s="14">
        <v>0.82409455959838607</v>
      </c>
      <c r="F78" s="14">
        <v>0.63389973745182637</v>
      </c>
      <c r="G78" s="14">
        <v>4.4634334065828368E-4</v>
      </c>
      <c r="H78" s="14">
        <v>43.515158716116261</v>
      </c>
      <c r="I78" s="14">
        <v>104.11126962173243</v>
      </c>
      <c r="J78" s="14">
        <v>0</v>
      </c>
      <c r="K78" s="14">
        <v>1.5775365423242433</v>
      </c>
      <c r="L78" s="14">
        <v>0.63389973745182648</v>
      </c>
      <c r="M78" s="14">
        <v>0.52011473457922364</v>
      </c>
      <c r="N78" s="14">
        <v>6.9102525544452069</v>
      </c>
      <c r="O78" s="14">
        <v>1824.6521870012568</v>
      </c>
      <c r="P78" s="8">
        <v>6.9102525544452069</v>
      </c>
      <c r="Q78" s="54">
        <v>0.22998406327723955</v>
      </c>
    </row>
    <row r="79" spans="1:17">
      <c r="A79" s="2" t="s">
        <v>435</v>
      </c>
      <c r="B79" s="16" t="s">
        <v>436</v>
      </c>
      <c r="D79" s="14">
        <v>1</v>
      </c>
      <c r="E79" s="14">
        <v>0.81860032437567032</v>
      </c>
      <c r="F79" s="14">
        <v>0.45716296320671163</v>
      </c>
      <c r="G79" s="14">
        <v>1.071666183455302E-4</v>
      </c>
      <c r="H79" s="14">
        <v>83.220637636121381</v>
      </c>
      <c r="I79" s="14">
        <v>185.30545738366902</v>
      </c>
      <c r="J79" s="14">
        <v>0</v>
      </c>
      <c r="K79" s="14">
        <v>2.1874037935742363</v>
      </c>
      <c r="L79" s="14">
        <v>0.45716296320671163</v>
      </c>
      <c r="M79" s="14">
        <v>0.37510221131110688</v>
      </c>
      <c r="N79" s="14">
        <v>11.738250856062308</v>
      </c>
      <c r="O79" s="14">
        <v>4696.5915500190895</v>
      </c>
      <c r="P79" s="8">
        <v>11.738250856062308</v>
      </c>
      <c r="Q79" s="54">
        <v>0.27573265956160109</v>
      </c>
    </row>
    <row r="80" spans="1:17">
      <c r="A80" s="2" t="s">
        <v>437</v>
      </c>
      <c r="B80" s="16" t="s">
        <v>438</v>
      </c>
      <c r="D80" s="14">
        <v>1</v>
      </c>
      <c r="E80" s="14">
        <v>0.99850894200626761</v>
      </c>
      <c r="F80" s="14">
        <v>2.9370451353677449E-3</v>
      </c>
      <c r="G80" s="14">
        <v>2.1879585542107212E-12</v>
      </c>
      <c r="H80" s="14">
        <v>282.75521308244618</v>
      </c>
      <c r="I80" s="14">
        <v>1.9405393115183485</v>
      </c>
      <c r="J80" s="14">
        <v>0</v>
      </c>
      <c r="K80" s="14">
        <v>340.47825413305776</v>
      </c>
      <c r="L80" s="14">
        <v>2.9370451353677449E-3</v>
      </c>
      <c r="M80" s="14">
        <v>2.4098455335692347E-3</v>
      </c>
      <c r="N80" s="14">
        <v>10.86092798093417</v>
      </c>
      <c r="O80" s="14">
        <v>5583.3858564386392</v>
      </c>
      <c r="P80" s="8">
        <v>10.860927980934171</v>
      </c>
      <c r="Q80" s="54">
        <v>6.8694575654537428E-5</v>
      </c>
    </row>
    <row r="81" spans="1:17">
      <c r="A81" s="2" t="s">
        <v>440</v>
      </c>
      <c r="B81" s="16" t="s">
        <v>441</v>
      </c>
      <c r="D81" s="14">
        <v>1</v>
      </c>
      <c r="E81" s="14">
        <v>0.98743982570387689</v>
      </c>
      <c r="F81" s="14">
        <v>0.99000992729502579</v>
      </c>
      <c r="G81" s="14">
        <v>2.0891423703534008E-15</v>
      </c>
      <c r="H81" s="14">
        <v>0.26383933853582964</v>
      </c>
      <c r="I81" s="14">
        <v>0.95015994924618874</v>
      </c>
      <c r="J81" s="14">
        <v>0</v>
      </c>
      <c r="K81" s="14">
        <v>1.0100908813432505</v>
      </c>
      <c r="L81" s="14">
        <v>0.99000992729502579</v>
      </c>
      <c r="M81" s="14">
        <v>0.81230314534556869</v>
      </c>
      <c r="N81" s="14">
        <v>0.93216105886858069</v>
      </c>
      <c r="O81" s="14">
        <v>258.45097518190266</v>
      </c>
      <c r="P81" s="8">
        <v>0.93216105886858069</v>
      </c>
      <c r="Q81" s="54">
        <v>1.9897417847670955E-2</v>
      </c>
    </row>
    <row r="82" spans="1:17">
      <c r="A82" s="2" t="s">
        <v>442</v>
      </c>
      <c r="B82" s="16" t="s">
        <v>443</v>
      </c>
      <c r="D82" s="14">
        <v>1</v>
      </c>
      <c r="E82" s="14">
        <v>0.89733414560501534</v>
      </c>
      <c r="F82" s="14">
        <v>0.82018765187702236</v>
      </c>
      <c r="G82" s="14">
        <v>1.0442433404489056E-6</v>
      </c>
      <c r="H82" s="14">
        <v>17.822688906613035</v>
      </c>
      <c r="I82" s="14">
        <v>46.412012160639513</v>
      </c>
      <c r="J82" s="14">
        <v>0</v>
      </c>
      <c r="K82" s="14">
        <v>1.2192331812256281</v>
      </c>
      <c r="L82" s="14">
        <v>0.82018765187702236</v>
      </c>
      <c r="M82" s="14">
        <v>0.67296396836509687</v>
      </c>
      <c r="N82" s="14">
        <v>3.5463705049880114</v>
      </c>
      <c r="O82" s="14">
        <v>585.82494371896962</v>
      </c>
      <c r="P82" s="8">
        <v>3.5463705049880119</v>
      </c>
      <c r="Q82" s="54">
        <v>0.16339185273678131</v>
      </c>
    </row>
    <row r="83" spans="1:17">
      <c r="A83" s="2" t="s">
        <v>444</v>
      </c>
      <c r="B83" s="16" t="s">
        <v>445</v>
      </c>
      <c r="D83" s="14">
        <v>1</v>
      </c>
      <c r="E83" s="14">
        <v>0.85160621908100409</v>
      </c>
      <c r="F83" s="14">
        <v>0.1527687414110987</v>
      </c>
      <c r="G83" s="14">
        <v>6.7341531402537343E-6</v>
      </c>
      <c r="H83" s="14">
        <v>164.15514561576558</v>
      </c>
      <c r="I83" s="14">
        <v>320.70938683398083</v>
      </c>
      <c r="J83" s="14">
        <v>0</v>
      </c>
      <c r="K83" s="14">
        <v>6.5458417131879942</v>
      </c>
      <c r="L83" s="14">
        <v>0.1527687414110987</v>
      </c>
      <c r="M83" s="14">
        <v>0.12534675232780648</v>
      </c>
      <c r="N83" s="14">
        <v>19.853407650626046</v>
      </c>
      <c r="O83" s="14">
        <v>3578.3781949488384</v>
      </c>
      <c r="P83" s="8">
        <v>19.853407650626046</v>
      </c>
      <c r="Q83" s="54">
        <v>0.23244043068655149</v>
      </c>
    </row>
    <row r="84" spans="1:17">
      <c r="A84" s="2" t="s">
        <v>446</v>
      </c>
      <c r="B84" s="16" t="s">
        <v>447</v>
      </c>
      <c r="D84" s="14">
        <v>1</v>
      </c>
      <c r="E84" s="14">
        <v>0.97267534716627591</v>
      </c>
      <c r="F84" s="14">
        <v>0.97075144563674942</v>
      </c>
      <c r="G84" s="14">
        <v>6.5332087290006077E-17</v>
      </c>
      <c r="H84" s="14">
        <v>1.2041984003771349</v>
      </c>
      <c r="I84" s="14">
        <v>3.8721771402894181</v>
      </c>
      <c r="J84" s="14">
        <v>0</v>
      </c>
      <c r="K84" s="14">
        <v>1.0301298076811676</v>
      </c>
      <c r="L84" s="14">
        <v>0.97075144563674942</v>
      </c>
      <c r="M84" s="14">
        <v>0.79650156114495296</v>
      </c>
      <c r="N84" s="14">
        <v>1.0915699639755543</v>
      </c>
      <c r="O84" s="14">
        <v>424.5006432904533</v>
      </c>
      <c r="P84" s="8">
        <v>1.0915699639755545</v>
      </c>
      <c r="Q84" s="54">
        <v>4.3486576274969518E-2</v>
      </c>
    </row>
    <row r="85" spans="1:17">
      <c r="A85" s="2" t="s">
        <v>448</v>
      </c>
      <c r="B85" s="16" t="s">
        <v>449</v>
      </c>
      <c r="D85" s="14">
        <v>1</v>
      </c>
      <c r="E85" s="14">
        <v>0.9947446901856114</v>
      </c>
      <c r="F85" s="14">
        <v>0.9983935064281555</v>
      </c>
      <c r="G85" s="14">
        <v>4.461904137456163E-10</v>
      </c>
      <c r="H85" s="14">
        <v>4.7983480632318491E-2</v>
      </c>
      <c r="I85" s="14">
        <v>0.19604190699663857</v>
      </c>
      <c r="J85" s="14">
        <v>0</v>
      </c>
      <c r="K85" s="14">
        <v>1.0016090785461855</v>
      </c>
      <c r="L85" s="14">
        <v>0.9983935064281555</v>
      </c>
      <c r="M85" s="14">
        <v>0.81918187202430159</v>
      </c>
      <c r="N85" s="14">
        <v>0.89424160392261276</v>
      </c>
      <c r="O85" s="14">
        <v>160.28386508708911</v>
      </c>
      <c r="P85" s="8">
        <v>0.89424160392261276</v>
      </c>
      <c r="Q85" s="54">
        <v>8.2176741875252205E-3</v>
      </c>
    </row>
    <row r="86" spans="1:17">
      <c r="A86" s="2" t="s">
        <v>450</v>
      </c>
      <c r="B86" s="16" t="s">
        <v>451</v>
      </c>
      <c r="D86" s="14">
        <v>1</v>
      </c>
      <c r="E86" s="14">
        <v>0.97335007043812205</v>
      </c>
      <c r="F86" s="14">
        <v>0.97169785570099609</v>
      </c>
      <c r="G86" s="14">
        <v>1.6422139313033911E-10</v>
      </c>
      <c r="H86" s="14">
        <v>1.1465717690514396</v>
      </c>
      <c r="I86" s="14">
        <v>3.7004830146317671</v>
      </c>
      <c r="J86" s="14">
        <v>0</v>
      </c>
      <c r="K86" s="14">
        <v>1.0291264863176901</v>
      </c>
      <c r="L86" s="14">
        <v>0.97169785570099609</v>
      </c>
      <c r="M86" s="14">
        <v>0.7972780906026673</v>
      </c>
      <c r="N86" s="14">
        <v>1.0820226113124547</v>
      </c>
      <c r="O86" s="14">
        <v>282.50528358756878</v>
      </c>
      <c r="P86" s="8">
        <v>1.0820226113124547</v>
      </c>
      <c r="Q86" s="54">
        <v>4.2409037415795443E-2</v>
      </c>
    </row>
    <row r="87" spans="1:17">
      <c r="A87" s="2" t="s">
        <v>452</v>
      </c>
      <c r="B87" s="16" t="s">
        <v>453</v>
      </c>
      <c r="D87" s="14">
        <v>1</v>
      </c>
      <c r="E87" s="14">
        <v>0.9502072289440785</v>
      </c>
      <c r="F87" s="14">
        <v>5.4853289807933032E-4</v>
      </c>
      <c r="G87" s="14">
        <v>5.6578465830693206E-10</v>
      </c>
      <c r="H87" s="14">
        <v>63.888498183099273</v>
      </c>
      <c r="I87" s="14">
        <v>1907.5672169453485</v>
      </c>
      <c r="J87" s="14">
        <v>0</v>
      </c>
      <c r="K87" s="14">
        <v>1823.0447134555952</v>
      </c>
      <c r="L87" s="14">
        <v>5.4853289807933032E-4</v>
      </c>
      <c r="M87" s="14">
        <v>4.5007124287409054E-4</v>
      </c>
      <c r="N87" s="14">
        <v>120.15368554395765</v>
      </c>
      <c r="O87" s="14">
        <v>50019.979291949567</v>
      </c>
      <c r="P87" s="8">
        <v>120.15368554395765</v>
      </c>
      <c r="Q87" s="54">
        <v>5.40355840722151E-2</v>
      </c>
    </row>
    <row r="88" spans="1:17">
      <c r="A88" s="2" t="s">
        <v>454</v>
      </c>
      <c r="B88" s="16" t="s">
        <v>455</v>
      </c>
      <c r="D88" s="14">
        <v>1</v>
      </c>
      <c r="E88" s="14">
        <v>0.86437869782665633</v>
      </c>
      <c r="F88" s="14">
        <v>0.71352902245759131</v>
      </c>
      <c r="G88" s="14">
        <v>5.2507353608053927E-7</v>
      </c>
      <c r="H88" s="14">
        <v>34.513709753061015</v>
      </c>
      <c r="I88" s="14">
        <v>84.732264513273137</v>
      </c>
      <c r="J88" s="14">
        <v>0</v>
      </c>
      <c r="K88" s="14">
        <v>1.4014846888157728</v>
      </c>
      <c r="L88" s="14">
        <v>0.71352902245759131</v>
      </c>
      <c r="M88" s="14">
        <v>0.5854505629264537</v>
      </c>
      <c r="N88" s="14">
        <v>5.7934532859135794</v>
      </c>
      <c r="O88" s="14">
        <v>1108.1138099966904</v>
      </c>
      <c r="P88" s="8">
        <v>5.7934532859135794</v>
      </c>
      <c r="Q88" s="54">
        <v>0.21569933854031398</v>
      </c>
    </row>
    <row r="89" spans="1:17">
      <c r="A89" s="2" t="s">
        <v>456</v>
      </c>
      <c r="B89" s="16" t="s">
        <v>457</v>
      </c>
      <c r="D89" s="14">
        <v>1</v>
      </c>
      <c r="E89" s="14">
        <v>0.8913346443641148</v>
      </c>
      <c r="F89" s="14">
        <v>0.80326321574749493</v>
      </c>
      <c r="G89" s="14">
        <v>3.4682178350385338E-19</v>
      </c>
      <c r="H89" s="14">
        <v>20.280463648653498</v>
      </c>
      <c r="I89" s="14">
        <v>52.231806935440822</v>
      </c>
      <c r="J89" s="14">
        <v>0</v>
      </c>
      <c r="K89" s="14">
        <v>1.2449219389057014</v>
      </c>
      <c r="L89" s="14">
        <v>0.80326321574749493</v>
      </c>
      <c r="M89" s="14">
        <v>0.65907746852081961</v>
      </c>
      <c r="N89" s="14">
        <v>3.8865633942769842</v>
      </c>
      <c r="O89" s="14">
        <v>1525.3206697179451</v>
      </c>
      <c r="P89" s="8">
        <v>3.8865633942769842</v>
      </c>
      <c r="Q89" s="54">
        <v>0.17303543549330377</v>
      </c>
    </row>
    <row r="90" spans="1:17">
      <c r="A90" s="2" t="s">
        <v>458</v>
      </c>
      <c r="B90" s="16" t="s">
        <v>459</v>
      </c>
      <c r="D90" s="14">
        <v>1</v>
      </c>
      <c r="E90" s="14">
        <v>0.94683012029752001</v>
      </c>
      <c r="F90" s="14">
        <v>0.92962141851621127</v>
      </c>
      <c r="G90" s="14">
        <v>5.0071962006353251E-31</v>
      </c>
      <c r="H90" s="14">
        <v>4.5057399358577284</v>
      </c>
      <c r="I90" s="14">
        <v>13.104585602448662</v>
      </c>
      <c r="J90" s="14">
        <v>0</v>
      </c>
      <c r="K90" s="14">
        <v>1.0757067125197282</v>
      </c>
      <c r="L90" s="14">
        <v>0.92962141851621127</v>
      </c>
      <c r="M90" s="14">
        <v>0.76275437389255141</v>
      </c>
      <c r="N90" s="14">
        <v>1.6149475090398708</v>
      </c>
      <c r="O90" s="14">
        <v>1261.1771077095968</v>
      </c>
      <c r="P90" s="8">
        <v>1.6149475090398708</v>
      </c>
      <c r="Q90" s="54">
        <v>8.4727285388705803E-2</v>
      </c>
    </row>
    <row r="91" spans="1:17">
      <c r="A91" s="2" t="s">
        <v>460</v>
      </c>
      <c r="B91" s="16" t="s">
        <v>461</v>
      </c>
      <c r="D91" s="14">
        <v>1</v>
      </c>
      <c r="E91" s="14">
        <v>0.93935874625089932</v>
      </c>
      <c r="F91" s="14">
        <v>3.630179430105704E-3</v>
      </c>
      <c r="G91" s="14">
        <v>5.9802119884994964E-10</v>
      </c>
      <c r="H91" s="14">
        <v>161.72907088626837</v>
      </c>
      <c r="I91" s="14">
        <v>965.03988343693982</v>
      </c>
      <c r="J91" s="14">
        <v>0</v>
      </c>
      <c r="K91" s="14">
        <v>275.46847731735448</v>
      </c>
      <c r="L91" s="14">
        <v>3.630179430105704E-3</v>
      </c>
      <c r="M91" s="14">
        <v>2.97856222240173E-3</v>
      </c>
      <c r="N91" s="14">
        <v>60.27317462359089</v>
      </c>
      <c r="O91" s="14">
        <v>18467.700704668248</v>
      </c>
      <c r="P91" s="8">
        <v>60.273174623590897</v>
      </c>
      <c r="Q91" s="54">
        <v>8.4167661767154012E-2</v>
      </c>
    </row>
    <row r="92" spans="1:17">
      <c r="A92" s="2" t="s">
        <v>462</v>
      </c>
      <c r="B92" s="16" t="s">
        <v>463</v>
      </c>
      <c r="D92" s="14">
        <v>1</v>
      </c>
      <c r="E92" s="14">
        <v>0.836689621073051</v>
      </c>
      <c r="F92" s="14">
        <v>0.21672155185182274</v>
      </c>
      <c r="G92" s="14">
        <v>6.0118839624794684E-11</v>
      </c>
      <c r="H92" s="14">
        <v>144.80451449199245</v>
      </c>
      <c r="I92" s="14">
        <v>292.98087560616079</v>
      </c>
      <c r="J92" s="14">
        <v>0</v>
      </c>
      <c r="K92" s="14">
        <v>4.6142157596016187</v>
      </c>
      <c r="L92" s="14">
        <v>0.21672155185182276</v>
      </c>
      <c r="M92" s="14">
        <v>0.17782003329442056</v>
      </c>
      <c r="N92" s="14">
        <v>18.179932780553191</v>
      </c>
      <c r="O92" s="14">
        <v>6123.3649591459252</v>
      </c>
      <c r="P92" s="8">
        <v>18.179932780553191</v>
      </c>
      <c r="Q92" s="54">
        <v>0.25741821388995695</v>
      </c>
    </row>
    <row r="93" spans="1:17">
      <c r="A93" s="2" t="s">
        <v>464</v>
      </c>
      <c r="B93" s="16" t="s">
        <v>465</v>
      </c>
      <c r="D93" s="14">
        <v>1</v>
      </c>
      <c r="E93" s="14">
        <v>0.90678332599000122</v>
      </c>
      <c r="F93" s="14">
        <v>4.3898635405503358E-2</v>
      </c>
      <c r="G93" s="14">
        <v>2.4560630306779245E-6</v>
      </c>
      <c r="H93" s="14">
        <v>206.25810358028465</v>
      </c>
      <c r="I93" s="14">
        <v>361.46661417865522</v>
      </c>
      <c r="J93" s="14">
        <v>0</v>
      </c>
      <c r="K93" s="14">
        <v>22.779751369552478</v>
      </c>
      <c r="L93" s="14">
        <v>4.3898635405503358E-2</v>
      </c>
      <c r="M93" s="14">
        <v>3.6018830350215511E-2</v>
      </c>
      <c r="N93" s="14">
        <v>22.360323552358544</v>
      </c>
      <c r="O93" s="14">
        <v>10399.562880966434</v>
      </c>
      <c r="P93" s="8">
        <v>22.360323552358544</v>
      </c>
      <c r="Q93" s="54">
        <v>0.14410139699872548</v>
      </c>
    </row>
    <row r="94" spans="1:17">
      <c r="A94" s="2" t="s">
        <v>466</v>
      </c>
      <c r="B94" s="16" t="s">
        <v>467</v>
      </c>
      <c r="D94" s="14">
        <v>1</v>
      </c>
      <c r="E94" s="14">
        <v>0.99981065206377895</v>
      </c>
      <c r="F94" s="14">
        <v>0.89824299475352287</v>
      </c>
      <c r="G94" s="14">
        <v>2.0381223788590169E-20</v>
      </c>
      <c r="H94" s="14">
        <v>29.858902378689603</v>
      </c>
      <c r="I94" s="14">
        <v>3.6330715320368252E-2</v>
      </c>
      <c r="J94" s="14">
        <v>0</v>
      </c>
      <c r="K94" s="14">
        <v>1.1132844963343123</v>
      </c>
      <c r="L94" s="14">
        <v>0.89824299475352287</v>
      </c>
      <c r="M94" s="14">
        <v>0.73700837719526557</v>
      </c>
      <c r="N94" s="14">
        <v>0.91543052663770608</v>
      </c>
      <c r="O94" s="14">
        <v>302.76949238015493</v>
      </c>
      <c r="P94" s="8">
        <v>0.91543052663770608</v>
      </c>
      <c r="Q94" s="54">
        <v>1.0766485227061094E-4</v>
      </c>
    </row>
    <row r="95" spans="1:17">
      <c r="A95" s="2" t="s">
        <v>468</v>
      </c>
      <c r="B95" s="16" t="s">
        <v>469</v>
      </c>
      <c r="D95" s="14">
        <v>1</v>
      </c>
      <c r="E95" s="14">
        <v>0.94400604740884764</v>
      </c>
      <c r="F95" s="14">
        <v>8.4727511545504945E-3</v>
      </c>
      <c r="G95" s="14">
        <v>2.4035487714598735E-20</v>
      </c>
      <c r="H95" s="14">
        <v>213.16919802846567</v>
      </c>
      <c r="I95" s="14">
        <v>488.29426337906392</v>
      </c>
      <c r="J95" s="14">
        <v>0</v>
      </c>
      <c r="K95" s="14">
        <v>118.02541839824082</v>
      </c>
      <c r="L95" s="14">
        <v>8.4727511545504945E-3</v>
      </c>
      <c r="M95" s="14">
        <v>6.9518923223086809E-3</v>
      </c>
      <c r="N95" s="14">
        <v>30.351096772180057</v>
      </c>
      <c r="O95" s="14">
        <v>14993.441805456949</v>
      </c>
      <c r="P95" s="8">
        <v>30.351096772180057</v>
      </c>
      <c r="Q95" s="54">
        <v>8.3115423501111993E-2</v>
      </c>
    </row>
    <row r="96" spans="1:17">
      <c r="A96" s="2" t="s">
        <v>470</v>
      </c>
      <c r="B96" s="166">
        <v>354656</v>
      </c>
      <c r="D96" s="14">
        <v>1</v>
      </c>
      <c r="E96" s="14">
        <v>0.98695118935430359</v>
      </c>
      <c r="F96" s="14">
        <v>0.98942152115389381</v>
      </c>
      <c r="G96" s="14">
        <v>4.1676365705855376E-12</v>
      </c>
      <c r="H96" s="14">
        <v>0.2842243962178605</v>
      </c>
      <c r="I96" s="14">
        <v>1.0179314284818364</v>
      </c>
      <c r="J96" s="14">
        <v>0</v>
      </c>
      <c r="K96" s="14">
        <v>1.0106915794936107</v>
      </c>
      <c r="L96" s="14">
        <v>0.98942152115389392</v>
      </c>
      <c r="M96" s="14">
        <v>0.81182035810677</v>
      </c>
      <c r="N96" s="14">
        <v>0.93572248179320705</v>
      </c>
      <c r="O96" s="14">
        <v>184.51511618480251</v>
      </c>
      <c r="P96" s="8">
        <v>0.93572248179320716</v>
      </c>
      <c r="Q96" s="54">
        <v>2.0678475770222887E-2</v>
      </c>
    </row>
    <row r="97" spans="1:17">
      <c r="A97" s="2" t="s">
        <v>472</v>
      </c>
      <c r="B97" s="16" t="s">
        <v>473</v>
      </c>
      <c r="D97" s="14">
        <v>1</v>
      </c>
      <c r="E97" s="14">
        <v>0.97233188860786635</v>
      </c>
      <c r="F97" s="14">
        <v>0.97026725261819247</v>
      </c>
      <c r="G97" s="14">
        <v>6.5308522925627875E-12</v>
      </c>
      <c r="H97" s="14">
        <v>1.2340744867474431</v>
      </c>
      <c r="I97" s="14">
        <v>3.9609425608117981</v>
      </c>
      <c r="J97" s="14">
        <v>0</v>
      </c>
      <c r="K97" s="14">
        <v>1.0306438739446024</v>
      </c>
      <c r="L97" s="14">
        <v>0.97026725261819247</v>
      </c>
      <c r="M97" s="14">
        <v>0.79610428077322692</v>
      </c>
      <c r="N97" s="14">
        <v>1.0965110063157779</v>
      </c>
      <c r="O97" s="14">
        <v>175.63913299166134</v>
      </c>
      <c r="P97" s="8">
        <v>1.0965110063157781</v>
      </c>
      <c r="Q97" s="54">
        <v>4.403505514794466E-2</v>
      </c>
    </row>
    <row r="98" spans="1:17">
      <c r="A98" s="2" t="s">
        <v>474</v>
      </c>
      <c r="B98" s="16" t="s">
        <v>475</v>
      </c>
      <c r="D98" s="14">
        <v>1</v>
      </c>
      <c r="E98" s="14">
        <v>0.93297117906317439</v>
      </c>
      <c r="F98" s="14">
        <v>2.0038473237628182E-2</v>
      </c>
      <c r="G98" s="14">
        <v>5.6453791711413509E-22</v>
      </c>
      <c r="H98" s="14">
        <v>220.32543126611088</v>
      </c>
      <c r="I98" s="14">
        <v>362.67849063929231</v>
      </c>
      <c r="J98" s="14">
        <v>0</v>
      </c>
      <c r="K98" s="14">
        <v>49.904001574441459</v>
      </c>
      <c r="L98" s="14">
        <v>2.0038473237628186E-2</v>
      </c>
      <c r="M98" s="14">
        <v>1.6441567291473926E-2</v>
      </c>
      <c r="N98" s="14">
        <v>22.470904429508263</v>
      </c>
      <c r="O98" s="14">
        <v>11941.712740973575</v>
      </c>
      <c r="P98" s="8">
        <v>22.470904429508263</v>
      </c>
      <c r="Q98" s="54">
        <v>0.10245232055395928</v>
      </c>
    </row>
    <row r="99" spans="1:17">
      <c r="A99" s="2" t="s">
        <v>476</v>
      </c>
      <c r="B99" s="16" t="s">
        <v>477</v>
      </c>
      <c r="D99" s="14">
        <v>1</v>
      </c>
      <c r="E99" s="14">
        <v>0.99633252024868146</v>
      </c>
      <c r="F99" s="14">
        <v>1.0001098631442504</v>
      </c>
      <c r="G99" s="14">
        <v>1.943373149463318E-9</v>
      </c>
      <c r="H99" s="14">
        <v>2.3568270298306927E-2</v>
      </c>
      <c r="I99" s="14">
        <v>0.10148103340818625</v>
      </c>
      <c r="J99" s="14">
        <v>0</v>
      </c>
      <c r="K99" s="14">
        <v>0.99989014892433414</v>
      </c>
      <c r="L99" s="14">
        <v>1.0001098631442504</v>
      </c>
      <c r="M99" s="14">
        <v>0.82059014270985753</v>
      </c>
      <c r="N99" s="14">
        <v>0.89009678000549708</v>
      </c>
      <c r="O99" s="14">
        <v>114.96490010551</v>
      </c>
      <c r="P99" s="8">
        <v>0.89009678000549708</v>
      </c>
      <c r="Q99" s="54">
        <v>5.6778626312487803E-3</v>
      </c>
    </row>
    <row r="100" spans="1:17">
      <c r="A100" s="2" t="s">
        <v>478</v>
      </c>
      <c r="B100" s="16" t="s">
        <v>479</v>
      </c>
      <c r="D100" s="14">
        <v>1</v>
      </c>
      <c r="E100" s="14">
        <v>0.82845718049278938</v>
      </c>
      <c r="F100" s="14">
        <v>0.50746196851744529</v>
      </c>
      <c r="G100" s="14">
        <v>6.996035225432355E-13</v>
      </c>
      <c r="H100" s="14">
        <v>73.760440185335128</v>
      </c>
      <c r="I100" s="14">
        <v>166.98623411928764</v>
      </c>
      <c r="J100" s="14">
        <v>0</v>
      </c>
      <c r="K100" s="14">
        <v>1.9705910236416515</v>
      </c>
      <c r="L100" s="14">
        <v>0.50746196851744529</v>
      </c>
      <c r="M100" s="14">
        <v>0.41637254516856387</v>
      </c>
      <c r="N100" s="14">
        <v>10.65553431429778</v>
      </c>
      <c r="O100" s="14">
        <v>3194.5291874264744</v>
      </c>
      <c r="P100" s="8">
        <v>10.65553431429778</v>
      </c>
      <c r="Q100" s="54">
        <v>0.2721953304794642</v>
      </c>
    </row>
    <row r="101" spans="1:17">
      <c r="A101" s="2" t="s">
        <v>480</v>
      </c>
      <c r="B101" s="16" t="s">
        <v>481</v>
      </c>
      <c r="D101" s="14">
        <v>1</v>
      </c>
      <c r="E101" s="14">
        <v>0.99391933181834968</v>
      </c>
      <c r="F101" s="14">
        <v>0.99748591408060672</v>
      </c>
      <c r="G101" s="14">
        <v>5.2458426442617862E-13</v>
      </c>
      <c r="H101" s="14">
        <v>6.3912642132871789E-2</v>
      </c>
      <c r="I101" s="14">
        <v>0.25564890819583941</v>
      </c>
      <c r="J101" s="14">
        <v>0</v>
      </c>
      <c r="K101" s="14">
        <v>1.0025204224780562</v>
      </c>
      <c r="L101" s="14">
        <v>0.99748591408060683</v>
      </c>
      <c r="M101" s="14">
        <v>0.81843719250313784</v>
      </c>
      <c r="N101" s="14">
        <v>0.89701306408826531</v>
      </c>
      <c r="O101" s="14">
        <v>213.63263134326127</v>
      </c>
      <c r="P101" s="8">
        <v>0.89701306408826531</v>
      </c>
      <c r="Q101" s="54">
        <v>9.5377062448816999E-3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0.99837704225514989</v>
      </c>
      <c r="F102" s="14">
        <v>1.0022599211990535</v>
      </c>
      <c r="G102" s="14">
        <v>3.2773954891785849E-29</v>
      </c>
      <c r="H102" s="14">
        <v>4.5341967775670523E-3</v>
      </c>
      <c r="I102" s="14">
        <v>2.2047407780591978E-2</v>
      </c>
      <c r="J102" s="14">
        <v>0</v>
      </c>
      <c r="K102" s="14">
        <v>0.99774517452882894</v>
      </c>
      <c r="L102" s="14">
        <v>1.0022599211990535</v>
      </c>
      <c r="M102" s="14">
        <v>0.82235426534382339</v>
      </c>
      <c r="N102" s="14">
        <v>0.88725449089761854</v>
      </c>
      <c r="O102" s="14">
        <v>408.51858524399051</v>
      </c>
      <c r="P102" s="8">
        <v>0.88725449089761854</v>
      </c>
      <c r="Q102" s="54">
        <v>2.4074514337018337E-3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0.99644602912099201</v>
      </c>
      <c r="F103" s="14">
        <v>1.0002310254596689</v>
      </c>
      <c r="G103" s="14">
        <v>2.6209504418422198E-15</v>
      </c>
      <c r="H103" s="14">
        <v>2.2142687021102708E-2</v>
      </c>
      <c r="I103" s="14">
        <v>9.5782792000073988E-2</v>
      </c>
      <c r="J103" s="14">
        <v>0</v>
      </c>
      <c r="K103" s="14">
        <v>0.99976902790076649</v>
      </c>
      <c r="L103" s="14">
        <v>1.0002310254596689</v>
      </c>
      <c r="M103" s="14">
        <v>0.82068955638965835</v>
      </c>
      <c r="N103" s="14">
        <v>0.88986309300840227</v>
      </c>
      <c r="O103" s="14">
        <v>182.64439983997457</v>
      </c>
      <c r="P103" s="8">
        <v>0.88986309300840227</v>
      </c>
      <c r="Q103" s="54">
        <v>5.4965159462771881E-3</v>
      </c>
    </row>
    <row r="104" spans="1:17">
      <c r="A104" s="2" t="s">
        <v>486</v>
      </c>
      <c r="B104" s="16" t="s">
        <v>487</v>
      </c>
      <c r="D104" s="14">
        <v>1</v>
      </c>
      <c r="E104" s="14">
        <v>0.98016887394835506</v>
      </c>
      <c r="F104" s="14">
        <v>0.98090648653485202</v>
      </c>
      <c r="G104" s="14">
        <v>3.2969783410783877E-11</v>
      </c>
      <c r="H104" s="14">
        <v>0.64311347070542535</v>
      </c>
      <c r="I104" s="14">
        <v>2.1674284875806729</v>
      </c>
      <c r="J104" s="14">
        <v>0</v>
      </c>
      <c r="K104" s="14">
        <v>1.0194651719886141</v>
      </c>
      <c r="L104" s="14">
        <v>0.98090648653485202</v>
      </c>
      <c r="M104" s="14">
        <v>0.80483377220184615</v>
      </c>
      <c r="N104" s="14">
        <v>0.99752272468602621</v>
      </c>
      <c r="O104" s="14">
        <v>150.78553506353973</v>
      </c>
      <c r="P104" s="8">
        <v>0.99752272468602621</v>
      </c>
      <c r="Q104" s="54">
        <v>3.1516993142083304E-2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0.99807639796870162</v>
      </c>
      <c r="F105" s="14">
        <v>1.0019481756355866</v>
      </c>
      <c r="G105" s="14">
        <v>2.6075566148061053E-18</v>
      </c>
      <c r="H105" s="14">
        <v>6.4328771673602958E-3</v>
      </c>
      <c r="I105" s="14">
        <v>3.0483331544700371E-2</v>
      </c>
      <c r="J105" s="14">
        <v>0</v>
      </c>
      <c r="K105" s="14">
        <v>0.99805561237301421</v>
      </c>
      <c r="L105" s="14">
        <v>1.0019481756355868</v>
      </c>
      <c r="M105" s="14">
        <v>0.82209847810899894</v>
      </c>
      <c r="N105" s="14">
        <v>0.88748144769838255</v>
      </c>
      <c r="O105" s="14">
        <v>301.17570409092315</v>
      </c>
      <c r="P105" s="8">
        <v>0.88748144769838266</v>
      </c>
      <c r="Q105" s="54">
        <v>2.8884338745681884E-3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0.93294700174176015</v>
      </c>
      <c r="F106" s="14">
        <v>0.90337563168693902</v>
      </c>
      <c r="G106" s="14">
        <v>1.5429677864026373E-10</v>
      </c>
      <c r="H106" s="14">
        <v>7.2198532695047604</v>
      </c>
      <c r="I106" s="14">
        <v>20.238836510431859</v>
      </c>
      <c r="J106" s="14">
        <v>0</v>
      </c>
      <c r="K106" s="14">
        <v>1.1069592370259393</v>
      </c>
      <c r="L106" s="14">
        <v>0.90337563168693902</v>
      </c>
      <c r="M106" s="14">
        <v>0.74121970579913343</v>
      </c>
      <c r="N106" s="14">
        <v>2.0253267038019369</v>
      </c>
      <c r="O106" s="14">
        <v>389.12601960146611</v>
      </c>
      <c r="P106" s="8">
        <v>2.0253267038019369</v>
      </c>
      <c r="Q106" s="54">
        <v>0.10685271023513337</v>
      </c>
    </row>
    <row r="107" spans="1:17">
      <c r="A107" s="2" t="s">
        <v>492</v>
      </c>
      <c r="B107" s="16" t="s">
        <v>493</v>
      </c>
      <c r="D107" s="14">
        <v>1</v>
      </c>
      <c r="E107" s="14">
        <v>0.94120570835182338</v>
      </c>
      <c r="F107" s="14">
        <v>1.4744059949380122E-2</v>
      </c>
      <c r="G107" s="14">
        <v>2.6255819358161205E-18</v>
      </c>
      <c r="H107" s="14">
        <v>224.38668786122744</v>
      </c>
      <c r="I107" s="14">
        <v>360.62369493370318</v>
      </c>
      <c r="J107" s="14">
        <v>0</v>
      </c>
      <c r="K107" s="14">
        <v>67.823923901099064</v>
      </c>
      <c r="L107" s="14">
        <v>1.4744059949380123E-2</v>
      </c>
      <c r="M107" s="14">
        <v>1.209750118846639E-2</v>
      </c>
      <c r="N107" s="14">
        <v>22.360738637262795</v>
      </c>
      <c r="O107" s="14">
        <v>10165.191784499668</v>
      </c>
      <c r="P107" s="8">
        <v>22.360738637262799</v>
      </c>
      <c r="Q107" s="54">
        <v>8.9300575727799286E-2</v>
      </c>
    </row>
    <row r="108" spans="1:17">
      <c r="A108" s="2" t="s">
        <v>291</v>
      </c>
      <c r="B108" s="16" t="s">
        <v>494</v>
      </c>
      <c r="D108" s="14">
        <v>1</v>
      </c>
      <c r="E108" s="14">
        <v>0.83718497747715348</v>
      </c>
      <c r="F108" s="14">
        <v>0.57862074062307434</v>
      </c>
      <c r="G108" s="14">
        <v>3.9902718513173311E-12</v>
      </c>
      <c r="H108" s="14">
        <v>59.261685155880009</v>
      </c>
      <c r="I108" s="14">
        <v>137.66741814967338</v>
      </c>
      <c r="J108" s="14">
        <v>0</v>
      </c>
      <c r="K108" s="14">
        <v>1.7282477619505532</v>
      </c>
      <c r="L108" s="14">
        <v>0.57862074062307445</v>
      </c>
      <c r="M108" s="14">
        <v>0.47475831768123256</v>
      </c>
      <c r="N108" s="14">
        <v>8.9177783800606321</v>
      </c>
      <c r="O108" s="14">
        <v>2749.6186079240942</v>
      </c>
      <c r="P108" s="8">
        <v>8.9177783800606321</v>
      </c>
      <c r="Q108" s="54">
        <v>0.2586015762018975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7.8739503099709441E-5</v>
      </c>
      <c r="E2" s="20">
        <v>0.91542374660441983</v>
      </c>
      <c r="F2" s="20">
        <v>4.1153933747287326E-2</v>
      </c>
      <c r="G2" s="20">
        <v>1.1986900750366588E-2</v>
      </c>
      <c r="H2" s="20">
        <v>0</v>
      </c>
      <c r="I2" s="20">
        <v>0.86228291210676589</v>
      </c>
      <c r="J2" s="20">
        <v>3.5735454155321606E-4</v>
      </c>
      <c r="K2" s="20">
        <v>8.414015935092721E-2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2.9269704328439695E-3</v>
      </c>
      <c r="E3" s="20">
        <v>0.94552428995538274</v>
      </c>
      <c r="F3" s="20">
        <v>0.25470473561732021</v>
      </c>
      <c r="G3" s="20">
        <v>0.69013265128707901</v>
      </c>
      <c r="H3" s="20">
        <v>0</v>
      </c>
      <c r="I3" s="20">
        <v>6.869030509835146E-4</v>
      </c>
      <c r="J3" s="20">
        <v>1.5238509953210832E-2</v>
      </c>
      <c r="K3" s="20">
        <v>3.6310229658562489E-2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4.2517770494017115E-12</v>
      </c>
      <c r="E4" s="20">
        <v>0.82369772792355866</v>
      </c>
      <c r="F4" s="20">
        <v>0.31130720169503795</v>
      </c>
      <c r="G4" s="20">
        <v>7.4316410166610197E-2</v>
      </c>
      <c r="H4" s="20">
        <v>0</v>
      </c>
      <c r="I4" s="20">
        <v>0.43807411606191055</v>
      </c>
      <c r="J4" s="20">
        <v>1.6472235437315365E-3</v>
      </c>
      <c r="K4" s="20">
        <v>0.17465504852845801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1.0010025623491211E-4</v>
      </c>
      <c r="E5" s="20">
        <v>0.94262861462302638</v>
      </c>
      <c r="F5" s="20">
        <v>0.72485956401952822</v>
      </c>
      <c r="G5" s="20">
        <v>0.21035334809453854</v>
      </c>
      <c r="H5" s="20">
        <v>0</v>
      </c>
      <c r="I5" s="20">
        <v>7.4157025089595756E-3</v>
      </c>
      <c r="J5" s="20">
        <v>4.5912750158298233E-3</v>
      </c>
      <c r="K5" s="20">
        <v>5.2680010104908852E-2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9.4800080029090424E-6</v>
      </c>
      <c r="E6" s="20">
        <v>0.95487944276480607</v>
      </c>
      <c r="F6" s="20">
        <v>0.16148321537355934</v>
      </c>
      <c r="G6" s="20">
        <v>0.79309085778158162</v>
      </c>
      <c r="H6" s="20">
        <v>0</v>
      </c>
      <c r="I6" s="20">
        <v>3.053696096651666E-4</v>
      </c>
      <c r="J6" s="20">
        <v>1.7567562107353701E-2</v>
      </c>
      <c r="K6" s="20">
        <v>2.7543515119837353E-2</v>
      </c>
      <c r="L6" s="20">
        <v>0</v>
      </c>
    </row>
    <row r="7" spans="1:14">
      <c r="A7" s="2" t="s">
        <v>321</v>
      </c>
      <c r="B7" s="3" t="s">
        <v>322</v>
      </c>
      <c r="D7" s="20">
        <v>1.4061241508083495E-5</v>
      </c>
      <c r="E7" s="20">
        <v>0.94923336450840579</v>
      </c>
      <c r="F7" s="20">
        <v>0.23979623046604265</v>
      </c>
      <c r="G7" s="20">
        <v>0.70882317305267029</v>
      </c>
      <c r="H7" s="20">
        <v>0</v>
      </c>
      <c r="I7" s="20">
        <v>6.1396098969282442E-4</v>
      </c>
      <c r="J7" s="20">
        <v>1.5658456581072813E-2</v>
      </c>
      <c r="K7" s="20">
        <v>3.5094117669013269E-2</v>
      </c>
      <c r="L7" s="20">
        <v>0</v>
      </c>
    </row>
    <row r="8" spans="1:14">
      <c r="A8" s="2" t="s">
        <v>323</v>
      </c>
      <c r="B8" s="3" t="s">
        <v>324</v>
      </c>
      <c r="D8" s="20">
        <v>1.3375985586503174E-4</v>
      </c>
      <c r="E8" s="20">
        <v>0.94285624260870526</v>
      </c>
      <c r="F8" s="20">
        <v>0.36757373935214088</v>
      </c>
      <c r="G8" s="20">
        <v>0.57390503086823519</v>
      </c>
      <c r="H8" s="20">
        <v>0</v>
      </c>
      <c r="I8" s="20">
        <v>1.3774723883292002E-3</v>
      </c>
      <c r="J8" s="20">
        <v>1.2635193054586182E-2</v>
      </c>
      <c r="K8" s="20">
        <v>4.4374804480843577E-2</v>
      </c>
      <c r="L8" s="20">
        <v>0</v>
      </c>
    </row>
    <row r="9" spans="1:14">
      <c r="A9" s="2" t="s">
        <v>325</v>
      </c>
      <c r="B9" s="3" t="s">
        <v>326</v>
      </c>
      <c r="D9" s="20">
        <v>9.0548050918155571E-5</v>
      </c>
      <c r="E9" s="20">
        <v>0.88882116961669455</v>
      </c>
      <c r="F9" s="20">
        <v>0.68595841899596943</v>
      </c>
      <c r="G9" s="20">
        <v>0.13470798692179148</v>
      </c>
      <c r="H9" s="20">
        <v>0</v>
      </c>
      <c r="I9" s="20">
        <v>6.815476369893364E-2</v>
      </c>
      <c r="J9" s="20">
        <v>2.9225321159828811E-3</v>
      </c>
      <c r="K9" s="20">
        <v>0.10816575021640457</v>
      </c>
      <c r="L9" s="20">
        <v>0</v>
      </c>
    </row>
    <row r="10" spans="1:14">
      <c r="A10" s="2" t="s">
        <v>275</v>
      </c>
      <c r="B10" s="3" t="s">
        <v>276</v>
      </c>
      <c r="D10" s="20">
        <v>1.286567336231198E-6</v>
      </c>
      <c r="E10" s="20">
        <v>0.94209230617791129</v>
      </c>
      <c r="F10" s="20">
        <v>0.71031535914027533</v>
      </c>
      <c r="G10" s="20">
        <v>0.22487789165655978</v>
      </c>
      <c r="H10" s="20">
        <v>0</v>
      </c>
      <c r="I10" s="20">
        <v>6.8990553810762021E-3</v>
      </c>
      <c r="J10" s="20">
        <v>4.9103962485137877E-3</v>
      </c>
      <c r="K10" s="20">
        <v>5.2996011006238769E-2</v>
      </c>
      <c r="L10" s="20">
        <v>0</v>
      </c>
    </row>
    <row r="11" spans="1:14">
      <c r="A11" s="2" t="s">
        <v>327</v>
      </c>
      <c r="B11" s="3" t="s">
        <v>328</v>
      </c>
      <c r="D11" s="20">
        <v>6.7041345732017285E-5</v>
      </c>
      <c r="E11" s="20">
        <v>0.941106185559481</v>
      </c>
      <c r="F11" s="20">
        <v>0.68448101625156355</v>
      </c>
      <c r="G11" s="20">
        <v>0.25052839900264234</v>
      </c>
      <c r="H11" s="20">
        <v>0</v>
      </c>
      <c r="I11" s="20">
        <v>6.0967703052751433E-3</v>
      </c>
      <c r="J11" s="20">
        <v>5.4744439387682088E-3</v>
      </c>
      <c r="K11" s="20">
        <v>5.3352329156018646E-2</v>
      </c>
      <c r="L11" s="20">
        <v>0</v>
      </c>
    </row>
    <row r="12" spans="1:14">
      <c r="A12" s="2" t="s">
        <v>329</v>
      </c>
      <c r="B12" s="3" t="s">
        <v>330</v>
      </c>
      <c r="D12" s="20">
        <v>4.6306313244819616E-5</v>
      </c>
      <c r="E12" s="20">
        <v>0.9077524682223026</v>
      </c>
      <c r="F12" s="20">
        <v>0.72754337367710298</v>
      </c>
      <c r="G12" s="20">
        <v>0.13745307024067197</v>
      </c>
      <c r="H12" s="20">
        <v>0</v>
      </c>
      <c r="I12" s="20">
        <v>4.2756024304527629E-2</v>
      </c>
      <c r="J12" s="20">
        <v>2.9835577989114201E-3</v>
      </c>
      <c r="K12" s="20">
        <v>8.9217667665541095E-2</v>
      </c>
      <c r="L12" s="20">
        <v>0</v>
      </c>
    </row>
    <row r="13" spans="1:14">
      <c r="A13" s="2" t="s">
        <v>277</v>
      </c>
      <c r="B13" s="3" t="s">
        <v>278</v>
      </c>
      <c r="D13" s="20">
        <v>1.406182752704706E-4</v>
      </c>
      <c r="E13" s="20">
        <v>0.89064873219571927</v>
      </c>
      <c r="F13" s="20">
        <v>0.69033588776130961</v>
      </c>
      <c r="G13" s="20">
        <v>0.13506910015419379</v>
      </c>
      <c r="H13" s="20">
        <v>0</v>
      </c>
      <c r="I13" s="20">
        <v>6.5243744280215926E-2</v>
      </c>
      <c r="J13" s="20">
        <v>2.9304337986648613E-3</v>
      </c>
      <c r="K13" s="20">
        <v>0.10628021573034534</v>
      </c>
      <c r="L13" s="20">
        <v>0</v>
      </c>
    </row>
    <row r="14" spans="1:14">
      <c r="A14" s="2" t="s">
        <v>331</v>
      </c>
      <c r="B14" s="3" t="s">
        <v>332</v>
      </c>
      <c r="D14" s="20">
        <v>4.4700139145981638E-5</v>
      </c>
      <c r="E14" s="20">
        <v>0.93943152482730952</v>
      </c>
      <c r="F14" s="20">
        <v>0.59432987226099487</v>
      </c>
      <c r="G14" s="20">
        <v>0.34105397429862122</v>
      </c>
      <c r="H14" s="20">
        <v>0</v>
      </c>
      <c r="I14" s="20">
        <v>4.0476782676933925E-3</v>
      </c>
      <c r="J14" s="20">
        <v>7.4696037140880916E-3</v>
      </c>
      <c r="K14" s="20">
        <v>5.3054171319456479E-2</v>
      </c>
      <c r="L14" s="20">
        <v>0</v>
      </c>
    </row>
    <row r="15" spans="1:14">
      <c r="A15" s="2" t="s">
        <v>333</v>
      </c>
      <c r="B15" s="3" t="s">
        <v>334</v>
      </c>
      <c r="D15" s="20">
        <v>7.2964844223918991E-8</v>
      </c>
      <c r="E15" s="20">
        <v>0.94161092408943436</v>
      </c>
      <c r="F15" s="20">
        <v>0.69764155900558489</v>
      </c>
      <c r="G15" s="20">
        <v>0.23748046974143644</v>
      </c>
      <c r="H15" s="20">
        <v>0</v>
      </c>
      <c r="I15" s="20">
        <v>6.488895342413049E-3</v>
      </c>
      <c r="J15" s="20">
        <v>5.1874487073678846E-3</v>
      </c>
      <c r="K15" s="20">
        <v>5.320155423835362E-2</v>
      </c>
      <c r="L15" s="20">
        <v>0</v>
      </c>
    </row>
    <row r="16" spans="1:14">
      <c r="A16" s="2" t="s">
        <v>335</v>
      </c>
      <c r="B16" s="3" t="s">
        <v>336</v>
      </c>
      <c r="D16" s="20">
        <v>3.4764892021787238E-4</v>
      </c>
      <c r="E16" s="20">
        <v>0.9424232941625037</v>
      </c>
      <c r="F16" s="20">
        <v>0.37390353328833748</v>
      </c>
      <c r="G16" s="20">
        <v>0.56709409420987578</v>
      </c>
      <c r="H16" s="20">
        <v>0</v>
      </c>
      <c r="I16" s="20">
        <v>1.4256666642904648E-3</v>
      </c>
      <c r="J16" s="20">
        <v>1.2483332325698721E-2</v>
      </c>
      <c r="K16" s="20">
        <v>4.4745724591579557E-2</v>
      </c>
      <c r="L16" s="20">
        <v>0</v>
      </c>
    </row>
    <row r="17" spans="1:12">
      <c r="A17" s="2" t="s">
        <v>337</v>
      </c>
      <c r="B17" s="3" t="s">
        <v>338</v>
      </c>
      <c r="D17" s="20">
        <v>2.5714777322076059E-5</v>
      </c>
      <c r="E17" s="20">
        <v>0.94248305053017511</v>
      </c>
      <c r="F17" s="20">
        <v>0.72011432817845544</v>
      </c>
      <c r="G17" s="20">
        <v>0.2151280336237007</v>
      </c>
      <c r="H17" s="20">
        <v>0</v>
      </c>
      <c r="I17" s="20">
        <v>7.2406887280189415E-3</v>
      </c>
      <c r="J17" s="20">
        <v>4.6961576097871056E-3</v>
      </c>
      <c r="K17" s="20">
        <v>5.2795077082715823E-2</v>
      </c>
      <c r="L17" s="20">
        <v>0</v>
      </c>
    </row>
    <row r="18" spans="1:12">
      <c r="A18" s="2" t="s">
        <v>279</v>
      </c>
      <c r="B18" s="3" t="s">
        <v>280</v>
      </c>
      <c r="D18" s="20">
        <v>2.7499306099035177E-3</v>
      </c>
      <c r="E18" s="20">
        <v>0.87792992828097416</v>
      </c>
      <c r="F18" s="20">
        <v>0.66304105368046384</v>
      </c>
      <c r="G18" s="20">
        <v>0.13238414500989415</v>
      </c>
      <c r="H18" s="20">
        <v>0</v>
      </c>
      <c r="I18" s="20">
        <v>8.2504729590616208E-2</v>
      </c>
      <c r="J18" s="20">
        <v>2.8720441123106901E-3</v>
      </c>
      <c r="K18" s="20">
        <v>0.11644809699681151</v>
      </c>
      <c r="L18" s="20">
        <v>0</v>
      </c>
    </row>
    <row r="19" spans="1:12">
      <c r="A19" s="2" t="s">
        <v>339</v>
      </c>
      <c r="B19" s="3" t="s">
        <v>340</v>
      </c>
      <c r="D19" s="20">
        <v>2.5574046858088333E-7</v>
      </c>
      <c r="E19" s="20">
        <v>0.94151906807815067</v>
      </c>
      <c r="F19" s="20">
        <v>0.69505335002294455</v>
      </c>
      <c r="G19" s="20">
        <v>0.2400566251577799</v>
      </c>
      <c r="H19" s="20">
        <v>0</v>
      </c>
      <c r="I19" s="20">
        <v>6.4090928974261784E-3</v>
      </c>
      <c r="J19" s="20">
        <v>5.2440999763604503E-3</v>
      </c>
      <c r="K19" s="20">
        <v>5.3236576205020314E-2</v>
      </c>
      <c r="L19" s="20">
        <v>0</v>
      </c>
    </row>
    <row r="20" spans="1:12">
      <c r="A20" s="2" t="s">
        <v>281</v>
      </c>
      <c r="B20" s="3" t="s">
        <v>282</v>
      </c>
      <c r="D20" s="20">
        <v>2.1285977385795901E-5</v>
      </c>
      <c r="E20" s="20">
        <v>0.89075503030299685</v>
      </c>
      <c r="F20" s="20">
        <v>0.69041827871478223</v>
      </c>
      <c r="G20" s="20">
        <v>0.13508522052710745</v>
      </c>
      <c r="H20" s="20">
        <v>0</v>
      </c>
      <c r="I20" s="20">
        <v>6.525153106110719E-2</v>
      </c>
      <c r="J20" s="20">
        <v>2.9307835432443347E-3</v>
      </c>
      <c r="K20" s="20">
        <v>0.10629290017637304</v>
      </c>
      <c r="L20" s="20">
        <v>0</v>
      </c>
    </row>
    <row r="21" spans="1:12">
      <c r="A21" s="2" t="s">
        <v>341</v>
      </c>
      <c r="B21" s="3" t="s">
        <v>342</v>
      </c>
      <c r="D21" s="20">
        <v>3.7426751846176697E-4</v>
      </c>
      <c r="E21" s="20">
        <v>0.93941556569316997</v>
      </c>
      <c r="F21" s="20">
        <v>0.62172856601134885</v>
      </c>
      <c r="G21" s="20">
        <v>0.31310959565175661</v>
      </c>
      <c r="H21" s="20">
        <v>0</v>
      </c>
      <c r="I21" s="20">
        <v>4.5774040300645205E-3</v>
      </c>
      <c r="J21" s="20">
        <v>6.8529954362555375E-3</v>
      </c>
      <c r="K21" s="20">
        <v>5.3357171352112868E-2</v>
      </c>
      <c r="L21" s="20">
        <v>0</v>
      </c>
    </row>
    <row r="22" spans="1:12">
      <c r="A22" s="2" t="s">
        <v>343</v>
      </c>
      <c r="B22" s="3" t="s">
        <v>344</v>
      </c>
      <c r="D22" s="20">
        <v>1.8272842915262627E-3</v>
      </c>
      <c r="E22" s="20">
        <v>0.85386805211997929</v>
      </c>
      <c r="F22" s="20">
        <v>0.14388807587691979</v>
      </c>
      <c r="G22" s="20">
        <v>3.7524970583007071E-2</v>
      </c>
      <c r="H22" s="20">
        <v>0</v>
      </c>
      <c r="I22" s="20">
        <v>0.67245500566005245</v>
      </c>
      <c r="J22" s="20">
        <v>8.8233110071598393E-4</v>
      </c>
      <c r="K22" s="20">
        <v>0.14342233248777847</v>
      </c>
      <c r="L22" s="20">
        <v>0</v>
      </c>
    </row>
    <row r="23" spans="1:12">
      <c r="A23" s="2" t="s">
        <v>345</v>
      </c>
      <c r="B23" s="3" t="s">
        <v>346</v>
      </c>
      <c r="D23" s="20">
        <v>7.4317332073716588E-5</v>
      </c>
      <c r="E23" s="20">
        <v>0.89532624256078064</v>
      </c>
      <c r="F23" s="20">
        <v>6.5480018704161716E-2</v>
      </c>
      <c r="G23" s="20">
        <v>1.8348659868324905E-2</v>
      </c>
      <c r="H23" s="20">
        <v>0</v>
      </c>
      <c r="I23" s="20">
        <v>0.81149756398829398</v>
      </c>
      <c r="J23" s="20">
        <v>4.8744454124847607E-4</v>
      </c>
      <c r="K23" s="20">
        <v>0.10411199556589706</v>
      </c>
      <c r="L23" s="20">
        <v>0</v>
      </c>
    </row>
    <row r="24" spans="1:12">
      <c r="A24" s="2" t="s">
        <v>347</v>
      </c>
      <c r="B24" s="3" t="s">
        <v>348</v>
      </c>
      <c r="D24" s="20">
        <v>6.8632374726815905E-5</v>
      </c>
      <c r="E24" s="20">
        <v>0.83733954121163379</v>
      </c>
      <c r="F24" s="20">
        <v>0.51327216199003878</v>
      </c>
      <c r="G24" s="20">
        <v>0.11195494107901922</v>
      </c>
      <c r="H24" s="20">
        <v>0</v>
      </c>
      <c r="I24" s="20">
        <v>0.21211243814257583</v>
      </c>
      <c r="J24" s="20">
        <v>2.4371270829606382E-3</v>
      </c>
      <c r="K24" s="20">
        <v>0.16015469933067886</v>
      </c>
      <c r="L24" s="20">
        <v>0</v>
      </c>
    </row>
    <row r="25" spans="1:12">
      <c r="A25" s="2" t="s">
        <v>349</v>
      </c>
      <c r="B25" s="3" t="s">
        <v>350</v>
      </c>
      <c r="D25" s="20">
        <v>1.1285684595341428E-2</v>
      </c>
      <c r="E25" s="20">
        <v>0.91836726880452713</v>
      </c>
      <c r="F25" s="20">
        <v>0.75918320707789977</v>
      </c>
      <c r="G25" s="20">
        <v>0.13647155762604149</v>
      </c>
      <c r="H25" s="20">
        <v>0</v>
      </c>
      <c r="I25" s="20">
        <v>2.2712504100585857E-2</v>
      </c>
      <c r="J25" s="20">
        <v>2.9658732809493635E-3</v>
      </c>
      <c r="K25" s="20">
        <v>6.7381173319182058E-2</v>
      </c>
      <c r="L25" s="20">
        <v>0</v>
      </c>
    </row>
    <row r="26" spans="1:12">
      <c r="A26" s="2" t="s">
        <v>351</v>
      </c>
      <c r="B26" s="3" t="s">
        <v>352</v>
      </c>
      <c r="D26" s="20">
        <v>3.0037846877166186E-4</v>
      </c>
      <c r="E26" s="20">
        <v>0.93977426620531568</v>
      </c>
      <c r="F26" s="20">
        <v>0.63956911504703984</v>
      </c>
      <c r="G26" s="20">
        <v>0.29524533123197411</v>
      </c>
      <c r="H26" s="20">
        <v>0</v>
      </c>
      <c r="I26" s="20">
        <v>4.9598199263016949E-3</v>
      </c>
      <c r="J26" s="20">
        <v>6.4591379823641989E-3</v>
      </c>
      <c r="K26" s="20">
        <v>5.3466217343548353E-2</v>
      </c>
      <c r="L26" s="20">
        <v>0</v>
      </c>
    </row>
    <row r="27" spans="1:12">
      <c r="A27" s="2" t="s">
        <v>353</v>
      </c>
      <c r="B27" s="3" t="s">
        <v>354</v>
      </c>
      <c r="D27" s="20">
        <v>2.0309667356589334E-3</v>
      </c>
      <c r="E27" s="20">
        <v>0.94560097031049006</v>
      </c>
      <c r="F27" s="20">
        <v>0.26842409321198968</v>
      </c>
      <c r="G27" s="20">
        <v>0.67642094998937663</v>
      </c>
      <c r="H27" s="20">
        <v>0</v>
      </c>
      <c r="I27" s="20">
        <v>7.5592710912379961E-4</v>
      </c>
      <c r="J27" s="20">
        <v>1.4929991335531067E-2</v>
      </c>
      <c r="K27" s="20">
        <v>3.7438071618320051E-2</v>
      </c>
      <c r="L27" s="20">
        <v>0</v>
      </c>
    </row>
    <row r="28" spans="1:12">
      <c r="A28" s="2" t="s">
        <v>355</v>
      </c>
      <c r="B28" s="3" t="s">
        <v>356</v>
      </c>
      <c r="D28" s="20">
        <v>1.1248755326553236E-4</v>
      </c>
      <c r="E28" s="20">
        <v>0.93954779625346307</v>
      </c>
      <c r="F28" s="20">
        <v>0.50666762513902963</v>
      </c>
      <c r="G28" s="20">
        <v>0.4301487945394582</v>
      </c>
      <c r="H28" s="20">
        <v>0</v>
      </c>
      <c r="I28" s="20">
        <v>2.7313765749752061E-3</v>
      </c>
      <c r="J28" s="20">
        <v>9.4400269464069292E-3</v>
      </c>
      <c r="K28" s="20">
        <v>5.0899689246864624E-2</v>
      </c>
      <c r="L28" s="20">
        <v>0</v>
      </c>
    </row>
    <row r="29" spans="1:12">
      <c r="A29" s="2" t="s">
        <v>357</v>
      </c>
      <c r="B29" s="3" t="s">
        <v>358</v>
      </c>
      <c r="D29" s="20">
        <v>2.2811808883449459E-2</v>
      </c>
      <c r="E29" s="20">
        <v>0.91811945891783764</v>
      </c>
      <c r="F29" s="20">
        <v>0.58990001707491679</v>
      </c>
      <c r="G29" s="20">
        <v>0.32409621874195049</v>
      </c>
      <c r="H29" s="20">
        <v>0</v>
      </c>
      <c r="I29" s="20">
        <v>4.1232231009703402E-3</v>
      </c>
      <c r="J29" s="20">
        <v>7.0966179064777483E-3</v>
      </c>
      <c r="K29" s="20">
        <v>5.1972114292235166E-2</v>
      </c>
      <c r="L29" s="20">
        <v>0</v>
      </c>
    </row>
    <row r="30" spans="1:12">
      <c r="A30" s="2" t="s">
        <v>359</v>
      </c>
      <c r="B30" s="3" t="s">
        <v>360</v>
      </c>
      <c r="D30" s="20">
        <v>1.1248755326553236E-4</v>
      </c>
      <c r="E30" s="20">
        <v>0.93954779625346307</v>
      </c>
      <c r="F30" s="20">
        <v>0.50666762513902963</v>
      </c>
      <c r="G30" s="20">
        <v>0.4301487945394582</v>
      </c>
      <c r="H30" s="20">
        <v>0</v>
      </c>
      <c r="I30" s="20">
        <v>2.7313765749752061E-3</v>
      </c>
      <c r="J30" s="20">
        <v>9.4400269464069292E-3</v>
      </c>
      <c r="K30" s="20">
        <v>5.0899689246864624E-2</v>
      </c>
      <c r="L30" s="20">
        <v>0</v>
      </c>
    </row>
    <row r="31" spans="1:12">
      <c r="A31" s="2" t="s">
        <v>283</v>
      </c>
      <c r="B31" s="3" t="s">
        <v>284</v>
      </c>
      <c r="D31" s="20">
        <v>2.0668689496776216E-8</v>
      </c>
      <c r="E31" s="20">
        <v>0.98988417944930984</v>
      </c>
      <c r="F31" s="20">
        <v>6.0859954771063187E-4</v>
      </c>
      <c r="G31" s="20">
        <v>2.4424584286815052E-4</v>
      </c>
      <c r="H31" s="20">
        <v>0</v>
      </c>
      <c r="I31" s="20">
        <v>0.98903133405873112</v>
      </c>
      <c r="J31" s="20">
        <v>1.2216217088756529E-4</v>
      </c>
      <c r="K31" s="20">
        <v>9.9936377111131073E-3</v>
      </c>
      <c r="L31" s="20">
        <v>0</v>
      </c>
    </row>
    <row r="32" spans="1:12">
      <c r="A32" s="2" t="s">
        <v>361</v>
      </c>
      <c r="B32" s="3" t="s">
        <v>362</v>
      </c>
      <c r="D32" s="20">
        <v>2.0373195641616349E-8</v>
      </c>
      <c r="E32" s="20">
        <v>0.83198210526549143</v>
      </c>
      <c r="F32" s="20">
        <v>0.23969331955084525</v>
      </c>
      <c r="G32" s="20">
        <v>5.9098246006159663E-2</v>
      </c>
      <c r="H32" s="20">
        <v>0</v>
      </c>
      <c r="I32" s="20">
        <v>0.53319053970848651</v>
      </c>
      <c r="J32" s="20">
        <v>1.3426638746698231E-3</v>
      </c>
      <c r="K32" s="20">
        <v>0.16667521048664308</v>
      </c>
      <c r="L32" s="20">
        <v>0</v>
      </c>
    </row>
    <row r="33" spans="1:12">
      <c r="A33" s="2" t="s">
        <v>364</v>
      </c>
      <c r="B33" s="3" t="s">
        <v>365</v>
      </c>
      <c r="D33" s="20">
        <v>9.3883052845481021E-11</v>
      </c>
      <c r="E33" s="20">
        <v>0.99985728085794423</v>
      </c>
      <c r="F33" s="20">
        <v>4.2019418768071545E-3</v>
      </c>
      <c r="G33" s="20">
        <v>1.284923770341975E-6</v>
      </c>
      <c r="H33" s="20">
        <v>0</v>
      </c>
      <c r="I33" s="20">
        <v>0.99565405405736673</v>
      </c>
      <c r="J33" s="20">
        <v>1.18621448564725E-4</v>
      </c>
      <c r="K33" s="20">
        <v>2.4097599607972584E-5</v>
      </c>
      <c r="L33" s="20">
        <v>0</v>
      </c>
    </row>
    <row r="34" spans="1:12">
      <c r="A34" s="2" t="s">
        <v>285</v>
      </c>
      <c r="B34" s="3" t="s">
        <v>286</v>
      </c>
      <c r="D34" s="20">
        <v>2.7915320151969906E-10</v>
      </c>
      <c r="E34" s="20">
        <v>0.99979194957268325</v>
      </c>
      <c r="F34" s="20">
        <v>0.45214218704932424</v>
      </c>
      <c r="G34" s="20">
        <v>3.7132102263213031E-5</v>
      </c>
      <c r="H34" s="20">
        <v>0</v>
      </c>
      <c r="I34" s="20">
        <v>0.54761263042109576</v>
      </c>
      <c r="J34" s="20">
        <v>1.2593071204652109E-4</v>
      </c>
      <c r="K34" s="20">
        <v>8.2119436117035163E-5</v>
      </c>
      <c r="L34" s="20">
        <v>0</v>
      </c>
    </row>
    <row r="35" spans="1:12">
      <c r="A35" s="2" t="s">
        <v>287</v>
      </c>
      <c r="B35" s="3" t="s">
        <v>288</v>
      </c>
      <c r="D35" s="20">
        <v>8.1326678021376551E-12</v>
      </c>
      <c r="E35" s="20">
        <v>0.99967515979369459</v>
      </c>
      <c r="F35" s="20">
        <v>0.67529863255238787</v>
      </c>
      <c r="G35" s="20">
        <v>1.3077453754925013E-4</v>
      </c>
      <c r="H35" s="20">
        <v>0</v>
      </c>
      <c r="I35" s="20">
        <v>0.32424575270375749</v>
      </c>
      <c r="J35" s="20">
        <v>1.2603871797559028E-4</v>
      </c>
      <c r="K35" s="20">
        <v>1.9880148019704174E-4</v>
      </c>
      <c r="L35" s="20">
        <v>0</v>
      </c>
    </row>
    <row r="36" spans="1:12">
      <c r="A36" s="2" t="s">
        <v>366</v>
      </c>
      <c r="B36" s="3" t="s">
        <v>305</v>
      </c>
      <c r="D36" s="20">
        <v>1.4338016949630998E-8</v>
      </c>
      <c r="E36" s="20">
        <v>0.99965704162219926</v>
      </c>
      <c r="F36" s="20">
        <v>0.89124024022127213</v>
      </c>
      <c r="G36" s="20">
        <v>2.5517408756238637E-4</v>
      </c>
      <c r="H36" s="20">
        <v>0</v>
      </c>
      <c r="I36" s="20">
        <v>0.10816162731336475</v>
      </c>
      <c r="J36" s="20">
        <v>1.2074970010680108E-4</v>
      </c>
      <c r="K36" s="20">
        <v>2.2219433967727475E-4</v>
      </c>
      <c r="L36" s="20">
        <v>0</v>
      </c>
    </row>
    <row r="37" spans="1:12">
      <c r="A37" s="2" t="s">
        <v>289</v>
      </c>
      <c r="B37" s="3" t="s">
        <v>290</v>
      </c>
      <c r="D37" s="20">
        <v>3.3985465839487137E-15</v>
      </c>
      <c r="E37" s="20">
        <v>0.96826045065954003</v>
      </c>
      <c r="F37" s="20">
        <v>0.72653763839309449</v>
      </c>
      <c r="G37" s="20">
        <v>2.4804336754914669E-2</v>
      </c>
      <c r="H37" s="20">
        <v>0</v>
      </c>
      <c r="I37" s="20">
        <v>0.21691847551153087</v>
      </c>
      <c r="J37" s="20">
        <v>6.3499096215539268E-4</v>
      </c>
      <c r="K37" s="20">
        <v>3.1104558378301089E-2</v>
      </c>
      <c r="L37" s="20">
        <v>0</v>
      </c>
    </row>
    <row r="38" spans="1:12">
      <c r="A38" s="2" t="s">
        <v>291</v>
      </c>
      <c r="B38" s="3" t="s">
        <v>292</v>
      </c>
      <c r="D38" s="20">
        <v>9.4057438099080894E-13</v>
      </c>
      <c r="E38" s="20">
        <v>0.9990732917500873</v>
      </c>
      <c r="F38" s="20">
        <v>0.38493111933061236</v>
      </c>
      <c r="G38" s="20">
        <v>3.2158817439259139E-4</v>
      </c>
      <c r="H38" s="20">
        <v>0</v>
      </c>
      <c r="I38" s="20">
        <v>0.61382058424508235</v>
      </c>
      <c r="J38" s="20">
        <v>1.3165449777514143E-4</v>
      </c>
      <c r="K38" s="20">
        <v>7.9505375119700856E-4</v>
      </c>
      <c r="L38" s="20">
        <v>0</v>
      </c>
    </row>
    <row r="39" spans="1:12">
      <c r="A39" s="2" t="s">
        <v>367</v>
      </c>
      <c r="B39" s="3" t="s">
        <v>368</v>
      </c>
      <c r="D39" s="20">
        <v>1.2054393385538972E-5</v>
      </c>
      <c r="E39" s="20">
        <v>0.94725686251083496</v>
      </c>
      <c r="F39" s="20">
        <v>0.79701050294479092</v>
      </c>
      <c r="G39" s="20">
        <v>0.13920652742132095</v>
      </c>
      <c r="H39" s="20">
        <v>0</v>
      </c>
      <c r="I39" s="20">
        <v>1.1039832144723063E-2</v>
      </c>
      <c r="J39" s="20">
        <v>3.0311252206571709E-3</v>
      </c>
      <c r="K39" s="20">
        <v>4.9699957875122415E-2</v>
      </c>
      <c r="L39" s="20">
        <v>0</v>
      </c>
    </row>
    <row r="40" spans="1:12">
      <c r="A40" s="2" t="s">
        <v>369</v>
      </c>
      <c r="B40" s="3" t="s">
        <v>370</v>
      </c>
      <c r="D40" s="20">
        <v>7.2126267729427038E-13</v>
      </c>
      <c r="E40" s="20">
        <v>0.99020817235240544</v>
      </c>
      <c r="F40" s="20">
        <v>0.92245995091706678</v>
      </c>
      <c r="G40" s="20">
        <v>6.6737187004446738E-2</v>
      </c>
      <c r="H40" s="20">
        <v>0</v>
      </c>
      <c r="I40" s="20">
        <v>1.0110344308919231E-3</v>
      </c>
      <c r="J40" s="20">
        <v>8.5675939822987355E-3</v>
      </c>
      <c r="K40" s="20">
        <v>1.2242336645746799E-3</v>
      </c>
      <c r="L40" s="20">
        <v>0</v>
      </c>
    </row>
    <row r="41" spans="1:12">
      <c r="A41" s="2" t="s">
        <v>371</v>
      </c>
      <c r="B41" s="3" t="s">
        <v>372</v>
      </c>
      <c r="D41" s="20">
        <v>6.4973731978067981E-2</v>
      </c>
      <c r="E41" s="20">
        <v>0.93294249090502535</v>
      </c>
      <c r="F41" s="20">
        <v>2.855988779821864E-5</v>
      </c>
      <c r="G41" s="20">
        <v>1.4297234890233715E-5</v>
      </c>
      <c r="H41" s="20">
        <v>0</v>
      </c>
      <c r="I41" s="20">
        <v>0.93289963378233687</v>
      </c>
      <c r="J41" s="20">
        <v>1.1067994989778896E-4</v>
      </c>
      <c r="K41" s="20">
        <v>1.9730971670087766E-3</v>
      </c>
      <c r="L41" s="20">
        <v>0</v>
      </c>
    </row>
    <row r="42" spans="1:12">
      <c r="A42" s="2" t="s">
        <v>293</v>
      </c>
      <c r="B42" s="3" t="s">
        <v>294</v>
      </c>
      <c r="D42" s="20">
        <v>1.6464161058185336E-8</v>
      </c>
      <c r="E42" s="20">
        <v>0.84702526032973446</v>
      </c>
      <c r="F42" s="20">
        <v>0.16980805602603932</v>
      </c>
      <c r="G42" s="20">
        <v>4.3556587351702022E-2</v>
      </c>
      <c r="H42" s="20">
        <v>0</v>
      </c>
      <c r="I42" s="20">
        <v>0.63366061695199316</v>
      </c>
      <c r="J42" s="20">
        <v>1.0073816224485286E-3</v>
      </c>
      <c r="K42" s="20">
        <v>0.15196734158365588</v>
      </c>
      <c r="L42" s="20">
        <v>0</v>
      </c>
    </row>
    <row r="43" spans="1:12">
      <c r="A43" s="2" t="s">
        <v>373</v>
      </c>
      <c r="B43" s="3" t="s">
        <v>374</v>
      </c>
      <c r="D43" s="20">
        <v>3.3552260444029863E-8</v>
      </c>
      <c r="E43" s="20">
        <v>0.99958709400818591</v>
      </c>
      <c r="F43" s="20">
        <v>0.98993376295818591</v>
      </c>
      <c r="G43" s="20">
        <v>8.3584944438222053E-4</v>
      </c>
      <c r="H43" s="20">
        <v>0</v>
      </c>
      <c r="I43" s="20">
        <v>8.8174816056178166E-3</v>
      </c>
      <c r="J43" s="20">
        <v>2.348706047952198E-4</v>
      </c>
      <c r="K43" s="20">
        <v>1.7800183475840271E-4</v>
      </c>
      <c r="L43" s="20">
        <v>0</v>
      </c>
    </row>
    <row r="44" spans="1:12">
      <c r="A44" s="2" t="s">
        <v>375</v>
      </c>
      <c r="B44" s="3" t="s">
        <v>376</v>
      </c>
      <c r="D44" s="20">
        <v>7.2969808257117394E-2</v>
      </c>
      <c r="E44" s="20">
        <v>0.86764188068906345</v>
      </c>
      <c r="F44" s="20">
        <v>2.144676975481476E-2</v>
      </c>
      <c r="G44" s="20">
        <v>6.5412002510736389E-3</v>
      </c>
      <c r="H44" s="20">
        <v>0</v>
      </c>
      <c r="I44" s="20">
        <v>0.83965391068317508</v>
      </c>
      <c r="J44" s="20">
        <v>2.3843138341206094E-4</v>
      </c>
      <c r="K44" s="20">
        <v>5.91498796704071E-2</v>
      </c>
      <c r="L44" s="20">
        <v>0</v>
      </c>
    </row>
    <row r="45" spans="1:12">
      <c r="A45" s="2" t="s">
        <v>377</v>
      </c>
      <c r="B45" s="3" t="s">
        <v>378</v>
      </c>
      <c r="D45" s="20">
        <v>6.3104955923431159E-4</v>
      </c>
      <c r="E45" s="20">
        <v>0.83972680162837765</v>
      </c>
      <c r="F45" s="20">
        <v>0.19493155715854543</v>
      </c>
      <c r="G45" s="20">
        <v>4.9269449227793312E-2</v>
      </c>
      <c r="H45" s="20">
        <v>0</v>
      </c>
      <c r="I45" s="20">
        <v>0.59552579524203886</v>
      </c>
      <c r="J45" s="20">
        <v>1.1257752911018946E-3</v>
      </c>
      <c r="K45" s="20">
        <v>0.15851637352128634</v>
      </c>
      <c r="L45" s="20">
        <v>0</v>
      </c>
    </row>
    <row r="46" spans="1:12">
      <c r="A46" s="2" t="s">
        <v>379</v>
      </c>
      <c r="B46" s="3" t="s">
        <v>380</v>
      </c>
      <c r="D46" s="20">
        <v>1.8890326577160662E-3</v>
      </c>
      <c r="E46" s="20">
        <v>0.8428030295719473</v>
      </c>
      <c r="F46" s="20">
        <v>0.17867267948976046</v>
      </c>
      <c r="G46" s="20">
        <v>4.5577836463109568E-2</v>
      </c>
      <c r="H46" s="20">
        <v>0</v>
      </c>
      <c r="I46" s="20">
        <v>0.61855251361907726</v>
      </c>
      <c r="J46" s="20">
        <v>1.0490745787093054E-3</v>
      </c>
      <c r="K46" s="20">
        <v>0.15425886319162738</v>
      </c>
      <c r="L46" s="20">
        <v>0</v>
      </c>
    </row>
    <row r="47" spans="1:12">
      <c r="A47" s="2" t="s">
        <v>381</v>
      </c>
      <c r="B47" s="3" t="s">
        <v>382</v>
      </c>
      <c r="D47" s="20">
        <v>3.4489853645070702E-8</v>
      </c>
      <c r="E47" s="20">
        <v>0.94829990312229606</v>
      </c>
      <c r="F47" s="20">
        <v>0.25545242853791977</v>
      </c>
      <c r="G47" s="20">
        <v>0.69215855511015234</v>
      </c>
      <c r="H47" s="20">
        <v>0</v>
      </c>
      <c r="I47" s="20">
        <v>6.8891947422399283E-4</v>
      </c>
      <c r="J47" s="20">
        <v>1.5283243028098062E-2</v>
      </c>
      <c r="K47" s="20">
        <v>3.6416819359752189E-2</v>
      </c>
      <c r="L47" s="20">
        <v>0</v>
      </c>
    </row>
    <row r="48" spans="1:12">
      <c r="A48" s="2" t="s">
        <v>383</v>
      </c>
      <c r="B48" s="3" t="s">
        <v>384</v>
      </c>
      <c r="D48" s="20">
        <v>9.6054500012321652E-3</v>
      </c>
      <c r="E48" s="20">
        <v>0.95634111769139929</v>
      </c>
      <c r="F48" s="20">
        <v>6.5938095629693516E-3</v>
      </c>
      <c r="G48" s="20">
        <v>2.2132575552708234E-3</v>
      </c>
      <c r="H48" s="20">
        <v>0</v>
      </c>
      <c r="I48" s="20">
        <v>0.94753405057315909</v>
      </c>
      <c r="J48" s="20">
        <v>1.589990811950544E-4</v>
      </c>
      <c r="K48" s="20">
        <v>3.3894433226173373E-2</v>
      </c>
      <c r="L48" s="20">
        <v>0</v>
      </c>
    </row>
    <row r="49" spans="1:12">
      <c r="A49" s="2" t="s">
        <v>385</v>
      </c>
      <c r="B49" s="3" t="s">
        <v>386</v>
      </c>
      <c r="D49" s="20">
        <v>1.8251087805517513E-2</v>
      </c>
      <c r="E49" s="20">
        <v>0.93596551424529795</v>
      </c>
      <c r="F49" s="20">
        <v>1.1964854971268942E-2</v>
      </c>
      <c r="G49" s="20">
        <v>3.8353322665312232E-3</v>
      </c>
      <c r="H49" s="20">
        <v>0</v>
      </c>
      <c r="I49" s="20">
        <v>0.92016532700749776</v>
      </c>
      <c r="J49" s="20">
        <v>1.9026720856200411E-4</v>
      </c>
      <c r="K49" s="20">
        <v>4.5593130740622337E-2</v>
      </c>
      <c r="L49" s="20">
        <v>0</v>
      </c>
    </row>
    <row r="50" spans="1:12">
      <c r="A50" s="2" t="s">
        <v>387</v>
      </c>
      <c r="B50" s="3" t="s">
        <v>388</v>
      </c>
      <c r="D50" s="20">
        <v>5.9616829708031525E-3</v>
      </c>
      <c r="E50" s="20">
        <v>0.87223809493152649</v>
      </c>
      <c r="F50" s="20">
        <v>0.65341268563410582</v>
      </c>
      <c r="G50" s="20">
        <v>0.13118467906915132</v>
      </c>
      <c r="H50" s="20">
        <v>0</v>
      </c>
      <c r="I50" s="20">
        <v>8.7640730228269403E-2</v>
      </c>
      <c r="J50" s="20">
        <v>2.8460885701634148E-3</v>
      </c>
      <c r="K50" s="20">
        <v>0.11895413352750694</v>
      </c>
      <c r="L50" s="20">
        <v>0</v>
      </c>
    </row>
    <row r="51" spans="1:12">
      <c r="A51" s="2" t="s">
        <v>295</v>
      </c>
      <c r="B51" s="3" t="s">
        <v>296</v>
      </c>
      <c r="D51" s="20">
        <v>5.2647405956002744E-2</v>
      </c>
      <c r="E51" s="20">
        <v>0.93434568416559927</v>
      </c>
      <c r="F51" s="20">
        <v>1.0461541008548721E-3</v>
      </c>
      <c r="G51" s="20">
        <v>4.0169018219760516E-4</v>
      </c>
      <c r="H51" s="20">
        <v>0</v>
      </c>
      <c r="I51" s="20">
        <v>0.93289783988254682</v>
      </c>
      <c r="J51" s="20">
        <v>1.1884724806448304E-4</v>
      </c>
      <c r="K51" s="20">
        <v>1.2888062630333397E-2</v>
      </c>
      <c r="L51" s="20">
        <v>0</v>
      </c>
    </row>
    <row r="52" spans="1:12">
      <c r="A52" s="2" t="s">
        <v>389</v>
      </c>
      <c r="B52" s="3" t="s">
        <v>390</v>
      </c>
      <c r="D52" s="20">
        <v>6.0283873497291543E-2</v>
      </c>
      <c r="E52" s="20">
        <v>0.8611480775661664</v>
      </c>
      <c r="F52" s="20">
        <v>3.7811145455922318E-2</v>
      </c>
      <c r="G52" s="20">
        <v>1.103355310189952E-2</v>
      </c>
      <c r="H52" s="20">
        <v>0</v>
      </c>
      <c r="I52" s="20">
        <v>0.81230337900834459</v>
      </c>
      <c r="J52" s="20">
        <v>3.3111718150907071E-4</v>
      </c>
      <c r="K52" s="20">
        <v>7.8236931755032699E-2</v>
      </c>
      <c r="L52" s="20">
        <v>0</v>
      </c>
    </row>
    <row r="53" spans="1:12">
      <c r="A53" s="2" t="s">
        <v>391</v>
      </c>
      <c r="B53" s="3" t="s">
        <v>392</v>
      </c>
      <c r="D53" s="20">
        <v>1.8932505056233348E-3</v>
      </c>
      <c r="E53" s="20">
        <v>0.82389700780440145</v>
      </c>
      <c r="F53" s="20">
        <v>0.2864354496145245</v>
      </c>
      <c r="G53" s="20">
        <v>6.9138877001233501E-2</v>
      </c>
      <c r="H53" s="20">
        <v>0</v>
      </c>
      <c r="I53" s="20">
        <v>0.46832268118864345</v>
      </c>
      <c r="J53" s="20">
        <v>1.5390050033396098E-3</v>
      </c>
      <c r="K53" s="20">
        <v>0.17267073668663549</v>
      </c>
      <c r="L53" s="20">
        <v>0</v>
      </c>
    </row>
    <row r="54" spans="1:12">
      <c r="A54" s="2" t="s">
        <v>393</v>
      </c>
      <c r="B54" s="3" t="s">
        <v>394</v>
      </c>
      <c r="D54" s="20">
        <v>1.5946175336844552E-4</v>
      </c>
      <c r="E54" s="20">
        <v>0.94544626363285711</v>
      </c>
      <c r="F54" s="20">
        <v>0.30596744463831094</v>
      </c>
      <c r="G54" s="20">
        <v>0.63851451571211659</v>
      </c>
      <c r="H54" s="20">
        <v>0</v>
      </c>
      <c r="I54" s="20">
        <v>9.6430328242956608E-4</v>
      </c>
      <c r="J54" s="20">
        <v>1.4079225287721486E-2</v>
      </c>
      <c r="K54" s="20">
        <v>4.0315049326052912E-2</v>
      </c>
      <c r="L54" s="20">
        <v>0</v>
      </c>
    </row>
    <row r="55" spans="1:12">
      <c r="A55" s="2" t="s">
        <v>395</v>
      </c>
      <c r="B55" s="3" t="s">
        <v>396</v>
      </c>
      <c r="D55" s="20">
        <v>0.12637994082283491</v>
      </c>
      <c r="E55" s="20">
        <v>0.73550233551920563</v>
      </c>
      <c r="F55" s="20">
        <v>0.46805493860101355</v>
      </c>
      <c r="G55" s="20">
        <v>0.10097000723001745</v>
      </c>
      <c r="H55" s="20">
        <v>0</v>
      </c>
      <c r="I55" s="20">
        <v>0.16647738968817469</v>
      </c>
      <c r="J55" s="20">
        <v>2.1960204088073277E-3</v>
      </c>
      <c r="K55" s="20">
        <v>0.13592170324915206</v>
      </c>
      <c r="L55" s="20">
        <v>0</v>
      </c>
    </row>
    <row r="56" spans="1:12">
      <c r="A56" s="2" t="s">
        <v>397</v>
      </c>
      <c r="B56" s="3" t="s">
        <v>398</v>
      </c>
      <c r="D56" s="20">
        <v>0.5713900332540448</v>
      </c>
      <c r="E56" s="20">
        <v>0.38798370551439554</v>
      </c>
      <c r="F56" s="20">
        <v>0.30956463818369151</v>
      </c>
      <c r="G56" s="20">
        <v>5.8809420562916312E-2</v>
      </c>
      <c r="H56" s="20">
        <v>0</v>
      </c>
      <c r="I56" s="20">
        <v>1.9609646767787692E-2</v>
      </c>
      <c r="J56" s="20">
        <v>1.2763894904773197E-3</v>
      </c>
      <c r="K56" s="20">
        <v>3.9349871741082426E-2</v>
      </c>
      <c r="L56" s="20">
        <v>0</v>
      </c>
    </row>
    <row r="57" spans="1:12">
      <c r="A57" s="2" t="s">
        <v>399</v>
      </c>
      <c r="B57" s="3" t="s">
        <v>400</v>
      </c>
      <c r="D57" s="20">
        <v>0.75350445616500017</v>
      </c>
      <c r="E57" s="20">
        <v>0.21023642909203655</v>
      </c>
      <c r="F57" s="20">
        <v>0.14325325848574766</v>
      </c>
      <c r="G57" s="20">
        <v>3.0171719722876352E-2</v>
      </c>
      <c r="H57" s="20">
        <v>0</v>
      </c>
      <c r="I57" s="20">
        <v>3.6811450883412526E-2</v>
      </c>
      <c r="J57" s="20">
        <v>6.553038657211265E-4</v>
      </c>
      <c r="K57" s="20">
        <v>3.5603810877242403E-2</v>
      </c>
      <c r="L57" s="20">
        <v>0</v>
      </c>
    </row>
    <row r="58" spans="1:12">
      <c r="A58" s="2" t="s">
        <v>297</v>
      </c>
      <c r="B58" s="3" t="s">
        <v>298</v>
      </c>
      <c r="D58" s="20">
        <v>0.91905497708775452</v>
      </c>
      <c r="E58" s="20">
        <v>7.6691806404572113E-2</v>
      </c>
      <c r="F58" s="20">
        <v>1.2530262683470397E-3</v>
      </c>
      <c r="G58" s="20">
        <v>3.94326288395054E-4</v>
      </c>
      <c r="H58" s="20">
        <v>0</v>
      </c>
      <c r="I58" s="20">
        <v>7.5044453847830025E-2</v>
      </c>
      <c r="J58" s="20">
        <v>1.7253569138921388E-5</v>
      </c>
      <c r="K58" s="20">
        <v>4.2359629385343425E-3</v>
      </c>
      <c r="L58" s="20">
        <v>0</v>
      </c>
    </row>
    <row r="59" spans="1:12">
      <c r="A59" s="2" t="s">
        <v>401</v>
      </c>
      <c r="B59" s="3" t="s">
        <v>402</v>
      </c>
      <c r="D59" s="20">
        <v>0.90323756333541982</v>
      </c>
      <c r="E59" s="20">
        <v>8.2271371870604168E-2</v>
      </c>
      <c r="F59" s="20">
        <v>5.5261246239256857E-2</v>
      </c>
      <c r="G59" s="20">
        <v>1.1703512684666724E-2</v>
      </c>
      <c r="H59" s="20">
        <v>0</v>
      </c>
      <c r="I59" s="20">
        <v>1.5306612946680591E-2</v>
      </c>
      <c r="J59" s="20">
        <v>2.5425604678749999E-4</v>
      </c>
      <c r="K59" s="20">
        <v>1.4236808747188337E-2</v>
      </c>
      <c r="L59" s="20">
        <v>0</v>
      </c>
    </row>
    <row r="60" spans="1:12">
      <c r="A60" s="2" t="s">
        <v>299</v>
      </c>
      <c r="B60" s="3" t="s">
        <v>300</v>
      </c>
      <c r="D60" s="20">
        <v>0.99795603932986909</v>
      </c>
      <c r="E60" s="20">
        <v>1.69120789525947E-3</v>
      </c>
      <c r="F60" s="20">
        <v>9.1060513506917317E-4</v>
      </c>
      <c r="G60" s="20">
        <v>2.049394896713551E-4</v>
      </c>
      <c r="H60" s="20">
        <v>0</v>
      </c>
      <c r="I60" s="20">
        <v>5.7566327051894169E-4</v>
      </c>
      <c r="J60" s="20">
        <v>4.4779591173503912E-6</v>
      </c>
      <c r="K60" s="20">
        <v>3.482748157541542E-4</v>
      </c>
      <c r="L60" s="20">
        <v>0</v>
      </c>
    </row>
    <row r="61" spans="1:12">
      <c r="A61" s="2" t="s">
        <v>403</v>
      </c>
      <c r="B61" s="3" t="s">
        <v>404</v>
      </c>
      <c r="D61" s="20">
        <v>4.3098978245065473E-44</v>
      </c>
      <c r="E61" s="20">
        <v>0.82295939191813461</v>
      </c>
      <c r="F61" s="20">
        <v>0.3825477559469011</v>
      </c>
      <c r="G61" s="20">
        <v>8.8507732393020649E-2</v>
      </c>
      <c r="H61" s="20">
        <v>0</v>
      </c>
      <c r="I61" s="20">
        <v>0.35190390357821283</v>
      </c>
      <c r="J61" s="20">
        <v>1.9440396489275454E-3</v>
      </c>
      <c r="K61" s="20">
        <v>0.17509656843293786</v>
      </c>
      <c r="L61" s="20">
        <v>0</v>
      </c>
    </row>
    <row r="62" spans="1:12">
      <c r="A62" s="2" t="s">
        <v>405</v>
      </c>
      <c r="B62" s="3" t="s">
        <v>406</v>
      </c>
      <c r="D62" s="20">
        <v>8.9588180045539508E-8</v>
      </c>
      <c r="E62" s="20">
        <v>0.93952384313744775</v>
      </c>
      <c r="F62" s="20">
        <v>0.60057797109464894</v>
      </c>
      <c r="G62" s="20">
        <v>0.33478420027673467</v>
      </c>
      <c r="H62" s="20">
        <v>0</v>
      </c>
      <c r="I62" s="20">
        <v>4.1616717660641371E-3</v>
      </c>
      <c r="J62" s="20">
        <v>7.3311941537118246E-3</v>
      </c>
      <c r="K62" s="20">
        <v>5.3144873120660331E-2</v>
      </c>
      <c r="L62" s="20">
        <v>0</v>
      </c>
    </row>
    <row r="63" spans="1:12">
      <c r="A63" s="2" t="s">
        <v>407</v>
      </c>
      <c r="B63" s="3" t="s">
        <v>408</v>
      </c>
      <c r="D63" s="20">
        <v>2.1121305307758824E-5</v>
      </c>
      <c r="E63" s="20">
        <v>0.95326316855979598</v>
      </c>
      <c r="F63" s="20">
        <v>0.18156805387089919</v>
      </c>
      <c r="G63" s="20">
        <v>0.7713207129438191</v>
      </c>
      <c r="H63" s="20">
        <v>0</v>
      </c>
      <c r="I63" s="20">
        <v>3.7440174507773351E-4</v>
      </c>
      <c r="J63" s="20">
        <v>1.7072078032917961E-2</v>
      </c>
      <c r="K63" s="20">
        <v>2.9643632101978415E-2</v>
      </c>
      <c r="L63" s="20">
        <v>0</v>
      </c>
    </row>
    <row r="64" spans="1:12">
      <c r="A64" s="2" t="s">
        <v>409</v>
      </c>
      <c r="B64" s="3" t="s">
        <v>410</v>
      </c>
      <c r="D64" s="20">
        <v>2.5936771535375181E-6</v>
      </c>
      <c r="E64" s="20">
        <v>0.96099877868100192</v>
      </c>
      <c r="F64" s="20">
        <v>9.7036383201304782E-2</v>
      </c>
      <c r="G64" s="20">
        <v>0.86383372674608638</v>
      </c>
      <c r="H64" s="20">
        <v>0</v>
      </c>
      <c r="I64" s="20">
        <v>1.2866873361075761E-4</v>
      </c>
      <c r="J64" s="20">
        <v>1.9195828751158012E-2</v>
      </c>
      <c r="K64" s="20">
        <v>1.9802798890686577E-2</v>
      </c>
      <c r="L64" s="20">
        <v>0</v>
      </c>
    </row>
    <row r="65" spans="1:12">
      <c r="A65" s="2" t="s">
        <v>301</v>
      </c>
      <c r="B65" s="3" t="s">
        <v>302</v>
      </c>
      <c r="D65" s="20">
        <v>3.1815970390647874E-7</v>
      </c>
      <c r="E65" s="20">
        <v>0.96764150649838865</v>
      </c>
      <c r="F65" s="20">
        <v>4.4695505980429776E-2</v>
      </c>
      <c r="G65" s="20">
        <v>0.92291013126896604</v>
      </c>
      <c r="H65" s="20">
        <v>0</v>
      </c>
      <c r="I65" s="20">
        <v>3.5869248992797922E-5</v>
      </c>
      <c r="J65" s="20">
        <v>2.0602276666369289E-2</v>
      </c>
      <c r="K65" s="20">
        <v>1.1755898675538208E-2</v>
      </c>
      <c r="L65" s="20">
        <v>0</v>
      </c>
    </row>
    <row r="66" spans="1:12">
      <c r="A66" s="2" t="s">
        <v>303</v>
      </c>
      <c r="B66" s="3" t="s">
        <v>304</v>
      </c>
      <c r="D66" s="20">
        <v>3.0826528803122642E-13</v>
      </c>
      <c r="E66" s="20">
        <v>0.96417783509352939</v>
      </c>
      <c r="F66" s="20">
        <v>6.9894549241086193E-2</v>
      </c>
      <c r="G66" s="20">
        <v>0.89420864411601231</v>
      </c>
      <c r="H66" s="20">
        <v>0</v>
      </c>
      <c r="I66" s="20">
        <v>7.4641736430886357E-5</v>
      </c>
      <c r="J66" s="20">
        <v>1.9909779667512433E-2</v>
      </c>
      <c r="K66" s="20">
        <v>1.5912385238650191E-2</v>
      </c>
      <c r="L66" s="20">
        <v>0</v>
      </c>
    </row>
    <row r="67" spans="1:12">
      <c r="A67" s="2" t="s">
        <v>411</v>
      </c>
      <c r="B67" s="3" t="s">
        <v>412</v>
      </c>
      <c r="D67" s="20">
        <v>3.9713079297233845E-3</v>
      </c>
      <c r="E67" s="20">
        <v>0.92615625379764743</v>
      </c>
      <c r="F67" s="20">
        <v>2.7768488914999643E-2</v>
      </c>
      <c r="G67" s="20">
        <v>8.3454123970598728E-3</v>
      </c>
      <c r="H67" s="20">
        <v>0</v>
      </c>
      <c r="I67" s="20">
        <v>0.89004235248558794</v>
      </c>
      <c r="J67" s="20">
        <v>2.828569892429631E-4</v>
      </c>
      <c r="K67" s="20">
        <v>6.9589581283386243E-2</v>
      </c>
      <c r="L67" s="20">
        <v>0</v>
      </c>
    </row>
    <row r="68" spans="1:12">
      <c r="A68" s="2" t="s">
        <v>413</v>
      </c>
      <c r="B68" s="3" t="s">
        <v>414</v>
      </c>
      <c r="D68" s="20">
        <v>8.7653952747177837E-3</v>
      </c>
      <c r="E68" s="20">
        <v>0.89921275939781875</v>
      </c>
      <c r="F68" s="20">
        <v>4.991030107271531E-2</v>
      </c>
      <c r="G68" s="20">
        <v>1.4298344118521636E-2</v>
      </c>
      <c r="H68" s="20">
        <v>0</v>
      </c>
      <c r="I68" s="20">
        <v>0.83500411420658183</v>
      </c>
      <c r="J68" s="20">
        <v>4.0355868487020719E-4</v>
      </c>
      <c r="K68" s="20">
        <v>9.1618286642593347E-2</v>
      </c>
      <c r="L68" s="20">
        <v>0</v>
      </c>
    </row>
    <row r="69" spans="1:12">
      <c r="A69" s="2" t="s">
        <v>415</v>
      </c>
      <c r="B69" s="3" t="s">
        <v>416</v>
      </c>
      <c r="D69" s="20">
        <v>1.0304952507841397E-3</v>
      </c>
      <c r="E69" s="20">
        <v>0.94144469416343868</v>
      </c>
      <c r="F69" s="20">
        <v>0.38332282392068912</v>
      </c>
      <c r="G69" s="20">
        <v>0.55662182932917426</v>
      </c>
      <c r="H69" s="20">
        <v>0</v>
      </c>
      <c r="I69" s="20">
        <v>1.5000409135753187E-3</v>
      </c>
      <c r="J69" s="20">
        <v>1.2249998648758909E-2</v>
      </c>
      <c r="K69" s="20">
        <v>4.5274811937018281E-2</v>
      </c>
      <c r="L69" s="20">
        <v>0</v>
      </c>
    </row>
    <row r="70" spans="1:12">
      <c r="A70" s="2" t="s">
        <v>417</v>
      </c>
      <c r="B70" s="3" t="s">
        <v>418</v>
      </c>
      <c r="D70" s="20">
        <v>2.7328394160294513E-3</v>
      </c>
      <c r="E70" s="20">
        <v>0.91976287782858912</v>
      </c>
      <c r="F70" s="20">
        <v>0.75375949728584335</v>
      </c>
      <c r="G70" s="20">
        <v>0.13776165534172852</v>
      </c>
      <c r="H70" s="20">
        <v>0</v>
      </c>
      <c r="I70" s="20">
        <v>2.8241725201017254E-2</v>
      </c>
      <c r="J70" s="20">
        <v>2.9925310591601244E-3</v>
      </c>
      <c r="K70" s="20">
        <v>7.4511751696221318E-2</v>
      </c>
      <c r="L70" s="20">
        <v>0</v>
      </c>
    </row>
    <row r="71" spans="1:12">
      <c r="A71" s="2" t="s">
        <v>419</v>
      </c>
      <c r="B71" s="3" t="s">
        <v>420</v>
      </c>
      <c r="D71" s="20">
        <v>2.1460774966344191E-2</v>
      </c>
      <c r="E71" s="20">
        <v>0.89137620587765076</v>
      </c>
      <c r="F71" s="20">
        <v>4.5067564085042214E-2</v>
      </c>
      <c r="G71" s="20">
        <v>1.3006475893048774E-2</v>
      </c>
      <c r="H71" s="20">
        <v>0</v>
      </c>
      <c r="I71" s="20">
        <v>0.83330216589955974</v>
      </c>
      <c r="J71" s="20">
        <v>3.7574241283912273E-4</v>
      </c>
      <c r="K71" s="20">
        <v>8.6787276743165831E-2</v>
      </c>
      <c r="L71" s="20">
        <v>0</v>
      </c>
    </row>
    <row r="72" spans="1:12">
      <c r="A72" s="2" t="s">
        <v>421</v>
      </c>
      <c r="B72" s="3" t="s">
        <v>422</v>
      </c>
      <c r="D72" s="20">
        <v>1.1545571091100323E-2</v>
      </c>
      <c r="E72" s="20">
        <v>0.90627324873726345</v>
      </c>
      <c r="F72" s="20">
        <v>0.73694334972896292</v>
      </c>
      <c r="G72" s="20">
        <v>0.13643621396411201</v>
      </c>
      <c r="H72" s="20">
        <v>0</v>
      </c>
      <c r="I72" s="20">
        <v>3.2893685044188568E-2</v>
      </c>
      <c r="J72" s="20">
        <v>2.9627776892663872E-3</v>
      </c>
      <c r="K72" s="20">
        <v>7.9218402482369762E-2</v>
      </c>
      <c r="L72" s="20">
        <v>0</v>
      </c>
    </row>
    <row r="73" spans="1:12">
      <c r="A73" s="2" t="s">
        <v>423</v>
      </c>
      <c r="B73" s="3" t="s">
        <v>424</v>
      </c>
      <c r="D73" s="20">
        <v>1.2541394033659604E-2</v>
      </c>
      <c r="E73" s="20">
        <v>0.81360267526384056</v>
      </c>
      <c r="F73" s="20">
        <v>0.39862496794155744</v>
      </c>
      <c r="G73" s="20">
        <v>9.138187245462899E-2</v>
      </c>
      <c r="H73" s="20">
        <v>0</v>
      </c>
      <c r="I73" s="20">
        <v>0.32359583486765414</v>
      </c>
      <c r="J73" s="20">
        <v>2.003185734989415E-3</v>
      </c>
      <c r="K73" s="20">
        <v>0.17185274496751043</v>
      </c>
      <c r="L73" s="20">
        <v>0</v>
      </c>
    </row>
    <row r="74" spans="1:12">
      <c r="A74" s="2" t="s">
        <v>425</v>
      </c>
      <c r="B74" s="3" t="s">
        <v>426</v>
      </c>
      <c r="D74" s="20">
        <v>4.2259390965797335E-3</v>
      </c>
      <c r="E74" s="20">
        <v>0.91687047250662179</v>
      </c>
      <c r="F74" s="20">
        <v>0.74979392631427155</v>
      </c>
      <c r="G74" s="20">
        <v>0.13754267722063709</v>
      </c>
      <c r="H74" s="20">
        <v>0</v>
      </c>
      <c r="I74" s="20">
        <v>2.953386897171319E-2</v>
      </c>
      <c r="J74" s="20">
        <v>2.9874875211633625E-3</v>
      </c>
      <c r="K74" s="20">
        <v>7.5916100875635273E-2</v>
      </c>
      <c r="L74" s="20">
        <v>0</v>
      </c>
    </row>
    <row r="75" spans="1:12">
      <c r="A75" s="2" t="s">
        <v>427</v>
      </c>
      <c r="B75" s="3" t="s">
        <v>428</v>
      </c>
      <c r="D75" s="20">
        <v>4.2804895733123411E-10</v>
      </c>
      <c r="E75" s="20">
        <v>0.9992184909442362</v>
      </c>
      <c r="F75" s="20">
        <v>0.99451684858106537</v>
      </c>
      <c r="G75" s="20">
        <v>3.8376234053093283E-4</v>
      </c>
      <c r="H75" s="20">
        <v>0</v>
      </c>
      <c r="I75" s="20">
        <v>4.3178800226399486E-3</v>
      </c>
      <c r="J75" s="20">
        <v>7.4625865583171226E-4</v>
      </c>
      <c r="K75" s="20">
        <v>3.5249971883054626E-5</v>
      </c>
      <c r="L75" s="20">
        <v>0</v>
      </c>
    </row>
    <row r="76" spans="1:12">
      <c r="A76" s="2" t="s">
        <v>429</v>
      </c>
      <c r="B76" s="3" t="s">
        <v>430</v>
      </c>
      <c r="D76" s="20">
        <v>1.0752103683908324E-11</v>
      </c>
      <c r="E76" s="20">
        <v>0.99921849136120711</v>
      </c>
      <c r="F76" s="20">
        <v>0.99451684899607429</v>
      </c>
      <c r="G76" s="20">
        <v>3.8376234069107561E-4</v>
      </c>
      <c r="H76" s="20">
        <v>0</v>
      </c>
      <c r="I76" s="20">
        <v>4.3178800244417876E-3</v>
      </c>
      <c r="J76" s="20">
        <v>7.4625865614312374E-4</v>
      </c>
      <c r="K76" s="20">
        <v>3.5249971897764336E-5</v>
      </c>
      <c r="L76" s="20">
        <v>0</v>
      </c>
    </row>
    <row r="77" spans="1:12">
      <c r="A77" s="2" t="s">
        <v>431</v>
      </c>
      <c r="B77" s="3" t="s">
        <v>432</v>
      </c>
      <c r="D77" s="20">
        <v>2.1911616536053214E-2</v>
      </c>
      <c r="E77" s="20">
        <v>0.8432429310975289</v>
      </c>
      <c r="F77" s="20">
        <v>0.59936738010390556</v>
      </c>
      <c r="G77" s="20">
        <v>0.12393348398402407</v>
      </c>
      <c r="H77" s="20">
        <v>0</v>
      </c>
      <c r="I77" s="20">
        <v>0.11994206700959928</v>
      </c>
      <c r="J77" s="20">
        <v>2.6900019041993231E-3</v>
      </c>
      <c r="K77" s="20">
        <v>0.13215545046221869</v>
      </c>
      <c r="L77" s="20">
        <v>0</v>
      </c>
    </row>
    <row r="78" spans="1:12">
      <c r="A78" s="2" t="s">
        <v>433</v>
      </c>
      <c r="B78" s="3" t="s">
        <v>434</v>
      </c>
      <c r="D78" s="20">
        <v>3.1244033846079867E-2</v>
      </c>
      <c r="E78" s="20">
        <v>0.82409455959838607</v>
      </c>
      <c r="F78" s="20">
        <v>0.15310373442678346</v>
      </c>
      <c r="G78" s="20">
        <v>3.9562282456258334E-2</v>
      </c>
      <c r="H78" s="20">
        <v>0</v>
      </c>
      <c r="I78" s="20">
        <v>0.63142854271534432</v>
      </c>
      <c r="J78" s="20">
        <v>9.2136700725936106E-4</v>
      </c>
      <c r="K78" s="20">
        <v>0.14374003954827469</v>
      </c>
      <c r="L78" s="20">
        <v>0</v>
      </c>
    </row>
    <row r="79" spans="1:12">
      <c r="A79" s="2" t="s">
        <v>435</v>
      </c>
      <c r="B79" s="3" t="s">
        <v>436</v>
      </c>
      <c r="D79" s="20">
        <v>7.5016632841871161E-3</v>
      </c>
      <c r="E79" s="20">
        <v>0.81860032437567043</v>
      </c>
      <c r="F79" s="20">
        <v>0.29280349145892953</v>
      </c>
      <c r="G79" s="20">
        <v>7.0416073805794246E-2</v>
      </c>
      <c r="H79" s="20">
        <v>0</v>
      </c>
      <c r="I79" s="20">
        <v>0.45538075911094661</v>
      </c>
      <c r="J79" s="20">
        <v>1.5651001141416413E-3</v>
      </c>
      <c r="K79" s="20">
        <v>0.17233291222600067</v>
      </c>
      <c r="L79" s="20">
        <v>0</v>
      </c>
    </row>
    <row r="80" spans="1:12">
      <c r="A80" s="2" t="s">
        <v>437</v>
      </c>
      <c r="B80" s="3" t="s">
        <v>438</v>
      </c>
      <c r="D80" s="20">
        <v>1.5315709879475051E-10</v>
      </c>
      <c r="E80" s="20">
        <v>0.99850894200626761</v>
      </c>
      <c r="F80" s="20">
        <v>0.99484594170927865</v>
      </c>
      <c r="G80" s="20">
        <v>7.3740493837697258E-4</v>
      </c>
      <c r="H80" s="20">
        <v>0</v>
      </c>
      <c r="I80" s="20">
        <v>2.9255953586120272E-3</v>
      </c>
      <c r="J80" s="20">
        <v>1.4481237307912231E-3</v>
      </c>
      <c r="K80" s="20">
        <v>4.2934109784085888E-5</v>
      </c>
      <c r="L80" s="20">
        <v>0</v>
      </c>
    </row>
    <row r="81" spans="1:12">
      <c r="A81" s="2" t="s">
        <v>440</v>
      </c>
      <c r="B81" s="3" t="s">
        <v>441</v>
      </c>
      <c r="D81" s="20">
        <v>1.4623996592473811E-13</v>
      </c>
      <c r="E81" s="20">
        <v>0.98743982570387701</v>
      </c>
      <c r="F81" s="20">
        <v>9.2829232870446333E-4</v>
      </c>
      <c r="G81" s="20">
        <v>3.6106078071355182E-4</v>
      </c>
      <c r="H81" s="20">
        <v>0</v>
      </c>
      <c r="I81" s="20">
        <v>0.98615047259445898</v>
      </c>
      <c r="J81" s="20">
        <v>1.2428814118247745E-4</v>
      </c>
      <c r="K81" s="20">
        <v>1.2435886154794346E-2</v>
      </c>
      <c r="L81" s="20">
        <v>0</v>
      </c>
    </row>
    <row r="82" spans="1:12">
      <c r="A82" s="2" t="s">
        <v>442</v>
      </c>
      <c r="B82" s="3" t="s">
        <v>443</v>
      </c>
      <c r="D82" s="20">
        <v>7.3097033831423416E-5</v>
      </c>
      <c r="E82" s="20">
        <v>0.89733414560501534</v>
      </c>
      <c r="F82" s="20">
        <v>6.2707348649027314E-2</v>
      </c>
      <c r="G82" s="20">
        <v>1.763656462104302E-2</v>
      </c>
      <c r="H82" s="20">
        <v>0</v>
      </c>
      <c r="I82" s="20">
        <v>0.81699023233494505</v>
      </c>
      <c r="J82" s="20">
        <v>4.7284940066506836E-4</v>
      </c>
      <c r="K82" s="20">
        <v>0.10211990796048831</v>
      </c>
      <c r="L82" s="20">
        <v>0</v>
      </c>
    </row>
    <row r="83" spans="1:12">
      <c r="A83" s="2" t="s">
        <v>444</v>
      </c>
      <c r="B83" s="3" t="s">
        <v>445</v>
      </c>
      <c r="D83" s="20">
        <v>4.7139071981776157E-4</v>
      </c>
      <c r="E83" s="20">
        <v>0.85160621908100409</v>
      </c>
      <c r="F83" s="20">
        <v>0.57756346433450967</v>
      </c>
      <c r="G83" s="20">
        <v>0.12186956699691273</v>
      </c>
      <c r="H83" s="20">
        <v>0</v>
      </c>
      <c r="I83" s="20">
        <v>0.15217318774958169</v>
      </c>
      <c r="J83" s="20">
        <v>2.6471210200834732E-3</v>
      </c>
      <c r="K83" s="20">
        <v>0.14527526917909467</v>
      </c>
      <c r="L83" s="20">
        <v>0</v>
      </c>
    </row>
    <row r="84" spans="1:12">
      <c r="A84" s="2" t="s">
        <v>446</v>
      </c>
      <c r="B84" s="3" t="s">
        <v>447</v>
      </c>
      <c r="D84" s="20">
        <v>4.5732461103004265E-15</v>
      </c>
      <c r="E84" s="20">
        <v>0.97267534716627602</v>
      </c>
      <c r="F84" s="20">
        <v>4.2368516518869115E-3</v>
      </c>
      <c r="G84" s="20">
        <v>1.4714273133099793E-3</v>
      </c>
      <c r="H84" s="20">
        <v>0</v>
      </c>
      <c r="I84" s="20">
        <v>0.96696706820107914</v>
      </c>
      <c r="J84" s="20">
        <v>1.4554266186340726E-4</v>
      </c>
      <c r="K84" s="20">
        <v>2.7179110171855949E-2</v>
      </c>
      <c r="L84" s="20">
        <v>0</v>
      </c>
    </row>
    <row r="85" spans="1:12">
      <c r="A85" s="2" t="s">
        <v>448</v>
      </c>
      <c r="B85" s="3" t="s">
        <v>449</v>
      </c>
      <c r="D85" s="20">
        <v>3.1233328962193149E-8</v>
      </c>
      <c r="E85" s="20">
        <v>0.99474469018561151</v>
      </c>
      <c r="F85" s="20">
        <v>1.6882507825674941E-4</v>
      </c>
      <c r="G85" s="20">
        <v>7.4495924658722675E-5</v>
      </c>
      <c r="H85" s="20">
        <v>0</v>
      </c>
      <c r="I85" s="20">
        <v>0.99450136918269605</v>
      </c>
      <c r="J85" s="20">
        <v>1.1923221385634839E-4</v>
      </c>
      <c r="K85" s="20">
        <v>5.1360463672032626E-3</v>
      </c>
      <c r="L85" s="20">
        <v>0</v>
      </c>
    </row>
    <row r="86" spans="1:12">
      <c r="A86" s="2" t="s">
        <v>450</v>
      </c>
      <c r="B86" s="3" t="s">
        <v>451</v>
      </c>
      <c r="D86" s="20">
        <v>1.149549751912374E-8</v>
      </c>
      <c r="E86" s="20">
        <v>0.97335007043812205</v>
      </c>
      <c r="F86" s="20">
        <v>4.0340981122305858E-3</v>
      </c>
      <c r="G86" s="20">
        <v>1.4061835455600718E-3</v>
      </c>
      <c r="H86" s="20">
        <v>0</v>
      </c>
      <c r="I86" s="20">
        <v>0.9679097887803314</v>
      </c>
      <c r="J86" s="20">
        <v>1.4426968150832732E-4</v>
      </c>
      <c r="K86" s="20">
        <v>2.6505648384872151E-2</v>
      </c>
      <c r="L86" s="20">
        <v>0</v>
      </c>
    </row>
    <row r="87" spans="1:12">
      <c r="A87" s="2" t="s">
        <v>452</v>
      </c>
      <c r="B87" s="3" t="s">
        <v>453</v>
      </c>
      <c r="D87" s="20">
        <v>3.9604926081485257E-8</v>
      </c>
      <c r="E87" s="20">
        <v>0.9502072289440785</v>
      </c>
      <c r="F87" s="20">
        <v>0.22478529200741654</v>
      </c>
      <c r="G87" s="20">
        <v>0.72487554243923247</v>
      </c>
      <c r="H87" s="20">
        <v>0</v>
      </c>
      <c r="I87" s="20">
        <v>5.4639449742945783E-4</v>
      </c>
      <c r="J87" s="20">
        <v>1.6020491405861023E-2</v>
      </c>
      <c r="K87" s="20">
        <v>3.3772240045134433E-2</v>
      </c>
      <c r="L87" s="20">
        <v>0</v>
      </c>
    </row>
    <row r="88" spans="1:12">
      <c r="A88" s="2" t="s">
        <v>454</v>
      </c>
      <c r="B88" s="3" t="s">
        <v>455</v>
      </c>
      <c r="D88" s="20">
        <v>3.6755147525637759E-5</v>
      </c>
      <c r="E88" s="20">
        <v>0.86437869782665633</v>
      </c>
      <c r="F88" s="20">
        <v>0.12143303639516992</v>
      </c>
      <c r="G88" s="20">
        <v>3.2198260515043806E-2</v>
      </c>
      <c r="H88" s="20">
        <v>0</v>
      </c>
      <c r="I88" s="20">
        <v>0.71074740091644262</v>
      </c>
      <c r="J88" s="20">
        <v>7.7246043812181074E-4</v>
      </c>
      <c r="K88" s="20">
        <v>0.13481208658769622</v>
      </c>
      <c r="L88" s="20">
        <v>0</v>
      </c>
    </row>
    <row r="89" spans="1:12">
      <c r="A89" s="2" t="s">
        <v>456</v>
      </c>
      <c r="B89" s="3" t="s">
        <v>457</v>
      </c>
      <c r="D89" s="20">
        <v>2.4277524845269743E-17</v>
      </c>
      <c r="E89" s="20">
        <v>0.8913346443641148</v>
      </c>
      <c r="F89" s="20">
        <v>7.1354783301422475E-2</v>
      </c>
      <c r="G89" s="20">
        <v>1.984808663546752E-2</v>
      </c>
      <c r="H89" s="20">
        <v>0</v>
      </c>
      <c r="I89" s="20">
        <v>0.80013177442722483</v>
      </c>
      <c r="J89" s="20">
        <v>5.1820845257026472E-4</v>
      </c>
      <c r="K89" s="20">
        <v>0.10814714718331485</v>
      </c>
      <c r="L89" s="20">
        <v>0</v>
      </c>
    </row>
    <row r="90" spans="1:12">
      <c r="A90" s="2" t="s">
        <v>458</v>
      </c>
      <c r="B90" s="3" t="s">
        <v>459</v>
      </c>
      <c r="D90" s="20">
        <v>3.5050373404447285E-29</v>
      </c>
      <c r="E90" s="20">
        <v>0.94683012029752012</v>
      </c>
      <c r="F90" s="20">
        <v>1.5852995390321836E-2</v>
      </c>
      <c r="G90" s="20">
        <v>4.9797425289304928E-3</v>
      </c>
      <c r="H90" s="20">
        <v>0</v>
      </c>
      <c r="I90" s="20">
        <v>0.92599738237826779</v>
      </c>
      <c r="J90" s="20">
        <v>2.1532633453864947E-4</v>
      </c>
      <c r="K90" s="20">
        <v>5.2954553367941123E-2</v>
      </c>
      <c r="L90" s="20">
        <v>0</v>
      </c>
    </row>
    <row r="91" spans="1:12">
      <c r="A91" s="2" t="s">
        <v>460</v>
      </c>
      <c r="B91" s="3" t="s">
        <v>461</v>
      </c>
      <c r="D91" s="20">
        <v>4.1861483919496482E-8</v>
      </c>
      <c r="E91" s="20">
        <v>0.93935874625089932</v>
      </c>
      <c r="F91" s="20">
        <v>0.56902756300624679</v>
      </c>
      <c r="G91" s="20">
        <v>0.36671515570603719</v>
      </c>
      <c r="H91" s="20">
        <v>0</v>
      </c>
      <c r="I91" s="20">
        <v>3.6160275386153801E-3</v>
      </c>
      <c r="J91" s="20">
        <v>8.0364232831454541E-3</v>
      </c>
      <c r="K91" s="20">
        <v>5.260478860447125E-2</v>
      </c>
      <c r="L91" s="20">
        <v>0</v>
      </c>
    </row>
    <row r="92" spans="1:12">
      <c r="A92" s="2" t="s">
        <v>462</v>
      </c>
      <c r="B92" s="3" t="s">
        <v>463</v>
      </c>
      <c r="D92" s="20">
        <v>4.2083187737356286E-9</v>
      </c>
      <c r="E92" s="20">
        <v>0.836689621073051</v>
      </c>
      <c r="F92" s="20">
        <v>0.50948020378862624</v>
      </c>
      <c r="G92" s="20">
        <v>0.11133273273034111</v>
      </c>
      <c r="H92" s="20">
        <v>0</v>
      </c>
      <c r="I92" s="20">
        <v>0.2158766845540836</v>
      </c>
      <c r="J92" s="20">
        <v>2.4239910374070925E-3</v>
      </c>
      <c r="K92" s="20">
        <v>0.16088638368122307</v>
      </c>
      <c r="L92" s="20">
        <v>0</v>
      </c>
    </row>
    <row r="93" spans="1:12">
      <c r="A93" s="2" t="s">
        <v>464</v>
      </c>
      <c r="B93" s="3" t="s">
        <v>465</v>
      </c>
      <c r="D93" s="20">
        <v>1.7192441214745476E-4</v>
      </c>
      <c r="E93" s="20">
        <v>0.90678332599000122</v>
      </c>
      <c r="F93" s="20">
        <v>0.72569851163687371</v>
      </c>
      <c r="G93" s="20">
        <v>0.13735731338788901</v>
      </c>
      <c r="H93" s="20">
        <v>0</v>
      </c>
      <c r="I93" s="20">
        <v>4.3727500965238544E-2</v>
      </c>
      <c r="J93" s="20">
        <v>2.9813764736478063E-3</v>
      </c>
      <c r="K93" s="20">
        <v>9.0063373124203427E-2</v>
      </c>
      <c r="L93" s="20">
        <v>0</v>
      </c>
    </row>
    <row r="94" spans="1:12">
      <c r="A94" s="2" t="s">
        <v>466</v>
      </c>
      <c r="B94" s="3" t="s">
        <v>467</v>
      </c>
      <c r="D94" s="20">
        <v>1.4266856652013122E-18</v>
      </c>
      <c r="E94" s="20">
        <v>0.99981065206377906</v>
      </c>
      <c r="F94" s="20">
        <v>0.1050555621291815</v>
      </c>
      <c r="G94" s="20">
        <v>1.3805671821739938E-5</v>
      </c>
      <c r="H94" s="20">
        <v>0</v>
      </c>
      <c r="I94" s="20">
        <v>0.89474128426277577</v>
      </c>
      <c r="J94" s="20">
        <v>1.2205740355169416E-4</v>
      </c>
      <c r="K94" s="20">
        <v>6.7290532669131827E-5</v>
      </c>
      <c r="L94" s="20">
        <v>0</v>
      </c>
    </row>
    <row r="95" spans="1:12">
      <c r="A95" s="2" t="s">
        <v>468</v>
      </c>
      <c r="B95" s="3" t="s">
        <v>469</v>
      </c>
      <c r="D95" s="20">
        <v>1.6824841400219119E-18</v>
      </c>
      <c r="E95" s="20">
        <v>0.94400604740884764</v>
      </c>
      <c r="F95" s="20">
        <v>0.75001450634335376</v>
      </c>
      <c r="G95" s="20">
        <v>0.18555182008404433</v>
      </c>
      <c r="H95" s="20">
        <v>0</v>
      </c>
      <c r="I95" s="20">
        <v>8.4397209814495947E-3</v>
      </c>
      <c r="J95" s="20">
        <v>4.0468129029573412E-3</v>
      </c>
      <c r="K95" s="20">
        <v>5.1947139688194997E-2</v>
      </c>
      <c r="L95" s="20">
        <v>0</v>
      </c>
    </row>
    <row r="96" spans="1:12">
      <c r="A96" s="2" t="s">
        <v>470</v>
      </c>
      <c r="B96" s="165">
        <v>354656</v>
      </c>
      <c r="D96" s="20">
        <v>2.9173455994098767E-10</v>
      </c>
      <c r="E96" s="20">
        <v>0.98695118935430359</v>
      </c>
      <c r="F96" s="20">
        <v>1.0000151156529205E-3</v>
      </c>
      <c r="G96" s="20">
        <v>3.8681394282309787E-4</v>
      </c>
      <c r="H96" s="20">
        <v>0</v>
      </c>
      <c r="I96" s="20">
        <v>0.98556436029582761</v>
      </c>
      <c r="J96" s="20">
        <v>1.2476299757242763E-4</v>
      </c>
      <c r="K96" s="20">
        <v>1.2924047356389303E-2</v>
      </c>
      <c r="L96" s="20">
        <v>0</v>
      </c>
    </row>
    <row r="97" spans="1:12">
      <c r="A97" s="2" t="s">
        <v>472</v>
      </c>
      <c r="B97" s="3" t="s">
        <v>473</v>
      </c>
      <c r="D97" s="20">
        <v>4.571596604793953E-10</v>
      </c>
      <c r="E97" s="20">
        <v>0.97233188860786635</v>
      </c>
      <c r="F97" s="20">
        <v>4.3419676741722054E-3</v>
      </c>
      <c r="G97" s="20">
        <v>1.5051581731084834E-3</v>
      </c>
      <c r="H97" s="20">
        <v>0</v>
      </c>
      <c r="I97" s="20">
        <v>0.9664847627605857</v>
      </c>
      <c r="J97" s="20">
        <v>1.4620146750877043E-4</v>
      </c>
      <c r="K97" s="20">
        <v>2.7521909467465407E-2</v>
      </c>
      <c r="L97" s="20">
        <v>0</v>
      </c>
    </row>
    <row r="98" spans="1:12">
      <c r="A98" s="2" t="s">
        <v>474</v>
      </c>
      <c r="B98" s="3" t="s">
        <v>475</v>
      </c>
      <c r="D98" s="20">
        <v>3.9517654197989465E-20</v>
      </c>
      <c r="E98" s="20">
        <v>0.93297117906317439</v>
      </c>
      <c r="F98" s="20">
        <v>0.77519299736668468</v>
      </c>
      <c r="G98" s="20">
        <v>0.13781782644293109</v>
      </c>
      <c r="H98" s="20">
        <v>0</v>
      </c>
      <c r="I98" s="20">
        <v>1.9960355253558614E-2</v>
      </c>
      <c r="J98" s="20">
        <v>2.9961205906011024E-3</v>
      </c>
      <c r="K98" s="20">
        <v>6.4032700346224533E-2</v>
      </c>
      <c r="L98" s="20">
        <v>0</v>
      </c>
    </row>
    <row r="99" spans="1:12">
      <c r="A99" s="2" t="s">
        <v>476</v>
      </c>
      <c r="B99" s="3" t="s">
        <v>477</v>
      </c>
      <c r="D99" s="20">
        <v>1.3603612046243229E-7</v>
      </c>
      <c r="E99" s="20">
        <v>0.99633252024868146</v>
      </c>
      <c r="F99" s="20">
        <v>8.2922602217563093E-5</v>
      </c>
      <c r="G99" s="20">
        <v>3.8562792695110779E-5</v>
      </c>
      <c r="H99" s="20">
        <v>0</v>
      </c>
      <c r="I99" s="20">
        <v>0.99621103485376883</v>
      </c>
      <c r="J99" s="20">
        <v>1.1867957066739963E-4</v>
      </c>
      <c r="K99" s="20">
        <v>3.5486641445304878E-3</v>
      </c>
      <c r="L99" s="20">
        <v>0</v>
      </c>
    </row>
    <row r="100" spans="1:12">
      <c r="A100" s="2" t="s">
        <v>478</v>
      </c>
      <c r="B100" s="3" t="s">
        <v>479</v>
      </c>
      <c r="D100" s="20">
        <v>4.8972246578026494E-11</v>
      </c>
      <c r="E100" s="20">
        <v>0.82845718049278949</v>
      </c>
      <c r="F100" s="20">
        <v>0.25951873274808318</v>
      </c>
      <c r="G100" s="20">
        <v>6.3454768965329325E-2</v>
      </c>
      <c r="H100" s="20">
        <v>0</v>
      </c>
      <c r="I100" s="20">
        <v>0.50548367877937694</v>
      </c>
      <c r="J100" s="20">
        <v>1.4207379085730376E-3</v>
      </c>
      <c r="K100" s="20">
        <v>0.1701220815496651</v>
      </c>
      <c r="L100" s="20">
        <v>0</v>
      </c>
    </row>
    <row r="101" spans="1:12">
      <c r="A101" s="2" t="s">
        <v>480</v>
      </c>
      <c r="B101" s="3" t="s">
        <v>481</v>
      </c>
      <c r="D101" s="20">
        <v>3.672089850983251E-11</v>
      </c>
      <c r="E101" s="20">
        <v>0.99391933181834968</v>
      </c>
      <c r="F101" s="20">
        <v>2.2487024008029617E-4</v>
      </c>
      <c r="G101" s="20">
        <v>9.7146585114419001E-5</v>
      </c>
      <c r="H101" s="20">
        <v>0</v>
      </c>
      <c r="I101" s="20">
        <v>0.99359731499315496</v>
      </c>
      <c r="J101" s="20">
        <v>1.196017418784354E-4</v>
      </c>
      <c r="K101" s="20">
        <v>5.9610664030510623E-3</v>
      </c>
      <c r="L101" s="20">
        <v>0</v>
      </c>
    </row>
    <row r="102" spans="1:12">
      <c r="A102" s="2" t="s">
        <v>482</v>
      </c>
      <c r="B102" s="3" t="s">
        <v>483</v>
      </c>
      <c r="D102" s="20">
        <v>2.29417684242501E-27</v>
      </c>
      <c r="E102" s="20">
        <v>0.99837704225514989</v>
      </c>
      <c r="F102" s="20">
        <v>1.595311794219192E-5</v>
      </c>
      <c r="G102" s="20">
        <v>8.3780149566249533E-6</v>
      </c>
      <c r="H102" s="20">
        <v>0</v>
      </c>
      <c r="I102" s="20">
        <v>0.9983527111222511</v>
      </c>
      <c r="J102" s="20">
        <v>1.1830059878634916E-4</v>
      </c>
      <c r="K102" s="20">
        <v>1.5046571460636459E-3</v>
      </c>
      <c r="L102" s="20">
        <v>0</v>
      </c>
    </row>
    <row r="103" spans="1:12">
      <c r="A103" s="2" t="s">
        <v>484</v>
      </c>
      <c r="B103" s="3" t="s">
        <v>485</v>
      </c>
      <c r="D103" s="20">
        <v>1.8346653092895544E-13</v>
      </c>
      <c r="E103" s="20">
        <v>0.99644602912099201</v>
      </c>
      <c r="F103" s="20">
        <v>7.7906830015047791E-5</v>
      </c>
      <c r="G103" s="20">
        <v>3.6397460960028121E-5</v>
      </c>
      <c r="H103" s="20">
        <v>0</v>
      </c>
      <c r="I103" s="20">
        <v>0.99633172483001697</v>
      </c>
      <c r="J103" s="20">
        <v>1.1864841240112031E-4</v>
      </c>
      <c r="K103" s="20">
        <v>3.4353224664232427E-3</v>
      </c>
      <c r="L103" s="20">
        <v>0</v>
      </c>
    </row>
    <row r="104" spans="1:12">
      <c r="A104" s="2" t="s">
        <v>486</v>
      </c>
      <c r="B104" s="3" t="s">
        <v>487</v>
      </c>
      <c r="D104" s="20">
        <v>2.3078848387548716E-9</v>
      </c>
      <c r="E104" s="20">
        <v>0.98016887394835506</v>
      </c>
      <c r="F104" s="20">
        <v>2.2627304353299688E-3</v>
      </c>
      <c r="G104" s="20">
        <v>8.2362282528065586E-4</v>
      </c>
      <c r="H104" s="20">
        <v>0</v>
      </c>
      <c r="I104" s="20">
        <v>0.97708252068774448</v>
      </c>
      <c r="J104" s="20">
        <v>1.3300302995813686E-4</v>
      </c>
      <c r="K104" s="20">
        <v>1.9698120713802062E-2</v>
      </c>
      <c r="L104" s="20">
        <v>0</v>
      </c>
    </row>
    <row r="105" spans="1:12">
      <c r="A105" s="2" t="s">
        <v>488</v>
      </c>
      <c r="B105" s="3" t="s">
        <v>489</v>
      </c>
      <c r="D105" s="20">
        <v>1.8252896303642738E-16</v>
      </c>
      <c r="E105" s="20">
        <v>0.99807639796870162</v>
      </c>
      <c r="F105" s="20">
        <v>2.2633435025640468E-5</v>
      </c>
      <c r="G105" s="20">
        <v>1.1583665986986143E-5</v>
      </c>
      <c r="H105" s="20">
        <v>0</v>
      </c>
      <c r="I105" s="20">
        <v>0.99804218086768903</v>
      </c>
      <c r="J105" s="20">
        <v>1.1833085969311769E-4</v>
      </c>
      <c r="K105" s="20">
        <v>1.8052711716051175E-3</v>
      </c>
      <c r="L105" s="20">
        <v>0</v>
      </c>
    </row>
    <row r="106" spans="1:12">
      <c r="A106" s="2" t="s">
        <v>490</v>
      </c>
      <c r="B106" s="3" t="s">
        <v>491</v>
      </c>
      <c r="D106" s="20">
        <v>1.0800774504818464E-8</v>
      </c>
      <c r="E106" s="20">
        <v>0.93294700174176026</v>
      </c>
      <c r="F106" s="20">
        <v>2.5402331743425554E-2</v>
      </c>
      <c r="G106" s="20">
        <v>7.6907578739641089E-3</v>
      </c>
      <c r="H106" s="20">
        <v>0</v>
      </c>
      <c r="I106" s="20">
        <v>0.8998539121243706</v>
      </c>
      <c r="J106" s="20">
        <v>2.7004356050692497E-4</v>
      </c>
      <c r="K106" s="20">
        <v>6.6782943896958352E-2</v>
      </c>
      <c r="L106" s="20">
        <v>0</v>
      </c>
    </row>
    <row r="107" spans="1:12">
      <c r="A107" s="2" t="s">
        <v>492</v>
      </c>
      <c r="B107" s="3" t="s">
        <v>493</v>
      </c>
      <c r="D107" s="20">
        <v>1.8379073550712847E-16</v>
      </c>
      <c r="E107" s="20">
        <v>0.94120570835182349</v>
      </c>
      <c r="F107" s="20">
        <v>0.78948212257094275</v>
      </c>
      <c r="G107" s="20">
        <v>0.13703700407480723</v>
      </c>
      <c r="H107" s="20">
        <v>0</v>
      </c>
      <c r="I107" s="20">
        <v>1.4686581706073461E-2</v>
      </c>
      <c r="J107" s="20">
        <v>2.9814318183017069E-3</v>
      </c>
      <c r="K107" s="20">
        <v>5.5812859829874543E-2</v>
      </c>
      <c r="L107" s="20">
        <v>0</v>
      </c>
    </row>
    <row r="108" spans="1:12">
      <c r="A108" s="2" t="s">
        <v>291</v>
      </c>
      <c r="B108" s="3" t="s">
        <v>494</v>
      </c>
      <c r="D108" s="20">
        <v>2.7931902959221324E-10</v>
      </c>
      <c r="E108" s="20">
        <v>0.83718497747715359</v>
      </c>
      <c r="F108" s="20">
        <v>0.20850631305244827</v>
      </c>
      <c r="G108" s="20">
        <v>5.2313618896875899E-2</v>
      </c>
      <c r="H108" s="20">
        <v>0</v>
      </c>
      <c r="I108" s="20">
        <v>0.57636504552782941</v>
      </c>
      <c r="J108" s="20">
        <v>1.1890371173414178E-3</v>
      </c>
      <c r="K108" s="20">
        <v>0.16162598512618592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1.1810925464956414E-8</v>
      </c>
      <c r="E2" s="14">
        <v>1.2934243681601487E-4</v>
      </c>
      <c r="F2" s="14">
        <v>6.1730900620930974E-6</v>
      </c>
      <c r="G2" s="14">
        <v>1.7980351125549877E-6</v>
      </c>
      <c r="H2" s="14">
        <v>0</v>
      </c>
      <c r="I2" s="14">
        <v>5.3603181232982403E-8</v>
      </c>
      <c r="J2" s="14">
        <v>1.2621023902639079E-5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4.3904556492659534E-7</v>
      </c>
      <c r="E3" s="14">
        <v>1.0303545764752717E-7</v>
      </c>
      <c r="F3" s="14">
        <v>3.820571034259802E-5</v>
      </c>
      <c r="G3" s="14">
        <v>1.0351989769306184E-4</v>
      </c>
      <c r="H3" s="14">
        <v>0</v>
      </c>
      <c r="I3" s="14">
        <v>2.2857764929816244E-6</v>
      </c>
      <c r="J3" s="14">
        <v>5.4465344487843727E-6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6.3776655741025656E-16</v>
      </c>
      <c r="E4" s="14">
        <v>6.5711117409286566E-5</v>
      </c>
      <c r="F4" s="14">
        <v>4.6696080254255683E-5</v>
      </c>
      <c r="G4" s="14">
        <v>1.1147461524991528E-5</v>
      </c>
      <c r="H4" s="14">
        <v>0</v>
      </c>
      <c r="I4" s="14">
        <v>2.4708353155973045E-7</v>
      </c>
      <c r="J4" s="14">
        <v>2.6198257279268699E-5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1.5015038435236814E-8</v>
      </c>
      <c r="E5" s="14">
        <v>1.1123553763439361E-6</v>
      </c>
      <c r="F5" s="14">
        <v>1.0872893460292921E-4</v>
      </c>
      <c r="G5" s="14">
        <v>3.1553002214180778E-5</v>
      </c>
      <c r="H5" s="14">
        <v>0</v>
      </c>
      <c r="I5" s="14">
        <v>6.8869125237447347E-7</v>
      </c>
      <c r="J5" s="14">
        <v>7.9020015157363262E-6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1.422001200436356E-9</v>
      </c>
      <c r="E6" s="14">
        <v>4.5805441449774982E-8</v>
      </c>
      <c r="F6" s="14">
        <v>2.4222482306033896E-5</v>
      </c>
      <c r="G6" s="14">
        <v>1.1896362866723722E-4</v>
      </c>
      <c r="H6" s="14">
        <v>0</v>
      </c>
      <c r="I6" s="14">
        <v>2.6351343161030546E-6</v>
      </c>
      <c r="J6" s="14">
        <v>4.1315272679756025E-6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2.1091862262125238E-9</v>
      </c>
      <c r="E7" s="14">
        <v>9.2094148453923644E-8</v>
      </c>
      <c r="F7" s="14">
        <v>3.5969434569906387E-5</v>
      </c>
      <c r="G7" s="14">
        <v>1.0632347595790052E-4</v>
      </c>
      <c r="H7" s="14">
        <v>0</v>
      </c>
      <c r="I7" s="14">
        <v>2.3487684871609214E-6</v>
      </c>
      <c r="J7" s="14">
        <v>5.26411765035199E-6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2.0063978379754758E-8</v>
      </c>
      <c r="E8" s="14">
        <v>2.0662085824937999E-7</v>
      </c>
      <c r="F8" s="14">
        <v>5.5136060902821125E-5</v>
      </c>
      <c r="G8" s="14">
        <v>8.6085754630235267E-5</v>
      </c>
      <c r="H8" s="14">
        <v>0</v>
      </c>
      <c r="I8" s="14">
        <v>1.895278958187927E-6</v>
      </c>
      <c r="J8" s="14">
        <v>6.6562206721265361E-6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1.3582207637723332E-8</v>
      </c>
      <c r="E9" s="14">
        <v>1.0223214554840044E-5</v>
      </c>
      <c r="F9" s="14">
        <v>1.0289376284939539E-4</v>
      </c>
      <c r="G9" s="14">
        <v>2.0206198038268719E-5</v>
      </c>
      <c r="H9" s="14">
        <v>0</v>
      </c>
      <c r="I9" s="14">
        <v>4.383798173974321E-7</v>
      </c>
      <c r="J9" s="14">
        <v>1.6224862532460683E-5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1.9298510043467968E-10</v>
      </c>
      <c r="E10" s="14">
        <v>1.0348583071614302E-6</v>
      </c>
      <c r="F10" s="14">
        <v>1.0654730387104128E-4</v>
      </c>
      <c r="G10" s="14">
        <v>3.3731683748483958E-5</v>
      </c>
      <c r="H10" s="14">
        <v>0</v>
      </c>
      <c r="I10" s="14">
        <v>7.3655943727706797E-7</v>
      </c>
      <c r="J10" s="14">
        <v>7.9494016509358142E-6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1.0056201859802591E-8</v>
      </c>
      <c r="E11" s="14">
        <v>9.1451554579127144E-7</v>
      </c>
      <c r="F11" s="14">
        <v>1.0267215243773451E-4</v>
      </c>
      <c r="G11" s="14">
        <v>3.7579259850396341E-5</v>
      </c>
      <c r="H11" s="14">
        <v>0</v>
      </c>
      <c r="I11" s="14">
        <v>8.211665908152311E-7</v>
      </c>
      <c r="J11" s="14">
        <v>8.0028493734027956E-6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6.9459469867229416E-9</v>
      </c>
      <c r="E12" s="14">
        <v>6.4134036456791424E-6</v>
      </c>
      <c r="F12" s="14">
        <v>1.0913150605156542E-4</v>
      </c>
      <c r="G12" s="14">
        <v>2.0617960536100792E-5</v>
      </c>
      <c r="H12" s="14">
        <v>0</v>
      </c>
      <c r="I12" s="14">
        <v>4.4753366983671292E-7</v>
      </c>
      <c r="J12" s="14">
        <v>1.3382650149831163E-5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2.1092741290570585E-8</v>
      </c>
      <c r="E13" s="14">
        <v>9.7865616420323855E-6</v>
      </c>
      <c r="F13" s="14">
        <v>1.0355038316419643E-4</v>
      </c>
      <c r="G13" s="14">
        <v>2.0260365023129066E-5</v>
      </c>
      <c r="H13" s="14">
        <v>0</v>
      </c>
      <c r="I13" s="14">
        <v>4.3956506979972914E-7</v>
      </c>
      <c r="J13" s="14">
        <v>1.5942032359551796E-5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6.7050208718972446E-9</v>
      </c>
      <c r="E14" s="14">
        <v>6.0715174015400874E-7</v>
      </c>
      <c r="F14" s="14">
        <v>8.9149480839149215E-5</v>
      </c>
      <c r="G14" s="14">
        <v>5.115809614479317E-5</v>
      </c>
      <c r="H14" s="14">
        <v>0</v>
      </c>
      <c r="I14" s="14">
        <v>1.1204405571132135E-6</v>
      </c>
      <c r="J14" s="14">
        <v>7.9581256979184713E-6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1.0944726633587846E-11</v>
      </c>
      <c r="E15" s="14">
        <v>9.7333430136195717E-7</v>
      </c>
      <c r="F15" s="14">
        <v>1.0464623385083772E-4</v>
      </c>
      <c r="G15" s="14">
        <v>3.5622070461215461E-5</v>
      </c>
      <c r="H15" s="14">
        <v>0</v>
      </c>
      <c r="I15" s="14">
        <v>7.7811730610518254E-7</v>
      </c>
      <c r="J15" s="14">
        <v>7.9802331357530427E-6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5.2147338032680853E-8</v>
      </c>
      <c r="E16" s="14">
        <v>2.138499996435697E-7</v>
      </c>
      <c r="F16" s="14">
        <v>5.6085529993250617E-5</v>
      </c>
      <c r="G16" s="14">
        <v>8.5064114131481349E-5</v>
      </c>
      <c r="H16" s="14">
        <v>0</v>
      </c>
      <c r="I16" s="14">
        <v>1.8724998488548078E-6</v>
      </c>
      <c r="J16" s="14">
        <v>6.7118586887369323E-6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3.8572165983114082E-9</v>
      </c>
      <c r="E17" s="14">
        <v>1.086103309202841E-6</v>
      </c>
      <c r="F17" s="14">
        <v>1.0801714922676829E-4</v>
      </c>
      <c r="G17" s="14">
        <v>3.2269205043555098E-5</v>
      </c>
      <c r="H17" s="14">
        <v>0</v>
      </c>
      <c r="I17" s="14">
        <v>7.0442364146806572E-7</v>
      </c>
      <c r="J17" s="14">
        <v>7.9192615624073719E-6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4.1248959148552755E-7</v>
      </c>
      <c r="E18" s="14">
        <v>1.2375709438592429E-5</v>
      </c>
      <c r="F18" s="14">
        <v>9.9456158052069565E-5</v>
      </c>
      <c r="G18" s="14">
        <v>1.9857621751484119E-5</v>
      </c>
      <c r="H18" s="14">
        <v>0</v>
      </c>
      <c r="I18" s="14">
        <v>4.3080661684660343E-7</v>
      </c>
      <c r="J18" s="14">
        <v>1.7467214549521724E-5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3.8361070287132493E-11</v>
      </c>
      <c r="E19" s="14">
        <v>9.6136393461392657E-7</v>
      </c>
      <c r="F19" s="14">
        <v>1.0425800250344167E-4</v>
      </c>
      <c r="G19" s="14">
        <v>3.6008493773666979E-5</v>
      </c>
      <c r="H19" s="14">
        <v>0</v>
      </c>
      <c r="I19" s="14">
        <v>7.8661499645406746E-7</v>
      </c>
      <c r="J19" s="14">
        <v>7.9854864307530455E-6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3.1928966078693846E-9</v>
      </c>
      <c r="E20" s="14">
        <v>9.7877296591660765E-6</v>
      </c>
      <c r="F20" s="14">
        <v>1.0356274180721731E-4</v>
      </c>
      <c r="G20" s="14">
        <v>2.0262783079066113E-5</v>
      </c>
      <c r="H20" s="14">
        <v>0</v>
      </c>
      <c r="I20" s="14">
        <v>4.3961753148665013E-7</v>
      </c>
      <c r="J20" s="14">
        <v>1.5943935026455953E-5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5.6140127769265035E-8</v>
      </c>
      <c r="E21" s="14">
        <v>6.8661060450967799E-7</v>
      </c>
      <c r="F21" s="14">
        <v>9.325928490170231E-5</v>
      </c>
      <c r="G21" s="14">
        <v>4.6966439347763483E-5</v>
      </c>
      <c r="H21" s="14">
        <v>0</v>
      </c>
      <c r="I21" s="14">
        <v>1.0279493154383304E-6</v>
      </c>
      <c r="J21" s="14">
        <v>8.0035757028169286E-6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2.7409264372893934E-7</v>
      </c>
      <c r="E22" s="14">
        <v>1.0086825084900785E-4</v>
      </c>
      <c r="F22" s="14">
        <v>2.1583211381537965E-5</v>
      </c>
      <c r="G22" s="14">
        <v>5.6287455874510589E-6</v>
      </c>
      <c r="H22" s="14">
        <v>0</v>
      </c>
      <c r="I22" s="14">
        <v>1.3234966510739755E-7</v>
      </c>
      <c r="J22" s="14">
        <v>2.1513349873166767E-5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1.1147599811057487E-8</v>
      </c>
      <c r="E23" s="14">
        <v>1.2172463459824407E-4</v>
      </c>
      <c r="F23" s="14">
        <v>9.8220028056242549E-6</v>
      </c>
      <c r="G23" s="14">
        <v>2.7522989802487355E-6</v>
      </c>
      <c r="H23" s="14">
        <v>0</v>
      </c>
      <c r="I23" s="14">
        <v>7.3116681187271401E-8</v>
      </c>
      <c r="J23" s="14">
        <v>1.5616799334884555E-5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1.0294856209022384E-8</v>
      </c>
      <c r="E24" s="14">
        <v>3.1816865721386371E-5</v>
      </c>
      <c r="F24" s="14">
        <v>7.6990824298505802E-5</v>
      </c>
      <c r="G24" s="14">
        <v>1.6793241161852881E-5</v>
      </c>
      <c r="H24" s="14">
        <v>0</v>
      </c>
      <c r="I24" s="14">
        <v>3.6556906244409566E-7</v>
      </c>
      <c r="J24" s="14">
        <v>2.4023204899601823E-5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1.6928526893012137E-6</v>
      </c>
      <c r="E25" s="14">
        <v>3.4068756150878781E-6</v>
      </c>
      <c r="F25" s="14">
        <v>1.1387748106168495E-4</v>
      </c>
      <c r="G25" s="14">
        <v>2.0470733643906221E-5</v>
      </c>
      <c r="H25" s="14">
        <v>0</v>
      </c>
      <c r="I25" s="14">
        <v>4.4488099214240445E-7</v>
      </c>
      <c r="J25" s="14">
        <v>1.0107175997877306E-5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4.505677031574927E-8</v>
      </c>
      <c r="E26" s="14">
        <v>7.4397298894525409E-7</v>
      </c>
      <c r="F26" s="14">
        <v>9.5935367257055966E-5</v>
      </c>
      <c r="G26" s="14">
        <v>4.4286799684796114E-5</v>
      </c>
      <c r="H26" s="14">
        <v>0</v>
      </c>
      <c r="I26" s="14">
        <v>9.6887069735462967E-7</v>
      </c>
      <c r="J26" s="14">
        <v>8.0199326015322519E-6</v>
      </c>
      <c r="K26" s="14">
        <v>0</v>
      </c>
    </row>
    <row r="27" spans="1:14">
      <c r="A27" s="2" t="s">
        <v>353</v>
      </c>
      <c r="B27" s="3" t="s">
        <v>354</v>
      </c>
      <c r="D27" s="14">
        <v>3.0464501034883995E-7</v>
      </c>
      <c r="E27" s="14">
        <v>1.1338906636856992E-7</v>
      </c>
      <c r="F27" s="14">
        <v>4.0263613981798445E-5</v>
      </c>
      <c r="G27" s="14">
        <v>1.0146314249840647E-4</v>
      </c>
      <c r="H27" s="14">
        <v>0</v>
      </c>
      <c r="I27" s="14">
        <v>2.2394987003296596E-6</v>
      </c>
      <c r="J27" s="14">
        <v>5.6157107427480068E-6</v>
      </c>
      <c r="K27" s="14">
        <v>0</v>
      </c>
    </row>
    <row r="28" spans="1:14">
      <c r="A28" s="2" t="s">
        <v>355</v>
      </c>
      <c r="B28" s="3" t="s">
        <v>356</v>
      </c>
      <c r="D28" s="14">
        <v>1.6873132989829848E-8</v>
      </c>
      <c r="E28" s="14">
        <v>4.097064862462808E-7</v>
      </c>
      <c r="F28" s="14">
        <v>7.6000143770854424E-5</v>
      </c>
      <c r="G28" s="14">
        <v>6.4522319180918718E-5</v>
      </c>
      <c r="H28" s="14">
        <v>0</v>
      </c>
      <c r="I28" s="14">
        <v>1.4160040419610392E-6</v>
      </c>
      <c r="J28" s="14">
        <v>7.6349533870296912E-6</v>
      </c>
      <c r="K28" s="14">
        <v>0</v>
      </c>
    </row>
    <row r="29" spans="1:14">
      <c r="A29" s="2" t="s">
        <v>357</v>
      </c>
      <c r="B29" s="3" t="s">
        <v>358</v>
      </c>
      <c r="D29" s="14">
        <v>3.4217713325174183E-6</v>
      </c>
      <c r="E29" s="14">
        <v>6.18483465145551E-7</v>
      </c>
      <c r="F29" s="14">
        <v>8.8485002561237508E-5</v>
      </c>
      <c r="G29" s="14">
        <v>4.8614432811292569E-5</v>
      </c>
      <c r="H29" s="14">
        <v>0</v>
      </c>
      <c r="I29" s="14">
        <v>1.064492685971662E-6</v>
      </c>
      <c r="J29" s="14">
        <v>7.7958171438352736E-6</v>
      </c>
      <c r="K29" s="14">
        <v>0</v>
      </c>
    </row>
    <row r="30" spans="1:14">
      <c r="A30" s="2" t="s">
        <v>359</v>
      </c>
      <c r="B30" s="3" t="s">
        <v>360</v>
      </c>
      <c r="D30" s="14">
        <v>1.6873132989829848E-8</v>
      </c>
      <c r="E30" s="14">
        <v>4.097064862462808E-7</v>
      </c>
      <c r="F30" s="14">
        <v>7.6000143770854424E-5</v>
      </c>
      <c r="G30" s="14">
        <v>6.4522319180918718E-5</v>
      </c>
      <c r="H30" s="14">
        <v>0</v>
      </c>
      <c r="I30" s="14">
        <v>1.4160040419610392E-6</v>
      </c>
      <c r="J30" s="14">
        <v>7.6349533870296912E-6</v>
      </c>
      <c r="K30" s="14">
        <v>0</v>
      </c>
    </row>
    <row r="31" spans="1:14">
      <c r="A31" s="2" t="s">
        <v>283</v>
      </c>
      <c r="B31" s="3" t="s">
        <v>284</v>
      </c>
      <c r="D31" s="14">
        <v>3.1003034245164317E-12</v>
      </c>
      <c r="E31" s="14">
        <v>1.4835470010880964E-4</v>
      </c>
      <c r="F31" s="14">
        <v>9.1289932156594763E-8</v>
      </c>
      <c r="G31" s="14">
        <v>3.6636876430222572E-8</v>
      </c>
      <c r="H31" s="14">
        <v>0</v>
      </c>
      <c r="I31" s="14">
        <v>1.8324325633134791E-8</v>
      </c>
      <c r="J31" s="14">
        <v>1.499045656666966E-6</v>
      </c>
      <c r="K31" s="14">
        <v>0</v>
      </c>
    </row>
    <row r="32" spans="1:14">
      <c r="A32" s="2" t="s">
        <v>361</v>
      </c>
      <c r="B32" s="3" t="s">
        <v>362</v>
      </c>
      <c r="D32" s="14">
        <v>3.0559793462424518E-12</v>
      </c>
      <c r="E32" s="14">
        <v>7.9978580956272969E-5</v>
      </c>
      <c r="F32" s="14">
        <v>3.5953997932626785E-5</v>
      </c>
      <c r="G32" s="14">
        <v>8.8647369009239482E-6</v>
      </c>
      <c r="H32" s="14">
        <v>0</v>
      </c>
      <c r="I32" s="14">
        <v>2.0139958120047343E-7</v>
      </c>
      <c r="J32" s="14">
        <v>2.5001281572996456E-5</v>
      </c>
      <c r="K32" s="14">
        <v>0</v>
      </c>
    </row>
    <row r="33" spans="1:11">
      <c r="A33" s="2" t="s">
        <v>364</v>
      </c>
      <c r="B33" s="3" t="s">
        <v>365</v>
      </c>
      <c r="D33" s="14">
        <v>1.408245792682215E-14</v>
      </c>
      <c r="E33" s="14">
        <v>1.4934810810860499E-4</v>
      </c>
      <c r="F33" s="14">
        <v>6.3029128152107302E-7</v>
      </c>
      <c r="G33" s="14">
        <v>1.9273856555129622E-10</v>
      </c>
      <c r="H33" s="14">
        <v>0</v>
      </c>
      <c r="I33" s="14">
        <v>1.7793217284708747E-8</v>
      </c>
      <c r="J33" s="14">
        <v>3.6146399411958868E-9</v>
      </c>
      <c r="K33" s="14">
        <v>0</v>
      </c>
    </row>
    <row r="34" spans="1:11">
      <c r="A34" s="2" t="s">
        <v>285</v>
      </c>
      <c r="B34" s="3" t="s">
        <v>286</v>
      </c>
      <c r="D34" s="14">
        <v>4.1872980227954853E-14</v>
      </c>
      <c r="E34" s="14">
        <v>8.2141894563164347E-5</v>
      </c>
      <c r="F34" s="14">
        <v>6.7821328057398629E-5</v>
      </c>
      <c r="G34" s="14">
        <v>5.5698153394819538E-9</v>
      </c>
      <c r="H34" s="14">
        <v>0</v>
      </c>
      <c r="I34" s="14">
        <v>1.8889606806978161E-8</v>
      </c>
      <c r="J34" s="14">
        <v>1.2317915417555272E-8</v>
      </c>
      <c r="K34" s="14">
        <v>0</v>
      </c>
    </row>
    <row r="35" spans="1:11">
      <c r="A35" s="2" t="s">
        <v>287</v>
      </c>
      <c r="B35" s="3" t="s">
        <v>288</v>
      </c>
      <c r="D35" s="14">
        <v>1.219900170320648E-15</v>
      </c>
      <c r="E35" s="14">
        <v>4.863686290556362E-5</v>
      </c>
      <c r="F35" s="14">
        <v>1.0129479488285817E-4</v>
      </c>
      <c r="G35" s="14">
        <v>1.9616180632387515E-8</v>
      </c>
      <c r="H35" s="14">
        <v>0</v>
      </c>
      <c r="I35" s="14">
        <v>1.8905807696338539E-8</v>
      </c>
      <c r="J35" s="14">
        <v>2.9820222029556258E-8</v>
      </c>
      <c r="K35" s="14">
        <v>0</v>
      </c>
    </row>
    <row r="36" spans="1:11">
      <c r="A36" s="2" t="s">
        <v>366</v>
      </c>
      <c r="B36" s="3" t="s">
        <v>305</v>
      </c>
      <c r="D36" s="14">
        <v>2.1507025424446494E-12</v>
      </c>
      <c r="E36" s="14">
        <v>1.622424409700471E-5</v>
      </c>
      <c r="F36" s="14">
        <v>1.336860360331908E-4</v>
      </c>
      <c r="G36" s="14">
        <v>3.8276113134357952E-8</v>
      </c>
      <c r="H36" s="14">
        <v>0</v>
      </c>
      <c r="I36" s="14">
        <v>1.8112455016020159E-8</v>
      </c>
      <c r="J36" s="14">
        <v>3.3329150951591205E-8</v>
      </c>
      <c r="K36" s="14">
        <v>0</v>
      </c>
    </row>
    <row r="37" spans="1:11">
      <c r="A37" s="2" t="s">
        <v>289</v>
      </c>
      <c r="B37" s="3" t="s">
        <v>290</v>
      </c>
      <c r="D37" s="14">
        <v>5.0978198759230698E-19</v>
      </c>
      <c r="E37" s="14">
        <v>3.2537771326729623E-5</v>
      </c>
      <c r="F37" s="14">
        <v>1.0898064575896415E-4</v>
      </c>
      <c r="G37" s="14">
        <v>3.7206505132371995E-6</v>
      </c>
      <c r="H37" s="14">
        <v>0</v>
      </c>
      <c r="I37" s="14">
        <v>9.5248644323308877E-8</v>
      </c>
      <c r="J37" s="14">
        <v>4.6656837567451628E-6</v>
      </c>
      <c r="K37" s="14">
        <v>0</v>
      </c>
    </row>
    <row r="38" spans="1:11">
      <c r="A38" s="2" t="s">
        <v>291</v>
      </c>
      <c r="B38" s="3" t="s">
        <v>292</v>
      </c>
      <c r="D38" s="14">
        <v>1.4108615714862133E-16</v>
      </c>
      <c r="E38" s="14">
        <v>9.2073087636762333E-5</v>
      </c>
      <c r="F38" s="14">
        <v>5.7739667899591845E-5</v>
      </c>
      <c r="G38" s="14">
        <v>4.8238226158888701E-8</v>
      </c>
      <c r="H38" s="14">
        <v>0</v>
      </c>
      <c r="I38" s="14">
        <v>1.9748174666271208E-8</v>
      </c>
      <c r="J38" s="14">
        <v>1.1925806267955125E-7</v>
      </c>
      <c r="K38" s="14">
        <v>0</v>
      </c>
    </row>
    <row r="39" spans="1:11">
      <c r="A39" s="2" t="s">
        <v>367</v>
      </c>
      <c r="B39" s="3" t="s">
        <v>368</v>
      </c>
      <c r="D39" s="14">
        <v>1.8081590078308454E-9</v>
      </c>
      <c r="E39" s="14">
        <v>1.6559748217084591E-6</v>
      </c>
      <c r="F39" s="14">
        <v>1.1955157544171862E-4</v>
      </c>
      <c r="G39" s="14">
        <v>2.0880979113198138E-5</v>
      </c>
      <c r="H39" s="14">
        <v>0</v>
      </c>
      <c r="I39" s="14">
        <v>4.5466878309857559E-7</v>
      </c>
      <c r="J39" s="14">
        <v>7.4549936812683604E-6</v>
      </c>
      <c r="K39" s="14">
        <v>0</v>
      </c>
    </row>
    <row r="40" spans="1:11">
      <c r="A40" s="2" t="s">
        <v>369</v>
      </c>
      <c r="B40" s="3" t="s">
        <v>370</v>
      </c>
      <c r="D40" s="14">
        <v>1.0818940159414054E-16</v>
      </c>
      <c r="E40" s="14">
        <v>1.5165516463378844E-7</v>
      </c>
      <c r="F40" s="14">
        <v>1.3836899263756E-4</v>
      </c>
      <c r="G40" s="14">
        <v>1.0010578050667009E-5</v>
      </c>
      <c r="H40" s="14">
        <v>0</v>
      </c>
      <c r="I40" s="14">
        <v>1.28513909734481E-6</v>
      </c>
      <c r="J40" s="14">
        <v>1.8363504968620197E-7</v>
      </c>
      <c r="K40" s="14">
        <v>0</v>
      </c>
    </row>
    <row r="41" spans="1:11">
      <c r="A41" s="2" t="s">
        <v>371</v>
      </c>
      <c r="B41" s="3" t="s">
        <v>372</v>
      </c>
      <c r="D41" s="14">
        <v>9.7460597967101956E-6</v>
      </c>
      <c r="E41" s="14">
        <v>1.399349450673505E-4</v>
      </c>
      <c r="F41" s="14">
        <v>4.2839831697327956E-9</v>
      </c>
      <c r="G41" s="14">
        <v>2.1445852335350568E-9</v>
      </c>
      <c r="H41" s="14">
        <v>0</v>
      </c>
      <c r="I41" s="14">
        <v>1.6601992484668341E-8</v>
      </c>
      <c r="J41" s="14">
        <v>2.9596457505131647E-7</v>
      </c>
      <c r="K41" s="14">
        <v>0</v>
      </c>
    </row>
    <row r="42" spans="1:11">
      <c r="A42" s="2" t="s">
        <v>293</v>
      </c>
      <c r="B42" s="3" t="s">
        <v>294</v>
      </c>
      <c r="D42" s="14">
        <v>2.4696241587278E-12</v>
      </c>
      <c r="E42" s="14">
        <v>9.5049092542798963E-5</v>
      </c>
      <c r="F42" s="14">
        <v>2.5471208403905892E-5</v>
      </c>
      <c r="G42" s="14">
        <v>6.5334881027553014E-6</v>
      </c>
      <c r="H42" s="14">
        <v>0</v>
      </c>
      <c r="I42" s="14">
        <v>1.5110724336727927E-7</v>
      </c>
      <c r="J42" s="14">
        <v>2.2795101237548378E-5</v>
      </c>
      <c r="K42" s="14">
        <v>0</v>
      </c>
    </row>
    <row r="43" spans="1:11">
      <c r="A43" s="2" t="s">
        <v>373</v>
      </c>
      <c r="B43" s="3" t="s">
        <v>374</v>
      </c>
      <c r="D43" s="14">
        <v>5.0328390666044787E-12</v>
      </c>
      <c r="E43" s="14">
        <v>1.322622240842672E-6</v>
      </c>
      <c r="F43" s="14">
        <v>1.4849006444372787E-4</v>
      </c>
      <c r="G43" s="14">
        <v>1.2537741665733306E-7</v>
      </c>
      <c r="H43" s="14">
        <v>0</v>
      </c>
      <c r="I43" s="14">
        <v>3.5230590719282963E-8</v>
      </c>
      <c r="J43" s="14">
        <v>2.67002752137604E-8</v>
      </c>
      <c r="K43" s="14">
        <v>0</v>
      </c>
    </row>
    <row r="44" spans="1:11">
      <c r="A44" s="2" t="s">
        <v>375</v>
      </c>
      <c r="B44" s="3" t="s">
        <v>376</v>
      </c>
      <c r="D44" s="14">
        <v>1.0945471238567608E-5</v>
      </c>
      <c r="E44" s="14">
        <v>1.2594808660247624E-4</v>
      </c>
      <c r="F44" s="14">
        <v>3.2170154632222133E-6</v>
      </c>
      <c r="G44" s="14">
        <v>9.8118003766104561E-7</v>
      </c>
      <c r="H44" s="14">
        <v>0</v>
      </c>
      <c r="I44" s="14">
        <v>3.5764707511809136E-8</v>
      </c>
      <c r="J44" s="14">
        <v>8.8724819505610629E-6</v>
      </c>
      <c r="K44" s="14">
        <v>0</v>
      </c>
    </row>
    <row r="45" spans="1:11">
      <c r="A45" s="2" t="s">
        <v>377</v>
      </c>
      <c r="B45" s="3" t="s">
        <v>378</v>
      </c>
      <c r="D45" s="14">
        <v>9.4657433885146711E-8</v>
      </c>
      <c r="E45" s="14">
        <v>8.9328869286305816E-5</v>
      </c>
      <c r="F45" s="14">
        <v>2.9239733573781807E-5</v>
      </c>
      <c r="G45" s="14">
        <v>7.3904173841689957E-6</v>
      </c>
      <c r="H45" s="14">
        <v>0</v>
      </c>
      <c r="I45" s="14">
        <v>1.6886629366528416E-7</v>
      </c>
      <c r="J45" s="14">
        <v>2.3777456028192943E-5</v>
      </c>
      <c r="K45" s="14">
        <v>0</v>
      </c>
    </row>
    <row r="46" spans="1:11">
      <c r="A46" s="2" t="s">
        <v>379</v>
      </c>
      <c r="B46" s="3" t="s">
        <v>380</v>
      </c>
      <c r="D46" s="14">
        <v>2.8335489865740989E-7</v>
      </c>
      <c r="E46" s="14">
        <v>9.2782877042861561E-5</v>
      </c>
      <c r="F46" s="14">
        <v>2.6800901923464063E-5</v>
      </c>
      <c r="G46" s="14">
        <v>6.8366754694664339E-6</v>
      </c>
      <c r="H46" s="14">
        <v>0</v>
      </c>
      <c r="I46" s="14">
        <v>1.5736118680639579E-7</v>
      </c>
      <c r="J46" s="14">
        <v>2.3138829478744101E-5</v>
      </c>
      <c r="K46" s="14">
        <v>0</v>
      </c>
    </row>
    <row r="47" spans="1:11">
      <c r="A47" s="2" t="s">
        <v>381</v>
      </c>
      <c r="B47" s="3" t="s">
        <v>382</v>
      </c>
      <c r="D47" s="14">
        <v>5.1734780467606036E-12</v>
      </c>
      <c r="E47" s="14">
        <v>1.0333792113359892E-7</v>
      </c>
      <c r="F47" s="14">
        <v>3.8317864280687958E-5</v>
      </c>
      <c r="G47" s="14">
        <v>1.0382378326652283E-4</v>
      </c>
      <c r="H47" s="14">
        <v>0</v>
      </c>
      <c r="I47" s="14">
        <v>2.2924864542147092E-6</v>
      </c>
      <c r="J47" s="14">
        <v>5.462522903962827E-6</v>
      </c>
      <c r="K47" s="14">
        <v>0</v>
      </c>
    </row>
    <row r="48" spans="1:11">
      <c r="A48" s="2" t="s">
        <v>383</v>
      </c>
      <c r="B48" s="3" t="s">
        <v>384</v>
      </c>
      <c r="D48" s="14">
        <v>1.4408175001848245E-6</v>
      </c>
      <c r="E48" s="14">
        <v>1.4213010758597384E-4</v>
      </c>
      <c r="F48" s="14">
        <v>9.8907143444540244E-7</v>
      </c>
      <c r="G48" s="14">
        <v>3.3198863329062348E-7</v>
      </c>
      <c r="H48" s="14">
        <v>0</v>
      </c>
      <c r="I48" s="14">
        <v>2.3849862179258156E-8</v>
      </c>
      <c r="J48" s="14">
        <v>5.0841649839260045E-6</v>
      </c>
      <c r="K48" s="14">
        <v>0</v>
      </c>
    </row>
    <row r="49" spans="1:11">
      <c r="A49" s="2" t="s">
        <v>385</v>
      </c>
      <c r="B49" s="3" t="s">
        <v>386</v>
      </c>
      <c r="D49" s="14">
        <v>2.7376631708276262E-6</v>
      </c>
      <c r="E49" s="14">
        <v>1.3802479905112463E-4</v>
      </c>
      <c r="F49" s="14">
        <v>1.7947282456903412E-6</v>
      </c>
      <c r="G49" s="14">
        <v>5.7529983997968336E-7</v>
      </c>
      <c r="H49" s="14">
        <v>0</v>
      </c>
      <c r="I49" s="14">
        <v>2.8540081284300612E-8</v>
      </c>
      <c r="J49" s="14">
        <v>6.8389696110933499E-6</v>
      </c>
      <c r="K49" s="14">
        <v>0</v>
      </c>
    </row>
    <row r="50" spans="1:11">
      <c r="A50" s="2" t="s">
        <v>387</v>
      </c>
      <c r="B50" s="3" t="s">
        <v>388</v>
      </c>
      <c r="D50" s="14">
        <v>8.9425244562047274E-7</v>
      </c>
      <c r="E50" s="14">
        <v>1.3146109534240409E-5</v>
      </c>
      <c r="F50" s="14">
        <v>9.8011902845115856E-5</v>
      </c>
      <c r="G50" s="14">
        <v>1.9677701860372695E-5</v>
      </c>
      <c r="H50" s="14">
        <v>0</v>
      </c>
      <c r="I50" s="14">
        <v>4.2691328552451214E-7</v>
      </c>
      <c r="J50" s="14">
        <v>1.7843120029126038E-5</v>
      </c>
      <c r="K50" s="14">
        <v>0</v>
      </c>
    </row>
    <row r="51" spans="1:11">
      <c r="A51" s="2" t="s">
        <v>295</v>
      </c>
      <c r="B51" s="3" t="s">
        <v>296</v>
      </c>
      <c r="D51" s="14">
        <v>7.89711089340041E-6</v>
      </c>
      <c r="E51" s="14">
        <v>1.39934675982382E-4</v>
      </c>
      <c r="F51" s="14">
        <v>1.5692311512823078E-7</v>
      </c>
      <c r="G51" s="14">
        <v>6.0253527329640761E-8</v>
      </c>
      <c r="H51" s="14">
        <v>0</v>
      </c>
      <c r="I51" s="14">
        <v>1.7827087209672454E-8</v>
      </c>
      <c r="J51" s="14">
        <v>1.9332093945500089E-6</v>
      </c>
      <c r="K51" s="14">
        <v>0</v>
      </c>
    </row>
    <row r="52" spans="1:11">
      <c r="A52" s="2" t="s">
        <v>389</v>
      </c>
      <c r="B52" s="3" t="s">
        <v>390</v>
      </c>
      <c r="D52" s="14">
        <v>9.0425810245937305E-6</v>
      </c>
      <c r="E52" s="14">
        <v>1.2184550685125168E-4</v>
      </c>
      <c r="F52" s="14">
        <v>5.6716718183883463E-6</v>
      </c>
      <c r="G52" s="14">
        <v>1.6550329652849276E-6</v>
      </c>
      <c r="H52" s="14">
        <v>0</v>
      </c>
      <c r="I52" s="14">
        <v>4.9667577226360594E-8</v>
      </c>
      <c r="J52" s="14">
        <v>1.1735539763254902E-5</v>
      </c>
      <c r="K52" s="14">
        <v>0</v>
      </c>
    </row>
    <row r="53" spans="1:11">
      <c r="A53" s="2" t="s">
        <v>391</v>
      </c>
      <c r="B53" s="3" t="s">
        <v>392</v>
      </c>
      <c r="D53" s="14">
        <v>2.8398757584350017E-7</v>
      </c>
      <c r="E53" s="14">
        <v>7.0248402178296507E-5</v>
      </c>
      <c r="F53" s="14">
        <v>4.2965317442178669E-5</v>
      </c>
      <c r="G53" s="14">
        <v>1.0370831550185024E-5</v>
      </c>
      <c r="H53" s="14">
        <v>0</v>
      </c>
      <c r="I53" s="14">
        <v>2.3085075050094143E-7</v>
      </c>
      <c r="J53" s="14">
        <v>2.5900610502995318E-5</v>
      </c>
      <c r="K53" s="14">
        <v>0</v>
      </c>
    </row>
    <row r="54" spans="1:11">
      <c r="A54" s="2" t="s">
        <v>393</v>
      </c>
      <c r="B54" s="3" t="s">
        <v>394</v>
      </c>
      <c r="D54" s="14">
        <v>2.3919263005266823E-8</v>
      </c>
      <c r="E54" s="14">
        <v>1.4464549236443489E-7</v>
      </c>
      <c r="F54" s="14">
        <v>4.5895116695746633E-5</v>
      </c>
      <c r="G54" s="14">
        <v>9.5777177356817466E-5</v>
      </c>
      <c r="H54" s="14">
        <v>0</v>
      </c>
      <c r="I54" s="14">
        <v>2.1118837931582224E-6</v>
      </c>
      <c r="J54" s="14">
        <v>6.0472573989079358E-6</v>
      </c>
      <c r="K54" s="14">
        <v>0</v>
      </c>
    </row>
    <row r="55" spans="1:11">
      <c r="A55" s="2" t="s">
        <v>395</v>
      </c>
      <c r="B55" s="3" t="s">
        <v>396</v>
      </c>
      <c r="D55" s="14">
        <v>1.8956991123425233E-5</v>
      </c>
      <c r="E55" s="14">
        <v>2.49716084532262E-5</v>
      </c>
      <c r="F55" s="14">
        <v>7.0208240790152021E-5</v>
      </c>
      <c r="G55" s="14">
        <v>1.5145501084502614E-5</v>
      </c>
      <c r="H55" s="14">
        <v>0</v>
      </c>
      <c r="I55" s="14">
        <v>3.2940306132109908E-7</v>
      </c>
      <c r="J55" s="14">
        <v>2.0388255487372806E-5</v>
      </c>
      <c r="K55" s="14">
        <v>0</v>
      </c>
    </row>
    <row r="56" spans="1:11">
      <c r="A56" s="2" t="s">
        <v>397</v>
      </c>
      <c r="B56" s="3" t="s">
        <v>398</v>
      </c>
      <c r="D56" s="14">
        <v>8.5708504988106697E-5</v>
      </c>
      <c r="E56" s="14">
        <v>2.9414470151681537E-6</v>
      </c>
      <c r="F56" s="14">
        <v>4.6434695727553716E-5</v>
      </c>
      <c r="G56" s="14">
        <v>8.8214130844374455E-6</v>
      </c>
      <c r="H56" s="14">
        <v>0</v>
      </c>
      <c r="I56" s="14">
        <v>1.9145842357159792E-7</v>
      </c>
      <c r="J56" s="14">
        <v>5.9024807611623633E-6</v>
      </c>
      <c r="K56" s="14">
        <v>0</v>
      </c>
    </row>
    <row r="57" spans="1:11">
      <c r="A57" s="2" t="s">
        <v>399</v>
      </c>
      <c r="B57" s="3" t="s">
        <v>400</v>
      </c>
      <c r="D57" s="14">
        <v>1.1302566842474999E-4</v>
      </c>
      <c r="E57" s="14">
        <v>5.5217176325118777E-6</v>
      </c>
      <c r="F57" s="14">
        <v>2.1487988772862147E-5</v>
      </c>
      <c r="G57" s="14">
        <v>4.5257579584314516E-6</v>
      </c>
      <c r="H57" s="14">
        <v>0</v>
      </c>
      <c r="I57" s="14">
        <v>9.8295579858168959E-8</v>
      </c>
      <c r="J57" s="14">
        <v>5.3405716315863588E-6</v>
      </c>
      <c r="K57" s="14">
        <v>0</v>
      </c>
    </row>
    <row r="58" spans="1:11">
      <c r="A58" s="2" t="s">
        <v>297</v>
      </c>
      <c r="B58" s="3" t="s">
        <v>298</v>
      </c>
      <c r="D58" s="14">
        <v>1.3785824656316315E-4</v>
      </c>
      <c r="E58" s="14">
        <v>1.1256668077174503E-5</v>
      </c>
      <c r="F58" s="14">
        <v>1.8795394025205592E-7</v>
      </c>
      <c r="G58" s="14">
        <v>5.9148943259258092E-8</v>
      </c>
      <c r="H58" s="14">
        <v>0</v>
      </c>
      <c r="I58" s="14">
        <v>2.5880353708382077E-9</v>
      </c>
      <c r="J58" s="14">
        <v>6.3539444078015127E-7</v>
      </c>
      <c r="K58" s="14">
        <v>0</v>
      </c>
    </row>
    <row r="59" spans="1:11">
      <c r="A59" s="2" t="s">
        <v>401</v>
      </c>
      <c r="B59" s="3" t="s">
        <v>402</v>
      </c>
      <c r="D59" s="14">
        <v>1.3548563450031293E-4</v>
      </c>
      <c r="E59" s="14">
        <v>2.2959919420020883E-6</v>
      </c>
      <c r="F59" s="14">
        <v>8.2891869358885265E-6</v>
      </c>
      <c r="G59" s="14">
        <v>1.7555269027000081E-6</v>
      </c>
      <c r="H59" s="14">
        <v>0</v>
      </c>
      <c r="I59" s="14">
        <v>3.8138407018124991E-8</v>
      </c>
      <c r="J59" s="14">
        <v>2.1355213120782501E-6</v>
      </c>
      <c r="K59" s="14">
        <v>0</v>
      </c>
    </row>
    <row r="60" spans="1:11">
      <c r="A60" s="2" t="s">
        <v>299</v>
      </c>
      <c r="B60" s="3" t="s">
        <v>300</v>
      </c>
      <c r="D60" s="14">
        <v>1.4969340589948032E-4</v>
      </c>
      <c r="E60" s="14">
        <v>8.6349490577841236E-8</v>
      </c>
      <c r="F60" s="14">
        <v>1.3659077026037594E-7</v>
      </c>
      <c r="G60" s="14">
        <v>3.0740923450703262E-8</v>
      </c>
      <c r="H60" s="14">
        <v>0</v>
      </c>
      <c r="I60" s="14">
        <v>6.716938676025586E-10</v>
      </c>
      <c r="J60" s="14">
        <v>5.2241222363123119E-8</v>
      </c>
      <c r="K60" s="14">
        <v>0</v>
      </c>
    </row>
    <row r="61" spans="1:11">
      <c r="A61" s="2" t="s">
        <v>403</v>
      </c>
      <c r="B61" s="3" t="s">
        <v>404</v>
      </c>
      <c r="D61" s="14">
        <v>6.4648467367598194E-48</v>
      </c>
      <c r="E61" s="14">
        <v>5.2785585536731911E-5</v>
      </c>
      <c r="F61" s="14">
        <v>5.7382163392035159E-5</v>
      </c>
      <c r="G61" s="14">
        <v>1.3276159858953094E-5</v>
      </c>
      <c r="H61" s="14">
        <v>0</v>
      </c>
      <c r="I61" s="14">
        <v>2.9160594733913179E-7</v>
      </c>
      <c r="J61" s="14">
        <v>2.6264485264940676E-5</v>
      </c>
      <c r="K61" s="14">
        <v>0</v>
      </c>
    </row>
    <row r="62" spans="1:11">
      <c r="A62" s="2" t="s">
        <v>405</v>
      </c>
      <c r="B62" s="3" t="s">
        <v>406</v>
      </c>
      <c r="D62" s="14">
        <v>1.3438227006830924E-11</v>
      </c>
      <c r="E62" s="14">
        <v>6.2425076490962044E-7</v>
      </c>
      <c r="F62" s="14">
        <v>9.0086695664197327E-5</v>
      </c>
      <c r="G62" s="14">
        <v>5.0217630041510192E-5</v>
      </c>
      <c r="H62" s="14">
        <v>0</v>
      </c>
      <c r="I62" s="14">
        <v>1.0996791230567734E-6</v>
      </c>
      <c r="J62" s="14">
        <v>7.9717309680990486E-6</v>
      </c>
      <c r="K62" s="14">
        <v>0</v>
      </c>
    </row>
    <row r="63" spans="1:11">
      <c r="A63" s="2" t="s">
        <v>407</v>
      </c>
      <c r="B63" s="3" t="s">
        <v>408</v>
      </c>
      <c r="D63" s="14">
        <v>3.1681957961638231E-9</v>
      </c>
      <c r="E63" s="14">
        <v>5.6160261761660015E-8</v>
      </c>
      <c r="F63" s="14">
        <v>2.7235208080634875E-5</v>
      </c>
      <c r="G63" s="14">
        <v>1.1569810694157284E-4</v>
      </c>
      <c r="H63" s="14">
        <v>0</v>
      </c>
      <c r="I63" s="14">
        <v>2.5608117049376936E-6</v>
      </c>
      <c r="J63" s="14">
        <v>4.4465448152967615E-6</v>
      </c>
      <c r="K63" s="14">
        <v>0</v>
      </c>
    </row>
    <row r="64" spans="1:11">
      <c r="A64" s="2" t="s">
        <v>409</v>
      </c>
      <c r="B64" s="3" t="s">
        <v>410</v>
      </c>
      <c r="D64" s="14">
        <v>3.8905157303062762E-10</v>
      </c>
      <c r="E64" s="14">
        <v>1.9300310041613637E-8</v>
      </c>
      <c r="F64" s="14">
        <v>1.4555457480195714E-5</v>
      </c>
      <c r="G64" s="14">
        <v>1.2957505901191294E-4</v>
      </c>
      <c r="H64" s="14">
        <v>0</v>
      </c>
      <c r="I64" s="14">
        <v>2.8793743126737011E-6</v>
      </c>
      <c r="J64" s="14">
        <v>2.9704198336029856E-6</v>
      </c>
      <c r="K64" s="14">
        <v>0</v>
      </c>
    </row>
    <row r="65" spans="1:11">
      <c r="A65" s="2" t="s">
        <v>301</v>
      </c>
      <c r="B65" s="3" t="s">
        <v>302</v>
      </c>
      <c r="D65" s="14">
        <v>4.7723955585971799E-11</v>
      </c>
      <c r="E65" s="14">
        <v>5.3803873489196867E-9</v>
      </c>
      <c r="F65" s="14">
        <v>6.7043258970644649E-6</v>
      </c>
      <c r="G65" s="14">
        <v>1.3843651969034488E-4</v>
      </c>
      <c r="H65" s="14">
        <v>0</v>
      </c>
      <c r="I65" s="14">
        <v>3.0903414999553928E-6</v>
      </c>
      <c r="J65" s="14">
        <v>1.763384801330731E-6</v>
      </c>
      <c r="K65" s="14">
        <v>0</v>
      </c>
    </row>
    <row r="66" spans="1:11">
      <c r="A66" s="2" t="s">
        <v>303</v>
      </c>
      <c r="B66" s="3" t="s">
        <v>304</v>
      </c>
      <c r="D66" s="14">
        <v>4.6239793204683956E-17</v>
      </c>
      <c r="E66" s="14">
        <v>1.1196260464632952E-8</v>
      </c>
      <c r="F66" s="14">
        <v>1.0484182386162927E-5</v>
      </c>
      <c r="G66" s="14">
        <v>1.3413129661740182E-4</v>
      </c>
      <c r="H66" s="14">
        <v>0</v>
      </c>
      <c r="I66" s="14">
        <v>2.9864669501268647E-6</v>
      </c>
      <c r="J66" s="14">
        <v>2.3868577857975281E-6</v>
      </c>
      <c r="K66" s="14">
        <v>0</v>
      </c>
    </row>
    <row r="67" spans="1:11">
      <c r="A67" s="2" t="s">
        <v>411</v>
      </c>
      <c r="B67" s="3" t="s">
        <v>412</v>
      </c>
      <c r="D67" s="14">
        <v>5.9569618945850763E-7</v>
      </c>
      <c r="E67" s="14">
        <v>1.3350635287283816E-4</v>
      </c>
      <c r="F67" s="14">
        <v>4.1652733372499458E-6</v>
      </c>
      <c r="G67" s="14">
        <v>1.2518118595589807E-6</v>
      </c>
      <c r="H67" s="14">
        <v>0</v>
      </c>
      <c r="I67" s="14">
        <v>4.2428548386444459E-8</v>
      </c>
      <c r="J67" s="14">
        <v>1.0438437192507935E-5</v>
      </c>
      <c r="K67" s="14">
        <v>0</v>
      </c>
    </row>
    <row r="68" spans="1:11">
      <c r="A68" s="2" t="s">
        <v>413</v>
      </c>
      <c r="B68" s="3" t="s">
        <v>414</v>
      </c>
      <c r="D68" s="14">
        <v>1.3148092912076673E-6</v>
      </c>
      <c r="E68" s="14">
        <v>1.2525061713098724E-4</v>
      </c>
      <c r="F68" s="14">
        <v>7.4865451609072948E-6</v>
      </c>
      <c r="G68" s="14">
        <v>2.1447516177782449E-6</v>
      </c>
      <c r="H68" s="14">
        <v>0</v>
      </c>
      <c r="I68" s="14">
        <v>6.0533802730531071E-8</v>
      </c>
      <c r="J68" s="14">
        <v>1.3742742996388999E-5</v>
      </c>
      <c r="K68" s="14">
        <v>0</v>
      </c>
    </row>
    <row r="69" spans="1:11">
      <c r="A69" s="2" t="s">
        <v>415</v>
      </c>
      <c r="B69" s="3" t="s">
        <v>416</v>
      </c>
      <c r="D69" s="14">
        <v>1.5457428761762093E-7</v>
      </c>
      <c r="E69" s="14">
        <v>2.2500613703629779E-7</v>
      </c>
      <c r="F69" s="14">
        <v>5.7498423588103359E-5</v>
      </c>
      <c r="G69" s="14">
        <v>8.3493274399376127E-5</v>
      </c>
      <c r="H69" s="14">
        <v>0</v>
      </c>
      <c r="I69" s="14">
        <v>1.8374997973138361E-6</v>
      </c>
      <c r="J69" s="14">
        <v>6.7912217905527414E-6</v>
      </c>
      <c r="K69" s="14">
        <v>0</v>
      </c>
    </row>
    <row r="70" spans="1:11">
      <c r="A70" s="2" t="s">
        <v>417</v>
      </c>
      <c r="B70" s="3" t="s">
        <v>418</v>
      </c>
      <c r="D70" s="14">
        <v>4.0992591240441764E-7</v>
      </c>
      <c r="E70" s="14">
        <v>4.2362587801525875E-6</v>
      </c>
      <c r="F70" s="14">
        <v>1.1306392459287648E-4</v>
      </c>
      <c r="G70" s="14">
        <v>2.0664248301259271E-5</v>
      </c>
      <c r="H70" s="14">
        <v>0</v>
      </c>
      <c r="I70" s="14">
        <v>4.4887965887401858E-7</v>
      </c>
      <c r="J70" s="14">
        <v>1.1176762754433197E-5</v>
      </c>
      <c r="K70" s="14">
        <v>0</v>
      </c>
    </row>
    <row r="71" spans="1:11">
      <c r="A71" s="2" t="s">
        <v>419</v>
      </c>
      <c r="B71" s="3" t="s">
        <v>420</v>
      </c>
      <c r="D71" s="14">
        <v>3.2191162449516278E-6</v>
      </c>
      <c r="E71" s="14">
        <v>1.2499532488493396E-4</v>
      </c>
      <c r="F71" s="14">
        <v>6.7601346127563306E-6</v>
      </c>
      <c r="G71" s="14">
        <v>1.9509713839573155E-6</v>
      </c>
      <c r="H71" s="14">
        <v>0</v>
      </c>
      <c r="I71" s="14">
        <v>5.6361361925868398E-8</v>
      </c>
      <c r="J71" s="14">
        <v>1.3018091511474874E-5</v>
      </c>
      <c r="K71" s="14">
        <v>0</v>
      </c>
    </row>
    <row r="72" spans="1:11">
      <c r="A72" s="2" t="s">
        <v>421</v>
      </c>
      <c r="B72" s="3" t="s">
        <v>422</v>
      </c>
      <c r="D72" s="14">
        <v>1.7318356636650481E-6</v>
      </c>
      <c r="E72" s="14">
        <v>4.9340527566282842E-6</v>
      </c>
      <c r="F72" s="14">
        <v>1.1054150245934442E-4</v>
      </c>
      <c r="G72" s="14">
        <v>2.0465432094616799E-5</v>
      </c>
      <c r="H72" s="14">
        <v>0</v>
      </c>
      <c r="I72" s="14">
        <v>4.4441665338995797E-7</v>
      </c>
      <c r="J72" s="14">
        <v>1.1882760372355461E-5</v>
      </c>
      <c r="K72" s="14">
        <v>0</v>
      </c>
    </row>
    <row r="73" spans="1:11">
      <c r="A73" s="2" t="s">
        <v>423</v>
      </c>
      <c r="B73" s="3" t="s">
        <v>424</v>
      </c>
      <c r="D73" s="14">
        <v>1.8812091050489401E-6</v>
      </c>
      <c r="E73" s="14">
        <v>4.8539375230148111E-5</v>
      </c>
      <c r="F73" s="14">
        <v>5.9793745191233605E-5</v>
      </c>
      <c r="G73" s="14">
        <v>1.3707280868194346E-5</v>
      </c>
      <c r="H73" s="14">
        <v>0</v>
      </c>
      <c r="I73" s="14">
        <v>3.0047786024841218E-7</v>
      </c>
      <c r="J73" s="14">
        <v>2.5777911745126562E-5</v>
      </c>
      <c r="K73" s="14">
        <v>0</v>
      </c>
    </row>
    <row r="74" spans="1:11">
      <c r="A74" s="2" t="s">
        <v>425</v>
      </c>
      <c r="B74" s="3" t="s">
        <v>426</v>
      </c>
      <c r="D74" s="14">
        <v>6.3389086448695985E-7</v>
      </c>
      <c r="E74" s="14">
        <v>4.4300803457569776E-6</v>
      </c>
      <c r="F74" s="14">
        <v>1.1246908894714072E-4</v>
      </c>
      <c r="G74" s="14">
        <v>2.0631401583095563E-5</v>
      </c>
      <c r="H74" s="14">
        <v>0</v>
      </c>
      <c r="I74" s="14">
        <v>4.4812312817450428E-7</v>
      </c>
      <c r="J74" s="14">
        <v>1.1387415131345289E-5</v>
      </c>
      <c r="K74" s="14">
        <v>0</v>
      </c>
    </row>
    <row r="75" spans="1:11">
      <c r="A75" s="2" t="s">
        <v>427</v>
      </c>
      <c r="B75" s="3" t="s">
        <v>428</v>
      </c>
      <c r="D75" s="14">
        <v>6.4207343599685109E-14</v>
      </c>
      <c r="E75" s="14">
        <v>6.4768200339599224E-7</v>
      </c>
      <c r="F75" s="14">
        <v>1.4917752728715977E-4</v>
      </c>
      <c r="G75" s="14">
        <v>5.7564351079639918E-8</v>
      </c>
      <c r="H75" s="14">
        <v>0</v>
      </c>
      <c r="I75" s="14">
        <v>1.1193879837475683E-7</v>
      </c>
      <c r="J75" s="14">
        <v>5.287495782458193E-9</v>
      </c>
      <c r="K75" s="14">
        <v>0</v>
      </c>
    </row>
    <row r="76" spans="1:11">
      <c r="A76" s="2" t="s">
        <v>429</v>
      </c>
      <c r="B76" s="3" t="s">
        <v>430</v>
      </c>
      <c r="D76" s="14">
        <v>1.6128155525862482E-15</v>
      </c>
      <c r="E76" s="14">
        <v>6.4768200366626796E-7</v>
      </c>
      <c r="F76" s="14">
        <v>1.4917752734941111E-4</v>
      </c>
      <c r="G76" s="14">
        <v>5.7564351103661336E-8</v>
      </c>
      <c r="H76" s="14">
        <v>0</v>
      </c>
      <c r="I76" s="14">
        <v>1.1193879842146855E-7</v>
      </c>
      <c r="J76" s="14">
        <v>5.2874957846646493E-9</v>
      </c>
      <c r="K76" s="14">
        <v>0</v>
      </c>
    </row>
    <row r="77" spans="1:11">
      <c r="A77" s="2" t="s">
        <v>431</v>
      </c>
      <c r="B77" s="3" t="s">
        <v>432</v>
      </c>
      <c r="D77" s="14">
        <v>3.2867424804079816E-6</v>
      </c>
      <c r="E77" s="14">
        <v>1.7991310051439886E-5</v>
      </c>
      <c r="F77" s="14">
        <v>8.990510701558582E-5</v>
      </c>
      <c r="G77" s="14">
        <v>1.8590022597603608E-5</v>
      </c>
      <c r="H77" s="14">
        <v>0</v>
      </c>
      <c r="I77" s="14">
        <v>4.0350028562989839E-7</v>
      </c>
      <c r="J77" s="14">
        <v>1.9823317569332799E-5</v>
      </c>
      <c r="K77" s="14">
        <v>0</v>
      </c>
    </row>
    <row r="78" spans="1:11">
      <c r="A78" s="2" t="s">
        <v>433</v>
      </c>
      <c r="B78" s="3" t="s">
        <v>434</v>
      </c>
      <c r="D78" s="14">
        <v>4.6866050769119787E-6</v>
      </c>
      <c r="E78" s="14">
        <v>9.4714281407301624E-5</v>
      </c>
      <c r="F78" s="14">
        <v>2.2965560164017515E-5</v>
      </c>
      <c r="G78" s="14">
        <v>5.9343423684387483E-6</v>
      </c>
      <c r="H78" s="14">
        <v>0</v>
      </c>
      <c r="I78" s="14">
        <v>1.3820505108890414E-7</v>
      </c>
      <c r="J78" s="14">
        <v>2.1561005932241198E-5</v>
      </c>
      <c r="K78" s="14">
        <v>0</v>
      </c>
    </row>
    <row r="79" spans="1:11">
      <c r="A79" s="2" t="s">
        <v>435</v>
      </c>
      <c r="B79" s="3" t="s">
        <v>436</v>
      </c>
      <c r="D79" s="14">
        <v>1.1252494926280673E-6</v>
      </c>
      <c r="E79" s="14">
        <v>6.8307113866641981E-5</v>
      </c>
      <c r="F79" s="14">
        <v>4.392052371883942E-5</v>
      </c>
      <c r="G79" s="14">
        <v>1.0562411070869135E-5</v>
      </c>
      <c r="H79" s="14">
        <v>0</v>
      </c>
      <c r="I79" s="14">
        <v>2.3476501712124616E-7</v>
      </c>
      <c r="J79" s="14">
        <v>2.5849936833900098E-5</v>
      </c>
      <c r="K79" s="14">
        <v>0</v>
      </c>
    </row>
    <row r="80" spans="1:11">
      <c r="A80" s="2" t="s">
        <v>437</v>
      </c>
      <c r="B80" s="3" t="s">
        <v>438</v>
      </c>
      <c r="D80" s="14">
        <v>2.2973564819212572E-14</v>
      </c>
      <c r="E80" s="14">
        <v>4.3883930379180401E-7</v>
      </c>
      <c r="F80" s="14">
        <v>1.4922689125639177E-4</v>
      </c>
      <c r="G80" s="14">
        <v>1.1061074075654587E-7</v>
      </c>
      <c r="H80" s="14">
        <v>0</v>
      </c>
      <c r="I80" s="14">
        <v>2.172185596186834E-7</v>
      </c>
      <c r="J80" s="14">
        <v>6.4401164676128822E-9</v>
      </c>
      <c r="K80" s="14">
        <v>0</v>
      </c>
    </row>
    <row r="81" spans="1:11">
      <c r="A81" s="2" t="s">
        <v>440</v>
      </c>
      <c r="B81" s="3" t="s">
        <v>441</v>
      </c>
      <c r="D81" s="14">
        <v>2.193599488871071E-17</v>
      </c>
      <c r="E81" s="14">
        <v>1.4792257088916882E-4</v>
      </c>
      <c r="F81" s="14">
        <v>1.3924384930566948E-7</v>
      </c>
      <c r="G81" s="14">
        <v>5.415911710703276E-8</v>
      </c>
      <c r="H81" s="14">
        <v>0</v>
      </c>
      <c r="I81" s="14">
        <v>1.8643221177371615E-8</v>
      </c>
      <c r="J81" s="14">
        <v>1.8653829232191515E-6</v>
      </c>
      <c r="K81" s="14">
        <v>0</v>
      </c>
    </row>
    <row r="82" spans="1:11">
      <c r="A82" s="2" t="s">
        <v>442</v>
      </c>
      <c r="B82" s="3" t="s">
        <v>443</v>
      </c>
      <c r="D82" s="14">
        <v>1.096455507471351E-8</v>
      </c>
      <c r="E82" s="14">
        <v>1.2254853485024173E-4</v>
      </c>
      <c r="F82" s="14">
        <v>9.4061022973540943E-6</v>
      </c>
      <c r="G82" s="14">
        <v>2.6454846931564527E-6</v>
      </c>
      <c r="H82" s="14">
        <v>0</v>
      </c>
      <c r="I82" s="14">
        <v>7.0927410099760234E-8</v>
      </c>
      <c r="J82" s="14">
        <v>1.5317986194073242E-5</v>
      </c>
      <c r="K82" s="14">
        <v>0</v>
      </c>
    </row>
    <row r="83" spans="1:11">
      <c r="A83" s="2" t="s">
        <v>444</v>
      </c>
      <c r="B83" s="3" t="s">
        <v>445</v>
      </c>
      <c r="D83" s="14">
        <v>7.0708607972664217E-8</v>
      </c>
      <c r="E83" s="14">
        <v>2.2825978162437248E-5</v>
      </c>
      <c r="F83" s="14">
        <v>8.6634519650176443E-5</v>
      </c>
      <c r="G83" s="14">
        <v>1.8280435049536907E-5</v>
      </c>
      <c r="H83" s="14">
        <v>0</v>
      </c>
      <c r="I83" s="14">
        <v>3.9706815301252091E-7</v>
      </c>
      <c r="J83" s="14">
        <v>2.1791290376864195E-5</v>
      </c>
      <c r="K83" s="14">
        <v>0</v>
      </c>
    </row>
    <row r="84" spans="1:11">
      <c r="A84" s="2" t="s">
        <v>446</v>
      </c>
      <c r="B84" s="3" t="s">
        <v>447</v>
      </c>
      <c r="D84" s="14">
        <v>6.8598691654506385E-19</v>
      </c>
      <c r="E84" s="14">
        <v>1.4504506023016185E-4</v>
      </c>
      <c r="F84" s="14">
        <v>6.355277477830366E-7</v>
      </c>
      <c r="G84" s="14">
        <v>2.2071409699649684E-7</v>
      </c>
      <c r="H84" s="14">
        <v>0</v>
      </c>
      <c r="I84" s="14">
        <v>2.1831399279511086E-8</v>
      </c>
      <c r="J84" s="14">
        <v>4.0768665257783914E-6</v>
      </c>
      <c r="K84" s="14">
        <v>0</v>
      </c>
    </row>
    <row r="85" spans="1:11">
      <c r="A85" s="2" t="s">
        <v>448</v>
      </c>
      <c r="B85" s="3" t="s">
        <v>449</v>
      </c>
      <c r="D85" s="14">
        <v>4.6849993443289708E-12</v>
      </c>
      <c r="E85" s="14">
        <v>1.4917520537740438E-4</v>
      </c>
      <c r="F85" s="14">
        <v>2.5323761738512408E-8</v>
      </c>
      <c r="G85" s="14">
        <v>1.11743886988084E-8</v>
      </c>
      <c r="H85" s="14">
        <v>0</v>
      </c>
      <c r="I85" s="14">
        <v>1.7884832078452255E-8</v>
      </c>
      <c r="J85" s="14">
        <v>7.704069550804893E-7</v>
      </c>
      <c r="K85" s="14">
        <v>0</v>
      </c>
    </row>
    <row r="86" spans="1:11">
      <c r="A86" s="2" t="s">
        <v>450</v>
      </c>
      <c r="B86" s="3" t="s">
        <v>451</v>
      </c>
      <c r="D86" s="14">
        <v>1.7243246278685609E-12</v>
      </c>
      <c r="E86" s="14">
        <v>1.4518646831704969E-4</v>
      </c>
      <c r="F86" s="14">
        <v>6.0511471683458776E-7</v>
      </c>
      <c r="G86" s="14">
        <v>2.1092753183401073E-7</v>
      </c>
      <c r="H86" s="14">
        <v>0</v>
      </c>
      <c r="I86" s="14">
        <v>2.1640452226249094E-8</v>
      </c>
      <c r="J86" s="14">
        <v>3.9758472577308216E-6</v>
      </c>
      <c r="K86" s="14">
        <v>0</v>
      </c>
    </row>
    <row r="87" spans="1:11">
      <c r="A87" s="2" t="s">
        <v>452</v>
      </c>
      <c r="B87" s="3" t="s">
        <v>453</v>
      </c>
      <c r="D87" s="14">
        <v>5.9407389122227876E-12</v>
      </c>
      <c r="E87" s="14">
        <v>8.1959174614418664E-8</v>
      </c>
      <c r="F87" s="14">
        <v>3.3717793801112477E-5</v>
      </c>
      <c r="G87" s="14">
        <v>1.0873133136588486E-4</v>
      </c>
      <c r="H87" s="14">
        <v>0</v>
      </c>
      <c r="I87" s="14">
        <v>2.4030737108791529E-6</v>
      </c>
      <c r="J87" s="14">
        <v>5.0658360067701641E-6</v>
      </c>
      <c r="K87" s="14">
        <v>0</v>
      </c>
    </row>
    <row r="88" spans="1:11">
      <c r="A88" s="2" t="s">
        <v>454</v>
      </c>
      <c r="B88" s="3" t="s">
        <v>455</v>
      </c>
      <c r="D88" s="14">
        <v>5.5132721288456634E-9</v>
      </c>
      <c r="E88" s="14">
        <v>1.0661211013746638E-4</v>
      </c>
      <c r="F88" s="14">
        <v>1.8214955459275485E-5</v>
      </c>
      <c r="G88" s="14">
        <v>4.8297390772565695E-6</v>
      </c>
      <c r="H88" s="14">
        <v>0</v>
      </c>
      <c r="I88" s="14">
        <v>1.1586906571827159E-7</v>
      </c>
      <c r="J88" s="14">
        <v>2.022181298815443E-5</v>
      </c>
      <c r="K88" s="14">
        <v>0</v>
      </c>
    </row>
    <row r="89" spans="1:11">
      <c r="A89" s="2" t="s">
        <v>456</v>
      </c>
      <c r="B89" s="3" t="s">
        <v>457</v>
      </c>
      <c r="D89" s="14">
        <v>3.6416287267904607E-21</v>
      </c>
      <c r="E89" s="14">
        <v>1.2001976616408371E-4</v>
      </c>
      <c r="F89" s="14">
        <v>1.070321749521337E-5</v>
      </c>
      <c r="G89" s="14">
        <v>2.9772129953201271E-6</v>
      </c>
      <c r="H89" s="14">
        <v>0</v>
      </c>
      <c r="I89" s="14">
        <v>7.7731267885539686E-8</v>
      </c>
      <c r="J89" s="14">
        <v>1.6222072077497225E-5</v>
      </c>
      <c r="K89" s="14">
        <v>0</v>
      </c>
    </row>
    <row r="90" spans="1:11">
      <c r="A90" s="2" t="s">
        <v>458</v>
      </c>
      <c r="B90" s="3" t="s">
        <v>459</v>
      </c>
      <c r="D90" s="14">
        <v>5.257556010667092E-33</v>
      </c>
      <c r="E90" s="14">
        <v>1.3889960735674015E-4</v>
      </c>
      <c r="F90" s="14">
        <v>2.3779493085482745E-6</v>
      </c>
      <c r="G90" s="14">
        <v>7.4696137933957369E-7</v>
      </c>
      <c r="H90" s="14">
        <v>0</v>
      </c>
      <c r="I90" s="14">
        <v>3.2298950180797417E-8</v>
      </c>
      <c r="J90" s="14">
        <v>7.9431830051911674E-6</v>
      </c>
      <c r="K90" s="14">
        <v>0</v>
      </c>
    </row>
    <row r="91" spans="1:11">
      <c r="A91" s="2" t="s">
        <v>460</v>
      </c>
      <c r="B91" s="3" t="s">
        <v>461</v>
      </c>
      <c r="D91" s="14">
        <v>6.2792225879244711E-12</v>
      </c>
      <c r="E91" s="14">
        <v>5.4240413079230693E-7</v>
      </c>
      <c r="F91" s="14">
        <v>8.5354134450936993E-5</v>
      </c>
      <c r="G91" s="14">
        <v>5.5007273355905569E-5</v>
      </c>
      <c r="H91" s="14">
        <v>0</v>
      </c>
      <c r="I91" s="14">
        <v>1.205463492471818E-6</v>
      </c>
      <c r="J91" s="14">
        <v>7.8907182906706855E-6</v>
      </c>
      <c r="K91" s="14">
        <v>0</v>
      </c>
    </row>
    <row r="92" spans="1:11">
      <c r="A92" s="2" t="s">
        <v>462</v>
      </c>
      <c r="B92" s="3" t="s">
        <v>463</v>
      </c>
      <c r="D92" s="14">
        <v>6.312478160603442E-13</v>
      </c>
      <c r="E92" s="14">
        <v>3.2381502683112536E-5</v>
      </c>
      <c r="F92" s="14">
        <v>7.642203056829393E-5</v>
      </c>
      <c r="G92" s="14">
        <v>1.6699909909551165E-5</v>
      </c>
      <c r="H92" s="14">
        <v>0</v>
      </c>
      <c r="I92" s="14">
        <v>3.635986556110638E-7</v>
      </c>
      <c r="J92" s="14">
        <v>2.4132957552183458E-5</v>
      </c>
      <c r="K92" s="14">
        <v>0</v>
      </c>
    </row>
    <row r="93" spans="1:11">
      <c r="A93" s="2" t="s">
        <v>464</v>
      </c>
      <c r="B93" s="3" t="s">
        <v>465</v>
      </c>
      <c r="D93" s="14">
        <v>2.5788661822118209E-8</v>
      </c>
      <c r="E93" s="14">
        <v>6.5591251447857808E-6</v>
      </c>
      <c r="F93" s="14">
        <v>1.0885477674553103E-4</v>
      </c>
      <c r="G93" s="14">
        <v>2.0603597008183347E-5</v>
      </c>
      <c r="H93" s="14">
        <v>0</v>
      </c>
      <c r="I93" s="14">
        <v>4.472064710471709E-7</v>
      </c>
      <c r="J93" s="14">
        <v>1.3509505968630511E-5</v>
      </c>
      <c r="K93" s="14">
        <v>0</v>
      </c>
    </row>
    <row r="94" spans="1:11">
      <c r="A94" s="2" t="s">
        <v>466</v>
      </c>
      <c r="B94" s="3" t="s">
        <v>467</v>
      </c>
      <c r="D94" s="14">
        <v>2.1400284978019682E-22</v>
      </c>
      <c r="E94" s="14">
        <v>1.3421119263941635E-4</v>
      </c>
      <c r="F94" s="14">
        <v>1.5758334319377223E-5</v>
      </c>
      <c r="G94" s="14">
        <v>2.0708507732609905E-9</v>
      </c>
      <c r="H94" s="14">
        <v>0</v>
      </c>
      <c r="I94" s="14">
        <v>1.8308610532754121E-8</v>
      </c>
      <c r="J94" s="14">
        <v>1.0093579900369772E-8</v>
      </c>
      <c r="K94" s="14">
        <v>0</v>
      </c>
    </row>
    <row r="95" spans="1:11">
      <c r="A95" s="2" t="s">
        <v>468</v>
      </c>
      <c r="B95" s="3" t="s">
        <v>469</v>
      </c>
      <c r="D95" s="14">
        <v>2.5237262100328674E-22</v>
      </c>
      <c r="E95" s="14">
        <v>1.265958147217439E-6</v>
      </c>
      <c r="F95" s="14">
        <v>1.1250217595150304E-4</v>
      </c>
      <c r="G95" s="14">
        <v>2.7832773012606644E-5</v>
      </c>
      <c r="H95" s="14">
        <v>0</v>
      </c>
      <c r="I95" s="14">
        <v>6.0702193544360113E-7</v>
      </c>
      <c r="J95" s="14">
        <v>7.7920709532292481E-6</v>
      </c>
      <c r="K95" s="14">
        <v>0</v>
      </c>
    </row>
    <row r="96" spans="1:11">
      <c r="A96" s="2" t="s">
        <v>470</v>
      </c>
      <c r="B96" s="165">
        <v>354656</v>
      </c>
      <c r="D96" s="14">
        <v>4.3760183991148141E-14</v>
      </c>
      <c r="E96" s="14">
        <v>1.4783465404437411E-4</v>
      </c>
      <c r="F96" s="14">
        <v>1.5000226734793804E-7</v>
      </c>
      <c r="G96" s="14">
        <v>5.8022091423464673E-8</v>
      </c>
      <c r="H96" s="14">
        <v>0</v>
      </c>
      <c r="I96" s="14">
        <v>1.8714449635864142E-8</v>
      </c>
      <c r="J96" s="14">
        <v>1.9386071034583952E-6</v>
      </c>
      <c r="K96" s="14">
        <v>0</v>
      </c>
    </row>
    <row r="97" spans="1:11">
      <c r="A97" s="2" t="s">
        <v>472</v>
      </c>
      <c r="B97" s="3" t="s">
        <v>473</v>
      </c>
      <c r="D97" s="14">
        <v>6.8573949071909285E-14</v>
      </c>
      <c r="E97" s="14">
        <v>1.4497271441408783E-4</v>
      </c>
      <c r="F97" s="14">
        <v>6.5129515112583066E-7</v>
      </c>
      <c r="G97" s="14">
        <v>2.2577372596627248E-7</v>
      </c>
      <c r="H97" s="14">
        <v>0</v>
      </c>
      <c r="I97" s="14">
        <v>2.1930220126315561E-8</v>
      </c>
      <c r="J97" s="14">
        <v>4.1282864201198105E-6</v>
      </c>
      <c r="K97" s="14">
        <v>0</v>
      </c>
    </row>
    <row r="98" spans="1:11">
      <c r="A98" s="2" t="s">
        <v>474</v>
      </c>
      <c r="B98" s="3" t="s">
        <v>475</v>
      </c>
      <c r="D98" s="14">
        <v>5.9276481296984189E-24</v>
      </c>
      <c r="E98" s="14">
        <v>2.9940532880337918E-6</v>
      </c>
      <c r="F98" s="14">
        <v>1.1627894960500268E-4</v>
      </c>
      <c r="G98" s="14">
        <v>2.0672673966439662E-5</v>
      </c>
      <c r="H98" s="14">
        <v>0</v>
      </c>
      <c r="I98" s="14">
        <v>4.4941808859016524E-7</v>
      </c>
      <c r="J98" s="14">
        <v>9.6049050519336793E-6</v>
      </c>
      <c r="K98" s="14">
        <v>0</v>
      </c>
    </row>
    <row r="99" spans="1:11">
      <c r="A99" s="2" t="s">
        <v>476</v>
      </c>
      <c r="B99" s="3" t="s">
        <v>477</v>
      </c>
      <c r="D99" s="14">
        <v>2.0405418069364841E-11</v>
      </c>
      <c r="E99" s="14">
        <v>1.494316552280653E-4</v>
      </c>
      <c r="F99" s="14">
        <v>1.2438390332634463E-8</v>
      </c>
      <c r="G99" s="14">
        <v>5.784418904266616E-9</v>
      </c>
      <c r="H99" s="14">
        <v>0</v>
      </c>
      <c r="I99" s="14">
        <v>1.7801935600109941E-8</v>
      </c>
      <c r="J99" s="14">
        <v>5.3229962167957313E-7</v>
      </c>
      <c r="K99" s="14">
        <v>0</v>
      </c>
    </row>
    <row r="100" spans="1:11">
      <c r="A100" s="2" t="s">
        <v>478</v>
      </c>
      <c r="B100" s="3" t="s">
        <v>479</v>
      </c>
      <c r="D100" s="14">
        <v>7.3458369867039735E-15</v>
      </c>
      <c r="E100" s="14">
        <v>7.582255181690652E-5</v>
      </c>
      <c r="F100" s="14">
        <v>3.8927809912212466E-5</v>
      </c>
      <c r="G100" s="14">
        <v>9.518215344799397E-6</v>
      </c>
      <c r="H100" s="14">
        <v>0</v>
      </c>
      <c r="I100" s="14">
        <v>2.131106862859556E-7</v>
      </c>
      <c r="J100" s="14">
        <v>2.551831223244976E-5</v>
      </c>
      <c r="K100" s="14">
        <v>0</v>
      </c>
    </row>
    <row r="101" spans="1:11">
      <c r="A101" s="2" t="s">
        <v>480</v>
      </c>
      <c r="B101" s="3" t="s">
        <v>481</v>
      </c>
      <c r="D101" s="14">
        <v>5.5081347764748762E-15</v>
      </c>
      <c r="E101" s="14">
        <v>1.4903959724897321E-4</v>
      </c>
      <c r="F101" s="14">
        <v>3.3730536012044422E-8</v>
      </c>
      <c r="G101" s="14">
        <v>1.4571987767162848E-8</v>
      </c>
      <c r="H101" s="14">
        <v>0</v>
      </c>
      <c r="I101" s="14">
        <v>1.7940261281765306E-8</v>
      </c>
      <c r="J101" s="14">
        <v>8.9415996045765918E-7</v>
      </c>
      <c r="K101" s="14">
        <v>0</v>
      </c>
    </row>
    <row r="102" spans="1:11">
      <c r="A102" s="2" t="s">
        <v>482</v>
      </c>
      <c r="B102" s="3" t="s">
        <v>483</v>
      </c>
      <c r="D102" s="14">
        <v>3.4412652636375141E-31</v>
      </c>
      <c r="E102" s="14">
        <v>1.4975290666833764E-4</v>
      </c>
      <c r="F102" s="14">
        <v>2.3929676913287876E-9</v>
      </c>
      <c r="G102" s="14">
        <v>1.2567022434937428E-9</v>
      </c>
      <c r="H102" s="14">
        <v>0</v>
      </c>
      <c r="I102" s="14">
        <v>1.774508981795237E-8</v>
      </c>
      <c r="J102" s="14">
        <v>2.2569857190954686E-7</v>
      </c>
      <c r="K102" s="14">
        <v>0</v>
      </c>
    </row>
    <row r="103" spans="1:11">
      <c r="A103" s="2" t="s">
        <v>484</v>
      </c>
      <c r="B103" s="3" t="s">
        <v>485</v>
      </c>
      <c r="D103" s="14">
        <v>2.751997963934331E-17</v>
      </c>
      <c r="E103" s="14">
        <v>1.4944975872450251E-4</v>
      </c>
      <c r="F103" s="14">
        <v>1.1686024502257167E-8</v>
      </c>
      <c r="G103" s="14">
        <v>5.4596191440042168E-9</v>
      </c>
      <c r="H103" s="14">
        <v>0</v>
      </c>
      <c r="I103" s="14">
        <v>1.7797261860168044E-8</v>
      </c>
      <c r="J103" s="14">
        <v>5.1529836996348629E-7</v>
      </c>
      <c r="K103" s="14">
        <v>0</v>
      </c>
    </row>
    <row r="104" spans="1:11">
      <c r="A104" s="2" t="s">
        <v>486</v>
      </c>
      <c r="B104" s="3" t="s">
        <v>487</v>
      </c>
      <c r="D104" s="14">
        <v>3.4618272581323068E-13</v>
      </c>
      <c r="E104" s="14">
        <v>1.4656237810316164E-4</v>
      </c>
      <c r="F104" s="14">
        <v>3.3940956529949524E-7</v>
      </c>
      <c r="G104" s="14">
        <v>1.2354342379209837E-7</v>
      </c>
      <c r="H104" s="14">
        <v>0</v>
      </c>
      <c r="I104" s="14">
        <v>1.9950454493720525E-8</v>
      </c>
      <c r="J104" s="14">
        <v>2.9547181070703088E-6</v>
      </c>
      <c r="K104" s="14">
        <v>0</v>
      </c>
    </row>
    <row r="105" spans="1:11">
      <c r="A105" s="2" t="s">
        <v>488</v>
      </c>
      <c r="B105" s="3" t="s">
        <v>489</v>
      </c>
      <c r="D105" s="14">
        <v>2.7379344455464104E-20</v>
      </c>
      <c r="E105" s="14">
        <v>1.4970632713015334E-4</v>
      </c>
      <c r="F105" s="14">
        <v>3.39501525384607E-9</v>
      </c>
      <c r="G105" s="14">
        <v>1.7375498980479212E-9</v>
      </c>
      <c r="H105" s="14">
        <v>0</v>
      </c>
      <c r="I105" s="14">
        <v>1.7749628953967651E-8</v>
      </c>
      <c r="J105" s="14">
        <v>2.707906757407676E-7</v>
      </c>
      <c r="K105" s="14">
        <v>0</v>
      </c>
    </row>
    <row r="106" spans="1:11">
      <c r="A106" s="2" t="s">
        <v>490</v>
      </c>
      <c r="B106" s="3" t="s">
        <v>491</v>
      </c>
      <c r="D106" s="14">
        <v>1.6201161757227694E-12</v>
      </c>
      <c r="E106" s="14">
        <v>1.3497808681865557E-4</v>
      </c>
      <c r="F106" s="14">
        <v>3.8103497615138324E-6</v>
      </c>
      <c r="G106" s="14">
        <v>1.1536136810946162E-6</v>
      </c>
      <c r="H106" s="14">
        <v>0</v>
      </c>
      <c r="I106" s="14">
        <v>4.050653407603874E-8</v>
      </c>
      <c r="J106" s="14">
        <v>1.0017441584543751E-5</v>
      </c>
      <c r="K106" s="14">
        <v>0</v>
      </c>
    </row>
    <row r="107" spans="1:11">
      <c r="A107" s="2" t="s">
        <v>492</v>
      </c>
      <c r="B107" s="3" t="s">
        <v>493</v>
      </c>
      <c r="D107" s="14">
        <v>2.7568610326069264E-20</v>
      </c>
      <c r="E107" s="14">
        <v>2.2029872559110186E-6</v>
      </c>
      <c r="F107" s="14">
        <v>1.1842231838564139E-4</v>
      </c>
      <c r="G107" s="14">
        <v>2.0555550611221082E-5</v>
      </c>
      <c r="H107" s="14">
        <v>0</v>
      </c>
      <c r="I107" s="14">
        <v>4.4721477274525595E-7</v>
      </c>
      <c r="J107" s="14">
        <v>8.3719289744811805E-6</v>
      </c>
      <c r="K107" s="14">
        <v>0</v>
      </c>
    </row>
    <row r="108" spans="1:11">
      <c r="A108" s="2" t="s">
        <v>291</v>
      </c>
      <c r="B108" s="3" t="s">
        <v>494</v>
      </c>
      <c r="D108" s="14">
        <v>4.1897854438831973E-14</v>
      </c>
      <c r="E108" s="14">
        <v>8.6454756829174386E-5</v>
      </c>
      <c r="F108" s="14">
        <v>3.1275946957867231E-5</v>
      </c>
      <c r="G108" s="14">
        <v>7.8470428345313825E-6</v>
      </c>
      <c r="H108" s="14">
        <v>0</v>
      </c>
      <c r="I108" s="14">
        <v>1.7835556760121263E-7</v>
      </c>
      <c r="J108" s="14">
        <v>2.4243897768927885E-5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08"/>
  <sheetViews>
    <sheetView tabSelected="1" topLeftCell="A75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5.3603181232982403E-8</v>
      </c>
      <c r="B2">
        <f>'Mass Balance'!E2</f>
        <v>1.2934243681601487E-4</v>
      </c>
      <c r="C2">
        <f>SUM('Mass Balance'!E2:H2)</f>
        <v>1.3731356199066295E-4</v>
      </c>
      <c r="D2">
        <f>Concentrations!F2/Concentrations!E2</f>
        <v>0.94563593622416309</v>
      </c>
    </row>
    <row r="3" spans="1:4">
      <c r="A3">
        <f>'Mass Balance'!I3</f>
        <v>2.2857764929816244E-6</v>
      </c>
      <c r="B3">
        <f>'Mass Balance'!E3</f>
        <v>1.0303545764752717E-7</v>
      </c>
      <c r="C3">
        <f>SUM('Mass Balance'!E3:H3)</f>
        <v>1.418286434933074E-4</v>
      </c>
      <c r="D3">
        <f>Concentrations!F3/Concentrations!E3</f>
        <v>7.2932166972692735E-4</v>
      </c>
    </row>
    <row r="4" spans="1:4">
      <c r="A4">
        <f>'Mass Balance'!I4</f>
        <v>2.4708353155973045E-7</v>
      </c>
      <c r="B4">
        <f>'Mass Balance'!E4</f>
        <v>6.5711117409286566E-5</v>
      </c>
      <c r="C4">
        <f>SUM('Mass Balance'!E4:H4)</f>
        <v>1.2355465918853376E-4</v>
      </c>
      <c r="D4">
        <f>Concentrations!F4/Concentrations!E4</f>
        <v>0.53391987495413606</v>
      </c>
    </row>
    <row r="5" spans="1:4">
      <c r="A5">
        <f>'Mass Balance'!I5</f>
        <v>6.8869125237447347E-7</v>
      </c>
      <c r="B5">
        <f>'Mass Balance'!E5</f>
        <v>1.1123553763439361E-6</v>
      </c>
      <c r="C5">
        <f>SUM('Mass Balance'!E5:H5)</f>
        <v>1.4139429219345393E-4</v>
      </c>
      <c r="D5">
        <f>Concentrations!F5/Concentrations!E5</f>
        <v>7.8978347458445227E-3</v>
      </c>
    </row>
    <row r="6" spans="1:4">
      <c r="A6">
        <f>'Mass Balance'!I6</f>
        <v>2.6351343161030546E-6</v>
      </c>
      <c r="B6">
        <f>'Mass Balance'!E6</f>
        <v>4.5805441449774982E-8</v>
      </c>
      <c r="C6">
        <f>SUM('Mass Balance'!E6:H6)</f>
        <v>1.4323191641472089E-4</v>
      </c>
      <c r="D6">
        <f>Concentrations!F6/Concentrations!E6</f>
        <v>3.2105070844138669E-4</v>
      </c>
    </row>
    <row r="7" spans="1:4">
      <c r="A7">
        <f>'Mass Balance'!I7</f>
        <v>2.3487684871609214E-6</v>
      </c>
      <c r="B7">
        <f>'Mass Balance'!E7</f>
        <v>9.2094148453923644E-8</v>
      </c>
      <c r="C7">
        <f>SUM('Mass Balance'!E7:H7)</f>
        <v>1.4238500467626084E-4</v>
      </c>
      <c r="D7">
        <f>Concentrations!F7/Concentrations!E7</f>
        <v>6.4932802139476531E-4</v>
      </c>
    </row>
    <row r="8" spans="1:4">
      <c r="A8">
        <f>'Mass Balance'!I8</f>
        <v>1.895278958187927E-6</v>
      </c>
      <c r="B8">
        <f>'Mass Balance'!E8</f>
        <v>2.0662085824937999E-7</v>
      </c>
      <c r="C8">
        <f>SUM('Mass Balance'!E8:H8)</f>
        <v>1.4142843639130577E-4</v>
      </c>
      <c r="D8">
        <f>Concentrations!F8/Concentrations!E8</f>
        <v>1.4666746427414959E-3</v>
      </c>
    </row>
    <row r="9" spans="1:4">
      <c r="A9">
        <f>'Mass Balance'!I9</f>
        <v>4.383798173974321E-7</v>
      </c>
      <c r="B9">
        <f>'Mass Balance'!E9</f>
        <v>1.0223214554840044E-5</v>
      </c>
      <c r="C9">
        <f>SUM('Mass Balance'!E9:H9)</f>
        <v>1.3332317544250416E-4</v>
      </c>
      <c r="D9">
        <f>Concentrations!F9/Concentrations!E9</f>
        <v>7.6980049987451241E-2</v>
      </c>
    </row>
    <row r="10" spans="1:4">
      <c r="A10">
        <f>'Mass Balance'!I10</f>
        <v>7.3655943727706797E-7</v>
      </c>
      <c r="B10">
        <f>'Mass Balance'!E10</f>
        <v>1.0348583071614302E-6</v>
      </c>
      <c r="C10">
        <f>SUM('Mass Balance'!E10:H10)</f>
        <v>1.4131384592668667E-4</v>
      </c>
      <c r="D10">
        <f>Concentrations!F10/Concentrations!E10</f>
        <v>7.3517805761136139E-3</v>
      </c>
    </row>
    <row r="11" spans="1:4">
      <c r="A11">
        <f>'Mass Balance'!I11</f>
        <v>8.211665908152311E-7</v>
      </c>
      <c r="B11">
        <f>'Mass Balance'!E11</f>
        <v>9.1451554579127144E-7</v>
      </c>
      <c r="C11">
        <f>SUM('Mass Balance'!E11:H11)</f>
        <v>1.4116592783392211E-4</v>
      </c>
      <c r="D11">
        <f>Concentrations!F11/Concentrations!E11</f>
        <v>6.5036560878853969E-3</v>
      </c>
    </row>
    <row r="12" spans="1:4">
      <c r="A12">
        <f>'Mass Balance'!I12</f>
        <v>4.4753366983671292E-7</v>
      </c>
      <c r="B12">
        <f>'Mass Balance'!E12</f>
        <v>6.4134036456791424E-6</v>
      </c>
      <c r="C12">
        <f>SUM('Mass Balance'!E12:H12)</f>
        <v>1.3616287023334535E-4</v>
      </c>
      <c r="D12">
        <f>Concentrations!F12/Concentrations!E12</f>
        <v>4.728530984048708E-2</v>
      </c>
    </row>
    <row r="13" spans="1:4">
      <c r="A13">
        <f>'Mass Balance'!I13</f>
        <v>4.3956506979972914E-7</v>
      </c>
      <c r="B13">
        <f>'Mass Balance'!E13</f>
        <v>9.7865616420323855E-6</v>
      </c>
      <c r="C13">
        <f>SUM('Mass Balance'!E13:H13)</f>
        <v>1.3359730982935789E-4</v>
      </c>
      <c r="D13">
        <f>Concentrations!F13/Concentrations!E13</f>
        <v>7.3540873690213074E-2</v>
      </c>
    </row>
    <row r="14" spans="1:4">
      <c r="A14">
        <f>'Mass Balance'!I14</f>
        <v>1.1204405571132135E-6</v>
      </c>
      <c r="B14">
        <f>'Mass Balance'!E14</f>
        <v>6.0715174015400874E-7</v>
      </c>
      <c r="C14">
        <f>SUM('Mass Balance'!E14:H14)</f>
        <v>1.4091472872409641E-4</v>
      </c>
      <c r="D14">
        <f>Concentrations!F14/Concentrations!E14</f>
        <v>4.3255089750456237E-3</v>
      </c>
    </row>
    <row r="15" spans="1:4">
      <c r="A15">
        <f>'Mass Balance'!I15</f>
        <v>7.7811730610518254E-7</v>
      </c>
      <c r="B15">
        <f>'Mass Balance'!E15</f>
        <v>9.7333430136195717E-7</v>
      </c>
      <c r="C15">
        <f>SUM('Mass Balance'!E15:H15)</f>
        <v>1.4124163861341515E-4</v>
      </c>
      <c r="D15">
        <f>Concentrations!F15/Concentrations!E15</f>
        <v>6.9182403118300557E-3</v>
      </c>
    </row>
    <row r="16" spans="1:4">
      <c r="A16">
        <f>'Mass Balance'!I16</f>
        <v>1.8724998488548078E-6</v>
      </c>
      <c r="B16">
        <f>'Mass Balance'!E16</f>
        <v>2.138499996435697E-7</v>
      </c>
      <c r="C16">
        <f>SUM('Mass Balance'!E16:H16)</f>
        <v>1.4136349412437554E-4</v>
      </c>
      <c r="D16">
        <f>Concentrations!F16/Concentrations!E16</f>
        <v>1.5186872432767795E-3</v>
      </c>
    </row>
    <row r="17" spans="1:4">
      <c r="A17">
        <f>'Mass Balance'!I17</f>
        <v>7.0442364146806572E-7</v>
      </c>
      <c r="B17">
        <f>'Mass Balance'!E17</f>
        <v>1.086103309202841E-6</v>
      </c>
      <c r="C17">
        <f>SUM('Mass Balance'!E17:H17)</f>
        <v>1.4137245757952623E-4</v>
      </c>
      <c r="D17">
        <f>Concentrations!F17/Concentrations!E17</f>
        <v>7.7126334484831213E-3</v>
      </c>
    </row>
    <row r="18" spans="1:4">
      <c r="A18">
        <f>'Mass Balance'!I18</f>
        <v>4.3080661684660343E-7</v>
      </c>
      <c r="B18">
        <f>'Mass Balance'!E18</f>
        <v>1.2375709438592429E-5</v>
      </c>
      <c r="C18">
        <f>SUM('Mass Balance'!E18:H18)</f>
        <v>1.3168948924214611E-4</v>
      </c>
      <c r="D18">
        <f>Concentrations!F18/Concentrations!E18</f>
        <v>9.4344231965447375E-2</v>
      </c>
    </row>
    <row r="19" spans="1:4">
      <c r="A19">
        <f>'Mass Balance'!I19</f>
        <v>7.8661499645406746E-7</v>
      </c>
      <c r="B19">
        <f>'Mass Balance'!E19</f>
        <v>9.6136393461392657E-7</v>
      </c>
      <c r="C19">
        <f>SUM('Mass Balance'!E19:H19)</f>
        <v>1.4122786021172258E-4</v>
      </c>
      <c r="D19">
        <f>Concentrations!F19/Concentrations!E19</f>
        <v>6.8338243025118E-3</v>
      </c>
    </row>
    <row r="20" spans="1:4">
      <c r="A20">
        <f>'Mass Balance'!I20</f>
        <v>4.3961753148665013E-7</v>
      </c>
      <c r="B20">
        <f>'Mass Balance'!E20</f>
        <v>9.7877296591660765E-6</v>
      </c>
      <c r="C20">
        <f>SUM('Mass Balance'!E20:H20)</f>
        <v>1.3361325454544948E-4</v>
      </c>
      <c r="D20">
        <f>Concentrations!F20/Concentrations!E20</f>
        <v>7.3540873690213074E-2</v>
      </c>
    </row>
    <row r="21" spans="1:4">
      <c r="A21">
        <f>'Mass Balance'!I21</f>
        <v>1.0279493154383304E-6</v>
      </c>
      <c r="B21">
        <f>'Mass Balance'!E21</f>
        <v>6.8661060450967799E-7</v>
      </c>
      <c r="C21">
        <f>SUM('Mass Balance'!E21:H21)</f>
        <v>1.4091233485397548E-4</v>
      </c>
      <c r="D21">
        <f>Concentrations!F21/Concentrations!E21</f>
        <v>4.8916779614992965E-3</v>
      </c>
    </row>
    <row r="22" spans="1:4">
      <c r="A22">
        <f>'Mass Balance'!I22</f>
        <v>1.3234966510739755E-7</v>
      </c>
      <c r="B22">
        <f>'Mass Balance'!E22</f>
        <v>1.0086825084900785E-4</v>
      </c>
      <c r="C22">
        <f>SUM('Mass Balance'!E22:H22)</f>
        <v>1.2808020781799687E-4</v>
      </c>
      <c r="D22">
        <f>Concentrations!F22/Concentrations!E22</f>
        <v>0.79062187913500215</v>
      </c>
    </row>
    <row r="23" spans="1:4">
      <c r="A23">
        <f>'Mass Balance'!I23</f>
        <v>7.3116681187271401E-8</v>
      </c>
      <c r="B23">
        <f>'Mass Balance'!E23</f>
        <v>1.2172463459824407E-4</v>
      </c>
      <c r="C23">
        <f>SUM('Mass Balance'!E23:H23)</f>
        <v>1.3429893638411706E-4</v>
      </c>
      <c r="D23">
        <f>Concentrations!F23/Concentrations!E23</f>
        <v>0.90991802583642023</v>
      </c>
    </row>
    <row r="24" spans="1:4">
      <c r="A24">
        <f>'Mass Balance'!I24</f>
        <v>3.6556906244409566E-7</v>
      </c>
      <c r="B24">
        <f>'Mass Balance'!E24</f>
        <v>3.1816865721386371E-5</v>
      </c>
      <c r="C24">
        <f>SUM('Mass Balance'!E24:H24)</f>
        <v>1.2560093118174506E-4</v>
      </c>
      <c r="D24">
        <f>Concentrations!F24/Concentrations!E24</f>
        <v>0.25430851284398487</v>
      </c>
    </row>
    <row r="25" spans="1:4">
      <c r="A25">
        <f>'Mass Balance'!I25</f>
        <v>4.4488099214240445E-7</v>
      </c>
      <c r="B25">
        <f>'Mass Balance'!E25</f>
        <v>3.4068756150878781E-6</v>
      </c>
      <c r="C25">
        <f>SUM('Mass Balance'!E25:H25)</f>
        <v>1.3775509032067906E-4</v>
      </c>
      <c r="D25">
        <f>Concentrations!F25/Concentrations!E25</f>
        <v>2.4828185657071924E-2</v>
      </c>
    </row>
    <row r="26" spans="1:4">
      <c r="A26">
        <f>'Mass Balance'!I26</f>
        <v>9.6887069735462967E-7</v>
      </c>
      <c r="B26">
        <f>'Mass Balance'!E26</f>
        <v>7.4397298894525409E-7</v>
      </c>
      <c r="C26">
        <f>SUM('Mass Balance'!E26:H26)</f>
        <v>1.4096613993079733E-4</v>
      </c>
      <c r="D26">
        <f>Concentrations!F26/Concentrations!E26</f>
        <v>5.2983265655727274E-3</v>
      </c>
    </row>
    <row r="27" spans="1:4">
      <c r="A27">
        <f>'Mass Balance'!I27</f>
        <v>2.2394987003296596E-6</v>
      </c>
      <c r="B27">
        <f>'Mass Balance'!E27</f>
        <v>1.1338906636856992E-7</v>
      </c>
      <c r="C27">
        <f>SUM('Mass Balance'!E27:H27)</f>
        <v>1.4184014554657348E-4</v>
      </c>
      <c r="D27">
        <f>Concentrations!F27/Concentrations!E27</f>
        <v>8.0254311530271666E-4</v>
      </c>
    </row>
    <row r="28" spans="1:4">
      <c r="A28">
        <f>'Mass Balance'!I28</f>
        <v>1.4160040419610392E-6</v>
      </c>
      <c r="B28">
        <f>'Mass Balance'!E28</f>
        <v>4.097064862462808E-7</v>
      </c>
      <c r="C28">
        <f>SUM('Mass Balance'!E28:H28)</f>
        <v>1.4093216943801941E-4</v>
      </c>
      <c r="D28">
        <f>Concentrations!F28/Concentrations!E28</f>
        <v>2.9184957454671031E-3</v>
      </c>
    </row>
    <row r="29" spans="1:4">
      <c r="A29">
        <f>'Mass Balance'!I29</f>
        <v>1.064492685971662E-6</v>
      </c>
      <c r="B29">
        <f>'Mass Balance'!E29</f>
        <v>6.18483465145551E-7</v>
      </c>
      <c r="C29">
        <f>SUM('Mass Balance'!E29:H29)</f>
        <v>1.3771791883767563E-4</v>
      </c>
      <c r="D29">
        <f>Concentrations!F29/Concentrations!E29</f>
        <v>4.5085200424820797E-3</v>
      </c>
    </row>
    <row r="30" spans="1:4">
      <c r="A30">
        <f>'Mass Balance'!I30</f>
        <v>1.4160040419610392E-6</v>
      </c>
      <c r="B30">
        <f>'Mass Balance'!E30</f>
        <v>4.097064862462808E-7</v>
      </c>
      <c r="C30">
        <f>SUM('Mass Balance'!E30:H30)</f>
        <v>1.4093216943801941E-4</v>
      </c>
      <c r="D30">
        <f>Concentrations!F30/Concentrations!E30</f>
        <v>2.9184957454671031E-3</v>
      </c>
    </row>
    <row r="31" spans="1:4">
      <c r="A31">
        <f>'Mass Balance'!I31</f>
        <v>1.8324325633134791E-8</v>
      </c>
      <c r="B31">
        <f>'Mass Balance'!E31</f>
        <v>1.4835470010880964E-4</v>
      </c>
      <c r="C31">
        <f>SUM('Mass Balance'!E31:H31)</f>
        <v>1.4848262691739646E-4</v>
      </c>
      <c r="D31">
        <f>Concentrations!F31/Concentrations!E31</f>
        <v>1.0030487243621815</v>
      </c>
    </row>
    <row r="32" spans="1:4">
      <c r="A32">
        <f>'Mass Balance'!I32</f>
        <v>2.0139958120047343E-7</v>
      </c>
      <c r="B32">
        <f>'Mass Balance'!E32</f>
        <v>7.9978580956272969E-5</v>
      </c>
      <c r="C32">
        <f>SUM('Mass Balance'!E32:H32)</f>
        <v>1.2479731578982368E-4</v>
      </c>
      <c r="D32">
        <f>Concentrations!F32/Concentrations!E32</f>
        <v>0.64337593466145504</v>
      </c>
    </row>
    <row r="33" spans="1:4">
      <c r="A33">
        <f>'Mass Balance'!I33</f>
        <v>1.7793217284708747E-8</v>
      </c>
      <c r="B33">
        <f>'Mass Balance'!E33</f>
        <v>1.4934810810860499E-4</v>
      </c>
      <c r="C33">
        <f>SUM('Mass Balance'!E33:H33)</f>
        <v>1.4997859212869161E-4</v>
      </c>
      <c r="D33">
        <f>Concentrations!F33/Concentrations!E33</f>
        <v>0.99969337789726764</v>
      </c>
    </row>
    <row r="34" spans="1:4">
      <c r="A34">
        <f>'Mass Balance'!I34</f>
        <v>1.8889606806978161E-8</v>
      </c>
      <c r="B34">
        <f>'Mass Balance'!E34</f>
        <v>8.2141894563164347E-5</v>
      </c>
      <c r="C34">
        <f>SUM('Mass Balance'!E34:H34)</f>
        <v>1.4996879243590243E-4</v>
      </c>
      <c r="D34">
        <f>Concentrations!F34/Concentrations!E34</f>
        <v>0.54987019915558144</v>
      </c>
    </row>
    <row r="35" spans="1:4">
      <c r="A35">
        <f>'Mass Balance'!I35</f>
        <v>1.8905807696338539E-8</v>
      </c>
      <c r="B35">
        <f>'Mass Balance'!E35</f>
        <v>4.863686290556362E-5</v>
      </c>
      <c r="C35">
        <f>SUM('Mass Balance'!E35:H35)</f>
        <v>1.4995127396905418E-4</v>
      </c>
      <c r="D35">
        <f>Concentrations!F35/Concentrations!E35</f>
        <v>0.32562051399863751</v>
      </c>
    </row>
    <row r="36" spans="1:4">
      <c r="A36">
        <f>'Mass Balance'!I36</f>
        <v>1.8112455016020159E-8</v>
      </c>
      <c r="B36">
        <f>'Mass Balance'!E36</f>
        <v>1.622424409700471E-5</v>
      </c>
      <c r="C36">
        <f>SUM('Mass Balance'!E36:H36)</f>
        <v>1.4994855624332989E-4</v>
      </c>
      <c r="D36">
        <f>Concentrations!F36/Concentrations!E36</f>
        <v>0.1086221877125709</v>
      </c>
    </row>
    <row r="37" spans="1:4">
      <c r="A37">
        <f>'Mass Balance'!I37</f>
        <v>9.5248644323308877E-8</v>
      </c>
      <c r="B37">
        <f>'Mass Balance'!E37</f>
        <v>3.2537771326729623E-5</v>
      </c>
      <c r="C37">
        <f>SUM('Mass Balance'!E37:H37)</f>
        <v>1.4523906759893095E-4</v>
      </c>
      <c r="D37">
        <f>Concentrations!F37/Concentrations!E37</f>
        <v>0.22490582970047907</v>
      </c>
    </row>
    <row r="38" spans="1:4">
      <c r="A38">
        <f>'Mass Balance'!I38</f>
        <v>1.9748174666271208E-8</v>
      </c>
      <c r="B38">
        <f>'Mass Balance'!E38</f>
        <v>9.2073087636762333E-5</v>
      </c>
      <c r="C38">
        <f>SUM('Mass Balance'!E38:H38)</f>
        <v>1.4986099376251304E-4</v>
      </c>
      <c r="D38">
        <f>Concentrations!F38/Concentrations!E38</f>
        <v>0.61679445598249316</v>
      </c>
    </row>
    <row r="39" spans="1:4">
      <c r="A39">
        <f>'Mass Balance'!I39</f>
        <v>4.5466878309857559E-7</v>
      </c>
      <c r="B39">
        <f>'Mass Balance'!E39</f>
        <v>1.6559748217084591E-6</v>
      </c>
      <c r="C39">
        <f>SUM('Mass Balance'!E39:H39)</f>
        <v>1.420885293766252E-4</v>
      </c>
      <c r="D39">
        <f>Concentrations!F39/Concentrations!E39</f>
        <v>1.1700140373438875E-2</v>
      </c>
    </row>
    <row r="40" spans="1:4">
      <c r="A40">
        <f>'Mass Balance'!I40</f>
        <v>1.28513909734481E-6</v>
      </c>
      <c r="B40">
        <f>'Mass Balance'!E40</f>
        <v>1.5165516463378844E-7</v>
      </c>
      <c r="C40">
        <f>SUM('Mass Balance'!E40:H40)</f>
        <v>1.4853122585286081E-4</v>
      </c>
      <c r="D40">
        <f>Concentrations!F40/Concentrations!E40</f>
        <v>1.0250281720648679E-3</v>
      </c>
    </row>
    <row r="41" spans="1:4">
      <c r="A41">
        <f>'Mass Balance'!I41</f>
        <v>1.6601992484668341E-8</v>
      </c>
      <c r="B41">
        <f>'Mass Balance'!E41</f>
        <v>1.399349450673505E-4</v>
      </c>
      <c r="C41">
        <f>SUM('Mass Balance'!E41:H41)</f>
        <v>1.3994137363575377E-4</v>
      </c>
      <c r="D41">
        <f>Concentrations!F41/Concentrations!E41</f>
        <v>1.0038675396339611</v>
      </c>
    </row>
    <row r="42" spans="1:4">
      <c r="A42">
        <f>'Mass Balance'!I42</f>
        <v>1.5110724336727927E-7</v>
      </c>
      <c r="B42">
        <f>'Mass Balance'!E42</f>
        <v>9.5049092542798963E-5</v>
      </c>
      <c r="C42">
        <f>SUM('Mass Balance'!E42:H42)</f>
        <v>1.2705378904946015E-4</v>
      </c>
      <c r="D42">
        <f>Concentrations!F42/Concentrations!E42</f>
        <v>0.75102901537292632</v>
      </c>
    </row>
    <row r="43" spans="1:4">
      <c r="A43">
        <f>'Mass Balance'!I43</f>
        <v>3.5230590719282963E-8</v>
      </c>
      <c r="B43">
        <f>'Mass Balance'!E43</f>
        <v>1.322622240842672E-6</v>
      </c>
      <c r="C43">
        <f>SUM('Mass Balance'!E43:H43)</f>
        <v>1.4993806410122787E-4</v>
      </c>
      <c r="D43">
        <f>Concentrations!F43/Concentrations!E43</f>
        <v>8.8556467538360335E-3</v>
      </c>
    </row>
    <row r="44" spans="1:4">
      <c r="A44">
        <f>'Mass Balance'!I44</f>
        <v>3.5764707511809136E-8</v>
      </c>
      <c r="B44">
        <f>'Mass Balance'!E44</f>
        <v>1.2594808660247624E-4</v>
      </c>
      <c r="C44">
        <f>SUM('Mass Balance'!E44:H44)</f>
        <v>1.3014628210335951E-4</v>
      </c>
      <c r="D44">
        <f>Concentrations!F44/Concentrations!E44</f>
        <v>0.97152989827926506</v>
      </c>
    </row>
    <row r="45" spans="1:4">
      <c r="A45">
        <f>'Mass Balance'!I45</f>
        <v>1.6886629366528416E-7</v>
      </c>
      <c r="B45">
        <f>'Mass Balance'!E45</f>
        <v>8.9328869286305816E-5</v>
      </c>
      <c r="C45">
        <f>SUM('Mass Balance'!E45:H45)</f>
        <v>1.2595902024425661E-4</v>
      </c>
      <c r="D45">
        <f>Concentrations!F45/Concentrations!E45</f>
        <v>0.71196546040949038</v>
      </c>
    </row>
    <row r="46" spans="1:4">
      <c r="A46">
        <f>'Mass Balance'!I46</f>
        <v>1.5736118680639579E-7</v>
      </c>
      <c r="B46">
        <f>'Mass Balance'!E46</f>
        <v>9.2782877042861561E-5</v>
      </c>
      <c r="C46">
        <f>SUM('Mass Balance'!E46:H46)</f>
        <v>1.2642045443579206E-4</v>
      </c>
      <c r="D46">
        <f>Concentrations!F46/Concentrations!E46</f>
        <v>0.73679530590858933</v>
      </c>
    </row>
    <row r="47" spans="1:4">
      <c r="A47">
        <f>'Mass Balance'!I47</f>
        <v>2.2924864542147092E-6</v>
      </c>
      <c r="B47">
        <f>'Mass Balance'!E47</f>
        <v>1.0333792113359892E-7</v>
      </c>
      <c r="C47">
        <f>SUM('Mass Balance'!E47:H47)</f>
        <v>1.4224498546834438E-4</v>
      </c>
      <c r="D47">
        <f>Concentrations!F47/Concentrations!E47</f>
        <v>7.2932166972692724E-4</v>
      </c>
    </row>
    <row r="48" spans="1:4">
      <c r="A48">
        <f>'Mass Balance'!I48</f>
        <v>2.3849862179258156E-8</v>
      </c>
      <c r="B48">
        <f>'Mass Balance'!E48</f>
        <v>1.4213010758597384E-4</v>
      </c>
      <c r="C48">
        <f>SUM('Mass Balance'!E48:H48)</f>
        <v>1.4345116765370985E-4</v>
      </c>
      <c r="D48">
        <f>Concentrations!F48/Concentrations!E48</f>
        <v>0.99466848831057519</v>
      </c>
    </row>
    <row r="49" spans="1:4">
      <c r="A49">
        <f>'Mass Balance'!I49</f>
        <v>2.8540081284300612E-8</v>
      </c>
      <c r="B49">
        <f>'Mass Balance'!E49</f>
        <v>1.3802479905112463E-4</v>
      </c>
      <c r="C49">
        <f>SUM('Mass Balance'!E49:H49)</f>
        <v>1.4039482713679467E-4</v>
      </c>
      <c r="D49">
        <f>Concentrations!F49/Concentrations!E49</f>
        <v>0.98696642602903817</v>
      </c>
    </row>
    <row r="50" spans="1:4">
      <c r="A50">
        <f>'Mass Balance'!I50</f>
        <v>4.2691328552451214E-7</v>
      </c>
      <c r="B50">
        <f>'Mass Balance'!E50</f>
        <v>1.3146109534240409E-5</v>
      </c>
      <c r="C50">
        <f>SUM('Mass Balance'!E50:H50)</f>
        <v>1.3083571423972896E-4</v>
      </c>
      <c r="D50">
        <f>Concentrations!F50/Concentrations!E50</f>
        <v>0.1008712259839544</v>
      </c>
    </row>
    <row r="51" spans="1:4">
      <c r="A51">
        <f>'Mass Balance'!I51</f>
        <v>1.7827087209672454E-8</v>
      </c>
      <c r="B51">
        <f>'Mass Balance'!E51</f>
        <v>1.39934675982382E-4</v>
      </c>
      <c r="C51">
        <f>SUM('Mass Balance'!E51:H51)</f>
        <v>1.4015185262483985E-4</v>
      </c>
      <c r="D51">
        <f>Concentrations!F51/Concentrations!E51</f>
        <v>1.002358011511207</v>
      </c>
    </row>
    <row r="52" spans="1:4">
      <c r="A52">
        <f>'Mass Balance'!I52</f>
        <v>4.9667577226360594E-8</v>
      </c>
      <c r="B52">
        <f>'Mass Balance'!E52</f>
        <v>1.2184550685125168E-4</v>
      </c>
      <c r="C52">
        <f>SUM('Mass Balance'!E52:H52)</f>
        <v>1.2917221163492493E-4</v>
      </c>
      <c r="D52">
        <f>Concentrations!F52/Concentrations!E52</f>
        <v>0.94697123184535315</v>
      </c>
    </row>
    <row r="53" spans="1:4">
      <c r="A53">
        <f>'Mass Balance'!I53</f>
        <v>2.3085075050094143E-7</v>
      </c>
      <c r="B53">
        <f>'Mass Balance'!E53</f>
        <v>7.0248402178296507E-5</v>
      </c>
      <c r="C53">
        <f>SUM('Mass Balance'!E53:H53)</f>
        <v>1.2358455117066021E-4</v>
      </c>
      <c r="D53">
        <f>Concentrations!F53/Concentrations!E53</f>
        <v>0.57064843187288905</v>
      </c>
    </row>
    <row r="54" spans="1:4">
      <c r="A54">
        <f>'Mass Balance'!I54</f>
        <v>2.1118837931582224E-6</v>
      </c>
      <c r="B54">
        <f>'Mass Balance'!E54</f>
        <v>1.4464549236443489E-7</v>
      </c>
      <c r="C54">
        <f>SUM('Mass Balance'!E54:H54)</f>
        <v>1.4181693954492852E-4</v>
      </c>
      <c r="D54">
        <f>Concentrations!F54/Concentrations!E54</f>
        <v>1.0239368137133335E-3</v>
      </c>
    </row>
    <row r="55" spans="1:4">
      <c r="A55">
        <f>'Mass Balance'!I55</f>
        <v>3.2940306132109908E-7</v>
      </c>
      <c r="B55">
        <f>'Mass Balance'!E55</f>
        <v>2.49716084532262E-5</v>
      </c>
      <c r="C55">
        <f>SUM('Mass Balance'!E55:H55)</f>
        <v>1.1032535032788084E-4</v>
      </c>
      <c r="D55">
        <f>Concentrations!F55/Concentrations!E55</f>
        <v>0.22723099168919014</v>
      </c>
    </row>
    <row r="56" spans="1:4">
      <c r="A56">
        <f>'Mass Balance'!I56</f>
        <v>1.9145842357159792E-7</v>
      </c>
      <c r="B56">
        <f>'Mass Balance'!E56</f>
        <v>2.9414470151681537E-6</v>
      </c>
      <c r="C56">
        <f>SUM('Mass Balance'!E56:H56)</f>
        <v>5.8197555827159315E-5</v>
      </c>
      <c r="D56">
        <f>Concentrations!F56/Concentrations!E56</f>
        <v>5.0740255117250992E-2</v>
      </c>
    </row>
    <row r="57" spans="1:4">
      <c r="A57">
        <f>'Mass Balance'!I57</f>
        <v>9.8295579858168959E-8</v>
      </c>
      <c r="B57">
        <f>'Mass Balance'!E57</f>
        <v>5.5217176325118777E-6</v>
      </c>
      <c r="C57">
        <f>SUM('Mass Balance'!E57:H57)</f>
        <v>3.1535464363805474E-5</v>
      </c>
      <c r="D57">
        <f>Concentrations!F57/Concentrations!E57</f>
        <v>0.17578075519766787</v>
      </c>
    </row>
    <row r="58" spans="1:4">
      <c r="A58">
        <f>'Mass Balance'!I58</f>
        <v>2.5880353708382077E-9</v>
      </c>
      <c r="B58">
        <f>'Mass Balance'!E58</f>
        <v>1.1256668077174503E-5</v>
      </c>
      <c r="C58">
        <f>SUM('Mass Balance'!E58:H58)</f>
        <v>1.1503770960685817E-5</v>
      </c>
      <c r="D58">
        <f>Concentrations!F58/Concentrations!E58</f>
        <v>0.98234942729794861</v>
      </c>
    </row>
    <row r="59" spans="1:4">
      <c r="A59">
        <f>'Mass Balance'!I59</f>
        <v>3.8138407018124991E-8</v>
      </c>
      <c r="B59">
        <f>'Mass Balance'!E59</f>
        <v>2.2959919420020883E-6</v>
      </c>
      <c r="C59">
        <f>SUM('Mass Balance'!E59:H59)</f>
        <v>1.2340705780590623E-5</v>
      </c>
      <c r="D59">
        <f>Concentrations!F59/Concentrations!E59</f>
        <v>0.18677843130853469</v>
      </c>
    </row>
    <row r="60" spans="1:4">
      <c r="A60">
        <f>'Mass Balance'!I60</f>
        <v>6.716938676025586E-10</v>
      </c>
      <c r="B60">
        <f>'Mass Balance'!E60</f>
        <v>8.6349490577841236E-8</v>
      </c>
      <c r="C60">
        <f>SUM('Mass Balance'!E60:H60)</f>
        <v>2.5368118428892044E-7</v>
      </c>
      <c r="D60">
        <f>Concentrations!F60/Concentrations!E60</f>
        <v>0.34171802338874774</v>
      </c>
    </row>
    <row r="61" spans="1:4">
      <c r="A61">
        <f>'Mass Balance'!I61</f>
        <v>2.9160594733913179E-7</v>
      </c>
      <c r="B61">
        <f>'Mass Balance'!E61</f>
        <v>5.2785585536731911E-5</v>
      </c>
      <c r="C61">
        <f>SUM('Mass Balance'!E61:H61)</f>
        <v>1.2344390878772017E-4</v>
      </c>
      <c r="D61">
        <f>Concentrations!F61/Concentrations!E61</f>
        <v>0.42928136943734024</v>
      </c>
    </row>
    <row r="62" spans="1:4">
      <c r="A62">
        <f>'Mass Balance'!I62</f>
        <v>1.0996791230567734E-6</v>
      </c>
      <c r="B62">
        <f>'Mass Balance'!E62</f>
        <v>6.2425076490962044E-7</v>
      </c>
      <c r="C62">
        <f>SUM('Mass Balance'!E62:H62)</f>
        <v>1.4092857647061714E-4</v>
      </c>
      <c r="D62">
        <f>Concentrations!F62/Concentrations!E62</f>
        <v>4.4468899351751282E-3</v>
      </c>
    </row>
    <row r="63" spans="1:4">
      <c r="A63">
        <f>'Mass Balance'!I63</f>
        <v>2.5608117049376936E-6</v>
      </c>
      <c r="B63">
        <f>'Mass Balance'!E63</f>
        <v>5.6160261761660015E-8</v>
      </c>
      <c r="C63">
        <f>SUM('Mass Balance'!E63:H63)</f>
        <v>1.4298947528396938E-4</v>
      </c>
      <c r="D63">
        <f>Concentrations!F63/Concentrations!E63</f>
        <v>3.9429513012256975E-4</v>
      </c>
    </row>
    <row r="64" spans="1:4">
      <c r="A64">
        <f>'Mass Balance'!I64</f>
        <v>2.8793743126737011E-6</v>
      </c>
      <c r="B64">
        <f>'Mass Balance'!E64</f>
        <v>1.9300310041613637E-8</v>
      </c>
      <c r="C64">
        <f>SUM('Mass Balance'!E64:H64)</f>
        <v>1.4414981680215027E-4</v>
      </c>
      <c r="D64">
        <f>Concentrations!F64/Concentrations!E64</f>
        <v>1.3441463378141344E-4</v>
      </c>
    </row>
    <row r="65" spans="1:4">
      <c r="A65">
        <f>'Mass Balance'!I65</f>
        <v>3.0903414999553928E-6</v>
      </c>
      <c r="B65">
        <f>'Mass Balance'!E65</f>
        <v>5.3803873489196867E-9</v>
      </c>
      <c r="C65">
        <f>SUM('Mass Balance'!E65:H65)</f>
        <v>1.4514622597475827E-4</v>
      </c>
      <c r="D65">
        <f>Concentrations!F65/Concentrations!E65</f>
        <v>3.7213811818105853E-5</v>
      </c>
    </row>
    <row r="66" spans="1:4">
      <c r="A66">
        <f>'Mass Balance'!I66</f>
        <v>2.9864669501268647E-6</v>
      </c>
      <c r="B66">
        <f>'Mass Balance'!E66</f>
        <v>1.1196260464632952E-8</v>
      </c>
      <c r="C66">
        <f>SUM('Mass Balance'!E66:H66)</f>
        <v>1.4462667526402937E-4</v>
      </c>
      <c r="D66">
        <f>Concentrations!F66/Concentrations!E66</f>
        <v>7.7717881346988204E-5</v>
      </c>
    </row>
    <row r="67" spans="1:4">
      <c r="A67">
        <f>'Mass Balance'!I67</f>
        <v>4.2428548386444459E-8</v>
      </c>
      <c r="B67">
        <f>'Mass Balance'!E67</f>
        <v>1.3350635287283816E-4</v>
      </c>
      <c r="C67">
        <f>SUM('Mass Balance'!E67:H67)</f>
        <v>1.389234380696471E-4</v>
      </c>
      <c r="D67">
        <f>Concentrations!F67/Concentrations!E67</f>
        <v>0.96476773687511463</v>
      </c>
    </row>
    <row r="68" spans="1:4">
      <c r="A68">
        <f>'Mass Balance'!I68</f>
        <v>6.0533802730531071E-8</v>
      </c>
      <c r="B68">
        <f>'Mass Balance'!E68</f>
        <v>1.2525061713098724E-4</v>
      </c>
      <c r="C68">
        <f>SUM('Mass Balance'!E68:H68)</f>
        <v>1.3488191390967279E-4</v>
      </c>
      <c r="D68">
        <f>Concentrations!F68/Concentrations!E68</f>
        <v>0.93222880251935258</v>
      </c>
    </row>
    <row r="69" spans="1:4">
      <c r="A69">
        <f>'Mass Balance'!I69</f>
        <v>1.8374997973138361E-6</v>
      </c>
      <c r="B69">
        <f>'Mass Balance'!E69</f>
        <v>2.2500613703629779E-7</v>
      </c>
      <c r="C69">
        <f>SUM('Mass Balance'!E69:H69)</f>
        <v>1.412167041245158E-4</v>
      </c>
      <c r="D69">
        <f>Concentrations!F69/Concentrations!E69</f>
        <v>1.5995751726402129E-3</v>
      </c>
    </row>
    <row r="70" spans="1:4">
      <c r="A70">
        <f>'Mass Balance'!I70</f>
        <v>4.4887965887401858E-7</v>
      </c>
      <c r="B70">
        <f>'Mass Balance'!E70</f>
        <v>4.2362587801525875E-6</v>
      </c>
      <c r="C70">
        <f>SUM('Mass Balance'!E70:H70)</f>
        <v>1.3796443167428832E-4</v>
      </c>
      <c r="D70">
        <f>Concentrations!F70/Concentrations!E70</f>
        <v>3.0825612024579729E-2</v>
      </c>
    </row>
    <row r="71" spans="1:4">
      <c r="A71">
        <f>'Mass Balance'!I71</f>
        <v>5.6361361925868398E-8</v>
      </c>
      <c r="B71">
        <f>'Mass Balance'!E71</f>
        <v>1.2499532488493396E-4</v>
      </c>
      <c r="C71">
        <f>SUM('Mass Balance'!E71:H71)</f>
        <v>1.3370643088164759E-4</v>
      </c>
      <c r="D71">
        <f>Concentrations!F71/Concentrations!E71</f>
        <v>0.93850769095966735</v>
      </c>
    </row>
    <row r="72" spans="1:4">
      <c r="A72">
        <f>'Mass Balance'!I72</f>
        <v>4.4441665338995797E-7</v>
      </c>
      <c r="B72">
        <f>'Mass Balance'!E72</f>
        <v>4.9340527566282842E-6</v>
      </c>
      <c r="C72">
        <f>SUM('Mass Balance'!E72:H72)</f>
        <v>1.3594098731058949E-4</v>
      </c>
      <c r="D72">
        <f>Concentrations!F72/Concentrations!E72</f>
        <v>3.6437597259925146E-2</v>
      </c>
    </row>
    <row r="73" spans="1:4">
      <c r="A73">
        <f>'Mass Balance'!I73</f>
        <v>3.0047786024841218E-7</v>
      </c>
      <c r="B73">
        <f>'Mass Balance'!E73</f>
        <v>4.8539375230148111E-5</v>
      </c>
      <c r="C73">
        <f>SUM('Mass Balance'!E73:H73)</f>
        <v>1.2204040128957608E-4</v>
      </c>
      <c r="D73">
        <f>Concentrations!F73/Concentrations!E73</f>
        <v>0.39928860591166571</v>
      </c>
    </row>
    <row r="74" spans="1:4">
      <c r="A74">
        <f>'Mass Balance'!I74</f>
        <v>4.4812312817450428E-7</v>
      </c>
      <c r="B74">
        <f>'Mass Balance'!E74</f>
        <v>4.4300803457569776E-6</v>
      </c>
      <c r="C74">
        <f>SUM('Mass Balance'!E74:H74)</f>
        <v>1.3753057087599325E-4</v>
      </c>
      <c r="D74">
        <f>Concentrations!F74/Concentrations!E74</f>
        <v>3.2337669598745414E-2</v>
      </c>
    </row>
    <row r="75" spans="1:4">
      <c r="A75">
        <f>'Mass Balance'!I75</f>
        <v>1.1193879837475683E-7</v>
      </c>
      <c r="B75">
        <f>'Mass Balance'!E75</f>
        <v>6.4768200339599224E-7</v>
      </c>
      <c r="C75">
        <f>SUM('Mass Balance'!E75:H75)</f>
        <v>1.4988277364163543E-4</v>
      </c>
      <c r="D75">
        <f>Concentrations!F75/Concentrations!E75</f>
        <v>4.3381690424097365E-3</v>
      </c>
    </row>
    <row r="76" spans="1:4">
      <c r="A76">
        <f>'Mass Balance'!I76</f>
        <v>1.1193879842146855E-7</v>
      </c>
      <c r="B76">
        <f>'Mass Balance'!E76</f>
        <v>6.4768200366626796E-7</v>
      </c>
      <c r="C76">
        <f>SUM('Mass Balance'!E76:H76)</f>
        <v>1.4988277370418104E-4</v>
      </c>
      <c r="D76">
        <f>Concentrations!F76/Concentrations!E76</f>
        <v>4.3381690424097365E-3</v>
      </c>
    </row>
    <row r="77" spans="1:4">
      <c r="A77">
        <f>'Mass Balance'!I77</f>
        <v>4.0350028562989839E-7</v>
      </c>
      <c r="B77">
        <f>'Mass Balance'!E77</f>
        <v>1.7991310051439886E-5</v>
      </c>
      <c r="C77">
        <f>SUM('Mass Balance'!E77:H77)</f>
        <v>1.2648643966462931E-4</v>
      </c>
      <c r="D77">
        <f>Concentrations!F77/Concentrations!E77</f>
        <v>0.14279571719987913</v>
      </c>
    </row>
    <row r="78" spans="1:4">
      <c r="A78">
        <f>'Mass Balance'!I78</f>
        <v>1.3820505108890414E-7</v>
      </c>
      <c r="B78">
        <f>'Mass Balance'!E78</f>
        <v>9.4714281407301624E-5</v>
      </c>
      <c r="C78">
        <f>SUM('Mass Balance'!E78:H78)</f>
        <v>1.2361418393975787E-4</v>
      </c>
      <c r="D78">
        <f>Concentrations!F78/Concentrations!E78</f>
        <v>0.76920752608869403</v>
      </c>
    </row>
    <row r="79" spans="1:4">
      <c r="A79">
        <f>'Mass Balance'!I79</f>
        <v>2.3476501712124616E-7</v>
      </c>
      <c r="B79">
        <f>'Mass Balance'!E79</f>
        <v>6.8307113866641981E-5</v>
      </c>
      <c r="C79">
        <f>SUM('Mass Balance'!E79:H79)</f>
        <v>1.2279004865635055E-4</v>
      </c>
      <c r="D79">
        <f>Concentrations!F79/Concentrations!E79</f>
        <v>0.5584690716502958</v>
      </c>
    </row>
    <row r="80" spans="1:4">
      <c r="A80">
        <f>'Mass Balance'!I80</f>
        <v>2.172185596186834E-7</v>
      </c>
      <c r="B80">
        <f>'Mass Balance'!E80</f>
        <v>4.3883930379180401E-7</v>
      </c>
      <c r="C80">
        <f>SUM('Mass Balance'!E80:H80)</f>
        <v>1.4977634130094013E-4</v>
      </c>
      <c r="D80">
        <f>Concentrations!F80/Concentrations!E80</f>
        <v>2.9414309795428042E-3</v>
      </c>
    </row>
    <row r="81" spans="1:4">
      <c r="A81">
        <f>'Mass Balance'!I81</f>
        <v>1.8643221177371615E-8</v>
      </c>
      <c r="B81">
        <f>'Mass Balance'!E81</f>
        <v>1.4792257088916882E-4</v>
      </c>
      <c r="C81">
        <f>SUM('Mass Balance'!E81:H81)</f>
        <v>1.4811597385558153E-4</v>
      </c>
      <c r="D81">
        <f>Concentrations!F81/Concentrations!E81</f>
        <v>1.0026027931264743</v>
      </c>
    </row>
    <row r="82" spans="1:4">
      <c r="A82">
        <f>'Mass Balance'!I82</f>
        <v>7.0927410099760234E-8</v>
      </c>
      <c r="B82">
        <f>'Mass Balance'!E82</f>
        <v>1.2254853485024173E-4</v>
      </c>
      <c r="C82">
        <f>SUM('Mass Balance'!E82:H82)</f>
        <v>1.3460012184075227E-4</v>
      </c>
      <c r="D82">
        <f>Concentrations!F82/Concentrations!E82</f>
        <v>0.91402701646221429</v>
      </c>
    </row>
    <row r="83" spans="1:4">
      <c r="A83">
        <f>'Mass Balance'!I83</f>
        <v>3.9706815301252091E-7</v>
      </c>
      <c r="B83">
        <f>'Mass Balance'!E83</f>
        <v>2.2825978162437248E-5</v>
      </c>
      <c r="C83">
        <f>SUM('Mass Balance'!E83:H83)</f>
        <v>1.2774093286215061E-4</v>
      </c>
      <c r="D83">
        <f>Concentrations!F83/Concentrations!E83</f>
        <v>0.17938894525213356</v>
      </c>
    </row>
    <row r="84" spans="1:4">
      <c r="A84">
        <f>'Mass Balance'!I84</f>
        <v>2.1831399279511086E-8</v>
      </c>
      <c r="B84">
        <f>'Mass Balance'!E84</f>
        <v>1.4504506023016185E-4</v>
      </c>
      <c r="C84">
        <f>SUM('Mass Balance'!E84:H84)</f>
        <v>1.4590130207494138E-4</v>
      </c>
      <c r="D84">
        <f>Concentrations!F84/Concentrations!E84</f>
        <v>0.9980220517204107</v>
      </c>
    </row>
    <row r="85" spans="1:4">
      <c r="A85">
        <f>'Mass Balance'!I85</f>
        <v>1.7884832078452255E-8</v>
      </c>
      <c r="B85">
        <f>'Mass Balance'!E85</f>
        <v>1.4917520537740438E-4</v>
      </c>
      <c r="C85">
        <f>SUM('Mass Balance'!E85:H85)</f>
        <v>1.492117035278417E-4</v>
      </c>
      <c r="D85">
        <f>Concentrations!F85/Concentrations!E85</f>
        <v>1.0036680932087843</v>
      </c>
    </row>
    <row r="86" spans="1:4">
      <c r="A86">
        <f>'Mass Balance'!I86</f>
        <v>2.1640452226249094E-8</v>
      </c>
      <c r="B86">
        <f>'Mass Balance'!E86</f>
        <v>1.4518646831704969E-4</v>
      </c>
      <c r="C86">
        <f>SUM('Mass Balance'!E86:H86)</f>
        <v>1.4600251056571829E-4</v>
      </c>
      <c r="D86">
        <f>Concentrations!F86/Concentrations!E86</f>
        <v>0.99830254829448739</v>
      </c>
    </row>
    <row r="87" spans="1:4">
      <c r="A87">
        <f>'Mass Balance'!I87</f>
        <v>2.4030737108791529E-6</v>
      </c>
      <c r="B87">
        <f>'Mass Balance'!E87</f>
        <v>8.1959174614418664E-8</v>
      </c>
      <c r="C87">
        <f>SUM('Mass Balance'!E87:H87)</f>
        <v>1.4253108434161176E-4</v>
      </c>
      <c r="D87">
        <f>Concentrations!F87/Concentrations!E87</f>
        <v>5.7727712584221193E-4</v>
      </c>
    </row>
    <row r="88" spans="1:4">
      <c r="A88">
        <f>'Mass Balance'!I88</f>
        <v>1.1586906571827159E-7</v>
      </c>
      <c r="B88">
        <f>'Mass Balance'!E88</f>
        <v>1.0661211013746638E-4</v>
      </c>
      <c r="C88">
        <f>SUM('Mass Balance'!E88:H88)</f>
        <v>1.2965680467399843E-4</v>
      </c>
      <c r="D88">
        <f>Concentrations!F88/Concentrations!E88</f>
        <v>0.82548196091787929</v>
      </c>
    </row>
    <row r="89" spans="1:4">
      <c r="A89">
        <f>'Mass Balance'!I89</f>
        <v>7.7731267885539686E-8</v>
      </c>
      <c r="B89">
        <f>'Mass Balance'!E89</f>
        <v>1.2001976616408371E-4</v>
      </c>
      <c r="C89">
        <f>SUM('Mass Balance'!E89:H89)</f>
        <v>1.337001966546172E-4</v>
      </c>
      <c r="D89">
        <f>Concentrations!F89/Concentrations!E89</f>
        <v>0.90119151188221713</v>
      </c>
    </row>
    <row r="90" spans="1:4">
      <c r="A90">
        <f>'Mass Balance'!I90</f>
        <v>3.2298950180797417E-8</v>
      </c>
      <c r="B90">
        <f>'Mass Balance'!E90</f>
        <v>1.3889960735674015E-4</v>
      </c>
      <c r="C90">
        <f>SUM('Mass Balance'!E90:H90)</f>
        <v>1.4202451804462798E-4</v>
      </c>
      <c r="D90">
        <f>Concentrations!F90/Concentrations!E90</f>
        <v>0.98182493204176768</v>
      </c>
    </row>
    <row r="91" spans="1:4">
      <c r="A91">
        <f>'Mass Balance'!I91</f>
        <v>1.205463492471818E-6</v>
      </c>
      <c r="B91">
        <f>'Mass Balance'!E91</f>
        <v>5.4240413079230693E-7</v>
      </c>
      <c r="C91">
        <f>SUM('Mass Balance'!E91:H91)</f>
        <v>1.4090381193763486E-4</v>
      </c>
      <c r="D91">
        <f>Concentrations!F91/Concentrations!E91</f>
        <v>3.8645293340741366E-3</v>
      </c>
    </row>
    <row r="92" spans="1:4">
      <c r="A92">
        <f>'Mass Balance'!I92</f>
        <v>3.635986556110638E-7</v>
      </c>
      <c r="B92">
        <f>'Mass Balance'!E92</f>
        <v>3.2381502683112536E-5</v>
      </c>
      <c r="C92">
        <f>SUM('Mass Balance'!E92:H92)</f>
        <v>1.2550344316095765E-4</v>
      </c>
      <c r="D92">
        <f>Concentrations!F92/Concentrations!E92</f>
        <v>0.25902263682185783</v>
      </c>
    </row>
    <row r="93" spans="1:4">
      <c r="A93">
        <f>'Mass Balance'!I93</f>
        <v>4.472064710471709E-7</v>
      </c>
      <c r="B93">
        <f>'Mass Balance'!E93</f>
        <v>6.5591251447857808E-6</v>
      </c>
      <c r="C93">
        <f>SUM('Mass Balance'!E93:H93)</f>
        <v>1.3601749889850014E-4</v>
      </c>
      <c r="D93">
        <f>Concentrations!F93/Concentrations!E93</f>
        <v>4.8411383565722305E-2</v>
      </c>
    </row>
    <row r="94" spans="1:4">
      <c r="A94">
        <f>'Mass Balance'!I94</f>
        <v>1.8308610532754121E-8</v>
      </c>
      <c r="B94">
        <f>'Mass Balance'!E94</f>
        <v>1.3421119263941635E-4</v>
      </c>
      <c r="C94">
        <f>SUM('Mass Balance'!E94:H94)</f>
        <v>1.4997159780956681E-4</v>
      </c>
      <c r="D94">
        <f>Concentrations!F94/Concentrations!E94</f>
        <v>0.89841310742128699</v>
      </c>
    </row>
    <row r="95" spans="1:4">
      <c r="A95">
        <f>'Mass Balance'!I95</f>
        <v>6.0702193544360113E-7</v>
      </c>
      <c r="B95">
        <f>'Mass Balance'!E95</f>
        <v>1.265958147217439E-6</v>
      </c>
      <c r="C95">
        <f>SUM('Mass Balance'!E95:H95)</f>
        <v>1.4160090711132711E-4</v>
      </c>
      <c r="D95">
        <f>Concentrations!F95/Concentrations!E95</f>
        <v>8.9753144885108549E-3</v>
      </c>
    </row>
    <row r="96" spans="1:4">
      <c r="A96">
        <f>'Mass Balance'!I96</f>
        <v>1.8714449635864142E-8</v>
      </c>
      <c r="B96">
        <f>'Mass Balance'!E96</f>
        <v>1.4783465404437411E-4</v>
      </c>
      <c r="C96">
        <f>SUM('Mass Balance'!E96:H96)</f>
        <v>1.4804267840314551E-4</v>
      </c>
      <c r="D96">
        <f>Concentrations!F96/Concentrations!E96</f>
        <v>1.0025029928797253</v>
      </c>
    </row>
    <row r="97" spans="1:4">
      <c r="A97">
        <f>'Mass Balance'!I97</f>
        <v>2.1930220126315561E-8</v>
      </c>
      <c r="B97">
        <f>'Mass Balance'!E97</f>
        <v>1.4497271441408783E-4</v>
      </c>
      <c r="C97">
        <f>SUM('Mass Balance'!E97:H97)</f>
        <v>1.4584978329117992E-4</v>
      </c>
      <c r="D97">
        <f>Concentrations!F97/Concentrations!E97</f>
        <v>0.99787661392795635</v>
      </c>
    </row>
    <row r="98" spans="1:4">
      <c r="A98">
        <f>'Mass Balance'!I98</f>
        <v>4.4941808859016524E-7</v>
      </c>
      <c r="B98">
        <f>'Mass Balance'!E98</f>
        <v>2.9940532880337918E-6</v>
      </c>
      <c r="C98">
        <f>SUM('Mass Balance'!E98:H98)</f>
        <v>1.3994567685947614E-4</v>
      </c>
      <c r="D98">
        <f>Concentrations!F98/Concentrations!E98</f>
        <v>2.1478126749584527E-2</v>
      </c>
    </row>
    <row r="99" spans="1:4">
      <c r="A99">
        <f>'Mass Balance'!I99</f>
        <v>1.7801935600109941E-8</v>
      </c>
      <c r="B99">
        <f>'Mass Balance'!E99</f>
        <v>1.494316552280653E-4</v>
      </c>
      <c r="C99">
        <f>SUM('Mass Balance'!E99:H99)</f>
        <v>1.4944987803730219E-4</v>
      </c>
      <c r="D99">
        <f>Concentrations!F99/Concentrations!E99</f>
        <v>1.0037912472179731</v>
      </c>
    </row>
    <row r="100" spans="1:4">
      <c r="A100">
        <f>'Mass Balance'!I100</f>
        <v>2.131106862859556E-7</v>
      </c>
      <c r="B100">
        <f>'Mass Balance'!E100</f>
        <v>7.582255181690652E-5</v>
      </c>
      <c r="C100">
        <f>SUM('Mass Balance'!E100:H100)</f>
        <v>1.2426857707391838E-4</v>
      </c>
      <c r="D100">
        <f>Concentrations!F100/Concentrations!E100</f>
        <v>0.6125385601891854</v>
      </c>
    </row>
    <row r="101" spans="1:4">
      <c r="A101">
        <f>'Mass Balance'!I101</f>
        <v>1.7940261281765306E-8</v>
      </c>
      <c r="B101">
        <f>'Mass Balance'!E101</f>
        <v>1.4903959724897321E-4</v>
      </c>
      <c r="C101">
        <f>SUM('Mass Balance'!E101:H101)</f>
        <v>1.490878997727524E-4</v>
      </c>
      <c r="D101">
        <f>Concentrations!F101/Concentrations!E101</f>
        <v>1.0035884021450032</v>
      </c>
    </row>
    <row r="102" spans="1:4">
      <c r="A102">
        <f>'Mass Balance'!I102</f>
        <v>1.774508981795237E-8</v>
      </c>
      <c r="B102">
        <f>'Mass Balance'!E102</f>
        <v>1.4975290666833764E-4</v>
      </c>
      <c r="C102">
        <f>SUM('Mass Balance'!E102:H102)</f>
        <v>1.4975655633827246E-4</v>
      </c>
      <c r="D102">
        <f>Concentrations!F102/Concentrations!E102</f>
        <v>1.0038891909364551</v>
      </c>
    </row>
    <row r="103" spans="1:4">
      <c r="A103">
        <f>'Mass Balance'!I103</f>
        <v>1.7797261860168044E-8</v>
      </c>
      <c r="B103">
        <f>'Mass Balance'!E103</f>
        <v>1.4944975872450251E-4</v>
      </c>
      <c r="C103">
        <f>SUM('Mass Balance'!E103:H103)</f>
        <v>1.4946690436814876E-4</v>
      </c>
      <c r="D103">
        <f>Concentrations!F103/Concentrations!E103</f>
        <v>1.0037984960831403</v>
      </c>
    </row>
    <row r="104" spans="1:4">
      <c r="A104">
        <f>'Mass Balance'!I104</f>
        <v>1.9950454493720525E-8</v>
      </c>
      <c r="B104">
        <f>'Mass Balance'!E104</f>
        <v>1.4656237810316164E-4</v>
      </c>
      <c r="C104">
        <f>SUM('Mass Balance'!E104:H104)</f>
        <v>1.4702533109225323E-4</v>
      </c>
      <c r="D104">
        <f>Concentrations!F104/Concentrations!E104</f>
        <v>1.0007525362272784</v>
      </c>
    </row>
    <row r="105" spans="1:4">
      <c r="A105">
        <f>'Mass Balance'!I105</f>
        <v>1.7749628953967651E-8</v>
      </c>
      <c r="B105">
        <f>'Mass Balance'!E105</f>
        <v>1.4970632713015334E-4</v>
      </c>
      <c r="C105">
        <f>SUM('Mass Balance'!E105:H105)</f>
        <v>1.4971145969530522E-4</v>
      </c>
      <c r="D105">
        <f>Concentrations!F105/Concentrations!E105</f>
        <v>1.0038792397804064</v>
      </c>
    </row>
    <row r="106" spans="1:4">
      <c r="A106">
        <f>'Mass Balance'!I106</f>
        <v>4.050653407603874E-8</v>
      </c>
      <c r="B106">
        <f>'Mass Balance'!E106</f>
        <v>1.3497808681865557E-4</v>
      </c>
      <c r="C106">
        <f>SUM('Mass Balance'!E106:H106)</f>
        <v>1.3994205026126403E-4</v>
      </c>
      <c r="D106">
        <f>Concentrations!F106/Concentrations!E106</f>
        <v>0.96830326910358999</v>
      </c>
    </row>
    <row r="107" spans="1:4">
      <c r="A107">
        <f>'Mass Balance'!I107</f>
        <v>4.4721477274525595E-7</v>
      </c>
      <c r="B107">
        <f>'Mass Balance'!E107</f>
        <v>2.2029872559110186E-6</v>
      </c>
      <c r="C107">
        <f>SUM('Mass Balance'!E107:H107)</f>
        <v>1.4118085625277349E-4</v>
      </c>
      <c r="D107">
        <f>Concentrations!F107/Concentrations!E107</f>
        <v>1.5665077058658022E-2</v>
      </c>
    </row>
    <row r="108" spans="1:4">
      <c r="A108">
        <f>'Mass Balance'!I108</f>
        <v>1.7835556760121263E-7</v>
      </c>
      <c r="B108">
        <f>'Mass Balance'!E108</f>
        <v>8.6454756829174386E-5</v>
      </c>
      <c r="C108">
        <f>SUM('Mass Balance'!E108:H108)</f>
        <v>1.2557774662157301E-4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0.86284850117999778</v>
      </c>
      <c r="M2" s="115">
        <v>2.6801590616491202</v>
      </c>
      <c r="N2" s="115">
        <v>59.042690847369279</v>
      </c>
      <c r="O2" s="115">
        <v>1.2599920045233979</v>
      </c>
      <c r="P2" s="115">
        <v>1.2932274708769551</v>
      </c>
      <c r="Q2" s="111">
        <v>1.2599920045233979</v>
      </c>
      <c r="R2" s="68">
        <v>1.2932274708769551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6.8860809787788554E-4</v>
      </c>
      <c r="M3" s="115">
        <v>114.28882464908121</v>
      </c>
      <c r="N3" s="115">
        <v>3799.1969478432179</v>
      </c>
      <c r="O3" s="115">
        <v>22.913233378502529</v>
      </c>
      <c r="P3" s="115">
        <v>9.8149193244378488</v>
      </c>
      <c r="Q3" s="111">
        <v>22.913233378502529</v>
      </c>
      <c r="R3" s="68">
        <v>9.8149193244378505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0.43895672915828343</v>
      </c>
      <c r="M4" s="115">
        <v>12.354176577986522</v>
      </c>
      <c r="N4" s="115">
        <v>375.2700936600076</v>
      </c>
      <c r="O4" s="115">
        <v>4.0446721692518501</v>
      </c>
      <c r="P4" s="115">
        <v>3.7890365185573249</v>
      </c>
      <c r="Q4" s="111">
        <v>4.0446721692518501</v>
      </c>
      <c r="R4" s="68">
        <v>3.7890365185573249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7.4331605829974527E-3</v>
      </c>
      <c r="M5" s="115">
        <v>34.434562618723675</v>
      </c>
      <c r="N5" s="115">
        <v>1117.6573062130776</v>
      </c>
      <c r="O5" s="115">
        <v>9.8444360376854707</v>
      </c>
      <c r="P5" s="115">
        <v>8.3009037494233375</v>
      </c>
      <c r="Q5" s="111">
        <v>9.8444360376854707</v>
      </c>
      <c r="R5" s="68">
        <v>8.3009037494233393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3.0613801779536562E-4</v>
      </c>
      <c r="M6" s="115">
        <v>131.75671580515271</v>
      </c>
      <c r="N6" s="115">
        <v>4407.3970461771796</v>
      </c>
      <c r="O6" s="115">
        <v>25.825553310946134</v>
      </c>
      <c r="P6" s="115">
        <v>10.230270806516792</v>
      </c>
      <c r="Q6" s="111">
        <v>25.825553310946134</v>
      </c>
      <c r="R6" s="68">
        <v>10.230270806516792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6.154880383101043E-4</v>
      </c>
      <c r="M7" s="115">
        <v>117.43842435804608</v>
      </c>
      <c r="N7" s="115">
        <v>3907.4833829443105</v>
      </c>
      <c r="O7" s="115">
        <v>23.446408261594922</v>
      </c>
      <c r="P7" s="115">
        <v>9.9052221013405823</v>
      </c>
      <c r="Q7" s="111">
        <v>23.446408261594922</v>
      </c>
      <c r="R7" s="68">
        <v>9.9052221013405823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1.3808481496999801E-3</v>
      </c>
      <c r="M8" s="115">
        <v>94.76394790939635</v>
      </c>
      <c r="N8" s="115">
        <v>3131.8378205572121</v>
      </c>
      <c r="O8" s="115">
        <v>19.702793013965113</v>
      </c>
      <c r="P8" s="115">
        <v>9.424580582570961</v>
      </c>
      <c r="Q8" s="111">
        <v>19.702793013965117</v>
      </c>
      <c r="R8" s="68">
        <v>9.424580582570961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6.830790905392907E-2</v>
      </c>
      <c r="M9" s="115">
        <v>21.918990869871607</v>
      </c>
      <c r="N9" s="115">
        <v>697.03177873528148</v>
      </c>
      <c r="O9" s="115">
        <v>7.3238360629407975</v>
      </c>
      <c r="P9" s="115">
        <v>7.1894344175121958</v>
      </c>
      <c r="Q9" s="111">
        <v>7.3238360629407975</v>
      </c>
      <c r="R9" s="68">
        <v>7.1894344175121958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6.9153320111088401E-3</v>
      </c>
      <c r="M10" s="115">
        <v>36.827971863853399</v>
      </c>
      <c r="N10" s="115">
        <v>1196.4815153236602</v>
      </c>
      <c r="O10" s="115">
        <v>10.23321943483321</v>
      </c>
      <c r="P10" s="115">
        <v>8.3419908436368129</v>
      </c>
      <c r="Q10" s="111">
        <v>10.23321943483321</v>
      </c>
      <c r="R10" s="68">
        <v>8.3419908436368129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6.1112052768190006E-3</v>
      </c>
      <c r="M11" s="115">
        <v>41.058329540761555</v>
      </c>
      <c r="N11" s="115">
        <v>1336.0299554617013</v>
      </c>
      <c r="O11" s="115">
        <v>10.919984698538023</v>
      </c>
      <c r="P11" s="115">
        <v>8.413702696303611</v>
      </c>
      <c r="Q11" s="111">
        <v>10.919984698538023</v>
      </c>
      <c r="R11" s="68">
        <v>8.413702696303611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4.2853063218396222E-2</v>
      </c>
      <c r="M12" s="115">
        <v>22.376683491835646</v>
      </c>
      <c r="N12" s="115">
        <v>714.68337161549118</v>
      </c>
      <c r="O12" s="115">
        <v>7.5841416108227513</v>
      </c>
      <c r="P12" s="115">
        <v>7.5405947016981001</v>
      </c>
      <c r="Q12" s="111">
        <v>7.5841416108227513</v>
      </c>
      <c r="R12" s="68">
        <v>7.5405947016981001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6.5390496615047478E-2</v>
      </c>
      <c r="M13" s="115">
        <v>21.978253489986457</v>
      </c>
      <c r="N13" s="115">
        <v>699.22224936387784</v>
      </c>
      <c r="O13" s="115">
        <v>7.3531734587895494</v>
      </c>
      <c r="P13" s="115">
        <v>7.2269269433588308</v>
      </c>
      <c r="Q13" s="111">
        <v>7.3531734587895494</v>
      </c>
      <c r="R13" s="68">
        <v>7.2269269433588317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4.0573663047592827E-3</v>
      </c>
      <c r="M14" s="115">
        <v>56.022027855660674</v>
      </c>
      <c r="N14" s="115">
        <v>1831.8181059763565</v>
      </c>
      <c r="O14" s="115">
        <v>13.356257663544744</v>
      </c>
      <c r="P14" s="115">
        <v>8.6786063217384832</v>
      </c>
      <c r="Q14" s="111">
        <v>13.356257663544746</v>
      </c>
      <c r="R14" s="68">
        <v>8.6786063217384832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6.5042315416698263E-3</v>
      </c>
      <c r="M15" s="115">
        <v>38.905865305259127</v>
      </c>
      <c r="N15" s="115">
        <v>1264.9901152584314</v>
      </c>
      <c r="O15" s="115">
        <v>10.570594656923037</v>
      </c>
      <c r="P15" s="115">
        <v>8.3773230108830479</v>
      </c>
      <c r="Q15" s="111">
        <v>10.570594656923037</v>
      </c>
      <c r="R15" s="68">
        <v>8.3773230108830496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1.4291581711380001E-3</v>
      </c>
      <c r="M16" s="115">
        <v>93.624992442740393</v>
      </c>
      <c r="N16" s="115">
        <v>3093.2452673031748</v>
      </c>
      <c r="O16" s="115">
        <v>19.514506936350323</v>
      </c>
      <c r="P16" s="115">
        <v>9.3997823423237303</v>
      </c>
      <c r="Q16" s="111">
        <v>19.514506936350323</v>
      </c>
      <c r="R16" s="68">
        <v>9.3997823423237303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7.257746988140289E-3</v>
      </c>
      <c r="M17" s="115">
        <v>35.221182073403284</v>
      </c>
      <c r="N17" s="115">
        <v>1143.5528489257845</v>
      </c>
      <c r="O17" s="115">
        <v>9.972364388365726</v>
      </c>
      <c r="P17" s="115">
        <v>8.3146882431120375</v>
      </c>
      <c r="Q17" s="111">
        <v>9.972364388365726</v>
      </c>
      <c r="R17" s="68">
        <v>8.3146882431120375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8.2689244416108226E-2</v>
      </c>
      <c r="M18" s="115">
        <v>21.540330842330171</v>
      </c>
      <c r="N18" s="115">
        <v>683.58922336007095</v>
      </c>
      <c r="O18" s="115">
        <v>7.1567573788051764</v>
      </c>
      <c r="P18" s="115">
        <v>6.9877821665519448</v>
      </c>
      <c r="Q18" s="111">
        <v>7.1567573788051764</v>
      </c>
      <c r="R18" s="68">
        <v>6.9877821665519448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6.4242458615872116E-3</v>
      </c>
      <c r="M19" s="115">
        <v>39.330749822703368</v>
      </c>
      <c r="N19" s="115">
        <v>1279.0070220889322</v>
      </c>
      <c r="O19" s="115">
        <v>10.639601912301973</v>
      </c>
      <c r="P19" s="115">
        <v>8.3845801317858886</v>
      </c>
      <c r="Q19" s="111">
        <v>10.639601912301973</v>
      </c>
      <c r="R19" s="68">
        <v>8.3845801317858886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6.539830091069497E-2</v>
      </c>
      <c r="M20" s="115">
        <v>21.980876574332505</v>
      </c>
      <c r="N20" s="115">
        <v>699.30570089643709</v>
      </c>
      <c r="O20" s="115">
        <v>7.3540510532809549</v>
      </c>
      <c r="P20" s="115">
        <v>7.2277894704446979</v>
      </c>
      <c r="Q20" s="111">
        <v>7.3540510532809549</v>
      </c>
      <c r="R20" s="68">
        <v>7.2277894704446979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4.5883257026055812E-3</v>
      </c>
      <c r="M21" s="115">
        <v>51.397465771916515</v>
      </c>
      <c r="N21" s="115">
        <v>1678.2459583060149</v>
      </c>
      <c r="O21" s="115">
        <v>12.601003336239378</v>
      </c>
      <c r="P21" s="115">
        <v>8.5927679407396997</v>
      </c>
      <c r="Q21" s="111">
        <v>12.601003336239378</v>
      </c>
      <c r="R21" s="68">
        <v>8.5927679407396997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0.67358447744109695</v>
      </c>
      <c r="M22" s="115">
        <v>6.6174832553698781</v>
      </c>
      <c r="N22" s="115">
        <v>187.4043179070774</v>
      </c>
      <c r="O22" s="115">
        <v>2.3489292056254878</v>
      </c>
      <c r="P22" s="115">
        <v>2.2339595461415369</v>
      </c>
      <c r="Q22" s="111">
        <v>2.3489292056254878</v>
      </c>
      <c r="R22" s="68">
        <v>2.2339595461415369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0.81240100524393288</v>
      </c>
      <c r="M23" s="115">
        <v>3.6558340593635696</v>
      </c>
      <c r="N23" s="115">
        <v>90.816253723093951</v>
      </c>
      <c r="O23" s="115">
        <v>1.522172833741319</v>
      </c>
      <c r="P23" s="115">
        <v>1.5136275124218321</v>
      </c>
      <c r="Q23" s="111">
        <v>1.5221728337413192</v>
      </c>
      <c r="R23" s="68">
        <v>1.5136275124218321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0.21257104986382436</v>
      </c>
      <c r="M24" s="115">
        <v>18.278453122204784</v>
      </c>
      <c r="N24" s="115">
        <v>571.74516194469925</v>
      </c>
      <c r="O24" s="115">
        <v>5.9398313860723206</v>
      </c>
      <c r="P24" s="115">
        <v>5.6495406451259562</v>
      </c>
      <c r="Q24" s="111">
        <v>5.9398313860723215</v>
      </c>
      <c r="R24" s="68">
        <v>5.6495406451259571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2.2764644893568955E-2</v>
      </c>
      <c r="M25" s="115">
        <v>22.244049607120221</v>
      </c>
      <c r="N25" s="115">
        <v>714.00521042587809</v>
      </c>
      <c r="O25" s="115">
        <v>7.6909702778753459</v>
      </c>
      <c r="P25" s="115">
        <v>7.774999898483741</v>
      </c>
      <c r="Q25" s="111">
        <v>7.6909702778753468</v>
      </c>
      <c r="R25" s="68">
        <v>7.774999898483741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4.971629264930698E-3</v>
      </c>
      <c r="M26" s="115">
        <v>48.443534867731479</v>
      </c>
      <c r="N26" s="115">
        <v>1580.3099385087787</v>
      </c>
      <c r="O26" s="115">
        <v>12.120226291042925</v>
      </c>
      <c r="P26" s="115">
        <v>8.5408065763161289</v>
      </c>
      <c r="Q26" s="111">
        <v>12.120226291042925</v>
      </c>
      <c r="R26" s="68">
        <v>8.5408065763161289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7.5780035031040199E-4</v>
      </c>
      <c r="M27" s="115">
        <v>111.97493501648297</v>
      </c>
      <c r="N27" s="115">
        <v>3719.4290834189355</v>
      </c>
      <c r="O27" s="115">
        <v>22.534032290951107</v>
      </c>
      <c r="P27" s="115">
        <v>9.7713568966558082</v>
      </c>
      <c r="Q27" s="111">
        <v>22.534032290951107</v>
      </c>
      <c r="R27" s="68">
        <v>9.7713568966558082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2.7379752599476959E-3</v>
      </c>
      <c r="M28" s="115">
        <v>70.800202098051955</v>
      </c>
      <c r="N28" s="115">
        <v>2324.7590271434378</v>
      </c>
      <c r="O28" s="115">
        <v>15.770416269691864</v>
      </c>
      <c r="P28" s="115">
        <v>8.9527550822572426</v>
      </c>
      <c r="Q28" s="111">
        <v>15.770416269691864</v>
      </c>
      <c r="R28" s="68">
        <v>8.9527550822572426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4.1330816734221117E-3</v>
      </c>
      <c r="M29" s="115">
        <v>53.224634298583105</v>
      </c>
      <c r="N29" s="115">
        <v>1739.5351017700041</v>
      </c>
      <c r="O29" s="115">
        <v>12.803985571070095</v>
      </c>
      <c r="P29" s="115">
        <v>8.4534538043156076</v>
      </c>
      <c r="Q29" s="111">
        <v>12.803985571070095</v>
      </c>
      <c r="R29" s="68">
        <v>8.4534538043156076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2.7379752599476959E-3</v>
      </c>
      <c r="M30" s="115">
        <v>70.800202098051955</v>
      </c>
      <c r="N30" s="115">
        <v>2324.7590271434378</v>
      </c>
      <c r="O30" s="115">
        <v>15.770416269691864</v>
      </c>
      <c r="P30" s="115">
        <v>8.9527550822572426</v>
      </c>
      <c r="Q30" s="111">
        <v>15.770416269691864</v>
      </c>
      <c r="R30" s="68">
        <v>8.9527550822572426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0.98635177671029683</v>
      </c>
      <c r="M31" s="115">
        <v>0.91621628165673963</v>
      </c>
      <c r="N31" s="115">
        <v>1.1558099084936615</v>
      </c>
      <c r="O31" s="115">
        <v>0.82472759842811005</v>
      </c>
      <c r="P31" s="115">
        <v>0.95452637998029755</v>
      </c>
      <c r="Q31" s="111">
        <v>0.82472759842811016</v>
      </c>
      <c r="R31" s="68">
        <v>0.95452637998029766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0.5386490200020575</v>
      </c>
      <c r="M32" s="115">
        <v>10.069979060023671</v>
      </c>
      <c r="N32" s="115">
        <v>298.30841594756453</v>
      </c>
      <c r="O32" s="115">
        <v>3.0546059871612066</v>
      </c>
      <c r="P32" s="115">
        <v>2.8058534180496726</v>
      </c>
      <c r="Q32" s="111">
        <v>3.0546059871612066</v>
      </c>
      <c r="R32" s="68">
        <v>2.8058534180496726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0.99286059453086994</v>
      </c>
      <c r="M33" s="115">
        <v>0.88966086423543733</v>
      </c>
      <c r="N33" s="115">
        <v>0.59131089996530917</v>
      </c>
      <c r="O33" s="115">
        <v>0.84218122011448726</v>
      </c>
      <c r="P33" s="115">
        <v>0.99004784700366999</v>
      </c>
      <c r="Q33" s="111">
        <v>0.84218122011448726</v>
      </c>
      <c r="R33" s="68">
        <v>0.99004784700366999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0.55026400635101069</v>
      </c>
      <c r="M34" s="115">
        <v>0.94448034034890793</v>
      </c>
      <c r="N34" s="115">
        <v>45.021153895091253</v>
      </c>
      <c r="O34" s="115">
        <v>2.6273099561552002</v>
      </c>
      <c r="P34" s="115">
        <v>4.2951701051785207</v>
      </c>
      <c r="Q34" s="111">
        <v>2.6273099561552002</v>
      </c>
      <c r="R34" s="68">
        <v>4.2951701051785216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0.32686829937378381</v>
      </c>
      <c r="M35" s="115">
        <v>0.94529038481692684</v>
      </c>
      <c r="N35" s="115">
        <v>63.717938179141804</v>
      </c>
      <c r="O35" s="115">
        <v>3.5083509903152055</v>
      </c>
      <c r="P35" s="115">
        <v>5.9382950754631478</v>
      </c>
      <c r="Q35" s="111">
        <v>3.5083509903152059</v>
      </c>
      <c r="R35" s="68">
        <v>5.9382950754631478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0.10936031912148096</v>
      </c>
      <c r="M36" s="115">
        <v>0.90562275080100796</v>
      </c>
      <c r="N36" s="115">
        <v>77.429052804178724</v>
      </c>
      <c r="O36" s="115">
        <v>4.349802866482678</v>
      </c>
      <c r="P36" s="115">
        <v>7.5241625601489153</v>
      </c>
      <c r="Q36" s="111">
        <v>4.349802866482678</v>
      </c>
      <c r="R36" s="68">
        <v>7.5241625601489162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0.21763567186456556</v>
      </c>
      <c r="M37" s="115">
        <v>4.7624322161654433</v>
      </c>
      <c r="N37" s="115">
        <v>182.34427891137994</v>
      </c>
      <c r="O37" s="115">
        <v>4.2739618209711114</v>
      </c>
      <c r="P37" s="115">
        <v>6.3854255616706412</v>
      </c>
      <c r="Q37" s="111">
        <v>4.2739618209711114</v>
      </c>
      <c r="R37" s="68">
        <v>6.3854255616706412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0.61610890260054529</v>
      </c>
      <c r="M38" s="115">
        <v>0.98740873331356049</v>
      </c>
      <c r="N38" s="115">
        <v>40.352444281349406</v>
      </c>
      <c r="O38" s="115">
        <v>2.3675256199900834</v>
      </c>
      <c r="P38" s="115">
        <v>3.8003648361396034</v>
      </c>
      <c r="Q38" s="111">
        <v>2.3675256199900834</v>
      </c>
      <c r="R38" s="68">
        <v>3.8003648361396034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1.1065491936178179E-2</v>
      </c>
      <c r="M39" s="115">
        <v>22.733439154928778</v>
      </c>
      <c r="N39" s="115">
        <v>733.70052953209665</v>
      </c>
      <c r="O39" s="115">
        <v>7.9497939901796135</v>
      </c>
      <c r="P39" s="115">
        <v>8.1098963659469003</v>
      </c>
      <c r="Q39" s="111">
        <v>7.9497939901796135</v>
      </c>
      <c r="R39" s="68">
        <v>8.1098963659469003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1.0226165700530797E-3</v>
      </c>
      <c r="M40" s="115">
        <v>64.256954867240495</v>
      </c>
      <c r="N40" s="115">
        <v>5638.3131869494573</v>
      </c>
      <c r="O40" s="115">
        <v>19.900753282275982</v>
      </c>
      <c r="P40" s="115">
        <v>13.049793282383121</v>
      </c>
      <c r="Q40" s="111">
        <v>19.900753282275982</v>
      </c>
      <c r="R40" s="68">
        <v>13.049793282383122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0.93019407808633525</v>
      </c>
      <c r="M41" s="115">
        <v>0.83009962423341699</v>
      </c>
      <c r="N41" s="115">
        <v>6.5812938914213484E-2</v>
      </c>
      <c r="O41" s="115">
        <v>0.76899202404918743</v>
      </c>
      <c r="P41" s="115">
        <v>0.89357329953558318</v>
      </c>
      <c r="Q41" s="111">
        <v>0.76899202404918743</v>
      </c>
      <c r="R41" s="68">
        <v>0.89357329953558329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0.63477977337534819</v>
      </c>
      <c r="M42" s="115">
        <v>7.5553621683639642</v>
      </c>
      <c r="N42" s="115">
        <v>217.97820811802507</v>
      </c>
      <c r="O42" s="115">
        <v>2.619187724508985</v>
      </c>
      <c r="P42" s="115">
        <v>2.4757812200393494</v>
      </c>
      <c r="Q42" s="111">
        <v>2.619187724508985</v>
      </c>
      <c r="R42" s="68">
        <v>2.4757812200393494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8.9268645416709785E-3</v>
      </c>
      <c r="M43" s="115">
        <v>1.7615295359641483</v>
      </c>
      <c r="N43" s="115">
        <v>164.62730641549763</v>
      </c>
      <c r="O43" s="115">
        <v>4.9540508985589575</v>
      </c>
      <c r="P43" s="115">
        <v>8.3263755357626668</v>
      </c>
      <c r="Q43" s="111">
        <v>4.9540508985589575</v>
      </c>
      <c r="R43" s="68">
        <v>8.3263755357626668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0.83964319833297629</v>
      </c>
      <c r="M44" s="115">
        <v>1.7882353755904565</v>
      </c>
      <c r="N44" s="115">
        <v>32.034406139220707</v>
      </c>
      <c r="O44" s="115">
        <v>0.98660881745379925</v>
      </c>
      <c r="P44" s="115">
        <v>1.0506274259140074</v>
      </c>
      <c r="Q44" s="111">
        <v>0.98660881745379936</v>
      </c>
      <c r="R44" s="68">
        <v>1.0506274259140076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0.59661698059039137</v>
      </c>
      <c r="M45" s="115">
        <v>8.4433146832642088</v>
      </c>
      <c r="N45" s="115">
        <v>247.02274306504563</v>
      </c>
      <c r="O45" s="115">
        <v>2.876815600477082</v>
      </c>
      <c r="P45" s="115">
        <v>2.7082865059141175</v>
      </c>
      <c r="Q45" s="111">
        <v>2.8768156004770824</v>
      </c>
      <c r="R45" s="68">
        <v>2.7082865059141179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0.61966101683805752</v>
      </c>
      <c r="M46" s="115">
        <v>7.8680593403197889</v>
      </c>
      <c r="N46" s="115">
        <v>228.25113111868259</v>
      </c>
      <c r="O46" s="115">
        <v>2.7088899577678913</v>
      </c>
      <c r="P46" s="115">
        <v>2.5562938063160501</v>
      </c>
      <c r="Q46" s="111">
        <v>2.7088899577678913</v>
      </c>
      <c r="R46" s="68">
        <v>2.5562938063160501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6.906295263315144E-4</v>
      </c>
      <c r="M47" s="115">
        <v>114.62432271073544</v>
      </c>
      <c r="N47" s="115">
        <v>3810.3495974199177</v>
      </c>
      <c r="O47" s="115">
        <v>22.980495820025766</v>
      </c>
      <c r="P47" s="115">
        <v>9.8437312963760704</v>
      </c>
      <c r="Q47" s="111">
        <v>22.980495820025769</v>
      </c>
      <c r="R47" s="68">
        <v>9.8437312963760704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0.94614966554789093</v>
      </c>
      <c r="M48" s="115">
        <v>1.1924931089629076</v>
      </c>
      <c r="N48" s="115">
        <v>10.710042347429637</v>
      </c>
      <c r="O48" s="115">
        <v>0.87700347581317961</v>
      </c>
      <c r="P48" s="115">
        <v>0.98511102869992007</v>
      </c>
      <c r="Q48" s="111">
        <v>0.87700347581317961</v>
      </c>
      <c r="R48" s="68">
        <v>0.98511102869992007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0.91943206894181428</v>
      </c>
      <c r="M49" s="115">
        <v>1.4270040642150306</v>
      </c>
      <c r="N49" s="115">
        <v>18.666471294699296</v>
      </c>
      <c r="O49" s="115">
        <v>0.92787471995381132</v>
      </c>
      <c r="P49" s="115">
        <v>1.0205319579987562</v>
      </c>
      <c r="Q49" s="111">
        <v>0.92787471995381132</v>
      </c>
      <c r="R49" s="68">
        <v>1.0205319579987562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8.7836407431618038E-2</v>
      </c>
      <c r="M50" s="115">
        <v>21.345664276225605</v>
      </c>
      <c r="N50" s="115">
        <v>676.92779962602867</v>
      </c>
      <c r="O50" s="115">
        <v>7.0792647928143939</v>
      </c>
      <c r="P50" s="115">
        <v>6.8998835294336702</v>
      </c>
      <c r="Q50" s="111">
        <v>7.0792647928143939</v>
      </c>
      <c r="R50" s="68">
        <v>6.8998835294336702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0.93050339178972152</v>
      </c>
      <c r="M51" s="115">
        <v>0.8913543604836226</v>
      </c>
      <c r="N51" s="115">
        <v>1.9113950183721549</v>
      </c>
      <c r="O51" s="115">
        <v>0.78519803982304248</v>
      </c>
      <c r="P51" s="115">
        <v>0.90605996946592904</v>
      </c>
      <c r="Q51" s="111">
        <v>0.78519803982304248</v>
      </c>
      <c r="R51" s="68">
        <v>0.90605996946592904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0.81281633132999442</v>
      </c>
      <c r="M52" s="115">
        <v>2.4833788613180294</v>
      </c>
      <c r="N52" s="115">
        <v>54.334368283888693</v>
      </c>
      <c r="O52" s="115">
        <v>1.174758170901369</v>
      </c>
      <c r="P52" s="115">
        <v>1.2075974781827012</v>
      </c>
      <c r="Q52" s="111">
        <v>1.1747581709013692</v>
      </c>
      <c r="R52" s="68">
        <v>1.2075974781827015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0.46925319239075763</v>
      </c>
      <c r="M53" s="115">
        <v>11.542537525047072</v>
      </c>
      <c r="N53" s="115">
        <v>348.64348475910822</v>
      </c>
      <c r="O53" s="115">
        <v>3.7974038283427993</v>
      </c>
      <c r="P53" s="115">
        <v>3.5566167876459582</v>
      </c>
      <c r="Q53" s="111">
        <v>3.7974038283427993</v>
      </c>
      <c r="R53" s="68">
        <v>3.5566167876459587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9.6668248914669695E-4</v>
      </c>
      <c r="M54" s="115">
        <v>105.59418965791113</v>
      </c>
      <c r="N54" s="115">
        <v>3500.4993986943437</v>
      </c>
      <c r="O54" s="115">
        <v>21.487486356088937</v>
      </c>
      <c r="P54" s="115">
        <v>9.6490497530776089</v>
      </c>
      <c r="Q54" s="111">
        <v>21.487486356088937</v>
      </c>
      <c r="R54" s="68">
        <v>9.6490497530776089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0.16683927294793052</v>
      </c>
      <c r="M55" s="115">
        <v>16.470153066054955</v>
      </c>
      <c r="N55" s="115">
        <v>516.35884413856797</v>
      </c>
      <c r="O55" s="115">
        <v>5.3615366312457207</v>
      </c>
      <c r="P55" s="115">
        <v>5.1144204059379348</v>
      </c>
      <c r="Q55" s="111">
        <v>5.3615366312457216</v>
      </c>
      <c r="R55" s="68">
        <v>5.1144204059379348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1.9654092477398299E-2</v>
      </c>
      <c r="M56" s="115">
        <v>9.5729211785798949</v>
      </c>
      <c r="N56" s="115">
        <v>305.56677670221922</v>
      </c>
      <c r="O56" s="115">
        <v>3.2377006324891684</v>
      </c>
      <c r="P56" s="115">
        <v>3.2132023348601213</v>
      </c>
      <c r="Q56" s="111">
        <v>3.2377006324891688</v>
      </c>
      <c r="R56" s="68">
        <v>3.2132023348601217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3.6892296222218006E-2</v>
      </c>
      <c r="M57" s="115">
        <v>4.914778992908448</v>
      </c>
      <c r="N57" s="115">
        <v>154.7602053603303</v>
      </c>
      <c r="O57" s="115">
        <v>1.6079047355809764</v>
      </c>
      <c r="P57" s="115">
        <v>1.544209067879571</v>
      </c>
      <c r="Q57" s="111">
        <v>1.6079047355809764</v>
      </c>
      <c r="R57" s="68">
        <v>1.5442090678795712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7.5006367980902239E-2</v>
      </c>
      <c r="M58" s="115">
        <v>0.12940176854191038</v>
      </c>
      <c r="N58" s="115">
        <v>1.9236008645348033</v>
      </c>
      <c r="O58" s="115">
        <v>7.9399303935863849E-2</v>
      </c>
      <c r="P58" s="115">
        <v>8.638829149567781E-2</v>
      </c>
      <c r="Q58" s="111">
        <v>7.9399303935863849E-2</v>
      </c>
      <c r="R58" s="68">
        <v>8.638829149567781E-2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1.5340154737543086E-2</v>
      </c>
      <c r="M59" s="115">
        <v>1.9069203509062498</v>
      </c>
      <c r="N59" s="115">
        <v>59.989530470001171</v>
      </c>
      <c r="O59" s="115">
        <v>0.62306369053646504</v>
      </c>
      <c r="P59" s="115">
        <v>0.59742031122267358</v>
      </c>
      <c r="Q59" s="111">
        <v>0.62306369053646504</v>
      </c>
      <c r="R59" s="68">
        <v>0.59742031122267358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5.7688556315767931E-4</v>
      </c>
      <c r="M60" s="115">
        <v>3.3584693380127928E-2</v>
      </c>
      <c r="N60" s="115">
        <v>1.0425211706577289</v>
      </c>
      <c r="O60" s="115">
        <v>1.0886802037358574E-2</v>
      </c>
      <c r="P60" s="115">
        <v>1.0279161663004483E-2</v>
      </c>
      <c r="Q60" s="111">
        <v>1.0886802037358574E-2</v>
      </c>
      <c r="R60" s="68">
        <v>1.0279161663004483E-2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0.35263570065190314</v>
      </c>
      <c r="M61" s="115">
        <v>14.580297366956589</v>
      </c>
      <c r="N61" s="115">
        <v>448.68385923609077</v>
      </c>
      <c r="O61" s="115">
        <v>4.7346386819898685</v>
      </c>
      <c r="P61" s="115">
        <v>4.44860106916832</v>
      </c>
      <c r="Q61" s="111">
        <v>4.7346386819898685</v>
      </c>
      <c r="R61" s="68">
        <v>4.44860106916832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4.1716257277919656E-3</v>
      </c>
      <c r="M62" s="115">
        <v>54.98395615283868</v>
      </c>
      <c r="N62" s="115">
        <v>1797.3149485895324</v>
      </c>
      <c r="O62" s="115">
        <v>13.187155449459862</v>
      </c>
      <c r="P62" s="115">
        <v>8.6601355180681132</v>
      </c>
      <c r="Q62" s="111">
        <v>13.187155449459862</v>
      </c>
      <c r="R62" s="68">
        <v>8.6601355180681132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3.753407433271887E-4</v>
      </c>
      <c r="M63" s="115">
        <v>128.04058524688466</v>
      </c>
      <c r="N63" s="115">
        <v>4276.5566231384364</v>
      </c>
      <c r="O63" s="115">
        <v>25.206517384308537</v>
      </c>
      <c r="P63" s="115">
        <v>10.143722500013686</v>
      </c>
      <c r="Q63" s="111">
        <v>25.20651738430854</v>
      </c>
      <c r="R63" s="68">
        <v>10.143722500013686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1.2899690523947372E-4</v>
      </c>
      <c r="M64" s="115">
        <v>143.96871563368506</v>
      </c>
      <c r="N64" s="115">
        <v>4846.0667167199217</v>
      </c>
      <c r="O64" s="115">
        <v>27.870596899183081</v>
      </c>
      <c r="P64" s="115">
        <v>10.529112679607168</v>
      </c>
      <c r="Q64" s="111">
        <v>27.870596899183084</v>
      </c>
      <c r="R64" s="68">
        <v>10.529112679607168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3.5962475399937053E-5</v>
      </c>
      <c r="M65" s="115">
        <v>154.51707499776964</v>
      </c>
      <c r="N65" s="115">
        <v>5247.0916028316333</v>
      </c>
      <c r="O65" s="115">
        <v>29.661485522243609</v>
      </c>
      <c r="P65" s="115">
        <v>10.818662678912586</v>
      </c>
      <c r="Q65" s="111">
        <v>29.661485522243609</v>
      </c>
      <c r="R65" s="68">
        <v>10.818662678912586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7.4833671357063251E-5</v>
      </c>
      <c r="M66" s="115">
        <v>149.32334750634323</v>
      </c>
      <c r="N66" s="115">
        <v>5045.4289685622343</v>
      </c>
      <c r="O66" s="115">
        <v>28.775328535873211</v>
      </c>
      <c r="P66" s="115">
        <v>10.670622212395504</v>
      </c>
      <c r="Q66" s="111">
        <v>28.775328535873214</v>
      </c>
      <c r="R66" s="68">
        <v>10.670622212395505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0.89023147961383076</v>
      </c>
      <c r="M67" s="115">
        <v>2.1214274193222229</v>
      </c>
      <c r="N67" s="115">
        <v>40.94558074721531</v>
      </c>
      <c r="O67" s="115">
        <v>1.1114886241980486</v>
      </c>
      <c r="P67" s="115">
        <v>1.1703291523545014</v>
      </c>
      <c r="Q67" s="111">
        <v>1.1114886241980486</v>
      </c>
      <c r="R67" s="68">
        <v>1.1703291523545016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0.83572666112741789</v>
      </c>
      <c r="M68" s="115">
        <v>3.0266901365265539</v>
      </c>
      <c r="N68" s="115">
        <v>70.574039735991235</v>
      </c>
      <c r="O68" s="115">
        <v>1.3475782989602791</v>
      </c>
      <c r="P68" s="115">
        <v>1.3641679075791082</v>
      </c>
      <c r="Q68" s="111">
        <v>1.3475782989602794</v>
      </c>
      <c r="R68" s="68">
        <v>1.3641679075791082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1.503710835018742E-3</v>
      </c>
      <c r="M69" s="115">
        <v>91.874989865691816</v>
      </c>
      <c r="N69" s="115">
        <v>3034.0271789523904</v>
      </c>
      <c r="O69" s="115">
        <v>19.223845788384391</v>
      </c>
      <c r="P69" s="115">
        <v>9.3591686846205313</v>
      </c>
      <c r="Q69" s="111">
        <v>19.223845788384391</v>
      </c>
      <c r="R69" s="68">
        <v>9.3591686846205313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2.8306321253618899E-2</v>
      </c>
      <c r="M70" s="115">
        <v>22.443982943700931</v>
      </c>
      <c r="N70" s="115">
        <v>719.26277663630481</v>
      </c>
      <c r="O70" s="115">
        <v>7.707469042939362</v>
      </c>
      <c r="P70" s="115">
        <v>7.7485357047112471</v>
      </c>
      <c r="Q70" s="111">
        <v>7.7074690429393629</v>
      </c>
      <c r="R70" s="68">
        <v>7.7485357047112471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0.83394768594001234</v>
      </c>
      <c r="M71" s="115">
        <v>2.8180680962934197</v>
      </c>
      <c r="N71" s="115">
        <v>64.138510933256882</v>
      </c>
      <c r="O71" s="115">
        <v>1.2849193276446582</v>
      </c>
      <c r="P71" s="115">
        <v>1.3087221061689229</v>
      </c>
      <c r="Q71" s="111">
        <v>1.2849193276446584</v>
      </c>
      <c r="R71" s="68">
        <v>1.3087221061689229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3.2968700107041567E-2</v>
      </c>
      <c r="M72" s="115">
        <v>22.220832669497899</v>
      </c>
      <c r="N72" s="115">
        <v>711.19532319836844</v>
      </c>
      <c r="O72" s="115">
        <v>7.591352591083866</v>
      </c>
      <c r="P72" s="115">
        <v>7.5989509145860739</v>
      </c>
      <c r="Q72" s="111">
        <v>7.591352591083866</v>
      </c>
      <c r="R72" s="68">
        <v>7.5989509145860739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0.32427386704294286</v>
      </c>
      <c r="M73" s="115">
        <v>15.02389301242061</v>
      </c>
      <c r="N73" s="115">
        <v>463.7877626544448</v>
      </c>
      <c r="O73" s="115">
        <v>4.8734509745204644</v>
      </c>
      <c r="P73" s="115">
        <v>4.585567470565401</v>
      </c>
      <c r="Q73" s="111">
        <v>4.8734509745204644</v>
      </c>
      <c r="R73" s="68">
        <v>4.5855674705654019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2.9601364221103991E-2</v>
      </c>
      <c r="M74" s="115">
        <v>22.406156408725213</v>
      </c>
      <c r="N74" s="115">
        <v>717.78884717902451</v>
      </c>
      <c r="O74" s="115">
        <v>7.6830066492822269</v>
      </c>
      <c r="P74" s="115">
        <v>7.7144244080084023</v>
      </c>
      <c r="Q74" s="111">
        <v>7.6830066492822278</v>
      </c>
      <c r="R74" s="68">
        <v>7.7144244080084023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4.3748945105687208E-3</v>
      </c>
      <c r="M75" s="115">
        <v>5.5969399187378412</v>
      </c>
      <c r="N75" s="115">
        <v>549.92437525786886</v>
      </c>
      <c r="O75" s="115">
        <v>5.9828800440350749</v>
      </c>
      <c r="P75" s="115">
        <v>8.7295238136563658</v>
      </c>
      <c r="Q75" s="111">
        <v>5.9828800440350749</v>
      </c>
      <c r="R75" s="68">
        <v>8.7295238136563658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4.3748945123943516E-3</v>
      </c>
      <c r="M76" s="115">
        <v>5.5969399210734272</v>
      </c>
      <c r="N76" s="115">
        <v>549.92437548735063</v>
      </c>
      <c r="O76" s="115">
        <v>5.9828800465317116</v>
      </c>
      <c r="P76" s="115">
        <v>8.7295238172991692</v>
      </c>
      <c r="Q76" s="111">
        <v>5.9828800465317125</v>
      </c>
      <c r="R76" s="68">
        <v>8.7295238172991692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0.12020730015794484</v>
      </c>
      <c r="M77" s="115">
        <v>20.175014281494917</v>
      </c>
      <c r="N77" s="115">
        <v>637.15910161699719</v>
      </c>
      <c r="O77" s="115">
        <v>6.6318555484932196</v>
      </c>
      <c r="P77" s="115">
        <v>6.4044072160719558</v>
      </c>
      <c r="Q77" s="111">
        <v>6.6318555484932196</v>
      </c>
      <c r="R77" s="68">
        <v>6.4044072160719558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0.63252053394271546</v>
      </c>
      <c r="M78" s="115">
        <v>6.9102525544452069</v>
      </c>
      <c r="N78" s="115">
        <v>197.80650606304951</v>
      </c>
      <c r="O78" s="115">
        <v>2.4194747140495365</v>
      </c>
      <c r="P78" s="115">
        <v>2.2927626539216912</v>
      </c>
      <c r="Q78" s="111">
        <v>2.4194747140495365</v>
      </c>
      <c r="R78" s="68">
        <v>2.2927626539216912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0.45628993539869295</v>
      </c>
      <c r="M79" s="115">
        <v>11.738250856062308</v>
      </c>
      <c r="N79" s="115">
        <v>355.2475071186866</v>
      </c>
      <c r="O79" s="115">
        <v>3.8550227360446137</v>
      </c>
      <c r="P79" s="115">
        <v>3.6106496174474918</v>
      </c>
      <c r="Q79" s="111">
        <v>3.8550227360446141</v>
      </c>
      <c r="R79" s="68">
        <v>3.6106496174474922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2.9642508280009914E-3</v>
      </c>
      <c r="M80" s="115">
        <v>10.86092798093417</v>
      </c>
      <c r="N80" s="115">
        <v>1067.6936446905802</v>
      </c>
      <c r="O80" s="115">
        <v>7.3546669608306399</v>
      </c>
      <c r="P80" s="115">
        <v>9.2281996095068717</v>
      </c>
      <c r="Q80" s="111">
        <v>7.3546669608306408</v>
      </c>
      <c r="R80" s="68">
        <v>9.2281996095068717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0.98357087854598113</v>
      </c>
      <c r="M81" s="115">
        <v>0.93216105886858069</v>
      </c>
      <c r="N81" s="115">
        <v>1.7152978746262479</v>
      </c>
      <c r="O81" s="115">
        <v>0.82730677781525808</v>
      </c>
      <c r="P81" s="115">
        <v>0.95564217153627551</v>
      </c>
      <c r="Q81" s="111">
        <v>0.82730677781525808</v>
      </c>
      <c r="R81" s="68">
        <v>0.95564217153627551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0.81786809433417673</v>
      </c>
      <c r="M82" s="115">
        <v>3.5463705049880114</v>
      </c>
      <c r="N82" s="115">
        <v>87.251565222437449</v>
      </c>
      <c r="O82" s="115">
        <v>1.492423639503752</v>
      </c>
      <c r="P82" s="115">
        <v>1.4883568893459909</v>
      </c>
      <c r="Q82" s="111">
        <v>1.492423639503752</v>
      </c>
      <c r="R82" s="68">
        <v>1.4883568893459909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0.15250714619893785</v>
      </c>
      <c r="M83" s="115">
        <v>19.853407650626046</v>
      </c>
      <c r="N83" s="115">
        <v>624.96327967065656</v>
      </c>
      <c r="O83" s="115">
        <v>6.4923574209801638</v>
      </c>
      <c r="P83" s="115">
        <v>6.2318107740434527</v>
      </c>
      <c r="Q83" s="111">
        <v>6.4923574209801647</v>
      </c>
      <c r="R83" s="68">
        <v>6.2318107740434527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0.96516527336155877</v>
      </c>
      <c r="M84" s="115">
        <v>1.0915699639755543</v>
      </c>
      <c r="N84" s="115">
        <v>7.0900295617052951</v>
      </c>
      <c r="O84" s="115">
        <v>0.85992866359112308</v>
      </c>
      <c r="P84" s="115">
        <v>0.9763680982151407</v>
      </c>
      <c r="Q84" s="111">
        <v>0.85992866359112319</v>
      </c>
      <c r="R84" s="68">
        <v>0.9763680982151407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0.99166697577115359</v>
      </c>
      <c r="M85" s="115">
        <v>0.89424160392261276</v>
      </c>
      <c r="N85" s="115">
        <v>0.34837080147642069</v>
      </c>
      <c r="O85" s="115">
        <v>0.8221620632346025</v>
      </c>
      <c r="P85" s="115">
        <v>0.95434280175094033</v>
      </c>
      <c r="Q85" s="111">
        <v>0.8221620632346025</v>
      </c>
      <c r="R85" s="68">
        <v>0.95434280175094033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0.966069268916808</v>
      </c>
      <c r="M86" s="115">
        <v>1.0820226113124547</v>
      </c>
      <c r="N86" s="115">
        <v>6.7725347853297109</v>
      </c>
      <c r="O86" s="115">
        <v>0.85781823222135589</v>
      </c>
      <c r="P86" s="115">
        <v>0.9749035060464798</v>
      </c>
      <c r="Q86" s="111">
        <v>0.857818232221356</v>
      </c>
      <c r="R86" s="68">
        <v>0.97490350604647991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5.4775621857496655E-4</v>
      </c>
      <c r="M87" s="115">
        <v>120.15368554395765</v>
      </c>
      <c r="N87" s="115">
        <v>4001.4986928384706</v>
      </c>
      <c r="O87" s="115">
        <v>23.896516126185784</v>
      </c>
      <c r="P87" s="115">
        <v>9.9653958011573227</v>
      </c>
      <c r="Q87" s="111">
        <v>23.896516126185784</v>
      </c>
      <c r="R87" s="68">
        <v>9.9653958011573227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0.71186926515454385</v>
      </c>
      <c r="M88" s="115">
        <v>5.7934532859135794</v>
      </c>
      <c r="N88" s="115">
        <v>160.46918338642297</v>
      </c>
      <c r="O88" s="115">
        <v>2.1157022821286069</v>
      </c>
      <c r="P88" s="115">
        <v>2.0279032414760079</v>
      </c>
      <c r="Q88" s="111">
        <v>2.1157022821286069</v>
      </c>
      <c r="R88" s="68">
        <v>2.0279032414760079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0.80108220830101273</v>
      </c>
      <c r="M89" s="115">
        <v>3.8865633942769842</v>
      </c>
      <c r="N89" s="115">
        <v>98.328152572265992</v>
      </c>
      <c r="O89" s="115">
        <v>1.5851578626248863</v>
      </c>
      <c r="P89" s="115">
        <v>1.5673354737084377</v>
      </c>
      <c r="Q89" s="111">
        <v>1.5851578626248866</v>
      </c>
      <c r="R89" s="68">
        <v>1.567335473708438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0.92555449614982976</v>
      </c>
      <c r="M90" s="115">
        <v>1.6149475090398708</v>
      </c>
      <c r="N90" s="115">
        <v>24.297753470991811</v>
      </c>
      <c r="O90" s="115">
        <v>0.98496301017648236</v>
      </c>
      <c r="P90" s="115">
        <v>1.0704215078510708</v>
      </c>
      <c r="Q90" s="111">
        <v>0.98496301017648236</v>
      </c>
      <c r="R90" s="68">
        <v>1.0704215078510708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3.6247064512483955E-3</v>
      </c>
      <c r="M91" s="115">
        <v>60.27317462359089</v>
      </c>
      <c r="N91" s="115">
        <v>1973.2771712687397</v>
      </c>
      <c r="O91" s="115">
        <v>14.050158226791231</v>
      </c>
      <c r="P91" s="115">
        <v>8.7566590717403265</v>
      </c>
      <c r="Q91" s="111">
        <v>14.050158226791231</v>
      </c>
      <c r="R91" s="68">
        <v>8.7566590717403265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0.21634299587115105</v>
      </c>
      <c r="M92" s="115">
        <v>18.179932780553191</v>
      </c>
      <c r="N92" s="115">
        <v>568.43668992780988</v>
      </c>
      <c r="O92" s="115">
        <v>5.9063317066276264</v>
      </c>
      <c r="P92" s="115">
        <v>5.6150277530877828</v>
      </c>
      <c r="Q92" s="111">
        <v>5.9063317066276264</v>
      </c>
      <c r="R92" s="68">
        <v>5.6150277530877828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4.3826700147406951E-2</v>
      </c>
      <c r="M93" s="115">
        <v>22.360323552358544</v>
      </c>
      <c r="N93" s="115">
        <v>714.02105819921053</v>
      </c>
      <c r="O93" s="115">
        <v>7.5732364520403648</v>
      </c>
      <c r="P93" s="115">
        <v>7.5251401786871019</v>
      </c>
      <c r="Q93" s="111">
        <v>7.5732364520403648</v>
      </c>
      <c r="R93" s="68">
        <v>7.5251401786871028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0.89401322502471603</v>
      </c>
      <c r="M94" s="115">
        <v>0.91543052663770608</v>
      </c>
      <c r="N94" s="115">
        <v>11.879583780226046</v>
      </c>
      <c r="O94" s="115">
        <v>1.2475392998306718</v>
      </c>
      <c r="P94" s="115">
        <v>1.7354176276831859</v>
      </c>
      <c r="Q94" s="111">
        <v>1.2475392998306718</v>
      </c>
      <c r="R94" s="68">
        <v>1.7354176276831859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8.4595112560980328E-3</v>
      </c>
      <c r="M95" s="115">
        <v>30.351096772180057</v>
      </c>
      <c r="N95" s="115">
        <v>983.38697405472919</v>
      </c>
      <c r="O95" s="115">
        <v>9.1828551976920743</v>
      </c>
      <c r="P95" s="115">
        <v>8.2337784874322573</v>
      </c>
      <c r="Q95" s="111">
        <v>9.1828551976920743</v>
      </c>
      <c r="R95" s="68">
        <v>8.233778487432259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0.98300621518017994</v>
      </c>
      <c r="M96" s="115">
        <v>0.93572248179320705</v>
      </c>
      <c r="N96" s="115">
        <v>1.8389137179960355</v>
      </c>
      <c r="O96" s="115">
        <v>0.82792200076441669</v>
      </c>
      <c r="P96" s="115">
        <v>0.95594554119575714</v>
      </c>
      <c r="Q96" s="111">
        <v>0.82792200076441669</v>
      </c>
      <c r="R96" s="68">
        <v>0.95594554119575725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0.96470270344454045</v>
      </c>
      <c r="M97" s="115">
        <v>1.0965110063157779</v>
      </c>
      <c r="N97" s="115">
        <v>7.2542308812180858</v>
      </c>
      <c r="O97" s="115">
        <v>0.86102539293554747</v>
      </c>
      <c r="P97" s="115">
        <v>0.97713261167374166</v>
      </c>
      <c r="Q97" s="111">
        <v>0.86102539293554758</v>
      </c>
      <c r="R97" s="68">
        <v>0.97713261167374177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2.0006287898586998E-2</v>
      </c>
      <c r="M98" s="115">
        <v>22.470904429508263</v>
      </c>
      <c r="N98" s="115">
        <v>722.04560508170562</v>
      </c>
      <c r="O98" s="115">
        <v>7.8053294500723798</v>
      </c>
      <c r="P98" s="115">
        <v>7.919876779252637</v>
      </c>
      <c r="Q98" s="111">
        <v>7.8053294500723807</v>
      </c>
      <c r="R98" s="68">
        <v>7.919876779252637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0.99334148514472864</v>
      </c>
      <c r="M99" s="115">
        <v>0.89009678000549708</v>
      </c>
      <c r="N99" s="115">
        <v>0.17915449550158824</v>
      </c>
      <c r="O99" s="115">
        <v>0.82210991696419522</v>
      </c>
      <c r="P99" s="115">
        <v>0.95489283621100407</v>
      </c>
      <c r="Q99" s="111">
        <v>0.82210991696419533</v>
      </c>
      <c r="R99" s="68">
        <v>0.95489283621100418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0.50646957191402042</v>
      </c>
      <c r="M100" s="115">
        <v>10.65553431429778</v>
      </c>
      <c r="N100" s="115">
        <v>319.4651583220928</v>
      </c>
      <c r="O100" s="115">
        <v>3.5310829145674654</v>
      </c>
      <c r="P100" s="115">
        <v>3.3084865293857892</v>
      </c>
      <c r="Q100" s="111">
        <v>3.5310829145674658</v>
      </c>
      <c r="R100" s="68">
        <v>3.3084865293857892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0.99078446310355506</v>
      </c>
      <c r="M101" s="115">
        <v>0.89701306408826531</v>
      </c>
      <c r="N101" s="115">
        <v>0.45549831163991356</v>
      </c>
      <c r="O101" s="115">
        <v>0.82234760259634865</v>
      </c>
      <c r="P101" s="115">
        <v>0.95417833295385079</v>
      </c>
      <c r="Q101" s="111">
        <v>0.82234760259634876</v>
      </c>
      <c r="R101" s="68">
        <v>0.95417833295385079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0.99545151700812906</v>
      </c>
      <c r="M102" s="115">
        <v>0.88725449089761854</v>
      </c>
      <c r="N102" s="115">
        <v>3.8335432202011278E-2</v>
      </c>
      <c r="O102" s="115">
        <v>0.82267377601983649</v>
      </c>
      <c r="P102" s="115">
        <v>0.95607420651180586</v>
      </c>
      <c r="Q102" s="111">
        <v>0.8226737760198366</v>
      </c>
      <c r="R102" s="68">
        <v>0.95607420651180597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0.9934600000878242</v>
      </c>
      <c r="M103" s="115">
        <v>0.88986309300840227</v>
      </c>
      <c r="N103" s="115">
        <v>0.16899751611111086</v>
      </c>
      <c r="O103" s="115">
        <v>0.82212214472109613</v>
      </c>
      <c r="P103" s="115">
        <v>0.9549442514621741</v>
      </c>
      <c r="Q103" s="111">
        <v>0.82212214472109624</v>
      </c>
      <c r="R103" s="68">
        <v>0.95494425146217421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0.97486055794190118</v>
      </c>
      <c r="M104" s="115">
        <v>0.99752272468602621</v>
      </c>
      <c r="N104" s="115">
        <v>3.9453688053838945</v>
      </c>
      <c r="O104" s="115">
        <v>0.83979073472812305</v>
      </c>
      <c r="P104" s="115">
        <v>0.96287700504291029</v>
      </c>
      <c r="Q104" s="111">
        <v>0.83979073472812316</v>
      </c>
      <c r="R104" s="68">
        <v>0.96287700504291029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0.99514458128616734</v>
      </c>
      <c r="M105" s="115">
        <v>0.88748144769838255</v>
      </c>
      <c r="N105" s="115">
        <v>5.3174725767551147E-2</v>
      </c>
      <c r="O105" s="115">
        <v>0.82254323898184889</v>
      </c>
      <c r="P105" s="115">
        <v>0.95586554566907211</v>
      </c>
      <c r="Q105" s="111">
        <v>0.822543238981849</v>
      </c>
      <c r="R105" s="68">
        <v>0.95586554566907211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0.89994468100039748</v>
      </c>
      <c r="M106" s="115">
        <v>2.0253267038019369</v>
      </c>
      <c r="N106" s="115">
        <v>37.698873360331355</v>
      </c>
      <c r="O106" s="115">
        <v>1.0889601148730732</v>
      </c>
      <c r="P106" s="115">
        <v>1.1531877467394629</v>
      </c>
      <c r="Q106" s="111">
        <v>1.0889601148730734</v>
      </c>
      <c r="R106" s="68">
        <v>1.1531877467394631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1.4720549945825655E-2</v>
      </c>
      <c r="M107" s="115">
        <v>22.360738637262795</v>
      </c>
      <c r="N107" s="115">
        <v>720.107091917915</v>
      </c>
      <c r="O107" s="115">
        <v>7.8465442242158652</v>
      </c>
      <c r="P107" s="115">
        <v>8.0257631906310873</v>
      </c>
      <c r="Q107" s="111">
        <v>7.8465442242158652</v>
      </c>
      <c r="R107" s="68">
        <v>8.0257631906310873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0.57743821833266962</v>
      </c>
      <c r="M108" s="115">
        <v>8.9177783800606321</v>
      </c>
      <c r="N108" s="115">
        <v>262.52701276337285</v>
      </c>
      <c r="O108" s="115">
        <v>3.0159639176090822</v>
      </c>
      <c r="P108" s="115">
        <v>2.8348568604183826</v>
      </c>
      <c r="Q108" s="111">
        <v>3.0159639176090822</v>
      </c>
      <c r="R108" s="68">
        <v>2.834856860418383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2024-10-28T23:16:56Z</dcterms:modified>
</cp:coreProperties>
</file>