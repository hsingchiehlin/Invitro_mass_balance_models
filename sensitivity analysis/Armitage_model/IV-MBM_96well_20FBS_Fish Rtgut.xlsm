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A2A16B68-890F-4F7C-A460-D06E79C23ED1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<sst xmlns="http://schemas.openxmlformats.org/spreadsheetml/2006/main" count="3131" uniqueCount="515">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</sst>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42863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0.95</v>
      </c>
      <c r="K5" s="136">
        <v>1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0.38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0.19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9.5000000000000001E-2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1.6E-2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5.5999999999999999E-3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3.0999999999999999E-3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2E-3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1.1999999999999999E-3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5" ht="13.15">
      <c r="A1" s="74" t="s">
        <v>132</v>
      </c>
      <c r="B1" s="75"/>
      <c r="F1" s="74" t="s">
        <v>131</v>
      </c>
      <c r="I1" s="76"/>
    </row>
    <row r="2" spans="1:15" ht="13.15" thickBot="1">
      <c r="B2" s="75"/>
      <c r="I2" s="76"/>
    </row>
    <row r="3" spans="1:15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5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5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5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5" ht="13.15" thickBot="1">
      <c r="B7" s="87"/>
      <c r="I7" s="76"/>
    </row>
    <row r="8" spans="1:15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5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5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5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5" ht="13.15" thickBot="1">
      <c r="A12" s="76" t="s">
        <v>22</v>
      </c>
      <c r="B12" s="138">
        <f>G13/1000000/G12*1000000</f>
        <v>0.02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5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0.02</v>
      </c>
      <c r="H13" s="75" t="s">
        <v>16</v>
      </c>
      <c r="K13" s="75"/>
      <c r="L13" s="76"/>
      <c r="M13" s="75"/>
    </row>
    <row r="14" spans="1:15" ht="13.15" thickBot="1">
      <c r="C14" s="76"/>
      <c r="D14" s="76"/>
      <c r="E14" s="76"/>
      <c r="F14" s="102" t="s">
        <v>164</v>
      </c>
      <c r="G14" s="88">
        <v>7.4</v>
      </c>
    </row>
    <row r="15" spans="1:15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O15" s="163"/>
    </row>
    <row r="16" spans="1:15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 s="163"/>
    </row>
    <row r="17" spans="1:15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 s="163"/>
    </row>
    <row r="18" spans="1:15">
      <c r="C18" s="76"/>
      <c r="D18" s="76"/>
      <c r="E18" s="76"/>
      <c r="K18" s="75"/>
    </row>
    <row r="19" spans="1:15" ht="13.15">
      <c r="A19" s="93" t="s">
        <v>15</v>
      </c>
      <c r="C19" s="76"/>
      <c r="D19" s="76"/>
      <c r="E19" s="76"/>
    </row>
    <row r="20" spans="1:15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5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1.3333333333333334E-4</v>
      </c>
      <c r="K21" s="76" t="s">
        <v>125</v>
      </c>
      <c r="M21" s="75"/>
    </row>
    <row r="22" spans="1:15" ht="13.15" thickBot="1">
      <c r="A22" s="75"/>
      <c r="C22" s="76"/>
      <c r="F22" s="102" t="s">
        <v>164</v>
      </c>
      <c r="G22" s="88">
        <v>7.4</v>
      </c>
      <c r="J22" s="95">
        <f>B12*(G9+G10)/B6</f>
        <v>6.6666666666666666E-6</v>
      </c>
      <c r="K22" s="78" t="s">
        <v>126</v>
      </c>
      <c r="L22" s="96"/>
    </row>
    <row r="23" spans="1:15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5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5">
      <c r="C25" s="96"/>
      <c r="F25" s="76" t="s">
        <v>137</v>
      </c>
    </row>
    <row r="26" spans="1:15">
      <c r="B26" s="75"/>
      <c r="F26" s="98" t="s">
        <v>152</v>
      </c>
      <c r="G26" s="76" t="b">
        <v>0</v>
      </c>
    </row>
    <row r="27" spans="1:15" ht="13.15">
      <c r="C27" s="96"/>
      <c r="F27" s="74"/>
      <c r="G27" s="75"/>
      <c r="H27" s="75"/>
      <c r="J27" s="99"/>
    </row>
    <row r="28" spans="1:15" ht="13.15">
      <c r="B28" s="100"/>
      <c r="C28" s="96"/>
      <c r="F28" s="6" t="s">
        <v>269</v>
      </c>
      <c r="G28" s="75"/>
      <c r="H28" s="75"/>
      <c r="J28" s="99"/>
    </row>
    <row r="29" spans="1:15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5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5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5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42863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8.2457695158281263E-8</v>
      </c>
      <c r="J2" s="67" t="s">
        <v>231</v>
      </c>
      <c r="K2" s="68">
        <v>9.1621628165673957E-4</v>
      </c>
      <c r="L2" s="67" t="s">
        <v>231</v>
      </c>
      <c r="M2" s="68">
        <v>1.1558099084936616E-3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9.5521808175057362E-6</v>
      </c>
      <c r="J3" s="67" t="s">
        <v>231</v>
      </c>
      <c r="K3" s="68">
        <v>1.0755908270734528E-2</v>
      </c>
      <c r="L3" s="67" t="s">
        <v>231</v>
      </c>
      <c r="M3" s="68">
        <v>0.29322823737754911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9.1655086851657337E-15</v>
      </c>
      <c r="J4" s="67" t="s">
        <v>231</v>
      </c>
      <c r="K4" s="68">
        <v>1.0161990717435043E-3</v>
      </c>
      <c r="L4" s="67" t="s">
        <v>231</v>
      </c>
      <c r="M4" s="68">
        <v>3.0601054666111807E-3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1.2215787371715468E-10</v>
      </c>
      <c r="J5" s="67" t="s">
        <v>231</v>
      </c>
      <c r="K5" s="68">
        <v>9.4428882747494896E-4</v>
      </c>
      <c r="L5" s="67" t="s">
        <v>231</v>
      </c>
      <c r="M5" s="68">
        <v>4.5015561124714436E-2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3.5114634968136893E-7</v>
      </c>
      <c r="J6" s="67" t="s">
        <v>231</v>
      </c>
      <c r="K6" s="68">
        <v>9.5536219303491972E-4</v>
      </c>
      <c r="L6" s="67" t="s">
        <v>231</v>
      </c>
      <c r="M6" s="68">
        <v>6.4011583727005952E-2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1.5860180387801721E-6</v>
      </c>
      <c r="J7" s="67" t="s">
        <v>231</v>
      </c>
      <c r="K7" s="68">
        <v>1.1483127903613945E-3</v>
      </c>
      <c r="L7" s="67" t="s">
        <v>231</v>
      </c>
      <c r="M7" s="68">
        <v>8.4562875558587977E-2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5.3148732800099092E-9</v>
      </c>
      <c r="J8" s="67" t="s">
        <v>231</v>
      </c>
      <c r="K8" s="68">
        <v>9.2659654232489963E-4</v>
      </c>
      <c r="L8" s="67" t="s">
        <v>231</v>
      </c>
      <c r="M8" s="68">
        <v>7.031608646576612E-2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4.2041668288243711E-7</v>
      </c>
      <c r="J9" s="67" t="s">
        <v>231</v>
      </c>
      <c r="K9" s="68">
        <v>9.6046468692033849E-4</v>
      </c>
      <c r="L9" s="67" t="s">
        <v>231</v>
      </c>
      <c r="M9" s="68">
        <v>3.9564210752083856E-2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2.2369174128218709E-4</v>
      </c>
      <c r="J10" s="67" t="s">
        <v>231</v>
      </c>
      <c r="K10" s="68">
        <v>2.2733439154928779E-2</v>
      </c>
      <c r="L10" s="67" t="s">
        <v>231</v>
      </c>
      <c r="M10" s="68">
        <v>0.73370052953209663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5.3399328315261654E-9</v>
      </c>
      <c r="J11" s="67" t="s">
        <v>231</v>
      </c>
      <c r="K11" s="68">
        <v>9.9762522193148018E-2</v>
      </c>
      <c r="L11" s="67" t="s">
        <v>231</v>
      </c>
      <c r="M11" s="68">
        <v>5.380114525690094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2.4511851290886801E-8</v>
      </c>
      <c r="J12" s="67" t="s">
        <v>231</v>
      </c>
      <c r="K12" s="68">
        <v>8.3519077915233692E-4</v>
      </c>
      <c r="L12" s="67" t="s">
        <v>231</v>
      </c>
      <c r="M12" s="68">
        <v>6.2800019960048597E-5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1.1423419837400675E-3</v>
      </c>
      <c r="J13" s="67" t="s">
        <v>231</v>
      </c>
      <c r="K13" s="68">
        <v>7.5553621683639638E-3</v>
      </c>
      <c r="L13" s="67" t="s">
        <v>231</v>
      </c>
      <c r="M13" s="68">
        <v>0.21797820811802507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9.3703710143066227E-9</v>
      </c>
      <c r="J14" s="67" t="s">
        <v>231</v>
      </c>
      <c r="K14" s="68">
        <v>1.8738430282233573E-3</v>
      </c>
      <c r="L14" s="67" t="s">
        <v>231</v>
      </c>
      <c r="M14" s="68">
        <v>0.16797528945326637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1.1749480178907633E-6</v>
      </c>
      <c r="J15" s="67" t="s">
        <v>231</v>
      </c>
      <c r="K15" s="68">
        <v>1.7882353755904565E-3</v>
      </c>
      <c r="L15" s="67" t="s">
        <v>231</v>
      </c>
      <c r="M15" s="68">
        <v>3.2034406139220713E-2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1.0080387571971974E-4</v>
      </c>
      <c r="J16" s="67" t="s">
        <v>231</v>
      </c>
      <c r="K16" s="68">
        <v>8.4433146832642077E-3</v>
      </c>
      <c r="L16" s="67" t="s">
        <v>231</v>
      </c>
      <c r="M16" s="68">
        <v>0.24702274306504562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2.2578703011576699E-6</v>
      </c>
      <c r="J17" s="67" t="s">
        <v>231</v>
      </c>
      <c r="K17" s="68">
        <v>7.8680593403197899E-3</v>
      </c>
      <c r="L17" s="67" t="s">
        <v>231</v>
      </c>
      <c r="M17" s="68">
        <v>0.22825113111868259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2.6915857551884624E-3</v>
      </c>
      <c r="J18" s="67" t="s">
        <v>231</v>
      </c>
      <c r="K18" s="68">
        <v>0.11462432271073544</v>
      </c>
      <c r="L18" s="67" t="s">
        <v>231</v>
      </c>
      <c r="M18" s="68">
        <v>3.810349597419918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1.8946866443464383E-6</v>
      </c>
      <c r="J19" s="67" t="s">
        <v>231</v>
      </c>
      <c r="K19" s="68">
        <v>1.1924931089629077E-3</v>
      </c>
      <c r="L19" s="67" t="s">
        <v>231</v>
      </c>
      <c r="M19" s="68">
        <v>1.0710042347429637E-2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5.3723927776083102E-6</v>
      </c>
      <c r="J20" s="67" t="s">
        <v>231</v>
      </c>
      <c r="K20" s="68">
        <v>1.4270040642150306E-3</v>
      </c>
      <c r="L20" s="67" t="s">
        <v>231</v>
      </c>
      <c r="M20" s="68">
        <v>1.8666471294699293E-2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2.0970275433489933E-6</v>
      </c>
      <c r="J21" s="67" t="s">
        <v>231</v>
      </c>
      <c r="K21" s="68">
        <v>6.059819857986249E-3</v>
      </c>
      <c r="L21" s="67" t="s">
        <v>231</v>
      </c>
      <c r="M21" s="68">
        <v>0.2282079636008538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4.1550779309348891E-8</v>
      </c>
      <c r="J22" s="67" t="s">
        <v>231</v>
      </c>
      <c r="K22" s="68">
        <v>8.9135436048362257E-4</v>
      </c>
      <c r="L22" s="67" t="s">
        <v>231</v>
      </c>
      <c r="M22" s="68">
        <v>1.9113950183721549E-3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1.2099641128894897E-5</v>
      </c>
      <c r="J23" s="67" t="s">
        <v>231</v>
      </c>
      <c r="K23" s="68">
        <v>2.4833788613180295E-3</v>
      </c>
      <c r="L23" s="67" t="s">
        <v>231</v>
      </c>
      <c r="M23" s="68">
        <v>5.4334368283888698E-2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1.9192882837291967E-4</v>
      </c>
      <c r="J24" s="67" t="s">
        <v>231</v>
      </c>
      <c r="K24" s="68">
        <v>1.1542537525047072E-2</v>
      </c>
      <c r="L24" s="67" t="s">
        <v>231</v>
      </c>
      <c r="M24" s="68">
        <v>0.34864348475910822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9.212403135124927E-4</v>
      </c>
      <c r="J25" s="67" t="s">
        <v>231</v>
      </c>
      <c r="K25" s="68">
        <v>0.10559418965791113</v>
      </c>
      <c r="L25" s="67" t="s">
        <v>231</v>
      </c>
      <c r="M25" s="68">
        <v>3.5004993986943438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2.0924099610496983E-4</v>
      </c>
      <c r="J26" s="67" t="s">
        <v>231</v>
      </c>
      <c r="K26" s="68">
        <v>1.6470153066054954E-2</v>
      </c>
      <c r="L26" s="67" t="s">
        <v>231</v>
      </c>
      <c r="M26" s="68">
        <v>0.51635884413856792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6.1861911947084602E-5</v>
      </c>
      <c r="J27" s="67" t="s">
        <v>231</v>
      </c>
      <c r="K27" s="68">
        <v>9.5729211785798955E-3</v>
      </c>
      <c r="L27" s="67" t="s">
        <v>231</v>
      </c>
      <c r="M27" s="68">
        <v>0.30556677670221921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3.0256023750322631E-5</v>
      </c>
      <c r="J28" s="67" t="s">
        <v>231</v>
      </c>
      <c r="K28" s="68">
        <v>4.914778992908448E-3</v>
      </c>
      <c r="L28" s="67" t="s">
        <v>231</v>
      </c>
      <c r="M28" s="68">
        <v>0.15476020536033031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3.2783259546639009E-7</v>
      </c>
      <c r="J29" s="67" t="s">
        <v>231</v>
      </c>
      <c r="K29" s="68">
        <v>1.2940176854191039E-4</v>
      </c>
      <c r="L29" s="67" t="s">
        <v>231</v>
      </c>
      <c r="M29" s="68">
        <v>1.9236008645348033E-3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7.3420301298922608E-6</v>
      </c>
      <c r="J30" s="67" t="s">
        <v>231</v>
      </c>
      <c r="K30" s="68">
        <v>1.9069203509062497E-3</v>
      </c>
      <c r="L30" s="67" t="s">
        <v>231</v>
      </c>
      <c r="M30" s="68">
        <v>5.9989530470001169E-2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1.1533443215357927E-7</v>
      </c>
      <c r="J31" s="67" t="s">
        <v>231</v>
      </c>
      <c r="K31" s="68">
        <v>3.3584693380127927E-5</v>
      </c>
      <c r="L31" s="67" t="s">
        <v>231</v>
      </c>
      <c r="M31" s="68">
        <v>1.0425211706577289E-3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1.0357782874657259E-4</v>
      </c>
      <c r="J32" s="67" t="s">
        <v>231</v>
      </c>
      <c r="K32" s="68">
        <v>6.6174832553698775E-3</v>
      </c>
      <c r="L32" s="67" t="s">
        <v>231</v>
      </c>
      <c r="M32" s="68">
        <v>0.1874043179070774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3.3501723704845993E-5</v>
      </c>
      <c r="J33" s="67" t="s">
        <v>231</v>
      </c>
      <c r="K33" s="68">
        <v>3.6558340593635698E-3</v>
      </c>
      <c r="L33" s="67" t="s">
        <v>231</v>
      </c>
      <c r="M33" s="68">
        <v>9.0816253723093959E-2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9.9443562609038435E-5</v>
      </c>
      <c r="J34" s="67" t="s">
        <v>231</v>
      </c>
      <c r="K34" s="68">
        <v>1.8278453122204785E-2</v>
      </c>
      <c r="L34" s="67" t="s">
        <v>231</v>
      </c>
      <c r="M34" s="68">
        <v>0.57174516194469926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4.4382366467691072E-4</v>
      </c>
      <c r="J35" s="67" t="s">
        <v>231</v>
      </c>
      <c r="K35" s="68">
        <v>2.2244049607120224E-2</v>
      </c>
      <c r="L35" s="67" t="s">
        <v>231</v>
      </c>
      <c r="M35" s="68">
        <v>0.71400521042587806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8.9688063822201893E-4</v>
      </c>
      <c r="J36" s="67" t="s">
        <v>231</v>
      </c>
      <c r="K36" s="68">
        <v>4.844353486773148E-2</v>
      </c>
      <c r="L36" s="67" t="s">
        <v>231</v>
      </c>
      <c r="M36" s="68">
        <v>1.5803099385087787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5.8348907309097953E-4</v>
      </c>
      <c r="J37" s="67" t="s">
        <v>231</v>
      </c>
      <c r="K37" s="68">
        <v>0.11197493501648298</v>
      </c>
      <c r="L37" s="67" t="s">
        <v>231</v>
      </c>
      <c r="M37" s="68">
        <v>3.7194290834189356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3.180316493748759E-4</v>
      </c>
      <c r="J38" s="67" t="s">
        <v>231</v>
      </c>
      <c r="K38" s="68">
        <v>7.0800202098051962E-2</v>
      </c>
      <c r="L38" s="67" t="s">
        <v>231</v>
      </c>
      <c r="M38" s="68">
        <v>2.324759027143438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1.9612740594670162E-4</v>
      </c>
      <c r="J39" s="67" t="s">
        <v>231</v>
      </c>
      <c r="K39" s="68">
        <v>5.3224634298583103E-2</v>
      </c>
      <c r="L39" s="67" t="s">
        <v>231</v>
      </c>
      <c r="M39" s="68">
        <v>1.7395351017700043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3.180316493748759E-4</v>
      </c>
      <c r="J40" s="67" t="s">
        <v>231</v>
      </c>
      <c r="K40" s="68">
        <v>7.0800202098051962E-2</v>
      </c>
      <c r="L40" s="67" t="s">
        <v>231</v>
      </c>
      <c r="M40" s="68">
        <v>2.324759027143438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8.4574583640583586E-9</v>
      </c>
      <c r="J41" s="67" t="s">
        <v>231</v>
      </c>
      <c r="K41" s="68">
        <v>9.0329209630223234E-4</v>
      </c>
      <c r="L41" s="67" t="s">
        <v>231</v>
      </c>
      <c r="M41" s="68">
        <v>5.4777137740013764E-3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1.0612003514815973E-3</v>
      </c>
      <c r="J42" s="67" t="s">
        <v>231</v>
      </c>
      <c r="K42" s="68">
        <v>0.11428882464908122</v>
      </c>
      <c r="L42" s="67" t="s">
        <v>231</v>
      </c>
      <c r="M42" s="68">
        <v>3.7991969478432179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2.1678008515757237E-3</v>
      </c>
      <c r="J43" s="67" t="s">
        <v>231</v>
      </c>
      <c r="K43" s="68">
        <v>1.2354176577986521E-2</v>
      </c>
      <c r="L43" s="67" t="s">
        <v>231</v>
      </c>
      <c r="M43" s="68">
        <v>0.37527009366000763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1.6584982368607548E-3</v>
      </c>
      <c r="J44" s="67" t="s">
        <v>231</v>
      </c>
      <c r="K44" s="68">
        <v>3.4434562618723671E-2</v>
      </c>
      <c r="L44" s="67" t="s">
        <v>231</v>
      </c>
      <c r="M44" s="68">
        <v>1.1176573062130775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2.8673750810446351E-3</v>
      </c>
      <c r="J45" s="67" t="s">
        <v>231</v>
      </c>
      <c r="K45" s="68">
        <v>0.13175671580515272</v>
      </c>
      <c r="L45" s="67" t="s">
        <v>231</v>
      </c>
      <c r="M45" s="68">
        <v>4.407397046177179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4.2129311745117286E-4</v>
      </c>
      <c r="J46" s="67" t="s">
        <v>231</v>
      </c>
      <c r="K46" s="68">
        <v>0.11743842435804608</v>
      </c>
      <c r="L46" s="67" t="s">
        <v>231</v>
      </c>
      <c r="M46" s="68">
        <v>3.9074833829443105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8.2069823784410717E-4</v>
      </c>
      <c r="J47" s="142" t="s">
        <v>231</v>
      </c>
      <c r="K47" s="143">
        <v>9.4763947909396351E-2</v>
      </c>
      <c r="L47" s="142" t="s">
        <v>231</v>
      </c>
      <c r="M47" s="143">
        <v>3.1318378205572124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2.5006044001788571E-4</v>
      </c>
      <c r="J48" s="142" t="s">
        <v>231</v>
      </c>
      <c r="K48" s="143">
        <v>2.1918990869871605E-2</v>
      </c>
      <c r="L48" s="142" t="s">
        <v>231</v>
      </c>
      <c r="M48" s="143">
        <v>0.69703177873528144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9.9869701260492795E-4</v>
      </c>
      <c r="J49" s="142" t="s">
        <v>231</v>
      </c>
      <c r="K49" s="143">
        <v>3.68279718638534E-2</v>
      </c>
      <c r="L49" s="142" t="s">
        <v>231</v>
      </c>
      <c r="M49" s="143">
        <v>1.1964815153236601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2.4606275692729977E-4</v>
      </c>
      <c r="J50" s="142" t="s">
        <v>231</v>
      </c>
      <c r="K50" s="143">
        <v>4.1058329540761551E-2</v>
      </c>
      <c r="L50" s="142" t="s">
        <v>231</v>
      </c>
      <c r="M50" s="143">
        <v>1.3360299554617012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5.2498265479813304E-4</v>
      </c>
      <c r="J51" s="142" t="s">
        <v>231</v>
      </c>
      <c r="K51" s="143">
        <v>2.2376683491835647E-2</v>
      </c>
      <c r="L51" s="142" t="s">
        <v>231</v>
      </c>
      <c r="M51" s="143">
        <v>0.71468337161549111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1.1628267268325007E-2</v>
      </c>
      <c r="J52" s="142" t="s">
        <v>232</v>
      </c>
      <c r="K52" s="143">
        <v>2.1978253489986457E-2</v>
      </c>
      <c r="L52" s="142" t="s">
        <v>231</v>
      </c>
      <c r="M52" s="143">
        <v>0.69922224936387778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2.3515453468256719E-3</v>
      </c>
      <c r="J53" s="142" t="s">
        <v>231</v>
      </c>
      <c r="K53" s="143">
        <v>5.6022027855660676E-2</v>
      </c>
      <c r="L53" s="142" t="s">
        <v>231</v>
      </c>
      <c r="M53" s="143">
        <v>1.8318181059763565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1.1794180250151987E-3</v>
      </c>
      <c r="J54" s="67" t="s">
        <v>231</v>
      </c>
      <c r="K54" s="68">
        <v>3.8905865305259128E-2</v>
      </c>
      <c r="L54" s="67" t="s">
        <v>231</v>
      </c>
      <c r="M54" s="68">
        <v>1.2649901152584315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8.6356682891327967E-4</v>
      </c>
      <c r="J55" s="67" t="s">
        <v>231</v>
      </c>
      <c r="K55" s="68">
        <v>9.3624992442740404E-2</v>
      </c>
      <c r="L55" s="67" t="s">
        <v>231</v>
      </c>
      <c r="M55" s="68">
        <v>3.0932452673031747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6.9881982848908869E-4</v>
      </c>
      <c r="J56" s="67" t="s">
        <v>231</v>
      </c>
      <c r="K56" s="68">
        <v>3.5221182073403287E-2</v>
      </c>
      <c r="L56" s="67" t="s">
        <v>231</v>
      </c>
      <c r="M56" s="68">
        <v>1.1435528489257845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1.8787667400873582E-3</v>
      </c>
      <c r="J57" s="67" t="s">
        <v>231</v>
      </c>
      <c r="K57" s="68">
        <v>2.1540330842330171E-2</v>
      </c>
      <c r="L57" s="67" t="s">
        <v>231</v>
      </c>
      <c r="M57" s="68">
        <v>0.68358922336007089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7.1712402346253406E-3</v>
      </c>
      <c r="J58" s="67" t="s">
        <v>231</v>
      </c>
      <c r="K58" s="68">
        <v>3.9330749822703369E-2</v>
      </c>
      <c r="L58" s="67" t="s">
        <v>231</v>
      </c>
      <c r="M58" s="68">
        <v>1.2790070220889322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1.2032137950090114E-3</v>
      </c>
      <c r="J59" s="67" t="s">
        <v>231</v>
      </c>
      <c r="K59" s="68">
        <v>2.1980876574332505E-2</v>
      </c>
      <c r="L59" s="67" t="s">
        <v>231</v>
      </c>
      <c r="M59" s="68">
        <v>0.69930570089643707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3.3905501427244425E-3</v>
      </c>
      <c r="J60" s="67" t="s">
        <v>231</v>
      </c>
      <c r="K60" s="68">
        <v>5.1397465771916513E-2</v>
      </c>
      <c r="L60" s="67" t="s">
        <v>231</v>
      </c>
      <c r="M60" s="68">
        <v>1.678245958306015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2.8571031542510189E-5</v>
      </c>
      <c r="J61" s="67" t="s">
        <v>231</v>
      </c>
      <c r="K61" s="68">
        <v>3.9292369825764346E-2</v>
      </c>
      <c r="L61" s="67" t="s">
        <v>231</v>
      </c>
      <c r="M61" s="68">
        <v>0.89980578957842339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1.5342292775968164E-4</v>
      </c>
      <c r="J62" s="67" t="s">
        <v>231</v>
      </c>
      <c r="K62" s="68">
        <v>1.7873501343246483E-2</v>
      </c>
      <c r="L62" s="67" t="s">
        <v>231</v>
      </c>
      <c r="M62" s="68">
        <v>0.55816788852827204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1.7251718966643863E-6</v>
      </c>
      <c r="J63" s="67" t="s">
        <v>231</v>
      </c>
      <c r="K63" s="68">
        <v>5.8029536644126165E-3</v>
      </c>
      <c r="L63" s="67" t="s">
        <v>231</v>
      </c>
      <c r="M63" s="68">
        <v>0.11420773072611137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1.0556369229914591E-7</v>
      </c>
      <c r="J64" s="67" t="s">
        <v>231</v>
      </c>
      <c r="K64" s="68">
        <v>9.1419110944917256E-4</v>
      </c>
      <c r="L64" s="67" t="s">
        <v>231</v>
      </c>
      <c r="M64" s="68">
        <v>2.2606150675159812E-3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2.0169202329174849E-8</v>
      </c>
      <c r="J65" s="67" t="s">
        <v>231</v>
      </c>
      <c r="K65" s="68">
        <v>1.2930814088183873E-3</v>
      </c>
      <c r="L65" s="67" t="s">
        <v>231</v>
      </c>
      <c r="M65" s="68">
        <v>9.5899328456149485E-3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1.4702770034089766E-7</v>
      </c>
      <c r="J66" s="67" t="s">
        <v>231</v>
      </c>
      <c r="K66" s="68">
        <v>3.8725928620788538E-2</v>
      </c>
      <c r="L66" s="67" t="s">
        <v>231</v>
      </c>
      <c r="M66" s="68">
        <v>0.89576337888339119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1.9872977650201805E-8</v>
      </c>
      <c r="J67" s="67" t="s">
        <v>231</v>
      </c>
      <c r="K67" s="68">
        <v>1.2255279416919088E-3</v>
      </c>
      <c r="L67" s="67" t="s">
        <v>231</v>
      </c>
      <c r="M67" s="68">
        <v>7.9854781749100646E-3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6.45276397815428E-9</v>
      </c>
      <c r="J68" s="67" t="s">
        <v>231</v>
      </c>
      <c r="K68" s="68">
        <v>9.3207305424950523E-4</v>
      </c>
      <c r="L68" s="67" t="s">
        <v>231</v>
      </c>
      <c r="M68" s="68">
        <v>1.0591649140961794E-3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3.8991039830398501E-5</v>
      </c>
      <c r="J69" s="67" t="s">
        <v>231</v>
      </c>
      <c r="K69" s="68">
        <v>3.1318953004552327E-2</v>
      </c>
      <c r="L69" s="67" t="s">
        <v>231</v>
      </c>
      <c r="M69" s="68">
        <v>1.0151856542835518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2.2304804463886206E-14</v>
      </c>
      <c r="J70" s="67" t="s">
        <v>231</v>
      </c>
      <c r="K70" s="68">
        <v>8.9828820448377878E-4</v>
      </c>
      <c r="L70" s="67" t="s">
        <v>231</v>
      </c>
      <c r="M70" s="68">
        <v>3.7189986278594366E-3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1.889534348350926E-10</v>
      </c>
      <c r="J71" s="67" t="s">
        <v>231</v>
      </c>
      <c r="K71" s="68">
        <v>9.048956623480775E-4</v>
      </c>
      <c r="L71" s="67" t="s">
        <v>231</v>
      </c>
      <c r="M71" s="68">
        <v>6.6483738629649312E-3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2.8978071744316833E-14</v>
      </c>
      <c r="J72" s="67" t="s">
        <v>231</v>
      </c>
      <c r="K72" s="68">
        <v>6.6797296687417925E-3</v>
      </c>
      <c r="L72" s="67" t="s">
        <v>231</v>
      </c>
      <c r="M72" s="68">
        <v>0.65643681548231125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1.5693005067451854E-11</v>
      </c>
      <c r="J73" s="67" t="s">
        <v>231</v>
      </c>
      <c r="K73" s="68">
        <v>8.1208260840681537E-4</v>
      </c>
      <c r="L73" s="67" t="s">
        <v>231</v>
      </c>
      <c r="M73" s="68">
        <v>7.6671141365828296E-2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1.7802641087575643E-11</v>
      </c>
      <c r="J74" s="67" t="s">
        <v>231</v>
      </c>
      <c r="K74" s="68">
        <v>9.0370221317717029E-4</v>
      </c>
      <c r="L74" s="67" t="s">
        <v>231</v>
      </c>
      <c r="M74" s="68">
        <v>6.087089111311372E-3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9.720420129824651E-14</v>
      </c>
      <c r="J75" s="67" t="s">
        <v>231</v>
      </c>
      <c r="K75" s="68">
        <v>8.2139494823135458E-4</v>
      </c>
      <c r="L75" s="67" t="s">
        <v>231</v>
      </c>
      <c r="M75" s="68">
        <v>7.7008760880701327E-2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8.3732034805678981E-9</v>
      </c>
      <c r="J76" s="67" t="s">
        <v>231</v>
      </c>
      <c r="K76" s="68">
        <v>9.4223979646936246E-4</v>
      </c>
      <c r="L76" s="67" t="s">
        <v>231</v>
      </c>
      <c r="M76" s="68">
        <v>5.3528506889712966E-2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6.5977431644124217E-8</v>
      </c>
      <c r="J77" s="67" t="s">
        <v>231</v>
      </c>
      <c r="K77" s="68">
        <v>8.1476371412607059E-4</v>
      </c>
      <c r="L77" s="67" t="s">
        <v>231</v>
      </c>
      <c r="M77" s="68">
        <v>7.6777195339654061E-2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2.8631208969094296E-13</v>
      </c>
      <c r="J78" s="67" t="s">
        <v>231</v>
      </c>
      <c r="K78" s="68">
        <v>5.5969418451485365E-3</v>
      </c>
      <c r="L78" s="67" t="s">
        <v>231</v>
      </c>
      <c r="M78" s="68">
        <v>0.54992442986295087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1.575140419441696E-16</v>
      </c>
      <c r="J79" s="67" t="s">
        <v>231</v>
      </c>
      <c r="K79" s="68">
        <v>5.5969324880845873E-3</v>
      </c>
      <c r="L79" s="67" t="s">
        <v>231</v>
      </c>
      <c r="M79" s="68">
        <v>0.54992416463246319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2.0693945084934714E-14</v>
      </c>
      <c r="J80" s="67" t="s">
        <v>231</v>
      </c>
      <c r="K80" s="68">
        <v>8.9922364206433257E-4</v>
      </c>
      <c r="L80" s="67" t="s">
        <v>231</v>
      </c>
      <c r="M80" s="68">
        <v>7.3835843343464838E-2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7.0104390850372388E-11</v>
      </c>
      <c r="J81" s="67" t="s">
        <v>231</v>
      </c>
      <c r="K81" s="68">
        <v>9.279888323705563E-4</v>
      </c>
      <c r="L81" s="67" t="s">
        <v>231</v>
      </c>
      <c r="M81" s="68">
        <v>2.1017449378541709E-2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1.3932257756192467E-15</v>
      </c>
      <c r="J82" s="67" t="s">
        <v>231</v>
      </c>
      <c r="K82" s="68">
        <v>9.4277072571613378E-4</v>
      </c>
      <c r="L82" s="67" t="s">
        <v>231</v>
      </c>
      <c r="M82" s="68">
        <v>3.9578485563591281E-2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1.703606591824855E-14</v>
      </c>
      <c r="J83" s="67" t="s">
        <v>231</v>
      </c>
      <c r="K83" s="68">
        <v>1.0860931563873178E-2</v>
      </c>
      <c r="L83" s="67" t="s">
        <v>231</v>
      </c>
      <c r="M83" s="68">
        <v>1.0676937379492353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4.182631478574058E-2</v>
      </c>
      <c r="J84" s="67" t="s">
        <v>232</v>
      </c>
      <c r="K84" s="68">
        <v>1.4580297366956589E-2</v>
      </c>
      <c r="L84" s="67" t="s">
        <v>231</v>
      </c>
      <c r="M84" s="68">
        <v>0.44868385923609072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5.1586267701518412E-6</v>
      </c>
      <c r="J85" s="67" t="s">
        <v>231</v>
      </c>
      <c r="K85" s="68">
        <v>0.42811666607574522</v>
      </c>
      <c r="L85" s="67" t="s">
        <v>231</v>
      </c>
      <c r="M85" s="68">
        <v>10.09728694185644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2.7806068886853356E-4</v>
      </c>
      <c r="J86" s="67" t="s">
        <v>231</v>
      </c>
      <c r="K86" s="68">
        <v>0.12804058524688466</v>
      </c>
      <c r="L86" s="67" t="s">
        <v>231</v>
      </c>
      <c r="M86" s="68">
        <v>4.2765566231384371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1.9936896780540725E-4</v>
      </c>
      <c r="J87" s="67" t="s">
        <v>231</v>
      </c>
      <c r="K87" s="68">
        <v>0.14396871563368505</v>
      </c>
      <c r="L87" s="67" t="s">
        <v>231</v>
      </c>
      <c r="M87" s="68">
        <v>4.8460667167199221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3.0301910299062224E-4</v>
      </c>
      <c r="J88" s="67" t="s">
        <v>231</v>
      </c>
      <c r="K88" s="68">
        <v>0.15451707499776965</v>
      </c>
      <c r="L88" s="67" t="s">
        <v>231</v>
      </c>
      <c r="M88" s="68">
        <v>5.2470916028316328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6.6845510233621206E-7</v>
      </c>
      <c r="J89" s="67" t="s">
        <v>231</v>
      </c>
      <c r="K89" s="68">
        <v>2.1791200034343809</v>
      </c>
      <c r="L89" s="67" t="s">
        <v>232</v>
      </c>
      <c r="M89" s="68">
        <v>51.235700225374515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1.9385273622586647E-5</v>
      </c>
      <c r="J90" s="67" t="s">
        <v>231</v>
      </c>
      <c r="K90" s="68">
        <v>9.2617818277600293E-4</v>
      </c>
      <c r="L90" s="67" t="s">
        <v>231</v>
      </c>
      <c r="M90" s="68">
        <v>1.5028301798879779E-3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3.8018265660028922E-5</v>
      </c>
      <c r="J91" s="67" t="s">
        <v>231</v>
      </c>
      <c r="K91" s="68">
        <v>3.5463705049880116E-3</v>
      </c>
      <c r="L91" s="67" t="s">
        <v>231</v>
      </c>
      <c r="M91" s="68">
        <v>8.7251565222437447E-2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3.3249037518992931E-5</v>
      </c>
      <c r="J92" s="67" t="s">
        <v>231</v>
      </c>
      <c r="K92" s="68">
        <v>1.9853407650626046E-2</v>
      </c>
      <c r="L92" s="67" t="s">
        <v>231</v>
      </c>
      <c r="M92" s="68">
        <v>0.62496327967065657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1.2898210539015775E-8</v>
      </c>
      <c r="J93" s="67" t="s">
        <v>231</v>
      </c>
      <c r="K93" s="68">
        <v>8.900327835439885E-4</v>
      </c>
      <c r="L93" s="67" t="s">
        <v>231</v>
      </c>
      <c r="M93" s="68">
        <v>6.2186694365926368E-4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2.1143954958026756E-18</v>
      </c>
      <c r="J94" s="67" t="s">
        <v>231</v>
      </c>
      <c r="K94" s="68">
        <v>8.9368564793839821E-4</v>
      </c>
      <c r="L94" s="67" t="s">
        <v>231</v>
      </c>
      <c r="M94" s="68">
        <v>1.5148255771190605E-4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2.3527383272765899E-6</v>
      </c>
      <c r="J95" s="67" t="s">
        <v>231</v>
      </c>
      <c r="K95" s="68">
        <v>1.084528247046804E-3</v>
      </c>
      <c r="L95" s="67" t="s">
        <v>231</v>
      </c>
      <c r="M95" s="68">
        <v>6.5990320387788381E-3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3.1027789051705948E-3</v>
      </c>
      <c r="J96" s="67" t="s">
        <v>231</v>
      </c>
      <c r="K96" s="68">
        <v>0.12015368554395765</v>
      </c>
      <c r="L96" s="67" t="s">
        <v>231</v>
      </c>
      <c r="M96" s="68">
        <v>4.0014986928384708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1.1687275991391656E-4</v>
      </c>
      <c r="J97" s="67" t="s">
        <v>231</v>
      </c>
      <c r="K97" s="68">
        <v>5.7934532859135798E-3</v>
      </c>
      <c r="L97" s="67" t="s">
        <v>231</v>
      </c>
      <c r="M97" s="68">
        <v>0.16046918338642299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3.0843008663472815E-5</v>
      </c>
      <c r="J98" s="67" t="s">
        <v>231</v>
      </c>
      <c r="K98" s="68">
        <v>3.8865633942769843E-3</v>
      </c>
      <c r="L98" s="67" t="s">
        <v>231</v>
      </c>
      <c r="M98" s="68">
        <v>9.8328152572265987E-2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1.8891458117292002E-6</v>
      </c>
      <c r="J99" s="67" t="s">
        <v>231</v>
      </c>
      <c r="K99" s="68">
        <v>1.6149475090398708E-3</v>
      </c>
      <c r="L99" s="67" t="s">
        <v>231</v>
      </c>
      <c r="M99" s="68">
        <v>2.429775347099181E-2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2.4617080906591472E-3</v>
      </c>
      <c r="J100" s="67" t="s">
        <v>231</v>
      </c>
      <c r="K100" s="68">
        <v>6.0273174623590893E-2</v>
      </c>
      <c r="L100" s="67" t="s">
        <v>231</v>
      </c>
      <c r="M100" s="68">
        <v>1.9732771712687398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2.2602763700806838E-2</v>
      </c>
      <c r="J101" s="67" t="s">
        <v>232</v>
      </c>
      <c r="K101" s="68">
        <v>1.8179932780553191E-2</v>
      </c>
      <c r="L101" s="67" t="s">
        <v>231</v>
      </c>
      <c r="M101" s="68">
        <v>0.56843668992780993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6.3636880390296573E-3</v>
      </c>
      <c r="J102" s="67" t="s">
        <v>231</v>
      </c>
      <c r="K102" s="68">
        <v>2.2360323552358542E-2</v>
      </c>
      <c r="L102" s="67" t="s">
        <v>231</v>
      </c>
      <c r="M102" s="68">
        <v>0.71402105819921058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1.5553311524391676E-9</v>
      </c>
      <c r="J103" s="67" t="s">
        <v>231</v>
      </c>
      <c r="K103" s="68">
        <v>9.1488674810477665E-4</v>
      </c>
      <c r="L103" s="67" t="s">
        <v>231</v>
      </c>
      <c r="M103" s="68">
        <v>1.1863394207993833E-2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2.4621752879107109E-7</v>
      </c>
      <c r="J104" s="67" t="s">
        <v>231</v>
      </c>
      <c r="K104" s="68">
        <v>1.2619262376135903E-3</v>
      </c>
      <c r="L104" s="67" t="s">
        <v>231</v>
      </c>
      <c r="M104" s="68">
        <v>0.11264395003537303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9.8919005508606087E-8</v>
      </c>
      <c r="J105" s="67" t="s">
        <v>231</v>
      </c>
      <c r="K105" s="68">
        <v>9.3572248179320705E-4</v>
      </c>
      <c r="L105" s="67" t="s">
        <v>231</v>
      </c>
      <c r="M105" s="68">
        <v>1.8389137179960356E-3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3.4425348370319864E-8</v>
      </c>
      <c r="J106" s="67" t="s">
        <v>231</v>
      </c>
      <c r="K106" s="68">
        <v>1.0986987248262656E-3</v>
      </c>
      <c r="L106" s="67" t="s">
        <v>231</v>
      </c>
      <c r="M106" s="68">
        <v>7.105570501247869E-3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9.2640721471241579E-6</v>
      </c>
      <c r="J107" s="67" t="s">
        <v>231</v>
      </c>
      <c r="K107" s="68">
        <v>2.5951912062470928E-2</v>
      </c>
      <c r="L107" s="67" t="s">
        <v>231</v>
      </c>
      <c r="M107" s="68">
        <v>0.75940484823138121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2.6566679580300984E-10</v>
      </c>
      <c r="J108" s="67" t="s">
        <v>231</v>
      </c>
      <c r="K108" s="68">
        <v>8.9059700586000435E-4</v>
      </c>
      <c r="L108" s="67" t="s">
        <v>231</v>
      </c>
      <c r="M108" s="68">
        <v>7.8407058663307891E-5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2.7802580640676786E-6</v>
      </c>
      <c r="J109" s="67" t="s">
        <v>231</v>
      </c>
      <c r="K109" s="68">
        <v>1.2012423831111351E-2</v>
      </c>
      <c r="L109" s="67" t="s">
        <v>231</v>
      </c>
      <c r="M109" s="68">
        <v>0.26223692782563812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5.866110727217619E-6</v>
      </c>
      <c r="J110" s="67" t="s">
        <v>231</v>
      </c>
      <c r="K110" s="68">
        <v>8.9171950795919209E-4</v>
      </c>
      <c r="L110" s="67" t="s">
        <v>231</v>
      </c>
      <c r="M110" s="68">
        <v>2.2356375298767189E-4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8.1475914334464289E-14</v>
      </c>
      <c r="J111" s="67" t="s">
        <v>231</v>
      </c>
      <c r="K111" s="68">
        <v>8.8732039706867778E-4</v>
      </c>
      <c r="L111" s="67" t="s">
        <v>231</v>
      </c>
      <c r="M111" s="68">
        <v>3.2453017719311681E-6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9.2342537956079538E-9</v>
      </c>
      <c r="J112" s="67" t="s">
        <v>231</v>
      </c>
      <c r="K112" s="68">
        <v>8.8986309300840226E-4</v>
      </c>
      <c r="L112" s="67" t="s">
        <v>231</v>
      </c>
      <c r="M112" s="68">
        <v>1.6899751611111085E-4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4.3331890330031189E-7</v>
      </c>
      <c r="J113" s="67" t="s">
        <v>231</v>
      </c>
      <c r="K113" s="68">
        <v>9.9752272468602628E-4</v>
      </c>
      <c r="L113" s="67" t="s">
        <v>231</v>
      </c>
      <c r="M113" s="68">
        <v>3.9453688053838944E-3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5.731858605109877E-8</v>
      </c>
      <c r="J114" s="67" t="s">
        <v>231</v>
      </c>
      <c r="K114" s="68">
        <v>8.8747904366548002E-4</v>
      </c>
      <c r="L114" s="67" t="s">
        <v>231</v>
      </c>
      <c r="M114" s="68">
        <v>5.2415766230563189E-5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4.7488122719323657E-11</v>
      </c>
      <c r="J115" s="67" t="s">
        <v>231</v>
      </c>
      <c r="K115" s="68">
        <v>8.9758952021886805E-4</v>
      </c>
      <c r="L115" s="67" t="s">
        <v>231</v>
      </c>
      <c r="M115" s="68">
        <v>3.39950318635737E-3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9.4655988458106237E-6</v>
      </c>
      <c r="J116" s="67" t="s">
        <v>231</v>
      </c>
      <c r="K116" s="68">
        <v>0.12333809299818226</v>
      </c>
      <c r="L116" s="67" t="s">
        <v>231</v>
      </c>
      <c r="M116" s="68">
        <v>2.9000654985077867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8.2405157685236716E-5</v>
      </c>
      <c r="J117" s="67" t="s">
        <v>231</v>
      </c>
      <c r="K117" s="68">
        <v>8.9177783800606317E-3</v>
      </c>
      <c r="L117" s="67" t="s">
        <v>231</v>
      </c>
      <c r="M117" s="68">
        <v>0.26252701276337287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0.98988417944930984</v>
      </c>
      <c r="F2" s="14">
        <v>0.99290206346293508</v>
      </c>
      <c r="G2" s="14">
        <v>2.9526699281108867E-10</v>
      </c>
      <c r="H2" s="14">
        <v>0.17297622433794674</v>
      </c>
      <c r="I2" s="14">
        <v>0.64275221807408012</v>
      </c>
      <c r="J2" s="14">
        <v>0</v>
      </c>
      <c r="K2" s="14">
        <v>1.0071486773955425</v>
      </c>
      <c r="L2" s="14">
        <v>0.99290206346293508</v>
      </c>
      <c r="M2" s="14">
        <v>0.81467614307133829</v>
      </c>
      <c r="N2" s="14">
        <v>0.91621628165673963</v>
      </c>
      <c r="O2" s="14">
        <v>177.92003973492226</v>
      </c>
      <c r="P2" s="8">
        <v>0.91621628165673963</v>
      </c>
      <c r="Q2" s="54">
        <v>1.5989820337780975E-2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0.8446542914457329</v>
      </c>
      <c r="F3" s="14">
        <v>0.5676548394877472</v>
      </c>
      <c r="G3" s="14">
        <v>2.6874525082447404E-10</v>
      </c>
      <c r="H3" s="14">
        <v>63.847138658621752</v>
      </c>
      <c r="I3" s="14">
        <v>143.61217086249985</v>
      </c>
      <c r="J3" s="14">
        <v>0</v>
      </c>
      <c r="K3" s="14">
        <v>1.7616338846021324</v>
      </c>
      <c r="L3" s="14">
        <v>0.5676548394877472</v>
      </c>
      <c r="M3" s="14">
        <v>0.46576079579969654</v>
      </c>
      <c r="N3" s="14">
        <v>10.755908270734528</v>
      </c>
      <c r="O3" s="14">
        <v>2754.480549052405</v>
      </c>
      <c r="P3" s="8">
        <v>10.75590827073453</v>
      </c>
      <c r="Q3" s="54">
        <v>0.24625850982293601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0.99985579539841796</v>
      </c>
      <c r="F4" s="14">
        <v>1.0033449817307567</v>
      </c>
      <c r="G4" s="14">
        <v>1.5113977471422735E-19</v>
      </c>
      <c r="H4" s="14">
        <v>0.11988097960577707</v>
      </c>
      <c r="I4" s="14">
        <v>1.2223836722576381E-3</v>
      </c>
      <c r="J4" s="14">
        <v>0</v>
      </c>
      <c r="K4" s="14">
        <v>0.99666616987012124</v>
      </c>
      <c r="L4" s="14">
        <v>1.0033449817307567</v>
      </c>
      <c r="M4" s="14">
        <v>0.82324455751008596</v>
      </c>
      <c r="N4" s="14">
        <v>1.0161990717435043</v>
      </c>
      <c r="O4" s="14">
        <v>300.94735509683881</v>
      </c>
      <c r="P4" s="8">
        <v>1.0161990717435043</v>
      </c>
      <c r="Q4" s="54">
        <v>1.3938227226100131E-5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0.99979472901733069</v>
      </c>
      <c r="F5" s="14">
        <v>0.54975801153671722</v>
      </c>
      <c r="G5" s="14">
        <v>2.5162361036843836E-12</v>
      </c>
      <c r="H5" s="14">
        <v>128.50841496262677</v>
      </c>
      <c r="I5" s="14">
        <v>9.4439232321365321E-2</v>
      </c>
      <c r="J5" s="14">
        <v>0</v>
      </c>
      <c r="K5" s="14">
        <v>1.8189821321652755</v>
      </c>
      <c r="L5" s="14">
        <v>0.54975801153671722</v>
      </c>
      <c r="M5" s="14">
        <v>0.45107644846587647</v>
      </c>
      <c r="N5" s="14">
        <v>0.94428882747494902</v>
      </c>
      <c r="O5" s="14">
        <v>208.7256024250627</v>
      </c>
      <c r="P5" s="8">
        <v>0.94428882747494902</v>
      </c>
      <c r="Q5" s="54">
        <v>1.2698500725744164E-4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0.99957496346916219</v>
      </c>
      <c r="F6" s="14">
        <v>0.32546093214692623</v>
      </c>
      <c r="G6" s="14">
        <v>2.0647775719701569E-13</v>
      </c>
      <c r="H6" s="14">
        <v>191.90171852412652</v>
      </c>
      <c r="I6" s="14">
        <v>0.51526780218603208</v>
      </c>
      <c r="J6" s="14">
        <v>0</v>
      </c>
      <c r="K6" s="14">
        <v>3.0725654025613114</v>
      </c>
      <c r="L6" s="14">
        <v>0.32546093214692623</v>
      </c>
      <c r="M6" s="14">
        <v>0.26704069482655296</v>
      </c>
      <c r="N6" s="14">
        <v>0.95536219303491976</v>
      </c>
      <c r="O6" s="14">
        <v>219.98169856822062</v>
      </c>
      <c r="P6" s="8">
        <v>0.95536219303491976</v>
      </c>
      <c r="Q6" s="54">
        <v>4.7624782503398461E-4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0.99827166857611171</v>
      </c>
      <c r="F7" s="14">
        <v>0.10826560364419185</v>
      </c>
      <c r="G7" s="14">
        <v>1.8041706586758979E-9</v>
      </c>
      <c r="H7" s="14">
        <v>252.56345018884537</v>
      </c>
      <c r="I7" s="14">
        <v>4.760222149296518</v>
      </c>
      <c r="J7" s="14">
        <v>0</v>
      </c>
      <c r="K7" s="14">
        <v>9.2365438915062779</v>
      </c>
      <c r="L7" s="14">
        <v>0.10826560364419185</v>
      </c>
      <c r="M7" s="14">
        <v>8.8831927790059412E-2</v>
      </c>
      <c r="N7" s="14">
        <v>1.1483127903613946</v>
      </c>
      <c r="O7" s="14">
        <v>236.87396239574846</v>
      </c>
      <c r="P7" s="8">
        <v>1.1483127903613946</v>
      </c>
      <c r="Q7" s="54">
        <v>2.5201548158304433E-3</v>
      </c>
    </row>
    <row r="8" spans="1:20">
      <c r="A8" s="2" t="s">
        <v>289</v>
      </c>
      <c r="B8" s="16" t="s">
        <v>290</v>
      </c>
      <c r="D8" s="14">
        <v>1</v>
      </c>
      <c r="E8" s="14">
        <v>0.99972966626971072</v>
      </c>
      <c r="F8" s="14">
        <v>0.23072939589599181</v>
      </c>
      <c r="G8" s="14">
        <v>1.2790235922438769E-19</v>
      </c>
      <c r="H8" s="14">
        <v>218.78771319566988</v>
      </c>
      <c r="I8" s="14">
        <v>0.30804142903885234</v>
      </c>
      <c r="J8" s="14">
        <v>0</v>
      </c>
      <c r="K8" s="14">
        <v>4.3340814728730095</v>
      </c>
      <c r="L8" s="14">
        <v>0.23072939589599181</v>
      </c>
      <c r="M8" s="14">
        <v>0.18931346933266127</v>
      </c>
      <c r="N8" s="14">
        <v>0.92659654232489963</v>
      </c>
      <c r="O8" s="14">
        <v>322.84476727684154</v>
      </c>
      <c r="P8" s="8">
        <v>0.92659654232489963</v>
      </c>
      <c r="Q8" s="54">
        <v>2.3486003943363237E-4</v>
      </c>
    </row>
    <row r="9" spans="1:20">
      <c r="A9" s="2" t="s">
        <v>291</v>
      </c>
      <c r="B9" s="16" t="s">
        <v>292</v>
      </c>
      <c r="D9" s="14">
        <v>1</v>
      </c>
      <c r="E9" s="14">
        <v>0.99951101217797311</v>
      </c>
      <c r="F9" s="14">
        <v>0.61660128110773982</v>
      </c>
      <c r="G9" s="14">
        <v>5.3627371377175159E-15</v>
      </c>
      <c r="H9" s="14">
        <v>109.47234538915981</v>
      </c>
      <c r="I9" s="14">
        <v>0.38418286127326062</v>
      </c>
      <c r="J9" s="14">
        <v>0</v>
      </c>
      <c r="K9" s="14">
        <v>1.6217935814266793</v>
      </c>
      <c r="L9" s="14">
        <v>0.61660128110773982</v>
      </c>
      <c r="M9" s="14">
        <v>0.50592135114890047</v>
      </c>
      <c r="N9" s="14">
        <v>0.96046468692033848</v>
      </c>
      <c r="O9" s="14">
        <v>296.14007691814794</v>
      </c>
      <c r="P9" s="8">
        <v>0.9604646869203386</v>
      </c>
      <c r="Q9" s="54">
        <v>5.7748138143237974E-4</v>
      </c>
    </row>
    <row r="10" spans="1:20">
      <c r="A10" s="2" t="s">
        <v>367</v>
      </c>
      <c r="B10" s="16" t="s">
        <v>368</v>
      </c>
      <c r="D10" s="14">
        <v>1</v>
      </c>
      <c r="E10" s="14">
        <v>0.94725686251083485</v>
      </c>
      <c r="F10" s="14">
        <v>1.1083038261080057E-2</v>
      </c>
      <c r="G10" s="14">
        <v>1.7220561979341382E-7</v>
      </c>
      <c r="H10" s="14">
        <v>226.52640488426294</v>
      </c>
      <c r="I10" s="14">
        <v>366.33296689821293</v>
      </c>
      <c r="J10" s="14">
        <v>0</v>
      </c>
      <c r="K10" s="14">
        <v>90.227966054368622</v>
      </c>
      <c r="L10" s="14">
        <v>1.1083038261080057E-2</v>
      </c>
      <c r="M10" s="14">
        <v>9.0936328932161876E-3</v>
      </c>
      <c r="N10" s="14">
        <v>22.733439154928778</v>
      </c>
      <c r="O10" s="14">
        <v>6327.6254543828754</v>
      </c>
      <c r="P10" s="8">
        <v>22.733439154928778</v>
      </c>
      <c r="Q10" s="54">
        <v>7.9519932600195867E-2</v>
      </c>
    </row>
    <row r="11" spans="1:20">
      <c r="A11" s="2" t="s">
        <v>369</v>
      </c>
      <c r="B11" s="16" t="s">
        <v>370</v>
      </c>
      <c r="D11" s="14">
        <v>1</v>
      </c>
      <c r="E11" s="14">
        <v>0.97912042737450833</v>
      </c>
      <c r="F11" s="14">
        <v>6.2211838637859628E-4</v>
      </c>
      <c r="G11" s="14">
        <v>6.7029989129963561E-14</v>
      </c>
      <c r="H11" s="14">
        <v>160.69894917260808</v>
      </c>
      <c r="I11" s="14">
        <v>1087.0988196987969</v>
      </c>
      <c r="J11" s="14">
        <v>0</v>
      </c>
      <c r="K11" s="14">
        <v>1607.4111003551664</v>
      </c>
      <c r="L11" s="14">
        <v>6.2211838637859628E-4</v>
      </c>
      <c r="M11" s="14">
        <v>5.1044813602363825E-4</v>
      </c>
      <c r="N11" s="14">
        <v>99.762522193148016</v>
      </c>
      <c r="O11" s="14">
        <v>40593.370280391922</v>
      </c>
      <c r="P11" s="8">
        <v>99.762522193148016</v>
      </c>
      <c r="Q11" s="54">
        <v>1.2124644792074363E-2</v>
      </c>
    </row>
    <row r="12" spans="1:20">
      <c r="A12" s="2" t="s">
        <v>371</v>
      </c>
      <c r="B12" s="16" t="s">
        <v>372</v>
      </c>
      <c r="D12" s="14">
        <v>1</v>
      </c>
      <c r="E12" s="14">
        <v>0.93865493867537231</v>
      </c>
      <c r="F12" s="14">
        <v>0.94228889633575197</v>
      </c>
      <c r="G12" s="14">
        <v>8.4898472425770492E-4</v>
      </c>
      <c r="H12" s="14">
        <v>7.4988171191030031E-3</v>
      </c>
      <c r="I12" s="14">
        <v>3.4414565641499792E-2</v>
      </c>
      <c r="J12" s="14">
        <v>0</v>
      </c>
      <c r="K12" s="14">
        <v>1.0612456581932221</v>
      </c>
      <c r="L12" s="14">
        <v>0.94228889633575208</v>
      </c>
      <c r="M12" s="14">
        <v>0.77314803944348454</v>
      </c>
      <c r="N12" s="14">
        <v>0.83519077915233697</v>
      </c>
      <c r="O12" s="14">
        <v>117.08539532936611</v>
      </c>
      <c r="P12" s="8">
        <v>0.83519077915233697</v>
      </c>
      <c r="Q12" s="54">
        <v>2.8876349696554692E-3</v>
      </c>
    </row>
    <row r="13" spans="1:20">
      <c r="A13" s="2" t="s">
        <v>293</v>
      </c>
      <c r="B13" s="16" t="s">
        <v>294</v>
      </c>
      <c r="D13" s="14">
        <v>1</v>
      </c>
      <c r="E13" s="14">
        <v>0.84702526032973446</v>
      </c>
      <c r="F13" s="14">
        <v>0.63614054726143709</v>
      </c>
      <c r="G13" s="14">
        <v>2.3520230083121905E-10</v>
      </c>
      <c r="H13" s="14">
        <v>48.262862672248545</v>
      </c>
      <c r="I13" s="14">
        <v>114.62259829395266</v>
      </c>
      <c r="J13" s="14">
        <v>0</v>
      </c>
      <c r="K13" s="14">
        <v>1.5719796581195227</v>
      </c>
      <c r="L13" s="14">
        <v>0.63614054726143709</v>
      </c>
      <c r="M13" s="14">
        <v>0.52195331902800912</v>
      </c>
      <c r="N13" s="14">
        <v>7.5553621683639642</v>
      </c>
      <c r="O13" s="14">
        <v>2495.9894459407192</v>
      </c>
      <c r="P13" s="8">
        <v>7.5553621683639642</v>
      </c>
      <c r="Q13" s="54">
        <v>0.24314774653384943</v>
      </c>
    </row>
    <row r="14" spans="1:20">
      <c r="A14" s="2" t="s">
        <v>373</v>
      </c>
      <c r="B14" s="16" t="s">
        <v>374</v>
      </c>
      <c r="D14" s="14">
        <v>1</v>
      </c>
      <c r="E14" s="14">
        <v>0.99942010941431791</v>
      </c>
      <c r="F14" s="14">
        <v>8.8441851752515833E-3</v>
      </c>
      <c r="G14" s="14">
        <v>9.5363194272089555E-10</v>
      </c>
      <c r="H14" s="14">
        <v>281.11099156600392</v>
      </c>
      <c r="I14" s="14">
        <v>4.0776044334871795</v>
      </c>
      <c r="J14" s="14">
        <v>0</v>
      </c>
      <c r="K14" s="14">
        <v>113.0686411675628</v>
      </c>
      <c r="L14" s="14">
        <v>8.844185175251585E-3</v>
      </c>
      <c r="M14" s="14">
        <v>7.2566539362939253E-3</v>
      </c>
      <c r="N14" s="14">
        <v>1.8738430282233574</v>
      </c>
      <c r="O14" s="14">
        <v>499.07935213700893</v>
      </c>
      <c r="P14" s="8">
        <v>1.8738430282233574</v>
      </c>
      <c r="Q14" s="54">
        <v>5.2796495095912028E-4</v>
      </c>
    </row>
    <row r="15" spans="1:20">
      <c r="A15" s="2" t="s">
        <v>375</v>
      </c>
      <c r="B15" s="16" t="s">
        <v>376</v>
      </c>
      <c r="D15" s="14">
        <v>1</v>
      </c>
      <c r="E15" s="14">
        <v>0.86764188068906334</v>
      </c>
      <c r="F15" s="14">
        <v>0.84294002808867596</v>
      </c>
      <c r="G15" s="14">
        <v>1.042425832244534E-3</v>
      </c>
      <c r="H15" s="14">
        <v>6.0956030453657215</v>
      </c>
      <c r="I15" s="14">
        <v>17.213684871246414</v>
      </c>
      <c r="J15" s="14">
        <v>0</v>
      </c>
      <c r="K15" s="14">
        <v>1.1863240167482016</v>
      </c>
      <c r="L15" s="14">
        <v>0.84294002808867596</v>
      </c>
      <c r="M15" s="14">
        <v>0.69163229304675866</v>
      </c>
      <c r="N15" s="14">
        <v>1.7882353755904565</v>
      </c>
      <c r="O15" s="14">
        <v>267.16236511321421</v>
      </c>
      <c r="P15" s="8">
        <v>1.7882353755904565</v>
      </c>
      <c r="Q15" s="54">
        <v>9.4639807472651369E-2</v>
      </c>
    </row>
    <row r="16" spans="1:20">
      <c r="A16" s="2" t="s">
        <v>377</v>
      </c>
      <c r="B16" s="16" t="s">
        <v>378</v>
      </c>
      <c r="D16" s="14">
        <v>1</v>
      </c>
      <c r="E16" s="14">
        <v>0.83972680162837754</v>
      </c>
      <c r="F16" s="14">
        <v>0.59785647893953664</v>
      </c>
      <c r="G16" s="14">
        <v>9.0149937033473062E-6</v>
      </c>
      <c r="H16" s="14">
        <v>55.403466677622035</v>
      </c>
      <c r="I16" s="14">
        <v>129.65644533629816</v>
      </c>
      <c r="J16" s="14">
        <v>0</v>
      </c>
      <c r="K16" s="14">
        <v>1.6726422397793124</v>
      </c>
      <c r="L16" s="14">
        <v>0.59785647893953675</v>
      </c>
      <c r="M16" s="14">
        <v>0.49054124096988988</v>
      </c>
      <c r="N16" s="14">
        <v>8.4433146832642088</v>
      </c>
      <c r="O16" s="14">
        <v>1876.4422552086378</v>
      </c>
      <c r="P16" s="8">
        <v>8.4433146832642088</v>
      </c>
      <c r="Q16" s="54">
        <v>0.25362619763405814</v>
      </c>
    </row>
    <row r="17" spans="1:21">
      <c r="A17" s="2" t="s">
        <v>379</v>
      </c>
      <c r="B17" s="16" t="s">
        <v>380</v>
      </c>
      <c r="D17" s="14">
        <v>1</v>
      </c>
      <c r="E17" s="14">
        <v>0.84280302957194719</v>
      </c>
      <c r="F17" s="14">
        <v>0.62097331599414873</v>
      </c>
      <c r="G17" s="14">
        <v>2.6986180824515225E-5</v>
      </c>
      <c r="H17" s="14">
        <v>50.782366839972831</v>
      </c>
      <c r="I17" s="14">
        <v>119.9416749029199</v>
      </c>
      <c r="J17" s="14">
        <v>0</v>
      </c>
      <c r="K17" s="14">
        <v>1.6103751550081464</v>
      </c>
      <c r="L17" s="14">
        <v>0.62097331599414873</v>
      </c>
      <c r="M17" s="14">
        <v>0.50950860577319912</v>
      </c>
      <c r="N17" s="14">
        <v>7.8680593403197889</v>
      </c>
      <c r="O17" s="14">
        <v>1011.5177087915122</v>
      </c>
      <c r="P17" s="8">
        <v>7.8680593403197898</v>
      </c>
      <c r="Q17" s="54">
        <v>0.2468141811066038</v>
      </c>
    </row>
    <row r="18" spans="1:21">
      <c r="A18" s="2" t="s">
        <v>381</v>
      </c>
      <c r="B18" s="16" t="s">
        <v>382</v>
      </c>
      <c r="D18" s="14">
        <v>1</v>
      </c>
      <c r="E18" s="14">
        <v>0.94829990312229606</v>
      </c>
      <c r="F18" s="14">
        <v>6.9161566874703629E-4</v>
      </c>
      <c r="G18" s="14">
        <v>4.9271219492958129E-10</v>
      </c>
      <c r="H18" s="14">
        <v>72.604714795907157</v>
      </c>
      <c r="I18" s="14">
        <v>1821.4698818688214</v>
      </c>
      <c r="J18" s="14">
        <v>0</v>
      </c>
      <c r="K18" s="14">
        <v>1445.8897407741604</v>
      </c>
      <c r="L18" s="14">
        <v>6.916156687470364E-4</v>
      </c>
      <c r="M18" s="14">
        <v>5.6747065620694332E-4</v>
      </c>
      <c r="N18" s="14">
        <v>114.62432271073544</v>
      </c>
      <c r="O18" s="14">
        <v>44851.351233483678</v>
      </c>
      <c r="P18" s="8">
        <v>114.62432271073546</v>
      </c>
      <c r="Q18" s="54">
        <v>5.8266910975603506E-2</v>
      </c>
    </row>
    <row r="19" spans="1:21">
      <c r="A19" s="2" t="s">
        <v>383</v>
      </c>
      <c r="B19" s="16" t="s">
        <v>384</v>
      </c>
      <c r="D19" s="14">
        <v>1</v>
      </c>
      <c r="E19" s="14">
        <v>0.95634111769139918</v>
      </c>
      <c r="F19" s="14">
        <v>0.95124237384334986</v>
      </c>
      <c r="G19" s="14">
        <v>1.3722071430331663E-4</v>
      </c>
      <c r="H19" s="14">
        <v>1.8740932136679598</v>
      </c>
      <c r="I19" s="14">
        <v>5.8243619875547976</v>
      </c>
      <c r="J19" s="14">
        <v>0</v>
      </c>
      <c r="K19" s="14">
        <v>1.0512567853339547</v>
      </c>
      <c r="L19" s="14">
        <v>0.95124237384334998</v>
      </c>
      <c r="M19" s="14">
        <v>0.78049436773846859</v>
      </c>
      <c r="N19" s="14">
        <v>1.1924931089629076</v>
      </c>
      <c r="O19" s="14">
        <v>111.05688323771558</v>
      </c>
      <c r="P19" s="8">
        <v>1.1924931089629078</v>
      </c>
      <c r="Q19" s="54">
        <v>5.4231093161877394E-2</v>
      </c>
    </row>
    <row r="20" spans="1:21">
      <c r="A20" s="2" t="s">
        <v>385</v>
      </c>
      <c r="B20" s="16" t="s">
        <v>386</v>
      </c>
      <c r="D20" s="14">
        <v>1</v>
      </c>
      <c r="E20" s="14">
        <v>0.93596551424529784</v>
      </c>
      <c r="F20" s="14">
        <v>0.92376653848111245</v>
      </c>
      <c r="G20" s="14">
        <v>2.6072982579310725E-4</v>
      </c>
      <c r="H20" s="14">
        <v>3.4006522769636596</v>
      </c>
      <c r="I20" s="14">
        <v>10.092979648766375</v>
      </c>
      <c r="J20" s="14">
        <v>0</v>
      </c>
      <c r="K20" s="14">
        <v>1.0825245972258672</v>
      </c>
      <c r="L20" s="14">
        <v>0.92376653848111256</v>
      </c>
      <c r="M20" s="14">
        <v>0.75795044482375284</v>
      </c>
      <c r="N20" s="14">
        <v>1.4270040642150306</v>
      </c>
      <c r="O20" s="14">
        <v>158.56869161557421</v>
      </c>
      <c r="P20" s="8">
        <v>1.4270040642150306</v>
      </c>
      <c r="Q20" s="54">
        <v>7.294900918499575E-2</v>
      </c>
    </row>
    <row r="21" spans="1:21">
      <c r="A21" s="2" t="s">
        <v>387</v>
      </c>
      <c r="B21" s="16" t="s">
        <v>388</v>
      </c>
      <c r="D21" s="14">
        <v>1</v>
      </c>
      <c r="E21" s="14">
        <v>0.96753664841199349</v>
      </c>
      <c r="F21" s="14">
        <v>0.11092638110180673</v>
      </c>
      <c r="G21" s="14">
        <v>2.155661367560188E-5</v>
      </c>
      <c r="H21" s="14">
        <v>234.13958521625963</v>
      </c>
      <c r="I21" s="14">
        <v>87.489437077331587</v>
      </c>
      <c r="J21" s="14">
        <v>0</v>
      </c>
      <c r="K21" s="14">
        <v>9.0149880494362602</v>
      </c>
      <c r="L21" s="14">
        <v>0.11092638110180673</v>
      </c>
      <c r="M21" s="14">
        <v>9.1015095694032433E-2</v>
      </c>
      <c r="N21" s="14">
        <v>6.0598198579862492</v>
      </c>
      <c r="O21" s="14">
        <v>1196.5114309593848</v>
      </c>
      <c r="P21" s="8">
        <v>6.0598198579862492</v>
      </c>
      <c r="Q21" s="54">
        <v>4.8234260239439074E-2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0.93434568416559927</v>
      </c>
      <c r="F22" s="14">
        <v>0.93654888204430831</v>
      </c>
      <c r="G22" s="14">
        <v>7.5210579937146755E-4</v>
      </c>
      <c r="H22" s="14">
        <v>0.29733802320795588</v>
      </c>
      <c r="I22" s="14">
        <v>1.0570794268358028</v>
      </c>
      <c r="J22" s="14">
        <v>0</v>
      </c>
      <c r="K22" s="14">
        <v>1.0677499265358044</v>
      </c>
      <c r="L22" s="14">
        <v>0.93654888204430842</v>
      </c>
      <c r="M22" s="14">
        <v>0.76843835771735503</v>
      </c>
      <c r="N22" s="14">
        <v>0.8913543604836226</v>
      </c>
      <c r="O22" s="14">
        <v>51.769861256888795</v>
      </c>
      <c r="P22" s="8">
        <v>0.8913543604836226</v>
      </c>
      <c r="Q22" s="54">
        <v>2.0620900208533438E-2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0.8611480775661664</v>
      </c>
      <c r="F23" s="14">
        <v>0.81548245581409029</v>
      </c>
      <c r="G23" s="14">
        <v>8.6119819281845042E-4</v>
      </c>
      <c r="H23" s="14">
        <v>10.746687544316254</v>
      </c>
      <c r="I23" s="14">
        <v>29.035666057630309</v>
      </c>
      <c r="J23" s="14">
        <v>0</v>
      </c>
      <c r="K23" s="14">
        <v>1.2262679507944867</v>
      </c>
      <c r="L23" s="14">
        <v>0.81548245581409029</v>
      </c>
      <c r="M23" s="14">
        <v>0.66910335499546114</v>
      </c>
      <c r="N23" s="14">
        <v>2.4833788613180294</v>
      </c>
      <c r="O23" s="14">
        <v>266.09404499022691</v>
      </c>
      <c r="P23" s="8">
        <v>2.4833788613180299</v>
      </c>
      <c r="Q23" s="54">
        <v>0.12517909080805234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0.82389700780440145</v>
      </c>
      <c r="F24" s="14">
        <v>0.47015553552834716</v>
      </c>
      <c r="G24" s="14">
        <v>2.7046435794619062E-5</v>
      </c>
      <c r="H24" s="14">
        <v>81.410712146010823</v>
      </c>
      <c r="I24" s="14">
        <v>181.94441316114077</v>
      </c>
      <c r="J24" s="14">
        <v>0</v>
      </c>
      <c r="K24" s="14">
        <v>2.1269557081280115</v>
      </c>
      <c r="L24" s="14">
        <v>0.47015553552834716</v>
      </c>
      <c r="M24" s="14">
        <v>0.38576261690100888</v>
      </c>
      <c r="N24" s="14">
        <v>11.542537525047072</v>
      </c>
      <c r="O24" s="14">
        <v>1870.1219298081267</v>
      </c>
      <c r="P24" s="8">
        <v>11.542537525047072</v>
      </c>
      <c r="Q24" s="54">
        <v>0.27627317869861678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0.945446263632857</v>
      </c>
      <c r="F25" s="14">
        <v>9.680772347214039E-4</v>
      </c>
      <c r="G25" s="14">
        <v>2.27802504812065E-6</v>
      </c>
      <c r="H25" s="14">
        <v>86.962097725759108</v>
      </c>
      <c r="I25" s="14">
        <v>1680.3013571371487</v>
      </c>
      <c r="J25" s="14">
        <v>0</v>
      </c>
      <c r="K25" s="14">
        <v>1032.9754322626777</v>
      </c>
      <c r="L25" s="14">
        <v>9.6807723472140401E-4</v>
      </c>
      <c r="M25" s="14">
        <v>7.9430737108891194E-4</v>
      </c>
      <c r="N25" s="14">
        <v>105.59418965791113</v>
      </c>
      <c r="O25" s="14">
        <v>24644.627924259876</v>
      </c>
      <c r="P25" s="8">
        <v>105.59418965791113</v>
      </c>
      <c r="Q25" s="54">
        <v>6.4504078921684666E-2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0.73550233551920563</v>
      </c>
      <c r="F26" s="14">
        <v>0.16712892508974456</v>
      </c>
      <c r="G26" s="14">
        <v>1.8054277260404984E-3</v>
      </c>
      <c r="H26" s="14">
        <v>133.03062147595878</v>
      </c>
      <c r="I26" s="14">
        <v>265.71054534215108</v>
      </c>
      <c r="J26" s="14">
        <v>0</v>
      </c>
      <c r="K26" s="14">
        <v>5.9834047246042061</v>
      </c>
      <c r="L26" s="14">
        <v>0.16712892508974456</v>
      </c>
      <c r="M26" s="14">
        <v>0.13712928303613542</v>
      </c>
      <c r="N26" s="14">
        <v>16.470153066054955</v>
      </c>
      <c r="O26" s="14">
        <v>2110.9795184762634</v>
      </c>
      <c r="P26" s="8">
        <v>16.470153066054955</v>
      </c>
      <c r="Q26" s="54">
        <v>0.21747472519864333</v>
      </c>
    </row>
    <row r="27" spans="1:21">
      <c r="A27" s="2" t="s">
        <v>397</v>
      </c>
      <c r="B27" s="16" t="s">
        <v>398</v>
      </c>
      <c r="D27" s="14">
        <v>1</v>
      </c>
      <c r="E27" s="14">
        <v>0.38798370551439548</v>
      </c>
      <c r="F27" s="14">
        <v>1.9686392199136808E-2</v>
      </c>
      <c r="G27" s="14">
        <v>8.1627147607720666E-3</v>
      </c>
      <c r="H27" s="14">
        <v>87.984492435110127</v>
      </c>
      <c r="I27" s="14">
        <v>154.76163306030605</v>
      </c>
      <c r="J27" s="14">
        <v>0</v>
      </c>
      <c r="K27" s="14">
        <v>50.796509075128917</v>
      </c>
      <c r="L27" s="14">
        <v>1.9686392199136808E-2</v>
      </c>
      <c r="M27" s="14">
        <v>1.6152684799391751E-2</v>
      </c>
      <c r="N27" s="14">
        <v>9.5729211785798949</v>
      </c>
      <c r="O27" s="14">
        <v>1737.006547853322</v>
      </c>
      <c r="P27" s="8">
        <v>9.5729211785798967</v>
      </c>
      <c r="Q27" s="54">
        <v>6.2959794785731882E-2</v>
      </c>
    </row>
    <row r="28" spans="1:21">
      <c r="A28" s="2" t="s">
        <v>399</v>
      </c>
      <c r="B28" s="16" t="s">
        <v>400</v>
      </c>
      <c r="D28" s="14">
        <v>1</v>
      </c>
      <c r="E28" s="14">
        <v>0.21023642909203655</v>
      </c>
      <c r="F28" s="14">
        <v>3.6955518275859134E-2</v>
      </c>
      <c r="G28" s="14">
        <v>1.0764349373785714E-2</v>
      </c>
      <c r="H28" s="14">
        <v>40.715455458659513</v>
      </c>
      <c r="I28" s="14">
        <v>79.399262428621967</v>
      </c>
      <c r="J28" s="14">
        <v>0</v>
      </c>
      <c r="K28" s="14">
        <v>27.059558265030237</v>
      </c>
      <c r="L28" s="14">
        <v>3.6955518275859134E-2</v>
      </c>
      <c r="M28" s="14">
        <v>3.032200274534242E-2</v>
      </c>
      <c r="N28" s="14">
        <v>4.914778992908448</v>
      </c>
      <c r="O28" s="14">
        <v>722.47251195754188</v>
      </c>
      <c r="P28" s="8">
        <v>4.914778992908448</v>
      </c>
      <c r="Q28" s="54">
        <v>5.6966097403587851E-2</v>
      </c>
    </row>
    <row r="29" spans="1:21">
      <c r="A29" s="2" t="s">
        <v>297</v>
      </c>
      <c r="B29" s="16" t="s">
        <v>298</v>
      </c>
      <c r="D29" s="14">
        <v>1</v>
      </c>
      <c r="E29" s="14">
        <v>7.6691806404572127E-2</v>
      </c>
      <c r="F29" s="14">
        <v>7.5338152099976574E-2</v>
      </c>
      <c r="G29" s="14">
        <v>1.3129356815539346E-2</v>
      </c>
      <c r="H29" s="14">
        <v>0.35613525134920404</v>
      </c>
      <c r="I29" s="14">
        <v>1.0377007589343523</v>
      </c>
      <c r="J29" s="14">
        <v>0</v>
      </c>
      <c r="K29" s="14">
        <v>13.273487232245387</v>
      </c>
      <c r="L29" s="14">
        <v>7.5338152099976574E-2</v>
      </c>
      <c r="M29" s="14">
        <v>6.1814953798030779E-2</v>
      </c>
      <c r="N29" s="14">
        <v>0.12940176854191038</v>
      </c>
      <c r="O29" s="14">
        <v>10.990092202264449</v>
      </c>
      <c r="P29" s="8">
        <v>0.12940176854191041</v>
      </c>
      <c r="Q29" s="54">
        <v>6.777540701654948E-3</v>
      </c>
    </row>
    <row r="30" spans="1:21">
      <c r="A30" s="2" t="s">
        <v>401</v>
      </c>
      <c r="B30" s="16" t="s">
        <v>402</v>
      </c>
      <c r="D30" s="14">
        <v>1</v>
      </c>
      <c r="E30" s="14">
        <v>8.2271371870604168E-2</v>
      </c>
      <c r="F30" s="14">
        <v>1.5366517779592553E-2</v>
      </c>
      <c r="G30" s="14">
        <v>1.2903393761934565E-2</v>
      </c>
      <c r="H30" s="14">
        <v>15.706356934759221</v>
      </c>
      <c r="I30" s="14">
        <v>30.798717591228211</v>
      </c>
      <c r="J30" s="14">
        <v>0</v>
      </c>
      <c r="K30" s="14">
        <v>65.076552433241972</v>
      </c>
      <c r="L30" s="14">
        <v>1.5366517779592555E-2</v>
      </c>
      <c r="M30" s="14">
        <v>1.2608227838155692E-2</v>
      </c>
      <c r="N30" s="14">
        <v>1.9069203509062498</v>
      </c>
      <c r="O30" s="14">
        <v>316.22460179078342</v>
      </c>
      <c r="P30" s="8">
        <v>1.9069203509062498</v>
      </c>
      <c r="Q30" s="54">
        <v>2.2778893995501343E-2</v>
      </c>
    </row>
    <row r="31" spans="1:21">
      <c r="A31" s="2" t="s">
        <v>299</v>
      </c>
      <c r="B31" s="16" t="s">
        <v>300</v>
      </c>
      <c r="D31" s="14">
        <v>1</v>
      </c>
      <c r="E31" s="14">
        <v>1.69120789525947E-3</v>
      </c>
      <c r="F31" s="14">
        <v>5.7791621910751039E-4</v>
      </c>
      <c r="G31" s="14">
        <v>1.4256514847569554E-2</v>
      </c>
      <c r="H31" s="14">
        <v>0.25881228259128386</v>
      </c>
      <c r="I31" s="14">
        <v>0.53931444650356597</v>
      </c>
      <c r="J31" s="14">
        <v>0</v>
      </c>
      <c r="K31" s="14">
        <v>1730.3546205093942</v>
      </c>
      <c r="L31" s="14">
        <v>5.7791621910751039E-4</v>
      </c>
      <c r="M31" s="14">
        <v>4.7418025777771231E-4</v>
      </c>
      <c r="N31" s="14">
        <v>3.3584693380127928E-2</v>
      </c>
      <c r="O31" s="14">
        <v>2.7586467142437083</v>
      </c>
      <c r="P31" s="8">
        <v>3.3584693380127928E-2</v>
      </c>
      <c r="Q31" s="54">
        <v>5.5723970520664672E-4</v>
      </c>
    </row>
    <row r="32" spans="1:21">
      <c r="A32" s="2" t="s">
        <v>343</v>
      </c>
      <c r="B32" s="16" t="s">
        <v>344</v>
      </c>
      <c r="D32" s="14">
        <v>1</v>
      </c>
      <c r="E32" s="14">
        <v>0.85386805211997929</v>
      </c>
      <c r="F32" s="14">
        <v>0.67508676390044198</v>
      </c>
      <c r="G32" s="14">
        <v>2.6104061307518035E-5</v>
      </c>
      <c r="H32" s="14">
        <v>40.895883321089066</v>
      </c>
      <c r="I32" s="14">
        <v>98.749922586860677</v>
      </c>
      <c r="J32" s="14">
        <v>0</v>
      </c>
      <c r="K32" s="14">
        <v>1.4812910776420947</v>
      </c>
      <c r="L32" s="14">
        <v>0.67508676390044198</v>
      </c>
      <c r="M32" s="14">
        <v>0.5539086897803126</v>
      </c>
      <c r="N32" s="14">
        <v>6.6174832553698781</v>
      </c>
      <c r="O32" s="14">
        <v>1086.5907505317339</v>
      </c>
      <c r="P32" s="8">
        <v>6.6174832553698781</v>
      </c>
      <c r="Q32" s="54">
        <v>0.22947573198044557</v>
      </c>
    </row>
    <row r="33" spans="1:17">
      <c r="A33" s="2" t="s">
        <v>345</v>
      </c>
      <c r="B33" s="16" t="s">
        <v>346</v>
      </c>
      <c r="D33" s="14">
        <v>1</v>
      </c>
      <c r="E33" s="14">
        <v>0.89532624256078053</v>
      </c>
      <c r="F33" s="14">
        <v>0.81467348711044529</v>
      </c>
      <c r="G33" s="14">
        <v>1.0616761724816654E-6</v>
      </c>
      <c r="H33" s="14">
        <v>18.610737467076426</v>
      </c>
      <c r="I33" s="14">
        <v>48.285947021907639</v>
      </c>
      <c r="J33" s="14">
        <v>0</v>
      </c>
      <c r="K33" s="14">
        <v>1.2274856317552285</v>
      </c>
      <c r="L33" s="14">
        <v>0.8146734871104454</v>
      </c>
      <c r="M33" s="14">
        <v>0.66843959617412041</v>
      </c>
      <c r="N33" s="14">
        <v>3.6558340593635696</v>
      </c>
      <c r="O33" s="14">
        <v>552.61587641339713</v>
      </c>
      <c r="P33" s="8">
        <v>3.6558340593635696</v>
      </c>
      <c r="Q33" s="54">
        <v>0.1665791929054353</v>
      </c>
    </row>
    <row r="34" spans="1:17">
      <c r="A34" s="2" t="s">
        <v>347</v>
      </c>
      <c r="B34" s="16" t="s">
        <v>348</v>
      </c>
      <c r="D34" s="14">
        <v>1</v>
      </c>
      <c r="E34" s="14">
        <v>0.83733954121163379</v>
      </c>
      <c r="F34" s="14">
        <v>0.21294257347099518</v>
      </c>
      <c r="G34" s="14">
        <v>9.8046249609736991E-7</v>
      </c>
      <c r="H34" s="14">
        <v>145.88226523136615</v>
      </c>
      <c r="I34" s="14">
        <v>294.61826599741892</v>
      </c>
      <c r="J34" s="14">
        <v>0</v>
      </c>
      <c r="K34" s="14">
        <v>4.6961017879133014</v>
      </c>
      <c r="L34" s="14">
        <v>0.21294257347099518</v>
      </c>
      <c r="M34" s="14">
        <v>0.17471938153295155</v>
      </c>
      <c r="N34" s="14">
        <v>18.278453122204784</v>
      </c>
      <c r="O34" s="14">
        <v>3221.5773627885928</v>
      </c>
      <c r="P34" s="8">
        <v>18.278453122204784</v>
      </c>
      <c r="Q34" s="54">
        <v>0.25624751892908615</v>
      </c>
    </row>
    <row r="35" spans="1:17">
      <c r="A35" s="2" t="s">
        <v>349</v>
      </c>
      <c r="B35" s="16" t="s">
        <v>350</v>
      </c>
      <c r="D35" s="14">
        <v>1</v>
      </c>
      <c r="E35" s="14">
        <v>0.91836726880452713</v>
      </c>
      <c r="F35" s="14">
        <v>2.2801393051256877E-2</v>
      </c>
      <c r="G35" s="14">
        <v>1.6122406564773463E-4</v>
      </c>
      <c r="H35" s="14">
        <v>215.77512706852539</v>
      </c>
      <c r="I35" s="14">
        <v>359.13567796326703</v>
      </c>
      <c r="J35" s="14">
        <v>0</v>
      </c>
      <c r="K35" s="14">
        <v>43.856969517258378</v>
      </c>
      <c r="L35" s="14">
        <v>2.280139305125688E-2</v>
      </c>
      <c r="M35" s="14">
        <v>1.8708542998556271E-2</v>
      </c>
      <c r="N35" s="14">
        <v>22.244049607120221</v>
      </c>
      <c r="O35" s="14">
        <v>4277.5307394492193</v>
      </c>
      <c r="P35" s="8">
        <v>22.244049607120225</v>
      </c>
      <c r="Q35" s="54">
        <v>0.1078098773106913</v>
      </c>
    </row>
    <row r="36" spans="1:17">
      <c r="A36" s="2" t="s">
        <v>351</v>
      </c>
      <c r="B36" s="16" t="s">
        <v>352</v>
      </c>
      <c r="D36" s="14">
        <v>1</v>
      </c>
      <c r="E36" s="14">
        <v>0.93977426620531568</v>
      </c>
      <c r="F36" s="14">
        <v>4.97923096027724E-3</v>
      </c>
      <c r="G36" s="14">
        <v>4.2911209824523118E-6</v>
      </c>
      <c r="H36" s="14">
        <v>181.77839786466569</v>
      </c>
      <c r="I36" s="14">
        <v>776.96139797887906</v>
      </c>
      <c r="J36" s="14">
        <v>0</v>
      </c>
      <c r="K36" s="14">
        <v>200.83422680684825</v>
      </c>
      <c r="L36" s="14">
        <v>4.97923096027724E-3</v>
      </c>
      <c r="M36" s="14">
        <v>4.0854590029074751E-3</v>
      </c>
      <c r="N36" s="14">
        <v>48.443534867731479</v>
      </c>
      <c r="O36" s="14">
        <v>10772.38884853745</v>
      </c>
      <c r="P36" s="8">
        <v>48.443534867731486</v>
      </c>
      <c r="Q36" s="54">
        <v>8.5545947749677373E-2</v>
      </c>
    </row>
    <row r="37" spans="1:17">
      <c r="A37" s="2" t="s">
        <v>353</v>
      </c>
      <c r="B37" s="16" t="s">
        <v>354</v>
      </c>
      <c r="D37" s="14">
        <v>1</v>
      </c>
      <c r="E37" s="14">
        <v>0.94560097031048995</v>
      </c>
      <c r="F37" s="14">
        <v>7.5888554854625231E-4</v>
      </c>
      <c r="G37" s="14">
        <v>2.9013810509413327E-5</v>
      </c>
      <c r="H37" s="14">
        <v>76.291522627327652</v>
      </c>
      <c r="I37" s="14">
        <v>1780.0551315509906</v>
      </c>
      <c r="J37" s="14">
        <v>0</v>
      </c>
      <c r="K37" s="14">
        <v>1317.7217591185324</v>
      </c>
      <c r="L37" s="14">
        <v>7.5888554854625231E-4</v>
      </c>
      <c r="M37" s="14">
        <v>6.226655925822E-4</v>
      </c>
      <c r="N37" s="14">
        <v>111.97493501648297</v>
      </c>
      <c r="O37" s="14">
        <v>26469.754888546409</v>
      </c>
      <c r="P37" s="8">
        <v>111.97493501648299</v>
      </c>
      <c r="Q37" s="54">
        <v>5.9900914589312092E-2</v>
      </c>
    </row>
    <row r="38" spans="1:17">
      <c r="A38" s="2" t="s">
        <v>355</v>
      </c>
      <c r="B38" s="16" t="s">
        <v>356</v>
      </c>
      <c r="D38" s="14">
        <v>1</v>
      </c>
      <c r="E38" s="14">
        <v>0.93954779625346296</v>
      </c>
      <c r="F38" s="14">
        <v>2.7420662460287243E-3</v>
      </c>
      <c r="G38" s="14">
        <v>1.6069650466504617E-6</v>
      </c>
      <c r="H38" s="14">
        <v>144.0051231068183</v>
      </c>
      <c r="I38" s="14">
        <v>1131.9705119459425</v>
      </c>
      <c r="J38" s="14">
        <v>0</v>
      </c>
      <c r="K38" s="14">
        <v>364.68849045798163</v>
      </c>
      <c r="L38" s="14">
        <v>2.7420662460287243E-3</v>
      </c>
      <c r="M38" s="14">
        <v>2.2498653548665686E-3</v>
      </c>
      <c r="N38" s="14">
        <v>70.800202098051955</v>
      </c>
      <c r="O38" s="14">
        <v>18294.772222136624</v>
      </c>
      <c r="P38" s="8">
        <v>70.800202098051955</v>
      </c>
      <c r="Q38" s="54">
        <v>8.1439502794983396E-2</v>
      </c>
    </row>
    <row r="39" spans="1:17">
      <c r="A39" s="2" t="s">
        <v>357</v>
      </c>
      <c r="B39" s="16" t="s">
        <v>358</v>
      </c>
      <c r="D39" s="14">
        <v>1</v>
      </c>
      <c r="E39" s="14">
        <v>0.91811945891783753</v>
      </c>
      <c r="F39" s="14">
        <v>4.1393599819238725E-3</v>
      </c>
      <c r="G39" s="14">
        <v>3.2588298404927793E-4</v>
      </c>
      <c r="H39" s="14">
        <v>167.66144186986037</v>
      </c>
      <c r="I39" s="14">
        <v>852.88478616302757</v>
      </c>
      <c r="J39" s="14">
        <v>0</v>
      </c>
      <c r="K39" s="14">
        <v>241.58324097611452</v>
      </c>
      <c r="L39" s="14">
        <v>4.1393599819238725E-3</v>
      </c>
      <c r="M39" s="14">
        <v>3.3963448651685374E-3</v>
      </c>
      <c r="N39" s="14">
        <v>53.224634298583105</v>
      </c>
      <c r="O39" s="14">
        <v>12581.77130184206</v>
      </c>
      <c r="P39" s="8">
        <v>53.224634298583105</v>
      </c>
      <c r="Q39" s="54">
        <v>8.3155382867576275E-2</v>
      </c>
    </row>
    <row r="40" spans="1:17">
      <c r="A40" s="2" t="s">
        <v>359</v>
      </c>
      <c r="B40" s="16" t="s">
        <v>360</v>
      </c>
      <c r="D40" s="14">
        <v>1</v>
      </c>
      <c r="E40" s="14">
        <v>0.93954779625346296</v>
      </c>
      <c r="F40" s="14">
        <v>2.7420662460287243E-3</v>
      </c>
      <c r="G40" s="14">
        <v>1.6069650466504617E-6</v>
      </c>
      <c r="H40" s="14">
        <v>144.0051231068183</v>
      </c>
      <c r="I40" s="14">
        <v>1131.9705119459425</v>
      </c>
      <c r="J40" s="14">
        <v>0</v>
      </c>
      <c r="K40" s="14">
        <v>364.68849045798163</v>
      </c>
      <c r="L40" s="14">
        <v>2.7420662460287243E-3</v>
      </c>
      <c r="M40" s="14">
        <v>2.2498653548665686E-3</v>
      </c>
      <c r="N40" s="14">
        <v>70.800202098051955</v>
      </c>
      <c r="O40" s="14">
        <v>18294.772222136624</v>
      </c>
      <c r="P40" s="8">
        <v>70.800202098051955</v>
      </c>
      <c r="Q40" s="54">
        <v>8.1439502794983396E-2</v>
      </c>
    </row>
    <row r="41" spans="1:17">
      <c r="A41" s="2" t="s">
        <v>313</v>
      </c>
      <c r="B41" s="16" t="s">
        <v>314</v>
      </c>
      <c r="D41" s="14">
        <v>1</v>
      </c>
      <c r="E41" s="14">
        <v>0.99980344266894816</v>
      </c>
      <c r="F41" s="14">
        <v>0.95798401670431299</v>
      </c>
      <c r="G41" s="14">
        <v>6.2357564212436106E-10</v>
      </c>
      <c r="H41" s="14">
        <v>12.944290866065721</v>
      </c>
      <c r="I41" s="14">
        <v>2.8520716288447774E-2</v>
      </c>
      <c r="J41" s="14">
        <v>0</v>
      </c>
      <c r="K41" s="14">
        <v>1.0438587518821365</v>
      </c>
      <c r="L41" s="14">
        <v>0.95798401670431299</v>
      </c>
      <c r="M41" s="14">
        <v>0.78602588570588883</v>
      </c>
      <c r="N41" s="14">
        <v>0.90329209630223239</v>
      </c>
      <c r="O41" s="14">
        <v>166.30510785020402</v>
      </c>
      <c r="P41" s="8">
        <v>0.90329209630223239</v>
      </c>
      <c r="Q41" s="54">
        <v>1.2171957533305082E-4</v>
      </c>
    </row>
    <row r="42" spans="1:17">
      <c r="A42" s="2" t="s">
        <v>315</v>
      </c>
      <c r="B42" s="16" t="s">
        <v>316</v>
      </c>
      <c r="D42" s="14">
        <v>1</v>
      </c>
      <c r="E42" s="14">
        <v>0.94552428995538274</v>
      </c>
      <c r="F42" s="14">
        <v>6.8959135391762712E-4</v>
      </c>
      <c r="G42" s="14">
        <v>4.1813863326342409E-5</v>
      </c>
      <c r="H42" s="14">
        <v>72.392205439211054</v>
      </c>
      <c r="I42" s="14">
        <v>1816.1385560186288</v>
      </c>
      <c r="J42" s="14">
        <v>0</v>
      </c>
      <c r="K42" s="14">
        <v>1450.1341908057793</v>
      </c>
      <c r="L42" s="14">
        <v>6.8959135391762712E-4</v>
      </c>
      <c r="M42" s="14">
        <v>5.6580970588941302E-4</v>
      </c>
      <c r="N42" s="14">
        <v>114.28882464908121</v>
      </c>
      <c r="O42" s="14">
        <v>41705.135002696232</v>
      </c>
      <c r="P42" s="8">
        <v>114.28882464908122</v>
      </c>
      <c r="Q42" s="54">
        <v>5.8096367453699983E-2</v>
      </c>
    </row>
    <row r="43" spans="1:17">
      <c r="A43" s="2" t="s">
        <v>317</v>
      </c>
      <c r="B43" s="16" t="s">
        <v>318</v>
      </c>
      <c r="D43" s="14">
        <v>1</v>
      </c>
      <c r="E43" s="14">
        <v>0.82369772792355866</v>
      </c>
      <c r="F43" s="14">
        <v>0.43978858789295239</v>
      </c>
      <c r="G43" s="14">
        <v>6.0739672134310155E-14</v>
      </c>
      <c r="H43" s="14">
        <v>88.479764010640608</v>
      </c>
      <c r="I43" s="14">
        <v>195.56950043844788</v>
      </c>
      <c r="J43" s="14">
        <v>0</v>
      </c>
      <c r="K43" s="14">
        <v>2.2738198023533225</v>
      </c>
      <c r="L43" s="14">
        <v>0.43978858789295244</v>
      </c>
      <c r="M43" s="14">
        <v>0.36084653636616748</v>
      </c>
      <c r="N43" s="14">
        <v>12.354176577986522</v>
      </c>
      <c r="O43" s="14">
        <v>3920.2273117266832</v>
      </c>
      <c r="P43" s="8">
        <v>12.354176577986522</v>
      </c>
      <c r="Q43" s="54">
        <v>0.27944807764553287</v>
      </c>
    </row>
    <row r="44" spans="1:17">
      <c r="A44" s="2" t="s">
        <v>307</v>
      </c>
      <c r="B44" s="16" t="s">
        <v>308</v>
      </c>
      <c r="D44" s="14">
        <v>1</v>
      </c>
      <c r="E44" s="14">
        <v>0.94262861462302627</v>
      </c>
      <c r="F44" s="14">
        <v>7.4447250249970237E-3</v>
      </c>
      <c r="G44" s="14">
        <v>1.430003660498744E-6</v>
      </c>
      <c r="H44" s="14">
        <v>206.01965780454981</v>
      </c>
      <c r="I44" s="14">
        <v>553.56144235404872</v>
      </c>
      <c r="J44" s="14">
        <v>0</v>
      </c>
      <c r="K44" s="14">
        <v>134.32329557402286</v>
      </c>
      <c r="L44" s="14">
        <v>7.4447250249970245E-3</v>
      </c>
      <c r="M44" s="14">
        <v>6.1083968830100586E-3</v>
      </c>
      <c r="N44" s="14">
        <v>34.434562618723675</v>
      </c>
      <c r="O44" s="14">
        <v>12072.413308498331</v>
      </c>
      <c r="P44" s="8">
        <v>34.434562618723675</v>
      </c>
      <c r="Q44" s="54">
        <v>8.4288016167854168E-2</v>
      </c>
    </row>
    <row r="45" spans="1:17">
      <c r="A45" s="2" t="s">
        <v>319</v>
      </c>
      <c r="B45" s="16" t="s">
        <v>320</v>
      </c>
      <c r="D45" s="14">
        <v>1</v>
      </c>
      <c r="E45" s="14">
        <v>0.95487944276480607</v>
      </c>
      <c r="F45" s="14">
        <v>3.0656472157575753E-4</v>
      </c>
      <c r="G45" s="14">
        <v>1.3542868575584343E-7</v>
      </c>
      <c r="H45" s="14">
        <v>45.896775629138048</v>
      </c>
      <c r="I45" s="14">
        <v>2087.0812046883725</v>
      </c>
      <c r="J45" s="14">
        <v>0</v>
      </c>
      <c r="K45" s="14">
        <v>3261.9539354037593</v>
      </c>
      <c r="L45" s="14">
        <v>3.0656472157575753E-4</v>
      </c>
      <c r="M45" s="14">
        <v>2.5153635405290907E-4</v>
      </c>
      <c r="N45" s="14">
        <v>131.75671580515271</v>
      </c>
      <c r="O45" s="14">
        <v>46706.438185768588</v>
      </c>
      <c r="P45" s="8">
        <v>131.75671580515274</v>
      </c>
      <c r="Q45" s="54">
        <v>4.4069624191739765E-2</v>
      </c>
    </row>
    <row r="46" spans="1:17">
      <c r="A46" s="2" t="s">
        <v>321</v>
      </c>
      <c r="B46" s="16" t="s">
        <v>322</v>
      </c>
      <c r="D46" s="14">
        <v>1</v>
      </c>
      <c r="E46" s="14">
        <v>0.94923336450840579</v>
      </c>
      <c r="F46" s="14">
        <v>6.1636382241813921E-4</v>
      </c>
      <c r="G46" s="14">
        <v>2.0087487868690704E-7</v>
      </c>
      <c r="H46" s="14">
        <v>68.154908613586457</v>
      </c>
      <c r="I46" s="14">
        <v>1865.3241396122901</v>
      </c>
      <c r="J46" s="14">
        <v>0</v>
      </c>
      <c r="K46" s="14">
        <v>1622.4183893155284</v>
      </c>
      <c r="L46" s="14">
        <v>6.1636382241813932E-4</v>
      </c>
      <c r="M46" s="14">
        <v>5.0572651629408329E-4</v>
      </c>
      <c r="N46" s="14">
        <v>117.43842435804608</v>
      </c>
      <c r="O46" s="14">
        <v>41630.747050683756</v>
      </c>
      <c r="P46" s="8">
        <v>117.43842435804609</v>
      </c>
      <c r="Q46" s="54">
        <v>5.6150588270421242E-2</v>
      </c>
    </row>
    <row r="47" spans="1:17">
      <c r="A47" s="2" t="s">
        <v>323</v>
      </c>
      <c r="B47" s="16" t="s">
        <v>324</v>
      </c>
      <c r="D47" s="14">
        <v>1</v>
      </c>
      <c r="E47" s="14">
        <v>0.94285624260870526</v>
      </c>
      <c r="F47" s="14">
        <v>1.3828633427847121E-3</v>
      </c>
      <c r="G47" s="14">
        <v>1.9108550837861673E-6</v>
      </c>
      <c r="H47" s="14">
        <v>104.47184497275491</v>
      </c>
      <c r="I47" s="14">
        <v>1510.2763970216715</v>
      </c>
      <c r="J47" s="14">
        <v>0</v>
      </c>
      <c r="K47" s="14">
        <v>723.13725374068486</v>
      </c>
      <c r="L47" s="14">
        <v>1.3828633427847121E-3</v>
      </c>
      <c r="M47" s="14">
        <v>1.1346393727548563E-3</v>
      </c>
      <c r="N47" s="14">
        <v>94.76394790939635</v>
      </c>
      <c r="O47" s="14">
        <v>30328.253888923209</v>
      </c>
      <c r="P47" s="8">
        <v>94.76394790939635</v>
      </c>
      <c r="Q47" s="54">
        <v>7.0999687169349734E-2</v>
      </c>
    </row>
    <row r="48" spans="1:17">
      <c r="A48" s="2" t="s">
        <v>325</v>
      </c>
      <c r="B48" s="16" t="s">
        <v>326</v>
      </c>
      <c r="D48" s="14">
        <v>1</v>
      </c>
      <c r="E48" s="14">
        <v>0.88882116961669455</v>
      </c>
      <c r="F48" s="14">
        <v>6.8421498066998029E-2</v>
      </c>
      <c r="G48" s="14">
        <v>1.2935435845450792E-6</v>
      </c>
      <c r="H48" s="14">
        <v>194.96317047407038</v>
      </c>
      <c r="I48" s="14">
        <v>354.494702425767</v>
      </c>
      <c r="J48" s="14">
        <v>0</v>
      </c>
      <c r="K48" s="14">
        <v>14.615289466781396</v>
      </c>
      <c r="L48" s="14">
        <v>6.8421498066998029E-2</v>
      </c>
      <c r="M48" s="14">
        <v>5.6139839163971882E-2</v>
      </c>
      <c r="N48" s="14">
        <v>21.918990869871607</v>
      </c>
      <c r="O48" s="14">
        <v>6671.0448712454236</v>
      </c>
      <c r="P48" s="8">
        <v>21.918990869871607</v>
      </c>
      <c r="Q48" s="54">
        <v>0.17306520034624734</v>
      </c>
    </row>
    <row r="49" spans="1:17">
      <c r="A49" s="2" t="s">
        <v>275</v>
      </c>
      <c r="B49" s="16" t="s">
        <v>276</v>
      </c>
      <c r="D49" s="14">
        <v>1</v>
      </c>
      <c r="E49" s="14">
        <v>0.94209230617791129</v>
      </c>
      <c r="F49" s="14">
        <v>6.9260559174648476E-3</v>
      </c>
      <c r="G49" s="14">
        <v>1.8379533374731396E-8</v>
      </c>
      <c r="H49" s="14">
        <v>201.88590243868666</v>
      </c>
      <c r="I49" s="14">
        <v>591.78392541199923</v>
      </c>
      <c r="J49" s="14">
        <v>0</v>
      </c>
      <c r="K49" s="14">
        <v>144.38231685054475</v>
      </c>
      <c r="L49" s="14">
        <v>6.9260559174648476E-3</v>
      </c>
      <c r="M49" s="14">
        <v>5.6828288802799071E-3</v>
      </c>
      <c r="N49" s="14">
        <v>36.827971863853399</v>
      </c>
      <c r="O49" s="14">
        <v>13644.395295839046</v>
      </c>
      <c r="P49" s="8">
        <v>36.827971863853399</v>
      </c>
      <c r="Q49" s="54">
        <v>8.4793617609982039E-2</v>
      </c>
    </row>
    <row r="50" spans="1:17">
      <c r="A50" s="2" t="s">
        <v>327</v>
      </c>
      <c r="B50" s="16" t="s">
        <v>328</v>
      </c>
      <c r="D50" s="14">
        <v>1</v>
      </c>
      <c r="E50" s="14">
        <v>0.941106185559481</v>
      </c>
      <c r="F50" s="14">
        <v>6.120630973060523E-3</v>
      </c>
      <c r="G50" s="14">
        <v>9.5773351045738949E-7</v>
      </c>
      <c r="H50" s="14">
        <v>194.5432629182479</v>
      </c>
      <c r="I50" s="14">
        <v>659.28526053326914</v>
      </c>
      <c r="J50" s="14">
        <v>0</v>
      </c>
      <c r="K50" s="14">
        <v>163.38184811360489</v>
      </c>
      <c r="L50" s="14">
        <v>6.120630973060523E-3</v>
      </c>
      <c r="M50" s="14">
        <v>5.0219777133961594E-3</v>
      </c>
      <c r="N50" s="14">
        <v>41.058329540761555</v>
      </c>
      <c r="O50" s="14">
        <v>15639.528305371485</v>
      </c>
      <c r="P50" s="8">
        <v>41.058329540761555</v>
      </c>
      <c r="Q50" s="54">
        <v>8.5363726649629851E-2</v>
      </c>
    </row>
    <row r="51" spans="1:17">
      <c r="A51" s="2" t="s">
        <v>329</v>
      </c>
      <c r="B51" s="16" t="s">
        <v>330</v>
      </c>
      <c r="D51" s="14">
        <v>1</v>
      </c>
      <c r="E51" s="14">
        <v>0.90775246822230249</v>
      </c>
      <c r="F51" s="14">
        <v>4.2923356718358473E-2</v>
      </c>
      <c r="G51" s="14">
        <v>6.6151876064028005E-7</v>
      </c>
      <c r="H51" s="14">
        <v>206.7824504539287</v>
      </c>
      <c r="I51" s="14">
        <v>361.71860589650515</v>
      </c>
      <c r="J51" s="14">
        <v>0</v>
      </c>
      <c r="K51" s="14">
        <v>23.297339175067275</v>
      </c>
      <c r="L51" s="14">
        <v>4.2923356718358473E-2</v>
      </c>
      <c r="M51" s="14">
        <v>3.5218614187413129E-2</v>
      </c>
      <c r="N51" s="14">
        <v>22.376683491835646</v>
      </c>
      <c r="O51" s="14">
        <v>6140.1619501597006</v>
      </c>
      <c r="P51" s="8">
        <v>22.376683491835646</v>
      </c>
      <c r="Q51" s="54">
        <v>0.14274826826486578</v>
      </c>
    </row>
    <row r="52" spans="1:17">
      <c r="A52" s="2" t="s">
        <v>277</v>
      </c>
      <c r="B52" s="16" t="s">
        <v>278</v>
      </c>
      <c r="D52" s="14">
        <v>1</v>
      </c>
      <c r="E52" s="14">
        <v>0.89064873219571927</v>
      </c>
      <c r="F52" s="14">
        <v>6.5499085916753796E-2</v>
      </c>
      <c r="G52" s="14">
        <v>2.0088325038638652E-6</v>
      </c>
      <c r="H52" s="14">
        <v>196.20733508450132</v>
      </c>
      <c r="I52" s="14">
        <v>355.4450004057731</v>
      </c>
      <c r="J52" s="14">
        <v>0</v>
      </c>
      <c r="K52" s="14">
        <v>15.267388636094131</v>
      </c>
      <c r="L52" s="14">
        <v>6.5499085916753796E-2</v>
      </c>
      <c r="M52" s="14">
        <v>5.374199999469649E-2</v>
      </c>
      <c r="N52" s="14">
        <v>21.978253489986457</v>
      </c>
      <c r="O52" s="14">
        <v>8943.6106926801895</v>
      </c>
      <c r="P52" s="8">
        <v>21.978253489986457</v>
      </c>
      <c r="Q52" s="54">
        <v>0.17004834516855255</v>
      </c>
    </row>
    <row r="53" spans="1:17">
      <c r="A53" s="2" t="s">
        <v>331</v>
      </c>
      <c r="B53" s="16" t="s">
        <v>332</v>
      </c>
      <c r="D53" s="14">
        <v>1</v>
      </c>
      <c r="E53" s="14">
        <v>0.93943152482730941</v>
      </c>
      <c r="F53" s="14">
        <v>4.0635194920813225E-3</v>
      </c>
      <c r="G53" s="14">
        <v>6.3857341637116606E-7</v>
      </c>
      <c r="H53" s="14">
        <v>168.92049575403442</v>
      </c>
      <c r="I53" s="14">
        <v>897.51045868058191</v>
      </c>
      <c r="J53" s="14">
        <v>0</v>
      </c>
      <c r="K53" s="14">
        <v>246.09208887732024</v>
      </c>
      <c r="L53" s="14">
        <v>4.0635194920813225E-3</v>
      </c>
      <c r="M53" s="14">
        <v>3.3341177432527251E-3</v>
      </c>
      <c r="N53" s="14">
        <v>56.022027855660674</v>
      </c>
      <c r="O53" s="14">
        <v>21339.35063049971</v>
      </c>
      <c r="P53" s="8">
        <v>56.022027855660681</v>
      </c>
      <c r="Q53" s="54">
        <v>8.4886674111130378E-2</v>
      </c>
    </row>
    <row r="54" spans="1:17">
      <c r="A54" s="2" t="s">
        <v>333</v>
      </c>
      <c r="B54" s="16" t="s">
        <v>334</v>
      </c>
      <c r="D54" s="14">
        <v>1</v>
      </c>
      <c r="E54" s="14">
        <v>0.94161092408943436</v>
      </c>
      <c r="F54" s="14">
        <v>6.5142906530950753E-3</v>
      </c>
      <c r="G54" s="14">
        <v>1.0423549174845566E-9</v>
      </c>
      <c r="H54" s="14">
        <v>198.2837536964486</v>
      </c>
      <c r="I54" s="14">
        <v>624.9486045827274</v>
      </c>
      <c r="J54" s="14">
        <v>0</v>
      </c>
      <c r="K54" s="14">
        <v>153.50865554715139</v>
      </c>
      <c r="L54" s="14">
        <v>6.5142906530950761E-3</v>
      </c>
      <c r="M54" s="14">
        <v>5.3449754808645097E-3</v>
      </c>
      <c r="N54" s="14">
        <v>38.905865305259127</v>
      </c>
      <c r="O54" s="14">
        <v>14958.52709256603</v>
      </c>
      <c r="P54" s="8">
        <v>38.905865305259127</v>
      </c>
      <c r="Q54" s="54">
        <v>8.5122486781365789E-2</v>
      </c>
    </row>
    <row r="55" spans="1:17">
      <c r="A55" s="2" t="s">
        <v>335</v>
      </c>
      <c r="B55" s="16" t="s">
        <v>336</v>
      </c>
      <c r="D55" s="14">
        <v>1</v>
      </c>
      <c r="E55" s="14">
        <v>0.9424232941625037</v>
      </c>
      <c r="F55" s="14">
        <v>1.4312462346114741E-3</v>
      </c>
      <c r="G55" s="14">
        <v>4.9664131459696047E-6</v>
      </c>
      <c r="H55" s="14">
        <v>106.27089963856793</v>
      </c>
      <c r="I55" s="14">
        <v>1492.352879499673</v>
      </c>
      <c r="J55" s="14">
        <v>0</v>
      </c>
      <c r="K55" s="14">
        <v>698.69179447760064</v>
      </c>
      <c r="L55" s="14">
        <v>1.4312462346114743E-3</v>
      </c>
      <c r="M55" s="14">
        <v>1.1743375354987147E-3</v>
      </c>
      <c r="N55" s="14">
        <v>93.624992442740393</v>
      </c>
      <c r="O55" s="14">
        <v>34952.082178723846</v>
      </c>
      <c r="P55" s="8">
        <v>93.624992442740407</v>
      </c>
      <c r="Q55" s="54">
        <v>7.1593159346527296E-2</v>
      </c>
    </row>
    <row r="56" spans="1:17">
      <c r="A56" s="2" t="s">
        <v>337</v>
      </c>
      <c r="B56" s="16" t="s">
        <v>338</v>
      </c>
      <c r="D56" s="14">
        <v>1</v>
      </c>
      <c r="E56" s="14">
        <v>0.942483050530175</v>
      </c>
      <c r="F56" s="14">
        <v>7.2690263001474352E-3</v>
      </c>
      <c r="G56" s="14">
        <v>3.6735396174394362E-7</v>
      </c>
      <c r="H56" s="14">
        <v>204.67096639906072</v>
      </c>
      <c r="I56" s="14">
        <v>566.12640427289659</v>
      </c>
      <c r="J56" s="14">
        <v>0</v>
      </c>
      <c r="K56" s="14">
        <v>137.57000713833119</v>
      </c>
      <c r="L56" s="14">
        <v>7.269026300147436E-3</v>
      </c>
      <c r="M56" s="14">
        <v>5.9642360792709712E-3</v>
      </c>
      <c r="N56" s="14">
        <v>35.221182073403284</v>
      </c>
      <c r="O56" s="14">
        <v>13712.310604817367</v>
      </c>
      <c r="P56" s="8">
        <v>35.221182073403284</v>
      </c>
      <c r="Q56" s="54">
        <v>8.4472123332345328E-2</v>
      </c>
    </row>
    <row r="57" spans="1:17">
      <c r="A57" s="2" t="s">
        <v>279</v>
      </c>
      <c r="B57" s="16" t="s">
        <v>280</v>
      </c>
      <c r="D57" s="14">
        <v>1</v>
      </c>
      <c r="E57" s="14">
        <v>0.87792992828097416</v>
      </c>
      <c r="F57" s="14">
        <v>8.28276248031488E-2</v>
      </c>
      <c r="G57" s="14">
        <v>3.928472299862167E-5</v>
      </c>
      <c r="H57" s="14">
        <v>188.44959461131873</v>
      </c>
      <c r="I57" s="14">
        <v>348.37932897340562</v>
      </c>
      <c r="J57" s="14">
        <v>0</v>
      </c>
      <c r="K57" s="14">
        <v>12.073266647167983</v>
      </c>
      <c r="L57" s="14">
        <v>8.28276248031488E-2</v>
      </c>
      <c r="M57" s="14">
        <v>6.7960066150983586E-2</v>
      </c>
      <c r="N57" s="14">
        <v>21.540330842330171</v>
      </c>
      <c r="O57" s="14">
        <v>6264.5744188748831</v>
      </c>
      <c r="P57" s="8">
        <v>21.540330842330171</v>
      </c>
      <c r="Q57" s="54">
        <v>0.18631695519489844</v>
      </c>
    </row>
    <row r="58" spans="1:17">
      <c r="A58" s="2" t="s">
        <v>339</v>
      </c>
      <c r="B58" s="16" t="s">
        <v>340</v>
      </c>
      <c r="D58" s="14">
        <v>1</v>
      </c>
      <c r="E58" s="14">
        <v>0.94151906807815067</v>
      </c>
      <c r="F58" s="14">
        <v>6.4341758887107277E-3</v>
      </c>
      <c r="G58" s="14">
        <v>3.6534352654411901E-9</v>
      </c>
      <c r="H58" s="14">
        <v>197.54813268046397</v>
      </c>
      <c r="I58" s="14">
        <v>631.72796094152591</v>
      </c>
      <c r="J58" s="14">
        <v>0</v>
      </c>
      <c r="K58" s="14">
        <v>155.42005958441069</v>
      </c>
      <c r="L58" s="14">
        <v>6.4341758887107286E-3</v>
      </c>
      <c r="M58" s="14">
        <v>5.2792413166871527E-3</v>
      </c>
      <c r="N58" s="14">
        <v>39.330749822703368</v>
      </c>
      <c r="O58" s="14">
        <v>13594.673676217419</v>
      </c>
      <c r="P58" s="8">
        <v>39.330749822703368</v>
      </c>
      <c r="Q58" s="54">
        <v>8.5178521928032505E-2</v>
      </c>
    </row>
    <row r="59" spans="1:17">
      <c r="A59" s="2" t="s">
        <v>281</v>
      </c>
      <c r="B59" s="16" t="s">
        <v>282</v>
      </c>
      <c r="D59" s="14">
        <v>1</v>
      </c>
      <c r="E59" s="14">
        <v>0.89075503030299674</v>
      </c>
      <c r="F59" s="14">
        <v>6.55069031724346E-2</v>
      </c>
      <c r="G59" s="14">
        <v>3.0408539122565564E-7</v>
      </c>
      <c r="H59" s="14">
        <v>196.23075224954016</v>
      </c>
      <c r="I59" s="14">
        <v>355.48742243975641</v>
      </c>
      <c r="J59" s="14">
        <v>0</v>
      </c>
      <c r="K59" s="14">
        <v>15.265566704743897</v>
      </c>
      <c r="L59" s="14">
        <v>6.55069031724346E-2</v>
      </c>
      <c r="M59" s="14">
        <v>5.3748414052982592E-2</v>
      </c>
      <c r="N59" s="14">
        <v>21.980876574332505</v>
      </c>
      <c r="O59" s="14">
        <v>6402.150111040085</v>
      </c>
      <c r="P59" s="8">
        <v>21.980876574332505</v>
      </c>
      <c r="Q59" s="54">
        <v>0.17006864028219687</v>
      </c>
    </row>
    <row r="60" spans="1:17">
      <c r="A60" s="2" t="s">
        <v>341</v>
      </c>
      <c r="B60" s="16" t="s">
        <v>342</v>
      </c>
      <c r="D60" s="14">
        <v>1</v>
      </c>
      <c r="E60" s="14">
        <v>0.93941556569316986</v>
      </c>
      <c r="F60" s="14">
        <v>4.5953184193906734E-3</v>
      </c>
      <c r="G60" s="14">
        <v>5.3466788351680983E-6</v>
      </c>
      <c r="H60" s="14">
        <v>176.70775523287537</v>
      </c>
      <c r="I60" s="14">
        <v>823.97262013620139</v>
      </c>
      <c r="J60" s="14">
        <v>0</v>
      </c>
      <c r="K60" s="14">
        <v>217.61277646840352</v>
      </c>
      <c r="L60" s="14">
        <v>4.5953184193906734E-3</v>
      </c>
      <c r="M60" s="14">
        <v>3.7704587631100478E-3</v>
      </c>
      <c r="N60" s="14">
        <v>51.397465771916515</v>
      </c>
      <c r="O60" s="14">
        <v>17232.542324008169</v>
      </c>
      <c r="P60" s="8">
        <v>51.397465771916515</v>
      </c>
      <c r="Q60" s="54">
        <v>8.5371474163380603E-2</v>
      </c>
    </row>
    <row r="61" spans="1:17">
      <c r="A61" s="2" t="s">
        <v>483</v>
      </c>
      <c r="B61" s="16" t="s">
        <v>484</v>
      </c>
      <c r="D61" s="14">
        <v>1</v>
      </c>
      <c r="E61" s="14">
        <v>0.90144952597615891</v>
      </c>
      <c r="F61" s="14">
        <v>0.3143066503734569</v>
      </c>
      <c r="G61" s="14">
        <v>9.5825610515344097E-16</v>
      </c>
      <c r="H61" s="14">
        <v>143.34280572528945</v>
      </c>
      <c r="I61" s="14">
        <v>221.13379206489319</v>
      </c>
      <c r="J61" s="14">
        <v>0</v>
      </c>
      <c r="K61" s="14">
        <v>3.1816062396764657</v>
      </c>
      <c r="L61" s="14">
        <v>0.31430665037345695</v>
      </c>
      <c r="M61" s="14">
        <v>0.25788860663142144</v>
      </c>
      <c r="N61" s="14">
        <v>39.292369825764347</v>
      </c>
      <c r="O61" s="14">
        <v>18308.279720314898</v>
      </c>
      <c r="P61" s="8">
        <v>39.292369825764354</v>
      </c>
      <c r="Q61" s="54">
        <v>0.14929838620854213</v>
      </c>
    </row>
    <row r="62" spans="1:17">
      <c r="A62" s="2" t="s">
        <v>485</v>
      </c>
      <c r="B62" s="16" t="s">
        <v>486</v>
      </c>
      <c r="D62" s="14">
        <v>1</v>
      </c>
      <c r="E62" s="14">
        <v>0.83464878378131857</v>
      </c>
      <c r="F62" s="14">
        <v>0.22827841468033583</v>
      </c>
      <c r="G62" s="14">
        <v>2.788645669703164E-9</v>
      </c>
      <c r="H62" s="14">
        <v>141.50273948325884</v>
      </c>
      <c r="I62" s="14">
        <v>287.88697651282786</v>
      </c>
      <c r="J62" s="14">
        <v>0</v>
      </c>
      <c r="K62" s="14">
        <v>4.3806156679348147</v>
      </c>
      <c r="L62" s="14">
        <v>0.22827841468033583</v>
      </c>
      <c r="M62" s="14">
        <v>0.18730243924521556</v>
      </c>
      <c r="N62" s="14">
        <v>17.873501343246481</v>
      </c>
      <c r="O62" s="14">
        <v>5797.9851007357256</v>
      </c>
      <c r="P62" s="8">
        <v>17.873501343246481</v>
      </c>
      <c r="Q62" s="54">
        <v>0.26074862000168275</v>
      </c>
    </row>
    <row r="63" spans="1:17">
      <c r="A63" s="2" t="s">
        <v>487</v>
      </c>
      <c r="B63" s="16" t="s">
        <v>488</v>
      </c>
      <c r="D63" s="14">
        <v>1</v>
      </c>
      <c r="E63" s="14">
        <v>0.98193869012578472</v>
      </c>
      <c r="F63" s="14">
        <v>0.94863812664491609</v>
      </c>
      <c r="G63" s="14">
        <v>8.142811435798687E-15</v>
      </c>
      <c r="H63" s="14">
        <v>9.2900036766071423</v>
      </c>
      <c r="I63" s="14">
        <v>11.349435310543775</v>
      </c>
      <c r="J63" s="14">
        <v>0</v>
      </c>
      <c r="K63" s="14">
        <v>1.0541427462300481</v>
      </c>
      <c r="L63" s="14">
        <v>0.94863812664491609</v>
      </c>
      <c r="M63" s="14">
        <v>0.77835758291215373</v>
      </c>
      <c r="N63" s="14">
        <v>5.802953664412617</v>
      </c>
      <c r="O63" s="14">
        <v>2562.3522200580351</v>
      </c>
      <c r="P63" s="8">
        <v>5.802953664412617</v>
      </c>
      <c r="Q63" s="54">
        <v>2.7660132349423886E-2</v>
      </c>
    </row>
    <row r="64" spans="1:17">
      <c r="A64" s="2" t="s">
        <v>489</v>
      </c>
      <c r="B64" s="16" t="s">
        <v>490</v>
      </c>
      <c r="D64" s="14">
        <v>1</v>
      </c>
      <c r="E64" s="14">
        <v>0.99804182514232642</v>
      </c>
      <c r="F64" s="14">
        <v>0.98955639865818779</v>
      </c>
      <c r="G64" s="14">
        <v>1.4689085197938232E-16</v>
      </c>
      <c r="H64" s="14">
        <v>3.4651381292164336</v>
      </c>
      <c r="I64" s="14">
        <v>0.39834514429598705</v>
      </c>
      <c r="J64" s="14">
        <v>0</v>
      </c>
      <c r="K64" s="14">
        <v>1.0105538212435121</v>
      </c>
      <c r="L64" s="14">
        <v>0.9895563986581879</v>
      </c>
      <c r="M64" s="14">
        <v>0.81193102509904314</v>
      </c>
      <c r="N64" s="14">
        <v>0.91419110944917259</v>
      </c>
      <c r="O64" s="14">
        <v>366.98373706618133</v>
      </c>
      <c r="P64" s="8">
        <v>0.91419110944917259</v>
      </c>
      <c r="Q64" s="54">
        <v>2.938052335578977E-3</v>
      </c>
    </row>
    <row r="65" spans="1:17">
      <c r="A65" s="2" t="s">
        <v>491</v>
      </c>
      <c r="B65" s="16" t="s">
        <v>492</v>
      </c>
      <c r="D65" s="14">
        <v>1</v>
      </c>
      <c r="E65" s="14">
        <v>0.99900932859307312</v>
      </c>
      <c r="F65" s="14">
        <v>1.001245448363147</v>
      </c>
      <c r="G65" s="14">
        <v>2.4463743478750793E-14</v>
      </c>
      <c r="H65" s="14">
        <v>0.45365579260638189</v>
      </c>
      <c r="I65" s="14">
        <v>0.18682353978627891</v>
      </c>
      <c r="J65" s="14">
        <v>0</v>
      </c>
      <c r="K65" s="14">
        <v>0.99875610084901456</v>
      </c>
      <c r="L65" s="14">
        <v>1.001245448363147</v>
      </c>
      <c r="M65" s="14">
        <v>0.82152189038196211</v>
      </c>
      <c r="N65" s="14">
        <v>1.2930814088183875</v>
      </c>
      <c r="O65" s="14">
        <v>358.64905954986796</v>
      </c>
      <c r="P65" s="8">
        <v>1.2930814088183875</v>
      </c>
      <c r="Q65" s="54">
        <v>1.3092168811284139E-3</v>
      </c>
    </row>
    <row r="66" spans="1:17">
      <c r="A66" s="2" t="s">
        <v>493</v>
      </c>
      <c r="B66" s="16" t="s">
        <v>494</v>
      </c>
      <c r="D66" s="14">
        <v>1</v>
      </c>
      <c r="E66" s="14">
        <v>0.98746246685210626</v>
      </c>
      <c r="F66" s="14">
        <v>0.78243362955306062</v>
      </c>
      <c r="G66" s="14">
        <v>3.2292724086867844E-13</v>
      </c>
      <c r="H66" s="14">
        <v>57.694330263546803</v>
      </c>
      <c r="I66" s="14">
        <v>13.387749897979177</v>
      </c>
      <c r="J66" s="14">
        <v>0</v>
      </c>
      <c r="K66" s="14">
        <v>1.2780636749614365</v>
      </c>
      <c r="L66" s="14">
        <v>0.78243362955306073</v>
      </c>
      <c r="M66" s="14">
        <v>0.64198679304828632</v>
      </c>
      <c r="N66" s="14">
        <v>38.725928620788544</v>
      </c>
      <c r="O66" s="14">
        <v>12563.465763156219</v>
      </c>
      <c r="P66" s="8">
        <v>38.725928620788544</v>
      </c>
      <c r="Q66" s="54">
        <v>1.1798521561360365E-2</v>
      </c>
    </row>
    <row r="67" spans="1:17">
      <c r="A67" s="2" t="s">
        <v>495</v>
      </c>
      <c r="B67" s="16" t="s">
        <v>496</v>
      </c>
      <c r="D67" s="14">
        <v>1</v>
      </c>
      <c r="E67" s="14">
        <v>0.9989163710498522</v>
      </c>
      <c r="F67" s="14">
        <v>1.0014005275351137</v>
      </c>
      <c r="G67" s="14">
        <v>1.9114207851769615E-14</v>
      </c>
      <c r="H67" s="14">
        <v>0.38259348139492289</v>
      </c>
      <c r="I67" s="14">
        <v>0.19364849037262943</v>
      </c>
      <c r="J67" s="14">
        <v>0</v>
      </c>
      <c r="K67" s="14">
        <v>0.99860143119900191</v>
      </c>
      <c r="L67" s="14">
        <v>1.0014005275351137</v>
      </c>
      <c r="M67" s="14">
        <v>0.8216491328425608</v>
      </c>
      <c r="N67" s="14">
        <v>1.2255279416919087</v>
      </c>
      <c r="O67" s="14">
        <v>384.10496748507808</v>
      </c>
      <c r="P67" s="8">
        <v>1.2255279416919089</v>
      </c>
      <c r="Q67" s="54">
        <v>1.472360357201081E-3</v>
      </c>
    </row>
    <row r="68" spans="1:17">
      <c r="A68" s="2" t="s">
        <v>497</v>
      </c>
      <c r="B68" s="16" t="s">
        <v>498</v>
      </c>
      <c r="D68" s="14">
        <v>1</v>
      </c>
      <c r="E68" s="14">
        <v>0.99950386297761906</v>
      </c>
      <c r="F68" s="14">
        <v>1.0032424323010396</v>
      </c>
      <c r="G68" s="14">
        <v>1.728853345230577E-13</v>
      </c>
      <c r="H68" s="14">
        <v>4.5508493672034037E-2</v>
      </c>
      <c r="I68" s="14">
        <v>3.2510238226940734E-2</v>
      </c>
      <c r="J68" s="14">
        <v>0</v>
      </c>
      <c r="K68" s="14">
        <v>0.99676804708747935</v>
      </c>
      <c r="L68" s="14">
        <v>1.0032424323010396</v>
      </c>
      <c r="M68" s="14">
        <v>0.82316041570300291</v>
      </c>
      <c r="N68" s="14">
        <v>0.93207305424950526</v>
      </c>
      <c r="O68" s="14">
        <v>253.85941705539526</v>
      </c>
      <c r="P68" s="8">
        <v>0.93207305424950526</v>
      </c>
      <c r="Q68" s="54">
        <v>5.9497696487302988E-4</v>
      </c>
    </row>
    <row r="69" spans="1:17">
      <c r="A69" s="2" t="s">
        <v>499</v>
      </c>
      <c r="B69" s="16" t="s">
        <v>500</v>
      </c>
      <c r="D69" s="14">
        <v>1</v>
      </c>
      <c r="E69" s="14">
        <v>0.94367673956682374</v>
      </c>
      <c r="F69" s="14">
        <v>8.2113293569712163E-3</v>
      </c>
      <c r="G69" s="14">
        <v>9.1285954242991706E-14</v>
      </c>
      <c r="H69" s="14">
        <v>211.47813514622715</v>
      </c>
      <c r="I69" s="14">
        <v>503.77039620455764</v>
      </c>
      <c r="J69" s="14">
        <v>0</v>
      </c>
      <c r="K69" s="14">
        <v>121.78296065435795</v>
      </c>
      <c r="L69" s="14">
        <v>8.2113293569712163E-3</v>
      </c>
      <c r="M69" s="14">
        <v>6.7373957373948832E-3</v>
      </c>
      <c r="N69" s="14">
        <v>31.318953004552327</v>
      </c>
      <c r="O69" s="14">
        <v>13454.309021225634</v>
      </c>
      <c r="P69" s="8">
        <v>31.318953004552331</v>
      </c>
      <c r="Q69" s="54">
        <v>8.3435840041886866E-2</v>
      </c>
    </row>
    <row r="70" spans="1:17">
      <c r="A70" s="2" t="s">
        <v>501</v>
      </c>
      <c r="B70" s="16" t="s">
        <v>411</v>
      </c>
      <c r="D70" s="14">
        <v>1</v>
      </c>
      <c r="E70" s="14">
        <v>0.99985625496083841</v>
      </c>
      <c r="F70" s="14">
        <v>0.97339737551701788</v>
      </c>
      <c r="G70" s="14">
        <v>3.097552376723295E-15</v>
      </c>
      <c r="H70" s="14">
        <v>8.5978560760085276</v>
      </c>
      <c r="I70" s="14">
        <v>7.5656702832998628E-3</v>
      </c>
      <c r="J70" s="14">
        <v>0</v>
      </c>
      <c r="K70" s="14">
        <v>1.027329665306373</v>
      </c>
      <c r="L70" s="14">
        <v>0.97339737551701788</v>
      </c>
      <c r="M70" s="14">
        <v>0.79867254661171316</v>
      </c>
      <c r="N70" s="14">
        <v>0.89828820448377877</v>
      </c>
      <c r="O70" s="14">
        <v>269.57629016558201</v>
      </c>
      <c r="P70" s="8">
        <v>0.89828820448377877</v>
      </c>
      <c r="Q70" s="54">
        <v>3.8357245355030766E-5</v>
      </c>
    </row>
    <row r="71" spans="1:17">
      <c r="A71" s="2" t="s">
        <v>502</v>
      </c>
      <c r="B71" s="16" t="s">
        <v>412</v>
      </c>
      <c r="D71" s="14">
        <v>1</v>
      </c>
      <c r="E71" s="14">
        <v>0.99984649888302346</v>
      </c>
      <c r="F71" s="14">
        <v>0.94714138188811814</v>
      </c>
      <c r="G71" s="14">
        <v>1.4148254564931941E-10</v>
      </c>
      <c r="H71" s="14">
        <v>16.02783311929818</v>
      </c>
      <c r="I71" s="14">
        <v>1.3486608208329042E-2</v>
      </c>
      <c r="J71" s="14">
        <v>0</v>
      </c>
      <c r="K71" s="14">
        <v>1.0558085826706343</v>
      </c>
      <c r="L71" s="14">
        <v>0.94714138188811814</v>
      </c>
      <c r="M71" s="14">
        <v>0.77712950383920099</v>
      </c>
      <c r="N71" s="14">
        <v>0.9048956623480775</v>
      </c>
      <c r="O71" s="14">
        <v>296.94151159952162</v>
      </c>
      <c r="P71" s="8">
        <v>0.90489566234807761</v>
      </c>
      <c r="Q71" s="54">
        <v>5.2541533150010377E-5</v>
      </c>
    </row>
    <row r="72" spans="1:17">
      <c r="A72" s="2" t="s">
        <v>503</v>
      </c>
      <c r="B72" s="16" t="s">
        <v>413</v>
      </c>
      <c r="D72" s="14">
        <v>1</v>
      </c>
      <c r="E72" s="14">
        <v>0.99907221034464044</v>
      </c>
      <c r="F72" s="14">
        <v>3.9078406279504478E-3</v>
      </c>
      <c r="G72" s="14">
        <v>1.9146319844847322E-12</v>
      </c>
      <c r="H72" s="14">
        <v>282.72020282842294</v>
      </c>
      <c r="I72" s="14">
        <v>1.2022168712385835</v>
      </c>
      <c r="J72" s="14">
        <v>0</v>
      </c>
      <c r="K72" s="14">
        <v>255.89579903735014</v>
      </c>
      <c r="L72" s="14">
        <v>3.9078406279504478E-3</v>
      </c>
      <c r="M72" s="14">
        <v>3.2063832352333425E-3</v>
      </c>
      <c r="N72" s="14">
        <v>6.6797296687417926</v>
      </c>
      <c r="O72" s="14">
        <v>3099.9289446696912</v>
      </c>
      <c r="P72" s="8">
        <v>6.6797296687417926</v>
      </c>
      <c r="Q72" s="54">
        <v>5.9454238137962539E-5</v>
      </c>
    </row>
    <row r="73" spans="1:17">
      <c r="A73" s="2" t="s">
        <v>504</v>
      </c>
      <c r="B73" s="16" t="s">
        <v>414</v>
      </c>
      <c r="D73" s="14">
        <v>1</v>
      </c>
      <c r="E73" s="14">
        <v>0.99986159195627489</v>
      </c>
      <c r="F73" s="14">
        <v>3.6248984308878136E-2</v>
      </c>
      <c r="G73" s="14">
        <v>2.501637095024132E-12</v>
      </c>
      <c r="H73" s="14">
        <v>273.90240286686111</v>
      </c>
      <c r="I73" s="14">
        <v>0.14659589753226598</v>
      </c>
      <c r="J73" s="14">
        <v>0</v>
      </c>
      <c r="K73" s="14">
        <v>27.586979857945394</v>
      </c>
      <c r="L73" s="14">
        <v>3.6248984308878143E-2</v>
      </c>
      <c r="M73" s="14">
        <v>2.9742291625434514E-2</v>
      </c>
      <c r="N73" s="14">
        <v>0.81208260840681534</v>
      </c>
      <c r="O73" s="14">
        <v>255.03454317016036</v>
      </c>
      <c r="P73" s="8">
        <v>0.81208260840681534</v>
      </c>
      <c r="Q73" s="54">
        <v>4.8208299983214183E-5</v>
      </c>
    </row>
    <row r="74" spans="1:17">
      <c r="A74" s="2" t="s">
        <v>505</v>
      </c>
      <c r="B74" s="16" t="s">
        <v>415</v>
      </c>
      <c r="D74" s="14">
        <v>1</v>
      </c>
      <c r="E74" s="14">
        <v>0.99984826021657347</v>
      </c>
      <c r="F74" s="14">
        <v>0.95225568344644795</v>
      </c>
      <c r="G74" s="14">
        <v>1.7490492529141469E-11</v>
      </c>
      <c r="H74" s="14">
        <v>14.580538815568914</v>
      </c>
      <c r="I74" s="14">
        <v>1.2322520461543938E-2</v>
      </c>
      <c r="J74" s="14">
        <v>0</v>
      </c>
      <c r="K74" s="14">
        <v>1.0501381271684864</v>
      </c>
      <c r="L74" s="14">
        <v>0.95225568344644795</v>
      </c>
      <c r="M74" s="14">
        <v>0.78132578826781052</v>
      </c>
      <c r="N74" s="14">
        <v>0.90370221317717025</v>
      </c>
      <c r="O74" s="14">
        <v>193.42842170844153</v>
      </c>
      <c r="P74" s="8">
        <v>0.90370221317717037</v>
      </c>
      <c r="Q74" s="54">
        <v>4.9991889069418289E-5</v>
      </c>
    </row>
    <row r="75" spans="1:17">
      <c r="A75" s="2" t="s">
        <v>506</v>
      </c>
      <c r="B75" s="16" t="s">
        <v>416</v>
      </c>
      <c r="D75" s="14">
        <v>1</v>
      </c>
      <c r="E75" s="14">
        <v>0.99985794048457055</v>
      </c>
      <c r="F75" s="14">
        <v>4.288684015222715E-2</v>
      </c>
      <c r="G75" s="14">
        <v>1.0735753100098705E-11</v>
      </c>
      <c r="H75" s="14">
        <v>272.02201238935106</v>
      </c>
      <c r="I75" s="14">
        <v>0.14747894552604832</v>
      </c>
      <c r="J75" s="14">
        <v>0</v>
      </c>
      <c r="K75" s="14">
        <v>23.317176002020496</v>
      </c>
      <c r="L75" s="14">
        <v>4.288684015222715E-2</v>
      </c>
      <c r="M75" s="14">
        <v>3.5188652344902378E-2</v>
      </c>
      <c r="N75" s="14">
        <v>0.8213949482313545</v>
      </c>
      <c r="O75" s="14">
        <v>340.11500621415695</v>
      </c>
      <c r="P75" s="8">
        <v>0.82139494823135462</v>
      </c>
      <c r="Q75" s="54">
        <v>5.2063099993364567E-5</v>
      </c>
    </row>
    <row r="76" spans="1:17">
      <c r="A76" s="2" t="s">
        <v>507</v>
      </c>
      <c r="B76" s="16" t="s">
        <v>417</v>
      </c>
      <c r="D76" s="14">
        <v>1</v>
      </c>
      <c r="E76" s="14">
        <v>0.99979888447110588</v>
      </c>
      <c r="F76" s="14">
        <v>0.44970167783970666</v>
      </c>
      <c r="G76" s="14">
        <v>2.4801192390604661E-10</v>
      </c>
      <c r="H76" s="14">
        <v>156.83554879068285</v>
      </c>
      <c r="I76" s="14">
        <v>0.10560207144986909</v>
      </c>
      <c r="J76" s="14">
        <v>0</v>
      </c>
      <c r="K76" s="14">
        <v>2.2236963953611126</v>
      </c>
      <c r="L76" s="14">
        <v>0.44970167783970666</v>
      </c>
      <c r="M76" s="14">
        <v>0.36898022666747932</v>
      </c>
      <c r="N76" s="14">
        <v>0.9422397964693624</v>
      </c>
      <c r="O76" s="14">
        <v>403.43881365428695</v>
      </c>
      <c r="P76" s="8">
        <v>0.94223979646936251</v>
      </c>
      <c r="Q76" s="54">
        <v>1.2074591231483869E-4</v>
      </c>
    </row>
    <row r="77" spans="1:17">
      <c r="A77" s="2" t="s">
        <v>508</v>
      </c>
      <c r="B77" s="16" t="s">
        <v>418</v>
      </c>
      <c r="D77" s="14">
        <v>1</v>
      </c>
      <c r="E77" s="14">
        <v>0.99986046360786074</v>
      </c>
      <c r="F77" s="14">
        <v>3.803746991112076E-2</v>
      </c>
      <c r="G77" s="14">
        <v>7.7449688470816744E-11</v>
      </c>
      <c r="H77" s="14">
        <v>273.39566359810709</v>
      </c>
      <c r="I77" s="14">
        <v>0.14730569963523235</v>
      </c>
      <c r="J77" s="14">
        <v>0</v>
      </c>
      <c r="K77" s="14">
        <v>26.28986634328264</v>
      </c>
      <c r="L77" s="14">
        <v>3.8037469911120766E-2</v>
      </c>
      <c r="M77" s="14">
        <v>3.1209744062074586E-2</v>
      </c>
      <c r="N77" s="14">
        <v>0.81476371412607063</v>
      </c>
      <c r="O77" s="14">
        <v>430.3418985271079</v>
      </c>
      <c r="P77" s="8">
        <v>0.81476371412607063</v>
      </c>
      <c r="Q77" s="54">
        <v>4.9433294044118975E-5</v>
      </c>
    </row>
    <row r="78" spans="1:17">
      <c r="A78" s="2" t="s">
        <v>509</v>
      </c>
      <c r="B78" s="16" t="s">
        <v>419</v>
      </c>
      <c r="D78" s="14">
        <v>1</v>
      </c>
      <c r="E78" s="14">
        <v>0.99921848942851577</v>
      </c>
      <c r="F78" s="14">
        <v>4.3347786631982412E-3</v>
      </c>
      <c r="G78" s="14">
        <v>7.6983099537239091E-12</v>
      </c>
      <c r="H78" s="14">
        <v>282.66167423471649</v>
      </c>
      <c r="I78" s="14">
        <v>1.0099337869252636</v>
      </c>
      <c r="J78" s="14">
        <v>0</v>
      </c>
      <c r="K78" s="14">
        <v>230.69228620364908</v>
      </c>
      <c r="L78" s="14">
        <v>4.3347786631982412E-3</v>
      </c>
      <c r="M78" s="14">
        <v>3.5566858931541569E-3</v>
      </c>
      <c r="N78" s="14">
        <v>5.5969418451485362</v>
      </c>
      <c r="O78" s="14">
        <v>3157.1789254298378</v>
      </c>
      <c r="P78" s="8">
        <v>5.5969418451485362</v>
      </c>
      <c r="Q78" s="54">
        <v>5.6401791865545735E-5</v>
      </c>
    </row>
    <row r="79" spans="1:17">
      <c r="A79" s="2" t="s">
        <v>510</v>
      </c>
      <c r="B79" s="16" t="s">
        <v>420</v>
      </c>
      <c r="D79" s="14">
        <v>1</v>
      </c>
      <c r="E79" s="14">
        <v>0.99921849679128061</v>
      </c>
      <c r="F79" s="14">
        <v>4.3347789586159089E-3</v>
      </c>
      <c r="G79" s="14">
        <v>1.9337282604351766E-16</v>
      </c>
      <c r="H79" s="14">
        <v>282.66169349827271</v>
      </c>
      <c r="I79" s="14">
        <v>1.0097740279842626</v>
      </c>
      <c r="J79" s="14">
        <v>0</v>
      </c>
      <c r="K79" s="14">
        <v>230.69227048183771</v>
      </c>
      <c r="L79" s="14">
        <v>4.3347789586159089E-3</v>
      </c>
      <c r="M79" s="14">
        <v>3.5566861355443534E-3</v>
      </c>
      <c r="N79" s="14">
        <v>5.5969324880845868</v>
      </c>
      <c r="O79" s="14">
        <v>2799.1938452657446</v>
      </c>
      <c r="P79" s="8">
        <v>5.5969324880845877</v>
      </c>
      <c r="Q79" s="54">
        <v>5.6392869804856556E-5</v>
      </c>
    </row>
    <row r="80" spans="1:17">
      <c r="A80" s="2" t="s">
        <v>511</v>
      </c>
      <c r="B80" s="16" t="s">
        <v>421</v>
      </c>
      <c r="D80" s="14">
        <v>1</v>
      </c>
      <c r="E80" s="14">
        <v>0.9998220072034808</v>
      </c>
      <c r="F80" s="14">
        <v>0.16735980203628853</v>
      </c>
      <c r="G80" s="14">
        <v>2.1805177153529893E-11</v>
      </c>
      <c r="H80" s="14">
        <v>236.77244206588608</v>
      </c>
      <c r="I80" s="14">
        <v>0.14336961799165893</v>
      </c>
      <c r="J80" s="14">
        <v>0</v>
      </c>
      <c r="K80" s="14">
        <v>5.9751504712175176</v>
      </c>
      <c r="L80" s="14">
        <v>0.16735980203628856</v>
      </c>
      <c r="M80" s="14">
        <v>0.13731871757077477</v>
      </c>
      <c r="N80" s="14">
        <v>0.89922364206433258</v>
      </c>
      <c r="O80" s="14">
        <v>327.37135912994091</v>
      </c>
      <c r="P80" s="8">
        <v>0.89922364206433258</v>
      </c>
      <c r="Q80" s="54">
        <v>9.2951655276967749E-5</v>
      </c>
    </row>
    <row r="81" spans="1:17">
      <c r="A81" s="2" t="s">
        <v>512</v>
      </c>
      <c r="B81" s="16" t="s">
        <v>422</v>
      </c>
      <c r="D81" s="14">
        <v>1</v>
      </c>
      <c r="E81" s="14">
        <v>0.99981832997222553</v>
      </c>
      <c r="F81" s="14">
        <v>0.8078373409593943</v>
      </c>
      <c r="G81" s="14">
        <v>2.8508370200531589E-11</v>
      </c>
      <c r="H81" s="14">
        <v>55.455410424940979</v>
      </c>
      <c r="I81" s="14">
        <v>4.1963325565964847E-2</v>
      </c>
      <c r="J81" s="14">
        <v>0</v>
      </c>
      <c r="K81" s="14">
        <v>1.2378729594405622</v>
      </c>
      <c r="L81" s="14">
        <v>0.8078373409593943</v>
      </c>
      <c r="M81" s="14">
        <v>0.66283053825718297</v>
      </c>
      <c r="N81" s="14">
        <v>0.92798883237055629</v>
      </c>
      <c r="O81" s="14">
        <v>245.0354511874454</v>
      </c>
      <c r="P81" s="8">
        <v>0.92798883237055629</v>
      </c>
      <c r="Q81" s="54">
        <v>9.2697900595688286E-5</v>
      </c>
    </row>
    <row r="82" spans="1:17">
      <c r="A82" s="2" t="s">
        <v>513</v>
      </c>
      <c r="B82" s="16" t="s">
        <v>423</v>
      </c>
      <c r="D82" s="14">
        <v>1</v>
      </c>
      <c r="E82" s="14">
        <v>0.99980147557482579</v>
      </c>
      <c r="F82" s="14">
        <v>0.61089043484725225</v>
      </c>
      <c r="G82" s="14">
        <v>7.1771465271143264E-15</v>
      </c>
      <c r="H82" s="14">
        <v>111.20474667762728</v>
      </c>
      <c r="I82" s="14">
        <v>7.8303390047682594E-2</v>
      </c>
      <c r="J82" s="14">
        <v>0</v>
      </c>
      <c r="K82" s="14">
        <v>1.636954751550564</v>
      </c>
      <c r="L82" s="14">
        <v>0.61089043484725236</v>
      </c>
      <c r="M82" s="14">
        <v>0.50123560179217053</v>
      </c>
      <c r="N82" s="14">
        <v>0.94277072571613374</v>
      </c>
      <c r="O82" s="14">
        <v>377.21199506628227</v>
      </c>
      <c r="P82" s="8">
        <v>0.94277072571613374</v>
      </c>
      <c r="Q82" s="54">
        <v>1.1651465798891082E-4</v>
      </c>
    </row>
    <row r="83" spans="1:17">
      <c r="A83" s="2" t="s">
        <v>514</v>
      </c>
      <c r="B83" s="16" t="s">
        <v>424</v>
      </c>
      <c r="D83" s="14">
        <v>1</v>
      </c>
      <c r="E83" s="14">
        <v>0.99850894009110658</v>
      </c>
      <c r="F83" s="14">
        <v>2.9370450590624417E-3</v>
      </c>
      <c r="G83" s="14">
        <v>2.7544765238930213E-12</v>
      </c>
      <c r="H83" s="14">
        <v>282.75520573638187</v>
      </c>
      <c r="I83" s="14">
        <v>1.9406024884640727</v>
      </c>
      <c r="J83" s="14">
        <v>0</v>
      </c>
      <c r="K83" s="14">
        <v>340.47826297878396</v>
      </c>
      <c r="L83" s="14">
        <v>2.9370450590624417E-3</v>
      </c>
      <c r="M83" s="14">
        <v>2.4098454709607334E-3</v>
      </c>
      <c r="N83" s="14">
        <v>10.860931563873178</v>
      </c>
      <c r="O83" s="14">
        <v>5583.3876983559239</v>
      </c>
      <c r="P83" s="8">
        <v>10.860931563873178</v>
      </c>
      <c r="Q83" s="54">
        <v>6.8696812101617827E-5</v>
      </c>
    </row>
    <row r="84" spans="1:17">
      <c r="A84" s="2" t="s">
        <v>403</v>
      </c>
      <c r="B84" s="16" t="s">
        <v>404</v>
      </c>
      <c r="D84" s="14">
        <v>1</v>
      </c>
      <c r="E84" s="14">
        <v>0.8229593919181345</v>
      </c>
      <c r="F84" s="14">
        <v>0.35328113475393758</v>
      </c>
      <c r="G84" s="14">
        <v>6.1569968921522093E-46</v>
      </c>
      <c r="H84" s="14">
        <v>108.72776146740024</v>
      </c>
      <c r="I84" s="14">
        <v>232.9150852447911</v>
      </c>
      <c r="J84" s="14">
        <v>0</v>
      </c>
      <c r="K84" s="14">
        <v>2.8306068499709331</v>
      </c>
      <c r="L84" s="14">
        <v>0.35328113475393758</v>
      </c>
      <c r="M84" s="14">
        <v>0.28986717106560578</v>
      </c>
      <c r="N84" s="14">
        <v>14.580297366956589</v>
      </c>
      <c r="O84" s="14">
        <v>17534.411416475661</v>
      </c>
      <c r="P84" s="8">
        <v>14.580297366956589</v>
      </c>
      <c r="Q84" s="54">
        <v>0.2801545094927006</v>
      </c>
    </row>
    <row r="85" spans="1:17">
      <c r="A85" s="2" t="s">
        <v>405</v>
      </c>
      <c r="B85" s="16" t="s">
        <v>406</v>
      </c>
      <c r="D85" s="14">
        <v>1</v>
      </c>
      <c r="E85" s="14">
        <v>0.93595712070640802</v>
      </c>
      <c r="F85" s="14">
        <v>5.3573842532099333E-2</v>
      </c>
      <c r="G85" s="14">
        <v>1.6248748278349465E-10</v>
      </c>
      <c r="H85" s="14">
        <v>238.38784529575858</v>
      </c>
      <c r="I85" s="14">
        <v>115.39035671957569</v>
      </c>
      <c r="J85" s="14">
        <v>0</v>
      </c>
      <c r="K85" s="14">
        <v>18.665825573382001</v>
      </c>
      <c r="L85" s="14">
        <v>5.3573842532099333E-2</v>
      </c>
      <c r="M85" s="14">
        <v>4.3957337797587502E-2</v>
      </c>
      <c r="N85" s="14">
        <v>428.11666607574523</v>
      </c>
      <c r="O85" s="14">
        <v>136509.28014491213</v>
      </c>
      <c r="P85" s="8">
        <v>428.11666607574523</v>
      </c>
      <c r="Q85" s="54">
        <v>1.113703324165664E-2</v>
      </c>
    </row>
    <row r="86" spans="1:17">
      <c r="A86" s="2" t="s">
        <v>407</v>
      </c>
      <c r="B86" s="16" t="s">
        <v>408</v>
      </c>
      <c r="D86" s="14">
        <v>1</v>
      </c>
      <c r="E86" s="14">
        <v>0.95326316855979598</v>
      </c>
      <c r="F86" s="14">
        <v>3.7586702508833787E-4</v>
      </c>
      <c r="G86" s="14">
        <v>3.0173293296798315E-7</v>
      </c>
      <c r="H86" s="14">
        <v>51.605290436249192</v>
      </c>
      <c r="I86" s="14">
        <v>2029.791349852155</v>
      </c>
      <c r="J86" s="14">
        <v>0</v>
      </c>
      <c r="K86" s="14">
        <v>2660.5153771203413</v>
      </c>
      <c r="L86" s="14">
        <v>3.7586702508833787E-4</v>
      </c>
      <c r="M86" s="14">
        <v>3.0839889408498122E-4</v>
      </c>
      <c r="N86" s="14">
        <v>128.04058524688466</v>
      </c>
      <c r="O86" s="14">
        <v>62200.835907084111</v>
      </c>
      <c r="P86" s="8">
        <v>128.04058524688469</v>
      </c>
      <c r="Q86" s="54">
        <v>4.7429811363165472E-2</v>
      </c>
    </row>
    <row r="87" spans="1:17">
      <c r="A87" s="2" t="s">
        <v>409</v>
      </c>
      <c r="B87" s="16" t="s">
        <v>410</v>
      </c>
      <c r="D87" s="14">
        <v>1</v>
      </c>
      <c r="E87" s="14">
        <v>0.96099877868100181</v>
      </c>
      <c r="F87" s="14">
        <v>1.2917229890079245E-4</v>
      </c>
      <c r="G87" s="14">
        <v>3.705253076482168E-8</v>
      </c>
      <c r="H87" s="14">
        <v>27.57969054152591</v>
      </c>
      <c r="I87" s="14">
        <v>2273.2466493318057</v>
      </c>
      <c r="J87" s="14">
        <v>0</v>
      </c>
      <c r="K87" s="14">
        <v>7741.5979161911873</v>
      </c>
      <c r="L87" s="14">
        <v>1.2917229890079245E-4</v>
      </c>
      <c r="M87" s="14">
        <v>1.059858712481002E-4</v>
      </c>
      <c r="N87" s="14">
        <v>143.96871563368506</v>
      </c>
      <c r="O87" s="14">
        <v>81297.694031185616</v>
      </c>
      <c r="P87" s="8">
        <v>143.96871563368506</v>
      </c>
      <c r="Q87" s="54">
        <v>3.1684478225098525E-2</v>
      </c>
    </row>
    <row r="88" spans="1:17">
      <c r="A88" s="2" t="s">
        <v>301</v>
      </c>
      <c r="B88" s="16" t="s">
        <v>302</v>
      </c>
      <c r="D88" s="14">
        <v>1</v>
      </c>
      <c r="E88" s="14">
        <v>0.96764150649838854</v>
      </c>
      <c r="F88" s="14">
        <v>3.6009628930219482E-5</v>
      </c>
      <c r="G88" s="14">
        <v>4.5451386272354087E-9</v>
      </c>
      <c r="H88" s="14">
        <v>12.703361181340883</v>
      </c>
      <c r="I88" s="14">
        <v>2428.7108717604365</v>
      </c>
      <c r="J88" s="14">
        <v>0</v>
      </c>
      <c r="K88" s="14">
        <v>27770.350034370789</v>
      </c>
      <c r="L88" s="14">
        <v>3.6009628930219482E-5</v>
      </c>
      <c r="M88" s="14">
        <v>2.9545900537245088E-5</v>
      </c>
      <c r="N88" s="14">
        <v>154.51707499776964</v>
      </c>
      <c r="O88" s="14">
        <v>99444.09912706459</v>
      </c>
      <c r="P88" s="8">
        <v>154.51707499776964</v>
      </c>
      <c r="Q88" s="54">
        <v>1.8809437880861132E-2</v>
      </c>
    </row>
    <row r="89" spans="1:17">
      <c r="A89" s="2" t="s">
        <v>303</v>
      </c>
      <c r="B89" s="16" t="s">
        <v>304</v>
      </c>
      <c r="D89" s="14">
        <v>1</v>
      </c>
      <c r="E89" s="14">
        <v>0.70046936504878776</v>
      </c>
      <c r="F89" s="14">
        <v>1.7046019562456018E-3</v>
      </c>
      <c r="G89" s="14">
        <v>2.4546933422318826E-15</v>
      </c>
      <c r="H89" s="14">
        <v>55.155846047278722</v>
      </c>
      <c r="I89" s="14">
        <v>1328.1870515264809</v>
      </c>
      <c r="J89" s="14">
        <v>0</v>
      </c>
      <c r="K89" s="14">
        <v>586.64722068165815</v>
      </c>
      <c r="L89" s="14">
        <v>1.704601956245602E-3</v>
      </c>
      <c r="M89" s="14">
        <v>1.3986259050995165E-3</v>
      </c>
      <c r="N89" s="14">
        <v>2179.120003434381</v>
      </c>
      <c r="O89" s="14">
        <v>1406207.9294162402</v>
      </c>
      <c r="P89" s="8">
        <v>2179.120003434381</v>
      </c>
      <c r="Q89" s="54">
        <v>1.4370081855663304E-2</v>
      </c>
    </row>
    <row r="90" spans="1:17">
      <c r="A90" s="2" t="s">
        <v>425</v>
      </c>
      <c r="B90" s="16" t="s">
        <v>426</v>
      </c>
      <c r="D90" s="14">
        <v>1</v>
      </c>
      <c r="E90" s="14">
        <v>0.98912256832122025</v>
      </c>
      <c r="F90" s="14">
        <v>0.99174664510085331</v>
      </c>
      <c r="G90" s="14">
        <v>1.806496787313185E-15</v>
      </c>
      <c r="H90" s="14">
        <v>0.26430217680086093</v>
      </c>
      <c r="I90" s="14">
        <v>0.8216514809784472</v>
      </c>
      <c r="J90" s="14">
        <v>0</v>
      </c>
      <c r="K90" s="14">
        <v>1.0083220396458283</v>
      </c>
      <c r="L90" s="14">
        <v>0.99174664510085342</v>
      </c>
      <c r="M90" s="14">
        <v>0.81372812230525016</v>
      </c>
      <c r="N90" s="14">
        <v>0.92617818277600295</v>
      </c>
      <c r="O90" s="14">
        <v>256.79216295647456</v>
      </c>
      <c r="P90" s="8">
        <v>0.92617818277600295</v>
      </c>
      <c r="Q90" s="54">
        <v>1.7206306006852991E-2</v>
      </c>
    </row>
    <row r="91" spans="1:17">
      <c r="A91" s="2" t="s">
        <v>427</v>
      </c>
      <c r="B91" s="16" t="s">
        <v>428</v>
      </c>
      <c r="D91" s="14">
        <v>1</v>
      </c>
      <c r="E91" s="14">
        <v>0.89733414560501534</v>
      </c>
      <c r="F91" s="14">
        <v>0.82018765187702236</v>
      </c>
      <c r="G91" s="14">
        <v>1.0442433404489056E-6</v>
      </c>
      <c r="H91" s="14">
        <v>17.822688906613035</v>
      </c>
      <c r="I91" s="14">
        <v>46.412012160639513</v>
      </c>
      <c r="J91" s="14">
        <v>0</v>
      </c>
      <c r="K91" s="14">
        <v>1.2192331812256281</v>
      </c>
      <c r="L91" s="14">
        <v>0.82018765187702236</v>
      </c>
      <c r="M91" s="14">
        <v>0.67296396836509687</v>
      </c>
      <c r="N91" s="14">
        <v>3.5463705049880114</v>
      </c>
      <c r="O91" s="14">
        <v>585.82494371896962</v>
      </c>
      <c r="P91" s="8">
        <v>3.5463705049880119</v>
      </c>
      <c r="Q91" s="54">
        <v>0.16339185273678131</v>
      </c>
    </row>
    <row r="92" spans="1:17">
      <c r="A92" s="2" t="s">
        <v>429</v>
      </c>
      <c r="B92" s="16" t="s">
        <v>430</v>
      </c>
      <c r="D92" s="14">
        <v>1</v>
      </c>
      <c r="E92" s="14">
        <v>0.85160621908100409</v>
      </c>
      <c r="F92" s="14">
        <v>0.1527687414110987</v>
      </c>
      <c r="G92" s="14">
        <v>6.7341531402537343E-6</v>
      </c>
      <c r="H92" s="14">
        <v>164.15514561576558</v>
      </c>
      <c r="I92" s="14">
        <v>320.70938683398083</v>
      </c>
      <c r="J92" s="14">
        <v>0</v>
      </c>
      <c r="K92" s="14">
        <v>6.5458417131879942</v>
      </c>
      <c r="L92" s="14">
        <v>0.1527687414110987</v>
      </c>
      <c r="M92" s="14">
        <v>0.12534675232780648</v>
      </c>
      <c r="N92" s="14">
        <v>19.853407650626046</v>
      </c>
      <c r="O92" s="14">
        <v>3578.3781949488384</v>
      </c>
      <c r="P92" s="8">
        <v>19.853407650626046</v>
      </c>
      <c r="Q92" s="54">
        <v>0.23244043068655149</v>
      </c>
    </row>
    <row r="93" spans="1:17">
      <c r="A93" s="2" t="s">
        <v>431</v>
      </c>
      <c r="B93" s="16" t="s">
        <v>432</v>
      </c>
      <c r="D93" s="14">
        <v>1</v>
      </c>
      <c r="E93" s="14">
        <v>0.99981678285153652</v>
      </c>
      <c r="F93" s="14">
        <v>0.99934748540756524</v>
      </c>
      <c r="G93" s="14">
        <v>1.3392737097562635E-19</v>
      </c>
      <c r="H93" s="14">
        <v>1.2396712348538839</v>
      </c>
      <c r="I93" s="14">
        <v>9.1958115112120691E-3</v>
      </c>
      <c r="J93" s="14">
        <v>0</v>
      </c>
      <c r="K93" s="14">
        <v>1.0006529406457341</v>
      </c>
      <c r="L93" s="14">
        <v>0.99934748540756524</v>
      </c>
      <c r="M93" s="14">
        <v>0.81996461177690738</v>
      </c>
      <c r="N93" s="14">
        <v>0.8900327835439884</v>
      </c>
      <c r="O93" s="14">
        <v>346.12484919242166</v>
      </c>
      <c r="P93" s="8">
        <v>0.89003278354398851</v>
      </c>
      <c r="Q93" s="54">
        <v>1.0327377705212036E-4</v>
      </c>
    </row>
    <row r="94" spans="1:17">
      <c r="A94" s="2" t="s">
        <v>433</v>
      </c>
      <c r="B94" s="16" t="s">
        <v>434</v>
      </c>
      <c r="D94" s="14">
        <v>1</v>
      </c>
      <c r="E94" s="14">
        <v>0.99987920899780447</v>
      </c>
      <c r="F94" s="14">
        <v>1.0037753295451264</v>
      </c>
      <c r="G94" s="14">
        <v>2.8304468568828996E-20</v>
      </c>
      <c r="H94" s="14">
        <v>4.8242134791212686E-3</v>
      </c>
      <c r="I94" s="14">
        <v>6.2328083754054544E-5</v>
      </c>
      <c r="J94" s="14">
        <v>0</v>
      </c>
      <c r="K94" s="14">
        <v>0.99623886996023558</v>
      </c>
      <c r="L94" s="14">
        <v>1.0037753295451266</v>
      </c>
      <c r="M94" s="14">
        <v>0.8235976578917763</v>
      </c>
      <c r="N94" s="14">
        <v>0.89368564793839822</v>
      </c>
      <c r="O94" s="14">
        <v>160.18421553647849</v>
      </c>
      <c r="P94" s="8">
        <v>0.89368564793839822</v>
      </c>
      <c r="Q94" s="54">
        <v>2.6126652860624738E-6</v>
      </c>
    </row>
    <row r="95" spans="1:17">
      <c r="A95" s="2" t="s">
        <v>435</v>
      </c>
      <c r="B95" s="16" t="s">
        <v>436</v>
      </c>
      <c r="D95" s="14">
        <v>1</v>
      </c>
      <c r="E95" s="14">
        <v>0.97457632248082826</v>
      </c>
      <c r="F95" s="14">
        <v>0.97316235203703572</v>
      </c>
      <c r="G95" s="14">
        <v>1.5661933843023263E-10</v>
      </c>
      <c r="H95" s="14">
        <v>1.0989756999962002</v>
      </c>
      <c r="I95" s="14">
        <v>3.5292380371238647</v>
      </c>
      <c r="J95" s="14">
        <v>0</v>
      </c>
      <c r="K95" s="14">
        <v>1.0275777704581226</v>
      </c>
      <c r="L95" s="14">
        <v>0.97316235203703583</v>
      </c>
      <c r="M95" s="14">
        <v>0.79847970984638783</v>
      </c>
      <c r="N95" s="14">
        <v>1.0845282470468038</v>
      </c>
      <c r="O95" s="14">
        <v>283.15948002145001</v>
      </c>
      <c r="P95" s="8">
        <v>1.0845282470468038</v>
      </c>
      <c r="Q95" s="54">
        <v>4.0446500463272146E-2</v>
      </c>
    </row>
    <row r="96" spans="1:17">
      <c r="A96" s="2" t="s">
        <v>437</v>
      </c>
      <c r="B96" s="166" t="s">
        <v>438</v>
      </c>
      <c r="D96" s="14">
        <v>1</v>
      </c>
      <c r="E96" s="14">
        <v>0.9502072289440785</v>
      </c>
      <c r="F96" s="14">
        <v>5.4853289807933032E-4</v>
      </c>
      <c r="G96" s="14">
        <v>5.6578465830693206E-10</v>
      </c>
      <c r="H96" s="14">
        <v>63.888498183099273</v>
      </c>
      <c r="I96" s="14">
        <v>1907.5672169453485</v>
      </c>
      <c r="J96" s="14">
        <v>0</v>
      </c>
      <c r="K96" s="14">
        <v>1823.0447134555952</v>
      </c>
      <c r="L96" s="14">
        <v>5.4853289807933032E-4</v>
      </c>
      <c r="M96" s="14">
        <v>4.5007124287409054E-4</v>
      </c>
      <c r="N96" s="14">
        <v>120.15368554395765</v>
      </c>
      <c r="O96" s="14">
        <v>50019.979291949567</v>
      </c>
      <c r="P96" s="8">
        <v>120.15368554395765</v>
      </c>
      <c r="Q96" s="54">
        <v>5.40355840722151E-2</v>
      </c>
    </row>
    <row r="97" spans="1:17">
      <c r="A97" s="2" t="s">
        <v>439</v>
      </c>
      <c r="B97" s="16" t="s">
        <v>440</v>
      </c>
      <c r="D97" s="14">
        <v>1</v>
      </c>
      <c r="E97" s="14">
        <v>0.86437869782665633</v>
      </c>
      <c r="F97" s="14">
        <v>0.71352902245759131</v>
      </c>
      <c r="G97" s="14">
        <v>5.2507353608053927E-7</v>
      </c>
      <c r="H97" s="14">
        <v>34.513709753061015</v>
      </c>
      <c r="I97" s="14">
        <v>84.732264513273137</v>
      </c>
      <c r="J97" s="14">
        <v>0</v>
      </c>
      <c r="K97" s="14">
        <v>1.4014846888157728</v>
      </c>
      <c r="L97" s="14">
        <v>0.71352902245759131</v>
      </c>
      <c r="M97" s="14">
        <v>0.5854505629264537</v>
      </c>
      <c r="N97" s="14">
        <v>5.7934532859135794</v>
      </c>
      <c r="O97" s="14">
        <v>1108.1138099966904</v>
      </c>
      <c r="P97" s="8">
        <v>5.7934532859135794</v>
      </c>
      <c r="Q97" s="54">
        <v>0.21569933854031398</v>
      </c>
    </row>
    <row r="98" spans="1:17">
      <c r="A98" s="2" t="s">
        <v>441</v>
      </c>
      <c r="B98" s="16" t="s">
        <v>442</v>
      </c>
      <c r="D98" s="14">
        <v>1</v>
      </c>
      <c r="E98" s="14">
        <v>0.8913346443641148</v>
      </c>
      <c r="F98" s="14">
        <v>0.80326321574749493</v>
      </c>
      <c r="G98" s="14">
        <v>3.4682178350385338E-19</v>
      </c>
      <c r="H98" s="14">
        <v>20.280463648653498</v>
      </c>
      <c r="I98" s="14">
        <v>52.231806935440822</v>
      </c>
      <c r="J98" s="14">
        <v>0</v>
      </c>
      <c r="K98" s="14">
        <v>1.2449219389057014</v>
      </c>
      <c r="L98" s="14">
        <v>0.80326321574749493</v>
      </c>
      <c r="M98" s="14">
        <v>0.65907746852081961</v>
      </c>
      <c r="N98" s="14">
        <v>3.8865633942769842</v>
      </c>
      <c r="O98" s="14">
        <v>1525.3206697179451</v>
      </c>
      <c r="P98" s="8">
        <v>3.8865633942769842</v>
      </c>
      <c r="Q98" s="54">
        <v>0.17303543549330377</v>
      </c>
    </row>
    <row r="99" spans="1:17">
      <c r="A99" s="2" t="s">
        <v>443</v>
      </c>
      <c r="B99" s="16" t="s">
        <v>444</v>
      </c>
      <c r="D99" s="14">
        <v>1</v>
      </c>
      <c r="E99" s="14">
        <v>0.94683012029752001</v>
      </c>
      <c r="F99" s="14">
        <v>0.92962141851621127</v>
      </c>
      <c r="G99" s="14">
        <v>5.0071962006353251E-31</v>
      </c>
      <c r="H99" s="14">
        <v>4.5057399358577284</v>
      </c>
      <c r="I99" s="14">
        <v>13.104585602448662</v>
      </c>
      <c r="J99" s="14">
        <v>0</v>
      </c>
      <c r="K99" s="14">
        <v>1.0757067125197282</v>
      </c>
      <c r="L99" s="14">
        <v>0.92962141851621127</v>
      </c>
      <c r="M99" s="14">
        <v>0.76275437389255141</v>
      </c>
      <c r="N99" s="14">
        <v>1.6149475090398708</v>
      </c>
      <c r="O99" s="14">
        <v>1261.1771077095968</v>
      </c>
      <c r="P99" s="8">
        <v>1.6149475090398708</v>
      </c>
      <c r="Q99" s="54">
        <v>8.4727285388705803E-2</v>
      </c>
    </row>
    <row r="100" spans="1:17">
      <c r="A100" s="2" t="s">
        <v>445</v>
      </c>
      <c r="B100" s="16" t="s">
        <v>446</v>
      </c>
      <c r="D100" s="14">
        <v>1</v>
      </c>
      <c r="E100" s="14">
        <v>0.93935874625089932</v>
      </c>
      <c r="F100" s="14">
        <v>3.630179430105704E-3</v>
      </c>
      <c r="G100" s="14">
        <v>5.9802119884994964E-10</v>
      </c>
      <c r="H100" s="14">
        <v>161.72907088626837</v>
      </c>
      <c r="I100" s="14">
        <v>965.03988343693982</v>
      </c>
      <c r="J100" s="14">
        <v>0</v>
      </c>
      <c r="K100" s="14">
        <v>275.46847731735448</v>
      </c>
      <c r="L100" s="14">
        <v>3.630179430105704E-3</v>
      </c>
      <c r="M100" s="14">
        <v>2.97856222240173E-3</v>
      </c>
      <c r="N100" s="14">
        <v>60.27317462359089</v>
      </c>
      <c r="O100" s="14">
        <v>18467.700704668248</v>
      </c>
      <c r="P100" s="8">
        <v>60.273174623590897</v>
      </c>
      <c r="Q100" s="54">
        <v>8.4167661767154012E-2</v>
      </c>
    </row>
    <row r="101" spans="1:17">
      <c r="A101" s="2" t="s">
        <v>447</v>
      </c>
      <c r="B101" s="16" t="s">
        <v>448</v>
      </c>
      <c r="D101" s="14">
        <v>1</v>
      </c>
      <c r="E101" s="14">
        <v>0.836689621073051</v>
      </c>
      <c r="F101" s="14">
        <v>0.21672155185182274</v>
      </c>
      <c r="G101" s="14">
        <v>6.0118839624794684E-11</v>
      </c>
      <c r="H101" s="14">
        <v>144.80451449199245</v>
      </c>
      <c r="I101" s="14">
        <v>292.98087560616079</v>
      </c>
      <c r="J101" s="14">
        <v>0</v>
      </c>
      <c r="K101" s="14">
        <v>4.6142157596016187</v>
      </c>
      <c r="L101" s="14">
        <v>0.21672155185182276</v>
      </c>
      <c r="M101" s="14">
        <v>0.17782003329442056</v>
      </c>
      <c r="N101" s="14">
        <v>18.179932780553191</v>
      </c>
      <c r="O101" s="14">
        <v>6123.3649591459252</v>
      </c>
      <c r="P101" s="8">
        <v>18.179932780553191</v>
      </c>
      <c r="Q101" s="54">
        <v>0.25741821388995695</v>
      </c>
    </row>
    <row r="102" spans="1:17">
      <c r="A102" s="2" t="s">
        <v>449</v>
      </c>
      <c r="B102" s="16" t="s">
        <v>450</v>
      </c>
      <c r="D102" s="14">
        <v>1</v>
      </c>
      <c r="E102" s="14">
        <v>0.90678332599000122</v>
      </c>
      <c r="F102" s="14">
        <v>4.3898635405503358E-2</v>
      </c>
      <c r="G102" s="14">
        <v>2.4560630306779245E-6</v>
      </c>
      <c r="H102" s="14">
        <v>206.25810358028465</v>
      </c>
      <c r="I102" s="14">
        <v>361.46661417865522</v>
      </c>
      <c r="J102" s="14">
        <v>0</v>
      </c>
      <c r="K102" s="14">
        <v>22.779751369552478</v>
      </c>
      <c r="L102" s="14">
        <v>4.3898635405503358E-2</v>
      </c>
      <c r="M102" s="14">
        <v>3.6018830350215511E-2</v>
      </c>
      <c r="N102" s="14">
        <v>22.360323552358544</v>
      </c>
      <c r="O102" s="14">
        <v>10399.562880966434</v>
      </c>
      <c r="P102" s="8">
        <v>22.360323552358544</v>
      </c>
      <c r="Q102" s="54">
        <v>0.14410139699872548</v>
      </c>
    </row>
    <row r="103" spans="1:17">
      <c r="A103" s="2" t="s">
        <v>451</v>
      </c>
      <c r="B103" s="16" t="s">
        <v>452</v>
      </c>
      <c r="D103" s="14">
        <v>1</v>
      </c>
      <c r="E103" s="14">
        <v>0.9998283215616528</v>
      </c>
      <c r="F103" s="14">
        <v>0.89826211305770232</v>
      </c>
      <c r="G103" s="14">
        <v>4.8898358563994811E-21</v>
      </c>
      <c r="H103" s="14">
        <v>29.859537898901252</v>
      </c>
      <c r="I103" s="14">
        <v>2.6829952632584506E-2</v>
      </c>
      <c r="J103" s="14">
        <v>0</v>
      </c>
      <c r="K103" s="14">
        <v>1.1132608015671281</v>
      </c>
      <c r="L103" s="14">
        <v>0.89826211305770243</v>
      </c>
      <c r="M103" s="14">
        <v>0.73702406376384477</v>
      </c>
      <c r="N103" s="14">
        <v>0.91488674810477666</v>
      </c>
      <c r="O103" s="14">
        <v>302.58964306817381</v>
      </c>
      <c r="P103" s="8">
        <v>0.91488674810477666</v>
      </c>
      <c r="Q103" s="54">
        <v>7.9509661759817504E-5</v>
      </c>
    </row>
    <row r="104" spans="1:17">
      <c r="A104" s="2" t="s">
        <v>453</v>
      </c>
      <c r="B104" s="16" t="s">
        <v>454</v>
      </c>
      <c r="D104" s="14">
        <v>1</v>
      </c>
      <c r="E104" s="14">
        <v>0.99953902641246628</v>
      </c>
      <c r="F104" s="14">
        <v>1.1154248101788772E-2</v>
      </c>
      <c r="G104" s="14">
        <v>1.2547097212874072E-22</v>
      </c>
      <c r="H104" s="14">
        <v>280.63400884750689</v>
      </c>
      <c r="I104" s="14">
        <v>2.7514876379188982</v>
      </c>
      <c r="J104" s="14">
        <v>0</v>
      </c>
      <c r="K104" s="14">
        <v>89.651941652582849</v>
      </c>
      <c r="L104" s="14">
        <v>1.1154248101788772E-2</v>
      </c>
      <c r="M104" s="14">
        <v>9.1520605675176874E-3</v>
      </c>
      <c r="N104" s="14">
        <v>1.2619262376135905</v>
      </c>
      <c r="O104" s="14">
        <v>623.39156138111366</v>
      </c>
      <c r="P104" s="8">
        <v>1.2619262376135905</v>
      </c>
      <c r="Q104" s="54">
        <v>4.6834680936271852E-4</v>
      </c>
    </row>
    <row r="105" spans="1:17">
      <c r="A105" s="2" t="s">
        <v>455</v>
      </c>
      <c r="B105" s="166">
        <v>354656</v>
      </c>
      <c r="D105" s="14">
        <v>1</v>
      </c>
      <c r="E105" s="14">
        <v>0.98695118935430359</v>
      </c>
      <c r="F105" s="14">
        <v>0.98942152115389381</v>
      </c>
      <c r="G105" s="14">
        <v>4.1676365705855376E-12</v>
      </c>
      <c r="H105" s="14">
        <v>0.2842243962178605</v>
      </c>
      <c r="I105" s="14">
        <v>1.0179314284818364</v>
      </c>
      <c r="J105" s="14">
        <v>0</v>
      </c>
      <c r="K105" s="14">
        <v>1.0106915794936107</v>
      </c>
      <c r="L105" s="14">
        <v>0.98942152115389392</v>
      </c>
      <c r="M105" s="14">
        <v>0.81182035810677</v>
      </c>
      <c r="N105" s="14">
        <v>0.93572248179320705</v>
      </c>
      <c r="O105" s="14">
        <v>184.51511618480251</v>
      </c>
      <c r="P105" s="8">
        <v>0.93572248179320716</v>
      </c>
      <c r="Q105" s="54">
        <v>2.0678475770222887E-2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0.97335157568813202</v>
      </c>
      <c r="F106" s="14">
        <v>0.97149181937999407</v>
      </c>
      <c r="G106" s="14">
        <v>6.2887357508903562E-12</v>
      </c>
      <c r="H106" s="14">
        <v>1.1930547760529056</v>
      </c>
      <c r="I106" s="14">
        <v>3.8141476124854452</v>
      </c>
      <c r="J106" s="14">
        <v>0</v>
      </c>
      <c r="K106" s="14">
        <v>1.0293447459374385</v>
      </c>
      <c r="L106" s="14">
        <v>0.97149181937999407</v>
      </c>
      <c r="M106" s="14">
        <v>0.79710903780128517</v>
      </c>
      <c r="N106" s="14">
        <v>1.0986987248262656</v>
      </c>
      <c r="O106" s="14">
        <v>175.98956174267124</v>
      </c>
      <c r="P106" s="8">
        <v>1.0986987248262656</v>
      </c>
      <c r="Q106" s="54">
        <v>4.2403089133353972E-2</v>
      </c>
    </row>
    <row r="107" spans="1:17">
      <c r="A107" s="2" t="s">
        <v>459</v>
      </c>
      <c r="B107" s="16" t="s">
        <v>460</v>
      </c>
      <c r="D107" s="14">
        <v>1</v>
      </c>
      <c r="E107" s="14">
        <v>0.93351097388027293</v>
      </c>
      <c r="F107" s="14">
        <v>2.2849248472780723E-2</v>
      </c>
      <c r="G107" s="14">
        <v>5.5565902679613095E-22</v>
      </c>
      <c r="H107" s="14">
        <v>220.2972189268672</v>
      </c>
      <c r="I107" s="14">
        <v>356.99227854065487</v>
      </c>
      <c r="J107" s="14">
        <v>0</v>
      </c>
      <c r="K107" s="14">
        <v>43.76511556567187</v>
      </c>
      <c r="L107" s="14">
        <v>2.2849248472780727E-2</v>
      </c>
      <c r="M107" s="14">
        <v>1.8747808371916586E-2</v>
      </c>
      <c r="N107" s="14">
        <v>25.951912062470928</v>
      </c>
      <c r="O107" s="14">
        <v>13791.624627358924</v>
      </c>
      <c r="P107" s="8">
        <v>25.951912062470928</v>
      </c>
      <c r="Q107" s="54">
        <v>0.10084603388490285</v>
      </c>
    </row>
    <row r="108" spans="1:17">
      <c r="A108" s="2" t="s">
        <v>461</v>
      </c>
      <c r="B108" s="16" t="s">
        <v>462</v>
      </c>
      <c r="D108" s="14">
        <v>1</v>
      </c>
      <c r="E108" s="14">
        <v>0.99985780223872678</v>
      </c>
      <c r="F108" s="14">
        <v>1.003761820302763</v>
      </c>
      <c r="G108" s="14">
        <v>1.2229467744561527E-11</v>
      </c>
      <c r="H108" s="14">
        <v>2.4989147691354711E-3</v>
      </c>
      <c r="I108" s="14">
        <v>6.7061712726058974E-4</v>
      </c>
      <c r="J108" s="14">
        <v>0</v>
      </c>
      <c r="K108" s="14">
        <v>0.99625227795411808</v>
      </c>
      <c r="L108" s="14">
        <v>1.0037618203027632</v>
      </c>
      <c r="M108" s="14">
        <v>0.82358657355841713</v>
      </c>
      <c r="N108" s="14">
        <v>0.89059700586000434</v>
      </c>
      <c r="O108" s="14">
        <v>115.02950927687816</v>
      </c>
      <c r="P108" s="8">
        <v>0.89059700586000434</v>
      </c>
      <c r="Q108" s="54">
        <v>3.752102041997096E-5</v>
      </c>
    </row>
    <row r="109" spans="1:17">
      <c r="A109" s="2" t="s">
        <v>463</v>
      </c>
      <c r="B109" s="16" t="s">
        <v>464</v>
      </c>
      <c r="D109" s="14">
        <v>1</v>
      </c>
      <c r="E109" s="14">
        <v>0.99063657952160156</v>
      </c>
      <c r="F109" s="14">
        <v>0.93313430316479329</v>
      </c>
      <c r="G109" s="14">
        <v>3.1522337682403637E-14</v>
      </c>
      <c r="H109" s="14">
        <v>16.554372493166476</v>
      </c>
      <c r="I109" s="14">
        <v>7.6186919587080038</v>
      </c>
      <c r="J109" s="14">
        <v>0</v>
      </c>
      <c r="K109" s="14">
        <v>1.0716570986710345</v>
      </c>
      <c r="L109" s="14">
        <v>0.93313430316479329</v>
      </c>
      <c r="M109" s="14">
        <v>0.76563669574671289</v>
      </c>
      <c r="N109" s="14">
        <v>12.012423831111352</v>
      </c>
      <c r="O109" s="14">
        <v>3601.3246645671834</v>
      </c>
      <c r="P109" s="8">
        <v>12.012423831111352</v>
      </c>
      <c r="Q109" s="54">
        <v>1.2418822344603262E-2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0.99723221515764982</v>
      </c>
      <c r="F110" s="14">
        <v>1.0008651874148249</v>
      </c>
      <c r="G110" s="14">
        <v>2.3301408859342702E-13</v>
      </c>
      <c r="H110" s="14">
        <v>6.4129164776680861E-2</v>
      </c>
      <c r="I110" s="14">
        <v>0.11360141077013793</v>
      </c>
      <c r="J110" s="14">
        <v>0</v>
      </c>
      <c r="K110" s="14">
        <v>0.9991355604873623</v>
      </c>
      <c r="L110" s="14">
        <v>1.0008651874148249</v>
      </c>
      <c r="M110" s="14">
        <v>0.82120988627386393</v>
      </c>
      <c r="N110" s="14">
        <v>0.89171950795919208</v>
      </c>
      <c r="O110" s="14">
        <v>212.37191801556119</v>
      </c>
      <c r="P110" s="8">
        <v>0.89171950795919208</v>
      </c>
      <c r="Q110" s="54">
        <v>4.2382222266316291E-3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0.99987931994656032</v>
      </c>
      <c r="F111" s="14">
        <v>1.003776451608726</v>
      </c>
      <c r="G111" s="14">
        <v>4.1270439155842677E-32</v>
      </c>
      <c r="H111" s="14">
        <v>4.5410575201261212E-3</v>
      </c>
      <c r="I111" s="14">
        <v>3.4736860693940944E-5</v>
      </c>
      <c r="J111" s="14">
        <v>0</v>
      </c>
      <c r="K111" s="14">
        <v>0.99623775632246248</v>
      </c>
      <c r="L111" s="14">
        <v>1.003776451608726</v>
      </c>
      <c r="M111" s="14">
        <v>0.82359857854495977</v>
      </c>
      <c r="N111" s="14">
        <v>0.88732039706867782</v>
      </c>
      <c r="O111" s="14">
        <v>408.5489304223313</v>
      </c>
      <c r="P111" s="8">
        <v>0.88732039706867782</v>
      </c>
      <c r="Q111" s="54">
        <v>3.7930674622685116E-6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0.99644602912099201</v>
      </c>
      <c r="F112" s="14">
        <v>1.0002310254596689</v>
      </c>
      <c r="G112" s="14">
        <v>2.6209504418422198E-15</v>
      </c>
      <c r="H112" s="14">
        <v>2.2142687021102708E-2</v>
      </c>
      <c r="I112" s="14">
        <v>9.5782792000073988E-2</v>
      </c>
      <c r="J112" s="14">
        <v>0</v>
      </c>
      <c r="K112" s="14">
        <v>0.99976902790076649</v>
      </c>
      <c r="L112" s="14">
        <v>1.0002310254596689</v>
      </c>
      <c r="M112" s="14">
        <v>0.82068955638965835</v>
      </c>
      <c r="N112" s="14">
        <v>0.88986309300840227</v>
      </c>
      <c r="O112" s="14">
        <v>182.64439983997457</v>
      </c>
      <c r="P112" s="8">
        <v>0.88986309300840227</v>
      </c>
      <c r="Q112" s="54">
        <v>5.4965159462771881E-3</v>
      </c>
    </row>
    <row r="113" spans="1:17">
      <c r="A113" s="2" t="s">
        <v>471</v>
      </c>
      <c r="B113" s="16" t="s">
        <v>472</v>
      </c>
      <c r="D113" s="14">
        <v>1</v>
      </c>
      <c r="E113" s="14">
        <v>0.98016887394835506</v>
      </c>
      <c r="F113" s="14">
        <v>0.98090648653485202</v>
      </c>
      <c r="G113" s="14">
        <v>3.2969783410783877E-11</v>
      </c>
      <c r="H113" s="14">
        <v>0.64311347070542535</v>
      </c>
      <c r="I113" s="14">
        <v>2.1674284875806729</v>
      </c>
      <c r="J113" s="14">
        <v>0</v>
      </c>
      <c r="K113" s="14">
        <v>1.0194651719886141</v>
      </c>
      <c r="L113" s="14">
        <v>0.98090648653485202</v>
      </c>
      <c r="M113" s="14">
        <v>0.80483377220184615</v>
      </c>
      <c r="N113" s="14">
        <v>0.99752272468602621</v>
      </c>
      <c r="O113" s="14">
        <v>150.78553506353973</v>
      </c>
      <c r="P113" s="8">
        <v>0.99752272468602621</v>
      </c>
      <c r="Q113" s="54">
        <v>3.1516993142083304E-2</v>
      </c>
    </row>
    <row r="114" spans="1:17">
      <c r="A114" s="2" t="s">
        <v>473</v>
      </c>
      <c r="B114" s="16" t="s">
        <v>474</v>
      </c>
      <c r="D114" s="14">
        <v>1</v>
      </c>
      <c r="E114" s="14">
        <v>0.99810450424764008</v>
      </c>
      <c r="F114" s="14">
        <v>1.0019765723188068</v>
      </c>
      <c r="G114" s="14">
        <v>2.5669471462167627E-18</v>
      </c>
      <c r="H114" s="14">
        <v>6.4330594845495052E-3</v>
      </c>
      <c r="I114" s="14">
        <v>3.0008741764623505E-2</v>
      </c>
      <c r="J114" s="14">
        <v>0</v>
      </c>
      <c r="K114" s="14">
        <v>0.99802732681240991</v>
      </c>
      <c r="L114" s="14">
        <v>1.0019765723188068</v>
      </c>
      <c r="M114" s="14">
        <v>0.82212177758758098</v>
      </c>
      <c r="N114" s="14">
        <v>0.88747904366548003</v>
      </c>
      <c r="O114" s="14">
        <v>301.17488825831731</v>
      </c>
      <c r="P114" s="8">
        <v>0.88747904366548003</v>
      </c>
      <c r="Q114" s="54">
        <v>2.8434643411270116E-3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0.99985177008736237</v>
      </c>
      <c r="F115" s="14">
        <v>0.9762039003770695</v>
      </c>
      <c r="G115" s="14">
        <v>1.3243248560899839E-14</v>
      </c>
      <c r="H115" s="14">
        <v>7.8019028570422586</v>
      </c>
      <c r="I115" s="14">
        <v>8.6525876457060943E-3</v>
      </c>
      <c r="J115" s="14">
        <v>0</v>
      </c>
      <c r="K115" s="14">
        <v>1.0243761570853578</v>
      </c>
      <c r="L115" s="14">
        <v>0.9762039003770695</v>
      </c>
      <c r="M115" s="14">
        <v>0.80097530025938557</v>
      </c>
      <c r="N115" s="14">
        <v>0.89758952021886795</v>
      </c>
      <c r="O115" s="14">
        <v>172.45387451965109</v>
      </c>
      <c r="P115" s="8">
        <v>0.89758952021886806</v>
      </c>
      <c r="Q115" s="54">
        <v>4.56820944234704E-5</v>
      </c>
    </row>
    <row r="116" spans="1:17">
      <c r="A116" s="2" t="s">
        <v>477</v>
      </c>
      <c r="B116" s="16" t="s">
        <v>478</v>
      </c>
      <c r="D116" s="14">
        <v>1</v>
      </c>
      <c r="E116" s="14">
        <v>0.97545074511348295</v>
      </c>
      <c r="F116" s="14">
        <v>0.13453670762327691</v>
      </c>
      <c r="G116" s="14">
        <v>3.7378352452633791E-19</v>
      </c>
      <c r="H116" s="14">
        <v>233.49828831559424</v>
      </c>
      <c r="I116" s="14">
        <v>52.363520477941513</v>
      </c>
      <c r="J116" s="14">
        <v>0</v>
      </c>
      <c r="K116" s="14">
        <v>7.4329156530286946</v>
      </c>
      <c r="L116" s="14">
        <v>0.13453670762327694</v>
      </c>
      <c r="M116" s="14">
        <v>0.11038736860489871</v>
      </c>
      <c r="N116" s="14">
        <v>123.33809299818225</v>
      </c>
      <c r="O116" s="14">
        <v>56069.497076973654</v>
      </c>
      <c r="P116" s="8">
        <v>123.33809299818226</v>
      </c>
      <c r="Q116" s="54">
        <v>1.296668131214793E-2</v>
      </c>
    </row>
    <row r="117" spans="1:17">
      <c r="A117" s="2" t="s">
        <v>291</v>
      </c>
      <c r="B117" s="16" t="s">
        <v>479</v>
      </c>
      <c r="D117" s="14">
        <v>1</v>
      </c>
      <c r="E117" s="14">
        <v>0.83718497747715348</v>
      </c>
      <c r="F117" s="14">
        <v>0.57862074062307434</v>
      </c>
      <c r="G117" s="14">
        <v>3.9902718513173311E-12</v>
      </c>
      <c r="H117" s="14">
        <v>59.261685155880009</v>
      </c>
      <c r="I117" s="14">
        <v>137.66741814967338</v>
      </c>
      <c r="J117" s="14">
        <v>0</v>
      </c>
      <c r="K117" s="14">
        <v>1.7282477619505532</v>
      </c>
      <c r="L117" s="14">
        <v>0.57862074062307445</v>
      </c>
      <c r="M117" s="14">
        <v>0.47475831768123256</v>
      </c>
      <c r="N117" s="14">
        <v>8.9177783800606321</v>
      </c>
      <c r="O117" s="14">
        <v>2749.6186079240942</v>
      </c>
      <c r="P117" s="8">
        <v>8.9177783800606321</v>
      </c>
      <c r="Q117" s="54">
        <v>0.2586015762018975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2.0668689496776216E-8</v>
      </c>
      <c r="E2" s="20">
        <v>0.98988417944930984</v>
      </c>
      <c r="F2" s="20">
        <v>6.0859954771063187E-4</v>
      </c>
      <c r="G2" s="20">
        <v>2.4424584286815052E-4</v>
      </c>
      <c r="H2" s="20">
        <v>0</v>
      </c>
      <c r="I2" s="20">
        <v>0.98903133405873112</v>
      </c>
      <c r="J2" s="20">
        <v>1.2216217088756529E-4</v>
      </c>
      <c r="K2" s="20">
        <v>9.9936377111131073E-3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1.8812167557713188E-8</v>
      </c>
      <c r="E3" s="20">
        <v>0.8446542914457329</v>
      </c>
      <c r="F3" s="20">
        <v>0.22463977265649479</v>
      </c>
      <c r="G3" s="20">
        <v>5.4572624927749946E-2</v>
      </c>
      <c r="H3" s="20">
        <v>0</v>
      </c>
      <c r="I3" s="20">
        <v>0.56544189386148813</v>
      </c>
      <c r="J3" s="20">
        <v>1.4341211027646041E-3</v>
      </c>
      <c r="K3" s="20">
        <v>0.153911568639335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1.0579784229995917E-17</v>
      </c>
      <c r="E4" s="20">
        <v>0.99985579539841796</v>
      </c>
      <c r="F4" s="20">
        <v>4.2178923864496609E-4</v>
      </c>
      <c r="G4" s="20">
        <v>4.6450579545790248E-7</v>
      </c>
      <c r="H4" s="20">
        <v>0</v>
      </c>
      <c r="I4" s="20">
        <v>0.99943354165397758</v>
      </c>
      <c r="J4" s="20">
        <v>1.354932095658006E-4</v>
      </c>
      <c r="K4" s="20">
        <v>8.7113920163125814E-6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1.7613652725790689E-10</v>
      </c>
      <c r="E5" s="20">
        <v>0.99979472901733069</v>
      </c>
      <c r="F5" s="20">
        <v>0.45214400720450615</v>
      </c>
      <c r="G5" s="20">
        <v>3.588690828211883E-5</v>
      </c>
      <c r="H5" s="20">
        <v>0</v>
      </c>
      <c r="I5" s="20">
        <v>0.54761483490454244</v>
      </c>
      <c r="J5" s="20">
        <v>1.2590517699665989E-4</v>
      </c>
      <c r="K5" s="20">
        <v>7.9365629535901026E-5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1.4453443003791101E-11</v>
      </c>
      <c r="E6" s="20">
        <v>0.9995749634691623</v>
      </c>
      <c r="F6" s="20">
        <v>0.67518700645528695</v>
      </c>
      <c r="G6" s="20">
        <v>1.9580176483069225E-4</v>
      </c>
      <c r="H6" s="20">
        <v>0</v>
      </c>
      <c r="I6" s="20">
        <v>0.32419215524904466</v>
      </c>
      <c r="J6" s="20">
        <v>1.2738162573798932E-4</v>
      </c>
      <c r="K6" s="20">
        <v>2.9765489064624036E-4</v>
      </c>
      <c r="L6" s="20">
        <v>0</v>
      </c>
    </row>
    <row r="7" spans="1:14">
      <c r="A7" s="2" t="s">
        <v>366</v>
      </c>
      <c r="B7" s="3" t="s">
        <v>305</v>
      </c>
      <c r="D7" s="20">
        <v>1.262919461073129E-7</v>
      </c>
      <c r="E7" s="20">
        <v>0.99827166857611171</v>
      </c>
      <c r="F7" s="20">
        <v>0.88861924314443375</v>
      </c>
      <c r="G7" s="20">
        <v>1.8088844167326772E-3</v>
      </c>
      <c r="H7" s="20">
        <v>0</v>
      </c>
      <c r="I7" s="20">
        <v>0.10784354101494534</v>
      </c>
      <c r="J7" s="20">
        <v>1.5310837204818596E-4</v>
      </c>
      <c r="K7" s="20">
        <v>1.575096759894027E-3</v>
      </c>
      <c r="L7" s="20">
        <v>0</v>
      </c>
    </row>
    <row r="8" spans="1:14">
      <c r="A8" s="2" t="s">
        <v>289</v>
      </c>
      <c r="B8" s="3" t="s">
        <v>290</v>
      </c>
      <c r="D8" s="20">
        <v>8.9531651457071401E-18</v>
      </c>
      <c r="E8" s="20">
        <v>0.99972966626971072</v>
      </c>
      <c r="F8" s="20">
        <v>0.76978269010764511</v>
      </c>
      <c r="G8" s="20">
        <v>1.1705574303476392E-4</v>
      </c>
      <c r="H8" s="20">
        <v>0</v>
      </c>
      <c r="I8" s="20">
        <v>0.22982992041903089</v>
      </c>
      <c r="J8" s="20">
        <v>1.2354620564331999E-4</v>
      </c>
      <c r="K8" s="20">
        <v>1.4678752464602021E-4</v>
      </c>
      <c r="L8" s="20">
        <v>0</v>
      </c>
    </row>
    <row r="9" spans="1:14">
      <c r="A9" s="2" t="s">
        <v>291</v>
      </c>
      <c r="B9" s="3" t="s">
        <v>292</v>
      </c>
      <c r="D9" s="20">
        <v>3.7539159964022621E-13</v>
      </c>
      <c r="E9" s="20">
        <v>0.99951101217797322</v>
      </c>
      <c r="F9" s="20">
        <v>0.38516750001721994</v>
      </c>
      <c r="G9" s="20">
        <v>1.4598948728383905E-4</v>
      </c>
      <c r="H9" s="20">
        <v>0</v>
      </c>
      <c r="I9" s="20">
        <v>0.61419752267346939</v>
      </c>
      <c r="J9" s="20">
        <v>1.2806195825604516E-4</v>
      </c>
      <c r="K9" s="20">
        <v>3.6092586339523731E-4</v>
      </c>
      <c r="L9" s="20">
        <v>0</v>
      </c>
    </row>
    <row r="10" spans="1:14">
      <c r="A10" s="2" t="s">
        <v>367</v>
      </c>
      <c r="B10" s="3" t="s">
        <v>368</v>
      </c>
      <c r="D10" s="20">
        <v>1.2054393385538972E-5</v>
      </c>
      <c r="E10" s="20">
        <v>0.94725686251083496</v>
      </c>
      <c r="F10" s="20">
        <v>0.79701050294479092</v>
      </c>
      <c r="G10" s="20">
        <v>0.13920652742132095</v>
      </c>
      <c r="H10" s="20">
        <v>0</v>
      </c>
      <c r="I10" s="20">
        <v>1.1039832144723063E-2</v>
      </c>
      <c r="J10" s="20">
        <v>3.0311252206571709E-3</v>
      </c>
      <c r="K10" s="20">
        <v>4.9699957875122415E-2</v>
      </c>
      <c r="L10" s="20">
        <v>0</v>
      </c>
    </row>
    <row r="11" spans="1:14">
      <c r="A11" s="2" t="s">
        <v>369</v>
      </c>
      <c r="B11" s="3" t="s">
        <v>370</v>
      </c>
      <c r="D11" s="20">
        <v>4.6920992390974507E-12</v>
      </c>
      <c r="E11" s="20">
        <v>0.97912042737450844</v>
      </c>
      <c r="F11" s="20">
        <v>0.56540318276890444</v>
      </c>
      <c r="G11" s="20">
        <v>0.41309755148554284</v>
      </c>
      <c r="H11" s="20">
        <v>0</v>
      </c>
      <c r="I11" s="20">
        <v>6.1969312006113794E-4</v>
      </c>
      <c r="J11" s="20">
        <v>1.3301669625753071E-2</v>
      </c>
      <c r="K11" s="20">
        <v>7.5779029950464758E-3</v>
      </c>
      <c r="L11" s="20">
        <v>0</v>
      </c>
    </row>
    <row r="12" spans="1:14">
      <c r="A12" s="2" t="s">
        <v>371</v>
      </c>
      <c r="B12" s="3" t="s">
        <v>372</v>
      </c>
      <c r="D12" s="20">
        <v>5.942893069803936E-2</v>
      </c>
      <c r="E12" s="20">
        <v>0.93865493867537231</v>
      </c>
      <c r="F12" s="20">
        <v>2.6383838151852012E-5</v>
      </c>
      <c r="G12" s="20">
        <v>1.3077534943769922E-5</v>
      </c>
      <c r="H12" s="20">
        <v>0</v>
      </c>
      <c r="I12" s="20">
        <v>0.93861547730227668</v>
      </c>
      <c r="J12" s="20">
        <v>1.1135877055364495E-4</v>
      </c>
      <c r="K12" s="20">
        <v>1.8047718560346682E-3</v>
      </c>
      <c r="L12" s="20">
        <v>0</v>
      </c>
    </row>
    <row r="13" spans="1:14">
      <c r="A13" s="2" t="s">
        <v>293</v>
      </c>
      <c r="B13" s="3" t="s">
        <v>294</v>
      </c>
      <c r="D13" s="20">
        <v>1.6464161058185336E-8</v>
      </c>
      <c r="E13" s="20">
        <v>0.84702526032973446</v>
      </c>
      <c r="F13" s="20">
        <v>0.16980805602603932</v>
      </c>
      <c r="G13" s="20">
        <v>4.3556587351702022E-2</v>
      </c>
      <c r="H13" s="20">
        <v>0</v>
      </c>
      <c r="I13" s="20">
        <v>0.63366061695199316</v>
      </c>
      <c r="J13" s="20">
        <v>1.0073816224485286E-3</v>
      </c>
      <c r="K13" s="20">
        <v>0.15196734158365588</v>
      </c>
      <c r="L13" s="20">
        <v>0</v>
      </c>
    </row>
    <row r="14" spans="1:14">
      <c r="A14" s="2" t="s">
        <v>373</v>
      </c>
      <c r="B14" s="3" t="s">
        <v>374</v>
      </c>
      <c r="D14" s="20">
        <v>6.6754235990462713E-8</v>
      </c>
      <c r="E14" s="20">
        <v>0.99942010941431803</v>
      </c>
      <c r="F14" s="20">
        <v>0.98906091272582852</v>
      </c>
      <c r="G14" s="20">
        <v>1.5494896847251284E-3</v>
      </c>
      <c r="H14" s="20">
        <v>0</v>
      </c>
      <c r="I14" s="20">
        <v>8.8097070037643829E-3</v>
      </c>
      <c r="J14" s="20">
        <v>2.4984573709644768E-4</v>
      </c>
      <c r="K14" s="20">
        <v>3.2997809434945016E-4</v>
      </c>
      <c r="L14" s="20">
        <v>0</v>
      </c>
    </row>
    <row r="15" spans="1:14">
      <c r="A15" s="2" t="s">
        <v>375</v>
      </c>
      <c r="B15" s="3" t="s">
        <v>376</v>
      </c>
      <c r="D15" s="20">
        <v>7.2969808257117394E-2</v>
      </c>
      <c r="E15" s="20">
        <v>0.86764188068906345</v>
      </c>
      <c r="F15" s="20">
        <v>2.144676975481476E-2</v>
      </c>
      <c r="G15" s="20">
        <v>6.5412002510736389E-3</v>
      </c>
      <c r="H15" s="20">
        <v>0</v>
      </c>
      <c r="I15" s="20">
        <v>0.83965391068317508</v>
      </c>
      <c r="J15" s="20">
        <v>2.3843138341206094E-4</v>
      </c>
      <c r="K15" s="20">
        <v>5.91498796704071E-2</v>
      </c>
      <c r="L15" s="20">
        <v>0</v>
      </c>
    </row>
    <row r="16" spans="1:14">
      <c r="A16" s="2" t="s">
        <v>377</v>
      </c>
      <c r="B16" s="3" t="s">
        <v>378</v>
      </c>
      <c r="D16" s="20">
        <v>6.3104955923431159E-4</v>
      </c>
      <c r="E16" s="20">
        <v>0.83972680162837765</v>
      </c>
      <c r="F16" s="20">
        <v>0.19493155715854543</v>
      </c>
      <c r="G16" s="20">
        <v>4.9269449227793312E-2</v>
      </c>
      <c r="H16" s="20">
        <v>0</v>
      </c>
      <c r="I16" s="20">
        <v>0.59552579524203886</v>
      </c>
      <c r="J16" s="20">
        <v>1.1257752911018946E-3</v>
      </c>
      <c r="K16" s="20">
        <v>0.15851637352128634</v>
      </c>
      <c r="L16" s="20">
        <v>0</v>
      </c>
    </row>
    <row r="17" spans="1:12">
      <c r="A17" s="2" t="s">
        <v>379</v>
      </c>
      <c r="B17" s="3" t="s">
        <v>380</v>
      </c>
      <c r="D17" s="20">
        <v>1.8890326577160662E-3</v>
      </c>
      <c r="E17" s="20">
        <v>0.8428030295719473</v>
      </c>
      <c r="F17" s="20">
        <v>0.17867267948976046</v>
      </c>
      <c r="G17" s="20">
        <v>4.5577836463109568E-2</v>
      </c>
      <c r="H17" s="20">
        <v>0</v>
      </c>
      <c r="I17" s="20">
        <v>0.61855251361907726</v>
      </c>
      <c r="J17" s="20">
        <v>1.0490745787093054E-3</v>
      </c>
      <c r="K17" s="20">
        <v>0.15425886319162738</v>
      </c>
      <c r="L17" s="20">
        <v>0</v>
      </c>
    </row>
    <row r="18" spans="1:12">
      <c r="A18" s="2" t="s">
        <v>381</v>
      </c>
      <c r="B18" s="3" t="s">
        <v>382</v>
      </c>
      <c r="D18" s="20">
        <v>3.4489853645070702E-8</v>
      </c>
      <c r="E18" s="20">
        <v>0.94829990312229606</v>
      </c>
      <c r="F18" s="20">
        <v>0.25545242853791977</v>
      </c>
      <c r="G18" s="20">
        <v>0.69215855511015234</v>
      </c>
      <c r="H18" s="20">
        <v>0</v>
      </c>
      <c r="I18" s="20">
        <v>6.8891947422399283E-4</v>
      </c>
      <c r="J18" s="20">
        <v>1.5283243028098062E-2</v>
      </c>
      <c r="K18" s="20">
        <v>3.6416819359752189E-2</v>
      </c>
      <c r="L18" s="20">
        <v>0</v>
      </c>
    </row>
    <row r="19" spans="1:12">
      <c r="A19" s="2" t="s">
        <v>383</v>
      </c>
      <c r="B19" s="3" t="s">
        <v>384</v>
      </c>
      <c r="D19" s="20">
        <v>9.6054500012321652E-3</v>
      </c>
      <c r="E19" s="20">
        <v>0.95634111769139929</v>
      </c>
      <c r="F19" s="20">
        <v>6.5938095629693516E-3</v>
      </c>
      <c r="G19" s="20">
        <v>2.2132575552708234E-3</v>
      </c>
      <c r="H19" s="20">
        <v>0</v>
      </c>
      <c r="I19" s="20">
        <v>0.94753405057315909</v>
      </c>
      <c r="J19" s="20">
        <v>1.589990811950544E-4</v>
      </c>
      <c r="K19" s="20">
        <v>3.3894433226173373E-2</v>
      </c>
      <c r="L19" s="20">
        <v>0</v>
      </c>
    </row>
    <row r="20" spans="1:12">
      <c r="A20" s="2" t="s">
        <v>385</v>
      </c>
      <c r="B20" s="3" t="s">
        <v>386</v>
      </c>
      <c r="D20" s="20">
        <v>1.8251087805517513E-2</v>
      </c>
      <c r="E20" s="20">
        <v>0.93596551424529795</v>
      </c>
      <c r="F20" s="20">
        <v>1.1964854971268942E-2</v>
      </c>
      <c r="G20" s="20">
        <v>3.8353322665312232E-3</v>
      </c>
      <c r="H20" s="20">
        <v>0</v>
      </c>
      <c r="I20" s="20">
        <v>0.92016532700749776</v>
      </c>
      <c r="J20" s="20">
        <v>1.9026720856200411E-4</v>
      </c>
      <c r="K20" s="20">
        <v>4.5593130740622337E-2</v>
      </c>
      <c r="L20" s="20">
        <v>0</v>
      </c>
    </row>
    <row r="21" spans="1:12">
      <c r="A21" s="2" t="s">
        <v>387</v>
      </c>
      <c r="B21" s="3" t="s">
        <v>388</v>
      </c>
      <c r="D21" s="20">
        <v>1.5089629572921318E-3</v>
      </c>
      <c r="E21" s="20">
        <v>0.96753664841199361</v>
      </c>
      <c r="F21" s="20">
        <v>0.82379671662488818</v>
      </c>
      <c r="G21" s="20">
        <v>3.3245986089386011E-2</v>
      </c>
      <c r="H21" s="20">
        <v>0</v>
      </c>
      <c r="I21" s="20">
        <v>0.11049394569771945</v>
      </c>
      <c r="J21" s="20">
        <v>8.0797598106483338E-4</v>
      </c>
      <c r="K21" s="20">
        <v>3.0146412649649418E-2</v>
      </c>
      <c r="L21" s="20">
        <v>0</v>
      </c>
    </row>
    <row r="22" spans="1:12">
      <c r="A22" s="2" t="s">
        <v>295</v>
      </c>
      <c r="B22" s="3" t="s">
        <v>296</v>
      </c>
      <c r="D22" s="20">
        <v>5.2647405956002744E-2</v>
      </c>
      <c r="E22" s="20">
        <v>0.93434568416559927</v>
      </c>
      <c r="F22" s="20">
        <v>1.0461541008548721E-3</v>
      </c>
      <c r="G22" s="20">
        <v>4.0169018219760516E-4</v>
      </c>
      <c r="H22" s="20">
        <v>0</v>
      </c>
      <c r="I22" s="20">
        <v>0.93289783988254682</v>
      </c>
      <c r="J22" s="20">
        <v>1.1884724806448304E-4</v>
      </c>
      <c r="K22" s="20">
        <v>1.2888062630333397E-2</v>
      </c>
      <c r="L22" s="20">
        <v>0</v>
      </c>
    </row>
    <row r="23" spans="1:12">
      <c r="A23" s="2" t="s">
        <v>389</v>
      </c>
      <c r="B23" s="3" t="s">
        <v>390</v>
      </c>
      <c r="D23" s="20">
        <v>6.0283873497291543E-2</v>
      </c>
      <c r="E23" s="20">
        <v>0.8611480775661664</v>
      </c>
      <c r="F23" s="20">
        <v>3.7811145455922318E-2</v>
      </c>
      <c r="G23" s="20">
        <v>1.103355310189952E-2</v>
      </c>
      <c r="H23" s="20">
        <v>0</v>
      </c>
      <c r="I23" s="20">
        <v>0.81230337900834459</v>
      </c>
      <c r="J23" s="20">
        <v>3.3111718150907071E-4</v>
      </c>
      <c r="K23" s="20">
        <v>7.8236931755032699E-2</v>
      </c>
      <c r="L23" s="20">
        <v>0</v>
      </c>
    </row>
    <row r="24" spans="1:12">
      <c r="A24" s="2" t="s">
        <v>391</v>
      </c>
      <c r="B24" s="3" t="s">
        <v>392</v>
      </c>
      <c r="D24" s="20">
        <v>1.8932505056233348E-3</v>
      </c>
      <c r="E24" s="20">
        <v>0.82389700780440145</v>
      </c>
      <c r="F24" s="20">
        <v>0.2864354496145245</v>
      </c>
      <c r="G24" s="20">
        <v>6.9138877001233501E-2</v>
      </c>
      <c r="H24" s="20">
        <v>0</v>
      </c>
      <c r="I24" s="20">
        <v>0.46832268118864345</v>
      </c>
      <c r="J24" s="20">
        <v>1.5390050033396098E-3</v>
      </c>
      <c r="K24" s="20">
        <v>0.17267073668663549</v>
      </c>
      <c r="L24" s="20">
        <v>0</v>
      </c>
    </row>
    <row r="25" spans="1:12">
      <c r="A25" s="2" t="s">
        <v>393</v>
      </c>
      <c r="B25" s="3" t="s">
        <v>394</v>
      </c>
      <c r="D25" s="20">
        <v>1.5946175336844552E-4</v>
      </c>
      <c r="E25" s="20">
        <v>0.94544626363285711</v>
      </c>
      <c r="F25" s="20">
        <v>0.30596744463831094</v>
      </c>
      <c r="G25" s="20">
        <v>0.63851451571211659</v>
      </c>
      <c r="H25" s="20">
        <v>0</v>
      </c>
      <c r="I25" s="20">
        <v>9.6430328242956608E-4</v>
      </c>
      <c r="J25" s="20">
        <v>1.4079225287721486E-2</v>
      </c>
      <c r="K25" s="20">
        <v>4.0315049326052912E-2</v>
      </c>
      <c r="L25" s="20">
        <v>0</v>
      </c>
    </row>
    <row r="26" spans="1:12">
      <c r="A26" s="2" t="s">
        <v>395</v>
      </c>
      <c r="B26" s="3" t="s">
        <v>396</v>
      </c>
      <c r="D26" s="20">
        <v>0.12637994082283491</v>
      </c>
      <c r="E26" s="20">
        <v>0.73550233551920563</v>
      </c>
      <c r="F26" s="20">
        <v>0.46805493860101355</v>
      </c>
      <c r="G26" s="20">
        <v>0.10097000723001745</v>
      </c>
      <c r="H26" s="20">
        <v>0</v>
      </c>
      <c r="I26" s="20">
        <v>0.16647738968817469</v>
      </c>
      <c r="J26" s="20">
        <v>2.1960204088073277E-3</v>
      </c>
      <c r="K26" s="20">
        <v>0.13592170324915206</v>
      </c>
      <c r="L26" s="20">
        <v>0</v>
      </c>
    </row>
    <row r="27" spans="1:12">
      <c r="A27" s="2" t="s">
        <v>397</v>
      </c>
      <c r="B27" s="3" t="s">
        <v>398</v>
      </c>
      <c r="D27" s="20">
        <v>0.5713900332540448</v>
      </c>
      <c r="E27" s="20">
        <v>0.38798370551439554</v>
      </c>
      <c r="F27" s="20">
        <v>0.30956463818369151</v>
      </c>
      <c r="G27" s="20">
        <v>5.8809420562916312E-2</v>
      </c>
      <c r="H27" s="20">
        <v>0</v>
      </c>
      <c r="I27" s="20">
        <v>1.9609646767787692E-2</v>
      </c>
      <c r="J27" s="20">
        <v>1.2763894904773197E-3</v>
      </c>
      <c r="K27" s="20">
        <v>3.9349871741082426E-2</v>
      </c>
      <c r="L27" s="20">
        <v>0</v>
      </c>
    </row>
    <row r="28" spans="1:12">
      <c r="A28" s="2" t="s">
        <v>399</v>
      </c>
      <c r="B28" s="3" t="s">
        <v>400</v>
      </c>
      <c r="D28" s="20">
        <v>0.75350445616500017</v>
      </c>
      <c r="E28" s="20">
        <v>0.21023642909203655</v>
      </c>
      <c r="F28" s="20">
        <v>0.14325325848574766</v>
      </c>
      <c r="G28" s="20">
        <v>3.0171719722876352E-2</v>
      </c>
      <c r="H28" s="20">
        <v>0</v>
      </c>
      <c r="I28" s="20">
        <v>3.6811450883412526E-2</v>
      </c>
      <c r="J28" s="20">
        <v>6.553038657211265E-4</v>
      </c>
      <c r="K28" s="20">
        <v>3.5603810877242403E-2</v>
      </c>
      <c r="L28" s="20">
        <v>0</v>
      </c>
    </row>
    <row r="29" spans="1:12">
      <c r="A29" s="2" t="s">
        <v>297</v>
      </c>
      <c r="B29" s="3" t="s">
        <v>298</v>
      </c>
      <c r="D29" s="20">
        <v>0.91905497708775452</v>
      </c>
      <c r="E29" s="20">
        <v>7.6691806404572113E-2</v>
      </c>
      <c r="F29" s="20">
        <v>1.2530262683470397E-3</v>
      </c>
      <c r="G29" s="20">
        <v>3.94326288395054E-4</v>
      </c>
      <c r="H29" s="20">
        <v>0</v>
      </c>
      <c r="I29" s="20">
        <v>7.5044453847830025E-2</v>
      </c>
      <c r="J29" s="20">
        <v>1.7253569138921388E-5</v>
      </c>
      <c r="K29" s="20">
        <v>4.2359629385343425E-3</v>
      </c>
      <c r="L29" s="20">
        <v>0</v>
      </c>
    </row>
    <row r="30" spans="1:12">
      <c r="A30" s="2" t="s">
        <v>401</v>
      </c>
      <c r="B30" s="3" t="s">
        <v>402</v>
      </c>
      <c r="D30" s="20">
        <v>0.90323756333541982</v>
      </c>
      <c r="E30" s="20">
        <v>8.2271371870604168E-2</v>
      </c>
      <c r="F30" s="20">
        <v>5.5261246239256857E-2</v>
      </c>
      <c r="G30" s="20">
        <v>1.1703512684666724E-2</v>
      </c>
      <c r="H30" s="20">
        <v>0</v>
      </c>
      <c r="I30" s="20">
        <v>1.5306612946680591E-2</v>
      </c>
      <c r="J30" s="20">
        <v>2.5425604678749999E-4</v>
      </c>
      <c r="K30" s="20">
        <v>1.4236808747188337E-2</v>
      </c>
      <c r="L30" s="20">
        <v>0</v>
      </c>
    </row>
    <row r="31" spans="1:12">
      <c r="A31" s="2" t="s">
        <v>299</v>
      </c>
      <c r="B31" s="3" t="s">
        <v>300</v>
      </c>
      <c r="D31" s="20">
        <v>0.99795603932986909</v>
      </c>
      <c r="E31" s="20">
        <v>1.69120789525947E-3</v>
      </c>
      <c r="F31" s="20">
        <v>9.1060513506917317E-4</v>
      </c>
      <c r="G31" s="20">
        <v>2.049394896713551E-4</v>
      </c>
      <c r="H31" s="20">
        <v>0</v>
      </c>
      <c r="I31" s="20">
        <v>5.7566327051894169E-4</v>
      </c>
      <c r="J31" s="20">
        <v>4.4779591173503912E-6</v>
      </c>
      <c r="K31" s="20">
        <v>3.482748157541542E-4</v>
      </c>
      <c r="L31" s="20">
        <v>0</v>
      </c>
    </row>
    <row r="32" spans="1:12">
      <c r="A32" s="2" t="s">
        <v>343</v>
      </c>
      <c r="B32" s="3" t="s">
        <v>344</v>
      </c>
      <c r="D32" s="20">
        <v>1.8272842915262627E-3</v>
      </c>
      <c r="E32" s="20">
        <v>0.85386805211997929</v>
      </c>
      <c r="F32" s="20">
        <v>0.14388807587691979</v>
      </c>
      <c r="G32" s="20">
        <v>3.7524970583007071E-2</v>
      </c>
      <c r="H32" s="20">
        <v>0</v>
      </c>
      <c r="I32" s="20">
        <v>0.67245500566005245</v>
      </c>
      <c r="J32" s="20">
        <v>8.8233110071598393E-4</v>
      </c>
      <c r="K32" s="20">
        <v>0.14342233248777847</v>
      </c>
      <c r="L32" s="20">
        <v>0</v>
      </c>
    </row>
    <row r="33" spans="1:12">
      <c r="A33" s="2" t="s">
        <v>345</v>
      </c>
      <c r="B33" s="3" t="s">
        <v>346</v>
      </c>
      <c r="D33" s="20">
        <v>7.4317332073716588E-5</v>
      </c>
      <c r="E33" s="20">
        <v>0.89532624256078064</v>
      </c>
      <c r="F33" s="20">
        <v>6.5480018704161716E-2</v>
      </c>
      <c r="G33" s="20">
        <v>1.8348659868324905E-2</v>
      </c>
      <c r="H33" s="20">
        <v>0</v>
      </c>
      <c r="I33" s="20">
        <v>0.81149756398829398</v>
      </c>
      <c r="J33" s="20">
        <v>4.8744454124847607E-4</v>
      </c>
      <c r="K33" s="20">
        <v>0.10411199556589706</v>
      </c>
      <c r="L33" s="20">
        <v>0</v>
      </c>
    </row>
    <row r="34" spans="1:12">
      <c r="A34" s="2" t="s">
        <v>347</v>
      </c>
      <c r="B34" s="3" t="s">
        <v>348</v>
      </c>
      <c r="D34" s="20">
        <v>6.8632374726815905E-5</v>
      </c>
      <c r="E34" s="20">
        <v>0.83733954121163379</v>
      </c>
      <c r="F34" s="20">
        <v>0.51327216199003878</v>
      </c>
      <c r="G34" s="20">
        <v>0.11195494107901922</v>
      </c>
      <c r="H34" s="20">
        <v>0</v>
      </c>
      <c r="I34" s="20">
        <v>0.21211243814257583</v>
      </c>
      <c r="J34" s="20">
        <v>2.4371270829606382E-3</v>
      </c>
      <c r="K34" s="20">
        <v>0.16015469933067886</v>
      </c>
      <c r="L34" s="20">
        <v>0</v>
      </c>
    </row>
    <row r="35" spans="1:12">
      <c r="A35" s="2" t="s">
        <v>349</v>
      </c>
      <c r="B35" s="3" t="s">
        <v>350</v>
      </c>
      <c r="D35" s="20">
        <v>1.1285684595341428E-2</v>
      </c>
      <c r="E35" s="20">
        <v>0.91836726880452713</v>
      </c>
      <c r="F35" s="20">
        <v>0.75918320707789977</v>
      </c>
      <c r="G35" s="20">
        <v>0.13647155762604149</v>
      </c>
      <c r="H35" s="20">
        <v>0</v>
      </c>
      <c r="I35" s="20">
        <v>2.2712504100585857E-2</v>
      </c>
      <c r="J35" s="20">
        <v>2.9658732809493635E-3</v>
      </c>
      <c r="K35" s="20">
        <v>6.7381173319182058E-2</v>
      </c>
      <c r="L35" s="20">
        <v>0</v>
      </c>
    </row>
    <row r="36" spans="1:12">
      <c r="A36" s="2" t="s">
        <v>351</v>
      </c>
      <c r="B36" s="3" t="s">
        <v>352</v>
      </c>
      <c r="D36" s="20">
        <v>3.0037846877166186E-4</v>
      </c>
      <c r="E36" s="20">
        <v>0.93977426620531568</v>
      </c>
      <c r="F36" s="20">
        <v>0.63956911504703984</v>
      </c>
      <c r="G36" s="20">
        <v>0.29524533123197411</v>
      </c>
      <c r="H36" s="20">
        <v>0</v>
      </c>
      <c r="I36" s="20">
        <v>4.9598199263016949E-3</v>
      </c>
      <c r="J36" s="20">
        <v>6.4591379823641989E-3</v>
      </c>
      <c r="K36" s="20">
        <v>5.3466217343548353E-2</v>
      </c>
      <c r="L36" s="20">
        <v>0</v>
      </c>
    </row>
    <row r="37" spans="1:12">
      <c r="A37" s="2" t="s">
        <v>353</v>
      </c>
      <c r="B37" s="3" t="s">
        <v>354</v>
      </c>
      <c r="D37" s="20">
        <v>2.0309667356589334E-3</v>
      </c>
      <c r="E37" s="20">
        <v>0.94560097031049006</v>
      </c>
      <c r="F37" s="20">
        <v>0.26842409321198968</v>
      </c>
      <c r="G37" s="20">
        <v>0.67642094998937663</v>
      </c>
      <c r="H37" s="20">
        <v>0</v>
      </c>
      <c r="I37" s="20">
        <v>7.5592710912379961E-4</v>
      </c>
      <c r="J37" s="20">
        <v>1.4929991335531067E-2</v>
      </c>
      <c r="K37" s="20">
        <v>3.7438071618320051E-2</v>
      </c>
      <c r="L37" s="20">
        <v>0</v>
      </c>
    </row>
    <row r="38" spans="1:12">
      <c r="A38" s="2" t="s">
        <v>355</v>
      </c>
      <c r="B38" s="3" t="s">
        <v>356</v>
      </c>
      <c r="D38" s="20">
        <v>1.1248755326553236E-4</v>
      </c>
      <c r="E38" s="20">
        <v>0.93954779625346307</v>
      </c>
      <c r="F38" s="20">
        <v>0.50666762513902963</v>
      </c>
      <c r="G38" s="20">
        <v>0.4301487945394582</v>
      </c>
      <c r="H38" s="20">
        <v>0</v>
      </c>
      <c r="I38" s="20">
        <v>2.7313765749752061E-3</v>
      </c>
      <c r="J38" s="20">
        <v>9.4400269464069292E-3</v>
      </c>
      <c r="K38" s="20">
        <v>5.0899689246864624E-2</v>
      </c>
      <c r="L38" s="20">
        <v>0</v>
      </c>
    </row>
    <row r="39" spans="1:12">
      <c r="A39" s="2" t="s">
        <v>357</v>
      </c>
      <c r="B39" s="3" t="s">
        <v>358</v>
      </c>
      <c r="D39" s="20">
        <v>2.2811808883449459E-2</v>
      </c>
      <c r="E39" s="20">
        <v>0.91811945891783764</v>
      </c>
      <c r="F39" s="20">
        <v>0.58990001707491679</v>
      </c>
      <c r="G39" s="20">
        <v>0.32409621874195049</v>
      </c>
      <c r="H39" s="20">
        <v>0</v>
      </c>
      <c r="I39" s="20">
        <v>4.1232231009703402E-3</v>
      </c>
      <c r="J39" s="20">
        <v>7.0966179064777483E-3</v>
      </c>
      <c r="K39" s="20">
        <v>5.1972114292235166E-2</v>
      </c>
      <c r="L39" s="20">
        <v>0</v>
      </c>
    </row>
    <row r="40" spans="1:12">
      <c r="A40" s="2" t="s">
        <v>359</v>
      </c>
      <c r="B40" s="3" t="s">
        <v>360</v>
      </c>
      <c r="D40" s="20">
        <v>1.1248755326553236E-4</v>
      </c>
      <c r="E40" s="20">
        <v>0.93954779625346307</v>
      </c>
      <c r="F40" s="20">
        <v>0.50666762513902963</v>
      </c>
      <c r="G40" s="20">
        <v>0.4301487945394582</v>
      </c>
      <c r="H40" s="20">
        <v>0</v>
      </c>
      <c r="I40" s="20">
        <v>2.7313765749752061E-3</v>
      </c>
      <c r="J40" s="20">
        <v>9.4400269464069292E-3</v>
      </c>
      <c r="K40" s="20">
        <v>5.0899689246864624E-2</v>
      </c>
      <c r="L40" s="20">
        <v>0</v>
      </c>
    </row>
    <row r="41" spans="1:12">
      <c r="A41" s="2" t="s">
        <v>313</v>
      </c>
      <c r="B41" s="3" t="s">
        <v>314</v>
      </c>
      <c r="D41" s="20">
        <v>4.3650294948705288E-8</v>
      </c>
      <c r="E41" s="20">
        <v>0.99980344266894816</v>
      </c>
      <c r="F41" s="20">
        <v>4.5543192983165642E-2</v>
      </c>
      <c r="G41" s="20">
        <v>1.0837872189610157E-5</v>
      </c>
      <c r="H41" s="20">
        <v>0</v>
      </c>
      <c r="I41" s="20">
        <v>0.95424941181359291</v>
      </c>
      <c r="J41" s="20">
        <v>1.2043894617363102E-4</v>
      </c>
      <c r="K41" s="20">
        <v>7.6074734583156758E-5</v>
      </c>
      <c r="L41" s="20">
        <v>0</v>
      </c>
    </row>
    <row r="42" spans="1:12">
      <c r="A42" s="2" t="s">
        <v>315</v>
      </c>
      <c r="B42" s="3" t="s">
        <v>316</v>
      </c>
      <c r="D42" s="20">
        <v>2.9269704328439695E-3</v>
      </c>
      <c r="E42" s="20">
        <v>0.94552428995538274</v>
      </c>
      <c r="F42" s="20">
        <v>0.25470473561732021</v>
      </c>
      <c r="G42" s="20">
        <v>0.69013265128707901</v>
      </c>
      <c r="H42" s="20">
        <v>0</v>
      </c>
      <c r="I42" s="20">
        <v>6.869030509835146E-4</v>
      </c>
      <c r="J42" s="20">
        <v>1.5238509953210832E-2</v>
      </c>
      <c r="K42" s="20">
        <v>3.6310229658562489E-2</v>
      </c>
      <c r="L42" s="20">
        <v>0</v>
      </c>
    </row>
    <row r="43" spans="1:12">
      <c r="A43" s="2" t="s">
        <v>317</v>
      </c>
      <c r="B43" s="3" t="s">
        <v>318</v>
      </c>
      <c r="D43" s="20">
        <v>4.2517770494017115E-12</v>
      </c>
      <c r="E43" s="20">
        <v>0.82369772792355866</v>
      </c>
      <c r="F43" s="20">
        <v>0.31130720169503795</v>
      </c>
      <c r="G43" s="20">
        <v>7.4316410166610197E-2</v>
      </c>
      <c r="H43" s="20">
        <v>0</v>
      </c>
      <c r="I43" s="20">
        <v>0.43807411606191055</v>
      </c>
      <c r="J43" s="20">
        <v>1.6472235437315365E-3</v>
      </c>
      <c r="K43" s="20">
        <v>0.17465504852845801</v>
      </c>
      <c r="L43" s="20">
        <v>0</v>
      </c>
    </row>
    <row r="44" spans="1:12">
      <c r="A44" s="2" t="s">
        <v>307</v>
      </c>
      <c r="B44" s="3" t="s">
        <v>308</v>
      </c>
      <c r="D44" s="20">
        <v>1.0010025623491211E-4</v>
      </c>
      <c r="E44" s="20">
        <v>0.94262861462302638</v>
      </c>
      <c r="F44" s="20">
        <v>0.72485956401952822</v>
      </c>
      <c r="G44" s="20">
        <v>0.21035334809453854</v>
      </c>
      <c r="H44" s="20">
        <v>0</v>
      </c>
      <c r="I44" s="20">
        <v>7.4157025089595756E-3</v>
      </c>
      <c r="J44" s="20">
        <v>4.5912750158298233E-3</v>
      </c>
      <c r="K44" s="20">
        <v>5.2680010104908852E-2</v>
      </c>
      <c r="L44" s="20">
        <v>0</v>
      </c>
    </row>
    <row r="45" spans="1:12">
      <c r="A45" s="2" t="s">
        <v>319</v>
      </c>
      <c r="B45" s="3" t="s">
        <v>320</v>
      </c>
      <c r="D45" s="20">
        <v>9.4800080029090424E-6</v>
      </c>
      <c r="E45" s="20">
        <v>0.95487944276480607</v>
      </c>
      <c r="F45" s="20">
        <v>0.16148321537355934</v>
      </c>
      <c r="G45" s="20">
        <v>0.79309085778158162</v>
      </c>
      <c r="H45" s="20">
        <v>0</v>
      </c>
      <c r="I45" s="20">
        <v>3.053696096651666E-4</v>
      </c>
      <c r="J45" s="20">
        <v>1.7567562107353701E-2</v>
      </c>
      <c r="K45" s="20">
        <v>2.7543515119837353E-2</v>
      </c>
      <c r="L45" s="20">
        <v>0</v>
      </c>
    </row>
    <row r="46" spans="1:12">
      <c r="A46" s="2" t="s">
        <v>321</v>
      </c>
      <c r="B46" s="3" t="s">
        <v>322</v>
      </c>
      <c r="D46" s="20">
        <v>1.4061241508083495E-5</v>
      </c>
      <c r="E46" s="20">
        <v>0.94923336450840579</v>
      </c>
      <c r="F46" s="20">
        <v>0.23979623046604265</v>
      </c>
      <c r="G46" s="20">
        <v>0.70882317305267029</v>
      </c>
      <c r="H46" s="20">
        <v>0</v>
      </c>
      <c r="I46" s="20">
        <v>6.1396098969282442E-4</v>
      </c>
      <c r="J46" s="20">
        <v>1.5658456581072813E-2</v>
      </c>
      <c r="K46" s="20">
        <v>3.5094117669013269E-2</v>
      </c>
      <c r="L46" s="20">
        <v>0</v>
      </c>
    </row>
    <row r="47" spans="1:12">
      <c r="A47" s="2" t="s">
        <v>323</v>
      </c>
      <c r="B47" s="3" t="s">
        <v>324</v>
      </c>
      <c r="D47" s="20">
        <v>1.3375985586503174E-4</v>
      </c>
      <c r="E47" s="20">
        <v>0.94285624260870526</v>
      </c>
      <c r="F47" s="20">
        <v>0.36757373935214088</v>
      </c>
      <c r="G47" s="20">
        <v>0.57390503086823519</v>
      </c>
      <c r="H47" s="20">
        <v>0</v>
      </c>
      <c r="I47" s="20">
        <v>1.3774723883292002E-3</v>
      </c>
      <c r="J47" s="20">
        <v>1.2635193054586182E-2</v>
      </c>
      <c r="K47" s="20">
        <v>4.4374804480843577E-2</v>
      </c>
      <c r="L47" s="20">
        <v>0</v>
      </c>
    </row>
    <row r="48" spans="1:12">
      <c r="A48" s="2" t="s">
        <v>325</v>
      </c>
      <c r="B48" s="3" t="s">
        <v>326</v>
      </c>
      <c r="D48" s="20">
        <v>9.0548050918155571E-5</v>
      </c>
      <c r="E48" s="20">
        <v>0.88882116961669455</v>
      </c>
      <c r="F48" s="20">
        <v>0.68595841899596943</v>
      </c>
      <c r="G48" s="20">
        <v>0.13470798692179148</v>
      </c>
      <c r="H48" s="20">
        <v>0</v>
      </c>
      <c r="I48" s="20">
        <v>6.815476369893364E-2</v>
      </c>
      <c r="J48" s="20">
        <v>2.9225321159828811E-3</v>
      </c>
      <c r="K48" s="20">
        <v>0.10816575021640457</v>
      </c>
      <c r="L48" s="20">
        <v>0</v>
      </c>
    </row>
    <row r="49" spans="1:12">
      <c r="A49" s="2" t="s">
        <v>275</v>
      </c>
      <c r="B49" s="3" t="s">
        <v>276</v>
      </c>
      <c r="D49" s="20">
        <v>1.286567336231198E-6</v>
      </c>
      <c r="E49" s="20">
        <v>0.94209230617791129</v>
      </c>
      <c r="F49" s="20">
        <v>0.71031535914027533</v>
      </c>
      <c r="G49" s="20">
        <v>0.22487789165655978</v>
      </c>
      <c r="H49" s="20">
        <v>0</v>
      </c>
      <c r="I49" s="20">
        <v>6.8990553810762021E-3</v>
      </c>
      <c r="J49" s="20">
        <v>4.9103962485137877E-3</v>
      </c>
      <c r="K49" s="20">
        <v>5.2996011006238769E-2</v>
      </c>
      <c r="L49" s="20">
        <v>0</v>
      </c>
    </row>
    <row r="50" spans="1:12">
      <c r="A50" s="2" t="s">
        <v>327</v>
      </c>
      <c r="B50" s="3" t="s">
        <v>328</v>
      </c>
      <c r="D50" s="20">
        <v>6.7041345732017285E-5</v>
      </c>
      <c r="E50" s="20">
        <v>0.941106185559481</v>
      </c>
      <c r="F50" s="20">
        <v>0.68448101625156355</v>
      </c>
      <c r="G50" s="20">
        <v>0.25052839900264234</v>
      </c>
      <c r="H50" s="20">
        <v>0</v>
      </c>
      <c r="I50" s="20">
        <v>6.0967703052751433E-3</v>
      </c>
      <c r="J50" s="20">
        <v>5.4744439387682088E-3</v>
      </c>
      <c r="K50" s="20">
        <v>5.3352329156018646E-2</v>
      </c>
      <c r="L50" s="20">
        <v>0</v>
      </c>
    </row>
    <row r="51" spans="1:12">
      <c r="A51" s="2" t="s">
        <v>329</v>
      </c>
      <c r="B51" s="3" t="s">
        <v>330</v>
      </c>
      <c r="D51" s="20">
        <v>4.6306313244819616E-5</v>
      </c>
      <c r="E51" s="20">
        <v>0.9077524682223026</v>
      </c>
      <c r="F51" s="20">
        <v>0.72754337367710298</v>
      </c>
      <c r="G51" s="20">
        <v>0.13745307024067197</v>
      </c>
      <c r="H51" s="20">
        <v>0</v>
      </c>
      <c r="I51" s="20">
        <v>4.2756024304527629E-2</v>
      </c>
      <c r="J51" s="20">
        <v>2.9835577989114201E-3</v>
      </c>
      <c r="K51" s="20">
        <v>8.9217667665541095E-2</v>
      </c>
      <c r="L51" s="20">
        <v>0</v>
      </c>
    </row>
    <row r="52" spans="1:12">
      <c r="A52" s="2" t="s">
        <v>277</v>
      </c>
      <c r="B52" s="3" t="s">
        <v>278</v>
      </c>
      <c r="D52" s="20">
        <v>1.406182752704706E-4</v>
      </c>
      <c r="E52" s="20">
        <v>0.89064873219571927</v>
      </c>
      <c r="F52" s="20">
        <v>0.69033588776130961</v>
      </c>
      <c r="G52" s="20">
        <v>0.13506910015419379</v>
      </c>
      <c r="H52" s="20">
        <v>0</v>
      </c>
      <c r="I52" s="20">
        <v>6.5243744280215926E-2</v>
      </c>
      <c r="J52" s="20">
        <v>2.9304337986648613E-3</v>
      </c>
      <c r="K52" s="20">
        <v>0.10628021573034534</v>
      </c>
      <c r="L52" s="20">
        <v>0</v>
      </c>
    </row>
    <row r="53" spans="1:12">
      <c r="A53" s="2" t="s">
        <v>331</v>
      </c>
      <c r="B53" s="3" t="s">
        <v>332</v>
      </c>
      <c r="D53" s="20">
        <v>4.4700139145981638E-5</v>
      </c>
      <c r="E53" s="20">
        <v>0.93943152482730952</v>
      </c>
      <c r="F53" s="20">
        <v>0.59432987226099487</v>
      </c>
      <c r="G53" s="20">
        <v>0.34105397429862122</v>
      </c>
      <c r="H53" s="20">
        <v>0</v>
      </c>
      <c r="I53" s="20">
        <v>4.0476782676933925E-3</v>
      </c>
      <c r="J53" s="20">
        <v>7.4696037140880916E-3</v>
      </c>
      <c r="K53" s="20">
        <v>5.3054171319456479E-2</v>
      </c>
      <c r="L53" s="20">
        <v>0</v>
      </c>
    </row>
    <row r="54" spans="1:12">
      <c r="A54" s="2" t="s">
        <v>333</v>
      </c>
      <c r="B54" s="3" t="s">
        <v>334</v>
      </c>
      <c r="D54" s="20">
        <v>7.2964844223918991E-8</v>
      </c>
      <c r="E54" s="20">
        <v>0.94161092408943436</v>
      </c>
      <c r="F54" s="20">
        <v>0.69764155900558489</v>
      </c>
      <c r="G54" s="20">
        <v>0.23748046974143644</v>
      </c>
      <c r="H54" s="20">
        <v>0</v>
      </c>
      <c r="I54" s="20">
        <v>6.488895342413049E-3</v>
      </c>
      <c r="J54" s="20">
        <v>5.1874487073678846E-3</v>
      </c>
      <c r="K54" s="20">
        <v>5.320155423835362E-2</v>
      </c>
      <c r="L54" s="20">
        <v>0</v>
      </c>
    </row>
    <row r="55" spans="1:12">
      <c r="A55" s="2" t="s">
        <v>335</v>
      </c>
      <c r="B55" s="3" t="s">
        <v>336</v>
      </c>
      <c r="D55" s="20">
        <v>3.4764892021787238E-4</v>
      </c>
      <c r="E55" s="20">
        <v>0.9424232941625037</v>
      </c>
      <c r="F55" s="20">
        <v>0.37390353328833748</v>
      </c>
      <c r="G55" s="20">
        <v>0.56709409420987578</v>
      </c>
      <c r="H55" s="20">
        <v>0</v>
      </c>
      <c r="I55" s="20">
        <v>1.4256666642904648E-3</v>
      </c>
      <c r="J55" s="20">
        <v>1.2483332325698721E-2</v>
      </c>
      <c r="K55" s="20">
        <v>4.4745724591579557E-2</v>
      </c>
      <c r="L55" s="20">
        <v>0</v>
      </c>
    </row>
    <row r="56" spans="1:12">
      <c r="A56" s="2" t="s">
        <v>337</v>
      </c>
      <c r="B56" s="3" t="s">
        <v>338</v>
      </c>
      <c r="D56" s="20">
        <v>2.5714777322076059E-5</v>
      </c>
      <c r="E56" s="20">
        <v>0.94248305053017511</v>
      </c>
      <c r="F56" s="20">
        <v>0.72011432817845544</v>
      </c>
      <c r="G56" s="20">
        <v>0.2151280336237007</v>
      </c>
      <c r="H56" s="20">
        <v>0</v>
      </c>
      <c r="I56" s="20">
        <v>7.2406887280189415E-3</v>
      </c>
      <c r="J56" s="20">
        <v>4.6961576097871056E-3</v>
      </c>
      <c r="K56" s="20">
        <v>5.2795077082715823E-2</v>
      </c>
      <c r="L56" s="20">
        <v>0</v>
      </c>
    </row>
    <row r="57" spans="1:12">
      <c r="A57" s="2" t="s">
        <v>279</v>
      </c>
      <c r="B57" s="3" t="s">
        <v>280</v>
      </c>
      <c r="D57" s="20">
        <v>2.7499306099035177E-3</v>
      </c>
      <c r="E57" s="20">
        <v>0.87792992828097416</v>
      </c>
      <c r="F57" s="20">
        <v>0.66304105368046384</v>
      </c>
      <c r="G57" s="20">
        <v>0.13238414500989415</v>
      </c>
      <c r="H57" s="20">
        <v>0</v>
      </c>
      <c r="I57" s="20">
        <v>8.2504729590616208E-2</v>
      </c>
      <c r="J57" s="20">
        <v>2.8720441123106901E-3</v>
      </c>
      <c r="K57" s="20">
        <v>0.11644809699681151</v>
      </c>
      <c r="L57" s="20">
        <v>0</v>
      </c>
    </row>
    <row r="58" spans="1:12">
      <c r="A58" s="2" t="s">
        <v>339</v>
      </c>
      <c r="B58" s="3" t="s">
        <v>340</v>
      </c>
      <c r="D58" s="20">
        <v>2.5574046858088333E-7</v>
      </c>
      <c r="E58" s="20">
        <v>0.94151906807815067</v>
      </c>
      <c r="F58" s="20">
        <v>0.69505335002294455</v>
      </c>
      <c r="G58" s="20">
        <v>0.2400566251577799</v>
      </c>
      <c r="H58" s="20">
        <v>0</v>
      </c>
      <c r="I58" s="20">
        <v>6.4090928974261784E-3</v>
      </c>
      <c r="J58" s="20">
        <v>5.2440999763604503E-3</v>
      </c>
      <c r="K58" s="20">
        <v>5.3236576205020314E-2</v>
      </c>
      <c r="L58" s="20">
        <v>0</v>
      </c>
    </row>
    <row r="59" spans="1:12">
      <c r="A59" s="2" t="s">
        <v>281</v>
      </c>
      <c r="B59" s="3" t="s">
        <v>282</v>
      </c>
      <c r="D59" s="20">
        <v>2.1285977385795901E-5</v>
      </c>
      <c r="E59" s="20">
        <v>0.89075503030299685</v>
      </c>
      <c r="F59" s="20">
        <v>0.69041827871478223</v>
      </c>
      <c r="G59" s="20">
        <v>0.13508522052710745</v>
      </c>
      <c r="H59" s="20">
        <v>0</v>
      </c>
      <c r="I59" s="20">
        <v>6.525153106110719E-2</v>
      </c>
      <c r="J59" s="20">
        <v>2.9307835432443347E-3</v>
      </c>
      <c r="K59" s="20">
        <v>0.10629290017637304</v>
      </c>
      <c r="L59" s="20">
        <v>0</v>
      </c>
    </row>
    <row r="60" spans="1:12">
      <c r="A60" s="2" t="s">
        <v>341</v>
      </c>
      <c r="B60" s="3" t="s">
        <v>342</v>
      </c>
      <c r="D60" s="20">
        <v>3.7426751846176697E-4</v>
      </c>
      <c r="E60" s="20">
        <v>0.93941556569316997</v>
      </c>
      <c r="F60" s="20">
        <v>0.62172856601134885</v>
      </c>
      <c r="G60" s="20">
        <v>0.31310959565175661</v>
      </c>
      <c r="H60" s="20">
        <v>0</v>
      </c>
      <c r="I60" s="20">
        <v>4.5774040300645205E-3</v>
      </c>
      <c r="J60" s="20">
        <v>6.8529954362555375E-3</v>
      </c>
      <c r="K60" s="20">
        <v>5.3357171352112868E-2</v>
      </c>
      <c r="L60" s="20">
        <v>0</v>
      </c>
    </row>
    <row r="61" spans="1:12">
      <c r="A61" s="2" t="s">
        <v>483</v>
      </c>
      <c r="B61" s="3" t="s">
        <v>484</v>
      </c>
      <c r="D61" s="20">
        <v>6.7077927360740883E-14</v>
      </c>
      <c r="E61" s="20">
        <v>0.90144952597615902</v>
      </c>
      <c r="F61" s="20">
        <v>0.50433732766385853</v>
      </c>
      <c r="G61" s="20">
        <v>8.4030840984659419E-2</v>
      </c>
      <c r="H61" s="20">
        <v>0</v>
      </c>
      <c r="I61" s="20">
        <v>0.31308135732764103</v>
      </c>
      <c r="J61" s="20">
        <v>5.2389826434352475E-3</v>
      </c>
      <c r="K61" s="20">
        <v>9.3311491380338812E-2</v>
      </c>
      <c r="L61" s="20">
        <v>0</v>
      </c>
    </row>
    <row r="62" spans="1:12">
      <c r="A62" s="2" t="s">
        <v>485</v>
      </c>
      <c r="B62" s="3" t="s">
        <v>486</v>
      </c>
      <c r="D62" s="20">
        <v>1.952051968792215E-7</v>
      </c>
      <c r="E62" s="20">
        <v>0.83464878378131857</v>
      </c>
      <c r="F62" s="20">
        <v>0.49786323859789799</v>
      </c>
      <c r="G62" s="20">
        <v>0.1093970510748746</v>
      </c>
      <c r="H62" s="20">
        <v>0</v>
      </c>
      <c r="I62" s="20">
        <v>0.227388494108546</v>
      </c>
      <c r="J62" s="20">
        <v>2.3831335124328648E-3</v>
      </c>
      <c r="K62" s="20">
        <v>0.16296788750105171</v>
      </c>
      <c r="L62" s="20">
        <v>0</v>
      </c>
    </row>
    <row r="63" spans="1:12">
      <c r="A63" s="2" t="s">
        <v>487</v>
      </c>
      <c r="B63" s="3" t="s">
        <v>488</v>
      </c>
      <c r="D63" s="20">
        <v>5.6999680050590825E-13</v>
      </c>
      <c r="E63" s="20">
        <v>0.98193869012578472</v>
      </c>
      <c r="F63" s="20">
        <v>3.2685948935774575E-2</v>
      </c>
      <c r="G63" s="20">
        <v>4.3127854180066349E-3</v>
      </c>
      <c r="H63" s="20">
        <v>0</v>
      </c>
      <c r="I63" s="20">
        <v>0.94493995577200351</v>
      </c>
      <c r="J63" s="20">
        <v>7.7372715525501575E-4</v>
      </c>
      <c r="K63" s="20">
        <v>1.728758271838993E-2</v>
      </c>
      <c r="L63" s="20">
        <v>0</v>
      </c>
    </row>
    <row r="64" spans="1:12">
      <c r="A64" s="2" t="s">
        <v>489</v>
      </c>
      <c r="B64" s="3" t="s">
        <v>490</v>
      </c>
      <c r="D64" s="20">
        <v>1.0282359638556764E-14</v>
      </c>
      <c r="E64" s="20">
        <v>0.99804182514232642</v>
      </c>
      <c r="F64" s="20">
        <v>1.2191741993835102E-2</v>
      </c>
      <c r="G64" s="20">
        <v>1.513711548324751E-4</v>
      </c>
      <c r="H64" s="20">
        <v>0</v>
      </c>
      <c r="I64" s="20">
        <v>0.98569871199365888</v>
      </c>
      <c r="J64" s="20">
        <v>1.2189214792655637E-4</v>
      </c>
      <c r="K64" s="20">
        <v>1.8362827097368603E-3</v>
      </c>
      <c r="L64" s="20">
        <v>0</v>
      </c>
    </row>
    <row r="65" spans="1:12">
      <c r="A65" s="2" t="s">
        <v>491</v>
      </c>
      <c r="B65" s="3" t="s">
        <v>492</v>
      </c>
      <c r="D65" s="20">
        <v>1.7124620435125561E-12</v>
      </c>
      <c r="E65" s="20">
        <v>0.99900932859307323</v>
      </c>
      <c r="F65" s="20">
        <v>1.5961425407062942E-3</v>
      </c>
      <c r="G65" s="20">
        <v>7.0992945118785995E-5</v>
      </c>
      <c r="H65" s="20">
        <v>0</v>
      </c>
      <c r="I65" s="20">
        <v>0.99734219310724814</v>
      </c>
      <c r="J65" s="20">
        <v>1.7241085450911837E-4</v>
      </c>
      <c r="K65" s="20">
        <v>8.1826055070525865E-4</v>
      </c>
      <c r="L65" s="20">
        <v>0</v>
      </c>
    </row>
    <row r="66" spans="1:12">
      <c r="A66" s="2" t="s">
        <v>493</v>
      </c>
      <c r="B66" s="3" t="s">
        <v>494</v>
      </c>
      <c r="D66" s="20">
        <v>2.2604906860807498E-11</v>
      </c>
      <c r="E66" s="20">
        <v>0.98746246685210626</v>
      </c>
      <c r="F66" s="20">
        <v>0.20299173159926312</v>
      </c>
      <c r="G66" s="20">
        <v>5.0873449612320884E-3</v>
      </c>
      <c r="H66" s="20">
        <v>0</v>
      </c>
      <c r="I66" s="20">
        <v>0.77938339029161108</v>
      </c>
      <c r="J66" s="20">
        <v>5.1634571494384735E-3</v>
      </c>
      <c r="K66" s="20">
        <v>7.3740759758502278E-3</v>
      </c>
      <c r="L66" s="20">
        <v>0</v>
      </c>
    </row>
    <row r="67" spans="1:12">
      <c r="A67" s="2" t="s">
        <v>495</v>
      </c>
      <c r="B67" s="3" t="s">
        <v>496</v>
      </c>
      <c r="D67" s="20">
        <v>1.3379945496238734E-12</v>
      </c>
      <c r="E67" s="20">
        <v>0.99891637104985231</v>
      </c>
      <c r="F67" s="20">
        <v>1.346116904939897E-3</v>
      </c>
      <c r="G67" s="20">
        <v>7.3586426341599201E-5</v>
      </c>
      <c r="H67" s="20">
        <v>0</v>
      </c>
      <c r="I67" s="20">
        <v>0.99749666771857082</v>
      </c>
      <c r="J67" s="20">
        <v>1.6340372555892122E-4</v>
      </c>
      <c r="K67" s="20">
        <v>9.2022522325067553E-4</v>
      </c>
      <c r="L67" s="20">
        <v>0</v>
      </c>
    </row>
    <row r="68" spans="1:12">
      <c r="A68" s="2" t="s">
        <v>497</v>
      </c>
      <c r="B68" s="3" t="s">
        <v>498</v>
      </c>
      <c r="D68" s="20">
        <v>1.2101973416614041E-11</v>
      </c>
      <c r="E68" s="20">
        <v>0.99950386297761906</v>
      </c>
      <c r="F68" s="20">
        <v>1.6011708413568457E-4</v>
      </c>
      <c r="G68" s="20">
        <v>1.235389052623748E-5</v>
      </c>
      <c r="H68" s="20">
        <v>0</v>
      </c>
      <c r="I68" s="20">
        <v>0.99933139200295718</v>
      </c>
      <c r="J68" s="20">
        <v>1.2427640723326739E-4</v>
      </c>
      <c r="K68" s="20">
        <v>3.7186060304564365E-4</v>
      </c>
      <c r="L68" s="20">
        <v>0</v>
      </c>
    </row>
    <row r="69" spans="1:12">
      <c r="A69" s="2" t="s">
        <v>499</v>
      </c>
      <c r="B69" s="3" t="s">
        <v>500</v>
      </c>
      <c r="D69" s="20">
        <v>6.3900167970094206E-12</v>
      </c>
      <c r="E69" s="20">
        <v>0.94367673956682374</v>
      </c>
      <c r="F69" s="20">
        <v>0.74406467069848581</v>
      </c>
      <c r="G69" s="20">
        <v>0.19143275055773193</v>
      </c>
      <c r="H69" s="20">
        <v>0</v>
      </c>
      <c r="I69" s="20">
        <v>8.1793183106060006E-3</v>
      </c>
      <c r="J69" s="20">
        <v>4.1758604006069781E-3</v>
      </c>
      <c r="K69" s="20">
        <v>5.2147400026179284E-2</v>
      </c>
      <c r="L69" s="20">
        <v>0</v>
      </c>
    </row>
    <row r="70" spans="1:12">
      <c r="A70" s="2" t="s">
        <v>501</v>
      </c>
      <c r="B70" s="3" t="s">
        <v>411</v>
      </c>
      <c r="D70" s="20">
        <v>2.168286663706307E-13</v>
      </c>
      <c r="E70" s="20">
        <v>0.99985625496083841</v>
      </c>
      <c r="F70" s="20">
        <v>3.0250696817828406E-2</v>
      </c>
      <c r="G70" s="20">
        <v>2.8749547076539485E-6</v>
      </c>
      <c r="H70" s="20">
        <v>0</v>
      </c>
      <c r="I70" s="20">
        <v>0.96960268318830234</v>
      </c>
      <c r="J70" s="20">
        <v>1.1977176059783718E-4</v>
      </c>
      <c r="K70" s="20">
        <v>2.3973278346894228E-5</v>
      </c>
      <c r="L70" s="20">
        <v>0</v>
      </c>
    </row>
    <row r="71" spans="1:12">
      <c r="A71" s="2" t="s">
        <v>502</v>
      </c>
      <c r="B71" s="3" t="s">
        <v>412</v>
      </c>
      <c r="D71" s="20">
        <v>9.9037781954523621E-9</v>
      </c>
      <c r="E71" s="20">
        <v>0.99984649888302346</v>
      </c>
      <c r="F71" s="20">
        <v>5.6392328046938729E-2</v>
      </c>
      <c r="G71" s="20">
        <v>5.1249111191650368E-6</v>
      </c>
      <c r="H71" s="20">
        <v>0</v>
      </c>
      <c r="I71" s="20">
        <v>0.94344904592496559</v>
      </c>
      <c r="J71" s="20">
        <v>1.206527549797437E-4</v>
      </c>
      <c r="K71" s="20">
        <v>3.2838458218756483E-5</v>
      </c>
      <c r="L71" s="20">
        <v>0</v>
      </c>
    </row>
    <row r="72" spans="1:12">
      <c r="A72" s="2" t="s">
        <v>503</v>
      </c>
      <c r="B72" s="3" t="s">
        <v>413</v>
      </c>
      <c r="D72" s="20">
        <v>1.3402423891393128E-10</v>
      </c>
      <c r="E72" s="20">
        <v>0.99907221034464055</v>
      </c>
      <c r="F72" s="20">
        <v>0.9947227616315234</v>
      </c>
      <c r="G72" s="20">
        <v>4.5684241107066178E-4</v>
      </c>
      <c r="H72" s="20">
        <v>0</v>
      </c>
      <c r="I72" s="20">
        <v>3.8926063020464459E-3</v>
      </c>
      <c r="J72" s="20">
        <v>8.9063062249890594E-4</v>
      </c>
      <c r="K72" s="20">
        <v>3.7158898836226584E-5</v>
      </c>
      <c r="L72" s="20">
        <v>0</v>
      </c>
    </row>
    <row r="73" spans="1:12">
      <c r="A73" s="2" t="s">
        <v>504</v>
      </c>
      <c r="B73" s="3" t="s">
        <v>414</v>
      </c>
      <c r="D73" s="20">
        <v>1.7511459665168928E-10</v>
      </c>
      <c r="E73" s="20">
        <v>0.999861591956275</v>
      </c>
      <c r="F73" s="20">
        <v>0.96369821424676427</v>
      </c>
      <c r="G73" s="20">
        <v>5.5706441062261094E-5</v>
      </c>
      <c r="H73" s="20">
        <v>0</v>
      </c>
      <c r="I73" s="20">
        <v>3.610767126844841E-2</v>
      </c>
      <c r="J73" s="20">
        <v>1.0827768112090873E-4</v>
      </c>
      <c r="K73" s="20">
        <v>3.0130187489508857E-5</v>
      </c>
      <c r="L73" s="20">
        <v>0</v>
      </c>
    </row>
    <row r="74" spans="1:12">
      <c r="A74" s="2" t="s">
        <v>505</v>
      </c>
      <c r="B74" s="3" t="s">
        <v>415</v>
      </c>
      <c r="D74" s="20">
        <v>1.2243344770399031E-9</v>
      </c>
      <c r="E74" s="20">
        <v>0.99984826021657347</v>
      </c>
      <c r="F74" s="20">
        <v>5.1300167768697683E-2</v>
      </c>
      <c r="G74" s="20">
        <v>4.6825577753866973E-6</v>
      </c>
      <c r="H74" s="20">
        <v>0</v>
      </c>
      <c r="I74" s="20">
        <v>0.94854340989010044</v>
      </c>
      <c r="J74" s="20">
        <v>1.2049362842362272E-4</v>
      </c>
      <c r="K74" s="20">
        <v>3.1244930668386426E-5</v>
      </c>
      <c r="L74" s="20">
        <v>0</v>
      </c>
    </row>
    <row r="75" spans="1:12">
      <c r="A75" s="2" t="s">
        <v>506</v>
      </c>
      <c r="B75" s="3" t="s">
        <v>416</v>
      </c>
      <c r="D75" s="20">
        <v>7.5150271700690957E-10</v>
      </c>
      <c r="E75" s="20">
        <v>0.99985794048457066</v>
      </c>
      <c r="F75" s="20">
        <v>0.957082248390693</v>
      </c>
      <c r="G75" s="20">
        <v>5.6041999299898365E-5</v>
      </c>
      <c r="H75" s="20">
        <v>0</v>
      </c>
      <c r="I75" s="20">
        <v>4.2719650094577712E-2</v>
      </c>
      <c r="J75" s="20">
        <v>1.095193264308473E-4</v>
      </c>
      <c r="K75" s="20">
        <v>3.2539437495852854E-5</v>
      </c>
      <c r="L75" s="20">
        <v>0</v>
      </c>
    </row>
    <row r="76" spans="1:12">
      <c r="A76" s="2" t="s">
        <v>507</v>
      </c>
      <c r="B76" s="3" t="s">
        <v>417</v>
      </c>
      <c r="D76" s="20">
        <v>1.7360834673423267E-8</v>
      </c>
      <c r="E76" s="20">
        <v>0.99979888447110588</v>
      </c>
      <c r="F76" s="20">
        <v>0.5518101948651386</v>
      </c>
      <c r="G76" s="20">
        <v>4.0128787150950262E-5</v>
      </c>
      <c r="H76" s="20">
        <v>0</v>
      </c>
      <c r="I76" s="20">
        <v>0.44794856081881634</v>
      </c>
      <c r="J76" s="20">
        <v>1.2563197286258169E-4</v>
      </c>
      <c r="K76" s="20">
        <v>7.5466195196774162E-5</v>
      </c>
      <c r="L76" s="20">
        <v>0</v>
      </c>
    </row>
    <row r="77" spans="1:12">
      <c r="A77" s="2" t="s">
        <v>508</v>
      </c>
      <c r="B77" s="3" t="s">
        <v>418</v>
      </c>
      <c r="D77" s="20">
        <v>5.4214781929571729E-9</v>
      </c>
      <c r="E77" s="20">
        <v>0.99986046360786074</v>
      </c>
      <c r="F77" s="20">
        <v>0.96191530280358006</v>
      </c>
      <c r="G77" s="20">
        <v>5.5976165861388311E-5</v>
      </c>
      <c r="H77" s="20">
        <v>0</v>
      </c>
      <c r="I77" s="20">
        <v>3.7889184638419254E-2</v>
      </c>
      <c r="J77" s="20">
        <v>1.0863516188347611E-4</v>
      </c>
      <c r="K77" s="20">
        <v>3.089580877757436E-5</v>
      </c>
      <c r="L77" s="20">
        <v>0</v>
      </c>
    </row>
    <row r="78" spans="1:12">
      <c r="A78" s="2" t="s">
        <v>509</v>
      </c>
      <c r="B78" s="3" t="s">
        <v>419</v>
      </c>
      <c r="D78" s="20">
        <v>5.3888169676067369E-10</v>
      </c>
      <c r="E78" s="20">
        <v>0.99921848942851577</v>
      </c>
      <c r="F78" s="20">
        <v>0.99451683462742657</v>
      </c>
      <c r="G78" s="20">
        <v>3.837748390316003E-4</v>
      </c>
      <c r="H78" s="20">
        <v>0</v>
      </c>
      <c r="I78" s="20">
        <v>4.317879962057629E-3</v>
      </c>
      <c r="J78" s="20">
        <v>7.4625891268647162E-4</v>
      </c>
      <c r="K78" s="20">
        <v>3.5251119915966078E-5</v>
      </c>
      <c r="L78" s="20">
        <v>0</v>
      </c>
    </row>
    <row r="79" spans="1:12">
      <c r="A79" s="2" t="s">
        <v>510</v>
      </c>
      <c r="B79" s="3" t="s">
        <v>420</v>
      </c>
      <c r="D79" s="20">
        <v>1.3536097823046239E-14</v>
      </c>
      <c r="E79" s="20">
        <v>0.99921849679128061</v>
      </c>
      <c r="F79" s="20">
        <v>0.994516902404323</v>
      </c>
      <c r="G79" s="20">
        <v>3.8371413063401994E-4</v>
      </c>
      <c r="H79" s="20">
        <v>0</v>
      </c>
      <c r="I79" s="20">
        <v>4.3178802563236399E-3</v>
      </c>
      <c r="J79" s="20">
        <v>7.4625766507794504E-4</v>
      </c>
      <c r="K79" s="20">
        <v>3.5245543628035348E-5</v>
      </c>
      <c r="L79" s="20">
        <v>0</v>
      </c>
    </row>
    <row r="80" spans="1:12">
      <c r="A80" s="2" t="s">
        <v>511</v>
      </c>
      <c r="B80" s="3" t="s">
        <v>421</v>
      </c>
      <c r="D80" s="20">
        <v>1.5263624007470928E-9</v>
      </c>
      <c r="E80" s="20">
        <v>0.99982200720348091</v>
      </c>
      <c r="F80" s="20">
        <v>0.83306016016461382</v>
      </c>
      <c r="G80" s="20">
        <v>5.448045483683041E-5</v>
      </c>
      <c r="H80" s="20">
        <v>0</v>
      </c>
      <c r="I80" s="20">
        <v>0.16670736658403026</v>
      </c>
      <c r="J80" s="20">
        <v>1.1989648560857771E-4</v>
      </c>
      <c r="K80" s="20">
        <v>5.8094784548104837E-5</v>
      </c>
      <c r="L80" s="20">
        <v>0</v>
      </c>
    </row>
    <row r="81" spans="1:12">
      <c r="A81" s="2" t="s">
        <v>512</v>
      </c>
      <c r="B81" s="3" t="s">
        <v>422</v>
      </c>
      <c r="D81" s="20">
        <v>1.9955859140372116E-9</v>
      </c>
      <c r="E81" s="20">
        <v>0.99981832997222564</v>
      </c>
      <c r="F81" s="20">
        <v>0.19511431603911236</v>
      </c>
      <c r="G81" s="20">
        <v>1.5946063715066646E-5</v>
      </c>
      <c r="H81" s="20">
        <v>0</v>
      </c>
      <c r="I81" s="20">
        <v>0.80468806786939817</v>
      </c>
      <c r="J81" s="20">
        <v>1.2373184431607419E-4</v>
      </c>
      <c r="K81" s="20">
        <v>5.7936187872305172E-5</v>
      </c>
      <c r="L81" s="20">
        <v>0</v>
      </c>
    </row>
    <row r="82" spans="1:12">
      <c r="A82" s="2" t="s">
        <v>513</v>
      </c>
      <c r="B82" s="3" t="s">
        <v>423</v>
      </c>
      <c r="D82" s="20">
        <v>5.0240025689800302E-13</v>
      </c>
      <c r="E82" s="20">
        <v>0.99980147557482579</v>
      </c>
      <c r="F82" s="20">
        <v>0.39126278071056392</v>
      </c>
      <c r="G82" s="20">
        <v>2.975528821811939E-5</v>
      </c>
      <c r="H82" s="20">
        <v>0</v>
      </c>
      <c r="I82" s="20">
        <v>0.60850893957604379</v>
      </c>
      <c r="J82" s="20">
        <v>1.2570276342881785E-4</v>
      </c>
      <c r="K82" s="20">
        <v>7.2821661243069265E-5</v>
      </c>
      <c r="L82" s="20">
        <v>0</v>
      </c>
    </row>
    <row r="83" spans="1:12">
      <c r="A83" s="2" t="s">
        <v>514</v>
      </c>
      <c r="B83" s="3" t="s">
        <v>424</v>
      </c>
      <c r="D83" s="20">
        <v>1.9281335667251152E-10</v>
      </c>
      <c r="E83" s="20">
        <v>0.99850894009110669</v>
      </c>
      <c r="F83" s="20">
        <v>0.99484591586288618</v>
      </c>
      <c r="G83" s="20">
        <v>7.3742894561634775E-4</v>
      </c>
      <c r="H83" s="20">
        <v>0</v>
      </c>
      <c r="I83" s="20">
        <v>2.9255952826041927E-3</v>
      </c>
      <c r="J83" s="20">
        <v>1.448124208516424E-3</v>
      </c>
      <c r="K83" s="20">
        <v>4.2935507563511133E-5</v>
      </c>
      <c r="L83" s="20">
        <v>0</v>
      </c>
    </row>
    <row r="84" spans="1:12">
      <c r="A84" s="2" t="s">
        <v>403</v>
      </c>
      <c r="B84" s="3" t="s">
        <v>404</v>
      </c>
      <c r="D84" s="20">
        <v>4.3098978245065473E-44</v>
      </c>
      <c r="E84" s="20">
        <v>0.82295939191813461</v>
      </c>
      <c r="F84" s="20">
        <v>0.3825477559469011</v>
      </c>
      <c r="G84" s="20">
        <v>8.8507732393020649E-2</v>
      </c>
      <c r="H84" s="20">
        <v>0</v>
      </c>
      <c r="I84" s="20">
        <v>0.35190390357821283</v>
      </c>
      <c r="J84" s="20">
        <v>1.9440396489275454E-3</v>
      </c>
      <c r="K84" s="20">
        <v>0.17509656843293786</v>
      </c>
      <c r="L84" s="20">
        <v>0</v>
      </c>
    </row>
    <row r="85" spans="1:12">
      <c r="A85" s="2" t="s">
        <v>405</v>
      </c>
      <c r="B85" s="3" t="s">
        <v>406</v>
      </c>
      <c r="D85" s="20">
        <v>1.1374123794844628E-8</v>
      </c>
      <c r="E85" s="20">
        <v>0.93595712070640802</v>
      </c>
      <c r="F85" s="20">
        <v>0.83874379488859707</v>
      </c>
      <c r="G85" s="20">
        <v>4.3848335553438769E-2</v>
      </c>
      <c r="H85" s="20">
        <v>0</v>
      </c>
      <c r="I85" s="20">
        <v>5.3364990264372199E-2</v>
      </c>
      <c r="J85" s="20">
        <v>5.7082222143432712E-2</v>
      </c>
      <c r="K85" s="20">
        <v>6.9606457760353988E-3</v>
      </c>
      <c r="L85" s="20">
        <v>0</v>
      </c>
    </row>
    <row r="86" spans="1:12">
      <c r="A86" s="2" t="s">
        <v>407</v>
      </c>
      <c r="B86" s="3" t="s">
        <v>408</v>
      </c>
      <c r="D86" s="20">
        <v>2.1121305307758824E-5</v>
      </c>
      <c r="E86" s="20">
        <v>0.95326316855979598</v>
      </c>
      <c r="F86" s="20">
        <v>0.18156805387089919</v>
      </c>
      <c r="G86" s="20">
        <v>0.7713207129438191</v>
      </c>
      <c r="H86" s="20">
        <v>0</v>
      </c>
      <c r="I86" s="20">
        <v>3.7440174507773351E-4</v>
      </c>
      <c r="J86" s="20">
        <v>1.7072078032917961E-2</v>
      </c>
      <c r="K86" s="20">
        <v>2.9643632101978415E-2</v>
      </c>
      <c r="L86" s="20">
        <v>0</v>
      </c>
    </row>
    <row r="87" spans="1:12">
      <c r="A87" s="2" t="s">
        <v>409</v>
      </c>
      <c r="B87" s="3" t="s">
        <v>410</v>
      </c>
      <c r="D87" s="20">
        <v>2.5936771535375181E-6</v>
      </c>
      <c r="E87" s="20">
        <v>0.96099877868100192</v>
      </c>
      <c r="F87" s="20">
        <v>9.7036383201304782E-2</v>
      </c>
      <c r="G87" s="20">
        <v>0.86383372674608638</v>
      </c>
      <c r="H87" s="20">
        <v>0</v>
      </c>
      <c r="I87" s="20">
        <v>1.2866873361075761E-4</v>
      </c>
      <c r="J87" s="20">
        <v>1.9195828751158012E-2</v>
      </c>
      <c r="K87" s="20">
        <v>1.9802798890686577E-2</v>
      </c>
      <c r="L87" s="20">
        <v>0</v>
      </c>
    </row>
    <row r="88" spans="1:12">
      <c r="A88" s="2" t="s">
        <v>301</v>
      </c>
      <c r="B88" s="3" t="s">
        <v>302</v>
      </c>
      <c r="D88" s="20">
        <v>3.1815970390647874E-7</v>
      </c>
      <c r="E88" s="20">
        <v>0.96764150649838865</v>
      </c>
      <c r="F88" s="20">
        <v>4.4695505980429776E-2</v>
      </c>
      <c r="G88" s="20">
        <v>0.92291013126896604</v>
      </c>
      <c r="H88" s="20">
        <v>0</v>
      </c>
      <c r="I88" s="20">
        <v>3.5869248992797922E-5</v>
      </c>
      <c r="J88" s="20">
        <v>2.0602276666369289E-2</v>
      </c>
      <c r="K88" s="20">
        <v>1.1755898675538208E-2</v>
      </c>
      <c r="L88" s="20">
        <v>0</v>
      </c>
    </row>
    <row r="89" spans="1:12">
      <c r="A89" s="2" t="s">
        <v>303</v>
      </c>
      <c r="B89" s="3" t="s">
        <v>304</v>
      </c>
      <c r="D89" s="20">
        <v>1.7182853395623181E-13</v>
      </c>
      <c r="E89" s="20">
        <v>0.70046936504878776</v>
      </c>
      <c r="F89" s="20">
        <v>0.19406032873274548</v>
      </c>
      <c r="G89" s="20">
        <v>0.50471107958006289</v>
      </c>
      <c r="H89" s="20">
        <v>0</v>
      </c>
      <c r="I89" s="20">
        <v>1.697956735979374E-3</v>
      </c>
      <c r="J89" s="20">
        <v>0.29054933379125086</v>
      </c>
      <c r="K89" s="20">
        <v>8.9813011597895641E-3</v>
      </c>
      <c r="L89" s="20">
        <v>0</v>
      </c>
    </row>
    <row r="90" spans="1:12">
      <c r="A90" s="2" t="s">
        <v>425</v>
      </c>
      <c r="B90" s="3" t="s">
        <v>426</v>
      </c>
      <c r="D90" s="20">
        <v>1.2645477511192299E-13</v>
      </c>
      <c r="E90" s="20">
        <v>0.98912256832122025</v>
      </c>
      <c r="F90" s="20">
        <v>9.2992077885614938E-4</v>
      </c>
      <c r="G90" s="20">
        <v>3.1222756277181005E-4</v>
      </c>
      <c r="H90" s="20">
        <v>0</v>
      </c>
      <c r="I90" s="20">
        <v>0.98788041997959231</v>
      </c>
      <c r="J90" s="20">
        <v>1.2349042437013376E-4</v>
      </c>
      <c r="K90" s="20">
        <v>1.0753941254283117E-2</v>
      </c>
      <c r="L90" s="20">
        <v>0</v>
      </c>
    </row>
    <row r="91" spans="1:12">
      <c r="A91" s="2" t="s">
        <v>427</v>
      </c>
      <c r="B91" s="3" t="s">
        <v>428</v>
      </c>
      <c r="D91" s="20">
        <v>7.3097033831423416E-5</v>
      </c>
      <c r="E91" s="20">
        <v>0.89733414560501534</v>
      </c>
      <c r="F91" s="20">
        <v>6.2707348649027314E-2</v>
      </c>
      <c r="G91" s="20">
        <v>1.763656462104302E-2</v>
      </c>
      <c r="H91" s="20">
        <v>0</v>
      </c>
      <c r="I91" s="20">
        <v>0.81699023233494505</v>
      </c>
      <c r="J91" s="20">
        <v>4.7284940066506836E-4</v>
      </c>
      <c r="K91" s="20">
        <v>0.10211990796048831</v>
      </c>
      <c r="L91" s="20">
        <v>0</v>
      </c>
    </row>
    <row r="92" spans="1:12">
      <c r="A92" s="2" t="s">
        <v>429</v>
      </c>
      <c r="B92" s="3" t="s">
        <v>430</v>
      </c>
      <c r="D92" s="20">
        <v>4.7139071981776157E-4</v>
      </c>
      <c r="E92" s="20">
        <v>0.85160621908100409</v>
      </c>
      <c r="F92" s="20">
        <v>0.57756346433450967</v>
      </c>
      <c r="G92" s="20">
        <v>0.12186956699691273</v>
      </c>
      <c r="H92" s="20">
        <v>0</v>
      </c>
      <c r="I92" s="20">
        <v>0.15217318774958169</v>
      </c>
      <c r="J92" s="20">
        <v>2.6471210200834732E-3</v>
      </c>
      <c r="K92" s="20">
        <v>0.14527526917909467</v>
      </c>
      <c r="L92" s="20">
        <v>0</v>
      </c>
    </row>
    <row r="93" spans="1:12">
      <c r="A93" s="2" t="s">
        <v>431</v>
      </c>
      <c r="B93" s="3" t="s">
        <v>432</v>
      </c>
      <c r="D93" s="20">
        <v>9.3749159682938459E-18</v>
      </c>
      <c r="E93" s="20">
        <v>0.99981678285153652</v>
      </c>
      <c r="F93" s="20">
        <v>4.3616592727099062E-3</v>
      </c>
      <c r="G93" s="20">
        <v>3.4944083742605868E-6</v>
      </c>
      <c r="H93" s="20">
        <v>0</v>
      </c>
      <c r="I93" s="20">
        <v>0.99545162917045238</v>
      </c>
      <c r="J93" s="20">
        <v>1.1867103780586516E-4</v>
      </c>
      <c r="K93" s="20">
        <v>6.4546110657575227E-5</v>
      </c>
      <c r="L93" s="20">
        <v>0</v>
      </c>
    </row>
    <row r="94" spans="1:12">
      <c r="A94" s="2" t="s">
        <v>433</v>
      </c>
      <c r="B94" s="3" t="s">
        <v>434</v>
      </c>
      <c r="D94" s="20">
        <v>1.9813127998180302E-18</v>
      </c>
      <c r="E94" s="20">
        <v>0.99987920899780458</v>
      </c>
      <c r="F94" s="20">
        <v>1.6973512704940272E-5</v>
      </c>
      <c r="G94" s="20">
        <v>2.3684671826540733E-8</v>
      </c>
      <c r="H94" s="20">
        <v>0</v>
      </c>
      <c r="I94" s="20">
        <v>0.99986221180042778</v>
      </c>
      <c r="J94" s="20">
        <v>1.1915808639178645E-4</v>
      </c>
      <c r="K94" s="20">
        <v>1.632915803789046E-6</v>
      </c>
      <c r="L94" s="20">
        <v>0</v>
      </c>
    </row>
    <row r="95" spans="1:12">
      <c r="A95" s="2" t="s">
        <v>435</v>
      </c>
      <c r="B95" s="3" t="s">
        <v>436</v>
      </c>
      <c r="D95" s="20">
        <v>1.0963353690116287E-8</v>
      </c>
      <c r="E95" s="20">
        <v>0.97457632248082826</v>
      </c>
      <c r="F95" s="20">
        <v>3.8666361028666316E-3</v>
      </c>
      <c r="G95" s="20">
        <v>1.341110454107069E-3</v>
      </c>
      <c r="H95" s="20">
        <v>0</v>
      </c>
      <c r="I95" s="20">
        <v>0.96936857592385461</v>
      </c>
      <c r="J95" s="20">
        <v>1.446037662729072E-4</v>
      </c>
      <c r="K95" s="20">
        <v>2.527906278954509E-2</v>
      </c>
      <c r="L95" s="20">
        <v>0</v>
      </c>
    </row>
    <row r="96" spans="1:12">
      <c r="A96" s="2" t="s">
        <v>437</v>
      </c>
      <c r="B96" s="165" t="s">
        <v>438</v>
      </c>
      <c r="D96" s="20">
        <v>3.9604926081485257E-8</v>
      </c>
      <c r="E96" s="20">
        <v>0.9502072289440785</v>
      </c>
      <c r="F96" s="20">
        <v>0.22478529200741654</v>
      </c>
      <c r="G96" s="20">
        <v>0.72487554243923247</v>
      </c>
      <c r="H96" s="20">
        <v>0</v>
      </c>
      <c r="I96" s="20">
        <v>5.4639449742945783E-4</v>
      </c>
      <c r="J96" s="20">
        <v>1.6020491405861023E-2</v>
      </c>
      <c r="K96" s="20">
        <v>3.3772240045134433E-2</v>
      </c>
      <c r="L96" s="20">
        <v>0</v>
      </c>
    </row>
    <row r="97" spans="1:12">
      <c r="A97" s="2" t="s">
        <v>439</v>
      </c>
      <c r="B97" s="3" t="s">
        <v>440</v>
      </c>
      <c r="D97" s="20">
        <v>3.6755147525637759E-5</v>
      </c>
      <c r="E97" s="20">
        <v>0.86437869782665633</v>
      </c>
      <c r="F97" s="20">
        <v>0.12143303639516992</v>
      </c>
      <c r="G97" s="20">
        <v>3.2198260515043806E-2</v>
      </c>
      <c r="H97" s="20">
        <v>0</v>
      </c>
      <c r="I97" s="20">
        <v>0.71074740091644262</v>
      </c>
      <c r="J97" s="20">
        <v>7.7246043812181074E-4</v>
      </c>
      <c r="K97" s="20">
        <v>0.13481208658769622</v>
      </c>
      <c r="L97" s="20">
        <v>0</v>
      </c>
    </row>
    <row r="98" spans="1:12">
      <c r="A98" s="2" t="s">
        <v>441</v>
      </c>
      <c r="B98" s="3" t="s">
        <v>442</v>
      </c>
      <c r="D98" s="20">
        <v>2.4277524845269743E-17</v>
      </c>
      <c r="E98" s="20">
        <v>0.8913346443641148</v>
      </c>
      <c r="F98" s="20">
        <v>7.1354783301422475E-2</v>
      </c>
      <c r="G98" s="20">
        <v>1.984808663546752E-2</v>
      </c>
      <c r="H98" s="20">
        <v>0</v>
      </c>
      <c r="I98" s="20">
        <v>0.80013177442722483</v>
      </c>
      <c r="J98" s="20">
        <v>5.1820845257026472E-4</v>
      </c>
      <c r="K98" s="20">
        <v>0.10814714718331485</v>
      </c>
      <c r="L98" s="20">
        <v>0</v>
      </c>
    </row>
    <row r="99" spans="1:12">
      <c r="A99" s="2" t="s">
        <v>443</v>
      </c>
      <c r="B99" s="3" t="s">
        <v>444</v>
      </c>
      <c r="D99" s="20">
        <v>3.5050373404447285E-29</v>
      </c>
      <c r="E99" s="20">
        <v>0.94683012029752012</v>
      </c>
      <c r="F99" s="20">
        <v>1.5852995390321836E-2</v>
      </c>
      <c r="G99" s="20">
        <v>4.9797425289304928E-3</v>
      </c>
      <c r="H99" s="20">
        <v>0</v>
      </c>
      <c r="I99" s="20">
        <v>0.92599738237826779</v>
      </c>
      <c r="J99" s="20">
        <v>2.1532633453864947E-4</v>
      </c>
      <c r="K99" s="20">
        <v>5.2954553367941123E-2</v>
      </c>
      <c r="L99" s="20">
        <v>0</v>
      </c>
    </row>
    <row r="100" spans="1:12">
      <c r="A100" s="2" t="s">
        <v>445</v>
      </c>
      <c r="B100" s="3" t="s">
        <v>446</v>
      </c>
      <c r="D100" s="20">
        <v>4.1861483919496482E-8</v>
      </c>
      <c r="E100" s="20">
        <v>0.93935874625089932</v>
      </c>
      <c r="F100" s="20">
        <v>0.56902756300624679</v>
      </c>
      <c r="G100" s="20">
        <v>0.36671515570603719</v>
      </c>
      <c r="H100" s="20">
        <v>0</v>
      </c>
      <c r="I100" s="20">
        <v>3.6160275386153801E-3</v>
      </c>
      <c r="J100" s="20">
        <v>8.0364232831454541E-3</v>
      </c>
      <c r="K100" s="20">
        <v>5.260478860447125E-2</v>
      </c>
      <c r="L100" s="20">
        <v>0</v>
      </c>
    </row>
    <row r="101" spans="1:12">
      <c r="A101" s="2" t="s">
        <v>447</v>
      </c>
      <c r="B101" s="3" t="s">
        <v>448</v>
      </c>
      <c r="D101" s="20">
        <v>4.2083187737356286E-9</v>
      </c>
      <c r="E101" s="20">
        <v>0.836689621073051</v>
      </c>
      <c r="F101" s="20">
        <v>0.50948020378862624</v>
      </c>
      <c r="G101" s="20">
        <v>0.11133273273034111</v>
      </c>
      <c r="H101" s="20">
        <v>0</v>
      </c>
      <c r="I101" s="20">
        <v>0.2158766845540836</v>
      </c>
      <c r="J101" s="20">
        <v>2.4239910374070925E-3</v>
      </c>
      <c r="K101" s="20">
        <v>0.16088638368122307</v>
      </c>
      <c r="L101" s="20">
        <v>0</v>
      </c>
    </row>
    <row r="102" spans="1:12">
      <c r="A102" s="2" t="s">
        <v>449</v>
      </c>
      <c r="B102" s="3" t="s">
        <v>450</v>
      </c>
      <c r="D102" s="20">
        <v>1.7192441214745476E-4</v>
      </c>
      <c r="E102" s="20">
        <v>0.90678332599000122</v>
      </c>
      <c r="F102" s="20">
        <v>0.72569851163687371</v>
      </c>
      <c r="G102" s="20">
        <v>0.13735731338788901</v>
      </c>
      <c r="H102" s="20">
        <v>0</v>
      </c>
      <c r="I102" s="20">
        <v>4.3727500965238544E-2</v>
      </c>
      <c r="J102" s="20">
        <v>2.9813764736478063E-3</v>
      </c>
      <c r="K102" s="20">
        <v>9.0063373124203427E-2</v>
      </c>
      <c r="L102" s="20">
        <v>0</v>
      </c>
    </row>
    <row r="103" spans="1:12">
      <c r="A103" s="2" t="s">
        <v>451</v>
      </c>
      <c r="B103" s="3" t="s">
        <v>452</v>
      </c>
      <c r="D103" s="20">
        <v>3.422885099479637E-19</v>
      </c>
      <c r="E103" s="20">
        <v>0.9998283215616528</v>
      </c>
      <c r="F103" s="20">
        <v>0.10505779814349418</v>
      </c>
      <c r="G103" s="20">
        <v>1.0195382000382113E-5</v>
      </c>
      <c r="H103" s="20">
        <v>0</v>
      </c>
      <c r="I103" s="20">
        <v>0.89476032803615824</v>
      </c>
      <c r="J103" s="20">
        <v>1.2198489974730357E-4</v>
      </c>
      <c r="K103" s="20">
        <v>4.9693538599885937E-5</v>
      </c>
      <c r="L103" s="20">
        <v>0</v>
      </c>
    </row>
    <row r="104" spans="1:12">
      <c r="A104" s="2" t="s">
        <v>453</v>
      </c>
      <c r="B104" s="3" t="s">
        <v>454</v>
      </c>
      <c r="D104" s="20">
        <v>8.7829680490118514E-21</v>
      </c>
      <c r="E104" s="20">
        <v>0.99953902641246639</v>
      </c>
      <c r="F104" s="20">
        <v>0.98738269672906842</v>
      </c>
      <c r="G104" s="20">
        <v>1.0455653024091815E-3</v>
      </c>
      <c r="H104" s="20">
        <v>0</v>
      </c>
      <c r="I104" s="20">
        <v>1.1110764380988758E-2</v>
      </c>
      <c r="J104" s="20">
        <v>1.6825683168181211E-4</v>
      </c>
      <c r="K104" s="20">
        <v>2.927167558516991E-4</v>
      </c>
      <c r="L104" s="20">
        <v>0</v>
      </c>
    </row>
    <row r="105" spans="1:12">
      <c r="A105" s="2" t="s">
        <v>455</v>
      </c>
      <c r="B105" s="165">
        <v>354656</v>
      </c>
      <c r="D105" s="20">
        <v>2.9173455994098767E-10</v>
      </c>
      <c r="E105" s="20">
        <v>0.98695118935430359</v>
      </c>
      <c r="F105" s="20">
        <v>1.0000151156529205E-3</v>
      </c>
      <c r="G105" s="20">
        <v>3.8681394282309787E-4</v>
      </c>
      <c r="H105" s="20">
        <v>0</v>
      </c>
      <c r="I105" s="20">
        <v>0.98556436029582761</v>
      </c>
      <c r="J105" s="20">
        <v>1.2476299757242763E-4</v>
      </c>
      <c r="K105" s="20">
        <v>1.2924047356389303E-2</v>
      </c>
      <c r="L105" s="20">
        <v>0</v>
      </c>
    </row>
    <row r="106" spans="1:12">
      <c r="A106" s="2" t="s">
        <v>457</v>
      </c>
      <c r="B106" s="3" t="s">
        <v>458</v>
      </c>
      <c r="D106" s="20">
        <v>4.4021150256232506E-10</v>
      </c>
      <c r="E106" s="20">
        <v>0.97335157568813213</v>
      </c>
      <c r="F106" s="20">
        <v>4.1976439240645437E-3</v>
      </c>
      <c r="G106" s="20">
        <v>1.4493760927444695E-3</v>
      </c>
      <c r="H106" s="20">
        <v>0</v>
      </c>
      <c r="I106" s="20">
        <v>0.96770455567132307</v>
      </c>
      <c r="J106" s="20">
        <v>1.4649316331016878E-4</v>
      </c>
      <c r="K106" s="20">
        <v>2.6501930708346232E-2</v>
      </c>
      <c r="L106" s="20">
        <v>0</v>
      </c>
    </row>
    <row r="107" spans="1:12">
      <c r="A107" s="2" t="s">
        <v>459</v>
      </c>
      <c r="B107" s="3" t="s">
        <v>460</v>
      </c>
      <c r="D107" s="20">
        <v>3.8896131875729175E-20</v>
      </c>
      <c r="E107" s="20">
        <v>0.93351097388027293</v>
      </c>
      <c r="F107" s="20">
        <v>0.77509373507228962</v>
      </c>
      <c r="G107" s="20">
        <v>0.13565706584544887</v>
      </c>
      <c r="H107" s="20">
        <v>0</v>
      </c>
      <c r="I107" s="20">
        <v>2.2760172962534436E-2</v>
      </c>
      <c r="J107" s="20">
        <v>3.460254941662791E-3</v>
      </c>
      <c r="K107" s="20">
        <v>6.3028771178064283E-2</v>
      </c>
      <c r="L107" s="20">
        <v>0</v>
      </c>
    </row>
    <row r="108" spans="1:12">
      <c r="A108" s="2" t="s">
        <v>461</v>
      </c>
      <c r="B108" s="3" t="s">
        <v>462</v>
      </c>
      <c r="D108" s="20">
        <v>8.5606274211930719E-10</v>
      </c>
      <c r="E108" s="20">
        <v>0.99985780223872689</v>
      </c>
      <c r="F108" s="20">
        <v>8.7921817237262428E-6</v>
      </c>
      <c r="G108" s="20">
        <v>2.5483450835902413E-7</v>
      </c>
      <c r="H108" s="20">
        <v>0</v>
      </c>
      <c r="I108" s="20">
        <v>0.99984875522249483</v>
      </c>
      <c r="J108" s="20">
        <v>1.187462674480006E-4</v>
      </c>
      <c r="K108" s="20">
        <v>2.3450637762481851E-5</v>
      </c>
      <c r="L108" s="20">
        <v>0</v>
      </c>
    </row>
    <row r="109" spans="1:12">
      <c r="A109" s="2" t="s">
        <v>463</v>
      </c>
      <c r="B109" s="3" t="s">
        <v>464</v>
      </c>
      <c r="D109" s="20">
        <v>2.2065636377682552E-12</v>
      </c>
      <c r="E109" s="20">
        <v>0.99063657952160156</v>
      </c>
      <c r="F109" s="20">
        <v>5.8244904179956938E-2</v>
      </c>
      <c r="G109" s="20">
        <v>2.8951029443090421E-3</v>
      </c>
      <c r="H109" s="20">
        <v>0</v>
      </c>
      <c r="I109" s="20">
        <v>0.92949657239733563</v>
      </c>
      <c r="J109" s="20">
        <v>1.6016565108148471E-3</v>
      </c>
      <c r="K109" s="20">
        <v>7.7617639653770384E-3</v>
      </c>
      <c r="L109" s="20">
        <v>0</v>
      </c>
    </row>
    <row r="110" spans="1:12">
      <c r="A110" s="2" t="s">
        <v>465</v>
      </c>
      <c r="B110" s="3" t="s">
        <v>466</v>
      </c>
      <c r="D110" s="20">
        <v>1.6310986201539897E-11</v>
      </c>
      <c r="E110" s="20">
        <v>0.99723221515764993</v>
      </c>
      <c r="F110" s="20">
        <v>2.2563205335027396E-4</v>
      </c>
      <c r="G110" s="20">
        <v>4.3168536092652418E-5</v>
      </c>
      <c r="H110" s="20">
        <v>0</v>
      </c>
      <c r="I110" s="20">
        <v>0.99696341456820703</v>
      </c>
      <c r="J110" s="20">
        <v>1.1889593439455897E-4</v>
      </c>
      <c r="K110" s="20">
        <v>2.6488888916447679E-3</v>
      </c>
      <c r="L110" s="20">
        <v>0</v>
      </c>
    </row>
    <row r="111" spans="1:12">
      <c r="A111" s="2" t="s">
        <v>467</v>
      </c>
      <c r="B111" s="3" t="s">
        <v>468</v>
      </c>
      <c r="D111" s="20">
        <v>2.8889307409089878E-30</v>
      </c>
      <c r="E111" s="20">
        <v>0.99987931994656043</v>
      </c>
      <c r="F111" s="20">
        <v>1.5977256778811748E-5</v>
      </c>
      <c r="G111" s="20">
        <v>1.3200007063697559E-8</v>
      </c>
      <c r="H111" s="20">
        <v>0</v>
      </c>
      <c r="I111" s="20">
        <v>0.99986332948977452</v>
      </c>
      <c r="J111" s="20">
        <v>1.1830938627582373E-4</v>
      </c>
      <c r="K111" s="20">
        <v>2.3706671639178195E-6</v>
      </c>
      <c r="L111" s="20">
        <v>0</v>
      </c>
    </row>
    <row r="112" spans="1:12">
      <c r="A112" s="2" t="s">
        <v>469</v>
      </c>
      <c r="B112" s="3" t="s">
        <v>470</v>
      </c>
      <c r="D112" s="20">
        <v>1.8346653092895544E-13</v>
      </c>
      <c r="E112" s="20">
        <v>0.99644602912099201</v>
      </c>
      <c r="F112" s="20">
        <v>7.7906830015047791E-5</v>
      </c>
      <c r="G112" s="20">
        <v>3.6397460960028121E-5</v>
      </c>
      <c r="H112" s="20">
        <v>0</v>
      </c>
      <c r="I112" s="20">
        <v>0.99633172483001697</v>
      </c>
      <c r="J112" s="20">
        <v>1.1864841240112031E-4</v>
      </c>
      <c r="K112" s="20">
        <v>3.4353224664232427E-3</v>
      </c>
      <c r="L112" s="20">
        <v>0</v>
      </c>
    </row>
    <row r="113" spans="1:12">
      <c r="A113" s="2" t="s">
        <v>471</v>
      </c>
      <c r="B113" s="3" t="s">
        <v>472</v>
      </c>
      <c r="D113" s="20">
        <v>2.3078848387548716E-9</v>
      </c>
      <c r="E113" s="20">
        <v>0.98016887394835506</v>
      </c>
      <c r="F113" s="20">
        <v>2.2627304353299688E-3</v>
      </c>
      <c r="G113" s="20">
        <v>8.2362282528065586E-4</v>
      </c>
      <c r="H113" s="20">
        <v>0</v>
      </c>
      <c r="I113" s="20">
        <v>0.97708252068774448</v>
      </c>
      <c r="J113" s="20">
        <v>1.3300302995813686E-4</v>
      </c>
      <c r="K113" s="20">
        <v>1.9698120713802062E-2</v>
      </c>
      <c r="L113" s="20">
        <v>0</v>
      </c>
    </row>
    <row r="114" spans="1:12">
      <c r="A114" s="2" t="s">
        <v>473</v>
      </c>
      <c r="B114" s="3" t="s">
        <v>474</v>
      </c>
      <c r="D114" s="20">
        <v>1.7968630023517343E-16</v>
      </c>
      <c r="E114" s="20">
        <v>0.99810450424764019</v>
      </c>
      <c r="F114" s="20">
        <v>2.2634076490438983E-5</v>
      </c>
      <c r="G114" s="20">
        <v>1.1403321870556933E-5</v>
      </c>
      <c r="H114" s="20">
        <v>0</v>
      </c>
      <c r="I114" s="20">
        <v>0.99807046684927925</v>
      </c>
      <c r="J114" s="20">
        <v>1.1833053915539736E-4</v>
      </c>
      <c r="K114" s="20">
        <v>1.7771652132043821E-3</v>
      </c>
      <c r="L114" s="20">
        <v>0</v>
      </c>
    </row>
    <row r="115" spans="1:12">
      <c r="A115" s="2" t="s">
        <v>475</v>
      </c>
      <c r="B115" s="3" t="s">
        <v>476</v>
      </c>
      <c r="D115" s="20">
        <v>9.2702739926298899E-13</v>
      </c>
      <c r="E115" s="20">
        <v>0.99985177008736248</v>
      </c>
      <c r="F115" s="20">
        <v>2.7450215012217487E-2</v>
      </c>
      <c r="G115" s="20">
        <v>3.2879833053683166E-6</v>
      </c>
      <c r="H115" s="20">
        <v>0</v>
      </c>
      <c r="I115" s="20">
        <v>0.97239826709183963</v>
      </c>
      <c r="J115" s="20">
        <v>1.1967860269584911E-4</v>
      </c>
      <c r="K115" s="20">
        <v>2.8551309014668998E-5</v>
      </c>
      <c r="L115" s="20">
        <v>0</v>
      </c>
    </row>
    <row r="116" spans="1:12">
      <c r="A116" s="2" t="s">
        <v>477</v>
      </c>
      <c r="B116" s="3" t="s">
        <v>478</v>
      </c>
      <c r="D116" s="20">
        <v>2.6164846716843661E-17</v>
      </c>
      <c r="E116" s="20">
        <v>0.97545074511348306</v>
      </c>
      <c r="F116" s="20">
        <v>0.82154037760958698</v>
      </c>
      <c r="G116" s="20">
        <v>1.9898137781617781E-2</v>
      </c>
      <c r="H116" s="20">
        <v>0</v>
      </c>
      <c r="I116" s="20">
        <v>0.13401222972227833</v>
      </c>
      <c r="J116" s="20">
        <v>1.6445079066424305E-2</v>
      </c>
      <c r="K116" s="20">
        <v>8.1041758200924557E-3</v>
      </c>
      <c r="L116" s="20">
        <v>0</v>
      </c>
    </row>
    <row r="117" spans="1:12">
      <c r="A117" s="2" t="s">
        <v>291</v>
      </c>
      <c r="B117" s="3" t="s">
        <v>479</v>
      </c>
      <c r="D117" s="20">
        <v>2.7931902959221324E-10</v>
      </c>
      <c r="E117" s="20">
        <v>0.83718497747715359</v>
      </c>
      <c r="F117" s="20">
        <v>0.20850631305244827</v>
      </c>
      <c r="G117" s="20">
        <v>5.2313618896875899E-2</v>
      </c>
      <c r="H117" s="20">
        <v>0</v>
      </c>
      <c r="I117" s="20">
        <v>0.57636504552782941</v>
      </c>
      <c r="J117" s="20">
        <v>1.1890371173414178E-3</v>
      </c>
      <c r="K117" s="20">
        <v>0.16162598512618592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3.1003034245164317E-12</v>
      </c>
      <c r="E2" s="14">
        <v>1.4835470010880964E-4</v>
      </c>
      <c r="F2" s="14">
        <v>9.1289932156594763E-8</v>
      </c>
      <c r="G2" s="14">
        <v>3.6636876430222572E-8</v>
      </c>
      <c r="H2" s="14">
        <v>0</v>
      </c>
      <c r="I2" s="14">
        <v>1.8324325633134791E-8</v>
      </c>
      <c r="J2" s="14">
        <v>1.499045656666966E-6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2.8218251336569774E-12</v>
      </c>
      <c r="E3" s="14">
        <v>8.4816284079223208E-5</v>
      </c>
      <c r="F3" s="14">
        <v>3.3695965898474215E-5</v>
      </c>
      <c r="G3" s="14">
        <v>8.1858937391624898E-6</v>
      </c>
      <c r="H3" s="14">
        <v>0</v>
      </c>
      <c r="I3" s="14">
        <v>2.151181654146906E-7</v>
      </c>
      <c r="J3" s="14">
        <v>2.3086735295900243E-5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1.5869676344993873E-21</v>
      </c>
      <c r="E4" s="14">
        <v>1.4991503124809662E-4</v>
      </c>
      <c r="F4" s="14">
        <v>6.3268385796744907E-8</v>
      </c>
      <c r="G4" s="14">
        <v>6.9675869318685366E-11</v>
      </c>
      <c r="H4" s="14">
        <v>0</v>
      </c>
      <c r="I4" s="14">
        <v>2.0323981434870088E-8</v>
      </c>
      <c r="J4" s="14">
        <v>1.3067088024468871E-9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2.6420479088686029E-14</v>
      </c>
      <c r="E5" s="14">
        <v>8.2142225235681357E-5</v>
      </c>
      <c r="F5" s="14">
        <v>6.7821601080675915E-5</v>
      </c>
      <c r="G5" s="14">
        <v>5.3830362423178232E-9</v>
      </c>
      <c r="H5" s="14">
        <v>0</v>
      </c>
      <c r="I5" s="14">
        <v>1.8885776549498979E-8</v>
      </c>
      <c r="J5" s="14">
        <v>1.1904844430385153E-8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2.1680164505686649E-15</v>
      </c>
      <c r="E6" s="14">
        <v>4.8628823287356694E-5</v>
      </c>
      <c r="F6" s="14">
        <v>1.0127805096829302E-4</v>
      </c>
      <c r="G6" s="14">
        <v>2.9370264724603833E-8</v>
      </c>
      <c r="H6" s="14">
        <v>0</v>
      </c>
      <c r="I6" s="14">
        <v>1.9107243860698396E-8</v>
      </c>
      <c r="J6" s="14">
        <v>4.4648233596936042E-8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1.8943791916096931E-11</v>
      </c>
      <c r="E7" s="14">
        <v>1.6176531152241797E-5</v>
      </c>
      <c r="F7" s="14">
        <v>1.3329288647166503E-4</v>
      </c>
      <c r="G7" s="14">
        <v>2.713326625099015E-7</v>
      </c>
      <c r="H7" s="14">
        <v>0</v>
      </c>
      <c r="I7" s="14">
        <v>2.2966255807227892E-8</v>
      </c>
      <c r="J7" s="14">
        <v>2.3626451398410401E-7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1.3429747718560709E-21</v>
      </c>
      <c r="E8" s="14">
        <v>3.4474488062854626E-5</v>
      </c>
      <c r="F8" s="14">
        <v>1.1546740351614674E-4</v>
      </c>
      <c r="G8" s="14">
        <v>1.7558361455214584E-8</v>
      </c>
      <c r="H8" s="14">
        <v>0</v>
      </c>
      <c r="I8" s="14">
        <v>1.8531930846497994E-8</v>
      </c>
      <c r="J8" s="14">
        <v>2.2018128696903028E-8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5.6308739946033929E-17</v>
      </c>
      <c r="E9" s="14">
        <v>9.21296284010204E-5</v>
      </c>
      <c r="F9" s="14">
        <v>5.7775125002582987E-5</v>
      </c>
      <c r="G9" s="14">
        <v>2.1898423092575855E-8</v>
      </c>
      <c r="H9" s="14">
        <v>0</v>
      </c>
      <c r="I9" s="14">
        <v>1.920929373840677E-8</v>
      </c>
      <c r="J9" s="14">
        <v>5.4138879509285584E-8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1.8081590078308454E-9</v>
      </c>
      <c r="E10" s="14">
        <v>1.6559748217084591E-6</v>
      </c>
      <c r="F10" s="14">
        <v>1.1955157544171862E-4</v>
      </c>
      <c r="G10" s="14">
        <v>2.0880979113198138E-5</v>
      </c>
      <c r="H10" s="14">
        <v>0</v>
      </c>
      <c r="I10" s="14">
        <v>4.5466878309857559E-7</v>
      </c>
      <c r="J10" s="14">
        <v>7.4549936812683604E-6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7.0381488586461739E-16</v>
      </c>
      <c r="E11" s="14">
        <v>9.295396800917067E-8</v>
      </c>
      <c r="F11" s="14">
        <v>8.4810477415335641E-5</v>
      </c>
      <c r="G11" s="14">
        <v>6.1964632722831409E-5</v>
      </c>
      <c r="H11" s="14">
        <v>0</v>
      </c>
      <c r="I11" s="14">
        <v>1.9952504438629602E-6</v>
      </c>
      <c r="J11" s="14">
        <v>1.1366854492569711E-6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8.9143396047059016E-6</v>
      </c>
      <c r="E12" s="14">
        <v>1.4079232159534149E-4</v>
      </c>
      <c r="F12" s="14">
        <v>3.9575757227778006E-9</v>
      </c>
      <c r="G12" s="14">
        <v>1.9616302415654879E-9</v>
      </c>
      <c r="H12" s="14">
        <v>0</v>
      </c>
      <c r="I12" s="14">
        <v>1.6703815583046741E-8</v>
      </c>
      <c r="J12" s="14">
        <v>2.707157784052002E-7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2.4696241587278E-12</v>
      </c>
      <c r="E13" s="14">
        <v>9.5049092542798963E-5</v>
      </c>
      <c r="F13" s="14">
        <v>2.5471208403905892E-5</v>
      </c>
      <c r="G13" s="14">
        <v>6.5334881027553014E-6</v>
      </c>
      <c r="H13" s="14">
        <v>0</v>
      </c>
      <c r="I13" s="14">
        <v>1.5110724336727927E-7</v>
      </c>
      <c r="J13" s="14">
        <v>2.2795101237548378E-5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1.0013135398569404E-11</v>
      </c>
      <c r="E14" s="14">
        <v>1.3214560505646571E-6</v>
      </c>
      <c r="F14" s="14">
        <v>1.4835913690887425E-4</v>
      </c>
      <c r="G14" s="14">
        <v>2.3242345270876923E-7</v>
      </c>
      <c r="H14" s="14">
        <v>0</v>
      </c>
      <c r="I14" s="14">
        <v>3.747686056446715E-8</v>
      </c>
      <c r="J14" s="14">
        <v>4.9496714152417515E-8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1.0945471238567608E-5</v>
      </c>
      <c r="E15" s="14">
        <v>1.2594808660247624E-4</v>
      </c>
      <c r="F15" s="14">
        <v>3.2170154632222133E-6</v>
      </c>
      <c r="G15" s="14">
        <v>9.8118003766104561E-7</v>
      </c>
      <c r="H15" s="14">
        <v>0</v>
      </c>
      <c r="I15" s="14">
        <v>3.5764707511809136E-8</v>
      </c>
      <c r="J15" s="14">
        <v>8.8724819505610629E-6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9.4657433885146711E-8</v>
      </c>
      <c r="E16" s="14">
        <v>8.9328869286305816E-5</v>
      </c>
      <c r="F16" s="14">
        <v>2.9239733573781807E-5</v>
      </c>
      <c r="G16" s="14">
        <v>7.3904173841689957E-6</v>
      </c>
      <c r="H16" s="14">
        <v>0</v>
      </c>
      <c r="I16" s="14">
        <v>1.6886629366528416E-7</v>
      </c>
      <c r="J16" s="14">
        <v>2.3777456028192943E-5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2.8335489865740989E-7</v>
      </c>
      <c r="E17" s="14">
        <v>9.2782877042861561E-5</v>
      </c>
      <c r="F17" s="14">
        <v>2.6800901923464063E-5</v>
      </c>
      <c r="G17" s="14">
        <v>6.8366754694664339E-6</v>
      </c>
      <c r="H17" s="14">
        <v>0</v>
      </c>
      <c r="I17" s="14">
        <v>1.5736118680639579E-7</v>
      </c>
      <c r="J17" s="14">
        <v>2.3138829478744101E-5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5.1734780467606036E-12</v>
      </c>
      <c r="E18" s="14">
        <v>1.0333792113359892E-7</v>
      </c>
      <c r="F18" s="14">
        <v>3.8317864280687958E-5</v>
      </c>
      <c r="G18" s="14">
        <v>1.0382378326652283E-4</v>
      </c>
      <c r="H18" s="14">
        <v>0</v>
      </c>
      <c r="I18" s="14">
        <v>2.2924864542147092E-6</v>
      </c>
      <c r="J18" s="14">
        <v>5.462522903962827E-6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1.4408175001848245E-6</v>
      </c>
      <c r="E19" s="14">
        <v>1.4213010758597384E-4</v>
      </c>
      <c r="F19" s="14">
        <v>9.8907143444540244E-7</v>
      </c>
      <c r="G19" s="14">
        <v>3.3198863329062348E-7</v>
      </c>
      <c r="H19" s="14">
        <v>0</v>
      </c>
      <c r="I19" s="14">
        <v>2.3849862179258156E-8</v>
      </c>
      <c r="J19" s="14">
        <v>5.0841649839260045E-6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2.7376631708276262E-6</v>
      </c>
      <c r="E20" s="14">
        <v>1.3802479905112463E-4</v>
      </c>
      <c r="F20" s="14">
        <v>1.7947282456903412E-6</v>
      </c>
      <c r="G20" s="14">
        <v>5.7529983997968336E-7</v>
      </c>
      <c r="H20" s="14">
        <v>0</v>
      </c>
      <c r="I20" s="14">
        <v>2.8540081284300612E-8</v>
      </c>
      <c r="J20" s="14">
        <v>6.8389696110933499E-6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2.2634444359381975E-7</v>
      </c>
      <c r="E21" s="14">
        <v>1.6574091854657914E-5</v>
      </c>
      <c r="F21" s="14">
        <v>1.235695074937332E-4</v>
      </c>
      <c r="G21" s="14">
        <v>4.9868979134079014E-6</v>
      </c>
      <c r="H21" s="14">
        <v>0</v>
      </c>
      <c r="I21" s="14">
        <v>1.2119639715972498E-7</v>
      </c>
      <c r="J21" s="14">
        <v>4.5219618974474124E-6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7.89711089340041E-6</v>
      </c>
      <c r="E22" s="14">
        <v>1.39934675982382E-4</v>
      </c>
      <c r="F22" s="14">
        <v>1.5692311512823078E-7</v>
      </c>
      <c r="G22" s="14">
        <v>6.0253527329640761E-8</v>
      </c>
      <c r="H22" s="14">
        <v>0</v>
      </c>
      <c r="I22" s="14">
        <v>1.7827087209672454E-8</v>
      </c>
      <c r="J22" s="14">
        <v>1.9332093945500089E-6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9.0425810245937305E-6</v>
      </c>
      <c r="E23" s="14">
        <v>1.2184550685125168E-4</v>
      </c>
      <c r="F23" s="14">
        <v>5.6716718183883463E-6</v>
      </c>
      <c r="G23" s="14">
        <v>1.6550329652849276E-6</v>
      </c>
      <c r="H23" s="14">
        <v>0</v>
      </c>
      <c r="I23" s="14">
        <v>4.9667577226360594E-8</v>
      </c>
      <c r="J23" s="14">
        <v>1.1735539763254902E-5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2.8398757584350017E-7</v>
      </c>
      <c r="E24" s="14">
        <v>7.0248402178296507E-5</v>
      </c>
      <c r="F24" s="14">
        <v>4.2965317442178669E-5</v>
      </c>
      <c r="G24" s="14">
        <v>1.0370831550185024E-5</v>
      </c>
      <c r="H24" s="14">
        <v>0</v>
      </c>
      <c r="I24" s="14">
        <v>2.3085075050094143E-7</v>
      </c>
      <c r="J24" s="14">
        <v>2.5900610502995318E-5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2.3919263005266823E-8</v>
      </c>
      <c r="E25" s="14">
        <v>1.4464549236443489E-7</v>
      </c>
      <c r="F25" s="14">
        <v>4.5895116695746633E-5</v>
      </c>
      <c r="G25" s="14">
        <v>9.5777177356817466E-5</v>
      </c>
      <c r="H25" s="14">
        <v>0</v>
      </c>
      <c r="I25" s="14">
        <v>2.1118837931582224E-6</v>
      </c>
      <c r="J25" s="14">
        <v>6.0472573989079358E-6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1.8956991123425233E-5</v>
      </c>
      <c r="E26" s="14">
        <v>2.49716084532262E-5</v>
      </c>
      <c r="F26" s="14">
        <v>7.0208240790152021E-5</v>
      </c>
      <c r="G26" s="14">
        <v>1.5145501084502614E-5</v>
      </c>
      <c r="H26" s="14">
        <v>0</v>
      </c>
      <c r="I26" s="14">
        <v>3.2940306132109908E-7</v>
      </c>
      <c r="J26" s="14">
        <v>2.0388255487372806E-5</v>
      </c>
      <c r="K26" s="14">
        <v>0</v>
      </c>
    </row>
    <row r="27" spans="1:14">
      <c r="A27" s="2" t="s">
        <v>397</v>
      </c>
      <c r="B27" s="3" t="s">
        <v>398</v>
      </c>
      <c r="D27" s="14">
        <v>8.5708504988106697E-5</v>
      </c>
      <c r="E27" s="14">
        <v>2.9414470151681537E-6</v>
      </c>
      <c r="F27" s="14">
        <v>4.6434695727553716E-5</v>
      </c>
      <c r="G27" s="14">
        <v>8.8214130844374455E-6</v>
      </c>
      <c r="H27" s="14">
        <v>0</v>
      </c>
      <c r="I27" s="14">
        <v>1.9145842357159792E-7</v>
      </c>
      <c r="J27" s="14">
        <v>5.9024807611623633E-6</v>
      </c>
      <c r="K27" s="14">
        <v>0</v>
      </c>
    </row>
    <row r="28" spans="1:14">
      <c r="A28" s="2" t="s">
        <v>399</v>
      </c>
      <c r="B28" s="3" t="s">
        <v>400</v>
      </c>
      <c r="D28" s="14">
        <v>1.1302566842474999E-4</v>
      </c>
      <c r="E28" s="14">
        <v>5.5217176325118777E-6</v>
      </c>
      <c r="F28" s="14">
        <v>2.1487988772862147E-5</v>
      </c>
      <c r="G28" s="14">
        <v>4.5257579584314516E-6</v>
      </c>
      <c r="H28" s="14">
        <v>0</v>
      </c>
      <c r="I28" s="14">
        <v>9.8295579858168959E-8</v>
      </c>
      <c r="J28" s="14">
        <v>5.3405716315863588E-6</v>
      </c>
      <c r="K28" s="14">
        <v>0</v>
      </c>
    </row>
    <row r="29" spans="1:14">
      <c r="A29" s="2" t="s">
        <v>297</v>
      </c>
      <c r="B29" s="3" t="s">
        <v>298</v>
      </c>
      <c r="D29" s="14">
        <v>1.3785824656316315E-4</v>
      </c>
      <c r="E29" s="14">
        <v>1.1256668077174503E-5</v>
      </c>
      <c r="F29" s="14">
        <v>1.8795394025205592E-7</v>
      </c>
      <c r="G29" s="14">
        <v>5.9148943259258092E-8</v>
      </c>
      <c r="H29" s="14">
        <v>0</v>
      </c>
      <c r="I29" s="14">
        <v>2.5880353708382077E-9</v>
      </c>
      <c r="J29" s="14">
        <v>6.3539444078015127E-7</v>
      </c>
      <c r="K29" s="14">
        <v>0</v>
      </c>
    </row>
    <row r="30" spans="1:14">
      <c r="A30" s="2" t="s">
        <v>401</v>
      </c>
      <c r="B30" s="3" t="s">
        <v>402</v>
      </c>
      <c r="D30" s="14">
        <v>1.3548563450031293E-4</v>
      </c>
      <c r="E30" s="14">
        <v>2.2959919420020883E-6</v>
      </c>
      <c r="F30" s="14">
        <v>8.2891869358885265E-6</v>
      </c>
      <c r="G30" s="14">
        <v>1.7555269027000081E-6</v>
      </c>
      <c r="H30" s="14">
        <v>0</v>
      </c>
      <c r="I30" s="14">
        <v>3.8138407018124991E-8</v>
      </c>
      <c r="J30" s="14">
        <v>2.1355213120782501E-6</v>
      </c>
      <c r="K30" s="14">
        <v>0</v>
      </c>
    </row>
    <row r="31" spans="1:14">
      <c r="A31" s="2" t="s">
        <v>299</v>
      </c>
      <c r="B31" s="3" t="s">
        <v>300</v>
      </c>
      <c r="D31" s="14">
        <v>1.4969340589948032E-4</v>
      </c>
      <c r="E31" s="14">
        <v>8.6349490577841236E-8</v>
      </c>
      <c r="F31" s="14">
        <v>1.3659077026037594E-7</v>
      </c>
      <c r="G31" s="14">
        <v>3.0740923450703262E-8</v>
      </c>
      <c r="H31" s="14">
        <v>0</v>
      </c>
      <c r="I31" s="14">
        <v>6.716938676025586E-10</v>
      </c>
      <c r="J31" s="14">
        <v>5.2241222363123119E-8</v>
      </c>
      <c r="K31" s="14">
        <v>0</v>
      </c>
    </row>
    <row r="32" spans="1:14">
      <c r="A32" s="2" t="s">
        <v>343</v>
      </c>
      <c r="B32" s="3" t="s">
        <v>344</v>
      </c>
      <c r="D32" s="14">
        <v>2.7409264372893934E-7</v>
      </c>
      <c r="E32" s="14">
        <v>1.0086825084900785E-4</v>
      </c>
      <c r="F32" s="14">
        <v>2.1583211381537965E-5</v>
      </c>
      <c r="G32" s="14">
        <v>5.6287455874510589E-6</v>
      </c>
      <c r="H32" s="14">
        <v>0</v>
      </c>
      <c r="I32" s="14">
        <v>1.3234966510739755E-7</v>
      </c>
      <c r="J32" s="14">
        <v>2.1513349873166767E-5</v>
      </c>
      <c r="K32" s="14">
        <v>0</v>
      </c>
    </row>
    <row r="33" spans="1:11">
      <c r="A33" s="2" t="s">
        <v>345</v>
      </c>
      <c r="B33" s="3" t="s">
        <v>346</v>
      </c>
      <c r="D33" s="14">
        <v>1.1147599811057487E-8</v>
      </c>
      <c r="E33" s="14">
        <v>1.2172463459824407E-4</v>
      </c>
      <c r="F33" s="14">
        <v>9.8220028056242549E-6</v>
      </c>
      <c r="G33" s="14">
        <v>2.7522989802487355E-6</v>
      </c>
      <c r="H33" s="14">
        <v>0</v>
      </c>
      <c r="I33" s="14">
        <v>7.3116681187271401E-8</v>
      </c>
      <c r="J33" s="14">
        <v>1.5616799334884555E-5</v>
      </c>
      <c r="K33" s="14">
        <v>0</v>
      </c>
    </row>
    <row r="34" spans="1:11">
      <c r="A34" s="2" t="s">
        <v>347</v>
      </c>
      <c r="B34" s="3" t="s">
        <v>348</v>
      </c>
      <c r="D34" s="14">
        <v>1.0294856209022384E-8</v>
      </c>
      <c r="E34" s="14">
        <v>3.1816865721386371E-5</v>
      </c>
      <c r="F34" s="14">
        <v>7.6990824298505802E-5</v>
      </c>
      <c r="G34" s="14">
        <v>1.6793241161852881E-5</v>
      </c>
      <c r="H34" s="14">
        <v>0</v>
      </c>
      <c r="I34" s="14">
        <v>3.6556906244409566E-7</v>
      </c>
      <c r="J34" s="14">
        <v>2.4023204899601823E-5</v>
      </c>
      <c r="K34" s="14">
        <v>0</v>
      </c>
    </row>
    <row r="35" spans="1:11">
      <c r="A35" s="2" t="s">
        <v>349</v>
      </c>
      <c r="B35" s="3" t="s">
        <v>350</v>
      </c>
      <c r="D35" s="14">
        <v>1.6928526893012137E-6</v>
      </c>
      <c r="E35" s="14">
        <v>3.4068756150878781E-6</v>
      </c>
      <c r="F35" s="14">
        <v>1.1387748106168495E-4</v>
      </c>
      <c r="G35" s="14">
        <v>2.0470733643906221E-5</v>
      </c>
      <c r="H35" s="14">
        <v>0</v>
      </c>
      <c r="I35" s="14">
        <v>4.4488099214240445E-7</v>
      </c>
      <c r="J35" s="14">
        <v>1.0107175997877306E-5</v>
      </c>
      <c r="K35" s="14">
        <v>0</v>
      </c>
    </row>
    <row r="36" spans="1:11">
      <c r="A36" s="2" t="s">
        <v>351</v>
      </c>
      <c r="B36" s="3" t="s">
        <v>352</v>
      </c>
      <c r="D36" s="14">
        <v>4.505677031574927E-8</v>
      </c>
      <c r="E36" s="14">
        <v>7.4397298894525409E-7</v>
      </c>
      <c r="F36" s="14">
        <v>9.5935367257055966E-5</v>
      </c>
      <c r="G36" s="14">
        <v>4.4286799684796114E-5</v>
      </c>
      <c r="H36" s="14">
        <v>0</v>
      </c>
      <c r="I36" s="14">
        <v>9.6887069735462967E-7</v>
      </c>
      <c r="J36" s="14">
        <v>8.0199326015322519E-6</v>
      </c>
      <c r="K36" s="14">
        <v>0</v>
      </c>
    </row>
    <row r="37" spans="1:11">
      <c r="A37" s="2" t="s">
        <v>353</v>
      </c>
      <c r="B37" s="3" t="s">
        <v>354</v>
      </c>
      <c r="D37" s="14">
        <v>3.0464501034883995E-7</v>
      </c>
      <c r="E37" s="14">
        <v>1.1338906636856992E-7</v>
      </c>
      <c r="F37" s="14">
        <v>4.0263613981798445E-5</v>
      </c>
      <c r="G37" s="14">
        <v>1.0146314249840647E-4</v>
      </c>
      <c r="H37" s="14">
        <v>0</v>
      </c>
      <c r="I37" s="14">
        <v>2.2394987003296596E-6</v>
      </c>
      <c r="J37" s="14">
        <v>5.6157107427480068E-6</v>
      </c>
      <c r="K37" s="14">
        <v>0</v>
      </c>
    </row>
    <row r="38" spans="1:11">
      <c r="A38" s="2" t="s">
        <v>355</v>
      </c>
      <c r="B38" s="3" t="s">
        <v>356</v>
      </c>
      <c r="D38" s="14">
        <v>1.6873132989829848E-8</v>
      </c>
      <c r="E38" s="14">
        <v>4.097064862462808E-7</v>
      </c>
      <c r="F38" s="14">
        <v>7.6000143770854424E-5</v>
      </c>
      <c r="G38" s="14">
        <v>6.4522319180918718E-5</v>
      </c>
      <c r="H38" s="14">
        <v>0</v>
      </c>
      <c r="I38" s="14">
        <v>1.4160040419610392E-6</v>
      </c>
      <c r="J38" s="14">
        <v>7.6349533870296912E-6</v>
      </c>
      <c r="K38" s="14">
        <v>0</v>
      </c>
    </row>
    <row r="39" spans="1:11">
      <c r="A39" s="2" t="s">
        <v>357</v>
      </c>
      <c r="B39" s="3" t="s">
        <v>358</v>
      </c>
      <c r="D39" s="14">
        <v>3.4217713325174183E-6</v>
      </c>
      <c r="E39" s="14">
        <v>6.18483465145551E-7</v>
      </c>
      <c r="F39" s="14">
        <v>8.8485002561237508E-5</v>
      </c>
      <c r="G39" s="14">
        <v>4.8614432811292569E-5</v>
      </c>
      <c r="H39" s="14">
        <v>0</v>
      </c>
      <c r="I39" s="14">
        <v>1.064492685971662E-6</v>
      </c>
      <c r="J39" s="14">
        <v>7.7958171438352736E-6</v>
      </c>
      <c r="K39" s="14">
        <v>0</v>
      </c>
    </row>
    <row r="40" spans="1:11">
      <c r="A40" s="2" t="s">
        <v>359</v>
      </c>
      <c r="B40" s="3" t="s">
        <v>360</v>
      </c>
      <c r="D40" s="14">
        <v>1.6873132989829848E-8</v>
      </c>
      <c r="E40" s="14">
        <v>4.097064862462808E-7</v>
      </c>
      <c r="F40" s="14">
        <v>7.6000143770854424E-5</v>
      </c>
      <c r="G40" s="14">
        <v>6.4522319180918718E-5</v>
      </c>
      <c r="H40" s="14">
        <v>0</v>
      </c>
      <c r="I40" s="14">
        <v>1.4160040419610392E-6</v>
      </c>
      <c r="J40" s="14">
        <v>7.6349533870296912E-6</v>
      </c>
      <c r="K40" s="14">
        <v>0</v>
      </c>
    </row>
    <row r="41" spans="1:11">
      <c r="A41" s="2" t="s">
        <v>313</v>
      </c>
      <c r="B41" s="3" t="s">
        <v>314</v>
      </c>
      <c r="D41" s="14">
        <v>6.5475442423057915E-12</v>
      </c>
      <c r="E41" s="14">
        <v>1.4313741177203891E-4</v>
      </c>
      <c r="F41" s="14">
        <v>6.8314789474748447E-6</v>
      </c>
      <c r="G41" s="14">
        <v>1.6256808284415232E-9</v>
      </c>
      <c r="H41" s="14">
        <v>0</v>
      </c>
      <c r="I41" s="14">
        <v>1.806584192604465E-8</v>
      </c>
      <c r="J41" s="14">
        <v>1.1411210187473511E-8</v>
      </c>
      <c r="K41" s="14">
        <v>0</v>
      </c>
    </row>
    <row r="42" spans="1:11">
      <c r="A42" s="2" t="s">
        <v>315</v>
      </c>
      <c r="B42" s="3" t="s">
        <v>316</v>
      </c>
      <c r="D42" s="14">
        <v>4.3904556492659534E-7</v>
      </c>
      <c r="E42" s="14">
        <v>1.0303545764752717E-7</v>
      </c>
      <c r="F42" s="14">
        <v>3.820571034259802E-5</v>
      </c>
      <c r="G42" s="14">
        <v>1.0351989769306184E-4</v>
      </c>
      <c r="H42" s="14">
        <v>0</v>
      </c>
      <c r="I42" s="14">
        <v>2.2857764929816244E-6</v>
      </c>
      <c r="J42" s="14">
        <v>5.4465344487843727E-6</v>
      </c>
      <c r="K42" s="14">
        <v>0</v>
      </c>
    </row>
    <row r="43" spans="1:11">
      <c r="A43" s="2" t="s">
        <v>317</v>
      </c>
      <c r="B43" s="3" t="s">
        <v>318</v>
      </c>
      <c r="D43" s="14">
        <v>6.3776655741025656E-16</v>
      </c>
      <c r="E43" s="14">
        <v>6.5711117409286566E-5</v>
      </c>
      <c r="F43" s="14">
        <v>4.6696080254255683E-5</v>
      </c>
      <c r="G43" s="14">
        <v>1.1147461524991528E-5</v>
      </c>
      <c r="H43" s="14">
        <v>0</v>
      </c>
      <c r="I43" s="14">
        <v>2.4708353155973045E-7</v>
      </c>
      <c r="J43" s="14">
        <v>2.6198257279268699E-5</v>
      </c>
      <c r="K43" s="14">
        <v>0</v>
      </c>
    </row>
    <row r="44" spans="1:11">
      <c r="A44" s="2" t="s">
        <v>307</v>
      </c>
      <c r="B44" s="3" t="s">
        <v>308</v>
      </c>
      <c r="D44" s="14">
        <v>1.5015038435236814E-8</v>
      </c>
      <c r="E44" s="14">
        <v>1.1123553763439361E-6</v>
      </c>
      <c r="F44" s="14">
        <v>1.0872893460292921E-4</v>
      </c>
      <c r="G44" s="14">
        <v>3.1553002214180778E-5</v>
      </c>
      <c r="H44" s="14">
        <v>0</v>
      </c>
      <c r="I44" s="14">
        <v>6.8869125237447347E-7</v>
      </c>
      <c r="J44" s="14">
        <v>7.9020015157363262E-6</v>
      </c>
      <c r="K44" s="14">
        <v>0</v>
      </c>
    </row>
    <row r="45" spans="1:11">
      <c r="A45" s="2" t="s">
        <v>319</v>
      </c>
      <c r="B45" s="3" t="s">
        <v>320</v>
      </c>
      <c r="D45" s="14">
        <v>1.422001200436356E-9</v>
      </c>
      <c r="E45" s="14">
        <v>4.5805441449774982E-8</v>
      </c>
      <c r="F45" s="14">
        <v>2.4222482306033896E-5</v>
      </c>
      <c r="G45" s="14">
        <v>1.1896362866723722E-4</v>
      </c>
      <c r="H45" s="14">
        <v>0</v>
      </c>
      <c r="I45" s="14">
        <v>2.6351343161030546E-6</v>
      </c>
      <c r="J45" s="14">
        <v>4.1315272679756025E-6</v>
      </c>
      <c r="K45" s="14">
        <v>0</v>
      </c>
    </row>
    <row r="46" spans="1:11">
      <c r="A46" s="2" t="s">
        <v>321</v>
      </c>
      <c r="B46" s="3" t="s">
        <v>322</v>
      </c>
      <c r="D46" s="14">
        <v>2.1091862262125238E-9</v>
      </c>
      <c r="E46" s="14">
        <v>9.2094148453923644E-8</v>
      </c>
      <c r="F46" s="14">
        <v>3.5969434569906387E-5</v>
      </c>
      <c r="G46" s="14">
        <v>1.0632347595790052E-4</v>
      </c>
      <c r="H46" s="14">
        <v>0</v>
      </c>
      <c r="I46" s="14">
        <v>2.3487684871609214E-6</v>
      </c>
      <c r="J46" s="14">
        <v>5.26411765035199E-6</v>
      </c>
      <c r="K46" s="14">
        <v>0</v>
      </c>
    </row>
    <row r="47" spans="1:11">
      <c r="A47" s="2" t="s">
        <v>323</v>
      </c>
      <c r="B47" s="3" t="s">
        <v>324</v>
      </c>
      <c r="D47" s="14">
        <v>2.0063978379754758E-8</v>
      </c>
      <c r="E47" s="14">
        <v>2.0662085824937999E-7</v>
      </c>
      <c r="F47" s="14">
        <v>5.5136060902821125E-5</v>
      </c>
      <c r="G47" s="14">
        <v>8.6085754630235267E-5</v>
      </c>
      <c r="H47" s="14">
        <v>0</v>
      </c>
      <c r="I47" s="14">
        <v>1.895278958187927E-6</v>
      </c>
      <c r="J47" s="14">
        <v>6.6562206721265361E-6</v>
      </c>
      <c r="K47" s="14">
        <v>0</v>
      </c>
    </row>
    <row r="48" spans="1:11">
      <c r="A48" s="2" t="s">
        <v>325</v>
      </c>
      <c r="B48" s="3" t="s">
        <v>326</v>
      </c>
      <c r="D48" s="14">
        <v>1.3582207637723332E-8</v>
      </c>
      <c r="E48" s="14">
        <v>1.0223214554840044E-5</v>
      </c>
      <c r="F48" s="14">
        <v>1.0289376284939539E-4</v>
      </c>
      <c r="G48" s="14">
        <v>2.0206198038268719E-5</v>
      </c>
      <c r="H48" s="14">
        <v>0</v>
      </c>
      <c r="I48" s="14">
        <v>4.383798173974321E-7</v>
      </c>
      <c r="J48" s="14">
        <v>1.6224862532460683E-5</v>
      </c>
      <c r="K48" s="14">
        <v>0</v>
      </c>
    </row>
    <row r="49" spans="1:11">
      <c r="A49" s="2" t="s">
        <v>275</v>
      </c>
      <c r="B49" s="3" t="s">
        <v>276</v>
      </c>
      <c r="D49" s="14">
        <v>1.9298510043467968E-10</v>
      </c>
      <c r="E49" s="14">
        <v>1.0348583071614302E-6</v>
      </c>
      <c r="F49" s="14">
        <v>1.0654730387104128E-4</v>
      </c>
      <c r="G49" s="14">
        <v>3.3731683748483958E-5</v>
      </c>
      <c r="H49" s="14">
        <v>0</v>
      </c>
      <c r="I49" s="14">
        <v>7.3655943727706797E-7</v>
      </c>
      <c r="J49" s="14">
        <v>7.9494016509358142E-6</v>
      </c>
      <c r="K49" s="14">
        <v>0</v>
      </c>
    </row>
    <row r="50" spans="1:11">
      <c r="A50" s="2" t="s">
        <v>327</v>
      </c>
      <c r="B50" s="3" t="s">
        <v>328</v>
      </c>
      <c r="D50" s="14">
        <v>1.0056201859802591E-8</v>
      </c>
      <c r="E50" s="14">
        <v>9.1451554579127144E-7</v>
      </c>
      <c r="F50" s="14">
        <v>1.0267215243773451E-4</v>
      </c>
      <c r="G50" s="14">
        <v>3.7579259850396341E-5</v>
      </c>
      <c r="H50" s="14">
        <v>0</v>
      </c>
      <c r="I50" s="14">
        <v>8.211665908152311E-7</v>
      </c>
      <c r="J50" s="14">
        <v>8.0028493734027956E-6</v>
      </c>
      <c r="K50" s="14">
        <v>0</v>
      </c>
    </row>
    <row r="51" spans="1:11">
      <c r="A51" s="2" t="s">
        <v>329</v>
      </c>
      <c r="B51" s="3" t="s">
        <v>330</v>
      </c>
      <c r="D51" s="14">
        <v>6.9459469867229416E-9</v>
      </c>
      <c r="E51" s="14">
        <v>6.4134036456791424E-6</v>
      </c>
      <c r="F51" s="14">
        <v>1.0913150605156542E-4</v>
      </c>
      <c r="G51" s="14">
        <v>2.0617960536100792E-5</v>
      </c>
      <c r="H51" s="14">
        <v>0</v>
      </c>
      <c r="I51" s="14">
        <v>4.4753366983671292E-7</v>
      </c>
      <c r="J51" s="14">
        <v>1.3382650149831163E-5</v>
      </c>
      <c r="K51" s="14">
        <v>0</v>
      </c>
    </row>
    <row r="52" spans="1:11">
      <c r="A52" s="2" t="s">
        <v>277</v>
      </c>
      <c r="B52" s="3" t="s">
        <v>278</v>
      </c>
      <c r="D52" s="14">
        <v>2.1092741290570585E-8</v>
      </c>
      <c r="E52" s="14">
        <v>9.7865616420323855E-6</v>
      </c>
      <c r="F52" s="14">
        <v>1.0355038316419643E-4</v>
      </c>
      <c r="G52" s="14">
        <v>2.0260365023129066E-5</v>
      </c>
      <c r="H52" s="14">
        <v>0</v>
      </c>
      <c r="I52" s="14">
        <v>4.3956506979972914E-7</v>
      </c>
      <c r="J52" s="14">
        <v>1.5942032359551796E-5</v>
      </c>
      <c r="K52" s="14">
        <v>0</v>
      </c>
    </row>
    <row r="53" spans="1:11">
      <c r="A53" s="2" t="s">
        <v>331</v>
      </c>
      <c r="B53" s="3" t="s">
        <v>332</v>
      </c>
      <c r="D53" s="14">
        <v>6.7050208718972446E-9</v>
      </c>
      <c r="E53" s="14">
        <v>6.0715174015400874E-7</v>
      </c>
      <c r="F53" s="14">
        <v>8.9149480839149215E-5</v>
      </c>
      <c r="G53" s="14">
        <v>5.115809614479317E-5</v>
      </c>
      <c r="H53" s="14">
        <v>0</v>
      </c>
      <c r="I53" s="14">
        <v>1.1204405571132135E-6</v>
      </c>
      <c r="J53" s="14">
        <v>7.9581256979184713E-6</v>
      </c>
      <c r="K53" s="14">
        <v>0</v>
      </c>
    </row>
    <row r="54" spans="1:11">
      <c r="A54" s="2" t="s">
        <v>333</v>
      </c>
      <c r="B54" s="3" t="s">
        <v>334</v>
      </c>
      <c r="D54" s="14">
        <v>1.0944726633587846E-11</v>
      </c>
      <c r="E54" s="14">
        <v>9.7333430136195717E-7</v>
      </c>
      <c r="F54" s="14">
        <v>1.0464623385083772E-4</v>
      </c>
      <c r="G54" s="14">
        <v>3.5622070461215461E-5</v>
      </c>
      <c r="H54" s="14">
        <v>0</v>
      </c>
      <c r="I54" s="14">
        <v>7.7811730610518254E-7</v>
      </c>
      <c r="J54" s="14">
        <v>7.9802331357530427E-6</v>
      </c>
      <c r="K54" s="14">
        <v>0</v>
      </c>
    </row>
    <row r="55" spans="1:11">
      <c r="A55" s="2" t="s">
        <v>335</v>
      </c>
      <c r="B55" s="3" t="s">
        <v>336</v>
      </c>
      <c r="D55" s="14">
        <v>5.2147338032680853E-8</v>
      </c>
      <c r="E55" s="14">
        <v>2.138499996435697E-7</v>
      </c>
      <c r="F55" s="14">
        <v>5.6085529993250617E-5</v>
      </c>
      <c r="G55" s="14">
        <v>8.5064114131481349E-5</v>
      </c>
      <c r="H55" s="14">
        <v>0</v>
      </c>
      <c r="I55" s="14">
        <v>1.8724998488548078E-6</v>
      </c>
      <c r="J55" s="14">
        <v>6.7118586887369323E-6</v>
      </c>
      <c r="K55" s="14">
        <v>0</v>
      </c>
    </row>
    <row r="56" spans="1:11">
      <c r="A56" s="2" t="s">
        <v>337</v>
      </c>
      <c r="B56" s="3" t="s">
        <v>338</v>
      </c>
      <c r="D56" s="14">
        <v>3.8572165983114082E-9</v>
      </c>
      <c r="E56" s="14">
        <v>1.086103309202841E-6</v>
      </c>
      <c r="F56" s="14">
        <v>1.0801714922676829E-4</v>
      </c>
      <c r="G56" s="14">
        <v>3.2269205043555098E-5</v>
      </c>
      <c r="H56" s="14">
        <v>0</v>
      </c>
      <c r="I56" s="14">
        <v>7.0442364146806572E-7</v>
      </c>
      <c r="J56" s="14">
        <v>7.9192615624073719E-6</v>
      </c>
      <c r="K56" s="14">
        <v>0</v>
      </c>
    </row>
    <row r="57" spans="1:11">
      <c r="A57" s="2" t="s">
        <v>279</v>
      </c>
      <c r="B57" s="3" t="s">
        <v>280</v>
      </c>
      <c r="D57" s="14">
        <v>4.1248959148552755E-7</v>
      </c>
      <c r="E57" s="14">
        <v>1.2375709438592429E-5</v>
      </c>
      <c r="F57" s="14">
        <v>9.9456158052069565E-5</v>
      </c>
      <c r="G57" s="14">
        <v>1.9857621751484119E-5</v>
      </c>
      <c r="H57" s="14">
        <v>0</v>
      </c>
      <c r="I57" s="14">
        <v>4.3080661684660343E-7</v>
      </c>
      <c r="J57" s="14">
        <v>1.7467214549521724E-5</v>
      </c>
      <c r="K57" s="14">
        <v>0</v>
      </c>
    </row>
    <row r="58" spans="1:11">
      <c r="A58" s="2" t="s">
        <v>339</v>
      </c>
      <c r="B58" s="3" t="s">
        <v>340</v>
      </c>
      <c r="D58" s="14">
        <v>3.8361070287132493E-11</v>
      </c>
      <c r="E58" s="14">
        <v>9.6136393461392657E-7</v>
      </c>
      <c r="F58" s="14">
        <v>1.0425800250344167E-4</v>
      </c>
      <c r="G58" s="14">
        <v>3.6008493773666979E-5</v>
      </c>
      <c r="H58" s="14">
        <v>0</v>
      </c>
      <c r="I58" s="14">
        <v>7.8661499645406746E-7</v>
      </c>
      <c r="J58" s="14">
        <v>7.9854864307530455E-6</v>
      </c>
      <c r="K58" s="14">
        <v>0</v>
      </c>
    </row>
    <row r="59" spans="1:11">
      <c r="A59" s="2" t="s">
        <v>281</v>
      </c>
      <c r="B59" s="3" t="s">
        <v>282</v>
      </c>
      <c r="D59" s="14">
        <v>3.1928966078693846E-9</v>
      </c>
      <c r="E59" s="14">
        <v>9.7877296591660765E-6</v>
      </c>
      <c r="F59" s="14">
        <v>1.0356274180721731E-4</v>
      </c>
      <c r="G59" s="14">
        <v>2.0262783079066113E-5</v>
      </c>
      <c r="H59" s="14">
        <v>0</v>
      </c>
      <c r="I59" s="14">
        <v>4.3961753148665013E-7</v>
      </c>
      <c r="J59" s="14">
        <v>1.5943935026455953E-5</v>
      </c>
      <c r="K59" s="14">
        <v>0</v>
      </c>
    </row>
    <row r="60" spans="1:11">
      <c r="A60" s="2" t="s">
        <v>341</v>
      </c>
      <c r="B60" s="3" t="s">
        <v>342</v>
      </c>
      <c r="D60" s="14">
        <v>5.6140127769265035E-8</v>
      </c>
      <c r="E60" s="14">
        <v>6.8661060450967799E-7</v>
      </c>
      <c r="F60" s="14">
        <v>9.325928490170231E-5</v>
      </c>
      <c r="G60" s="14">
        <v>4.6966439347763483E-5</v>
      </c>
      <c r="H60" s="14">
        <v>0</v>
      </c>
      <c r="I60" s="14">
        <v>1.0279493154383304E-6</v>
      </c>
      <c r="J60" s="14">
        <v>8.0035757028169286E-6</v>
      </c>
      <c r="K60" s="14">
        <v>0</v>
      </c>
    </row>
    <row r="61" spans="1:11">
      <c r="A61" s="2" t="s">
        <v>483</v>
      </c>
      <c r="B61" s="3" t="s">
        <v>484</v>
      </c>
      <c r="D61" s="14">
        <v>1.0061689104111131E-17</v>
      </c>
      <c r="E61" s="14">
        <v>4.6962203599146144E-5</v>
      </c>
      <c r="F61" s="14">
        <v>7.5650599149578769E-5</v>
      </c>
      <c r="G61" s="14">
        <v>1.2604626147698911E-5</v>
      </c>
      <c r="H61" s="14">
        <v>0</v>
      </c>
      <c r="I61" s="14">
        <v>7.8584739651528692E-7</v>
      </c>
      <c r="J61" s="14">
        <v>1.3996723707050821E-5</v>
      </c>
      <c r="K61" s="14">
        <v>0</v>
      </c>
    </row>
    <row r="62" spans="1:11">
      <c r="A62" s="2" t="s">
        <v>485</v>
      </c>
      <c r="B62" s="3" t="s">
        <v>486</v>
      </c>
      <c r="D62" s="14">
        <v>2.928077953188322E-11</v>
      </c>
      <c r="E62" s="14">
        <v>3.4108274116281891E-5</v>
      </c>
      <c r="F62" s="14">
        <v>7.4679485789684678E-5</v>
      </c>
      <c r="G62" s="14">
        <v>1.6409557661231187E-5</v>
      </c>
      <c r="H62" s="14">
        <v>0</v>
      </c>
      <c r="I62" s="14">
        <v>3.5747002686492961E-7</v>
      </c>
      <c r="J62" s="14">
        <v>2.4445183125157752E-5</v>
      </c>
      <c r="K62" s="14">
        <v>0</v>
      </c>
    </row>
    <row r="63" spans="1:11">
      <c r="A63" s="2" t="s">
        <v>487</v>
      </c>
      <c r="B63" s="3" t="s">
        <v>488</v>
      </c>
      <c r="D63" s="14">
        <v>8.5499520075886222E-17</v>
      </c>
      <c r="E63" s="14">
        <v>1.4174099336580051E-4</v>
      </c>
      <c r="F63" s="14">
        <v>4.9028923403661857E-6</v>
      </c>
      <c r="G63" s="14">
        <v>6.4691781270099518E-7</v>
      </c>
      <c r="H63" s="14">
        <v>0</v>
      </c>
      <c r="I63" s="14">
        <v>1.1605907328825235E-7</v>
      </c>
      <c r="J63" s="14">
        <v>2.5931374077584888E-6</v>
      </c>
      <c r="K63" s="14">
        <v>0</v>
      </c>
    </row>
    <row r="64" spans="1:11">
      <c r="A64" s="2" t="s">
        <v>489</v>
      </c>
      <c r="B64" s="3" t="s">
        <v>490</v>
      </c>
      <c r="D64" s="14">
        <v>1.5423539457835143E-18</v>
      </c>
      <c r="E64" s="14">
        <v>1.4785480679904879E-4</v>
      </c>
      <c r="F64" s="14">
        <v>1.8287612990752649E-6</v>
      </c>
      <c r="G64" s="14">
        <v>2.2705673224871263E-8</v>
      </c>
      <c r="H64" s="14">
        <v>0</v>
      </c>
      <c r="I64" s="14">
        <v>1.8283822188983453E-8</v>
      </c>
      <c r="J64" s="14">
        <v>2.7544240646052898E-7</v>
      </c>
      <c r="K64" s="14">
        <v>0</v>
      </c>
    </row>
    <row r="65" spans="1:11">
      <c r="A65" s="2" t="s">
        <v>491</v>
      </c>
      <c r="B65" s="3" t="s">
        <v>492</v>
      </c>
      <c r="D65" s="14">
        <v>2.5686930652688337E-16</v>
      </c>
      <c r="E65" s="14">
        <v>1.4960132896608719E-4</v>
      </c>
      <c r="F65" s="14">
        <v>2.3942138110594412E-7</v>
      </c>
      <c r="G65" s="14">
        <v>1.0648941767817898E-8</v>
      </c>
      <c r="H65" s="14">
        <v>0</v>
      </c>
      <c r="I65" s="14">
        <v>2.5861628176367749E-8</v>
      </c>
      <c r="J65" s="14">
        <v>1.2273908260578878E-7</v>
      </c>
      <c r="K65" s="14">
        <v>0</v>
      </c>
    </row>
    <row r="66" spans="1:11">
      <c r="A66" s="2" t="s">
        <v>493</v>
      </c>
      <c r="B66" s="3" t="s">
        <v>494</v>
      </c>
      <c r="D66" s="14">
        <v>3.390736029121124E-15</v>
      </c>
      <c r="E66" s="14">
        <v>1.1690750854374163E-4</v>
      </c>
      <c r="F66" s="14">
        <v>3.0448759739889459E-5</v>
      </c>
      <c r="G66" s="14">
        <v>7.6310174418481308E-7</v>
      </c>
      <c r="H66" s="14">
        <v>0</v>
      </c>
      <c r="I66" s="14">
        <v>7.7451857241577087E-7</v>
      </c>
      <c r="J66" s="14">
        <v>1.1061113963775339E-6</v>
      </c>
      <c r="K66" s="14">
        <v>0</v>
      </c>
    </row>
    <row r="67" spans="1:11">
      <c r="A67" s="2" t="s">
        <v>495</v>
      </c>
      <c r="B67" s="3" t="s">
        <v>496</v>
      </c>
      <c r="D67" s="14">
        <v>2.0069918244358098E-16</v>
      </c>
      <c r="E67" s="14">
        <v>1.4962450015778558E-4</v>
      </c>
      <c r="F67" s="14">
        <v>2.019175357409845E-7</v>
      </c>
      <c r="G67" s="14">
        <v>1.1037963951239878E-8</v>
      </c>
      <c r="H67" s="14">
        <v>0</v>
      </c>
      <c r="I67" s="14">
        <v>2.4510558833838177E-8</v>
      </c>
      <c r="J67" s="14">
        <v>1.380337834876013E-7</v>
      </c>
      <c r="K67" s="14">
        <v>0</v>
      </c>
    </row>
    <row r="68" spans="1:11">
      <c r="A68" s="2" t="s">
        <v>497</v>
      </c>
      <c r="B68" s="3" t="s">
        <v>498</v>
      </c>
      <c r="D68" s="14">
        <v>1.8152960124921059E-15</v>
      </c>
      <c r="E68" s="14">
        <v>1.4989970880044355E-4</v>
      </c>
      <c r="F68" s="14">
        <v>2.4017562620352683E-8</v>
      </c>
      <c r="G68" s="14">
        <v>1.8530835789356218E-9</v>
      </c>
      <c r="H68" s="14">
        <v>0</v>
      </c>
      <c r="I68" s="14">
        <v>1.8641461084990104E-8</v>
      </c>
      <c r="J68" s="14">
        <v>5.577909045684654E-8</v>
      </c>
      <c r="K68" s="14">
        <v>0</v>
      </c>
    </row>
    <row r="69" spans="1:11">
      <c r="A69" s="2" t="s">
        <v>499</v>
      </c>
      <c r="B69" s="3" t="s">
        <v>500</v>
      </c>
      <c r="D69" s="14">
        <v>9.585025195514129E-16</v>
      </c>
      <c r="E69" s="14">
        <v>1.2268977465908999E-6</v>
      </c>
      <c r="F69" s="14">
        <v>1.1160970060477285E-4</v>
      </c>
      <c r="G69" s="14">
        <v>2.8714912583659787E-5</v>
      </c>
      <c r="H69" s="14">
        <v>0</v>
      </c>
      <c r="I69" s="14">
        <v>6.2637906009104652E-7</v>
      </c>
      <c r="J69" s="14">
        <v>7.8221100039268921E-6</v>
      </c>
      <c r="K69" s="14">
        <v>0</v>
      </c>
    </row>
    <row r="70" spans="1:11">
      <c r="A70" s="2" t="s">
        <v>501</v>
      </c>
      <c r="B70" s="3" t="s">
        <v>411</v>
      </c>
      <c r="D70" s="14">
        <v>3.2524299955594599E-17</v>
      </c>
      <c r="E70" s="14">
        <v>1.4544040247824533E-4</v>
      </c>
      <c r="F70" s="14">
        <v>4.5376045226742599E-6</v>
      </c>
      <c r="G70" s="14">
        <v>4.3124320614809217E-10</v>
      </c>
      <c r="H70" s="14">
        <v>0</v>
      </c>
      <c r="I70" s="14">
        <v>1.7965764089675574E-8</v>
      </c>
      <c r="J70" s="14">
        <v>3.5959917520341337E-9</v>
      </c>
      <c r="K70" s="14">
        <v>0</v>
      </c>
    </row>
    <row r="71" spans="1:11">
      <c r="A71" s="2" t="s">
        <v>502</v>
      </c>
      <c r="B71" s="3" t="s">
        <v>412</v>
      </c>
      <c r="D71" s="14">
        <v>1.4855667293178539E-12</v>
      </c>
      <c r="E71" s="14">
        <v>1.4151735688874481E-4</v>
      </c>
      <c r="F71" s="14">
        <v>8.4588492070408089E-6</v>
      </c>
      <c r="G71" s="14">
        <v>7.6873666787475538E-10</v>
      </c>
      <c r="H71" s="14">
        <v>0</v>
      </c>
      <c r="I71" s="14">
        <v>1.8097913246961551E-8</v>
      </c>
      <c r="J71" s="14">
        <v>4.9257687328134712E-9</v>
      </c>
      <c r="K71" s="14">
        <v>0</v>
      </c>
    </row>
    <row r="72" spans="1:11">
      <c r="A72" s="2" t="s">
        <v>503</v>
      </c>
      <c r="B72" s="3" t="s">
        <v>413</v>
      </c>
      <c r="D72" s="14">
        <v>2.010363583708969E-14</v>
      </c>
      <c r="E72" s="14">
        <v>5.8389094530696676E-7</v>
      </c>
      <c r="F72" s="14">
        <v>1.4920841424472848E-4</v>
      </c>
      <c r="G72" s="14">
        <v>6.8526361660599262E-8</v>
      </c>
      <c r="H72" s="14">
        <v>0</v>
      </c>
      <c r="I72" s="14">
        <v>1.3359459337483588E-7</v>
      </c>
      <c r="J72" s="14">
        <v>5.573834825433986E-9</v>
      </c>
      <c r="K72" s="14">
        <v>0</v>
      </c>
    </row>
    <row r="73" spans="1:11">
      <c r="A73" s="2" t="s">
        <v>504</v>
      </c>
      <c r="B73" s="3" t="s">
        <v>414</v>
      </c>
      <c r="D73" s="14">
        <v>2.6267189497753387E-14</v>
      </c>
      <c r="E73" s="14">
        <v>5.4161506902672605E-6</v>
      </c>
      <c r="F73" s="14">
        <v>1.4455473213701461E-4</v>
      </c>
      <c r="G73" s="14">
        <v>8.3559661593391624E-9</v>
      </c>
      <c r="H73" s="14">
        <v>0</v>
      </c>
      <c r="I73" s="14">
        <v>1.6241652168136307E-8</v>
      </c>
      <c r="J73" s="14">
        <v>4.5195281234263284E-9</v>
      </c>
      <c r="K73" s="14">
        <v>0</v>
      </c>
    </row>
    <row r="74" spans="1:11">
      <c r="A74" s="2" t="s">
        <v>505</v>
      </c>
      <c r="B74" s="3" t="s">
        <v>415</v>
      </c>
      <c r="D74" s="14">
        <v>1.8365017155598544E-13</v>
      </c>
      <c r="E74" s="14">
        <v>1.4228151148351504E-4</v>
      </c>
      <c r="F74" s="14">
        <v>7.6950251653046512E-6</v>
      </c>
      <c r="G74" s="14">
        <v>7.0238366630800447E-10</v>
      </c>
      <c r="H74" s="14">
        <v>0</v>
      </c>
      <c r="I74" s="14">
        <v>1.8074044263543404E-8</v>
      </c>
      <c r="J74" s="14">
        <v>4.6867396002579635E-9</v>
      </c>
      <c r="K74" s="14">
        <v>0</v>
      </c>
    </row>
    <row r="75" spans="1:11">
      <c r="A75" s="2" t="s">
        <v>506</v>
      </c>
      <c r="B75" s="3" t="s">
        <v>416</v>
      </c>
      <c r="D75" s="14">
        <v>1.1272540755103641E-13</v>
      </c>
      <c r="E75" s="14">
        <v>6.407947514186655E-6</v>
      </c>
      <c r="F75" s="14">
        <v>1.4356233725860393E-4</v>
      </c>
      <c r="G75" s="14">
        <v>8.4062998949847533E-9</v>
      </c>
      <c r="H75" s="14">
        <v>0</v>
      </c>
      <c r="I75" s="14">
        <v>1.6427898964627091E-8</v>
      </c>
      <c r="J75" s="14">
        <v>4.8809156243779271E-9</v>
      </c>
      <c r="K75" s="14">
        <v>0</v>
      </c>
    </row>
    <row r="76" spans="1:11">
      <c r="A76" s="2" t="s">
        <v>507</v>
      </c>
      <c r="B76" s="3" t="s">
        <v>417</v>
      </c>
      <c r="D76" s="14">
        <v>2.6041252010134895E-12</v>
      </c>
      <c r="E76" s="14">
        <v>6.719228412282244E-5</v>
      </c>
      <c r="F76" s="14">
        <v>8.2771529229770777E-5</v>
      </c>
      <c r="G76" s="14">
        <v>6.0193180726425378E-9</v>
      </c>
      <c r="H76" s="14">
        <v>0</v>
      </c>
      <c r="I76" s="14">
        <v>1.8844795929387249E-8</v>
      </c>
      <c r="J76" s="14">
        <v>1.1319929279516123E-8</v>
      </c>
      <c r="K76" s="14">
        <v>0</v>
      </c>
    </row>
    <row r="77" spans="1:11">
      <c r="A77" s="2" t="s">
        <v>508</v>
      </c>
      <c r="B77" s="3" t="s">
        <v>418</v>
      </c>
      <c r="D77" s="14">
        <v>8.1322172894357582E-13</v>
      </c>
      <c r="E77" s="14">
        <v>5.6833776957628867E-6</v>
      </c>
      <c r="F77" s="14">
        <v>1.4428729542053699E-4</v>
      </c>
      <c r="G77" s="14">
        <v>8.3964248792082455E-9</v>
      </c>
      <c r="H77" s="14">
        <v>0</v>
      </c>
      <c r="I77" s="14">
        <v>1.6295274282521413E-8</v>
      </c>
      <c r="J77" s="14">
        <v>4.6343713166361527E-9</v>
      </c>
      <c r="K77" s="14">
        <v>0</v>
      </c>
    </row>
    <row r="78" spans="1:11">
      <c r="A78" s="2" t="s">
        <v>509</v>
      </c>
      <c r="B78" s="3" t="s">
        <v>419</v>
      </c>
      <c r="D78" s="14">
        <v>8.0832254514101049E-14</v>
      </c>
      <c r="E78" s="14">
        <v>6.4768199430864427E-7</v>
      </c>
      <c r="F78" s="14">
        <v>1.4917752519411396E-4</v>
      </c>
      <c r="G78" s="14">
        <v>5.7566225854740037E-8</v>
      </c>
      <c r="H78" s="14">
        <v>0</v>
      </c>
      <c r="I78" s="14">
        <v>1.1193883690297073E-7</v>
      </c>
      <c r="J78" s="14">
        <v>5.2876679873949114E-9</v>
      </c>
      <c r="K78" s="14">
        <v>0</v>
      </c>
    </row>
    <row r="79" spans="1:11">
      <c r="A79" s="2" t="s">
        <v>510</v>
      </c>
      <c r="B79" s="3" t="s">
        <v>420</v>
      </c>
      <c r="D79" s="14">
        <v>2.0304146734569355E-18</v>
      </c>
      <c r="E79" s="14">
        <v>6.4768203844854589E-7</v>
      </c>
      <c r="F79" s="14">
        <v>1.4917753536064843E-4</v>
      </c>
      <c r="G79" s="14">
        <v>5.7557119595102974E-8</v>
      </c>
      <c r="H79" s="14">
        <v>0</v>
      </c>
      <c r="I79" s="14">
        <v>1.1193864976169174E-7</v>
      </c>
      <c r="J79" s="14">
        <v>5.2868315442053009E-9</v>
      </c>
      <c r="K79" s="14">
        <v>0</v>
      </c>
    </row>
    <row r="80" spans="1:11">
      <c r="A80" s="2" t="s">
        <v>511</v>
      </c>
      <c r="B80" s="3" t="s">
        <v>421</v>
      </c>
      <c r="D80" s="14">
        <v>2.2895436011206391E-13</v>
      </c>
      <c r="E80" s="14">
        <v>2.5006104987604538E-5</v>
      </c>
      <c r="F80" s="14">
        <v>1.2495902402469205E-4</v>
      </c>
      <c r="G80" s="14">
        <v>8.1720682255245592E-9</v>
      </c>
      <c r="H80" s="14">
        <v>0</v>
      </c>
      <c r="I80" s="14">
        <v>1.7984472841286652E-8</v>
      </c>
      <c r="J80" s="14">
        <v>8.7142176822157238E-9</v>
      </c>
      <c r="K80" s="14">
        <v>0</v>
      </c>
    </row>
    <row r="81" spans="1:11">
      <c r="A81" s="2" t="s">
        <v>512</v>
      </c>
      <c r="B81" s="3" t="s">
        <v>422</v>
      </c>
      <c r="D81" s="14">
        <v>2.9933788710558172E-13</v>
      </c>
      <c r="E81" s="14">
        <v>1.2070321018040971E-4</v>
      </c>
      <c r="F81" s="14">
        <v>2.926714740586685E-5</v>
      </c>
      <c r="G81" s="14">
        <v>2.3919095572599964E-9</v>
      </c>
      <c r="H81" s="14">
        <v>0</v>
      </c>
      <c r="I81" s="14">
        <v>1.8559776647411124E-8</v>
      </c>
      <c r="J81" s="14">
        <v>8.6904281808457739E-9</v>
      </c>
      <c r="K81" s="14">
        <v>0</v>
      </c>
    </row>
    <row r="82" spans="1:11">
      <c r="A82" s="2" t="s">
        <v>513</v>
      </c>
      <c r="B82" s="3" t="s">
        <v>423</v>
      </c>
      <c r="D82" s="14">
        <v>7.5360038534700432E-17</v>
      </c>
      <c r="E82" s="14">
        <v>9.127634093640656E-5</v>
      </c>
      <c r="F82" s="14">
        <v>5.8689417106584576E-5</v>
      </c>
      <c r="G82" s="14">
        <v>4.4632932327179074E-9</v>
      </c>
      <c r="H82" s="14">
        <v>0</v>
      </c>
      <c r="I82" s="14">
        <v>1.8855414514322676E-8</v>
      </c>
      <c r="J82" s="14">
        <v>1.0923249186460386E-8</v>
      </c>
      <c r="K82" s="14">
        <v>0</v>
      </c>
    </row>
    <row r="83" spans="1:11">
      <c r="A83" s="2" t="s">
        <v>514</v>
      </c>
      <c r="B83" s="3" t="s">
        <v>424</v>
      </c>
      <c r="D83" s="14">
        <v>2.8922003500876721E-14</v>
      </c>
      <c r="E83" s="14">
        <v>4.3883929239062878E-7</v>
      </c>
      <c r="F83" s="14">
        <v>1.492268873794329E-4</v>
      </c>
      <c r="G83" s="14">
        <v>1.1061434184245215E-7</v>
      </c>
      <c r="H83" s="14">
        <v>0</v>
      </c>
      <c r="I83" s="14">
        <v>2.1721863127746355E-7</v>
      </c>
      <c r="J83" s="14">
        <v>6.4403261345266683E-9</v>
      </c>
      <c r="K83" s="14">
        <v>0</v>
      </c>
    </row>
    <row r="84" spans="1:11">
      <c r="A84" s="2" t="s">
        <v>403</v>
      </c>
      <c r="B84" s="3" t="s">
        <v>404</v>
      </c>
      <c r="D84" s="14">
        <v>6.4648467367598194E-48</v>
      </c>
      <c r="E84" s="14">
        <v>5.2785585536731911E-5</v>
      </c>
      <c r="F84" s="14">
        <v>5.7382163392035159E-5</v>
      </c>
      <c r="G84" s="14">
        <v>1.3276159858953094E-5</v>
      </c>
      <c r="H84" s="14">
        <v>0</v>
      </c>
      <c r="I84" s="14">
        <v>2.9160594733913179E-7</v>
      </c>
      <c r="J84" s="14">
        <v>2.6264485264940676E-5</v>
      </c>
      <c r="K84" s="14">
        <v>0</v>
      </c>
    </row>
    <row r="85" spans="1:11">
      <c r="A85" s="2" t="s">
        <v>405</v>
      </c>
      <c r="B85" s="3" t="s">
        <v>406</v>
      </c>
      <c r="D85" s="14">
        <v>1.7061185692266939E-12</v>
      </c>
      <c r="E85" s="14">
        <v>8.0047485396558286E-6</v>
      </c>
      <c r="F85" s="14">
        <v>1.2581156923328955E-4</v>
      </c>
      <c r="G85" s="14">
        <v>6.5772503330158148E-6</v>
      </c>
      <c r="H85" s="14">
        <v>0</v>
      </c>
      <c r="I85" s="14">
        <v>8.5623333215149056E-6</v>
      </c>
      <c r="J85" s="14">
        <v>1.0440968664053097E-6</v>
      </c>
      <c r="K85" s="14">
        <v>0</v>
      </c>
    </row>
    <row r="86" spans="1:11">
      <c r="A86" s="2" t="s">
        <v>407</v>
      </c>
      <c r="B86" s="3" t="s">
        <v>408</v>
      </c>
      <c r="D86" s="14">
        <v>3.1681957961638231E-9</v>
      </c>
      <c r="E86" s="14">
        <v>5.6160261761660015E-8</v>
      </c>
      <c r="F86" s="14">
        <v>2.7235208080634875E-5</v>
      </c>
      <c r="G86" s="14">
        <v>1.1569810694157284E-4</v>
      </c>
      <c r="H86" s="14">
        <v>0</v>
      </c>
      <c r="I86" s="14">
        <v>2.5608117049376936E-6</v>
      </c>
      <c r="J86" s="14">
        <v>4.4465448152967615E-6</v>
      </c>
      <c r="K86" s="14">
        <v>0</v>
      </c>
    </row>
    <row r="87" spans="1:11">
      <c r="A87" s="2" t="s">
        <v>409</v>
      </c>
      <c r="B87" s="3" t="s">
        <v>410</v>
      </c>
      <c r="D87" s="14">
        <v>3.8905157303062762E-10</v>
      </c>
      <c r="E87" s="14">
        <v>1.9300310041613637E-8</v>
      </c>
      <c r="F87" s="14">
        <v>1.4555457480195714E-5</v>
      </c>
      <c r="G87" s="14">
        <v>1.2957505901191294E-4</v>
      </c>
      <c r="H87" s="14">
        <v>0</v>
      </c>
      <c r="I87" s="14">
        <v>2.8793743126737011E-6</v>
      </c>
      <c r="J87" s="14">
        <v>2.9704198336029856E-6</v>
      </c>
      <c r="K87" s="14">
        <v>0</v>
      </c>
    </row>
    <row r="88" spans="1:11">
      <c r="A88" s="2" t="s">
        <v>301</v>
      </c>
      <c r="B88" s="3" t="s">
        <v>302</v>
      </c>
      <c r="D88" s="14">
        <v>4.7723955585971799E-11</v>
      </c>
      <c r="E88" s="14">
        <v>5.3803873489196867E-9</v>
      </c>
      <c r="F88" s="14">
        <v>6.7043258970644649E-6</v>
      </c>
      <c r="G88" s="14">
        <v>1.3843651969034488E-4</v>
      </c>
      <c r="H88" s="14">
        <v>0</v>
      </c>
      <c r="I88" s="14">
        <v>3.0903414999553928E-6</v>
      </c>
      <c r="J88" s="14">
        <v>1.763384801330731E-6</v>
      </c>
      <c r="K88" s="14">
        <v>0</v>
      </c>
    </row>
    <row r="89" spans="1:11">
      <c r="A89" s="2" t="s">
        <v>303</v>
      </c>
      <c r="B89" s="3" t="s">
        <v>304</v>
      </c>
      <c r="D89" s="14">
        <v>2.5774280093434769E-17</v>
      </c>
      <c r="E89" s="14">
        <v>2.5469351039690607E-7</v>
      </c>
      <c r="F89" s="14">
        <v>2.9109049309911814E-5</v>
      </c>
      <c r="G89" s="14">
        <v>7.570666193700942E-5</v>
      </c>
      <c r="H89" s="14">
        <v>0</v>
      </c>
      <c r="I89" s="14">
        <v>4.3582400068687621E-5</v>
      </c>
      <c r="J89" s="14">
        <v>1.3471951739684343E-6</v>
      </c>
      <c r="K89" s="14">
        <v>0</v>
      </c>
    </row>
    <row r="90" spans="1:11">
      <c r="A90" s="2" t="s">
        <v>425</v>
      </c>
      <c r="B90" s="3" t="s">
        <v>426</v>
      </c>
      <c r="D90" s="14">
        <v>1.8968216266788443E-17</v>
      </c>
      <c r="E90" s="14">
        <v>1.4818206299693881E-4</v>
      </c>
      <c r="F90" s="14">
        <v>1.3948811682842237E-7</v>
      </c>
      <c r="G90" s="14">
        <v>4.6834134415771493E-8</v>
      </c>
      <c r="H90" s="14">
        <v>0</v>
      </c>
      <c r="I90" s="14">
        <v>1.8523563655520059E-8</v>
      </c>
      <c r="J90" s="14">
        <v>1.6130911881424674E-6</v>
      </c>
      <c r="K90" s="14">
        <v>0</v>
      </c>
    </row>
    <row r="91" spans="1:11">
      <c r="A91" s="2" t="s">
        <v>427</v>
      </c>
      <c r="B91" s="3" t="s">
        <v>428</v>
      </c>
      <c r="D91" s="14">
        <v>1.096455507471351E-8</v>
      </c>
      <c r="E91" s="14">
        <v>1.2254853485024173E-4</v>
      </c>
      <c r="F91" s="14">
        <v>9.4061022973540943E-6</v>
      </c>
      <c r="G91" s="14">
        <v>2.6454846931564527E-6</v>
      </c>
      <c r="H91" s="14">
        <v>0</v>
      </c>
      <c r="I91" s="14">
        <v>7.0927410099760234E-8</v>
      </c>
      <c r="J91" s="14">
        <v>1.5317986194073242E-5</v>
      </c>
      <c r="K91" s="14">
        <v>0</v>
      </c>
    </row>
    <row r="92" spans="1:11">
      <c r="A92" s="2" t="s">
        <v>429</v>
      </c>
      <c r="B92" s="3" t="s">
        <v>430</v>
      </c>
      <c r="D92" s="14">
        <v>7.0708607972664217E-8</v>
      </c>
      <c r="E92" s="14">
        <v>2.2825978162437248E-5</v>
      </c>
      <c r="F92" s="14">
        <v>8.6634519650176443E-5</v>
      </c>
      <c r="G92" s="14">
        <v>1.8280435049536907E-5</v>
      </c>
      <c r="H92" s="14">
        <v>0</v>
      </c>
      <c r="I92" s="14">
        <v>3.9706815301252091E-7</v>
      </c>
      <c r="J92" s="14">
        <v>2.1791290376864195E-5</v>
      </c>
      <c r="K92" s="14">
        <v>0</v>
      </c>
    </row>
    <row r="93" spans="1:11">
      <c r="A93" s="2" t="s">
        <v>431</v>
      </c>
      <c r="B93" s="3" t="s">
        <v>432</v>
      </c>
      <c r="D93" s="14">
        <v>1.4062373952440766E-21</v>
      </c>
      <c r="E93" s="14">
        <v>1.4931774437556782E-4</v>
      </c>
      <c r="F93" s="14">
        <v>6.5424889090648579E-7</v>
      </c>
      <c r="G93" s="14">
        <v>5.2416125613908797E-10</v>
      </c>
      <c r="H93" s="14">
        <v>0</v>
      </c>
      <c r="I93" s="14">
        <v>1.7800655670879771E-8</v>
      </c>
      <c r="J93" s="14">
        <v>9.6819165986362821E-9</v>
      </c>
      <c r="K93" s="14">
        <v>0</v>
      </c>
    </row>
    <row r="94" spans="1:11">
      <c r="A94" s="2" t="s">
        <v>433</v>
      </c>
      <c r="B94" s="3" t="s">
        <v>434</v>
      </c>
      <c r="D94" s="14">
        <v>2.9719691997270447E-22</v>
      </c>
      <c r="E94" s="14">
        <v>1.4997933177006415E-4</v>
      </c>
      <c r="F94" s="14">
        <v>2.5460269057410404E-9</v>
      </c>
      <c r="G94" s="14">
        <v>3.552700773981109E-12</v>
      </c>
      <c r="H94" s="14">
        <v>0</v>
      </c>
      <c r="I94" s="14">
        <v>1.7873712958767964E-8</v>
      </c>
      <c r="J94" s="14">
        <v>2.4493737056835684E-10</v>
      </c>
      <c r="K94" s="14">
        <v>0</v>
      </c>
    </row>
    <row r="95" spans="1:11">
      <c r="A95" s="2" t="s">
        <v>435</v>
      </c>
      <c r="B95" s="3" t="s">
        <v>436</v>
      </c>
      <c r="D95" s="14">
        <v>1.6445030535174428E-12</v>
      </c>
      <c r="E95" s="14">
        <v>1.4540528638857817E-4</v>
      </c>
      <c r="F95" s="14">
        <v>5.7999541542999463E-7</v>
      </c>
      <c r="G95" s="14">
        <v>2.0116656811606031E-7</v>
      </c>
      <c r="H95" s="14">
        <v>0</v>
      </c>
      <c r="I95" s="14">
        <v>2.1690564940936077E-8</v>
      </c>
      <c r="J95" s="14">
        <v>3.7918594184317632E-6</v>
      </c>
      <c r="K95" s="14">
        <v>0</v>
      </c>
    </row>
    <row r="96" spans="1:11">
      <c r="A96" s="2" t="s">
        <v>437</v>
      </c>
      <c r="B96" s="165" t="s">
        <v>438</v>
      </c>
      <c r="D96" s="14">
        <v>5.9407389122227876E-12</v>
      </c>
      <c r="E96" s="14">
        <v>8.1959174614418664E-8</v>
      </c>
      <c r="F96" s="14">
        <v>3.3717793801112477E-5</v>
      </c>
      <c r="G96" s="14">
        <v>1.0873133136588486E-4</v>
      </c>
      <c r="H96" s="14">
        <v>0</v>
      </c>
      <c r="I96" s="14">
        <v>2.4030737108791529E-6</v>
      </c>
      <c r="J96" s="14">
        <v>5.0658360067701641E-6</v>
      </c>
      <c r="K96" s="14">
        <v>0</v>
      </c>
    </row>
    <row r="97" spans="1:11">
      <c r="A97" s="2" t="s">
        <v>439</v>
      </c>
      <c r="B97" s="3" t="s">
        <v>440</v>
      </c>
      <c r="D97" s="14">
        <v>5.5132721288456634E-9</v>
      </c>
      <c r="E97" s="14">
        <v>1.0661211013746638E-4</v>
      </c>
      <c r="F97" s="14">
        <v>1.8214955459275485E-5</v>
      </c>
      <c r="G97" s="14">
        <v>4.8297390772565695E-6</v>
      </c>
      <c r="H97" s="14">
        <v>0</v>
      </c>
      <c r="I97" s="14">
        <v>1.1586906571827159E-7</v>
      </c>
      <c r="J97" s="14">
        <v>2.022181298815443E-5</v>
      </c>
      <c r="K97" s="14">
        <v>0</v>
      </c>
    </row>
    <row r="98" spans="1:11">
      <c r="A98" s="2" t="s">
        <v>441</v>
      </c>
      <c r="B98" s="3" t="s">
        <v>442</v>
      </c>
      <c r="D98" s="14">
        <v>3.6416287267904607E-21</v>
      </c>
      <c r="E98" s="14">
        <v>1.2001976616408371E-4</v>
      </c>
      <c r="F98" s="14">
        <v>1.070321749521337E-5</v>
      </c>
      <c r="G98" s="14">
        <v>2.9772129953201271E-6</v>
      </c>
      <c r="H98" s="14">
        <v>0</v>
      </c>
      <c r="I98" s="14">
        <v>7.7731267885539686E-8</v>
      </c>
      <c r="J98" s="14">
        <v>1.6222072077497225E-5</v>
      </c>
      <c r="K98" s="14">
        <v>0</v>
      </c>
    </row>
    <row r="99" spans="1:11">
      <c r="A99" s="2" t="s">
        <v>443</v>
      </c>
      <c r="B99" s="3" t="s">
        <v>444</v>
      </c>
      <c r="D99" s="14">
        <v>5.257556010667092E-33</v>
      </c>
      <c r="E99" s="14">
        <v>1.3889960735674015E-4</v>
      </c>
      <c r="F99" s="14">
        <v>2.3779493085482745E-6</v>
      </c>
      <c r="G99" s="14">
        <v>7.4696137933957369E-7</v>
      </c>
      <c r="H99" s="14">
        <v>0</v>
      </c>
      <c r="I99" s="14">
        <v>3.2298950180797417E-8</v>
      </c>
      <c r="J99" s="14">
        <v>7.9431830051911674E-6</v>
      </c>
      <c r="K99" s="14">
        <v>0</v>
      </c>
    </row>
    <row r="100" spans="1:11">
      <c r="A100" s="2" t="s">
        <v>445</v>
      </c>
      <c r="B100" s="3" t="s">
        <v>446</v>
      </c>
      <c r="D100" s="14">
        <v>6.2792225879244711E-12</v>
      </c>
      <c r="E100" s="14">
        <v>5.4240413079230693E-7</v>
      </c>
      <c r="F100" s="14">
        <v>8.5354134450936993E-5</v>
      </c>
      <c r="G100" s="14">
        <v>5.5007273355905569E-5</v>
      </c>
      <c r="H100" s="14">
        <v>0</v>
      </c>
      <c r="I100" s="14">
        <v>1.205463492471818E-6</v>
      </c>
      <c r="J100" s="14">
        <v>7.8907182906706855E-6</v>
      </c>
      <c r="K100" s="14">
        <v>0</v>
      </c>
    </row>
    <row r="101" spans="1:11">
      <c r="A101" s="2" t="s">
        <v>447</v>
      </c>
      <c r="B101" s="3" t="s">
        <v>448</v>
      </c>
      <c r="D101" s="14">
        <v>6.312478160603442E-13</v>
      </c>
      <c r="E101" s="14">
        <v>3.2381502683112536E-5</v>
      </c>
      <c r="F101" s="14">
        <v>7.642203056829393E-5</v>
      </c>
      <c r="G101" s="14">
        <v>1.6699909909551165E-5</v>
      </c>
      <c r="H101" s="14">
        <v>0</v>
      </c>
      <c r="I101" s="14">
        <v>3.635986556110638E-7</v>
      </c>
      <c r="J101" s="14">
        <v>2.4132957552183458E-5</v>
      </c>
      <c r="K101" s="14">
        <v>0</v>
      </c>
    </row>
    <row r="102" spans="1:11">
      <c r="A102" s="2" t="s">
        <v>449</v>
      </c>
      <c r="B102" s="3" t="s">
        <v>450</v>
      </c>
      <c r="D102" s="14">
        <v>2.5788661822118209E-8</v>
      </c>
      <c r="E102" s="14">
        <v>6.5591251447857808E-6</v>
      </c>
      <c r="F102" s="14">
        <v>1.0885477674553103E-4</v>
      </c>
      <c r="G102" s="14">
        <v>2.0603597008183347E-5</v>
      </c>
      <c r="H102" s="14">
        <v>0</v>
      </c>
      <c r="I102" s="14">
        <v>4.472064710471709E-7</v>
      </c>
      <c r="J102" s="14">
        <v>1.3509505968630511E-5</v>
      </c>
      <c r="K102" s="14">
        <v>0</v>
      </c>
    </row>
    <row r="103" spans="1:11">
      <c r="A103" s="2" t="s">
        <v>451</v>
      </c>
      <c r="B103" s="3" t="s">
        <v>452</v>
      </c>
      <c r="D103" s="14">
        <v>5.134327649219455E-23</v>
      </c>
      <c r="E103" s="14">
        <v>1.3421404920542371E-4</v>
      </c>
      <c r="F103" s="14">
        <v>1.5758669721524126E-5</v>
      </c>
      <c r="G103" s="14">
        <v>1.5293073000573167E-9</v>
      </c>
      <c r="H103" s="14">
        <v>0</v>
      </c>
      <c r="I103" s="14">
        <v>1.8297734962095531E-8</v>
      </c>
      <c r="J103" s="14">
        <v>7.4540307899828891E-9</v>
      </c>
      <c r="K103" s="14">
        <v>0</v>
      </c>
    </row>
    <row r="104" spans="1:11">
      <c r="A104" s="2" t="s">
        <v>453</v>
      </c>
      <c r="B104" s="3" t="s">
        <v>454</v>
      </c>
      <c r="D104" s="14">
        <v>1.3174452073517774E-24</v>
      </c>
      <c r="E104" s="14">
        <v>1.6666146571483135E-6</v>
      </c>
      <c r="F104" s="14">
        <v>1.4810740450936025E-4</v>
      </c>
      <c r="G104" s="14">
        <v>1.5683479536137717E-7</v>
      </c>
      <c r="H104" s="14">
        <v>0</v>
      </c>
      <c r="I104" s="14">
        <v>2.523852475227181E-8</v>
      </c>
      <c r="J104" s="14">
        <v>4.3907513377754856E-8</v>
      </c>
      <c r="K104" s="14">
        <v>0</v>
      </c>
    </row>
    <row r="105" spans="1:11">
      <c r="A105" s="2" t="s">
        <v>455</v>
      </c>
      <c r="B105" s="165">
        <v>354656</v>
      </c>
      <c r="D105" s="14">
        <v>4.3760183991148141E-14</v>
      </c>
      <c r="E105" s="14">
        <v>1.4783465404437411E-4</v>
      </c>
      <c r="F105" s="14">
        <v>1.5000226734793804E-7</v>
      </c>
      <c r="G105" s="14">
        <v>5.8022091423464673E-8</v>
      </c>
      <c r="H105" s="14">
        <v>0</v>
      </c>
      <c r="I105" s="14">
        <v>1.8714449635864142E-8</v>
      </c>
      <c r="J105" s="14">
        <v>1.9386071034583952E-6</v>
      </c>
      <c r="K105" s="14">
        <v>0</v>
      </c>
    </row>
    <row r="106" spans="1:11">
      <c r="A106" s="2" t="s">
        <v>457</v>
      </c>
      <c r="B106" s="3" t="s">
        <v>458</v>
      </c>
      <c r="D106" s="14">
        <v>6.6031725384348743E-14</v>
      </c>
      <c r="E106" s="14">
        <v>1.4515568335069843E-4</v>
      </c>
      <c r="F106" s="14">
        <v>6.2964658860968149E-7</v>
      </c>
      <c r="G106" s="14">
        <v>2.1740641391167037E-7</v>
      </c>
      <c r="H106" s="14">
        <v>0</v>
      </c>
      <c r="I106" s="14">
        <v>2.1973974496525311E-8</v>
      </c>
      <c r="J106" s="14">
        <v>3.9752896062519343E-6</v>
      </c>
      <c r="K106" s="14">
        <v>0</v>
      </c>
    </row>
    <row r="107" spans="1:11">
      <c r="A107" s="2" t="s">
        <v>459</v>
      </c>
      <c r="B107" s="3" t="s">
        <v>460</v>
      </c>
      <c r="D107" s="14">
        <v>5.8344197813593753E-24</v>
      </c>
      <c r="E107" s="14">
        <v>3.4140259443801648E-6</v>
      </c>
      <c r="F107" s="14">
        <v>1.1626406026084343E-4</v>
      </c>
      <c r="G107" s="14">
        <v>2.0348559876817328E-5</v>
      </c>
      <c r="H107" s="14">
        <v>0</v>
      </c>
      <c r="I107" s="14">
        <v>5.1903824124941853E-7</v>
      </c>
      <c r="J107" s="14">
        <v>9.4543156767096391E-6</v>
      </c>
      <c r="K107" s="14">
        <v>0</v>
      </c>
    </row>
    <row r="108" spans="1:11">
      <c r="A108" s="2" t="s">
        <v>461</v>
      </c>
      <c r="B108" s="3" t="s">
        <v>462</v>
      </c>
      <c r="D108" s="14">
        <v>1.2840941131789607E-13</v>
      </c>
      <c r="E108" s="14">
        <v>1.4997731328337418E-4</v>
      </c>
      <c r="F108" s="14">
        <v>1.3188272585589363E-9</v>
      </c>
      <c r="G108" s="14">
        <v>3.8225176253853614E-11</v>
      </c>
      <c r="H108" s="14">
        <v>0</v>
      </c>
      <c r="I108" s="14">
        <v>1.7811940117200086E-8</v>
      </c>
      <c r="J108" s="14">
        <v>3.5175956643722766E-9</v>
      </c>
      <c r="K108" s="14">
        <v>0</v>
      </c>
    </row>
    <row r="109" spans="1:11">
      <c r="A109" s="2" t="s">
        <v>463</v>
      </c>
      <c r="B109" s="3" t="s">
        <v>464</v>
      </c>
      <c r="D109" s="14">
        <v>3.3098454566523824E-16</v>
      </c>
      <c r="E109" s="14">
        <v>1.3942448585960033E-4</v>
      </c>
      <c r="F109" s="14">
        <v>8.73673562699354E-6</v>
      </c>
      <c r="G109" s="14">
        <v>4.3426544164635625E-7</v>
      </c>
      <c r="H109" s="14">
        <v>0</v>
      </c>
      <c r="I109" s="14">
        <v>2.4024847662222704E-7</v>
      </c>
      <c r="J109" s="14">
        <v>1.1642645948065555E-6</v>
      </c>
      <c r="K109" s="14">
        <v>0</v>
      </c>
    </row>
    <row r="110" spans="1:11">
      <c r="A110" s="2" t="s">
        <v>465</v>
      </c>
      <c r="B110" s="3" t="s">
        <v>466</v>
      </c>
      <c r="D110" s="14">
        <v>2.446647930230984E-15</v>
      </c>
      <c r="E110" s="14">
        <v>1.4954451218523101E-4</v>
      </c>
      <c r="F110" s="14">
        <v>3.3844808002541087E-8</v>
      </c>
      <c r="G110" s="14">
        <v>6.475280413897862E-9</v>
      </c>
      <c r="H110" s="14">
        <v>0</v>
      </c>
      <c r="I110" s="14">
        <v>1.7834390159183843E-8</v>
      </c>
      <c r="J110" s="14">
        <v>3.9733333374671512E-7</v>
      </c>
      <c r="K110" s="14">
        <v>0</v>
      </c>
    </row>
    <row r="111" spans="1:11">
      <c r="A111" s="2" t="s">
        <v>467</v>
      </c>
      <c r="B111" s="3" t="s">
        <v>468</v>
      </c>
      <c r="D111" s="14">
        <v>4.3333961113634809E-34</v>
      </c>
      <c r="E111" s="14">
        <v>1.4997949942346616E-4</v>
      </c>
      <c r="F111" s="14">
        <v>2.3965885168217619E-9</v>
      </c>
      <c r="G111" s="14">
        <v>1.9800010595546334E-12</v>
      </c>
      <c r="H111" s="14">
        <v>0</v>
      </c>
      <c r="I111" s="14">
        <v>1.7746407941373554E-8</v>
      </c>
      <c r="J111" s="14">
        <v>3.5560007458767292E-10</v>
      </c>
      <c r="K111" s="14">
        <v>0</v>
      </c>
    </row>
    <row r="112" spans="1:11">
      <c r="A112" s="2" t="s">
        <v>469</v>
      </c>
      <c r="B112" s="3" t="s">
        <v>470</v>
      </c>
      <c r="D112" s="14">
        <v>2.751997963934331E-17</v>
      </c>
      <c r="E112" s="14">
        <v>1.4944975872450251E-4</v>
      </c>
      <c r="F112" s="14">
        <v>1.1686024502257167E-8</v>
      </c>
      <c r="G112" s="14">
        <v>5.4596191440042168E-9</v>
      </c>
      <c r="H112" s="14">
        <v>0</v>
      </c>
      <c r="I112" s="14">
        <v>1.7797261860168044E-8</v>
      </c>
      <c r="J112" s="14">
        <v>5.1529836996348629E-7</v>
      </c>
      <c r="K112" s="14">
        <v>0</v>
      </c>
    </row>
    <row r="113" spans="1:11">
      <c r="A113" s="2" t="s">
        <v>471</v>
      </c>
      <c r="B113" s="3" t="s">
        <v>472</v>
      </c>
      <c r="D113" s="14">
        <v>3.4618272581323068E-13</v>
      </c>
      <c r="E113" s="14">
        <v>1.4656237810316164E-4</v>
      </c>
      <c r="F113" s="14">
        <v>3.3940956529949524E-7</v>
      </c>
      <c r="G113" s="14">
        <v>1.2354342379209837E-7</v>
      </c>
      <c r="H113" s="14">
        <v>0</v>
      </c>
      <c r="I113" s="14">
        <v>1.9950454493720525E-8</v>
      </c>
      <c r="J113" s="14">
        <v>2.9547181070703088E-6</v>
      </c>
      <c r="K113" s="14">
        <v>0</v>
      </c>
    </row>
    <row r="114" spans="1:11">
      <c r="A114" s="2" t="s">
        <v>473</v>
      </c>
      <c r="B114" s="3" t="s">
        <v>474</v>
      </c>
      <c r="D114" s="14">
        <v>2.6952945035276009E-20</v>
      </c>
      <c r="E114" s="14">
        <v>1.4971057002739185E-4</v>
      </c>
      <c r="F114" s="14">
        <v>3.3951114735658466E-9</v>
      </c>
      <c r="G114" s="14">
        <v>1.7104982805835398E-9</v>
      </c>
      <c r="H114" s="14">
        <v>0</v>
      </c>
      <c r="I114" s="14">
        <v>1.7749580873309602E-8</v>
      </c>
      <c r="J114" s="14">
        <v>2.6657478198065728E-7</v>
      </c>
      <c r="K114" s="14">
        <v>0</v>
      </c>
    </row>
    <row r="115" spans="1:11">
      <c r="A115" s="2" t="s">
        <v>475</v>
      </c>
      <c r="B115" s="3" t="s">
        <v>476</v>
      </c>
      <c r="D115" s="14">
        <v>1.3905410988944833E-16</v>
      </c>
      <c r="E115" s="14">
        <v>1.4585974006377591E-4</v>
      </c>
      <c r="F115" s="14">
        <v>4.1175322518326225E-6</v>
      </c>
      <c r="G115" s="14">
        <v>4.9319749580524742E-10</v>
      </c>
      <c r="H115" s="14">
        <v>0</v>
      </c>
      <c r="I115" s="14">
        <v>1.7951790404377361E-8</v>
      </c>
      <c r="J115" s="14">
        <v>4.2826963522003494E-9</v>
      </c>
      <c r="K115" s="14">
        <v>0</v>
      </c>
    </row>
    <row r="116" spans="1:11">
      <c r="A116" s="2" t="s">
        <v>477</v>
      </c>
      <c r="B116" s="3" t="s">
        <v>478</v>
      </c>
      <c r="D116" s="14">
        <v>3.9247270075265481E-21</v>
      </c>
      <c r="E116" s="14">
        <v>2.0101834458341746E-5</v>
      </c>
      <c r="F116" s="14">
        <v>1.2323105664143803E-4</v>
      </c>
      <c r="G116" s="14">
        <v>2.9847206672426666E-6</v>
      </c>
      <c r="H116" s="14">
        <v>0</v>
      </c>
      <c r="I116" s="14">
        <v>2.4667618599636449E-6</v>
      </c>
      <c r="J116" s="14">
        <v>1.2156263730138682E-6</v>
      </c>
      <c r="K116" s="14">
        <v>0</v>
      </c>
    </row>
    <row r="117" spans="1:11">
      <c r="A117" s="2" t="s">
        <v>291</v>
      </c>
      <c r="B117" s="3" t="s">
        <v>479</v>
      </c>
      <c r="D117" s="14">
        <v>4.1897854438831973E-14</v>
      </c>
      <c r="E117" s="14">
        <v>8.6454756829174386E-5</v>
      </c>
      <c r="F117" s="14">
        <v>3.1275946957867231E-5</v>
      </c>
      <c r="G117" s="14">
        <v>7.8470428345313825E-6</v>
      </c>
      <c r="H117" s="14">
        <v>0</v>
      </c>
      <c r="I117" s="14">
        <v>1.7835556760121263E-7</v>
      </c>
      <c r="J117" s="14">
        <v>2.4243897768927885E-5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61CE5-E932-4D3E-A393-6391B5DF0572}">
  <dimension ref="A1:D117"/>
  <sheetViews>
    <sheetView tabSelected="1" topLeftCell="A100" workbookViewId="0">
      <selection activeCell="D108" sqref="A2:D117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1.8324325633134791E-8</v>
      </c>
      <c r="B2">
        <f>'Mass Balance'!E2</f>
        <v>1.4835470010880964E-4</v>
      </c>
      <c r="C2">
        <f>SUM('Mass Balance'!E2:H2)</f>
        <v>1.4848262691739646E-4</v>
      </c>
      <c r="D2">
        <f>Concentrations!F2/Concentrations!E2</f>
        <v>1.0030487243621815</v>
      </c>
    </row>
    <row r="3" spans="1:4">
      <c r="A3">
        <f>'Mass Balance'!I3</f>
        <v>2.151181654146906E-7</v>
      </c>
      <c r="B3">
        <f>'Mass Balance'!E3</f>
        <v>8.4816284079223208E-5</v>
      </c>
      <c r="C3">
        <f>SUM('Mass Balance'!E3:H3)</f>
        <v>1.2669814371685993E-4</v>
      </c>
      <c r="D3">
        <f>Concentrations!F3/Concentrations!E3</f>
        <v>0.67205582832727218</v>
      </c>
    </row>
    <row r="4" spans="1:4">
      <c r="A4">
        <f>'Mass Balance'!I4</f>
        <v>2.0323981434870088E-8</v>
      </c>
      <c r="B4">
        <f>'Mass Balance'!E4</f>
        <v>1.4991503124809662E-4</v>
      </c>
      <c r="C4">
        <f>SUM('Mass Balance'!E4:H4)</f>
        <v>1.499783693097627E-4</v>
      </c>
      <c r="D4">
        <f>Concentrations!F4/Concentrations!E4</f>
        <v>1.0034896895616316</v>
      </c>
    </row>
    <row r="5" spans="1:4">
      <c r="A5">
        <f>'Mass Balance'!I5</f>
        <v>1.8885776549498979E-8</v>
      </c>
      <c r="B5">
        <f>'Mass Balance'!E5</f>
        <v>8.2142225235681357E-5</v>
      </c>
      <c r="C5">
        <f>SUM('Mass Balance'!E5:H5)</f>
        <v>1.4996920935259959E-4</v>
      </c>
      <c r="D5">
        <f>Concentrations!F5/Concentrations!E5</f>
        <v>0.54987088407343221</v>
      </c>
    </row>
    <row r="6" spans="1:4">
      <c r="A6">
        <f>'Mass Balance'!I6</f>
        <v>1.9107243860698396E-8</v>
      </c>
      <c r="B6">
        <f>'Mass Balance'!E6</f>
        <v>4.8628823287356694E-5</v>
      </c>
      <c r="C6">
        <f>SUM('Mass Balance'!E6:H6)</f>
        <v>1.4993624452037434E-4</v>
      </c>
      <c r="D6">
        <f>Concentrations!F6/Concentrations!E6</f>
        <v>0.32559932375393774</v>
      </c>
    </row>
    <row r="7" spans="1:4">
      <c r="A7">
        <f>'Mass Balance'!I7</f>
        <v>2.2966255807227892E-8</v>
      </c>
      <c r="B7">
        <f>'Mass Balance'!E7</f>
        <v>1.6176531152241797E-5</v>
      </c>
      <c r="C7">
        <f>SUM('Mass Balance'!E7:H7)</f>
        <v>1.4974075028641675E-4</v>
      </c>
      <c r="D7">
        <f>Concentrations!F7/Concentrations!E7</f>
        <v>0.10845304645239194</v>
      </c>
    </row>
    <row r="8" spans="1:4">
      <c r="A8">
        <f>'Mass Balance'!I8</f>
        <v>1.8531930846497994E-8</v>
      </c>
      <c r="B8">
        <f>'Mass Balance'!E8</f>
        <v>3.4474488062854626E-5</v>
      </c>
      <c r="C8">
        <f>SUM('Mass Balance'!E8:H8)</f>
        <v>1.4995944994045658E-4</v>
      </c>
      <c r="D8">
        <f>Concentrations!F8/Concentrations!E8</f>
        <v>0.23079178670061071</v>
      </c>
    </row>
    <row r="9" spans="1:4">
      <c r="A9">
        <f>'Mass Balance'!I9</f>
        <v>1.920929373840677E-8</v>
      </c>
      <c r="B9">
        <f>'Mass Balance'!E9</f>
        <v>9.21296284010204E-5</v>
      </c>
      <c r="C9">
        <f>SUM('Mass Balance'!E9:H9)</f>
        <v>1.4992665182669596E-4</v>
      </c>
      <c r="D9">
        <f>Concentrations!F9/Concentrations!E9</f>
        <v>0.61690293913234817</v>
      </c>
    </row>
    <row r="10" spans="1:4">
      <c r="A10">
        <f>'Mass Balance'!I10</f>
        <v>4.5466878309857559E-7</v>
      </c>
      <c r="B10">
        <f>'Mass Balance'!E10</f>
        <v>1.6559748217084591E-6</v>
      </c>
      <c r="C10">
        <f>SUM('Mass Balance'!E10:H10)</f>
        <v>1.420885293766252E-4</v>
      </c>
      <c r="D10">
        <f>Concentrations!F10/Concentrations!E10</f>
        <v>1.1700140373438875E-2</v>
      </c>
    </row>
    <row r="11" spans="1:4">
      <c r="A11">
        <f>'Mass Balance'!I11</f>
        <v>1.9952504438629602E-6</v>
      </c>
      <c r="B11">
        <f>'Mass Balance'!E11</f>
        <v>9.295396800917067E-8</v>
      </c>
      <c r="C11">
        <f>SUM('Mass Balance'!E11:H11)</f>
        <v>1.4686806410617624E-4</v>
      </c>
      <c r="D11">
        <f>Concentrations!F11/Concentrations!E11</f>
        <v>6.3538495264243869E-4</v>
      </c>
    </row>
    <row r="12" spans="1:4">
      <c r="A12">
        <f>'Mass Balance'!I12</f>
        <v>1.6703815583046741E-8</v>
      </c>
      <c r="B12">
        <f>'Mass Balance'!E12</f>
        <v>1.4079232159534149E-4</v>
      </c>
      <c r="C12">
        <f>SUM('Mass Balance'!E12:H12)</f>
        <v>1.4079824080130585E-4</v>
      </c>
      <c r="D12">
        <f>Concentrations!F12/Concentrations!E12</f>
        <v>1.0038714521286256</v>
      </c>
    </row>
    <row r="13" spans="1:4">
      <c r="A13">
        <f>'Mass Balance'!I13</f>
        <v>1.5110724336727927E-7</v>
      </c>
      <c r="B13">
        <f>'Mass Balance'!E13</f>
        <v>9.5049092542798963E-5</v>
      </c>
      <c r="C13">
        <f>SUM('Mass Balance'!E13:H13)</f>
        <v>1.2705378904946015E-4</v>
      </c>
      <c r="D13">
        <f>Concentrations!F13/Concentrations!E13</f>
        <v>0.75102901537292632</v>
      </c>
    </row>
    <row r="14" spans="1:4">
      <c r="A14">
        <f>'Mass Balance'!I14</f>
        <v>3.747686056446715E-8</v>
      </c>
      <c r="B14">
        <f>'Mass Balance'!E14</f>
        <v>1.3214560505646571E-6</v>
      </c>
      <c r="C14">
        <f>SUM('Mass Balance'!E14:H14)</f>
        <v>1.4991301641214765E-4</v>
      </c>
      <c r="D14">
        <f>Concentrations!F14/Concentrations!E14</f>
        <v>8.8493168107598615E-3</v>
      </c>
    </row>
    <row r="15" spans="1:4">
      <c r="A15">
        <f>'Mass Balance'!I15</f>
        <v>3.5764707511809136E-8</v>
      </c>
      <c r="B15">
        <f>'Mass Balance'!E15</f>
        <v>1.2594808660247624E-4</v>
      </c>
      <c r="C15">
        <f>SUM('Mass Balance'!E15:H15)</f>
        <v>1.3014628210335951E-4</v>
      </c>
      <c r="D15">
        <f>Concentrations!F15/Concentrations!E15</f>
        <v>0.97152989827926506</v>
      </c>
    </row>
    <row r="16" spans="1:4">
      <c r="A16">
        <f>'Mass Balance'!I16</f>
        <v>1.6886629366528416E-7</v>
      </c>
      <c r="B16">
        <f>'Mass Balance'!E16</f>
        <v>8.9328869286305816E-5</v>
      </c>
      <c r="C16">
        <f>SUM('Mass Balance'!E16:H16)</f>
        <v>1.2595902024425661E-4</v>
      </c>
      <c r="D16">
        <f>Concentrations!F16/Concentrations!E16</f>
        <v>0.71196546040949038</v>
      </c>
    </row>
    <row r="17" spans="1:4">
      <c r="A17">
        <f>'Mass Balance'!I17</f>
        <v>1.5736118680639579E-7</v>
      </c>
      <c r="B17">
        <f>'Mass Balance'!E17</f>
        <v>9.2782877042861561E-5</v>
      </c>
      <c r="C17">
        <f>SUM('Mass Balance'!E17:H17)</f>
        <v>1.2642045443579206E-4</v>
      </c>
      <c r="D17">
        <f>Concentrations!F17/Concentrations!E17</f>
        <v>0.73679530590858933</v>
      </c>
    </row>
    <row r="18" spans="1:4">
      <c r="A18">
        <f>'Mass Balance'!I18</f>
        <v>2.2924864542147092E-6</v>
      </c>
      <c r="B18">
        <f>'Mass Balance'!E18</f>
        <v>1.0333792113359892E-7</v>
      </c>
      <c r="C18">
        <f>SUM('Mass Balance'!E18:H18)</f>
        <v>1.4224498546834438E-4</v>
      </c>
      <c r="D18">
        <f>Concentrations!F18/Concentrations!E18</f>
        <v>7.2932166972692724E-4</v>
      </c>
    </row>
    <row r="19" spans="1:4">
      <c r="A19">
        <f>'Mass Balance'!I19</f>
        <v>2.3849862179258156E-8</v>
      </c>
      <c r="B19">
        <f>'Mass Balance'!E19</f>
        <v>1.4213010758597384E-4</v>
      </c>
      <c r="C19">
        <f>SUM('Mass Balance'!E19:H19)</f>
        <v>1.4345116765370985E-4</v>
      </c>
      <c r="D19">
        <f>Concentrations!F19/Concentrations!E19</f>
        <v>0.99466848831057519</v>
      </c>
    </row>
    <row r="20" spans="1:4">
      <c r="A20">
        <f>'Mass Balance'!I20</f>
        <v>2.8540081284300612E-8</v>
      </c>
      <c r="B20">
        <f>'Mass Balance'!E20</f>
        <v>1.3802479905112463E-4</v>
      </c>
      <c r="C20">
        <f>SUM('Mass Balance'!E20:H20)</f>
        <v>1.4039482713679467E-4</v>
      </c>
      <c r="D20">
        <f>Concentrations!F20/Concentrations!E20</f>
        <v>0.98696642602903817</v>
      </c>
    </row>
    <row r="21" spans="1:4">
      <c r="A21">
        <f>'Mass Balance'!I21</f>
        <v>1.2119639715972498E-7</v>
      </c>
      <c r="B21">
        <f>'Mass Balance'!E21</f>
        <v>1.6574091854657914E-5</v>
      </c>
      <c r="C21">
        <f>SUM('Mass Balance'!E21:H21)</f>
        <v>1.45130497261799E-4</v>
      </c>
      <c r="D21">
        <f>Concentrations!F21/Concentrations!E21</f>
        <v>0.11464824746831957</v>
      </c>
    </row>
    <row r="22" spans="1:4">
      <c r="A22">
        <f>'Mass Balance'!I22</f>
        <v>1.7827087209672454E-8</v>
      </c>
      <c r="B22">
        <f>'Mass Balance'!E22</f>
        <v>1.39934675982382E-4</v>
      </c>
      <c r="C22">
        <f>SUM('Mass Balance'!E22:H22)</f>
        <v>1.4015185262483985E-4</v>
      </c>
      <c r="D22">
        <f>Concentrations!F22/Concentrations!E22</f>
        <v>1.002358011511207</v>
      </c>
    </row>
    <row r="23" spans="1:4">
      <c r="A23">
        <f>'Mass Balance'!I23</f>
        <v>4.9667577226360594E-8</v>
      </c>
      <c r="B23">
        <f>'Mass Balance'!E23</f>
        <v>1.2184550685125168E-4</v>
      </c>
      <c r="C23">
        <f>SUM('Mass Balance'!E23:H23)</f>
        <v>1.2917221163492493E-4</v>
      </c>
      <c r="D23">
        <f>Concentrations!F23/Concentrations!E23</f>
        <v>0.94697123184535315</v>
      </c>
    </row>
    <row r="24" spans="1:4">
      <c r="A24">
        <f>'Mass Balance'!I24</f>
        <v>2.3085075050094143E-7</v>
      </c>
      <c r="B24">
        <f>'Mass Balance'!E24</f>
        <v>7.0248402178296507E-5</v>
      </c>
      <c r="C24">
        <f>SUM('Mass Balance'!E24:H24)</f>
        <v>1.2358455117066021E-4</v>
      </c>
      <c r="D24">
        <f>Concentrations!F24/Concentrations!E24</f>
        <v>0.57064843187288905</v>
      </c>
    </row>
    <row r="25" spans="1:4">
      <c r="A25">
        <f>'Mass Balance'!I25</f>
        <v>2.1118837931582224E-6</v>
      </c>
      <c r="B25">
        <f>'Mass Balance'!E25</f>
        <v>1.4464549236443489E-7</v>
      </c>
      <c r="C25">
        <f>SUM('Mass Balance'!E25:H25)</f>
        <v>1.4181693954492852E-4</v>
      </c>
      <c r="D25">
        <f>Concentrations!F25/Concentrations!E25</f>
        <v>1.0239368137133335E-3</v>
      </c>
    </row>
    <row r="26" spans="1:4">
      <c r="A26">
        <f>'Mass Balance'!I26</f>
        <v>3.2940306132109908E-7</v>
      </c>
      <c r="B26">
        <f>'Mass Balance'!E26</f>
        <v>2.49716084532262E-5</v>
      </c>
      <c r="C26">
        <f>SUM('Mass Balance'!E26:H26)</f>
        <v>1.1032535032788084E-4</v>
      </c>
      <c r="D26">
        <f>Concentrations!F26/Concentrations!E26</f>
        <v>0.22723099168919014</v>
      </c>
    </row>
    <row r="27" spans="1:4">
      <c r="A27">
        <f>'Mass Balance'!I27</f>
        <v>1.9145842357159792E-7</v>
      </c>
      <c r="B27">
        <f>'Mass Balance'!E27</f>
        <v>2.9414470151681537E-6</v>
      </c>
      <c r="C27">
        <f>SUM('Mass Balance'!E27:H27)</f>
        <v>5.8197555827159315E-5</v>
      </c>
      <c r="D27">
        <f>Concentrations!F27/Concentrations!E27</f>
        <v>5.0740255117250992E-2</v>
      </c>
    </row>
    <row r="28" spans="1:4">
      <c r="A28">
        <f>'Mass Balance'!I28</f>
        <v>9.8295579858168959E-8</v>
      </c>
      <c r="B28">
        <f>'Mass Balance'!E28</f>
        <v>5.5217176325118777E-6</v>
      </c>
      <c r="C28">
        <f>SUM('Mass Balance'!E28:H28)</f>
        <v>3.1535464363805474E-5</v>
      </c>
      <c r="D28">
        <f>Concentrations!F28/Concentrations!E28</f>
        <v>0.17578075519766787</v>
      </c>
    </row>
    <row r="29" spans="1:4">
      <c r="A29">
        <f>'Mass Balance'!I29</f>
        <v>2.5880353708382077E-9</v>
      </c>
      <c r="B29">
        <f>'Mass Balance'!E29</f>
        <v>1.1256668077174503E-5</v>
      </c>
      <c r="C29">
        <f>SUM('Mass Balance'!E29:H29)</f>
        <v>1.1503770960685817E-5</v>
      </c>
      <c r="D29">
        <f>Concentrations!F29/Concentrations!E29</f>
        <v>0.98234942729794861</v>
      </c>
    </row>
    <row r="30" spans="1:4">
      <c r="A30">
        <f>'Mass Balance'!I30</f>
        <v>3.8138407018124991E-8</v>
      </c>
      <c r="B30">
        <f>'Mass Balance'!E30</f>
        <v>2.2959919420020883E-6</v>
      </c>
      <c r="C30">
        <f>SUM('Mass Balance'!E30:H30)</f>
        <v>1.2340705780590623E-5</v>
      </c>
      <c r="D30">
        <f>Concentrations!F30/Concentrations!E30</f>
        <v>0.18677843130853469</v>
      </c>
    </row>
    <row r="31" spans="1:4">
      <c r="A31">
        <f>'Mass Balance'!I31</f>
        <v>6.716938676025586E-10</v>
      </c>
      <c r="B31">
        <f>'Mass Balance'!E31</f>
        <v>8.6349490577841236E-8</v>
      </c>
      <c r="C31">
        <f>SUM('Mass Balance'!E31:H31)</f>
        <v>2.5368118428892044E-7</v>
      </c>
      <c r="D31">
        <f>Concentrations!F31/Concentrations!E31</f>
        <v>0.34171802338874774</v>
      </c>
    </row>
    <row r="32" spans="1:4">
      <c r="A32">
        <f>'Mass Balance'!I32</f>
        <v>1.3234966510739755E-7</v>
      </c>
      <c r="B32">
        <f>'Mass Balance'!E32</f>
        <v>1.0086825084900785E-4</v>
      </c>
      <c r="C32">
        <f>SUM('Mass Balance'!E32:H32)</f>
        <v>1.2808020781799687E-4</v>
      </c>
      <c r="D32">
        <f>Concentrations!F32/Concentrations!E32</f>
        <v>0.79062187913500215</v>
      </c>
    </row>
    <row r="33" spans="1:4">
      <c r="A33">
        <f>'Mass Balance'!I33</f>
        <v>7.3116681187271401E-8</v>
      </c>
      <c r="B33">
        <f>'Mass Balance'!E33</f>
        <v>1.2172463459824407E-4</v>
      </c>
      <c r="C33">
        <f>SUM('Mass Balance'!E33:H33)</f>
        <v>1.3429893638411706E-4</v>
      </c>
      <c r="D33">
        <f>Concentrations!F33/Concentrations!E33</f>
        <v>0.90991802583642023</v>
      </c>
    </row>
    <row r="34" spans="1:4">
      <c r="A34">
        <f>'Mass Balance'!I34</f>
        <v>3.6556906244409566E-7</v>
      </c>
      <c r="B34">
        <f>'Mass Balance'!E34</f>
        <v>3.1816865721386371E-5</v>
      </c>
      <c r="C34">
        <f>SUM('Mass Balance'!E34:H34)</f>
        <v>1.2560093118174506E-4</v>
      </c>
      <c r="D34">
        <f>Concentrations!F34/Concentrations!E34</f>
        <v>0.25430851284398487</v>
      </c>
    </row>
    <row r="35" spans="1:4">
      <c r="A35">
        <f>'Mass Balance'!I35</f>
        <v>4.4488099214240445E-7</v>
      </c>
      <c r="B35">
        <f>'Mass Balance'!E35</f>
        <v>3.4068756150878781E-6</v>
      </c>
      <c r="C35">
        <f>SUM('Mass Balance'!E35:H35)</f>
        <v>1.3775509032067906E-4</v>
      </c>
      <c r="D35">
        <f>Concentrations!F35/Concentrations!E35</f>
        <v>2.4828185657071924E-2</v>
      </c>
    </row>
    <row r="36" spans="1:4">
      <c r="A36">
        <f>'Mass Balance'!I36</f>
        <v>9.6887069735462967E-7</v>
      </c>
      <c r="B36">
        <f>'Mass Balance'!E36</f>
        <v>7.4397298894525409E-7</v>
      </c>
      <c r="C36">
        <f>SUM('Mass Balance'!E36:H36)</f>
        <v>1.4096613993079733E-4</v>
      </c>
      <c r="D36">
        <f>Concentrations!F36/Concentrations!E36</f>
        <v>5.2983265655727274E-3</v>
      </c>
    </row>
    <row r="37" spans="1:4">
      <c r="A37">
        <f>'Mass Balance'!I37</f>
        <v>2.2394987003296596E-6</v>
      </c>
      <c r="B37">
        <f>'Mass Balance'!E37</f>
        <v>1.1338906636856992E-7</v>
      </c>
      <c r="C37">
        <f>SUM('Mass Balance'!E37:H37)</f>
        <v>1.4184014554657348E-4</v>
      </c>
      <c r="D37">
        <f>Concentrations!F37/Concentrations!E37</f>
        <v>8.0254311530271666E-4</v>
      </c>
    </row>
    <row r="38" spans="1:4">
      <c r="A38">
        <f>'Mass Balance'!I38</f>
        <v>1.4160040419610392E-6</v>
      </c>
      <c r="B38">
        <f>'Mass Balance'!E38</f>
        <v>4.097064862462808E-7</v>
      </c>
      <c r="C38">
        <f>SUM('Mass Balance'!E38:H38)</f>
        <v>1.4093216943801941E-4</v>
      </c>
      <c r="D38">
        <f>Concentrations!F38/Concentrations!E38</f>
        <v>2.9184957454671031E-3</v>
      </c>
    </row>
    <row r="39" spans="1:4">
      <c r="A39">
        <f>'Mass Balance'!I39</f>
        <v>1.064492685971662E-6</v>
      </c>
      <c r="B39">
        <f>'Mass Balance'!E39</f>
        <v>6.18483465145551E-7</v>
      </c>
      <c r="C39">
        <f>SUM('Mass Balance'!E39:H39)</f>
        <v>1.3771791883767563E-4</v>
      </c>
      <c r="D39">
        <f>Concentrations!F39/Concentrations!E39</f>
        <v>4.5085200424820797E-3</v>
      </c>
    </row>
    <row r="40" spans="1:4">
      <c r="A40">
        <f>'Mass Balance'!I40</f>
        <v>1.4160040419610392E-6</v>
      </c>
      <c r="B40">
        <f>'Mass Balance'!E40</f>
        <v>4.097064862462808E-7</v>
      </c>
      <c r="C40">
        <f>SUM('Mass Balance'!E40:H40)</f>
        <v>1.4093216943801941E-4</v>
      </c>
      <c r="D40">
        <f>Concentrations!F40/Concentrations!E40</f>
        <v>2.9184957454671031E-3</v>
      </c>
    </row>
    <row r="41" spans="1:4">
      <c r="A41">
        <f>'Mass Balance'!I41</f>
        <v>1.806584192604465E-8</v>
      </c>
      <c r="B41">
        <f>'Mass Balance'!E41</f>
        <v>1.4313741177203891E-4</v>
      </c>
      <c r="C41">
        <f>SUM('Mass Balance'!E41:H41)</f>
        <v>1.4997051640034219E-4</v>
      </c>
      <c r="D41">
        <f>Concentrations!F41/Concentrations!E41</f>
        <v>0.95817235250460897</v>
      </c>
    </row>
    <row r="42" spans="1:4">
      <c r="A42">
        <f>'Mass Balance'!I42</f>
        <v>2.2857764929816244E-6</v>
      </c>
      <c r="B42">
        <f>'Mass Balance'!E42</f>
        <v>1.0303545764752717E-7</v>
      </c>
      <c r="C42">
        <f>SUM('Mass Balance'!E42:H42)</f>
        <v>1.418286434933074E-4</v>
      </c>
      <c r="D42">
        <f>Concentrations!F42/Concentrations!E42</f>
        <v>7.2932166972692735E-4</v>
      </c>
    </row>
    <row r="43" spans="1:4">
      <c r="A43">
        <f>'Mass Balance'!I43</f>
        <v>2.4708353155973045E-7</v>
      </c>
      <c r="B43">
        <f>'Mass Balance'!E43</f>
        <v>6.5711117409286566E-5</v>
      </c>
      <c r="C43">
        <f>SUM('Mass Balance'!E43:H43)</f>
        <v>1.2355465918853376E-4</v>
      </c>
      <c r="D43">
        <f>Concentrations!F43/Concentrations!E43</f>
        <v>0.53391987495413606</v>
      </c>
    </row>
    <row r="44" spans="1:4">
      <c r="A44">
        <f>'Mass Balance'!I44</f>
        <v>6.8869125237447347E-7</v>
      </c>
      <c r="B44">
        <f>'Mass Balance'!E44</f>
        <v>1.1123553763439361E-6</v>
      </c>
      <c r="C44">
        <f>SUM('Mass Balance'!E44:H44)</f>
        <v>1.4139429219345393E-4</v>
      </c>
      <c r="D44">
        <f>Concentrations!F44/Concentrations!E44</f>
        <v>7.8978347458445227E-3</v>
      </c>
    </row>
    <row r="45" spans="1:4">
      <c r="A45">
        <f>'Mass Balance'!I45</f>
        <v>2.6351343161030546E-6</v>
      </c>
      <c r="B45">
        <f>'Mass Balance'!E45</f>
        <v>4.5805441449774982E-8</v>
      </c>
      <c r="C45">
        <f>SUM('Mass Balance'!E45:H45)</f>
        <v>1.4323191641472089E-4</v>
      </c>
      <c r="D45">
        <f>Concentrations!F45/Concentrations!E45</f>
        <v>3.2105070844138669E-4</v>
      </c>
    </row>
    <row r="46" spans="1:4">
      <c r="A46">
        <f>'Mass Balance'!I46</f>
        <v>2.3487684871609214E-6</v>
      </c>
      <c r="B46">
        <f>'Mass Balance'!E46</f>
        <v>9.2094148453923644E-8</v>
      </c>
      <c r="C46">
        <f>SUM('Mass Balance'!E46:H46)</f>
        <v>1.4238500467626084E-4</v>
      </c>
      <c r="D46">
        <f>Concentrations!F46/Concentrations!E46</f>
        <v>6.4932802139476531E-4</v>
      </c>
    </row>
    <row r="47" spans="1:4">
      <c r="A47">
        <f>'Mass Balance'!I47</f>
        <v>1.895278958187927E-6</v>
      </c>
      <c r="B47">
        <f>'Mass Balance'!E47</f>
        <v>2.0662085824937999E-7</v>
      </c>
      <c r="C47">
        <f>SUM('Mass Balance'!E47:H47)</f>
        <v>1.4142843639130577E-4</v>
      </c>
      <c r="D47">
        <f>Concentrations!F47/Concentrations!E47</f>
        <v>1.4666746427414959E-3</v>
      </c>
    </row>
    <row r="48" spans="1:4">
      <c r="A48">
        <f>'Mass Balance'!I48</f>
        <v>4.383798173974321E-7</v>
      </c>
      <c r="B48">
        <f>'Mass Balance'!E48</f>
        <v>1.0223214554840044E-5</v>
      </c>
      <c r="C48">
        <f>SUM('Mass Balance'!E48:H48)</f>
        <v>1.3332317544250416E-4</v>
      </c>
      <c r="D48">
        <f>Concentrations!F48/Concentrations!E48</f>
        <v>7.6980049987451241E-2</v>
      </c>
    </row>
    <row r="49" spans="1:4">
      <c r="A49">
        <f>'Mass Balance'!I49</f>
        <v>7.3655943727706797E-7</v>
      </c>
      <c r="B49">
        <f>'Mass Balance'!E49</f>
        <v>1.0348583071614302E-6</v>
      </c>
      <c r="C49">
        <f>SUM('Mass Balance'!E49:H49)</f>
        <v>1.4131384592668667E-4</v>
      </c>
      <c r="D49">
        <f>Concentrations!F49/Concentrations!E49</f>
        <v>7.3517805761136139E-3</v>
      </c>
    </row>
    <row r="50" spans="1:4">
      <c r="A50">
        <f>'Mass Balance'!I50</f>
        <v>8.211665908152311E-7</v>
      </c>
      <c r="B50">
        <f>'Mass Balance'!E50</f>
        <v>9.1451554579127144E-7</v>
      </c>
      <c r="C50">
        <f>SUM('Mass Balance'!E50:H50)</f>
        <v>1.4116592783392211E-4</v>
      </c>
      <c r="D50">
        <f>Concentrations!F50/Concentrations!E50</f>
        <v>6.5036560878853969E-3</v>
      </c>
    </row>
    <row r="51" spans="1:4">
      <c r="A51">
        <f>'Mass Balance'!I51</f>
        <v>4.4753366983671292E-7</v>
      </c>
      <c r="B51">
        <f>'Mass Balance'!E51</f>
        <v>6.4134036456791424E-6</v>
      </c>
      <c r="C51">
        <f>SUM('Mass Balance'!E51:H51)</f>
        <v>1.3616287023334535E-4</v>
      </c>
      <c r="D51">
        <f>Concentrations!F51/Concentrations!E51</f>
        <v>4.728530984048708E-2</v>
      </c>
    </row>
    <row r="52" spans="1:4">
      <c r="A52">
        <f>'Mass Balance'!I52</f>
        <v>4.3956506979972914E-7</v>
      </c>
      <c r="B52">
        <f>'Mass Balance'!E52</f>
        <v>9.7865616420323855E-6</v>
      </c>
      <c r="C52">
        <f>SUM('Mass Balance'!E52:H52)</f>
        <v>1.3359730982935789E-4</v>
      </c>
      <c r="D52">
        <f>Concentrations!F52/Concentrations!E52</f>
        <v>7.3540873690213074E-2</v>
      </c>
    </row>
    <row r="53" spans="1:4">
      <c r="A53">
        <f>'Mass Balance'!I53</f>
        <v>1.1204405571132135E-6</v>
      </c>
      <c r="B53">
        <f>'Mass Balance'!E53</f>
        <v>6.0715174015400874E-7</v>
      </c>
      <c r="C53">
        <f>SUM('Mass Balance'!E53:H53)</f>
        <v>1.4091472872409641E-4</v>
      </c>
      <c r="D53">
        <f>Concentrations!F53/Concentrations!E53</f>
        <v>4.3255089750456237E-3</v>
      </c>
    </row>
    <row r="54" spans="1:4">
      <c r="A54">
        <f>'Mass Balance'!I54</f>
        <v>7.7811730610518254E-7</v>
      </c>
      <c r="B54">
        <f>'Mass Balance'!E54</f>
        <v>9.7333430136195717E-7</v>
      </c>
      <c r="C54">
        <f>SUM('Mass Balance'!E54:H54)</f>
        <v>1.4124163861341515E-4</v>
      </c>
      <c r="D54">
        <f>Concentrations!F54/Concentrations!E54</f>
        <v>6.9182403118300557E-3</v>
      </c>
    </row>
    <row r="55" spans="1:4">
      <c r="A55">
        <f>'Mass Balance'!I55</f>
        <v>1.8724998488548078E-6</v>
      </c>
      <c r="B55">
        <f>'Mass Balance'!E55</f>
        <v>2.138499996435697E-7</v>
      </c>
      <c r="C55">
        <f>SUM('Mass Balance'!E55:H55)</f>
        <v>1.4136349412437554E-4</v>
      </c>
      <c r="D55">
        <f>Concentrations!F55/Concentrations!E55</f>
        <v>1.5186872432767795E-3</v>
      </c>
    </row>
    <row r="56" spans="1:4">
      <c r="A56">
        <f>'Mass Balance'!I56</f>
        <v>7.0442364146806572E-7</v>
      </c>
      <c r="B56">
        <f>'Mass Balance'!E56</f>
        <v>1.086103309202841E-6</v>
      </c>
      <c r="C56">
        <f>SUM('Mass Balance'!E56:H56)</f>
        <v>1.4137245757952623E-4</v>
      </c>
      <c r="D56">
        <f>Concentrations!F56/Concentrations!E56</f>
        <v>7.7126334484831213E-3</v>
      </c>
    </row>
    <row r="57" spans="1:4">
      <c r="A57">
        <f>'Mass Balance'!I57</f>
        <v>4.3080661684660343E-7</v>
      </c>
      <c r="B57">
        <f>'Mass Balance'!E57</f>
        <v>1.2375709438592429E-5</v>
      </c>
      <c r="C57">
        <f>SUM('Mass Balance'!E57:H57)</f>
        <v>1.3168948924214611E-4</v>
      </c>
      <c r="D57">
        <f>Concentrations!F57/Concentrations!E57</f>
        <v>9.4344231965447375E-2</v>
      </c>
    </row>
    <row r="58" spans="1:4">
      <c r="A58">
        <f>'Mass Balance'!I58</f>
        <v>7.8661499645406746E-7</v>
      </c>
      <c r="B58">
        <f>'Mass Balance'!E58</f>
        <v>9.6136393461392657E-7</v>
      </c>
      <c r="C58">
        <f>SUM('Mass Balance'!E58:H58)</f>
        <v>1.4122786021172258E-4</v>
      </c>
      <c r="D58">
        <f>Concentrations!F58/Concentrations!E58</f>
        <v>6.8338243025118E-3</v>
      </c>
    </row>
    <row r="59" spans="1:4">
      <c r="A59">
        <f>'Mass Balance'!I59</f>
        <v>4.3961753148665013E-7</v>
      </c>
      <c r="B59">
        <f>'Mass Balance'!E59</f>
        <v>9.7877296591660765E-6</v>
      </c>
      <c r="C59">
        <f>SUM('Mass Balance'!E59:H59)</f>
        <v>1.3361325454544948E-4</v>
      </c>
      <c r="D59">
        <f>Concentrations!F59/Concentrations!E59</f>
        <v>7.3540873690213074E-2</v>
      </c>
    </row>
    <row r="60" spans="1:4">
      <c r="A60">
        <f>'Mass Balance'!I60</f>
        <v>1.0279493154383304E-6</v>
      </c>
      <c r="B60">
        <f>'Mass Balance'!E60</f>
        <v>6.8661060450967799E-7</v>
      </c>
      <c r="C60">
        <f>SUM('Mass Balance'!E60:H60)</f>
        <v>1.4091233485397548E-4</v>
      </c>
      <c r="D60">
        <f>Concentrations!F60/Concentrations!E60</f>
        <v>4.8916779614992965E-3</v>
      </c>
    </row>
    <row r="61" spans="1:4">
      <c r="A61">
        <f>'Mass Balance'!I61</f>
        <v>7.8584739651528692E-7</v>
      </c>
      <c r="B61">
        <f>'Mass Balance'!E61</f>
        <v>4.6962203599146144E-5</v>
      </c>
      <c r="C61">
        <f>SUM('Mass Balance'!E61:H61)</f>
        <v>1.3521742889642383E-4</v>
      </c>
      <c r="D61">
        <f>Concentrations!F61/Concentrations!E61</f>
        <v>0.3486680521941608</v>
      </c>
    </row>
    <row r="62" spans="1:4">
      <c r="A62">
        <f>'Mass Balance'!I62</f>
        <v>3.5747002686492961E-7</v>
      </c>
      <c r="B62">
        <f>'Mass Balance'!E62</f>
        <v>3.4108274116281891E-5</v>
      </c>
      <c r="C62">
        <f>SUM('Mass Balance'!E62:H62)</f>
        <v>1.2519731756719776E-4</v>
      </c>
      <c r="D62">
        <f>Concentrations!F62/Concentrations!E62</f>
        <v>0.27350236304920528</v>
      </c>
    </row>
    <row r="63" spans="1:4">
      <c r="A63">
        <f>'Mass Balance'!I63</f>
        <v>1.1605907328825235E-7</v>
      </c>
      <c r="B63">
        <f>'Mass Balance'!E63</f>
        <v>1.4174099336580051E-4</v>
      </c>
      <c r="C63">
        <f>SUM('Mass Balance'!E63:H63)</f>
        <v>1.4729080351886769E-4</v>
      </c>
      <c r="D63">
        <f>Concentrations!F63/Concentrations!E63</f>
        <v>0.96608692190690348</v>
      </c>
    </row>
    <row r="64" spans="1:4">
      <c r="A64">
        <f>'Mass Balance'!I64</f>
        <v>1.8283822188983453E-8</v>
      </c>
      <c r="B64">
        <f>'Mass Balance'!E64</f>
        <v>1.4785480679904879E-4</v>
      </c>
      <c r="C64">
        <f>SUM('Mass Balance'!E64:H64)</f>
        <v>1.4970627377134893E-4</v>
      </c>
      <c r="D64">
        <f>Concentrations!F64/Concentrations!E64</f>
        <v>0.9914979249662923</v>
      </c>
    </row>
    <row r="65" spans="1:4">
      <c r="A65">
        <f>'Mass Balance'!I65</f>
        <v>2.5861628176367749E-8</v>
      </c>
      <c r="B65">
        <f>'Mass Balance'!E65</f>
        <v>1.4960132896608719E-4</v>
      </c>
      <c r="C65">
        <f>SUM('Mass Balance'!E65:H65)</f>
        <v>1.4985139928896097E-4</v>
      </c>
      <c r="D65">
        <f>Concentrations!F65/Concentrations!E65</f>
        <v>1.0022383372267636</v>
      </c>
    </row>
    <row r="66" spans="1:4">
      <c r="A66">
        <f>'Mass Balance'!I66</f>
        <v>7.7451857241577087E-7</v>
      </c>
      <c r="B66">
        <f>'Mass Balance'!E66</f>
        <v>1.1690750854374163E-4</v>
      </c>
      <c r="C66">
        <f>SUM('Mass Balance'!E66:H66)</f>
        <v>1.4811937002781589E-4</v>
      </c>
      <c r="D66">
        <f>Concentrations!F66/Concentrations!E66</f>
        <v>0.79236796923264419</v>
      </c>
    </row>
    <row r="67" spans="1:4">
      <c r="A67">
        <f>'Mass Balance'!I67</f>
        <v>2.4510558833838177E-8</v>
      </c>
      <c r="B67">
        <f>'Mass Balance'!E67</f>
        <v>1.4962450015778558E-4</v>
      </c>
      <c r="C67">
        <f>SUM('Mass Balance'!E67:H67)</f>
        <v>1.4983745565747781E-4</v>
      </c>
      <c r="D67">
        <f>Concentrations!F67/Concentrations!E67</f>
        <v>1.002486851309335</v>
      </c>
    </row>
    <row r="68" spans="1:4">
      <c r="A68">
        <f>'Mass Balance'!I68</f>
        <v>1.8641461084990104E-8</v>
      </c>
      <c r="B68">
        <f>'Mass Balance'!E68</f>
        <v>1.4989970880044355E-4</v>
      </c>
      <c r="C68">
        <f>SUM('Mass Balance'!E68:H68)</f>
        <v>1.4992557944664285E-4</v>
      </c>
      <c r="D68">
        <f>Concentrations!F68/Concentrations!E68</f>
        <v>1.0037404250867856</v>
      </c>
    </row>
    <row r="69" spans="1:4">
      <c r="A69">
        <f>'Mass Balance'!I69</f>
        <v>6.2637906009104652E-7</v>
      </c>
      <c r="B69">
        <f>'Mass Balance'!E69</f>
        <v>1.2268977465908999E-6</v>
      </c>
      <c r="C69">
        <f>SUM('Mass Balance'!E69:H69)</f>
        <v>1.4155151093502352E-4</v>
      </c>
      <c r="D69">
        <f>Concentrations!F69/Concentrations!E69</f>
        <v>8.7014218033396335E-3</v>
      </c>
    </row>
    <row r="70" spans="1:4">
      <c r="A70">
        <f>'Mass Balance'!I70</f>
        <v>1.7965764089675574E-8</v>
      </c>
      <c r="B70">
        <f>'Mass Balance'!E70</f>
        <v>1.4544040247824533E-4</v>
      </c>
      <c r="C70">
        <f>SUM('Mass Balance'!E70:H70)</f>
        <v>1.4997843824412574E-4</v>
      </c>
      <c r="D70">
        <f>Concentrations!F70/Concentrations!E70</f>
        <v>0.97353731667672883</v>
      </c>
    </row>
    <row r="71" spans="1:4">
      <c r="A71">
        <f>'Mass Balance'!I71</f>
        <v>1.8097913246961551E-8</v>
      </c>
      <c r="B71">
        <f>'Mass Balance'!E71</f>
        <v>1.4151735688874481E-4</v>
      </c>
      <c r="C71">
        <f>SUM('Mass Balance'!E71:H71)</f>
        <v>1.4997697483245352E-4</v>
      </c>
      <c r="D71">
        <f>Concentrations!F71/Concentrations!E71</f>
        <v>0.94728679146870576</v>
      </c>
    </row>
    <row r="72" spans="1:4">
      <c r="A72">
        <f>'Mass Balance'!I72</f>
        <v>1.3359459337483588E-7</v>
      </c>
      <c r="B72">
        <f>'Mass Balance'!E72</f>
        <v>5.8389094530696676E-7</v>
      </c>
      <c r="C72">
        <f>SUM('Mass Balance'!E72:H72)</f>
        <v>1.4986083155169605E-4</v>
      </c>
      <c r="D72">
        <f>Concentrations!F72/Concentrations!E72</f>
        <v>3.911469649028069E-3</v>
      </c>
    </row>
    <row r="73" spans="1:4">
      <c r="A73">
        <f>'Mass Balance'!I73</f>
        <v>1.6241652168136307E-8</v>
      </c>
      <c r="B73">
        <f>'Mass Balance'!E73</f>
        <v>5.4161506902672605E-6</v>
      </c>
      <c r="C73">
        <f>SUM('Mass Balance'!E73:H73)</f>
        <v>1.4997923879344122E-4</v>
      </c>
      <c r="D73">
        <f>Concentrations!F73/Concentrations!E73</f>
        <v>3.6254002154393533E-2</v>
      </c>
    </row>
    <row r="74" spans="1:4">
      <c r="A74">
        <f>'Mass Balance'!I74</f>
        <v>1.8074044263543404E-8</v>
      </c>
      <c r="B74">
        <f>'Mass Balance'!E74</f>
        <v>1.4228151148351504E-4</v>
      </c>
      <c r="C74">
        <f>SUM('Mass Balance'!E74:H74)</f>
        <v>1.49977239032486E-4</v>
      </c>
      <c r="D74">
        <f>Concentrations!F74/Concentrations!E74</f>
        <v>0.95240020044659912</v>
      </c>
    </row>
    <row r="75" spans="1:4">
      <c r="A75">
        <f>'Mass Balance'!I75</f>
        <v>1.6427898964627091E-8</v>
      </c>
      <c r="B75">
        <f>'Mass Balance'!E75</f>
        <v>6.407947514186655E-6</v>
      </c>
      <c r="C75">
        <f>SUM('Mass Balance'!E75:H75)</f>
        <v>1.4997869107268556E-4</v>
      </c>
      <c r="D75">
        <f>Concentrations!F75/Concentrations!E75</f>
        <v>4.2892933501575733E-2</v>
      </c>
    </row>
    <row r="76" spans="1:4">
      <c r="A76">
        <f>'Mass Balance'!I76</f>
        <v>1.8844795929387249E-8</v>
      </c>
      <c r="B76">
        <f>'Mass Balance'!E76</f>
        <v>6.719228412282244E-5</v>
      </c>
      <c r="C76">
        <f>SUM('Mass Balance'!E76:H76)</f>
        <v>1.4996983267066586E-4</v>
      </c>
      <c r="D76">
        <f>Concentrations!F76/Concentrations!E76</f>
        <v>0.44979213802343765</v>
      </c>
    </row>
    <row r="77" spans="1:4">
      <c r="A77">
        <f>'Mass Balance'!I77</f>
        <v>1.6295274282521413E-8</v>
      </c>
      <c r="B77">
        <f>'Mass Balance'!E77</f>
        <v>5.6833776957628867E-6</v>
      </c>
      <c r="C77">
        <f>SUM('Mass Balance'!E77:H77)</f>
        <v>1.4997906954117908E-4</v>
      </c>
      <c r="D77">
        <f>Concentrations!F77/Concentrations!E77</f>
        <v>3.8042778263146552E-2</v>
      </c>
    </row>
    <row r="78" spans="1:4">
      <c r="A78">
        <f>'Mass Balance'!I78</f>
        <v>1.1193883690297073E-7</v>
      </c>
      <c r="B78">
        <f>'Mass Balance'!E78</f>
        <v>6.4768199430864427E-7</v>
      </c>
      <c r="C78">
        <f>SUM('Mass Balance'!E78:H78)</f>
        <v>1.4988277341427736E-4</v>
      </c>
      <c r="D78">
        <f>Concentrations!F78/Concentrations!E78</f>
        <v>4.3381689881233443E-3</v>
      </c>
    </row>
    <row r="79" spans="1:4">
      <c r="A79">
        <f>'Mass Balance'!I79</f>
        <v>1.1193864976169174E-7</v>
      </c>
      <c r="B79">
        <f>'Mass Balance'!E79</f>
        <v>6.4768203844854589E-7</v>
      </c>
      <c r="C79">
        <f>SUM('Mass Balance'!E79:H79)</f>
        <v>1.498827745186921E-4</v>
      </c>
      <c r="D79">
        <f>Concentrations!F79/Concentrations!E79</f>
        <v>4.338169251806163E-3</v>
      </c>
    </row>
    <row r="80" spans="1:4">
      <c r="A80">
        <f>'Mass Balance'!I80</f>
        <v>1.7984472841286652E-8</v>
      </c>
      <c r="B80">
        <f>'Mass Balance'!E80</f>
        <v>2.5006104987604538E-5</v>
      </c>
      <c r="C80">
        <f>SUM('Mass Balance'!E80:H80)</f>
        <v>1.4997330108052211E-4</v>
      </c>
      <c r="D80">
        <f>Concentrations!F80/Concentrations!E80</f>
        <v>0.16738959617862059</v>
      </c>
    </row>
    <row r="81" spans="1:4">
      <c r="A81">
        <f>'Mass Balance'!I81</f>
        <v>1.8559776647411124E-8</v>
      </c>
      <c r="B81">
        <f>'Mass Balance'!E81</f>
        <v>1.2070321018040971E-4</v>
      </c>
      <c r="C81">
        <f>SUM('Mass Balance'!E81:H81)</f>
        <v>1.4997274949583381E-4</v>
      </c>
      <c r="D81">
        <f>Concentrations!F81/Concentrations!E81</f>
        <v>0.80798412745827097</v>
      </c>
    </row>
    <row r="82" spans="1:4">
      <c r="A82">
        <f>'Mass Balance'!I82</f>
        <v>1.8855414514322676E-8</v>
      </c>
      <c r="B82">
        <f>'Mass Balance'!E82</f>
        <v>9.127634093640656E-5</v>
      </c>
      <c r="C82">
        <f>SUM('Mass Balance'!E82:H82)</f>
        <v>1.4997022133622385E-4</v>
      </c>
      <c r="D82">
        <f>Concentrations!F82/Concentrations!E82</f>
        <v>0.6110117356008371</v>
      </c>
    </row>
    <row r="83" spans="1:4">
      <c r="A83">
        <f>'Mass Balance'!I83</f>
        <v>2.1721863127746355E-7</v>
      </c>
      <c r="B83">
        <f>'Mass Balance'!E83</f>
        <v>4.3883929239062878E-7</v>
      </c>
      <c r="C83">
        <f>SUM('Mass Balance'!E83:H83)</f>
        <v>1.4977634101366597E-4</v>
      </c>
      <c r="D83">
        <f>Concentrations!F83/Concentrations!E83</f>
        <v>2.9414309087652814E-3</v>
      </c>
    </row>
    <row r="84" spans="1:4">
      <c r="A84">
        <f>'Mass Balance'!I84</f>
        <v>2.9160594733913179E-7</v>
      </c>
      <c r="B84">
        <f>'Mass Balance'!E84</f>
        <v>5.2785585536731911E-5</v>
      </c>
      <c r="C84">
        <f>SUM('Mass Balance'!E84:H84)</f>
        <v>1.2344390878772017E-4</v>
      </c>
      <c r="D84">
        <f>Concentrations!F84/Concentrations!E84</f>
        <v>0.42928136943734024</v>
      </c>
    </row>
    <row r="85" spans="1:4">
      <c r="A85">
        <f>'Mass Balance'!I85</f>
        <v>8.5623333215149056E-6</v>
      </c>
      <c r="B85">
        <f>'Mass Balance'!E85</f>
        <v>8.0047485396558286E-6</v>
      </c>
      <c r="C85">
        <f>SUM('Mass Balance'!E85:H85)</f>
        <v>1.403935681059612E-4</v>
      </c>
      <c r="D85">
        <f>Concentrations!F85/Concentrations!E85</f>
        <v>5.7239633469175169E-2</v>
      </c>
    </row>
    <row r="86" spans="1:4">
      <c r="A86">
        <f>'Mass Balance'!I86</f>
        <v>2.5608117049376936E-6</v>
      </c>
      <c r="B86">
        <f>'Mass Balance'!E86</f>
        <v>5.6160261761660015E-8</v>
      </c>
      <c r="C86">
        <f>SUM('Mass Balance'!E86:H86)</f>
        <v>1.4298947528396938E-4</v>
      </c>
      <c r="D86">
        <f>Concentrations!F86/Concentrations!E86</f>
        <v>3.9429513012256975E-4</v>
      </c>
    </row>
    <row r="87" spans="1:4">
      <c r="A87">
        <f>'Mass Balance'!I87</f>
        <v>2.8793743126737011E-6</v>
      </c>
      <c r="B87">
        <f>'Mass Balance'!E87</f>
        <v>1.9300310041613637E-8</v>
      </c>
      <c r="C87">
        <f>SUM('Mass Balance'!E87:H87)</f>
        <v>1.4414981680215027E-4</v>
      </c>
      <c r="D87">
        <f>Concentrations!F87/Concentrations!E87</f>
        <v>1.3441463378141344E-4</v>
      </c>
    </row>
    <row r="88" spans="1:4">
      <c r="A88">
        <f>'Mass Balance'!I88</f>
        <v>3.0903414999553928E-6</v>
      </c>
      <c r="B88">
        <f>'Mass Balance'!E88</f>
        <v>5.3803873489196867E-9</v>
      </c>
      <c r="C88">
        <f>SUM('Mass Balance'!E88:H88)</f>
        <v>1.4514622597475827E-4</v>
      </c>
      <c r="D88">
        <f>Concentrations!F88/Concentrations!E88</f>
        <v>3.7213811818105853E-5</v>
      </c>
    </row>
    <row r="89" spans="1:4">
      <c r="A89">
        <f>'Mass Balance'!I89</f>
        <v>4.3582400068687621E-5</v>
      </c>
      <c r="B89">
        <f>'Mass Balance'!E89</f>
        <v>2.5469351039690607E-7</v>
      </c>
      <c r="C89">
        <f>SUM('Mass Balance'!E89:H89)</f>
        <v>1.0507040475731814E-4</v>
      </c>
      <c r="D89">
        <f>Concentrations!F89/Concentrations!E89</f>
        <v>2.4335139283741211E-3</v>
      </c>
    </row>
    <row r="90" spans="1:4">
      <c r="A90">
        <f>'Mass Balance'!I90</f>
        <v>1.8523563655520059E-8</v>
      </c>
      <c r="B90">
        <f>'Mass Balance'!E90</f>
        <v>1.4818206299693881E-4</v>
      </c>
      <c r="C90">
        <f>SUM('Mass Balance'!E90:H90)</f>
        <v>1.48368385248183E-4</v>
      </c>
      <c r="D90">
        <f>Concentrations!F90/Concentrations!E90</f>
        <v>1.0026529338867343</v>
      </c>
    </row>
    <row r="91" spans="1:4">
      <c r="A91">
        <f>'Mass Balance'!I91</f>
        <v>7.0927410099760234E-8</v>
      </c>
      <c r="B91">
        <f>'Mass Balance'!E91</f>
        <v>1.2254853485024173E-4</v>
      </c>
      <c r="C91">
        <f>SUM('Mass Balance'!E91:H91)</f>
        <v>1.3460012184075227E-4</v>
      </c>
      <c r="D91">
        <f>Concentrations!F91/Concentrations!E91</f>
        <v>0.91402701646221429</v>
      </c>
    </row>
    <row r="92" spans="1:4">
      <c r="A92">
        <f>'Mass Balance'!I92</f>
        <v>3.9706815301252091E-7</v>
      </c>
      <c r="B92">
        <f>'Mass Balance'!E92</f>
        <v>2.2825978162437248E-5</v>
      </c>
      <c r="C92">
        <f>SUM('Mass Balance'!E92:H92)</f>
        <v>1.2774093286215061E-4</v>
      </c>
      <c r="D92">
        <f>Concentrations!F92/Concentrations!E92</f>
        <v>0.17938894525213356</v>
      </c>
    </row>
    <row r="93" spans="1:4">
      <c r="A93">
        <f>'Mass Balance'!I93</f>
        <v>1.7800655670879771E-8</v>
      </c>
      <c r="B93">
        <f>'Mass Balance'!E93</f>
        <v>1.4931774437556782E-4</v>
      </c>
      <c r="C93">
        <f>SUM('Mass Balance'!E93:H93)</f>
        <v>1.4997251742773047E-4</v>
      </c>
      <c r="D93">
        <f>Concentrations!F93/Concentrations!E93</f>
        <v>0.99953061655693276</v>
      </c>
    </row>
    <row r="94" spans="1:4">
      <c r="A94">
        <f>'Mass Balance'!I94</f>
        <v>1.7873712958767964E-8</v>
      </c>
      <c r="B94">
        <f>'Mass Balance'!E94</f>
        <v>1.4997933177006415E-4</v>
      </c>
      <c r="C94">
        <f>SUM('Mass Balance'!E94:H94)</f>
        <v>1.4998188134967067E-4</v>
      </c>
      <c r="D94">
        <f>Concentrations!F94/Concentrations!E94</f>
        <v>1.0038965912204805</v>
      </c>
    </row>
    <row r="95" spans="1:4">
      <c r="A95">
        <f>'Mass Balance'!I95</f>
        <v>2.1690564940936077E-8</v>
      </c>
      <c r="B95">
        <f>'Mass Balance'!E95</f>
        <v>1.4540528638857817E-4</v>
      </c>
      <c r="C95">
        <f>SUM('Mass Balance'!E95:H95)</f>
        <v>1.4618644837212423E-4</v>
      </c>
      <c r="D95">
        <f>Concentrations!F95/Concentrations!E95</f>
        <v>0.99854914344707946</v>
      </c>
    </row>
    <row r="96" spans="1:4">
      <c r="A96">
        <f>'Mass Balance'!I96</f>
        <v>2.4030737108791529E-6</v>
      </c>
      <c r="B96">
        <f>'Mass Balance'!E96</f>
        <v>8.1959174614418664E-8</v>
      </c>
      <c r="C96">
        <f>SUM('Mass Balance'!E96:H96)</f>
        <v>1.4253108434161176E-4</v>
      </c>
      <c r="D96">
        <f>Concentrations!F96/Concentrations!E96</f>
        <v>5.7727712584221193E-4</v>
      </c>
    </row>
    <row r="97" spans="1:4">
      <c r="A97">
        <f>'Mass Balance'!I97</f>
        <v>1.1586906571827159E-7</v>
      </c>
      <c r="B97">
        <f>'Mass Balance'!E97</f>
        <v>1.0661211013746638E-4</v>
      </c>
      <c r="C97">
        <f>SUM('Mass Balance'!E97:H97)</f>
        <v>1.2965680467399843E-4</v>
      </c>
      <c r="D97">
        <f>Concentrations!F97/Concentrations!E97</f>
        <v>0.82548196091787929</v>
      </c>
    </row>
    <row r="98" spans="1:4">
      <c r="A98">
        <f>'Mass Balance'!I98</f>
        <v>7.7731267885539686E-8</v>
      </c>
      <c r="B98">
        <f>'Mass Balance'!E98</f>
        <v>1.2001976616408371E-4</v>
      </c>
      <c r="C98">
        <f>SUM('Mass Balance'!E98:H98)</f>
        <v>1.337001966546172E-4</v>
      </c>
      <c r="D98">
        <f>Concentrations!F98/Concentrations!E98</f>
        <v>0.90119151188221713</v>
      </c>
    </row>
    <row r="99" spans="1:4">
      <c r="A99">
        <f>'Mass Balance'!I99</f>
        <v>3.2298950180797417E-8</v>
      </c>
      <c r="B99">
        <f>'Mass Balance'!E99</f>
        <v>1.3889960735674015E-4</v>
      </c>
      <c r="C99">
        <f>SUM('Mass Balance'!E99:H99)</f>
        <v>1.4202451804462798E-4</v>
      </c>
      <c r="D99">
        <f>Concentrations!F99/Concentrations!E99</f>
        <v>0.98182493204176768</v>
      </c>
    </row>
    <row r="100" spans="1:4">
      <c r="A100">
        <f>'Mass Balance'!I100</f>
        <v>1.205463492471818E-6</v>
      </c>
      <c r="B100">
        <f>'Mass Balance'!E100</f>
        <v>5.4240413079230693E-7</v>
      </c>
      <c r="C100">
        <f>SUM('Mass Balance'!E100:H100)</f>
        <v>1.4090381193763486E-4</v>
      </c>
      <c r="D100">
        <f>Concentrations!F100/Concentrations!E100</f>
        <v>3.8645293340741366E-3</v>
      </c>
    </row>
    <row r="101" spans="1:4">
      <c r="A101">
        <f>'Mass Balance'!I101</f>
        <v>3.635986556110638E-7</v>
      </c>
      <c r="B101">
        <f>'Mass Balance'!E101</f>
        <v>3.2381502683112536E-5</v>
      </c>
      <c r="C101">
        <f>SUM('Mass Balance'!E101:H101)</f>
        <v>1.2550344316095765E-4</v>
      </c>
      <c r="D101">
        <f>Concentrations!F101/Concentrations!E101</f>
        <v>0.25902263682185783</v>
      </c>
    </row>
    <row r="102" spans="1:4">
      <c r="A102">
        <f>'Mass Balance'!I102</f>
        <v>4.472064710471709E-7</v>
      </c>
      <c r="B102">
        <f>'Mass Balance'!E102</f>
        <v>6.5591251447857808E-6</v>
      </c>
      <c r="C102">
        <f>SUM('Mass Balance'!E102:H102)</f>
        <v>1.3601749889850014E-4</v>
      </c>
      <c r="D102">
        <f>Concentrations!F102/Concentrations!E102</f>
        <v>4.8411383565722305E-2</v>
      </c>
    </row>
    <row r="103" spans="1:4">
      <c r="A103">
        <f>'Mass Balance'!I103</f>
        <v>1.8297734962095531E-8</v>
      </c>
      <c r="B103">
        <f>'Mass Balance'!E103</f>
        <v>1.3421404920542371E-4</v>
      </c>
      <c r="C103">
        <f>SUM('Mass Balance'!E103:H103)</f>
        <v>1.4997424823424789E-4</v>
      </c>
      <c r="D103">
        <f>Concentrations!F103/Concentrations!E103</f>
        <v>0.89841635177396051</v>
      </c>
    </row>
    <row r="104" spans="1:4">
      <c r="A104">
        <f>'Mass Balance'!I104</f>
        <v>2.523852475227181E-8</v>
      </c>
      <c r="B104">
        <f>'Mass Balance'!E104</f>
        <v>1.6666146571483135E-6</v>
      </c>
      <c r="C104">
        <f>SUM('Mass Balance'!E104:H104)</f>
        <v>1.4993085396186994E-4</v>
      </c>
      <c r="D104">
        <f>Concentrations!F104/Concentrations!E104</f>
        <v>1.1159392286885955E-2</v>
      </c>
    </row>
    <row r="105" spans="1:4">
      <c r="A105">
        <f>'Mass Balance'!I105</f>
        <v>1.8714449635864142E-8</v>
      </c>
      <c r="B105">
        <f>'Mass Balance'!E105</f>
        <v>1.4783465404437411E-4</v>
      </c>
      <c r="C105">
        <f>SUM('Mass Balance'!E105:H105)</f>
        <v>1.4804267840314551E-4</v>
      </c>
      <c r="D105">
        <f>Concentrations!F105/Concentrations!E105</f>
        <v>1.0025029928797253</v>
      </c>
    </row>
    <row r="106" spans="1:4">
      <c r="A106">
        <f>'Mass Balance'!I106</f>
        <v>2.1973974496525311E-8</v>
      </c>
      <c r="B106">
        <f>'Mass Balance'!E106</f>
        <v>1.4515568335069843E-4</v>
      </c>
      <c r="C106">
        <f>SUM('Mass Balance'!E106:H106)</f>
        <v>1.4600273635321978E-4</v>
      </c>
      <c r="D106">
        <f>Concentrations!F106/Concentrations!E106</f>
        <v>0.99808932727434774</v>
      </c>
    </row>
    <row r="107" spans="1:4">
      <c r="A107">
        <f>'Mass Balance'!I107</f>
        <v>5.1903824124941853E-7</v>
      </c>
      <c r="B107">
        <f>'Mass Balance'!E107</f>
        <v>3.4140259443801648E-6</v>
      </c>
      <c r="C107">
        <f>SUM('Mass Balance'!E107:H107)</f>
        <v>1.4002664608204091E-4</v>
      </c>
      <c r="D107">
        <f>Concentrations!F107/Concentrations!E107</f>
        <v>2.4476679023712519E-2</v>
      </c>
    </row>
    <row r="108" spans="1:4">
      <c r="A108">
        <f>'Mass Balance'!I108</f>
        <v>1.7811940117200086E-8</v>
      </c>
      <c r="B108">
        <f>'Mass Balance'!E108</f>
        <v>1.4997731328337418E-4</v>
      </c>
      <c r="C108">
        <f>SUM('Mass Balance'!E108:H108)</f>
        <v>1.4997867033580899E-4</v>
      </c>
      <c r="D108">
        <f>Concentrations!F108/Concentrations!E108</f>
        <v>1.0039045732856162</v>
      </c>
    </row>
    <row r="109" spans="1:4">
      <c r="A109">
        <f>'Mass Balance'!I109</f>
        <v>2.4024847662222704E-7</v>
      </c>
      <c r="B109">
        <f>'Mass Balance'!E109</f>
        <v>1.3942448585960033E-4</v>
      </c>
      <c r="C109">
        <f>SUM('Mass Balance'!E109:H109)</f>
        <v>1.4859548692824022E-4</v>
      </c>
      <c r="D109">
        <f>Concentrations!F109/Concentrations!E109</f>
        <v>0.94195421656590017</v>
      </c>
    </row>
    <row r="110" spans="1:4">
      <c r="A110">
        <f>'Mass Balance'!I110</f>
        <v>1.7834390159183843E-8</v>
      </c>
      <c r="B110">
        <f>'Mass Balance'!E110</f>
        <v>1.4954451218523101E-4</v>
      </c>
      <c r="C110">
        <f>SUM('Mass Balance'!E110:H110)</f>
        <v>1.4958483227364743E-4</v>
      </c>
      <c r="D110">
        <f>Concentrations!F110/Concentrations!E110</f>
        <v>1.0036430554508318</v>
      </c>
    </row>
    <row r="111" spans="1:4">
      <c r="A111">
        <f>'Mass Balance'!I111</f>
        <v>1.7746407941373554E-8</v>
      </c>
      <c r="B111">
        <f>'Mass Balance'!E111</f>
        <v>1.4997949942346616E-4</v>
      </c>
      <c r="C111">
        <f>SUM('Mass Balance'!E111:H111)</f>
        <v>1.4998189799198406E-4</v>
      </c>
      <c r="D111">
        <f>Concentrations!F111/Concentrations!E111</f>
        <v>1.0038976020249863</v>
      </c>
    </row>
    <row r="112" spans="1:4">
      <c r="A112">
        <f>'Mass Balance'!I112</f>
        <v>1.7797261860168044E-8</v>
      </c>
      <c r="B112">
        <f>'Mass Balance'!E112</f>
        <v>1.4944975872450251E-4</v>
      </c>
      <c r="C112">
        <f>SUM('Mass Balance'!E112:H112)</f>
        <v>1.4946690436814876E-4</v>
      </c>
      <c r="D112">
        <f>Concentrations!F112/Concentrations!E112</f>
        <v>1.0037984960831403</v>
      </c>
    </row>
    <row r="113" spans="1:4">
      <c r="A113">
        <f>'Mass Balance'!I113</f>
        <v>1.9950454493720525E-8</v>
      </c>
      <c r="B113">
        <f>'Mass Balance'!E113</f>
        <v>1.4656237810316164E-4</v>
      </c>
      <c r="C113">
        <f>SUM('Mass Balance'!E113:H113)</f>
        <v>1.4702533109225323E-4</v>
      </c>
      <c r="D113">
        <f>Concentrations!F113/Concentrations!E113</f>
        <v>1.0007525362272784</v>
      </c>
    </row>
    <row r="114" spans="1:4">
      <c r="A114">
        <f>'Mass Balance'!I114</f>
        <v>1.7749580873309602E-8</v>
      </c>
      <c r="B114">
        <f>'Mass Balance'!E114</f>
        <v>1.4971057002739185E-4</v>
      </c>
      <c r="C114">
        <f>SUM('Mass Balance'!E114:H114)</f>
        <v>1.49715675637146E-4</v>
      </c>
      <c r="D114">
        <f>Concentrations!F114/Concentrations!E114</f>
        <v>1.0038794214981379</v>
      </c>
    </row>
    <row r="115" spans="1:4">
      <c r="A115">
        <f>'Mass Balance'!I115</f>
        <v>1.7951790404377361E-8</v>
      </c>
      <c r="B115">
        <f>'Mass Balance'!E115</f>
        <v>1.4585974006377591E-4</v>
      </c>
      <c r="C115">
        <f>SUM('Mass Balance'!E115:H115)</f>
        <v>1.4997776551310435E-4</v>
      </c>
      <c r="D115">
        <f>Concentrations!F115/Concentrations!E115</f>
        <v>0.97634862444837534</v>
      </c>
    </row>
    <row r="116" spans="1:4">
      <c r="A116">
        <f>'Mass Balance'!I116</f>
        <v>2.4667618599636449E-6</v>
      </c>
      <c r="B116">
        <f>'Mass Balance'!E116</f>
        <v>2.0101834458341746E-5</v>
      </c>
      <c r="C116">
        <f>SUM('Mass Balance'!E116:H116)</f>
        <v>1.4631761176702243E-4</v>
      </c>
      <c r="D116">
        <f>Concentrations!F116/Concentrations!E116</f>
        <v>0.13792260480320309</v>
      </c>
    </row>
    <row r="117" spans="1:4">
      <c r="A117">
        <f>'Mass Balance'!I117</f>
        <v>1.7835556760121263E-7</v>
      </c>
      <c r="B117">
        <f>'Mass Balance'!E117</f>
        <v>8.6454756829174386E-5</v>
      </c>
      <c r="C117">
        <f>SUM('Mass Balance'!E117:H117)</f>
        <v>1.2557774662157301E-4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0.98635177671029683</v>
      </c>
      <c r="M2" s="115">
        <v>0.91621628165673963</v>
      </c>
      <c r="N2" s="115">
        <v>1.1558099084936615</v>
      </c>
      <c r="O2" s="115">
        <v>0.82472759842811005</v>
      </c>
      <c r="P2" s="115">
        <v>0.95452637998029755</v>
      </c>
      <c r="Q2" s="111">
        <v>0.82472759842811016</v>
      </c>
      <c r="R2" s="68">
        <v>0.95452637998029766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0.64381292537623358</v>
      </c>
      <c r="M3" s="115">
        <v>10.755908270734528</v>
      </c>
      <c r="N3" s="115">
        <v>293.22823737754914</v>
      </c>
      <c r="O3" s="115">
        <v>2.9050201469000947</v>
      </c>
      <c r="P3" s="115">
        <v>2.6915680859233824</v>
      </c>
      <c r="Q3" s="111">
        <v>2.9050201469000951</v>
      </c>
      <c r="R3" s="68">
        <v>2.6915680859233824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1.1039038738370148</v>
      </c>
      <c r="M4" s="115">
        <v>1.0161990717435043</v>
      </c>
      <c r="N4" s="115">
        <v>3.0601054666111809</v>
      </c>
      <c r="O4" s="115">
        <v>0.82809599901726916</v>
      </c>
      <c r="P4" s="115">
        <v>0.96251400151106248</v>
      </c>
      <c r="Q4" s="111">
        <v>0.82809599901726927</v>
      </c>
      <c r="R4" s="68">
        <v>0.96251400151106248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0.55026655771781297</v>
      </c>
      <c r="M5" s="115">
        <v>0.94428882747494902</v>
      </c>
      <c r="N5" s="115">
        <v>45.015561124714431</v>
      </c>
      <c r="O5" s="115">
        <v>2.6272897150429535</v>
      </c>
      <c r="P5" s="115">
        <v>4.2951811482388358</v>
      </c>
      <c r="Q5" s="111">
        <v>2.6272897150429535</v>
      </c>
      <c r="R5" s="68">
        <v>4.2951811482388358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0.32679269816232043</v>
      </c>
      <c r="M6" s="115">
        <v>0.95536219303491976</v>
      </c>
      <c r="N6" s="115">
        <v>64.011583727005956</v>
      </c>
      <c r="O6" s="115">
        <v>3.5093866281144779</v>
      </c>
      <c r="P6" s="115">
        <v>5.9376421601519391</v>
      </c>
      <c r="Q6" s="111">
        <v>3.5093866281144779</v>
      </c>
      <c r="R6" s="68">
        <v>5.93764216015194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0.10882686605912846</v>
      </c>
      <c r="M7" s="115">
        <v>1.1483127903613946</v>
      </c>
      <c r="N7" s="115">
        <v>84.562875558587976</v>
      </c>
      <c r="O7" s="115">
        <v>4.3758211958334741</v>
      </c>
      <c r="P7" s="115">
        <v>7.5099662941418837</v>
      </c>
      <c r="Q7" s="111">
        <v>4.375821195833475</v>
      </c>
      <c r="R7" s="68">
        <v>7.5099662941418837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0.23201088678495918</v>
      </c>
      <c r="M8" s="115">
        <v>0.92659654232489963</v>
      </c>
      <c r="N8" s="115">
        <v>70.316086465766119</v>
      </c>
      <c r="O8" s="115">
        <v>3.8773638515824902</v>
      </c>
      <c r="P8" s="115">
        <v>6.6328455439399532</v>
      </c>
      <c r="Q8" s="111">
        <v>3.8773638515824902</v>
      </c>
      <c r="R8" s="68">
        <v>6.6328455439399532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0.61651997884153165</v>
      </c>
      <c r="M9" s="115">
        <v>0.96046468692033848</v>
      </c>
      <c r="N9" s="115">
        <v>39.564210752083859</v>
      </c>
      <c r="O9" s="115">
        <v>2.3646339945154042</v>
      </c>
      <c r="P9" s="115">
        <v>3.8018186877904681</v>
      </c>
      <c r="Q9" s="111">
        <v>2.3646339945154042</v>
      </c>
      <c r="R9" s="68">
        <v>3.8018186877904685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1.1065491936178179E-2</v>
      </c>
      <c r="M10" s="115">
        <v>22.733439154928778</v>
      </c>
      <c r="N10" s="115">
        <v>733.70052953209665</v>
      </c>
      <c r="O10" s="115">
        <v>7.9497939901796135</v>
      </c>
      <c r="P10" s="115">
        <v>8.1098963659469003</v>
      </c>
      <c r="Q10" s="111">
        <v>7.9497939901796135</v>
      </c>
      <c r="R10" s="68">
        <v>8.1098963659469003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6.2333029416484879E-4</v>
      </c>
      <c r="M11" s="115">
        <v>99.762522193148016</v>
      </c>
      <c r="N11" s="115">
        <v>5380.1145256900936</v>
      </c>
      <c r="O11" s="115">
        <v>21.839768203809424</v>
      </c>
      <c r="P11" s="115">
        <v>10.024914573700768</v>
      </c>
      <c r="Q11" s="111">
        <v>21.839768203809427</v>
      </c>
      <c r="R11" s="68">
        <v>10.024914573700768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0.9360983931775696</v>
      </c>
      <c r="M12" s="115">
        <v>0.83519077915233697</v>
      </c>
      <c r="N12" s="115">
        <v>6.2800019960048595E-2</v>
      </c>
      <c r="O12" s="115">
        <v>0.77370833707612685</v>
      </c>
      <c r="P12" s="115">
        <v>0.89907644447815793</v>
      </c>
      <c r="Q12" s="111">
        <v>0.77370833707612696</v>
      </c>
      <c r="R12" s="68">
        <v>0.89907644447815793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0.63477977337534819</v>
      </c>
      <c r="M13" s="115">
        <v>7.5553621683639642</v>
      </c>
      <c r="N13" s="115">
        <v>217.97820811802507</v>
      </c>
      <c r="O13" s="115">
        <v>2.619187724508985</v>
      </c>
      <c r="P13" s="115">
        <v>2.4757812200393494</v>
      </c>
      <c r="Q13" s="111">
        <v>2.619187724508985</v>
      </c>
      <c r="R13" s="68">
        <v>2.4757812200393494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8.9134038021798246E-3</v>
      </c>
      <c r="M14" s="115">
        <v>1.8738430282233574</v>
      </c>
      <c r="N14" s="115">
        <v>167.97528945326638</v>
      </c>
      <c r="O14" s="115">
        <v>4.9677570026066258</v>
      </c>
      <c r="P14" s="115">
        <v>8.3227659396857465</v>
      </c>
      <c r="Q14" s="111">
        <v>4.9677570026066258</v>
      </c>
      <c r="R14" s="68">
        <v>8.3227659396857465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0.83964319833297629</v>
      </c>
      <c r="M15" s="115">
        <v>1.7882353755904565</v>
      </c>
      <c r="N15" s="115">
        <v>32.034406139220707</v>
      </c>
      <c r="O15" s="115">
        <v>0.98660881745379925</v>
      </c>
      <c r="P15" s="115">
        <v>1.0506274259140074</v>
      </c>
      <c r="Q15" s="111">
        <v>0.98660881745379936</v>
      </c>
      <c r="R15" s="68">
        <v>1.0506274259140076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0.59661698059039137</v>
      </c>
      <c r="M16" s="115">
        <v>8.4433146832642088</v>
      </c>
      <c r="N16" s="115">
        <v>247.02274306504563</v>
      </c>
      <c r="O16" s="115">
        <v>2.876815600477082</v>
      </c>
      <c r="P16" s="115">
        <v>2.7082865059141175</v>
      </c>
      <c r="Q16" s="111">
        <v>2.8768156004770824</v>
      </c>
      <c r="R16" s="68">
        <v>2.7082865059141179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0.61966101683805752</v>
      </c>
      <c r="M17" s="115">
        <v>7.8680593403197889</v>
      </c>
      <c r="N17" s="115">
        <v>228.25113111868259</v>
      </c>
      <c r="O17" s="115">
        <v>2.7088899577678913</v>
      </c>
      <c r="P17" s="115">
        <v>2.5562938063160501</v>
      </c>
      <c r="Q17" s="111">
        <v>2.7088899577678913</v>
      </c>
      <c r="R17" s="68">
        <v>2.5562938063160501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6.906295263315144E-4</v>
      </c>
      <c r="M18" s="115">
        <v>114.62432271073544</v>
      </c>
      <c r="N18" s="115">
        <v>3810.3495974199177</v>
      </c>
      <c r="O18" s="115">
        <v>22.980495820025766</v>
      </c>
      <c r="P18" s="115">
        <v>9.8437312963760704</v>
      </c>
      <c r="Q18" s="111">
        <v>22.980495820025769</v>
      </c>
      <c r="R18" s="68">
        <v>9.8437312963760704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0.94614966554789093</v>
      </c>
      <c r="M19" s="115">
        <v>1.1924931089629076</v>
      </c>
      <c r="N19" s="115">
        <v>10.710042347429637</v>
      </c>
      <c r="O19" s="115">
        <v>0.87700347581317961</v>
      </c>
      <c r="P19" s="115">
        <v>0.98511102869992007</v>
      </c>
      <c r="Q19" s="111">
        <v>0.87700347581317961</v>
      </c>
      <c r="R19" s="68">
        <v>0.98511102869992007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0.91943206894181428</v>
      </c>
      <c r="M20" s="115">
        <v>1.4270040642150306</v>
      </c>
      <c r="N20" s="115">
        <v>18.666471294699296</v>
      </c>
      <c r="O20" s="115">
        <v>0.92787471995381132</v>
      </c>
      <c r="P20" s="115">
        <v>1.0205319579987562</v>
      </c>
      <c r="Q20" s="111">
        <v>0.92787471995381132</v>
      </c>
      <c r="R20" s="68">
        <v>1.0205319579987562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0.11084791530734273</v>
      </c>
      <c r="M21" s="115">
        <v>6.0598198579862492</v>
      </c>
      <c r="N21" s="115">
        <v>228.20796360085379</v>
      </c>
      <c r="O21" s="115">
        <v>4.8543700954021096</v>
      </c>
      <c r="P21" s="115">
        <v>7.1336109898594859</v>
      </c>
      <c r="Q21" s="111">
        <v>4.8543700954021096</v>
      </c>
      <c r="R21" s="68">
        <v>7.1336109898594859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0.93050339178972152</v>
      </c>
      <c r="M22" s="115">
        <v>0.8913543604836226</v>
      </c>
      <c r="N22" s="115">
        <v>1.9113950183721549</v>
      </c>
      <c r="O22" s="115">
        <v>0.78519803982304248</v>
      </c>
      <c r="P22" s="115">
        <v>0.90605996946592904</v>
      </c>
      <c r="Q22" s="111">
        <v>0.78519803982304248</v>
      </c>
      <c r="R22" s="68">
        <v>0.90605996946592904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0.81281633132999442</v>
      </c>
      <c r="M23" s="115">
        <v>2.4833788613180294</v>
      </c>
      <c r="N23" s="115">
        <v>54.334368283888693</v>
      </c>
      <c r="O23" s="115">
        <v>1.174758170901369</v>
      </c>
      <c r="P23" s="115">
        <v>1.2075974781827012</v>
      </c>
      <c r="Q23" s="111">
        <v>1.1747581709013692</v>
      </c>
      <c r="R23" s="68">
        <v>1.2075974781827015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0.46925319239075763</v>
      </c>
      <c r="M24" s="115">
        <v>11.542537525047072</v>
      </c>
      <c r="N24" s="115">
        <v>348.64348475910822</v>
      </c>
      <c r="O24" s="115">
        <v>3.7974038283427993</v>
      </c>
      <c r="P24" s="115">
        <v>3.5566167876459582</v>
      </c>
      <c r="Q24" s="111">
        <v>3.7974038283427993</v>
      </c>
      <c r="R24" s="68">
        <v>3.5566167876459587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9.6668248914669695E-4</v>
      </c>
      <c r="M25" s="115">
        <v>105.59418965791113</v>
      </c>
      <c r="N25" s="115">
        <v>3500.4993986943437</v>
      </c>
      <c r="O25" s="115">
        <v>21.487486356088937</v>
      </c>
      <c r="P25" s="115">
        <v>9.6490497530776089</v>
      </c>
      <c r="Q25" s="111">
        <v>21.487486356088937</v>
      </c>
      <c r="R25" s="68">
        <v>9.6490497530776089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0.16683927294793052</v>
      </c>
      <c r="M26" s="115">
        <v>16.470153066054955</v>
      </c>
      <c r="N26" s="115">
        <v>516.35884413856797</v>
      </c>
      <c r="O26" s="115">
        <v>5.3615366312457207</v>
      </c>
      <c r="P26" s="115">
        <v>5.1144204059379348</v>
      </c>
      <c r="Q26" s="111">
        <v>5.3615366312457216</v>
      </c>
      <c r="R26" s="68">
        <v>5.1144204059379348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1.9654092477398299E-2</v>
      </c>
      <c r="M27" s="115">
        <v>9.5729211785798949</v>
      </c>
      <c r="N27" s="115">
        <v>305.56677670221922</v>
      </c>
      <c r="O27" s="115">
        <v>3.2377006324891684</v>
      </c>
      <c r="P27" s="115">
        <v>3.2132023348601213</v>
      </c>
      <c r="Q27" s="111">
        <v>3.2377006324891688</v>
      </c>
      <c r="R27" s="68">
        <v>3.2132023348601217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3.6892296222218006E-2</v>
      </c>
      <c r="M28" s="115">
        <v>4.914778992908448</v>
      </c>
      <c r="N28" s="115">
        <v>154.7602053603303</v>
      </c>
      <c r="O28" s="115">
        <v>1.6079047355809764</v>
      </c>
      <c r="P28" s="115">
        <v>1.544209067879571</v>
      </c>
      <c r="Q28" s="111">
        <v>1.6079047355809764</v>
      </c>
      <c r="R28" s="68">
        <v>1.5442090678795712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7.5006367980902239E-2</v>
      </c>
      <c r="M29" s="115">
        <v>0.12940176854191038</v>
      </c>
      <c r="N29" s="115">
        <v>1.9236008645348033</v>
      </c>
      <c r="O29" s="115">
        <v>7.9399303935863849E-2</v>
      </c>
      <c r="P29" s="115">
        <v>8.638829149567781E-2</v>
      </c>
      <c r="Q29" s="111">
        <v>7.9399303935863849E-2</v>
      </c>
      <c r="R29" s="68">
        <v>8.638829149567781E-2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1.5340154737543086E-2</v>
      </c>
      <c r="M30" s="115">
        <v>1.9069203509062498</v>
      </c>
      <c r="N30" s="115">
        <v>59.989530470001171</v>
      </c>
      <c r="O30" s="115">
        <v>0.62306369053646504</v>
      </c>
      <c r="P30" s="115">
        <v>0.59742031122267358</v>
      </c>
      <c r="Q30" s="111">
        <v>0.62306369053646504</v>
      </c>
      <c r="R30" s="68">
        <v>0.59742031122267358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5.7688556315767931E-4</v>
      </c>
      <c r="M31" s="115">
        <v>3.3584693380127928E-2</v>
      </c>
      <c r="N31" s="115">
        <v>1.0425211706577289</v>
      </c>
      <c r="O31" s="115">
        <v>1.0886802037358574E-2</v>
      </c>
      <c r="P31" s="115">
        <v>1.0279161663004483E-2</v>
      </c>
      <c r="Q31" s="111">
        <v>1.0886802037358574E-2</v>
      </c>
      <c r="R31" s="68">
        <v>1.0279161663004483E-2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0.67358447744109695</v>
      </c>
      <c r="M32" s="115">
        <v>6.6174832553698781</v>
      </c>
      <c r="N32" s="115">
        <v>187.4043179070774</v>
      </c>
      <c r="O32" s="115">
        <v>2.3489292056254878</v>
      </c>
      <c r="P32" s="115">
        <v>2.2339595461415369</v>
      </c>
      <c r="Q32" s="111">
        <v>2.3489292056254878</v>
      </c>
      <c r="R32" s="68">
        <v>2.2339595461415369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0.81240100524393288</v>
      </c>
      <c r="M33" s="115">
        <v>3.6558340593635696</v>
      </c>
      <c r="N33" s="115">
        <v>90.816253723093951</v>
      </c>
      <c r="O33" s="115">
        <v>1.522172833741319</v>
      </c>
      <c r="P33" s="115">
        <v>1.5136275124218321</v>
      </c>
      <c r="Q33" s="111">
        <v>1.5221728337413192</v>
      </c>
      <c r="R33" s="68">
        <v>1.5136275124218321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0.21257104986382436</v>
      </c>
      <c r="M34" s="115">
        <v>18.278453122204784</v>
      </c>
      <c r="N34" s="115">
        <v>571.74516194469925</v>
      </c>
      <c r="O34" s="115">
        <v>5.9398313860723206</v>
      </c>
      <c r="P34" s="115">
        <v>5.6495406451259562</v>
      </c>
      <c r="Q34" s="111">
        <v>5.9398313860723215</v>
      </c>
      <c r="R34" s="68">
        <v>5.6495406451259571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2.2764644893568955E-2</v>
      </c>
      <c r="M35" s="115">
        <v>22.244049607120221</v>
      </c>
      <c r="N35" s="115">
        <v>714.00521042587809</v>
      </c>
      <c r="O35" s="115">
        <v>7.6909702778753459</v>
      </c>
      <c r="P35" s="115">
        <v>7.774999898483741</v>
      </c>
      <c r="Q35" s="111">
        <v>7.6909702778753468</v>
      </c>
      <c r="R35" s="68">
        <v>7.774999898483741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4.971629264930698E-3</v>
      </c>
      <c r="M36" s="115">
        <v>48.443534867731479</v>
      </c>
      <c r="N36" s="115">
        <v>1580.3099385087787</v>
      </c>
      <c r="O36" s="115">
        <v>12.120226291042925</v>
      </c>
      <c r="P36" s="115">
        <v>8.5408065763161289</v>
      </c>
      <c r="Q36" s="111">
        <v>12.120226291042925</v>
      </c>
      <c r="R36" s="68">
        <v>8.5408065763161289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7.5780035031040199E-4</v>
      </c>
      <c r="M37" s="115">
        <v>111.97493501648297</v>
      </c>
      <c r="N37" s="115">
        <v>3719.4290834189355</v>
      </c>
      <c r="O37" s="115">
        <v>22.534032290951107</v>
      </c>
      <c r="P37" s="115">
        <v>9.7713568966558082</v>
      </c>
      <c r="Q37" s="111">
        <v>22.534032290951107</v>
      </c>
      <c r="R37" s="68">
        <v>9.7713568966558082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2.7379752599476959E-3</v>
      </c>
      <c r="M38" s="115">
        <v>70.800202098051955</v>
      </c>
      <c r="N38" s="115">
        <v>2324.7590271434378</v>
      </c>
      <c r="O38" s="115">
        <v>15.770416269691864</v>
      </c>
      <c r="P38" s="115">
        <v>8.9527550822572426</v>
      </c>
      <c r="Q38" s="111">
        <v>15.770416269691864</v>
      </c>
      <c r="R38" s="68">
        <v>8.9527550822572426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4.1330816734221117E-3</v>
      </c>
      <c r="M39" s="115">
        <v>53.224634298583105</v>
      </c>
      <c r="N39" s="115">
        <v>1739.5351017700041</v>
      </c>
      <c r="O39" s="115">
        <v>12.803985571070095</v>
      </c>
      <c r="P39" s="115">
        <v>8.4534538043156076</v>
      </c>
      <c r="Q39" s="111">
        <v>12.803985571070095</v>
      </c>
      <c r="R39" s="68">
        <v>8.4534538043156076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2.7379752599476959E-3</v>
      </c>
      <c r="M40" s="115">
        <v>70.800202098051955</v>
      </c>
      <c r="N40" s="115">
        <v>2324.7590271434378</v>
      </c>
      <c r="O40" s="115">
        <v>15.770416269691864</v>
      </c>
      <c r="P40" s="115">
        <v>8.9527550822572426</v>
      </c>
      <c r="Q40" s="111">
        <v>15.770416269691864</v>
      </c>
      <c r="R40" s="68">
        <v>8.9527550822572426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0.95240477328097206</v>
      </c>
      <c r="M41" s="115">
        <v>0.90329209630223239</v>
      </c>
      <c r="N41" s="115">
        <v>5.4777137740013764</v>
      </c>
      <c r="O41" s="115">
        <v>1.0090588080713965</v>
      </c>
      <c r="P41" s="115">
        <v>1.2958083368816717</v>
      </c>
      <c r="Q41" s="111">
        <v>1.0090588080713965</v>
      </c>
      <c r="R41" s="68">
        <v>1.295808336881672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6.8860809787788554E-4</v>
      </c>
      <c r="M42" s="115">
        <v>114.28882464908121</v>
      </c>
      <c r="N42" s="115">
        <v>3799.1969478432179</v>
      </c>
      <c r="O42" s="115">
        <v>22.913233378502529</v>
      </c>
      <c r="P42" s="115">
        <v>9.8149193244378488</v>
      </c>
      <c r="Q42" s="111">
        <v>22.913233378502529</v>
      </c>
      <c r="R42" s="68">
        <v>9.8149193244378505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0.43895672915828343</v>
      </c>
      <c r="M43" s="115">
        <v>12.354176577986522</v>
      </c>
      <c r="N43" s="115">
        <v>375.2700936600076</v>
      </c>
      <c r="O43" s="115">
        <v>4.0446721692518501</v>
      </c>
      <c r="P43" s="115">
        <v>3.7890365185573249</v>
      </c>
      <c r="Q43" s="111">
        <v>4.0446721692518501</v>
      </c>
      <c r="R43" s="68">
        <v>3.7890365185573249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7.4331605829974527E-3</v>
      </c>
      <c r="M44" s="115">
        <v>34.434562618723675</v>
      </c>
      <c r="N44" s="115">
        <v>1117.6573062130776</v>
      </c>
      <c r="O44" s="115">
        <v>9.8444360376854707</v>
      </c>
      <c r="P44" s="115">
        <v>8.3009037494233375</v>
      </c>
      <c r="Q44" s="111">
        <v>9.8444360376854707</v>
      </c>
      <c r="R44" s="68">
        <v>8.3009037494233393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3.0613801779536562E-4</v>
      </c>
      <c r="M45" s="115">
        <v>131.75671580515271</v>
      </c>
      <c r="N45" s="115">
        <v>4407.3970461771796</v>
      </c>
      <c r="O45" s="115">
        <v>25.825553310946134</v>
      </c>
      <c r="P45" s="115">
        <v>10.230270806516792</v>
      </c>
      <c r="Q45" s="111">
        <v>25.825553310946134</v>
      </c>
      <c r="R45" s="68">
        <v>10.230270806516792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6.154880383101043E-4</v>
      </c>
      <c r="M46" s="115">
        <v>117.43842435804608</v>
      </c>
      <c r="N46" s="115">
        <v>3907.4833829443105</v>
      </c>
      <c r="O46" s="115">
        <v>23.446408261594922</v>
      </c>
      <c r="P46" s="115">
        <v>9.9052221013405823</v>
      </c>
      <c r="Q46" s="111">
        <v>23.446408261594922</v>
      </c>
      <c r="R46" s="68">
        <v>9.9052221013405823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1.3808481496999801E-3</v>
      </c>
      <c r="M47" s="115">
        <v>94.76394790939635</v>
      </c>
      <c r="N47" s="115">
        <v>3131.8378205572121</v>
      </c>
      <c r="O47" s="115">
        <v>19.702793013965113</v>
      </c>
      <c r="P47" s="115">
        <v>9.424580582570961</v>
      </c>
      <c r="Q47" s="111">
        <v>19.702793013965117</v>
      </c>
      <c r="R47" s="68">
        <v>9.424580582570961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6.830790905392907E-2</v>
      </c>
      <c r="M48" s="115">
        <v>21.918990869871607</v>
      </c>
      <c r="N48" s="115">
        <v>697.03177873528148</v>
      </c>
      <c r="O48" s="115">
        <v>7.3238360629407975</v>
      </c>
      <c r="P48" s="115">
        <v>7.1894344175121958</v>
      </c>
      <c r="Q48" s="111">
        <v>7.3238360629407975</v>
      </c>
      <c r="R48" s="68">
        <v>7.1894344175121958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6.9153320111088401E-3</v>
      </c>
      <c r="M49" s="115">
        <v>36.827971863853399</v>
      </c>
      <c r="N49" s="115">
        <v>1196.4815153236602</v>
      </c>
      <c r="O49" s="115">
        <v>10.23321943483321</v>
      </c>
      <c r="P49" s="115">
        <v>8.3419908436368129</v>
      </c>
      <c r="Q49" s="111">
        <v>10.23321943483321</v>
      </c>
      <c r="R49" s="68">
        <v>8.3419908436368129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6.1112052768190006E-3</v>
      </c>
      <c r="M50" s="115">
        <v>41.058329540761555</v>
      </c>
      <c r="N50" s="115">
        <v>1336.0299554617013</v>
      </c>
      <c r="O50" s="115">
        <v>10.919984698538023</v>
      </c>
      <c r="P50" s="115">
        <v>8.413702696303611</v>
      </c>
      <c r="Q50" s="111">
        <v>10.919984698538023</v>
      </c>
      <c r="R50" s="68">
        <v>8.413702696303611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4.2853063218396222E-2</v>
      </c>
      <c r="M51" s="115">
        <v>22.376683491835646</v>
      </c>
      <c r="N51" s="115">
        <v>714.68337161549118</v>
      </c>
      <c r="O51" s="115">
        <v>7.5841416108227513</v>
      </c>
      <c r="P51" s="115">
        <v>7.5405947016981001</v>
      </c>
      <c r="Q51" s="111">
        <v>7.5841416108227513</v>
      </c>
      <c r="R51" s="68">
        <v>7.5405947016981001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6.5390496615047478E-2</v>
      </c>
      <c r="M52" s="115">
        <v>21.978253489986457</v>
      </c>
      <c r="N52" s="115">
        <v>699.22224936387784</v>
      </c>
      <c r="O52" s="115">
        <v>7.3531734587895494</v>
      </c>
      <c r="P52" s="115">
        <v>7.2269269433588308</v>
      </c>
      <c r="Q52" s="111">
        <v>7.3531734587895494</v>
      </c>
      <c r="R52" s="68">
        <v>7.2269269433588317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4.0573663047592827E-3</v>
      </c>
      <c r="M53" s="115">
        <v>56.022027855660674</v>
      </c>
      <c r="N53" s="115">
        <v>1831.8181059763565</v>
      </c>
      <c r="O53" s="115">
        <v>13.356257663544744</v>
      </c>
      <c r="P53" s="115">
        <v>8.6786063217384832</v>
      </c>
      <c r="Q53" s="111">
        <v>13.356257663544746</v>
      </c>
      <c r="R53" s="68">
        <v>8.6786063217384832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6.5042315416698263E-3</v>
      </c>
      <c r="M54" s="115">
        <v>38.905865305259127</v>
      </c>
      <c r="N54" s="115">
        <v>1264.9901152584314</v>
      </c>
      <c r="O54" s="115">
        <v>10.570594656923037</v>
      </c>
      <c r="P54" s="115">
        <v>8.3773230108830479</v>
      </c>
      <c r="Q54" s="111">
        <v>10.570594656923037</v>
      </c>
      <c r="R54" s="68">
        <v>8.3773230108830496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1.4291581711380001E-3</v>
      </c>
      <c r="M55" s="115">
        <v>93.624992442740393</v>
      </c>
      <c r="N55" s="115">
        <v>3093.2452673031748</v>
      </c>
      <c r="O55" s="115">
        <v>19.514506936350323</v>
      </c>
      <c r="P55" s="115">
        <v>9.3997823423237303</v>
      </c>
      <c r="Q55" s="111">
        <v>19.514506936350323</v>
      </c>
      <c r="R55" s="68">
        <v>9.3997823423237303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7.257746988140289E-3</v>
      </c>
      <c r="M56" s="115">
        <v>35.221182073403284</v>
      </c>
      <c r="N56" s="115">
        <v>1143.5528489257845</v>
      </c>
      <c r="O56" s="115">
        <v>9.972364388365726</v>
      </c>
      <c r="P56" s="115">
        <v>8.3146882431120375</v>
      </c>
      <c r="Q56" s="111">
        <v>9.972364388365726</v>
      </c>
      <c r="R56" s="68">
        <v>8.3146882431120375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8.2689244416108226E-2</v>
      </c>
      <c r="M57" s="115">
        <v>21.540330842330171</v>
      </c>
      <c r="N57" s="115">
        <v>683.58922336007095</v>
      </c>
      <c r="O57" s="115">
        <v>7.1567573788051764</v>
      </c>
      <c r="P57" s="115">
        <v>6.9877821665519448</v>
      </c>
      <c r="Q57" s="111">
        <v>7.1567573788051764</v>
      </c>
      <c r="R57" s="68">
        <v>6.9877821665519448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6.4242458615872116E-3</v>
      </c>
      <c r="M58" s="115">
        <v>39.330749822703368</v>
      </c>
      <c r="N58" s="115">
        <v>1279.0070220889322</v>
      </c>
      <c r="O58" s="115">
        <v>10.639601912301973</v>
      </c>
      <c r="P58" s="115">
        <v>8.3845801317858886</v>
      </c>
      <c r="Q58" s="111">
        <v>10.639601912301973</v>
      </c>
      <c r="R58" s="68">
        <v>8.3845801317858886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6.539830091069497E-2</v>
      </c>
      <c r="M59" s="115">
        <v>21.980876574332505</v>
      </c>
      <c r="N59" s="115">
        <v>699.30570089643709</v>
      </c>
      <c r="O59" s="115">
        <v>7.3540510532809549</v>
      </c>
      <c r="P59" s="115">
        <v>7.2277894704446979</v>
      </c>
      <c r="Q59" s="111">
        <v>7.3540510532809549</v>
      </c>
      <c r="R59" s="68">
        <v>7.2277894704446979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4.5883257026055812E-3</v>
      </c>
      <c r="M60" s="115">
        <v>51.397465771916515</v>
      </c>
      <c r="N60" s="115">
        <v>1678.2459583060149</v>
      </c>
      <c r="O60" s="115">
        <v>12.601003336239378</v>
      </c>
      <c r="P60" s="115">
        <v>8.5927679407396997</v>
      </c>
      <c r="Q60" s="111">
        <v>12.601003336239378</v>
      </c>
      <c r="R60" s="68">
        <v>8.5927679407396997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0.66441627747683685</v>
      </c>
      <c r="M61" s="115">
        <v>39.292369825764347</v>
      </c>
      <c r="N61" s="115">
        <v>899.8057895784234</v>
      </c>
      <c r="O61" s="115">
        <v>4.97729666929731</v>
      </c>
      <c r="P61" s="115">
        <v>5.0049860776657926</v>
      </c>
      <c r="Q61" s="111">
        <v>4.97729666929731</v>
      </c>
      <c r="R61" s="68">
        <v>5.0049860776657935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0.22787824551415095</v>
      </c>
      <c r="M62" s="115">
        <v>17.873501343246481</v>
      </c>
      <c r="N62" s="115">
        <v>558.16788852827199</v>
      </c>
      <c r="O62" s="115">
        <v>5.8028208492870617</v>
      </c>
      <c r="P62" s="115">
        <v>5.5089691061358446</v>
      </c>
      <c r="Q62" s="111">
        <v>5.8028208492870617</v>
      </c>
      <c r="R62" s="68">
        <v>5.5089691061358455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2.2339727563931802</v>
      </c>
      <c r="M63" s="115">
        <v>5.802953664412617</v>
      </c>
      <c r="N63" s="115">
        <v>114.20773072611138</v>
      </c>
      <c r="O63" s="115">
        <v>1.0861321747479706</v>
      </c>
      <c r="P63" s="115">
        <v>1.2157955249422063</v>
      </c>
      <c r="Q63" s="111">
        <v>1.0861321747479706</v>
      </c>
      <c r="R63" s="68">
        <v>1.2157955249422063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0.98322103949495987</v>
      </c>
      <c r="M64" s="115">
        <v>0.91419110944917259</v>
      </c>
      <c r="N64" s="115">
        <v>2.2606150675159813</v>
      </c>
      <c r="O64" s="115">
        <v>0.87655584342009474</v>
      </c>
      <c r="P64" s="115">
        <v>1.0479990895836959</v>
      </c>
      <c r="Q64" s="111">
        <v>0.87655584342009485</v>
      </c>
      <c r="R64" s="68">
        <v>1.0479990895836959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1.3013639045331162</v>
      </c>
      <c r="M65" s="115">
        <v>1.2930814088183875</v>
      </c>
      <c r="N65" s="115">
        <v>9.589932845614948</v>
      </c>
      <c r="O65" s="115">
        <v>0.83663285753809913</v>
      </c>
      <c r="P65" s="115">
        <v>0.97168745435722181</v>
      </c>
      <c r="Q65" s="111">
        <v>0.83663285753809913</v>
      </c>
      <c r="R65" s="68">
        <v>0.97168745435722192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2.9655102711455008</v>
      </c>
      <c r="M66" s="115">
        <v>38.725928620788544</v>
      </c>
      <c r="N66" s="115">
        <v>895.76337888339128</v>
      </c>
      <c r="O66" s="115">
        <v>2.1396680584431871</v>
      </c>
      <c r="P66" s="115">
        <v>2.6089131345308938</v>
      </c>
      <c r="Q66" s="111">
        <v>2.1396680584431871</v>
      </c>
      <c r="R66" s="68">
        <v>2.6089131345308938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1.2532443185548776</v>
      </c>
      <c r="M67" s="115">
        <v>1.2255279416919087</v>
      </c>
      <c r="N67" s="115">
        <v>7.9854781749100638</v>
      </c>
      <c r="O67" s="115">
        <v>0.8348606882318963</v>
      </c>
      <c r="P67" s="115">
        <v>0.96948166579031592</v>
      </c>
      <c r="Q67" s="111">
        <v>0.8348606882318963</v>
      </c>
      <c r="R67" s="68">
        <v>0.96948166579031603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1.033430152684722</v>
      </c>
      <c r="M68" s="115">
        <v>0.93207305424950526</v>
      </c>
      <c r="N68" s="115">
        <v>1.0591649140961794</v>
      </c>
      <c r="O68" s="115">
        <v>0.82603534101023168</v>
      </c>
      <c r="P68" s="115">
        <v>0.9598926806229906</v>
      </c>
      <c r="Q68" s="111">
        <v>0.82603534101023179</v>
      </c>
      <c r="R68" s="68">
        <v>0.95989268062299071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8.1985167041062415E-3</v>
      </c>
      <c r="M69" s="115">
        <v>31.318953004552327</v>
      </c>
      <c r="N69" s="115">
        <v>1015.1856542835517</v>
      </c>
      <c r="O69" s="115">
        <v>9.3396954826632381</v>
      </c>
      <c r="P69" s="115">
        <v>8.249769583655878</v>
      </c>
      <c r="Q69" s="111">
        <v>9.3396954826632381</v>
      </c>
      <c r="R69" s="68">
        <v>8.2497695836558798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0.96742671301314176</v>
      </c>
      <c r="M70" s="115">
        <v>0.89828820448377877</v>
      </c>
      <c r="N70" s="115">
        <v>3.7189986278594365</v>
      </c>
      <c r="O70" s="115">
        <v>0.94743765788769996</v>
      </c>
      <c r="P70" s="115">
        <v>1.1827898641529313</v>
      </c>
      <c r="Q70" s="111">
        <v>0.94743765788770007</v>
      </c>
      <c r="R70" s="68">
        <v>1.1827898641529313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0.9418211003016933</v>
      </c>
      <c r="M71" s="115">
        <v>0.9048956623480775</v>
      </c>
      <c r="N71" s="115">
        <v>6.6483738629649318</v>
      </c>
      <c r="O71" s="115">
        <v>1.0525055127983445</v>
      </c>
      <c r="P71" s="115">
        <v>1.3759963520465124</v>
      </c>
      <c r="Q71" s="111">
        <v>1.0525055127983445</v>
      </c>
      <c r="R71" s="68">
        <v>1.3759963520465124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3.944017354511861E-3</v>
      </c>
      <c r="M72" s="115">
        <v>6.6797296687417926</v>
      </c>
      <c r="N72" s="115">
        <v>656.4368154823112</v>
      </c>
      <c r="O72" s="115">
        <v>6.2655947457384746</v>
      </c>
      <c r="P72" s="115">
        <v>8.833114931850556</v>
      </c>
      <c r="Q72" s="111">
        <v>6.2655947457384746</v>
      </c>
      <c r="R72" s="68">
        <v>8.833114931850556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3.6561340887038794E-2</v>
      </c>
      <c r="M73" s="115">
        <v>0.81208260840681534</v>
      </c>
      <c r="N73" s="115">
        <v>76.671141365828291</v>
      </c>
      <c r="O73" s="115">
        <v>4.61536425664546</v>
      </c>
      <c r="P73" s="115">
        <v>8.051444742845403</v>
      </c>
      <c r="Q73" s="111">
        <v>4.61536425664546</v>
      </c>
      <c r="R73" s="68">
        <v>8.051444742845403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0.94681284375331498</v>
      </c>
      <c r="M74" s="115">
        <v>0.90370221317717025</v>
      </c>
      <c r="N74" s="115">
        <v>6.0870891113113723</v>
      </c>
      <c r="O74" s="115">
        <v>1.0320639097754276</v>
      </c>
      <c r="P74" s="115">
        <v>1.3383704998644033</v>
      </c>
      <c r="Q74" s="111">
        <v>1.0320639097754276</v>
      </c>
      <c r="R74" s="68">
        <v>1.3383704998644033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4.3251706296645723E-2</v>
      </c>
      <c r="M75" s="115">
        <v>0.8213949482313545</v>
      </c>
      <c r="N75" s="115">
        <v>77.008760880701331</v>
      </c>
      <c r="O75" s="115">
        <v>4.5916296373686745</v>
      </c>
      <c r="P75" s="115">
        <v>8.0035792652641558</v>
      </c>
      <c r="Q75" s="111">
        <v>4.5916296373686745</v>
      </c>
      <c r="R75" s="68">
        <v>8.0035792652641558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0.45078979840117206</v>
      </c>
      <c r="M76" s="115">
        <v>0.9422397964693624</v>
      </c>
      <c r="N76" s="115">
        <v>53.528506889712965</v>
      </c>
      <c r="O76" s="115">
        <v>3.0208182928646128</v>
      </c>
      <c r="P76" s="115">
        <v>5.0292594599694214</v>
      </c>
      <c r="Q76" s="111">
        <v>3.0208182928646128</v>
      </c>
      <c r="R76" s="68">
        <v>5.0292594599694214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3.8364099228875521E-2</v>
      </c>
      <c r="M77" s="115">
        <v>0.81476371412607063</v>
      </c>
      <c r="N77" s="115">
        <v>76.777195339654057</v>
      </c>
      <c r="O77" s="115">
        <v>4.6090098625206384</v>
      </c>
      <c r="P77" s="115">
        <v>8.0385599168312645</v>
      </c>
      <c r="Q77" s="111">
        <v>4.6090098625206384</v>
      </c>
      <c r="R77" s="68">
        <v>8.0385599168312645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4.374894431868219E-3</v>
      </c>
      <c r="M78" s="115">
        <v>5.5969418451485362</v>
      </c>
      <c r="N78" s="115">
        <v>549.92442986295089</v>
      </c>
      <c r="O78" s="115">
        <v>5.9828802789971789</v>
      </c>
      <c r="P78" s="115">
        <v>8.7295237574249356</v>
      </c>
      <c r="Q78" s="111">
        <v>5.9828802789971789</v>
      </c>
      <c r="R78" s="68">
        <v>8.7295237574249374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4.374894814139E-3</v>
      </c>
      <c r="M79" s="115">
        <v>5.5969324880845868</v>
      </c>
      <c r="N79" s="115">
        <v>549.9241646324632</v>
      </c>
      <c r="O79" s="115">
        <v>5.9828791377295998</v>
      </c>
      <c r="P79" s="115">
        <v>8.7295240305598867</v>
      </c>
      <c r="Q79" s="111">
        <v>5.9828791377295998</v>
      </c>
      <c r="R79" s="68">
        <v>8.7295240305598867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0.16846120131958214</v>
      </c>
      <c r="M80" s="115">
        <v>0.89922364206433258</v>
      </c>
      <c r="N80" s="115">
        <v>73.835843343464845</v>
      </c>
      <c r="O80" s="115">
        <v>4.121547468193925</v>
      </c>
      <c r="P80" s="115">
        <v>7.0972082827655134</v>
      </c>
      <c r="Q80" s="111">
        <v>4.121547468193925</v>
      </c>
      <c r="R80" s="68">
        <v>7.0972082827655134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0.80529684972195625</v>
      </c>
      <c r="M81" s="115">
        <v>0.92798883237055629</v>
      </c>
      <c r="N81" s="115">
        <v>21.017449378541709</v>
      </c>
      <c r="O81" s="115">
        <v>1.6069383745939596</v>
      </c>
      <c r="P81" s="115">
        <v>2.4001315441955344</v>
      </c>
      <c r="Q81" s="111">
        <v>1.6069383745939596</v>
      </c>
      <c r="R81" s="68">
        <v>2.4001315441955344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0.61088836804247426</v>
      </c>
      <c r="M82" s="115">
        <v>0.94277072571613374</v>
      </c>
      <c r="N82" s="115">
        <v>39.578485563591286</v>
      </c>
      <c r="O82" s="115">
        <v>2.3862425962724467</v>
      </c>
      <c r="P82" s="115">
        <v>3.8465508258362076</v>
      </c>
      <c r="Q82" s="111">
        <v>2.3862425962724467</v>
      </c>
      <c r="R82" s="68">
        <v>3.846550825836208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2.9642507393610488E-3</v>
      </c>
      <c r="M83" s="115">
        <v>10.860931563873178</v>
      </c>
      <c r="N83" s="115">
        <v>1067.6937379492351</v>
      </c>
      <c r="O83" s="115">
        <v>7.3546673852297255</v>
      </c>
      <c r="P83" s="115">
        <v>9.2281994980332893</v>
      </c>
      <c r="Q83" s="111">
        <v>7.3546673852297255</v>
      </c>
      <c r="R83" s="68">
        <v>9.2281994980332911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0.35263570065190314</v>
      </c>
      <c r="M84" s="115">
        <v>14.580297366956589</v>
      </c>
      <c r="N84" s="115">
        <v>448.68385923609077</v>
      </c>
      <c r="O84" s="115">
        <v>4.7346386819898685</v>
      </c>
      <c r="P84" s="115">
        <v>4.44860106916832</v>
      </c>
      <c r="Q84" s="111">
        <v>4.7346386819898685</v>
      </c>
      <c r="R84" s="68">
        <v>4.44860106916832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0.21662432208462981</v>
      </c>
      <c r="M85" s="115">
        <v>428.11666607574523</v>
      </c>
      <c r="N85" s="115">
        <v>10097.286941856441</v>
      </c>
      <c r="O85" s="115">
        <v>10.026621045166605</v>
      </c>
      <c r="P85" s="115">
        <v>9.0331305229618728</v>
      </c>
      <c r="Q85" s="111">
        <v>10.026621045166605</v>
      </c>
      <c r="R85" s="68">
        <v>9.0331305229618728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3.753407433271887E-4</v>
      </c>
      <c r="M86" s="115">
        <v>128.04058524688466</v>
      </c>
      <c r="N86" s="115">
        <v>4276.5566231384364</v>
      </c>
      <c r="O86" s="115">
        <v>25.206517384308537</v>
      </c>
      <c r="P86" s="115">
        <v>10.143722500013686</v>
      </c>
      <c r="Q86" s="111">
        <v>25.20651738430854</v>
      </c>
      <c r="R86" s="68">
        <v>10.143722500013686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1.2899690523947372E-4</v>
      </c>
      <c r="M87" s="115">
        <v>143.96871563368506</v>
      </c>
      <c r="N87" s="115">
        <v>4846.0667167199217</v>
      </c>
      <c r="O87" s="115">
        <v>27.870596899183081</v>
      </c>
      <c r="P87" s="115">
        <v>10.529112679607168</v>
      </c>
      <c r="Q87" s="111">
        <v>27.870596899183084</v>
      </c>
      <c r="R87" s="68">
        <v>10.529112679607168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3.5962475399937053E-5</v>
      </c>
      <c r="M88" s="115">
        <v>154.51707499776964</v>
      </c>
      <c r="N88" s="115">
        <v>5247.0916028316333</v>
      </c>
      <c r="O88" s="115">
        <v>29.661485522243609</v>
      </c>
      <c r="P88" s="115">
        <v>10.818662678912586</v>
      </c>
      <c r="Q88" s="111">
        <v>29.661485522243609</v>
      </c>
      <c r="R88" s="68">
        <v>10.818662678912586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6.5365024877688084E-3</v>
      </c>
      <c r="M89" s="115">
        <v>2179.120003434381</v>
      </c>
      <c r="N89" s="115">
        <v>51235.700225374516</v>
      </c>
      <c r="O89" s="115">
        <v>39.141172941084712</v>
      </c>
      <c r="P89" s="115">
        <v>13.506094216133636</v>
      </c>
      <c r="Q89" s="111">
        <v>39.141172941084719</v>
      </c>
      <c r="R89" s="68">
        <v>13.506094216133636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0.98526159402213243</v>
      </c>
      <c r="M90" s="115">
        <v>0.92617818277600295</v>
      </c>
      <c r="N90" s="115">
        <v>1.502830179887978</v>
      </c>
      <c r="O90" s="115">
        <v>0.82605720936304528</v>
      </c>
      <c r="P90" s="115">
        <v>0.95534281119917974</v>
      </c>
      <c r="Q90" s="111">
        <v>0.82605720936304539</v>
      </c>
      <c r="R90" s="68">
        <v>0.95534281119917974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0.81786809433417673</v>
      </c>
      <c r="M91" s="115">
        <v>3.5463705049880114</v>
      </c>
      <c r="N91" s="115">
        <v>87.251565222437449</v>
      </c>
      <c r="O91" s="115">
        <v>1.492423639503752</v>
      </c>
      <c r="P91" s="115">
        <v>1.4883568893459909</v>
      </c>
      <c r="Q91" s="111">
        <v>1.492423639503752</v>
      </c>
      <c r="R91" s="68">
        <v>1.4883568893459909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0.15250714619893785</v>
      </c>
      <c r="M92" s="115">
        <v>19.853407650626046</v>
      </c>
      <c r="N92" s="115">
        <v>624.96327967065656</v>
      </c>
      <c r="O92" s="115">
        <v>6.4923574209801638</v>
      </c>
      <c r="P92" s="115">
        <v>6.2318107740434527</v>
      </c>
      <c r="Q92" s="111">
        <v>6.4923574209801647</v>
      </c>
      <c r="R92" s="68">
        <v>6.2318107740434527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0.99266421093390589</v>
      </c>
      <c r="M93" s="115">
        <v>0.8900327835439884</v>
      </c>
      <c r="N93" s="115">
        <v>0.62186694365926376</v>
      </c>
      <c r="O93" s="115">
        <v>0.84284740721494111</v>
      </c>
      <c r="P93" s="115">
        <v>0.99119893516694668</v>
      </c>
      <c r="Q93" s="111">
        <v>0.84284740721494111</v>
      </c>
      <c r="R93" s="68">
        <v>0.99119893516694668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1.0024384487282989</v>
      </c>
      <c r="M94" s="115">
        <v>0.89368564793839822</v>
      </c>
      <c r="N94" s="115">
        <v>0.15148255771190605</v>
      </c>
      <c r="O94" s="115">
        <v>0.82509863593261756</v>
      </c>
      <c r="P94" s="115">
        <v>0.95902200991436692</v>
      </c>
      <c r="Q94" s="111">
        <v>0.82509863593261767</v>
      </c>
      <c r="R94" s="68">
        <v>0.95902200991436704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0.97662255131413811</v>
      </c>
      <c r="M95" s="115">
        <v>1.0845282470468038</v>
      </c>
      <c r="N95" s="115">
        <v>6.5990320387788381</v>
      </c>
      <c r="O95" s="115">
        <v>0.85017351741871316</v>
      </c>
      <c r="P95" s="115">
        <v>0.9670966500667838</v>
      </c>
      <c r="Q95" s="111">
        <v>0.85017351741871316</v>
      </c>
      <c r="R95" s="68">
        <v>0.9670966500667838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5.4775621857496655E-4</v>
      </c>
      <c r="M96" s="115">
        <v>120.15368554395765</v>
      </c>
      <c r="N96" s="115">
        <v>4001.4986928384706</v>
      </c>
      <c r="O96" s="115">
        <v>23.896516126185784</v>
      </c>
      <c r="P96" s="115">
        <v>9.9653958011573227</v>
      </c>
      <c r="Q96" s="111">
        <v>23.896516126185784</v>
      </c>
      <c r="R96" s="68">
        <v>9.9653958011573227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0.71186926515454385</v>
      </c>
      <c r="M97" s="115">
        <v>5.7934532859135794</v>
      </c>
      <c r="N97" s="115">
        <v>160.46918338642297</v>
      </c>
      <c r="O97" s="115">
        <v>2.1157022821286069</v>
      </c>
      <c r="P97" s="115">
        <v>2.0279032414760079</v>
      </c>
      <c r="Q97" s="111">
        <v>2.1157022821286069</v>
      </c>
      <c r="R97" s="68">
        <v>2.0279032414760079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0.80108220830101273</v>
      </c>
      <c r="M98" s="115">
        <v>3.8865633942769842</v>
      </c>
      <c r="N98" s="115">
        <v>98.328152572265992</v>
      </c>
      <c r="O98" s="115">
        <v>1.5851578626248863</v>
      </c>
      <c r="P98" s="115">
        <v>1.5673354737084377</v>
      </c>
      <c r="Q98" s="111">
        <v>1.5851578626248866</v>
      </c>
      <c r="R98" s="68">
        <v>1.567335473708438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0.92555449614982976</v>
      </c>
      <c r="M99" s="115">
        <v>1.6149475090398708</v>
      </c>
      <c r="N99" s="115">
        <v>24.297753470991811</v>
      </c>
      <c r="O99" s="115">
        <v>0.98496301017648236</v>
      </c>
      <c r="P99" s="115">
        <v>1.0704215078510708</v>
      </c>
      <c r="Q99" s="111">
        <v>0.98496301017648236</v>
      </c>
      <c r="R99" s="68">
        <v>1.0704215078510708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3.6247064512483955E-3</v>
      </c>
      <c r="M100" s="115">
        <v>60.27317462359089</v>
      </c>
      <c r="N100" s="115">
        <v>1973.2771712687397</v>
      </c>
      <c r="O100" s="115">
        <v>14.050158226791231</v>
      </c>
      <c r="P100" s="115">
        <v>8.7566590717403265</v>
      </c>
      <c r="Q100" s="111">
        <v>14.050158226791231</v>
      </c>
      <c r="R100" s="68">
        <v>8.7566590717403265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0.21634299587115105</v>
      </c>
      <c r="M101" s="115">
        <v>18.179932780553191</v>
      </c>
      <c r="N101" s="115">
        <v>568.43668992780988</v>
      </c>
      <c r="O101" s="115">
        <v>5.9063317066276264</v>
      </c>
      <c r="P101" s="115">
        <v>5.6150277530877828</v>
      </c>
      <c r="Q101" s="111">
        <v>5.9063317066276264</v>
      </c>
      <c r="R101" s="68">
        <v>5.6150277530877828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4.3826700147406951E-2</v>
      </c>
      <c r="M102" s="115">
        <v>22.360323552358544</v>
      </c>
      <c r="N102" s="115">
        <v>714.02105819921053</v>
      </c>
      <c r="O102" s="115">
        <v>7.5732364520403648</v>
      </c>
      <c r="P102" s="115">
        <v>7.5251401786871019</v>
      </c>
      <c r="Q102" s="111">
        <v>7.5732364520403648</v>
      </c>
      <c r="R102" s="68">
        <v>7.5251401786871028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0.89403080536390822</v>
      </c>
      <c r="M103" s="115">
        <v>0.91488674810477666</v>
      </c>
      <c r="N103" s="115">
        <v>11.863394207993833</v>
      </c>
      <c r="O103" s="115">
        <v>1.2474772789675599</v>
      </c>
      <c r="P103" s="115">
        <v>1.735436836468073</v>
      </c>
      <c r="Q103" s="111">
        <v>1.2474772789675599</v>
      </c>
      <c r="R103" s="68">
        <v>1.7354368364680732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1.1240847117282928E-2</v>
      </c>
      <c r="M104" s="115">
        <v>1.2619262376135905</v>
      </c>
      <c r="N104" s="115">
        <v>112.64395003537304</v>
      </c>
      <c r="O104" s="115">
        <v>4.8097014677367236</v>
      </c>
      <c r="P104" s="115">
        <v>8.2577540320890606</v>
      </c>
      <c r="Q104" s="111">
        <v>4.8097014677367236</v>
      </c>
      <c r="R104" s="68">
        <v>8.2577540320890606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0.98300621518017994</v>
      </c>
      <c r="M105" s="115">
        <v>0.93572248179320705</v>
      </c>
      <c r="N105" s="115">
        <v>1.8389137179960355</v>
      </c>
      <c r="O105" s="115">
        <v>0.82792200076441669</v>
      </c>
      <c r="P105" s="115">
        <v>0.95594554119575714</v>
      </c>
      <c r="Q105" s="111">
        <v>0.82792200076441669</v>
      </c>
      <c r="R105" s="68">
        <v>0.95594554119575725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0.9736538403848487</v>
      </c>
      <c r="M106" s="115">
        <v>1.0986987248262656</v>
      </c>
      <c r="N106" s="115">
        <v>7.1055705012478692</v>
      </c>
      <c r="O106" s="115">
        <v>0.85303891734201698</v>
      </c>
      <c r="P106" s="115">
        <v>0.96878433790752627</v>
      </c>
      <c r="Q106" s="111">
        <v>0.85303891734201698</v>
      </c>
      <c r="R106" s="68">
        <v>0.96878433790752627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2.6187422361002386E-2</v>
      </c>
      <c r="M107" s="115">
        <v>25.951912062470928</v>
      </c>
      <c r="N107" s="115">
        <v>759.40484823138115</v>
      </c>
      <c r="O107" s="115">
        <v>7.1311619899557517</v>
      </c>
      <c r="P107" s="115">
        <v>7.1756306721414367</v>
      </c>
      <c r="Q107" s="111">
        <v>7.1311619899557517</v>
      </c>
      <c r="R107" s="68">
        <v>7.1756306721414376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0.99976172966604582</v>
      </c>
      <c r="M108" s="115">
        <v>0.89059700586000434</v>
      </c>
      <c r="N108" s="115">
        <v>7.8407058663307883E-2</v>
      </c>
      <c r="O108" s="115">
        <v>0.82500477156189367</v>
      </c>
      <c r="P108" s="115">
        <v>0.9589133609067958</v>
      </c>
      <c r="Q108" s="111">
        <v>0.82500477156189367</v>
      </c>
      <c r="R108" s="68">
        <v>0.95891336090679591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2.9704228567201936</v>
      </c>
      <c r="M109" s="115">
        <v>12.012423831111352</v>
      </c>
      <c r="N109" s="115">
        <v>262.23692782563813</v>
      </c>
      <c r="O109" s="115">
        <v>1.2321894630268104</v>
      </c>
      <c r="P109" s="115">
        <v>1.4328434148909859</v>
      </c>
      <c r="Q109" s="111">
        <v>1.2321894630268104</v>
      </c>
      <c r="R109" s="68">
        <v>1.4328434148909859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0.99409965420299207</v>
      </c>
      <c r="M110" s="115">
        <v>0.89171950795919208</v>
      </c>
      <c r="N110" s="115">
        <v>0.22356375298767189</v>
      </c>
      <c r="O110" s="115">
        <v>0.82412271231304568</v>
      </c>
      <c r="P110" s="115">
        <v>0.95749148722656485</v>
      </c>
      <c r="Q110" s="111">
        <v>0.82412271231304568</v>
      </c>
      <c r="R110" s="68">
        <v>0.95749148722656485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0.9969513620608611</v>
      </c>
      <c r="M111" s="115">
        <v>0.88732039706867782</v>
      </c>
      <c r="N111" s="115">
        <v>3.2453017719311682E-3</v>
      </c>
      <c r="O111" s="115">
        <v>0.825007225876495</v>
      </c>
      <c r="P111" s="115">
        <v>0.95896786366687081</v>
      </c>
      <c r="Q111" s="111">
        <v>0.825007225876495</v>
      </c>
      <c r="R111" s="68">
        <v>0.95896786366687092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0.9934600000878242</v>
      </c>
      <c r="M112" s="115">
        <v>0.88986309300840227</v>
      </c>
      <c r="N112" s="115">
        <v>0.16899751611111086</v>
      </c>
      <c r="O112" s="115">
        <v>0.82212214472109613</v>
      </c>
      <c r="P112" s="115">
        <v>0.9549442514621741</v>
      </c>
      <c r="Q112" s="111">
        <v>0.82212214472109624</v>
      </c>
      <c r="R112" s="68">
        <v>0.95494425146217421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0.97486055794190118</v>
      </c>
      <c r="M113" s="115">
        <v>0.99752272468602621</v>
      </c>
      <c r="N113" s="115">
        <v>3.9453688053838945</v>
      </c>
      <c r="O113" s="115">
        <v>0.83979073472812305</v>
      </c>
      <c r="P113" s="115">
        <v>0.96287700504291029</v>
      </c>
      <c r="Q113" s="111">
        <v>0.83979073472812316</v>
      </c>
      <c r="R113" s="68">
        <v>0.96287700504291029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0.99517264738592215</v>
      </c>
      <c r="M114" s="115">
        <v>0.88747904366548003</v>
      </c>
      <c r="N114" s="115">
        <v>5.2415766230563189E-2</v>
      </c>
      <c r="O114" s="115">
        <v>0.82252885370304951</v>
      </c>
      <c r="P114" s="115">
        <v>0.95585325995916293</v>
      </c>
      <c r="Q114" s="111">
        <v>0.82252885370304951</v>
      </c>
      <c r="R114" s="68">
        <v>0.95585325995916304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0.97016058440794395</v>
      </c>
      <c r="M115" s="115">
        <v>0.89758952021886795</v>
      </c>
      <c r="N115" s="115">
        <v>3.3995031863573697</v>
      </c>
      <c r="O115" s="115">
        <v>0.93616980481476242</v>
      </c>
      <c r="P115" s="115">
        <v>1.1620807848312824</v>
      </c>
      <c r="Q115" s="111">
        <v>0.93616980481476242</v>
      </c>
      <c r="R115" s="68">
        <v>1.1620807848312824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0.52972244496033249</v>
      </c>
      <c r="M116" s="115">
        <v>123.33809299818225</v>
      </c>
      <c r="N116" s="115">
        <v>2900.0654985077867</v>
      </c>
      <c r="O116" s="115">
        <v>5.7883812145491165</v>
      </c>
      <c r="P116" s="115">
        <v>7.5269805730584167</v>
      </c>
      <c r="Q116" s="111">
        <v>5.7883812145491174</v>
      </c>
      <c r="R116" s="68">
        <v>7.5269805730584167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0.57743821833266962</v>
      </c>
      <c r="M117" s="115">
        <v>8.9177783800606321</v>
      </c>
      <c r="N117" s="115">
        <v>262.52701276337285</v>
      </c>
      <c r="O117" s="115">
        <v>3.0159639176090822</v>
      </c>
      <c r="P117" s="115">
        <v>2.8348568604183826</v>
      </c>
      <c r="Q117" s="111">
        <v>3.0159639176090822</v>
      </c>
      <c r="R117" s="68">
        <v>2.834856860418383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2025-02-02T13:43:41Z</dcterms:modified>
</cp:coreProperties>
</file>