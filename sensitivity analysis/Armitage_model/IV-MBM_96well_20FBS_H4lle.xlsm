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360C94F2-57F8-491D-A05C-88DB5DC5CBCD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<sst xmlns="http://schemas.openxmlformats.org/spreadsheetml/2006/main" count="3187" uniqueCount="515">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</sst>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 t="s">
        <v>176</v>
      </c>
      <c r="H118" s="103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 t="s">
        <v>176</v>
      </c>
      <c r="H119" s="103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 t="s">
        <v>176</v>
      </c>
      <c r="H120" s="103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 t="s">
        <v>176</v>
      </c>
      <c r="H121" s="103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 t="s">
        <v>176</v>
      </c>
      <c r="H122" s="103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 t="s">
        <v>176</v>
      </c>
      <c r="H123" s="103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 t="s">
        <v>176</v>
      </c>
      <c r="H124" s="103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 t="s">
        <v>176</v>
      </c>
      <c r="H125" s="103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 t="s">
        <v>176</v>
      </c>
      <c r="H126" s="103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 t="s">
        <v>363</v>
      </c>
      <c r="H127" s="103">
        <v>9.4</v>
      </c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 t="s">
        <v>176</v>
      </c>
      <c r="H128" s="103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 t="s">
        <v>176</v>
      </c>
      <c r="H129" s="103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 t="s">
        <v>176</v>
      </c>
      <c r="H130" s="103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 t="s">
        <v>363</v>
      </c>
      <c r="H131" s="103">
        <v>9</v>
      </c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 t="s">
        <v>306</v>
      </c>
      <c r="H132" s="104">
        <v>-2.9</v>
      </c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 t="s">
        <v>306</v>
      </c>
      <c r="H133" s="103">
        <v>1.4</v>
      </c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 t="s">
        <v>306</v>
      </c>
      <c r="H134" s="103">
        <v>0.1</v>
      </c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 t="s">
        <v>306</v>
      </c>
      <c r="H135" s="104">
        <v>0.1</v>
      </c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 t="s">
        <v>306</v>
      </c>
      <c r="H136" s="104">
        <v>0.1</v>
      </c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 t="s">
        <v>306</v>
      </c>
      <c r="H137" s="104">
        <v>0.1</v>
      </c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 t="s">
        <v>306</v>
      </c>
      <c r="H138" s="104">
        <v>1.4</v>
      </c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 t="s">
        <v>306</v>
      </c>
      <c r="H139" s="104">
        <v>1.4</v>
      </c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 t="s">
        <v>306</v>
      </c>
      <c r="H140" s="104">
        <v>0.1</v>
      </c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 t="s">
        <v>306</v>
      </c>
      <c r="H141" s="104">
        <v>-2.9</v>
      </c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 t="s">
        <v>306</v>
      </c>
      <c r="H142" s="104">
        <v>0.1</v>
      </c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 t="s">
        <v>306</v>
      </c>
      <c r="H143" s="104">
        <v>0.1</v>
      </c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 t="s">
        <v>306</v>
      </c>
      <c r="H144" s="104">
        <v>-2.9</v>
      </c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 t="s">
        <v>306</v>
      </c>
      <c r="H145" s="104">
        <v>0.1</v>
      </c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 t="s">
        <v>306</v>
      </c>
      <c r="H146" s="104">
        <v>8.1999999999999993</v>
      </c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 t="s">
        <v>176</v>
      </c>
      <c r="H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 t="s">
        <v>176</v>
      </c>
      <c r="H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 t="s">
        <v>306</v>
      </c>
      <c r="H149" s="104">
        <v>4.7</v>
      </c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 t="s">
        <v>363</v>
      </c>
      <c r="H150" s="104">
        <v>17.600000000000001</v>
      </c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 t="s">
        <v>363</v>
      </c>
      <c r="H151" s="104">
        <v>6.1</v>
      </c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 t="s">
        <v>176</v>
      </c>
      <c r="H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 t="s">
        <v>176</v>
      </c>
      <c r="H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 t="s">
        <v>176</v>
      </c>
      <c r="H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 t="s">
        <v>176</v>
      </c>
      <c r="H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 t="s">
        <v>176</v>
      </c>
      <c r="H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 t="s">
        <v>176</v>
      </c>
      <c r="H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 t="s">
        <v>176</v>
      </c>
      <c r="H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 t="s">
        <v>306</v>
      </c>
      <c r="H159" s="104">
        <v>3</v>
      </c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 t="s">
        <v>306</v>
      </c>
      <c r="H160" s="104">
        <v>5</v>
      </c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 t="s">
        <v>176</v>
      </c>
      <c r="H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 t="s">
        <v>363</v>
      </c>
      <c r="H162" s="104">
        <v>6</v>
      </c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 t="s">
        <v>363</v>
      </c>
      <c r="H163" s="104">
        <v>6.6</v>
      </c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 t="s">
        <v>363</v>
      </c>
      <c r="H164" s="104">
        <v>9.6</v>
      </c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 t="s">
        <v>363</v>
      </c>
      <c r="H165" s="104">
        <v>9</v>
      </c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 t="s">
        <v>306</v>
      </c>
      <c r="H166" s="104">
        <v>7.3</v>
      </c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 t="s">
        <v>306</v>
      </c>
      <c r="H167" s="104">
        <v>4.5</v>
      </c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 t="s">
        <v>176</v>
      </c>
      <c r="H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 t="s">
        <v>176</v>
      </c>
      <c r="H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 t="s">
        <v>306</v>
      </c>
      <c r="H170" s="104">
        <v>9.1999999999999993</v>
      </c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 t="s">
        <v>306</v>
      </c>
      <c r="H171" s="104">
        <v>3.3</v>
      </c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 t="s">
        <v>363</v>
      </c>
      <c r="H172" s="104">
        <v>9.1999999999999993</v>
      </c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 t="s">
        <v>176</v>
      </c>
      <c r="H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7.0000000000000007E-2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7.0000000000000007E-2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4.6666666666666672E-4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2.8000000000000003E-6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8.2431859700291038E-8</v>
      </c>
      <c r="J2" s="67" t="s">
        <v>231</v>
      </c>
      <c r="K2" s="68">
        <v>9.3308920027540792E-4</v>
      </c>
      <c r="L2" s="67" t="s">
        <v>231</v>
      </c>
      <c r="M2" s="68">
        <v>1.1554477727551077E-3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9.5497403363175035E-6</v>
      </c>
      <c r="J3" s="67" t="s">
        <v>231</v>
      </c>
      <c r="K3" s="68">
        <v>3.6198088400840301E-3</v>
      </c>
      <c r="L3" s="67" t="s">
        <v>231</v>
      </c>
      <c r="M3" s="68">
        <v>0.29315332066367505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9.1622719104889677E-15</v>
      </c>
      <c r="J4" s="67" t="s">
        <v>231</v>
      </c>
      <c r="K4" s="68">
        <v>1.0469842798673835E-3</v>
      </c>
      <c r="L4" s="67" t="s">
        <v>231</v>
      </c>
      <c r="M4" s="68">
        <v>3.0590247986174235E-3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1.2213289079304077E-10</v>
      </c>
      <c r="J5" s="67" t="s">
        <v>231</v>
      </c>
      <c r="K5" s="68">
        <v>7.0798466627454903E-4</v>
      </c>
      <c r="L5" s="67" t="s">
        <v>231</v>
      </c>
      <c r="M5" s="68">
        <v>4.5006354838510329E-2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3.5109558092380459E-7</v>
      </c>
      <c r="J6" s="67" t="s">
        <v>231</v>
      </c>
      <c r="K6" s="68">
        <v>5.8273555947666294E-4</v>
      </c>
      <c r="L6" s="67" t="s">
        <v>231</v>
      </c>
      <c r="M6" s="68">
        <v>6.400232892888974E-2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1.5859018957315495E-6</v>
      </c>
      <c r="J7" s="67" t="s">
        <v>231</v>
      </c>
      <c r="K7" s="68">
        <v>4.8498534964735291E-4</v>
      </c>
      <c r="L7" s="67" t="s">
        <v>231</v>
      </c>
      <c r="M7" s="68">
        <v>8.4556683075320119E-2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5.3142377044252477E-9</v>
      </c>
      <c r="J8" s="67" t="s">
        <v>231</v>
      </c>
      <c r="K8" s="68">
        <v>5.2096235582185942E-4</v>
      </c>
      <c r="L8" s="67" t="s">
        <v>231</v>
      </c>
      <c r="M8" s="68">
        <v>7.0307677763354601E-2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4.2032380544177912E-7</v>
      </c>
      <c r="J9" s="67" t="s">
        <v>231</v>
      </c>
      <c r="K9" s="68">
        <v>7.4775269524834681E-4</v>
      </c>
      <c r="L9" s="67" t="s">
        <v>231</v>
      </c>
      <c r="M9" s="68">
        <v>3.955547032196792E-2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2.2389551218760865E-4</v>
      </c>
      <c r="J10" s="67" t="s">
        <v>231</v>
      </c>
      <c r="K10" s="68">
        <v>4.549159855052198E-3</v>
      </c>
      <c r="L10" s="67" t="s">
        <v>231</v>
      </c>
      <c r="M10" s="68">
        <v>0.73436889046645248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5.342843133820113E-9</v>
      </c>
      <c r="J11" s="67" t="s">
        <v>231</v>
      </c>
      <c r="K11" s="68">
        <v>2.7351239673687671E-2</v>
      </c>
      <c r="L11" s="67" t="s">
        <v>231</v>
      </c>
      <c r="M11" s="68">
        <v>5.383046727300079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2.4504524034528835E-8</v>
      </c>
      <c r="J12" s="67" t="s">
        <v>231</v>
      </c>
      <c r="K12" s="68">
        <v>8.7911265348863509E-4</v>
      </c>
      <c r="L12" s="67" t="s">
        <v>231</v>
      </c>
      <c r="M12" s="68">
        <v>6.2781247332878497E-5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1.1424468856966483E-3</v>
      </c>
      <c r="J13" s="67" t="s">
        <v>231</v>
      </c>
      <c r="K13" s="68">
        <v>1.9620932677566197E-3</v>
      </c>
      <c r="L13" s="67" t="s">
        <v>231</v>
      </c>
      <c r="M13" s="68">
        <v>0.21799822518896267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9.3694272582583718E-9</v>
      </c>
      <c r="J14" s="67" t="s">
        <v>231</v>
      </c>
      <c r="K14" s="68">
        <v>7.5115203231242221E-4</v>
      </c>
      <c r="L14" s="67" t="s">
        <v>231</v>
      </c>
      <c r="M14" s="68">
        <v>0.16795837147903289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1.1746861409053423E-6</v>
      </c>
      <c r="J15" s="67" t="s">
        <v>231</v>
      </c>
      <c r="K15" s="68">
        <v>9.8841885310083652E-4</v>
      </c>
      <c r="L15" s="67" t="s">
        <v>231</v>
      </c>
      <c r="M15" s="68">
        <v>3.2027266186148963E-2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1.0081821077387174E-4</v>
      </c>
      <c r="J16" s="67" t="s">
        <v>231</v>
      </c>
      <c r="K16" s="68">
        <v>2.1079886006860767E-3</v>
      </c>
      <c r="L16" s="67" t="s">
        <v>231</v>
      </c>
      <c r="M16" s="68">
        <v>0.24705787151991238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2.2581190524092797E-6</v>
      </c>
      <c r="J17" s="67" t="s">
        <v>231</v>
      </c>
      <c r="K17" s="68">
        <v>2.0121844537224899E-3</v>
      </c>
      <c r="L17" s="67" t="s">
        <v>231</v>
      </c>
      <c r="M17" s="68">
        <v>0.22827627771568512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2.7035700580343397E-3</v>
      </c>
      <c r="J18" s="67" t="s">
        <v>231</v>
      </c>
      <c r="K18" s="68">
        <v>2.3354540033830855E-2</v>
      </c>
      <c r="L18" s="67" t="s">
        <v>231</v>
      </c>
      <c r="M18" s="68">
        <v>3.8273152034520201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1.8941435653601939E-6</v>
      </c>
      <c r="J19" s="67" t="s">
        <v>231</v>
      </c>
      <c r="K19" s="68">
        <v>9.5482740262148205E-4</v>
      </c>
      <c r="L19" s="67" t="s">
        <v>231</v>
      </c>
      <c r="M19" s="68">
        <v>1.0706972499991784E-2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5.3709590101125106E-6</v>
      </c>
      <c r="J20" s="67" t="s">
        <v>231</v>
      </c>
      <c r="K20" s="68">
        <v>9.7948569484613613E-4</v>
      </c>
      <c r="L20" s="67" t="s">
        <v>231</v>
      </c>
      <c r="M20" s="68">
        <v>1.8661489644825301E-2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2.097336185777243E-6</v>
      </c>
      <c r="J21" s="67" t="s">
        <v>231</v>
      </c>
      <c r="K21" s="68">
        <v>1.4162442574004914E-3</v>
      </c>
      <c r="L21" s="67" t="s">
        <v>231</v>
      </c>
      <c r="M21" s="68">
        <v>0.22824155145727235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4.1538548362220491E-8</v>
      </c>
      <c r="J22" s="67" t="s">
        <v>231</v>
      </c>
      <c r="K22" s="68">
        <v>8.8537221762323231E-4</v>
      </c>
      <c r="L22" s="67" t="s">
        <v>231</v>
      </c>
      <c r="M22" s="68">
        <v>1.9108323773868402E-3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1.2097417574959458E-5</v>
      </c>
      <c r="J23" s="67" t="s">
        <v>231</v>
      </c>
      <c r="K23" s="68">
        <v>1.1031997938806383E-3</v>
      </c>
      <c r="L23" s="67" t="s">
        <v>231</v>
      </c>
      <c r="M23" s="68">
        <v>5.4324383244073036E-2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1.9198934708631482E-4</v>
      </c>
      <c r="J24" s="67" t="s">
        <v>231</v>
      </c>
      <c r="K24" s="68">
        <v>2.6232252082017877E-3</v>
      </c>
      <c r="L24" s="67" t="s">
        <v>231</v>
      </c>
      <c r="M24" s="68">
        <v>0.34875341850543534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9.2503197079419328E-4</v>
      </c>
      <c r="J25" s="67" t="s">
        <v>231</v>
      </c>
      <c r="K25" s="68">
        <v>2.1474332169457828E-2</v>
      </c>
      <c r="L25" s="67" t="s">
        <v>231</v>
      </c>
      <c r="M25" s="68">
        <v>3.5149068164331987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2.0937087649551561E-4</v>
      </c>
      <c r="J26" s="67" t="s">
        <v>231</v>
      </c>
      <c r="K26" s="68">
        <v>3.3785614270085483E-3</v>
      </c>
      <c r="L26" s="67" t="s">
        <v>231</v>
      </c>
      <c r="M26" s="68">
        <v>0.51667935918861507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6.1885595507522981E-5</v>
      </c>
      <c r="J27" s="67" t="s">
        <v>231</v>
      </c>
      <c r="K27" s="68">
        <v>1.9157840493421844E-3</v>
      </c>
      <c r="L27" s="67" t="s">
        <v>231</v>
      </c>
      <c r="M27" s="68">
        <v>0.30568376159641675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3.0261748558639872E-5</v>
      </c>
      <c r="J28" s="67" t="s">
        <v>231</v>
      </c>
      <c r="K28" s="68">
        <v>9.9903358653354426E-4</v>
      </c>
      <c r="L28" s="67" t="s">
        <v>231</v>
      </c>
      <c r="M28" s="68">
        <v>0.15478948787670244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3.2782564009616318E-7</v>
      </c>
      <c r="J29" s="67" t="s">
        <v>231</v>
      </c>
      <c r="K29" s="68">
        <v>8.2434489529448597E-5</v>
      </c>
      <c r="L29" s="67" t="s">
        <v>231</v>
      </c>
      <c r="M29" s="68">
        <v>1.9235600529853517E-3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7.3425667361402401E-6</v>
      </c>
      <c r="J30" s="67" t="s">
        <v>231</v>
      </c>
      <c r="K30" s="68">
        <v>3.8825941290595613E-4</v>
      </c>
      <c r="L30" s="67" t="s">
        <v>231</v>
      </c>
      <c r="M30" s="68">
        <v>5.9993914919028758E-2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1.1533456906648124E-7</v>
      </c>
      <c r="J31" s="67" t="s">
        <v>231</v>
      </c>
      <c r="K31" s="68">
        <v>7.0518635497971173E-6</v>
      </c>
      <c r="L31" s="67" t="s">
        <v>231</v>
      </c>
      <c r="M31" s="68">
        <v>1.042522408229165E-3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1.035818739410087E-4</v>
      </c>
      <c r="J32" s="67" t="s">
        <v>231</v>
      </c>
      <c r="K32" s="68">
        <v>1.8070948360322258E-3</v>
      </c>
      <c r="L32" s="67" t="s">
        <v>231</v>
      </c>
      <c r="M32" s="68">
        <v>0.18741163691456458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3.3497230554238747E-5</v>
      </c>
      <c r="J33" s="67" t="s">
        <v>231</v>
      </c>
      <c r="K33" s="68">
        <v>1.3317774954307079E-3</v>
      </c>
      <c r="L33" s="67" t="s">
        <v>231</v>
      </c>
      <c r="M33" s="68">
        <v>9.0804073719785508E-2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9.951118951897689E-5</v>
      </c>
      <c r="J34" s="67" t="s">
        <v>231</v>
      </c>
      <c r="K34" s="68">
        <v>3.7687099059852706E-3</v>
      </c>
      <c r="L34" s="67" t="s">
        <v>231</v>
      </c>
      <c r="M34" s="68">
        <v>0.57213397905422492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4.4421991712206062E-4</v>
      </c>
      <c r="J35" s="67" t="s">
        <v>231</v>
      </c>
      <c r="K35" s="68">
        <v>4.4479418833665791E-3</v>
      </c>
      <c r="L35" s="67" t="s">
        <v>231</v>
      </c>
      <c r="M35" s="68">
        <v>0.71464268501995354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8.9860577799592541E-4</v>
      </c>
      <c r="J36" s="67" t="s">
        <v>231</v>
      </c>
      <c r="K36" s="68">
        <v>9.745871486004816E-3</v>
      </c>
      <c r="L36" s="67" t="s">
        <v>231</v>
      </c>
      <c r="M36" s="68">
        <v>1.583349646819826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5.8602942466474853E-4</v>
      </c>
      <c r="J37" s="67" t="s">
        <v>231</v>
      </c>
      <c r="K37" s="68">
        <v>2.280271367973416E-2</v>
      </c>
      <c r="L37" s="67" t="s">
        <v>231</v>
      </c>
      <c r="M37" s="68">
        <v>3.7356224586873568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3.1891929355897382E-4</v>
      </c>
      <c r="J38" s="67" t="s">
        <v>231</v>
      </c>
      <c r="K38" s="68">
        <v>1.4304253848863554E-2</v>
      </c>
      <c r="L38" s="67" t="s">
        <v>231</v>
      </c>
      <c r="M38" s="68">
        <v>2.3312475600738214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1.9654104027575579E-4</v>
      </c>
      <c r="J39" s="67" t="s">
        <v>231</v>
      </c>
      <c r="K39" s="68">
        <v>1.071980661887185E-2</v>
      </c>
      <c r="L39" s="67" t="s">
        <v>231</v>
      </c>
      <c r="M39" s="68">
        <v>1.7432037957560063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3.1891929355897382E-4</v>
      </c>
      <c r="J40" s="67" t="s">
        <v>231</v>
      </c>
      <c r="K40" s="68">
        <v>1.4304253848863554E-2</v>
      </c>
      <c r="L40" s="67" t="s">
        <v>231</v>
      </c>
      <c r="M40" s="68">
        <v>2.3312475600738214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8.4548574681638377E-9</v>
      </c>
      <c r="J41" s="67" t="s">
        <v>231</v>
      </c>
      <c r="K41" s="68">
        <v>9.1699028805843313E-4</v>
      </c>
      <c r="L41" s="67" t="s">
        <v>231</v>
      </c>
      <c r="M41" s="68">
        <v>5.4760292297029731E-3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1.0659114616829277E-3</v>
      </c>
      <c r="J42" s="67" t="s">
        <v>231</v>
      </c>
      <c r="K42" s="68">
        <v>2.3285879322544376E-2</v>
      </c>
      <c r="L42" s="67" t="s">
        <v>231</v>
      </c>
      <c r="M42" s="68">
        <v>3.816063164927352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2.1685799900759677E-3</v>
      </c>
      <c r="J43" s="67" t="s">
        <v>231</v>
      </c>
      <c r="K43" s="68">
        <v>2.7608600082073714E-3</v>
      </c>
      <c r="L43" s="67" t="s">
        <v>231</v>
      </c>
      <c r="M43" s="68">
        <v>0.37540497107632936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1.6607770725611535E-3</v>
      </c>
      <c r="J44" s="67" t="s">
        <v>231</v>
      </c>
      <c r="K44" s="68">
        <v>6.9076027347581394E-3</v>
      </c>
      <c r="L44" s="67" t="s">
        <v>231</v>
      </c>
      <c r="M44" s="68">
        <v>1.1191930071946057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2.8819326188224866E-3</v>
      </c>
      <c r="J45" s="67" t="s">
        <v>231</v>
      </c>
      <c r="K45" s="68">
        <v>2.6956704905304683E-2</v>
      </c>
      <c r="L45" s="67" t="s">
        <v>231</v>
      </c>
      <c r="M45" s="68">
        <v>4.4297732080633123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4.2321275742635255E-4</v>
      </c>
      <c r="J46" s="67" t="s">
        <v>231</v>
      </c>
      <c r="K46" s="68">
        <v>2.3942705462998884E-2</v>
      </c>
      <c r="L46" s="67" t="s">
        <v>231</v>
      </c>
      <c r="M46" s="68">
        <v>3.925287996866397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8.2374097323154136E-4</v>
      </c>
      <c r="J47" s="142" t="s">
        <v>231</v>
      </c>
      <c r="K47" s="143">
        <v>1.9231161510716608E-2</v>
      </c>
      <c r="L47" s="142" t="s">
        <v>231</v>
      </c>
      <c r="M47" s="143">
        <v>3.1434490965718247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2.5027847247910981E-4</v>
      </c>
      <c r="J48" s="142" t="s">
        <v>231</v>
      </c>
      <c r="K48" s="143">
        <v>4.3996313094075657E-3</v>
      </c>
      <c r="L48" s="142" t="s">
        <v>231</v>
      </c>
      <c r="M48" s="143">
        <v>0.69763953402139633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1.0001633575015573E-3</v>
      </c>
      <c r="J49" s="142" t="s">
        <v>231</v>
      </c>
      <c r="K49" s="143">
        <v>7.3914599118402383E-3</v>
      </c>
      <c r="L49" s="142" t="s">
        <v>231</v>
      </c>
      <c r="M49" s="143">
        <v>1.1982382589023057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2.4646492939369569E-4</v>
      </c>
      <c r="J50" s="142" t="s">
        <v>231</v>
      </c>
      <c r="K50" s="143">
        <v>8.2477737236257634E-3</v>
      </c>
      <c r="L50" s="142" t="s">
        <v>231</v>
      </c>
      <c r="M50" s="143">
        <v>1.3382136035239944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5.254529955604026E-4</v>
      </c>
      <c r="J51" s="142" t="s">
        <v>231</v>
      </c>
      <c r="K51" s="143">
        <v>4.4792443980216073E-3</v>
      </c>
      <c r="L51" s="142" t="s">
        <v>231</v>
      </c>
      <c r="M51" s="143">
        <v>0.71532366843047135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1.1638442324570768E-2</v>
      </c>
      <c r="J52" s="142" t="s">
        <v>232</v>
      </c>
      <c r="K52" s="143">
        <v>4.409936325317468E-3</v>
      </c>
      <c r="L52" s="142" t="s">
        <v>231</v>
      </c>
      <c r="M52" s="143">
        <v>0.699834088217543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2.3567630430775229E-3</v>
      </c>
      <c r="J53" s="142" t="s">
        <v>231</v>
      </c>
      <c r="K53" s="143">
        <v>1.1287157927263557E-2</v>
      </c>
      <c r="L53" s="142" t="s">
        <v>231</v>
      </c>
      <c r="M53" s="143">
        <v>1.8358826121014571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1.1812460482418885E-3</v>
      </c>
      <c r="J54" s="67" t="s">
        <v>231</v>
      </c>
      <c r="K54" s="68">
        <v>7.8118977231958113E-3</v>
      </c>
      <c r="L54" s="67" t="s">
        <v>231</v>
      </c>
      <c r="M54" s="68">
        <v>1.2669507698043001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8.6673118419443329E-4</v>
      </c>
      <c r="J55" s="67" t="s">
        <v>231</v>
      </c>
      <c r="K55" s="68">
        <v>1.8995977427278016E-2</v>
      </c>
      <c r="L55" s="67" t="s">
        <v>231</v>
      </c>
      <c r="M55" s="68">
        <v>3.1045798006244838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6.9980168465764504E-4</v>
      </c>
      <c r="J56" s="67" t="s">
        <v>231</v>
      </c>
      <c r="K56" s="68">
        <v>7.06657570860673E-3</v>
      </c>
      <c r="L56" s="67" t="s">
        <v>231</v>
      </c>
      <c r="M56" s="68">
        <v>1.1451595640947223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1.8803690848695318E-3</v>
      </c>
      <c r="J57" s="67" t="s">
        <v>231</v>
      </c>
      <c r="K57" s="68">
        <v>4.3320494266899994E-3</v>
      </c>
      <c r="L57" s="67" t="s">
        <v>231</v>
      </c>
      <c r="M57" s="68">
        <v>0.68417223646213932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7.182474876729128E-3</v>
      </c>
      <c r="J58" s="67" t="s">
        <v>231</v>
      </c>
      <c r="K58" s="68">
        <v>7.8979088780979246E-3</v>
      </c>
      <c r="L58" s="67" t="s">
        <v>231</v>
      </c>
      <c r="M58" s="68">
        <v>1.2810107460852393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1.2042667662040462E-3</v>
      </c>
      <c r="J59" s="67" t="s">
        <v>231</v>
      </c>
      <c r="K59" s="68">
        <v>4.4104631077643858E-3</v>
      </c>
      <c r="L59" s="67" t="s">
        <v>231</v>
      </c>
      <c r="M59" s="68">
        <v>0.69991768586753877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3.3974626421694469E-3</v>
      </c>
      <c r="J60" s="67" t="s">
        <v>231</v>
      </c>
      <c r="K60" s="68">
        <v>1.0346169614829238E-2</v>
      </c>
      <c r="L60" s="67" t="s">
        <v>231</v>
      </c>
      <c r="M60" s="68">
        <v>1.6816674898472206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2.8379400406197345E-5</v>
      </c>
      <c r="J61" s="67" t="s">
        <v>231</v>
      </c>
      <c r="K61" s="68">
        <v>2.5523628862057255E-2</v>
      </c>
      <c r="L61" s="67" t="s">
        <v>231</v>
      </c>
      <c r="M61" s="68">
        <v>0.8937706275066154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1.5352394665810922E-4</v>
      </c>
      <c r="J62" s="67" t="s">
        <v>231</v>
      </c>
      <c r="K62" s="68">
        <v>3.6991467360612778E-3</v>
      </c>
      <c r="L62" s="67" t="s">
        <v>231</v>
      </c>
      <c r="M62" s="68">
        <v>0.55853540533987334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1.7226792229434895E-6</v>
      </c>
      <c r="J63" s="67" t="s">
        <v>231</v>
      </c>
      <c r="K63" s="68">
        <v>4.7517717214299975E-3</v>
      </c>
      <c r="L63" s="67" t="s">
        <v>231</v>
      </c>
      <c r="M63" s="68">
        <v>0.11404271377350818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1.0553055126910486E-7</v>
      </c>
      <c r="J64" s="67" t="s">
        <v>231</v>
      </c>
      <c r="K64" s="68">
        <v>9.3385142869950317E-4</v>
      </c>
      <c r="L64" s="67" t="s">
        <v>231</v>
      </c>
      <c r="M64" s="68">
        <v>2.2599053622164404E-3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2.0160640842846721E-8</v>
      </c>
      <c r="J65" s="67" t="s">
        <v>231</v>
      </c>
      <c r="K65" s="68">
        <v>1.2789017327543221E-3</v>
      </c>
      <c r="L65" s="67" t="s">
        <v>231</v>
      </c>
      <c r="M65" s="68">
        <v>9.5858620808119879E-3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1.4553159986352096E-7</v>
      </c>
      <c r="J66" s="67" t="s">
        <v>231</v>
      </c>
      <c r="K66" s="68">
        <v>3.2756898169772446E-2</v>
      </c>
      <c r="L66" s="67" t="s">
        <v>231</v>
      </c>
      <c r="M66" s="68">
        <v>0.88664841608619893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1.9864905726474853E-8</v>
      </c>
      <c r="J67" s="67" t="s">
        <v>231</v>
      </c>
      <c r="K67" s="68">
        <v>1.2203854539584813E-3</v>
      </c>
      <c r="L67" s="67" t="s">
        <v>231</v>
      </c>
      <c r="M67" s="68">
        <v>7.9822346664693219E-3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6.450634944326142E-9</v>
      </c>
      <c r="J68" s="67" t="s">
        <v>231</v>
      </c>
      <c r="K68" s="68">
        <v>9.7323595637731407E-4</v>
      </c>
      <c r="L68" s="67" t="s">
        <v>231</v>
      </c>
      <c r="M68" s="68">
        <v>1.0588154517666532E-3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3.9039823507776975E-5</v>
      </c>
      <c r="J69" s="67" t="s">
        <v>231</v>
      </c>
      <c r="K69" s="68">
        <v>6.2784301296945171E-3</v>
      </c>
      <c r="L69" s="67" t="s">
        <v>231</v>
      </c>
      <c r="M69" s="68">
        <v>1.0164558048015488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2.2297860816586968E-14</v>
      </c>
      <c r="J70" s="67" t="s">
        <v>231</v>
      </c>
      <c r="K70" s="68">
        <v>9.2366083495274906E-4</v>
      </c>
      <c r="L70" s="67" t="s">
        <v>231</v>
      </c>
      <c r="M70" s="68">
        <v>3.7178408766305473E-3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1.8889581591927017E-10</v>
      </c>
      <c r="J71" s="67" t="s">
        <v>231</v>
      </c>
      <c r="K71" s="68">
        <v>9.1189945993912593E-4</v>
      </c>
      <c r="L71" s="67" t="s">
        <v>231</v>
      </c>
      <c r="M71" s="68">
        <v>6.6463465270009126E-3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2.896530938857224E-14</v>
      </c>
      <c r="J72" s="67" t="s">
        <v>231</v>
      </c>
      <c r="K72" s="68">
        <v>2.8513984852632695E-3</v>
      </c>
      <c r="L72" s="67" t="s">
        <v>231</v>
      </c>
      <c r="M72" s="68">
        <v>0.65614771135430183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1.5692019640648763E-11</v>
      </c>
      <c r="J73" s="67" t="s">
        <v>231</v>
      </c>
      <c r="K73" s="68">
        <v>3.6656763730231356E-4</v>
      </c>
      <c r="L73" s="67" t="s">
        <v>231</v>
      </c>
      <c r="M73" s="68">
        <v>7.6666326876990695E-2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1.7797190198804772E-11</v>
      </c>
      <c r="J74" s="67" t="s">
        <v>231</v>
      </c>
      <c r="K74" s="68">
        <v>9.142307380494199E-4</v>
      </c>
      <c r="L74" s="67" t="s">
        <v>231</v>
      </c>
      <c r="M74" s="68">
        <v>6.0852253403393631E-3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9.7197870848573066E-14</v>
      </c>
      <c r="J75" s="67" t="s">
        <v>231</v>
      </c>
      <c r="K75" s="68">
        <v>3.7422313305183623E-4</v>
      </c>
      <c r="L75" s="67" t="s">
        <v>231</v>
      </c>
      <c r="M75" s="68">
        <v>7.7003745664500189E-2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8.3717089942847928E-9</v>
      </c>
      <c r="J76" s="67" t="s">
        <v>231</v>
      </c>
      <c r="K76" s="68">
        <v>6.5162991326141672E-4</v>
      </c>
      <c r="L76" s="67" t="s">
        <v>231</v>
      </c>
      <c r="M76" s="68">
        <v>5.3518952885742148E-2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6.5973246660673162E-8</v>
      </c>
      <c r="J77" s="67" t="s">
        <v>231</v>
      </c>
      <c r="K77" s="68">
        <v>3.6869743072283215E-4</v>
      </c>
      <c r="L77" s="67" t="s">
        <v>231</v>
      </c>
      <c r="M77" s="68">
        <v>7.6772325321468923E-2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2.8620635307091637E-13</v>
      </c>
      <c r="J78" s="67" t="s">
        <v>231</v>
      </c>
      <c r="K78" s="68">
        <v>2.3899045335305643E-3</v>
      </c>
      <c r="L78" s="67" t="s">
        <v>231</v>
      </c>
      <c r="M78" s="68">
        <v>0.54972133976449733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1.5745587107877533E-16</v>
      </c>
      <c r="J79" s="67" t="s">
        <v>231</v>
      </c>
      <c r="K79" s="68">
        <v>2.3899027930194762E-3</v>
      </c>
      <c r="L79" s="67" t="s">
        <v>231</v>
      </c>
      <c r="M79" s="68">
        <v>0.54972107439261497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2.0691824130398567E-14</v>
      </c>
      <c r="J80" s="67" t="s">
        <v>231</v>
      </c>
      <c r="K80" s="68">
        <v>4.76519461333847E-4</v>
      </c>
      <c r="L80" s="67" t="s">
        <v>231</v>
      </c>
      <c r="M80" s="68">
        <v>7.3828275793332329E-2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7.0085437661927966E-11</v>
      </c>
      <c r="J81" s="67" t="s">
        <v>231</v>
      </c>
      <c r="K81" s="68">
        <v>8.4440366830904176E-4</v>
      </c>
      <c r="L81" s="67" t="s">
        <v>231</v>
      </c>
      <c r="M81" s="68">
        <v>2.1011767171281073E-2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1.3929188586423189E-15</v>
      </c>
      <c r="J82" s="67" t="s">
        <v>231</v>
      </c>
      <c r="K82" s="68">
        <v>7.4135875656305256E-4</v>
      </c>
      <c r="L82" s="67" t="s">
        <v>231</v>
      </c>
      <c r="M82" s="68">
        <v>3.9569766726089764E-2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1.7023883273326825E-14</v>
      </c>
      <c r="J83" s="67" t="s">
        <v>231</v>
      </c>
      <c r="K83" s="68">
        <v>4.633280769023182E-3</v>
      </c>
      <c r="L83" s="67" t="s">
        <v>231</v>
      </c>
      <c r="M83" s="68">
        <v>1.0669302204941489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4.1846435149348299E-2</v>
      </c>
      <c r="J84" s="67" t="s">
        <v>232</v>
      </c>
      <c r="K84" s="68">
        <v>3.1369912425373552E-3</v>
      </c>
      <c r="L84" s="67" t="s">
        <v>231</v>
      </c>
      <c r="M84" s="68">
        <v>0.44889969662073703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4.6327610076948368E-6</v>
      </c>
      <c r="J85" s="67" t="s">
        <v>231</v>
      </c>
      <c r="K85" s="68">
        <v>0.32829087938472462</v>
      </c>
      <c r="L85" s="67" t="s">
        <v>231</v>
      </c>
      <c r="M85" s="68">
        <v>9.0679786136886698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2.7943531418717288E-4</v>
      </c>
      <c r="J86" s="67" t="s">
        <v>231</v>
      </c>
      <c r="K86" s="68">
        <v>2.6170413558704975E-2</v>
      </c>
      <c r="L86" s="67" t="s">
        <v>231</v>
      </c>
      <c r="M86" s="68">
        <v>4.2976982776264618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2.0046574583187525E-4</v>
      </c>
      <c r="J87" s="67" t="s">
        <v>231</v>
      </c>
      <c r="K87" s="68">
        <v>2.9571819217686254E-2</v>
      </c>
      <c r="L87" s="67" t="s">
        <v>231</v>
      </c>
      <c r="M87" s="68">
        <v>4.8727261289052928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3.0478633478548452E-4</v>
      </c>
      <c r="J88" s="67" t="s">
        <v>231</v>
      </c>
      <c r="K88" s="68">
        <v>3.1907893552293391E-2</v>
      </c>
      <c r="L88" s="67" t="s">
        <v>231</v>
      </c>
      <c r="M88" s="68">
        <v>5.2776930633321806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4.2712389067598217E-7</v>
      </c>
      <c r="J89" s="67" t="s">
        <v>231</v>
      </c>
      <c r="K89" s="68">
        <v>1.1714595092858802</v>
      </c>
      <c r="L89" s="67" t="s">
        <v>232</v>
      </c>
      <c r="M89" s="68">
        <v>32.738162286871578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1.9379215768106851E-5</v>
      </c>
      <c r="J90" s="67" t="s">
        <v>231</v>
      </c>
      <c r="K90" s="68">
        <v>9.3417768966821957E-4</v>
      </c>
      <c r="L90" s="67" t="s">
        <v>231</v>
      </c>
      <c r="M90" s="68">
        <v>1.5023605488311846E-3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3.8012917773454241E-5</v>
      </c>
      <c r="J91" s="67" t="s">
        <v>231</v>
      </c>
      <c r="K91" s="68">
        <v>1.3145338482040694E-3</v>
      </c>
      <c r="L91" s="67" t="s">
        <v>231</v>
      </c>
      <c r="M91" s="68">
        <v>8.723929187261012E-2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3.3274429508814142E-5</v>
      </c>
      <c r="J92" s="67" t="s">
        <v>231</v>
      </c>
      <c r="K92" s="68">
        <v>4.0402534913578621E-3</v>
      </c>
      <c r="L92" s="67" t="s">
        <v>231</v>
      </c>
      <c r="M92" s="68">
        <v>0.6254405584859295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1.2894116158831985E-8</v>
      </c>
      <c r="J93" s="67" t="s">
        <v>231</v>
      </c>
      <c r="K93" s="68">
        <v>9.3443831600868276E-4</v>
      </c>
      <c r="L93" s="67" t="s">
        <v>231</v>
      </c>
      <c r="M93" s="68">
        <v>6.2166953955554167E-4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2.1137185060113038E-18</v>
      </c>
      <c r="J94" s="67" t="s">
        <v>231</v>
      </c>
      <c r="K94" s="68">
        <v>9.4135967895452987E-4</v>
      </c>
      <c r="L94" s="67" t="s">
        <v>231</v>
      </c>
      <c r="M94" s="68">
        <v>1.5143405583732989E-4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2.3520254326967575E-6</v>
      </c>
      <c r="J95" s="67" t="s">
        <v>231</v>
      </c>
      <c r="K95" s="68">
        <v>9.5907057706399773E-4</v>
      </c>
      <c r="L95" s="67" t="s">
        <v>231</v>
      </c>
      <c r="M95" s="68">
        <v>6.5970324903726063E-3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3.1172268953398672E-3</v>
      </c>
      <c r="J96" s="67" t="s">
        <v>231</v>
      </c>
      <c r="K96" s="68">
        <v>2.4511333873617275E-2</v>
      </c>
      <c r="L96" s="67" t="s">
        <v>231</v>
      </c>
      <c r="M96" s="68">
        <v>4.0201315427911837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1.1687172234412543E-4</v>
      </c>
      <c r="J97" s="67" t="s">
        <v>231</v>
      </c>
      <c r="K97" s="68">
        <v>1.6742814708009036E-3</v>
      </c>
      <c r="L97" s="67" t="s">
        <v>231</v>
      </c>
      <c r="M97" s="68">
        <v>0.16046775877749606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3.0839295352733272E-5</v>
      </c>
      <c r="J98" s="67" t="s">
        <v>231</v>
      </c>
      <c r="K98" s="68">
        <v>1.3682999660025968E-3</v>
      </c>
      <c r="L98" s="67" t="s">
        <v>231</v>
      </c>
      <c r="M98" s="68">
        <v>9.8316314460461476E-2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1.8886528271373848E-6</v>
      </c>
      <c r="J99" s="67" t="s">
        <v>231</v>
      </c>
      <c r="K99" s="68">
        <v>1.0204853394359425E-3</v>
      </c>
      <c r="L99" s="67" t="s">
        <v>231</v>
      </c>
      <c r="M99" s="68">
        <v>2.4291412817982101E-2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2.4675766805019495E-3</v>
      </c>
      <c r="J100" s="67" t="s">
        <v>231</v>
      </c>
      <c r="K100" s="68">
        <v>1.2153495805535819E-2</v>
      </c>
      <c r="L100" s="67" t="s">
        <v>231</v>
      </c>
      <c r="M100" s="68">
        <v>1.9779813660545809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2.2618015655869621E-2</v>
      </c>
      <c r="J101" s="67" t="s">
        <v>232</v>
      </c>
      <c r="K101" s="68">
        <v>3.7518084730211363E-3</v>
      </c>
      <c r="L101" s="67" t="s">
        <v>231</v>
      </c>
      <c r="M101" s="68">
        <v>0.56882026120102136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6.3693840737584955E-3</v>
      </c>
      <c r="J102" s="67" t="s">
        <v>231</v>
      </c>
      <c r="K102" s="68">
        <v>4.4763453268297374E-3</v>
      </c>
      <c r="L102" s="67" t="s">
        <v>231</v>
      </c>
      <c r="M102" s="68">
        <v>0.71466016695496348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1.5548755836585324E-9</v>
      </c>
      <c r="J103" s="67" t="s">
        <v>231</v>
      </c>
      <c r="K103" s="68">
        <v>8.88979433022945E-4</v>
      </c>
      <c r="L103" s="67" t="s">
        <v>231</v>
      </c>
      <c r="M103" s="68">
        <v>1.1859919326117357E-2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2.4620050660150288E-7</v>
      </c>
      <c r="J104" s="67" t="s">
        <v>231</v>
      </c>
      <c r="K104" s="68">
        <v>5.0867133965131015E-4</v>
      </c>
      <c r="L104" s="67" t="s">
        <v>231</v>
      </c>
      <c r="M104" s="68">
        <v>0.11263616242301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9.8888218694667538E-8</v>
      </c>
      <c r="J105" s="67" t="s">
        <v>231</v>
      </c>
      <c r="K105" s="68">
        <v>9.3419295713784167E-4</v>
      </c>
      <c r="L105" s="67" t="s">
        <v>231</v>
      </c>
      <c r="M105" s="68">
        <v>1.8383413881975918E-3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3.441497726397078E-8</v>
      </c>
      <c r="J106" s="67" t="s">
        <v>231</v>
      </c>
      <c r="K106" s="68">
        <v>9.5938433015366198E-4</v>
      </c>
      <c r="L106" s="67" t="s">
        <v>231</v>
      </c>
      <c r="M106" s="68">
        <v>7.1034298510924479E-3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9.2616639829199241E-6</v>
      </c>
      <c r="J107" s="67" t="s">
        <v>231</v>
      </c>
      <c r="K107" s="68">
        <v>7.969933020032384E-3</v>
      </c>
      <c r="L107" s="67" t="s">
        <v>231</v>
      </c>
      <c r="M107" s="68">
        <v>0.75920744351097413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2.6558195841623494E-10</v>
      </c>
      <c r="J108" s="67" t="s">
        <v>231</v>
      </c>
      <c r="K108" s="68">
        <v>9.3866980483628176E-4</v>
      </c>
      <c r="L108" s="67" t="s">
        <v>231</v>
      </c>
      <c r="M108" s="68">
        <v>7.8382020344380622E-5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2.771431436948333E-6</v>
      </c>
      <c r="J109" s="67" t="s">
        <v>231</v>
      </c>
      <c r="K109" s="68">
        <v>1.0224262860489301E-2</v>
      </c>
      <c r="L109" s="67" t="s">
        <v>231</v>
      </c>
      <c r="M109" s="68">
        <v>0.26140439087205292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5.8642497129486231E-6</v>
      </c>
      <c r="J110" s="67" t="s">
        <v>231</v>
      </c>
      <c r="K110" s="68">
        <v>9.3451418437951687E-4</v>
      </c>
      <c r="L110" s="67" t="s">
        <v>231</v>
      </c>
      <c r="M110" s="68">
        <v>2.2349282774372618E-4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8.1449967546091015E-14</v>
      </c>
      <c r="J111" s="67" t="s">
        <v>231</v>
      </c>
      <c r="K111" s="68">
        <v>9.3585283988882292E-4</v>
      </c>
      <c r="L111" s="67" t="s">
        <v>231</v>
      </c>
      <c r="M111" s="68">
        <v>3.2442682743758293E-6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9.2313258083438847E-9</v>
      </c>
      <c r="J112" s="67" t="s">
        <v>231</v>
      </c>
      <c r="K112" s="68">
        <v>9.336208204424474E-4</v>
      </c>
      <c r="L112" s="67" t="s">
        <v>231</v>
      </c>
      <c r="M112" s="68">
        <v>1.6894393056042262E-4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4.3318650944306411E-7</v>
      </c>
      <c r="J113" s="67" t="s">
        <v>231</v>
      </c>
      <c r="K113" s="68">
        <v>9.3963611405627168E-4</v>
      </c>
      <c r="L113" s="67" t="s">
        <v>231</v>
      </c>
      <c r="M113" s="68">
        <v>3.9441633592553474E-3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5.7300369819338734E-8</v>
      </c>
      <c r="J114" s="67" t="s">
        <v>231</v>
      </c>
      <c r="K114" s="68">
        <v>9.344992537078092E-4</v>
      </c>
      <c r="L114" s="67" t="s">
        <v>231</v>
      </c>
      <c r="M114" s="68">
        <v>5.2399108147883265E-5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4.747330750634669E-11</v>
      </c>
      <c r="J115" s="67" t="s">
        <v>231</v>
      </c>
      <c r="K115" s="68">
        <v>9.2489677618213953E-4</v>
      </c>
      <c r="L115" s="67" t="s">
        <v>231</v>
      </c>
      <c r="M115" s="68">
        <v>3.398442618770408E-3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9.1686425364012784E-6</v>
      </c>
      <c r="J116" s="67" t="s">
        <v>231</v>
      </c>
      <c r="K116" s="68">
        <v>0.1013599806774601</v>
      </c>
      <c r="L116" s="67" t="s">
        <v>231</v>
      </c>
      <c r="M116" s="68">
        <v>2.80908417112316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8.2419056554886721E-5</v>
      </c>
      <c r="J117" s="67" t="s">
        <v>231</v>
      </c>
      <c r="K117" s="68">
        <v>2.1869413309038022E-3</v>
      </c>
      <c r="L117" s="67" t="s">
        <v>231</v>
      </c>
      <c r="M117" s="68">
        <v>0.26257129189386053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0.98957403118377485</v>
      </c>
      <c r="F2" s="14">
        <v>0.99259096964082705</v>
      </c>
      <c r="G2" s="14">
        <v>2.9517448042671955E-10</v>
      </c>
      <c r="H2" s="14">
        <v>0.17292202781973681</v>
      </c>
      <c r="I2" s="14">
        <v>0.64255083240720812</v>
      </c>
      <c r="J2" s="14">
        <v>0</v>
      </c>
      <c r="K2" s="14">
        <v>1.0074643338351688</v>
      </c>
      <c r="L2" s="14">
        <v>0.99259096964082705</v>
      </c>
      <c r="M2" s="14">
        <v>0.81442089059029865</v>
      </c>
      <c r="N2" s="14">
        <v>0.93308920027540787</v>
      </c>
      <c r="O2" s="14">
        <v>181.19659180148145</v>
      </c>
      <c r="P2" s="8">
        <v>0.93308920027540798</v>
      </c>
      <c r="Q2" s="54">
        <v>1.5984810443545935E-2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0.84443849120616288</v>
      </c>
      <c r="F3" s="14">
        <v>0.56750980967898979</v>
      </c>
      <c r="G3" s="14">
        <v>2.6867658925476611E-10</v>
      </c>
      <c r="H3" s="14">
        <v>63.830826389853414</v>
      </c>
      <c r="I3" s="14">
        <v>143.57547947148797</v>
      </c>
      <c r="J3" s="14">
        <v>0</v>
      </c>
      <c r="K3" s="14">
        <v>1.7620840784508147</v>
      </c>
      <c r="L3" s="14">
        <v>0.56750980967898979</v>
      </c>
      <c r="M3" s="14">
        <v>0.46564179884161111</v>
      </c>
      <c r="N3" s="14">
        <v>3.6198088400840303</v>
      </c>
      <c r="O3" s="14">
        <v>926.99684585711918</v>
      </c>
      <c r="P3" s="8">
        <v>3.6198088400840303</v>
      </c>
      <c r="Q3" s="54">
        <v>0.24619559337776534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0.99950269902045008</v>
      </c>
      <c r="F4" s="14">
        <v>1.0029906531560444</v>
      </c>
      <c r="G4" s="14">
        <v>1.5108640011034541E-19</v>
      </c>
      <c r="H4" s="14">
        <v>0.11983864396109625</v>
      </c>
      <c r="I4" s="14">
        <v>1.2219519907600185E-3</v>
      </c>
      <c r="J4" s="14">
        <v>0</v>
      </c>
      <c r="K4" s="14">
        <v>0.99701826418159123</v>
      </c>
      <c r="L4" s="14">
        <v>1.0029906531560446</v>
      </c>
      <c r="M4" s="14">
        <v>0.82295383091453456</v>
      </c>
      <c r="N4" s="14">
        <v>1.0469842798673834</v>
      </c>
      <c r="O4" s="14">
        <v>310.06439448272562</v>
      </c>
      <c r="P4" s="8">
        <v>1.0469842798673836</v>
      </c>
      <c r="Q4" s="54">
        <v>1.3933304978740584E-5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0.99959025758143805</v>
      </c>
      <c r="F5" s="14">
        <v>0.54964557864749508</v>
      </c>
      <c r="G5" s="14">
        <v>2.5157214996419412E-12</v>
      </c>
      <c r="H5" s="14">
        <v>128.48213326762573</v>
      </c>
      <c r="I5" s="14">
        <v>9.4419918231305716E-2</v>
      </c>
      <c r="J5" s="14">
        <v>0</v>
      </c>
      <c r="K5" s="14">
        <v>1.8193542145116228</v>
      </c>
      <c r="L5" s="14">
        <v>0.54964557864749519</v>
      </c>
      <c r="M5" s="14">
        <v>0.45098419728026978</v>
      </c>
      <c r="N5" s="14">
        <v>0.70798466627454903</v>
      </c>
      <c r="O5" s="14">
        <v>156.4929306333263</v>
      </c>
      <c r="P5" s="8">
        <v>0.70798466627454903</v>
      </c>
      <c r="Q5" s="54">
        <v>1.2695903711975522E-4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0.99943044486877275</v>
      </c>
      <c r="F6" s="14">
        <v>0.3254138769883696</v>
      </c>
      <c r="G6" s="14">
        <v>2.0644790463210341E-13</v>
      </c>
      <c r="H6" s="14">
        <v>191.87397336364634</v>
      </c>
      <c r="I6" s="14">
        <v>0.51519330474029867</v>
      </c>
      <c r="J6" s="14">
        <v>0</v>
      </c>
      <c r="K6" s="14">
        <v>3.0730096984639053</v>
      </c>
      <c r="L6" s="14">
        <v>0.3254138769883696</v>
      </c>
      <c r="M6" s="14">
        <v>0.26700208606895726</v>
      </c>
      <c r="N6" s="14">
        <v>0.58273555947666289</v>
      </c>
      <c r="O6" s="14">
        <v>134.1806899250964</v>
      </c>
      <c r="P6" s="8">
        <v>0.58273555947666289</v>
      </c>
      <c r="Q6" s="54">
        <v>4.7617896909858432E-4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0.99819856580419652</v>
      </c>
      <c r="F7" s="14">
        <v>0.10825767542587356</v>
      </c>
      <c r="G7" s="14">
        <v>1.8040385404556692E-9</v>
      </c>
      <c r="H7" s="14">
        <v>252.54495513496931</v>
      </c>
      <c r="I7" s="14">
        <v>4.7598735613870353</v>
      </c>
      <c r="J7" s="14">
        <v>0</v>
      </c>
      <c r="K7" s="14">
        <v>9.2372203270217295</v>
      </c>
      <c r="L7" s="14">
        <v>0.10825767542587356</v>
      </c>
      <c r="M7" s="14">
        <v>8.8825422686929251E-2</v>
      </c>
      <c r="N7" s="14">
        <v>0.4849853496473529</v>
      </c>
      <c r="O7" s="14">
        <v>100.04277792525596</v>
      </c>
      <c r="P7" s="8">
        <v>0.4849853496473529</v>
      </c>
      <c r="Q7" s="54">
        <v>2.5199702665654575E-3</v>
      </c>
    </row>
    <row r="8" spans="1:20">
      <c r="A8" s="2" t="s">
        <v>289</v>
      </c>
      <c r="B8" s="16" t="s">
        <v>290</v>
      </c>
      <c r="D8" s="14">
        <v>1</v>
      </c>
      <c r="E8" s="14">
        <v>0.99961011426279212</v>
      </c>
      <c r="F8" s="14">
        <v>0.23070180427471146</v>
      </c>
      <c r="G8" s="14">
        <v>1.2788706410586638E-19</v>
      </c>
      <c r="H8" s="14">
        <v>218.76154961256921</v>
      </c>
      <c r="I8" s="14">
        <v>0.30800459210953218</v>
      </c>
      <c r="J8" s="14">
        <v>0</v>
      </c>
      <c r="K8" s="14">
        <v>4.3345998231086034</v>
      </c>
      <c r="L8" s="14">
        <v>0.23070180427471146</v>
      </c>
      <c r="M8" s="14">
        <v>0.18929083040740075</v>
      </c>
      <c r="N8" s="14">
        <v>0.52096235582185946</v>
      </c>
      <c r="O8" s="14">
        <v>181.51370401545228</v>
      </c>
      <c r="P8" s="8">
        <v>0.52096235582185946</v>
      </c>
      <c r="Q8" s="54">
        <v>2.3483195385209311E-4</v>
      </c>
    </row>
    <row r="9" spans="1:20">
      <c r="A9" s="2" t="s">
        <v>291</v>
      </c>
      <c r="B9" s="16" t="s">
        <v>292</v>
      </c>
      <c r="D9" s="14">
        <v>1</v>
      </c>
      <c r="E9" s="14">
        <v>0.99929020261331902</v>
      </c>
      <c r="F9" s="14">
        <v>0.61646506303831616</v>
      </c>
      <c r="G9" s="14">
        <v>5.3615524147496779E-15</v>
      </c>
      <c r="H9" s="14">
        <v>109.44816102237192</v>
      </c>
      <c r="I9" s="14">
        <v>0.38409798852117311</v>
      </c>
      <c r="J9" s="14">
        <v>0</v>
      </c>
      <c r="K9" s="14">
        <v>1.6221519433256923</v>
      </c>
      <c r="L9" s="14">
        <v>0.61646506303831616</v>
      </c>
      <c r="M9" s="14">
        <v>0.50580958422293842</v>
      </c>
      <c r="N9" s="14">
        <v>0.74775269524834675</v>
      </c>
      <c r="O9" s="14">
        <v>230.55458852592275</v>
      </c>
      <c r="P9" s="8">
        <v>0.74775269524834675</v>
      </c>
      <c r="Q9" s="54">
        <v>5.773538056369395E-4</v>
      </c>
    </row>
    <row r="10" spans="1:20">
      <c r="A10" s="2" t="s">
        <v>367</v>
      </c>
      <c r="B10" s="16" t="s">
        <v>368</v>
      </c>
      <c r="D10" s="14">
        <v>1</v>
      </c>
      <c r="E10" s="14">
        <v>0.94811976154963806</v>
      </c>
      <c r="F10" s="14">
        <v>1.1093134300962161E-2</v>
      </c>
      <c r="G10" s="14">
        <v>1.7236248966649385E-7</v>
      </c>
      <c r="H10" s="14">
        <v>226.73275801272706</v>
      </c>
      <c r="I10" s="14">
        <v>366.66667613541028</v>
      </c>
      <c r="J10" s="14">
        <v>0</v>
      </c>
      <c r="K10" s="14">
        <v>90.145848131782301</v>
      </c>
      <c r="L10" s="14">
        <v>1.1093134300962161E-2</v>
      </c>
      <c r="M10" s="14">
        <v>9.1019166939394526E-3</v>
      </c>
      <c r="N10" s="14">
        <v>4.5491598550521974</v>
      </c>
      <c r="O10" s="14">
        <v>1266.2131540552286</v>
      </c>
      <c r="P10" s="8">
        <v>4.5491598550521983</v>
      </c>
      <c r="Q10" s="54">
        <v>7.9592370896630613E-2</v>
      </c>
    </row>
    <row r="11" spans="1:20">
      <c r="A11" s="2" t="s">
        <v>369</v>
      </c>
      <c r="B11" s="16" t="s">
        <v>370</v>
      </c>
      <c r="D11" s="14">
        <v>1</v>
      </c>
      <c r="E11" s="14">
        <v>0.97965405514020154</v>
      </c>
      <c r="F11" s="14">
        <v>6.2245744543122986E-4</v>
      </c>
      <c r="G11" s="14">
        <v>6.7066520962344766E-14</v>
      </c>
      <c r="H11" s="14">
        <v>160.78653127057959</v>
      </c>
      <c r="I11" s="14">
        <v>1087.6912964749163</v>
      </c>
      <c r="J11" s="14">
        <v>0</v>
      </c>
      <c r="K11" s="14">
        <v>1606.5355267896489</v>
      </c>
      <c r="L11" s="14">
        <v>6.2245744543122986E-4</v>
      </c>
      <c r="M11" s="14">
        <v>5.1072633397632411E-4</v>
      </c>
      <c r="N11" s="14">
        <v>27.351239673687672</v>
      </c>
      <c r="O11" s="14">
        <v>11129.219423223512</v>
      </c>
      <c r="P11" s="8">
        <v>27.351239673687672</v>
      </c>
      <c r="Q11" s="54">
        <v>1.2131252811812614E-2</v>
      </c>
    </row>
    <row r="12" spans="1:20">
      <c r="A12" s="2" t="s">
        <v>371</v>
      </c>
      <c r="B12" s="16" t="s">
        <v>372</v>
      </c>
      <c r="D12" s="14">
        <v>1</v>
      </c>
      <c r="E12" s="14">
        <v>0.938374349286765</v>
      </c>
      <c r="F12" s="14">
        <v>0.94200722065875886</v>
      </c>
      <c r="G12" s="14">
        <v>8.4873093972528393E-4</v>
      </c>
      <c r="H12" s="14">
        <v>7.4965755195289399E-3</v>
      </c>
      <c r="I12" s="14">
        <v>3.4404278195565546E-2</v>
      </c>
      <c r="J12" s="14">
        <v>0</v>
      </c>
      <c r="K12" s="14">
        <v>1.0615629881272948</v>
      </c>
      <c r="L12" s="14">
        <v>0.94200722065875897</v>
      </c>
      <c r="M12" s="14">
        <v>0.77291692455051175</v>
      </c>
      <c r="N12" s="14">
        <v>0.8791126534886351</v>
      </c>
      <c r="O12" s="14">
        <v>123.24280289257176</v>
      </c>
      <c r="P12" s="8">
        <v>0.87911265348863521</v>
      </c>
      <c r="Q12" s="54">
        <v>2.8867717773392383E-3</v>
      </c>
    </row>
    <row r="13" spans="1:20">
      <c r="A13" s="2" t="s">
        <v>293</v>
      </c>
      <c r="B13" s="16" t="s">
        <v>294</v>
      </c>
      <c r="D13" s="14">
        <v>1</v>
      </c>
      <c r="E13" s="14">
        <v>0.84710304317265417</v>
      </c>
      <c r="F13" s="14">
        <v>0.63619896443336799</v>
      </c>
      <c r="G13" s="14">
        <v>2.3522389960102757E-10</v>
      </c>
      <c r="H13" s="14">
        <v>48.267294680173116</v>
      </c>
      <c r="I13" s="14">
        <v>114.63312415661073</v>
      </c>
      <c r="J13" s="14">
        <v>0</v>
      </c>
      <c r="K13" s="14">
        <v>1.571835315530028</v>
      </c>
      <c r="L13" s="14">
        <v>0.63619896443336799</v>
      </c>
      <c r="M13" s="14">
        <v>0.52200125031757849</v>
      </c>
      <c r="N13" s="14">
        <v>1.9620932677566199</v>
      </c>
      <c r="O13" s="14">
        <v>648.19713193607697</v>
      </c>
      <c r="P13" s="8">
        <v>1.9620932677566199</v>
      </c>
      <c r="Q13" s="54">
        <v>0.24317007493875151</v>
      </c>
    </row>
    <row r="14" spans="1:20">
      <c r="A14" s="2" t="s">
        <v>373</v>
      </c>
      <c r="B14" s="16" t="s">
        <v>374</v>
      </c>
      <c r="D14" s="14">
        <v>1</v>
      </c>
      <c r="E14" s="14">
        <v>0.99931945077747608</v>
      </c>
      <c r="F14" s="14">
        <v>8.8432944150844302E-3</v>
      </c>
      <c r="G14" s="14">
        <v>9.5353589573274803E-10</v>
      </c>
      <c r="H14" s="14">
        <v>281.08267889854233</v>
      </c>
      <c r="I14" s="14">
        <v>4.0771937492313901</v>
      </c>
      <c r="J14" s="14">
        <v>0</v>
      </c>
      <c r="K14" s="14">
        <v>113.08003025368602</v>
      </c>
      <c r="L14" s="14">
        <v>8.8432944150844302E-3</v>
      </c>
      <c r="M14" s="14">
        <v>7.2559230675767758E-3</v>
      </c>
      <c r="N14" s="14">
        <v>0.75115203231242222</v>
      </c>
      <c r="O14" s="14">
        <v>200.06183228609052</v>
      </c>
      <c r="P14" s="8">
        <v>0.75115203231242222</v>
      </c>
      <c r="Q14" s="54">
        <v>5.2791177589113514E-4</v>
      </c>
    </row>
    <row r="15" spans="1:20">
      <c r="A15" s="2" t="s">
        <v>375</v>
      </c>
      <c r="B15" s="16" t="s">
        <v>376</v>
      </c>
      <c r="D15" s="14">
        <v>1</v>
      </c>
      <c r="E15" s="14">
        <v>0.86744849729109175</v>
      </c>
      <c r="F15" s="14">
        <v>0.8427521503357156</v>
      </c>
      <c r="G15" s="14">
        <v>1.042193492319434E-3</v>
      </c>
      <c r="H15" s="14">
        <v>6.0942444336437251</v>
      </c>
      <c r="I15" s="14">
        <v>17.209848218191617</v>
      </c>
      <c r="J15" s="14">
        <v>0</v>
      </c>
      <c r="K15" s="14">
        <v>1.1865884882069344</v>
      </c>
      <c r="L15" s="14">
        <v>0.84275215033571571</v>
      </c>
      <c r="M15" s="14">
        <v>0.69147813935045477</v>
      </c>
      <c r="N15" s="14">
        <v>0.98841885310083655</v>
      </c>
      <c r="O15" s="14">
        <v>147.66977665326499</v>
      </c>
      <c r="P15" s="8">
        <v>0.98841885310083655</v>
      </c>
      <c r="Q15" s="54">
        <v>9.4618713784161007E-2</v>
      </c>
    </row>
    <row r="16" spans="1:20">
      <c r="A16" s="2" t="s">
        <v>377</v>
      </c>
      <c r="B16" s="16" t="s">
        <v>378</v>
      </c>
      <c r="D16" s="14">
        <v>1</v>
      </c>
      <c r="E16" s="14">
        <v>0.83984621696918937</v>
      </c>
      <c r="F16" s="14">
        <v>0.59794149853763778</v>
      </c>
      <c r="G16" s="14">
        <v>9.0162757019013771E-6</v>
      </c>
      <c r="H16" s="14">
        <v>55.411345458962153</v>
      </c>
      <c r="I16" s="14">
        <v>129.67488343852173</v>
      </c>
      <c r="J16" s="14">
        <v>0</v>
      </c>
      <c r="K16" s="14">
        <v>1.6724044115447096</v>
      </c>
      <c r="L16" s="14">
        <v>0.59794149853763778</v>
      </c>
      <c r="M16" s="14">
        <v>0.49061099955013182</v>
      </c>
      <c r="N16" s="14">
        <v>2.1079886006860771</v>
      </c>
      <c r="O16" s="14">
        <v>468.47938661647373</v>
      </c>
      <c r="P16" s="8">
        <v>2.1079886006860771</v>
      </c>
      <c r="Q16" s="54">
        <v>0.25366226514883866</v>
      </c>
    </row>
    <row r="17" spans="1:21">
      <c r="A17" s="2" t="s">
        <v>379</v>
      </c>
      <c r="B17" s="16" t="s">
        <v>380</v>
      </c>
      <c r="D17" s="14">
        <v>1</v>
      </c>
      <c r="E17" s="14">
        <v>0.84289588180901287</v>
      </c>
      <c r="F17" s="14">
        <v>0.62104172908656186</v>
      </c>
      <c r="G17" s="14">
        <v>2.6989153912142456E-5</v>
      </c>
      <c r="H17" s="14">
        <v>50.787961571124868</v>
      </c>
      <c r="I17" s="14">
        <v>119.95488896651646</v>
      </c>
      <c r="J17" s="14">
        <v>0</v>
      </c>
      <c r="K17" s="14">
        <v>1.610197758322643</v>
      </c>
      <c r="L17" s="14">
        <v>0.62104172908656186</v>
      </c>
      <c r="M17" s="14">
        <v>0.50956473871552399</v>
      </c>
      <c r="N17" s="14">
        <v>2.0121844537224902</v>
      </c>
      <c r="O17" s="14">
        <v>258.68643337056335</v>
      </c>
      <c r="P17" s="8">
        <v>2.0121844537224902</v>
      </c>
      <c r="Q17" s="54">
        <v>0.24684137280863996</v>
      </c>
    </row>
    <row r="18" spans="1:21">
      <c r="A18" s="2" t="s">
        <v>381</v>
      </c>
      <c r="B18" s="16" t="s">
        <v>382</v>
      </c>
      <c r="D18" s="14">
        <v>1</v>
      </c>
      <c r="E18" s="14">
        <v>0.9525222145258343</v>
      </c>
      <c r="F18" s="14">
        <v>6.9469509194997189E-4</v>
      </c>
      <c r="G18" s="14">
        <v>4.949059991390555E-10</v>
      </c>
      <c r="H18" s="14">
        <v>72.927987754413266</v>
      </c>
      <c r="I18" s="14">
        <v>1829.5799882055344</v>
      </c>
      <c r="J18" s="14">
        <v>0</v>
      </c>
      <c r="K18" s="14">
        <v>1439.480444856827</v>
      </c>
      <c r="L18" s="14">
        <v>6.94695091949972E-4</v>
      </c>
      <c r="M18" s="14">
        <v>5.6999732294495196E-4</v>
      </c>
      <c r="N18" s="14">
        <v>23.354540033830855</v>
      </c>
      <c r="O18" s="14">
        <v>9138.3979698376752</v>
      </c>
      <c r="P18" s="8">
        <v>23.354540033830858</v>
      </c>
      <c r="Q18" s="54">
        <v>5.8526344770599398E-2</v>
      </c>
    </row>
    <row r="19" spans="1:21">
      <c r="A19" s="2" t="s">
        <v>383</v>
      </c>
      <c r="B19" s="16" t="s">
        <v>384</v>
      </c>
      <c r="D19" s="14">
        <v>1</v>
      </c>
      <c r="E19" s="14">
        <v>0.95606699913662418</v>
      </c>
      <c r="F19" s="14">
        <v>0.95096971675485409</v>
      </c>
      <c r="G19" s="14">
        <v>1.3718138237123279E-4</v>
      </c>
      <c r="H19" s="14">
        <v>1.8735560374305895</v>
      </c>
      <c r="I19" s="14">
        <v>5.8226925354513801</v>
      </c>
      <c r="J19" s="14">
        <v>0</v>
      </c>
      <c r="K19" s="14">
        <v>1.0515581962088758</v>
      </c>
      <c r="L19" s="14">
        <v>0.95096971675485409</v>
      </c>
      <c r="M19" s="14">
        <v>0.78027065259735784</v>
      </c>
      <c r="N19" s="14">
        <v>0.95482740262148214</v>
      </c>
      <c r="O19" s="14">
        <v>88.923076006138615</v>
      </c>
      <c r="P19" s="8">
        <v>0.95482740262148214</v>
      </c>
      <c r="Q19" s="54">
        <v>5.4215548761865323E-2</v>
      </c>
    </row>
    <row r="20" spans="1:21">
      <c r="A20" s="2" t="s">
        <v>385</v>
      </c>
      <c r="B20" s="16" t="s">
        <v>386</v>
      </c>
      <c r="D20" s="14">
        <v>1</v>
      </c>
      <c r="E20" s="14">
        <v>0.93571572667631986</v>
      </c>
      <c r="F20" s="14">
        <v>0.9235200065368917</v>
      </c>
      <c r="G20" s="14">
        <v>2.6066024302712529E-4</v>
      </c>
      <c r="H20" s="14">
        <v>3.399744721447699</v>
      </c>
      <c r="I20" s="14">
        <v>10.090286065710334</v>
      </c>
      <c r="J20" s="14">
        <v>0</v>
      </c>
      <c r="K20" s="14">
        <v>1.0828135751491736</v>
      </c>
      <c r="L20" s="14">
        <v>0.9235200065368917</v>
      </c>
      <c r="M20" s="14">
        <v>0.75774816536351963</v>
      </c>
      <c r="N20" s="14">
        <v>0.97948569484613601</v>
      </c>
      <c r="O20" s="14">
        <v>108.84045041130264</v>
      </c>
      <c r="P20" s="8">
        <v>0.97948569484613612</v>
      </c>
      <c r="Q20" s="54">
        <v>7.2929540780031735E-2</v>
      </c>
    </row>
    <row r="21" spans="1:21">
      <c r="A21" s="2" t="s">
        <v>387</v>
      </c>
      <c r="B21" s="16" t="s">
        <v>388</v>
      </c>
      <c r="D21" s="14">
        <v>1</v>
      </c>
      <c r="E21" s="14">
        <v>0.96767905133919085</v>
      </c>
      <c r="F21" s="14">
        <v>0.11094270734784427</v>
      </c>
      <c r="G21" s="14">
        <v>2.155978639768213E-5</v>
      </c>
      <c r="H21" s="14">
        <v>234.17404609416261</v>
      </c>
      <c r="I21" s="14">
        <v>87.502313852551538</v>
      </c>
      <c r="J21" s="14">
        <v>0</v>
      </c>
      <c r="K21" s="14">
        <v>9.0136614105211041</v>
      </c>
      <c r="L21" s="14">
        <v>0.11094270734784427</v>
      </c>
      <c r="M21" s="14">
        <v>9.1028491378906229E-2</v>
      </c>
      <c r="N21" s="14">
        <v>1.4162442574004914</v>
      </c>
      <c r="O21" s="14">
        <v>279.63742862372703</v>
      </c>
      <c r="P21" s="8">
        <v>1.4162442574004914</v>
      </c>
      <c r="Q21" s="54">
        <v>4.8241359401895161E-2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0.93407064882684909</v>
      </c>
      <c r="F22" s="14">
        <v>0.9362731981690634</v>
      </c>
      <c r="G22" s="14">
        <v>7.5188440842718245E-4</v>
      </c>
      <c r="H22" s="14">
        <v>0.29725049836000911</v>
      </c>
      <c r="I22" s="14">
        <v>1.0567682634161257</v>
      </c>
      <c r="J22" s="14">
        <v>0</v>
      </c>
      <c r="K22" s="14">
        <v>1.0680643234854506</v>
      </c>
      <c r="L22" s="14">
        <v>0.93627319816906351</v>
      </c>
      <c r="M22" s="14">
        <v>0.76821215909771656</v>
      </c>
      <c r="N22" s="14">
        <v>0.88537221762323226</v>
      </c>
      <c r="O22" s="14">
        <v>51.42241839955733</v>
      </c>
      <c r="P22" s="8">
        <v>0.88537221762323226</v>
      </c>
      <c r="Q22" s="54">
        <v>2.061483021070469E-2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0.86098982417860981</v>
      </c>
      <c r="F23" s="14">
        <v>0.81533259440873207</v>
      </c>
      <c r="G23" s="14">
        <v>8.610399302212019E-4</v>
      </c>
      <c r="H23" s="14">
        <v>10.744712622983668</v>
      </c>
      <c r="I23" s="14">
        <v>29.030330166355292</v>
      </c>
      <c r="J23" s="14">
        <v>0</v>
      </c>
      <c r="K23" s="14">
        <v>1.2264933437687306</v>
      </c>
      <c r="L23" s="14">
        <v>0.81533259440873207</v>
      </c>
      <c r="M23" s="14">
        <v>0.66898039371236473</v>
      </c>
      <c r="N23" s="14">
        <v>1.1031997938806384</v>
      </c>
      <c r="O23" s="14">
        <v>118.20785791431041</v>
      </c>
      <c r="P23" s="8">
        <v>1.1031997938806384</v>
      </c>
      <c r="Q23" s="54">
        <v>0.12515608661668534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0.8241567977864751</v>
      </c>
      <c r="F24" s="14">
        <v>0.4703037842742338</v>
      </c>
      <c r="G24" s="14">
        <v>2.7054964036624653E-5</v>
      </c>
      <c r="H24" s="14">
        <v>81.43638245097452</v>
      </c>
      <c r="I24" s="14">
        <v>182.00178360354536</v>
      </c>
      <c r="J24" s="14">
        <v>0</v>
      </c>
      <c r="K24" s="14">
        <v>2.1262852510174586</v>
      </c>
      <c r="L24" s="14">
        <v>0.4703037842742338</v>
      </c>
      <c r="M24" s="14">
        <v>0.38588425499700885</v>
      </c>
      <c r="N24" s="14">
        <v>2.6232252082017875</v>
      </c>
      <c r="O24" s="14">
        <v>425.01494823285361</v>
      </c>
      <c r="P24" s="8">
        <v>2.6232252082017875</v>
      </c>
      <c r="Q24" s="54">
        <v>0.2763602927474138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0.94933754819496219</v>
      </c>
      <c r="F25" s="14">
        <v>9.7206166423717793E-4</v>
      </c>
      <c r="G25" s="14">
        <v>2.2874009841656869E-6</v>
      </c>
      <c r="H25" s="14">
        <v>87.320017875623861</v>
      </c>
      <c r="I25" s="14">
        <v>1687.2171713745311</v>
      </c>
      <c r="J25" s="14">
        <v>0</v>
      </c>
      <c r="K25" s="14">
        <v>1028.7413204230686</v>
      </c>
      <c r="L25" s="14">
        <v>9.7206166423717793E-4</v>
      </c>
      <c r="M25" s="14">
        <v>7.9757659550660446E-4</v>
      </c>
      <c r="N25" s="14">
        <v>21.474332169457828</v>
      </c>
      <c r="O25" s="14">
        <v>5011.8943850297619</v>
      </c>
      <c r="P25" s="8">
        <v>21.474332169457828</v>
      </c>
      <c r="Q25" s="54">
        <v>6.4769565957971967E-2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0.73595887765178403</v>
      </c>
      <c r="F26" s="14">
        <v>0.16723266561127823</v>
      </c>
      <c r="G26" s="14">
        <v>1.806548393894912E-3</v>
      </c>
      <c r="H26" s="14">
        <v>133.1131964464162</v>
      </c>
      <c r="I26" s="14">
        <v>265.87547759751021</v>
      </c>
      <c r="J26" s="14">
        <v>0</v>
      </c>
      <c r="K26" s="14">
        <v>5.9796930004359128</v>
      </c>
      <c r="L26" s="14">
        <v>0.16723266561127823</v>
      </c>
      <c r="M26" s="14">
        <v>0.13721440213405378</v>
      </c>
      <c r="N26" s="14">
        <v>3.3785614270085484</v>
      </c>
      <c r="O26" s="14">
        <v>433.03021809968561</v>
      </c>
      <c r="P26" s="8">
        <v>3.3785614270085484</v>
      </c>
      <c r="Q26" s="54">
        <v>0.21760971644208238</v>
      </c>
    </row>
    <row r="27" spans="1:21">
      <c r="A27" s="2" t="s">
        <v>397</v>
      </c>
      <c r="B27" s="16" t="s">
        <v>398</v>
      </c>
      <c r="D27" s="14">
        <v>1</v>
      </c>
      <c r="E27" s="14">
        <v>0.38813224336667712</v>
      </c>
      <c r="F27" s="14">
        <v>1.9693929047656149E-2</v>
      </c>
      <c r="G27" s="14">
        <v>8.1658398201550249E-3</v>
      </c>
      <c r="H27" s="14">
        <v>88.018176910397742</v>
      </c>
      <c r="I27" s="14">
        <v>154.82088286967604</v>
      </c>
      <c r="J27" s="14">
        <v>0</v>
      </c>
      <c r="K27" s="14">
        <v>50.77706929786131</v>
      </c>
      <c r="L27" s="14">
        <v>1.9693929047656149E-2</v>
      </c>
      <c r="M27" s="14">
        <v>1.6158868783601871E-2</v>
      </c>
      <c r="N27" s="14">
        <v>1.9157840493421843</v>
      </c>
      <c r="O27" s="14">
        <v>347.61901575313931</v>
      </c>
      <c r="P27" s="8">
        <v>1.9157840493421845</v>
      </c>
      <c r="Q27" s="54">
        <v>6.2983898665778013E-2</v>
      </c>
    </row>
    <row r="28" spans="1:21">
      <c r="A28" s="2" t="s">
        <v>399</v>
      </c>
      <c r="B28" s="16" t="s">
        <v>400</v>
      </c>
      <c r="D28" s="14">
        <v>1</v>
      </c>
      <c r="E28" s="14">
        <v>0.21027620838583222</v>
      </c>
      <c r="F28" s="14">
        <v>3.6962510710163765E-2</v>
      </c>
      <c r="G28" s="14">
        <v>1.0766386119834475E-2</v>
      </c>
      <c r="H28" s="14">
        <v>40.723159318888257</v>
      </c>
      <c r="I28" s="14">
        <v>79.414285736432845</v>
      </c>
      <c r="J28" s="14">
        <v>0</v>
      </c>
      <c r="K28" s="14">
        <v>27.054439235509644</v>
      </c>
      <c r="L28" s="14">
        <v>3.6962510710163765E-2</v>
      </c>
      <c r="M28" s="14">
        <v>3.0327740037689371E-2</v>
      </c>
      <c r="N28" s="14">
        <v>0.99903358653354435</v>
      </c>
      <c r="O28" s="14">
        <v>146.85793722043101</v>
      </c>
      <c r="P28" s="8">
        <v>0.99903358653354435</v>
      </c>
      <c r="Q28" s="54">
        <v>5.6976876083261956E-2</v>
      </c>
    </row>
    <row r="29" spans="1:21">
      <c r="A29" s="2" t="s">
        <v>297</v>
      </c>
      <c r="B29" s="16" t="s">
        <v>298</v>
      </c>
      <c r="D29" s="14">
        <v>1</v>
      </c>
      <c r="E29" s="14">
        <v>7.6690179293923896E-2</v>
      </c>
      <c r="F29" s="14">
        <v>7.5336553708763146E-2</v>
      </c>
      <c r="G29" s="14">
        <v>1.312907826014627E-2</v>
      </c>
      <c r="H29" s="14">
        <v>0.35612769550345152</v>
      </c>
      <c r="I29" s="14">
        <v>1.0376787428411907</v>
      </c>
      <c r="J29" s="14">
        <v>0</v>
      </c>
      <c r="K29" s="14">
        <v>13.273768851516763</v>
      </c>
      <c r="L29" s="14">
        <v>7.5336553708763146E-2</v>
      </c>
      <c r="M29" s="14">
        <v>6.1813642318040166E-2</v>
      </c>
      <c r="N29" s="14">
        <v>8.2434489529448596E-2</v>
      </c>
      <c r="O29" s="14">
        <v>7.0011611957360698</v>
      </c>
      <c r="P29" s="8">
        <v>8.2434489529448596E-2</v>
      </c>
      <c r="Q29" s="54">
        <v>6.777396907824011E-3</v>
      </c>
    </row>
    <row r="30" spans="1:21">
      <c r="A30" s="2" t="s">
        <v>401</v>
      </c>
      <c r="B30" s="16" t="s">
        <v>402</v>
      </c>
      <c r="D30" s="14">
        <v>1</v>
      </c>
      <c r="E30" s="14">
        <v>8.2277384830425154E-2</v>
      </c>
      <c r="F30" s="14">
        <v>1.5367640870795441E-2</v>
      </c>
      <c r="G30" s="14">
        <v>1.2904336831029938E-2</v>
      </c>
      <c r="H30" s="14">
        <v>15.707504863753664</v>
      </c>
      <c r="I30" s="14">
        <v>30.800968574130327</v>
      </c>
      <c r="J30" s="14">
        <v>0</v>
      </c>
      <c r="K30" s="14">
        <v>65.071796537124513</v>
      </c>
      <c r="L30" s="14">
        <v>1.5367640870795441E-2</v>
      </c>
      <c r="M30" s="14">
        <v>1.260914933448766E-2</v>
      </c>
      <c r="N30" s="14">
        <v>0.38825941290595617</v>
      </c>
      <c r="O30" s="14">
        <v>64.385058442194719</v>
      </c>
      <c r="P30" s="8">
        <v>0.38825941290595617</v>
      </c>
      <c r="Q30" s="54">
        <v>2.2780558834329809E-2</v>
      </c>
    </row>
    <row r="31" spans="1:21">
      <c r="A31" s="2" t="s">
        <v>299</v>
      </c>
      <c r="B31" s="16" t="s">
        <v>300</v>
      </c>
      <c r="D31" s="14">
        <v>1</v>
      </c>
      <c r="E31" s="14">
        <v>1.6912099028835285E-3</v>
      </c>
      <c r="F31" s="14">
        <v>5.7791690514883537E-4</v>
      </c>
      <c r="G31" s="14">
        <v>1.4256531771403862E-2</v>
      </c>
      <c r="H31" s="14">
        <v>0.25881258982599264</v>
      </c>
      <c r="I31" s="14">
        <v>0.53931508672092832</v>
      </c>
      <c r="J31" s="14">
        <v>0</v>
      </c>
      <c r="K31" s="14">
        <v>1730.3525664169006</v>
      </c>
      <c r="L31" s="14">
        <v>5.7791690514883548E-4</v>
      </c>
      <c r="M31" s="14">
        <v>4.7418082067461945E-4</v>
      </c>
      <c r="N31" s="14">
        <v>7.0518635497971169E-3</v>
      </c>
      <c r="O31" s="14">
        <v>0.57924007198033522</v>
      </c>
      <c r="P31" s="8">
        <v>7.0518635497971169E-3</v>
      </c>
      <c r="Q31" s="54">
        <v>5.572403667029901E-4</v>
      </c>
    </row>
    <row r="32" spans="1:21">
      <c r="A32" s="2" t="s">
        <v>343</v>
      </c>
      <c r="B32" s="16" t="s">
        <v>344</v>
      </c>
      <c r="D32" s="14">
        <v>1</v>
      </c>
      <c r="E32" s="14">
        <v>0.85390139962624967</v>
      </c>
      <c r="F32" s="14">
        <v>0.67511312916851396</v>
      </c>
      <c r="G32" s="14">
        <v>2.6105080792139778E-5</v>
      </c>
      <c r="H32" s="14">
        <v>40.897480494940574</v>
      </c>
      <c r="I32" s="14">
        <v>98.753779229177354</v>
      </c>
      <c r="J32" s="14">
        <v>0</v>
      </c>
      <c r="K32" s="14">
        <v>1.4812332286169945</v>
      </c>
      <c r="L32" s="14">
        <v>0.67511312916851396</v>
      </c>
      <c r="M32" s="14">
        <v>0.55393032248276564</v>
      </c>
      <c r="N32" s="14">
        <v>1.8070948360322259</v>
      </c>
      <c r="O32" s="14">
        <v>296.7249720764915</v>
      </c>
      <c r="P32" s="8">
        <v>1.8070948360322261</v>
      </c>
      <c r="Q32" s="54">
        <v>0.22948469407171029</v>
      </c>
    </row>
    <row r="33" spans="1:17">
      <c r="A33" s="2" t="s">
        <v>345</v>
      </c>
      <c r="B33" s="16" t="s">
        <v>346</v>
      </c>
      <c r="D33" s="14">
        <v>1</v>
      </c>
      <c r="E33" s="14">
        <v>0.89520616409300124</v>
      </c>
      <c r="F33" s="14">
        <v>0.81456422554809815</v>
      </c>
      <c r="G33" s="14">
        <v>1.0615337836606867E-6</v>
      </c>
      <c r="H33" s="14">
        <v>18.608241450838925</v>
      </c>
      <c r="I33" s="14">
        <v>48.279471055653055</v>
      </c>
      <c r="J33" s="14">
        <v>0</v>
      </c>
      <c r="K33" s="14">
        <v>1.2276502805253044</v>
      </c>
      <c r="L33" s="14">
        <v>0.81456422554809815</v>
      </c>
      <c r="M33" s="14">
        <v>0.66834994706221451</v>
      </c>
      <c r="N33" s="14">
        <v>1.3317774954307078</v>
      </c>
      <c r="O33" s="14">
        <v>201.3114862093058</v>
      </c>
      <c r="P33" s="8">
        <v>1.331777495430708</v>
      </c>
      <c r="Q33" s="54">
        <v>0.16655685180417282</v>
      </c>
    </row>
    <row r="34" spans="1:17">
      <c r="A34" s="2" t="s">
        <v>347</v>
      </c>
      <c r="B34" s="16" t="s">
        <v>348</v>
      </c>
      <c r="D34" s="14">
        <v>1</v>
      </c>
      <c r="E34" s="14">
        <v>0.83790897662058095</v>
      </c>
      <c r="F34" s="14">
        <v>0.2130873857430052</v>
      </c>
      <c r="G34" s="14">
        <v>9.8112926272541476E-7</v>
      </c>
      <c r="H34" s="14">
        <v>145.98147292821031</v>
      </c>
      <c r="I34" s="14">
        <v>294.81862208300248</v>
      </c>
      <c r="J34" s="14">
        <v>0</v>
      </c>
      <c r="K34" s="14">
        <v>4.6929103593492556</v>
      </c>
      <c r="L34" s="14">
        <v>0.2130873857430052</v>
      </c>
      <c r="M34" s="14">
        <v>0.17483820000213579</v>
      </c>
      <c r="N34" s="14">
        <v>3.7687099059852707</v>
      </c>
      <c r="O34" s="14">
        <v>664.23512092990393</v>
      </c>
      <c r="P34" s="8">
        <v>3.7687099059852707</v>
      </c>
      <c r="Q34" s="54">
        <v>0.25642178086650996</v>
      </c>
    </row>
    <row r="35" spans="1:17">
      <c r="A35" s="2" t="s">
        <v>349</v>
      </c>
      <c r="B35" s="16" t="s">
        <v>350</v>
      </c>
      <c r="D35" s="14">
        <v>1</v>
      </c>
      <c r="E35" s="14">
        <v>0.9191872009189499</v>
      </c>
      <c r="F35" s="14">
        <v>2.2821750478019962E-2</v>
      </c>
      <c r="G35" s="14">
        <v>1.6136800891916074E-4</v>
      </c>
      <c r="H35" s="14">
        <v>215.96777434830861</v>
      </c>
      <c r="I35" s="14">
        <v>359.45631969974835</v>
      </c>
      <c r="J35" s="14">
        <v>0</v>
      </c>
      <c r="K35" s="14">
        <v>43.81784828307179</v>
      </c>
      <c r="L35" s="14">
        <v>2.2821750478019966E-2</v>
      </c>
      <c r="M35" s="14">
        <v>1.8725246267215383E-2</v>
      </c>
      <c r="N35" s="14">
        <v>4.4479418833665791</v>
      </c>
      <c r="O35" s="14">
        <v>855.33922417139308</v>
      </c>
      <c r="P35" s="8">
        <v>4.4479418833665791</v>
      </c>
      <c r="Q35" s="54">
        <v>0.10790613159115373</v>
      </c>
    </row>
    <row r="36" spans="1:17">
      <c r="A36" s="2" t="s">
        <v>351</v>
      </c>
      <c r="B36" s="16" t="s">
        <v>352</v>
      </c>
      <c r="D36" s="14">
        <v>1</v>
      </c>
      <c r="E36" s="14">
        <v>0.94158191138799963</v>
      </c>
      <c r="F36" s="14">
        <v>4.9888084547697834E-3</v>
      </c>
      <c r="G36" s="14">
        <v>4.2993749051773558E-6</v>
      </c>
      <c r="H36" s="14">
        <v>182.1280465590728</v>
      </c>
      <c r="I36" s="14">
        <v>778.45587444912644</v>
      </c>
      <c r="J36" s="14">
        <v>0</v>
      </c>
      <c r="K36" s="14">
        <v>200.44866606251503</v>
      </c>
      <c r="L36" s="14">
        <v>4.9888084547697834E-3</v>
      </c>
      <c r="M36" s="14">
        <v>4.0933173371386078E-3</v>
      </c>
      <c r="N36" s="14">
        <v>9.7458714860048161</v>
      </c>
      <c r="O36" s="14">
        <v>2167.1894423428912</v>
      </c>
      <c r="P36" s="8">
        <v>9.7458714860048161</v>
      </c>
      <c r="Q36" s="54">
        <v>8.5710494413603636E-2</v>
      </c>
    </row>
    <row r="37" spans="1:17">
      <c r="A37" s="2" t="s">
        <v>353</v>
      </c>
      <c r="B37" s="16" t="s">
        <v>354</v>
      </c>
      <c r="D37" s="14">
        <v>1</v>
      </c>
      <c r="E37" s="14">
        <v>0.94971785788194085</v>
      </c>
      <c r="F37" s="14">
        <v>7.6218952832319566E-4</v>
      </c>
      <c r="G37" s="14">
        <v>2.9140128691857042E-5</v>
      </c>
      <c r="H37" s="14">
        <v>76.623675016308781</v>
      </c>
      <c r="I37" s="14">
        <v>1787.805003936563</v>
      </c>
      <c r="J37" s="14">
        <v>0</v>
      </c>
      <c r="K37" s="14">
        <v>1312.0096286287001</v>
      </c>
      <c r="L37" s="14">
        <v>7.6218952832319566E-4</v>
      </c>
      <c r="M37" s="14">
        <v>6.2537650798918205E-4</v>
      </c>
      <c r="N37" s="14">
        <v>22.802713679734158</v>
      </c>
      <c r="O37" s="14">
        <v>5390.3334867523572</v>
      </c>
      <c r="P37" s="8">
        <v>22.802713679734161</v>
      </c>
      <c r="Q37" s="54">
        <v>6.0161706761204976E-2</v>
      </c>
    </row>
    <row r="38" spans="1:17">
      <c r="A38" s="2" t="s">
        <v>355</v>
      </c>
      <c r="B38" s="16" t="s">
        <v>356</v>
      </c>
      <c r="D38" s="14">
        <v>1</v>
      </c>
      <c r="E38" s="14">
        <v>0.94217012688837209</v>
      </c>
      <c r="F38" s="14">
        <v>2.7497195068299147E-3</v>
      </c>
      <c r="G38" s="14">
        <v>1.6114501762924695E-6</v>
      </c>
      <c r="H38" s="14">
        <v>144.40704948822508</v>
      </c>
      <c r="I38" s="14">
        <v>1135.1299051807798</v>
      </c>
      <c r="J38" s="14">
        <v>0</v>
      </c>
      <c r="K38" s="14">
        <v>363.67345742579971</v>
      </c>
      <c r="L38" s="14">
        <v>2.7497195068299147E-3</v>
      </c>
      <c r="M38" s="14">
        <v>2.2561448553539451E-3</v>
      </c>
      <c r="N38" s="14">
        <v>14.304253848863555</v>
      </c>
      <c r="O38" s="14">
        <v>3696.2191945463419</v>
      </c>
      <c r="P38" s="8">
        <v>14.304253848863555</v>
      </c>
      <c r="Q38" s="54">
        <v>8.1666805018374963E-2</v>
      </c>
    </row>
    <row r="39" spans="1:17">
      <c r="A39" s="2" t="s">
        <v>357</v>
      </c>
      <c r="B39" s="16" t="s">
        <v>358</v>
      </c>
      <c r="D39" s="14">
        <v>1</v>
      </c>
      <c r="E39" s="14">
        <v>0.92005578048670733</v>
      </c>
      <c r="F39" s="14">
        <v>4.1480899265258116E-3</v>
      </c>
      <c r="G39" s="14">
        <v>3.2657027397088134E-4</v>
      </c>
      <c r="H39" s="14">
        <v>168.01504124411071</v>
      </c>
      <c r="I39" s="14">
        <v>854.68352726492606</v>
      </c>
      <c r="J39" s="14">
        <v>0</v>
      </c>
      <c r="K39" s="14">
        <v>241.07481219375086</v>
      </c>
      <c r="L39" s="14">
        <v>4.1480899265258124E-3</v>
      </c>
      <c r="M39" s="14">
        <v>3.4035077847144289E-3</v>
      </c>
      <c r="N39" s="14">
        <v>10.71980661887185</v>
      </c>
      <c r="O39" s="14">
        <v>2534.0550866351164</v>
      </c>
      <c r="P39" s="8">
        <v>10.71980661887185</v>
      </c>
      <c r="Q39" s="54">
        <v>8.3330758261105017E-2</v>
      </c>
    </row>
    <row r="40" spans="1:17">
      <c r="A40" s="2" t="s">
        <v>359</v>
      </c>
      <c r="B40" s="16" t="s">
        <v>360</v>
      </c>
      <c r="D40" s="14">
        <v>1</v>
      </c>
      <c r="E40" s="14">
        <v>0.94217012688837209</v>
      </c>
      <c r="F40" s="14">
        <v>2.7497195068299147E-3</v>
      </c>
      <c r="G40" s="14">
        <v>1.6114501762924695E-6</v>
      </c>
      <c r="H40" s="14">
        <v>144.40704948822508</v>
      </c>
      <c r="I40" s="14">
        <v>1135.1299051807798</v>
      </c>
      <c r="J40" s="14">
        <v>0</v>
      </c>
      <c r="K40" s="14">
        <v>363.67345742579971</v>
      </c>
      <c r="L40" s="14">
        <v>2.7497195068299147E-3</v>
      </c>
      <c r="M40" s="14">
        <v>2.2561448553539451E-3</v>
      </c>
      <c r="N40" s="14">
        <v>14.304253848863555</v>
      </c>
      <c r="O40" s="14">
        <v>3696.2191945463419</v>
      </c>
      <c r="P40" s="8">
        <v>14.304253848863555</v>
      </c>
      <c r="Q40" s="54">
        <v>8.1666805018374963E-2</v>
      </c>
    </row>
    <row r="41" spans="1:17">
      <c r="A41" s="2" t="s">
        <v>313</v>
      </c>
      <c r="B41" s="16" t="s">
        <v>314</v>
      </c>
      <c r="D41" s="14">
        <v>1</v>
      </c>
      <c r="E41" s="14">
        <v>0.9994959762224781</v>
      </c>
      <c r="F41" s="14">
        <v>0.95768941085598258</v>
      </c>
      <c r="G41" s="14">
        <v>6.233838758445037E-10</v>
      </c>
      <c r="H41" s="14">
        <v>12.940310148511839</v>
      </c>
      <c r="I41" s="14">
        <v>2.8511945401177591E-2</v>
      </c>
      <c r="J41" s="14">
        <v>0</v>
      </c>
      <c r="K41" s="14">
        <v>1.044179865271978</v>
      </c>
      <c r="L41" s="14">
        <v>0.95768941085598258</v>
      </c>
      <c r="M41" s="14">
        <v>0.78578416160733378</v>
      </c>
      <c r="N41" s="14">
        <v>0.91699028805843308</v>
      </c>
      <c r="O41" s="14">
        <v>168.82708193443813</v>
      </c>
      <c r="P41" s="8">
        <v>0.91699028805843308</v>
      </c>
      <c r="Q41" s="54">
        <v>1.2168214329021489E-4</v>
      </c>
    </row>
    <row r="42" spans="1:17">
      <c r="A42" s="2" t="s">
        <v>315</v>
      </c>
      <c r="B42" s="16" t="s">
        <v>316</v>
      </c>
      <c r="D42" s="14">
        <v>1</v>
      </c>
      <c r="E42" s="14">
        <v>0.94972186595674324</v>
      </c>
      <c r="F42" s="14">
        <v>6.9265273705574498E-4</v>
      </c>
      <c r="G42" s="14">
        <v>4.1999492475257354E-5</v>
      </c>
      <c r="H42" s="14">
        <v>72.713584580355615</v>
      </c>
      <c r="I42" s="14">
        <v>1824.2011512357744</v>
      </c>
      <c r="J42" s="14">
        <v>0</v>
      </c>
      <c r="K42" s="14">
        <v>1443.7248948884462</v>
      </c>
      <c r="L42" s="14">
        <v>6.9265273705574498E-4</v>
      </c>
      <c r="M42" s="14">
        <v>5.6832157075423879E-4</v>
      </c>
      <c r="N42" s="14">
        <v>23.285879322544375</v>
      </c>
      <c r="O42" s="14">
        <v>8497.2502235896682</v>
      </c>
      <c r="P42" s="8">
        <v>23.285879322544378</v>
      </c>
      <c r="Q42" s="54">
        <v>5.8354281417815471E-2</v>
      </c>
    </row>
    <row r="43" spans="1:17">
      <c r="A43" s="2" t="s">
        <v>317</v>
      </c>
      <c r="B43" s="16" t="s">
        <v>318</v>
      </c>
      <c r="D43" s="14">
        <v>1</v>
      </c>
      <c r="E43" s="14">
        <v>0.82399377661821727</v>
      </c>
      <c r="F43" s="14">
        <v>0.43994665417498485</v>
      </c>
      <c r="G43" s="14">
        <v>6.0761502837539952E-14</v>
      </c>
      <c r="H43" s="14">
        <v>88.511564897969848</v>
      </c>
      <c r="I43" s="14">
        <v>195.63979090223947</v>
      </c>
      <c r="J43" s="14">
        <v>0</v>
      </c>
      <c r="K43" s="14">
        <v>2.2730028527555501</v>
      </c>
      <c r="L43" s="14">
        <v>0.43994665417498485</v>
      </c>
      <c r="M43" s="14">
        <v>0.36097622975057508</v>
      </c>
      <c r="N43" s="14">
        <v>2.7608600082073713</v>
      </c>
      <c r="O43" s="14">
        <v>876.07609780436303</v>
      </c>
      <c r="P43" s="8">
        <v>2.7608600082073713</v>
      </c>
      <c r="Q43" s="54">
        <v>0.27954851526458563</v>
      </c>
    </row>
    <row r="44" spans="1:17">
      <c r="A44" s="2" t="s">
        <v>307</v>
      </c>
      <c r="B44" s="16" t="s">
        <v>308</v>
      </c>
      <c r="D44" s="14">
        <v>1</v>
      </c>
      <c r="E44" s="14">
        <v>0.94392381994280172</v>
      </c>
      <c r="F44" s="14">
        <v>7.4549543425745492E-3</v>
      </c>
      <c r="G44" s="14">
        <v>1.4319685365057354E-6</v>
      </c>
      <c r="H44" s="14">
        <v>206.30273615866224</v>
      </c>
      <c r="I44" s="14">
        <v>554.32205550947072</v>
      </c>
      <c r="J44" s="14">
        <v>0</v>
      </c>
      <c r="K44" s="14">
        <v>134.13898382839091</v>
      </c>
      <c r="L44" s="14">
        <v>7.4549543425745492E-3</v>
      </c>
      <c r="M44" s="14">
        <v>6.1167900380824178E-3</v>
      </c>
      <c r="N44" s="14">
        <v>6.9076027347581395</v>
      </c>
      <c r="O44" s="14">
        <v>2421.7364427788557</v>
      </c>
      <c r="P44" s="8">
        <v>6.9076027347581395</v>
      </c>
      <c r="Q44" s="54">
        <v>8.4403830906809016E-2</v>
      </c>
    </row>
    <row r="45" spans="1:17">
      <c r="A45" s="2" t="s">
        <v>319</v>
      </c>
      <c r="B45" s="16" t="s">
        <v>320</v>
      </c>
      <c r="D45" s="14">
        <v>1</v>
      </c>
      <c r="E45" s="14">
        <v>0.95972732389944948</v>
      </c>
      <c r="F45" s="14">
        <v>3.0812113724847443E-4</v>
      </c>
      <c r="G45" s="14">
        <v>1.3611625126554203E-7</v>
      </c>
      <c r="H45" s="14">
        <v>46.129791550047614</v>
      </c>
      <c r="I45" s="14">
        <v>2097.6772246104069</v>
      </c>
      <c r="J45" s="14">
        <v>0</v>
      </c>
      <c r="K45" s="14">
        <v>3245.4767917904378</v>
      </c>
      <c r="L45" s="14">
        <v>3.0812113724847443E-4</v>
      </c>
      <c r="M45" s="14">
        <v>2.5281339311237328E-4</v>
      </c>
      <c r="N45" s="14">
        <v>26.956704905304683</v>
      </c>
      <c r="O45" s="14">
        <v>9555.8823218814578</v>
      </c>
      <c r="P45" s="8">
        <v>26.956704905304687</v>
      </c>
      <c r="Q45" s="54">
        <v>4.429336374477838E-2</v>
      </c>
    </row>
    <row r="46" spans="1:17">
      <c r="A46" s="2" t="s">
        <v>321</v>
      </c>
      <c r="B46" s="16" t="s">
        <v>322</v>
      </c>
      <c r="D46" s="14">
        <v>1</v>
      </c>
      <c r="E46" s="14">
        <v>0.95355858663239612</v>
      </c>
      <c r="F46" s="14">
        <v>6.1917231034200283E-4</v>
      </c>
      <c r="G46" s="14">
        <v>2.0179017359955525E-7</v>
      </c>
      <c r="H46" s="14">
        <v>68.465459348122309</v>
      </c>
      <c r="I46" s="14">
        <v>1873.8235682446186</v>
      </c>
      <c r="J46" s="14">
        <v>0</v>
      </c>
      <c r="K46" s="14">
        <v>1615.0593030357659</v>
      </c>
      <c r="L46" s="14">
        <v>6.1917231034200283E-4</v>
      </c>
      <c r="M46" s="14">
        <v>5.0803088063561329E-4</v>
      </c>
      <c r="N46" s="14">
        <v>23.942705462998884</v>
      </c>
      <c r="O46" s="14">
        <v>8487.4496595784749</v>
      </c>
      <c r="P46" s="8">
        <v>23.942705462998884</v>
      </c>
      <c r="Q46" s="54">
        <v>5.6406440809683885E-2</v>
      </c>
    </row>
    <row r="47" spans="1:17">
      <c r="A47" s="2" t="s">
        <v>323</v>
      </c>
      <c r="B47" s="16" t="s">
        <v>324</v>
      </c>
      <c r="D47" s="14">
        <v>1</v>
      </c>
      <c r="E47" s="14">
        <v>0.94635187830323908</v>
      </c>
      <c r="F47" s="14">
        <v>1.3879903030181468E-3</v>
      </c>
      <c r="G47" s="14">
        <v>1.9179395712574311E-6</v>
      </c>
      <c r="H47" s="14">
        <v>104.85917391417458</v>
      </c>
      <c r="I47" s="14">
        <v>1515.8757406368059</v>
      </c>
      <c r="J47" s="14">
        <v>0</v>
      </c>
      <c r="K47" s="14">
        <v>720.4661284920561</v>
      </c>
      <c r="L47" s="14">
        <v>1.3879903030181468E-3</v>
      </c>
      <c r="M47" s="14">
        <v>1.1388460436263894E-3</v>
      </c>
      <c r="N47" s="14">
        <v>19.231161510716607</v>
      </c>
      <c r="O47" s="14">
        <v>6154.7409298897437</v>
      </c>
      <c r="P47" s="8">
        <v>19.231161510716607</v>
      </c>
      <c r="Q47" s="54">
        <v>7.1262918221501659E-2</v>
      </c>
    </row>
    <row r="48" spans="1:17">
      <c r="A48" s="2" t="s">
        <v>325</v>
      </c>
      <c r="B48" s="16" t="s">
        <v>326</v>
      </c>
      <c r="D48" s="14">
        <v>1</v>
      </c>
      <c r="E48" s="14">
        <v>0.88959614972624623</v>
      </c>
      <c r="F48" s="14">
        <v>6.8481156074570601E-2</v>
      </c>
      <c r="G48" s="14">
        <v>1.2946714498380414E-6</v>
      </c>
      <c r="H48" s="14">
        <v>195.13316257639363</v>
      </c>
      <c r="I48" s="14">
        <v>354.80379310982431</v>
      </c>
      <c r="J48" s="14">
        <v>0</v>
      </c>
      <c r="K48" s="14">
        <v>14.602557218968069</v>
      </c>
      <c r="L48" s="14">
        <v>6.8481156074570601E-2</v>
      </c>
      <c r="M48" s="14">
        <v>5.6188788559185181E-2</v>
      </c>
      <c r="N48" s="14">
        <v>4.3996313094075665</v>
      </c>
      <c r="O48" s="14">
        <v>1339.0277890181928</v>
      </c>
      <c r="P48" s="8">
        <v>4.3996313094075665</v>
      </c>
      <c r="Q48" s="54">
        <v>0.17321609919126671</v>
      </c>
    </row>
    <row r="49" spans="1:17">
      <c r="A49" s="2" t="s">
        <v>275</v>
      </c>
      <c r="B49" s="16" t="s">
        <v>276</v>
      </c>
      <c r="D49" s="14">
        <v>1</v>
      </c>
      <c r="E49" s="14">
        <v>0.94347554076045448</v>
      </c>
      <c r="F49" s="14">
        <v>6.9362251546009977E-3</v>
      </c>
      <c r="G49" s="14">
        <v>1.8406519271981826E-8</v>
      </c>
      <c r="H49" s="14">
        <v>202.18232303372804</v>
      </c>
      <c r="I49" s="14">
        <v>592.65281690559823</v>
      </c>
      <c r="J49" s="14">
        <v>0</v>
      </c>
      <c r="K49" s="14">
        <v>144.17063715653336</v>
      </c>
      <c r="L49" s="14">
        <v>6.9362251546009977E-3</v>
      </c>
      <c r="M49" s="14">
        <v>5.6911727393501189E-3</v>
      </c>
      <c r="N49" s="14">
        <v>7.3914599118402382</v>
      </c>
      <c r="O49" s="14">
        <v>2738.4619827376901</v>
      </c>
      <c r="P49" s="8">
        <v>7.3914599118402382</v>
      </c>
      <c r="Q49" s="54">
        <v>8.491811651894024E-2</v>
      </c>
    </row>
    <row r="50" spans="1:17">
      <c r="A50" s="2" t="s">
        <v>327</v>
      </c>
      <c r="B50" s="16" t="s">
        <v>328</v>
      </c>
      <c r="D50" s="14">
        <v>1</v>
      </c>
      <c r="E50" s="14">
        <v>0.94264435818061731</v>
      </c>
      <c r="F50" s="14">
        <v>6.1306347187921953E-3</v>
      </c>
      <c r="G50" s="14">
        <v>9.5929885928490214E-7</v>
      </c>
      <c r="H50" s="14">
        <v>194.86123035405802</v>
      </c>
      <c r="I50" s="14">
        <v>660.36281644867108</v>
      </c>
      <c r="J50" s="14">
        <v>0</v>
      </c>
      <c r="K50" s="14">
        <v>163.11524758353428</v>
      </c>
      <c r="L50" s="14">
        <v>6.1306347187921953E-3</v>
      </c>
      <c r="M50" s="14">
        <v>5.0301857867689967E-3</v>
      </c>
      <c r="N50" s="14">
        <v>8.2477737236257624</v>
      </c>
      <c r="O50" s="14">
        <v>3141.6594890662896</v>
      </c>
      <c r="P50" s="8">
        <v>8.2477737236257642</v>
      </c>
      <c r="Q50" s="54">
        <v>8.5503247725131612E-2</v>
      </c>
    </row>
    <row r="51" spans="1:17">
      <c r="A51" s="2" t="s">
        <v>329</v>
      </c>
      <c r="B51" s="16" t="s">
        <v>330</v>
      </c>
      <c r="D51" s="14">
        <v>1</v>
      </c>
      <c r="E51" s="14">
        <v>0.90856573887792047</v>
      </c>
      <c r="F51" s="14">
        <v>4.2961812473293545E-2</v>
      </c>
      <c r="G51" s="14">
        <v>6.6211142638893183E-7</v>
      </c>
      <c r="H51" s="14">
        <v>206.9677103181958</v>
      </c>
      <c r="I51" s="14">
        <v>362.04267566008593</v>
      </c>
      <c r="J51" s="14">
        <v>0</v>
      </c>
      <c r="K51" s="14">
        <v>23.276485381561415</v>
      </c>
      <c r="L51" s="14">
        <v>4.2961812473293545E-2</v>
      </c>
      <c r="M51" s="14">
        <v>3.525016713433736E-2</v>
      </c>
      <c r="N51" s="14">
        <v>4.4792443980216072</v>
      </c>
      <c r="O51" s="14">
        <v>1229.1046628171291</v>
      </c>
      <c r="P51" s="8">
        <v>4.4792443980216081</v>
      </c>
      <c r="Q51" s="54">
        <v>0.14287615883171539</v>
      </c>
    </row>
    <row r="52" spans="1:17">
      <c r="A52" s="2" t="s">
        <v>277</v>
      </c>
      <c r="B52" s="16" t="s">
        <v>278</v>
      </c>
      <c r="D52" s="14">
        <v>1</v>
      </c>
      <c r="E52" s="14">
        <v>0.89142807452903416</v>
      </c>
      <c r="F52" s="14">
        <v>6.5556399432849549E-2</v>
      </c>
      <c r="G52" s="14">
        <v>2.0105902879982909E-6</v>
      </c>
      <c r="H52" s="14">
        <v>196.37902194241812</v>
      </c>
      <c r="I52" s="14">
        <v>355.75602463560438</v>
      </c>
      <c r="J52" s="14">
        <v>0</v>
      </c>
      <c r="K52" s="14">
        <v>15.254040927374538</v>
      </c>
      <c r="L52" s="14">
        <v>6.5556399432849549E-2</v>
      </c>
      <c r="M52" s="14">
        <v>5.3789025734653058E-2</v>
      </c>
      <c r="N52" s="14">
        <v>4.4099363253174682</v>
      </c>
      <c r="O52" s="14">
        <v>1794.5353888614375</v>
      </c>
      <c r="P52" s="8">
        <v>4.4099363253174682</v>
      </c>
      <c r="Q52" s="54">
        <v>0.17019714218505227</v>
      </c>
    </row>
    <row r="53" spans="1:17">
      <c r="A53" s="2" t="s">
        <v>331</v>
      </c>
      <c r="B53" s="16" t="s">
        <v>332</v>
      </c>
      <c r="D53" s="14">
        <v>1</v>
      </c>
      <c r="E53" s="14">
        <v>0.94151597042500057</v>
      </c>
      <c r="F53" s="14">
        <v>4.0725357802221295E-3</v>
      </c>
      <c r="G53" s="14">
        <v>6.3999030681116078E-7</v>
      </c>
      <c r="H53" s="14">
        <v>169.29530283089829</v>
      </c>
      <c r="I53" s="14">
        <v>899.50188825797704</v>
      </c>
      <c r="J53" s="14">
        <v>0</v>
      </c>
      <c r="K53" s="14">
        <v>245.54725948790968</v>
      </c>
      <c r="L53" s="14">
        <v>4.0725357802221295E-3</v>
      </c>
      <c r="M53" s="14">
        <v>3.3415156076722573E-3</v>
      </c>
      <c r="N53" s="14">
        <v>11.287157927263557</v>
      </c>
      <c r="O53" s="14">
        <v>4299.3913260739619</v>
      </c>
      <c r="P53" s="8">
        <v>11.287157927263557</v>
      </c>
      <c r="Q53" s="54">
        <v>8.5075023819946166E-2</v>
      </c>
    </row>
    <row r="54" spans="1:17">
      <c r="A54" s="2" t="s">
        <v>333</v>
      </c>
      <c r="B54" s="16" t="s">
        <v>334</v>
      </c>
      <c r="D54" s="14">
        <v>1</v>
      </c>
      <c r="E54" s="14">
        <v>0.94307036137395284</v>
      </c>
      <c r="F54" s="14">
        <v>6.5243873909494191E-3</v>
      </c>
      <c r="G54" s="14">
        <v>1.0439705015770515E-9</v>
      </c>
      <c r="H54" s="14">
        <v>198.59108095408288</v>
      </c>
      <c r="I54" s="14">
        <v>625.91723533148149</v>
      </c>
      <c r="J54" s="14">
        <v>0</v>
      </c>
      <c r="K54" s="14">
        <v>153.27109505900773</v>
      </c>
      <c r="L54" s="14">
        <v>6.52438739094942E-3</v>
      </c>
      <c r="M54" s="14">
        <v>5.3532598542739987E-3</v>
      </c>
      <c r="N54" s="14">
        <v>7.8118977231958109</v>
      </c>
      <c r="O54" s="14">
        <v>3003.5184366143258</v>
      </c>
      <c r="P54" s="8">
        <v>7.8118977231958118</v>
      </c>
      <c r="Q54" s="54">
        <v>8.5254421243659548E-2</v>
      </c>
    </row>
    <row r="55" spans="1:17">
      <c r="A55" s="2" t="s">
        <v>335</v>
      </c>
      <c r="B55" s="16" t="s">
        <v>336</v>
      </c>
      <c r="D55" s="14">
        <v>1</v>
      </c>
      <c r="E55" s="14">
        <v>0.94587660203413426</v>
      </c>
      <c r="F55" s="14">
        <v>1.4364907292232271E-3</v>
      </c>
      <c r="G55" s="14">
        <v>4.9846115009094494E-6</v>
      </c>
      <c r="H55" s="14">
        <v>106.66030653939508</v>
      </c>
      <c r="I55" s="14">
        <v>1497.8212862951634</v>
      </c>
      <c r="J55" s="14">
        <v>0</v>
      </c>
      <c r="K55" s="14">
        <v>696.14093544532898</v>
      </c>
      <c r="L55" s="14">
        <v>1.4364907292232271E-3</v>
      </c>
      <c r="M55" s="14">
        <v>1.1786406433276578E-3</v>
      </c>
      <c r="N55" s="14">
        <v>18.995977427278014</v>
      </c>
      <c r="O55" s="14">
        <v>7091.5782931514277</v>
      </c>
      <c r="P55" s="8">
        <v>18.995977427278014</v>
      </c>
      <c r="Q55" s="54">
        <v>7.1855497111582192E-2</v>
      </c>
    </row>
    <row r="56" spans="1:17">
      <c r="A56" s="2" t="s">
        <v>337</v>
      </c>
      <c r="B56" s="16" t="s">
        <v>338</v>
      </c>
      <c r="D56" s="14">
        <v>1</v>
      </c>
      <c r="E56" s="14">
        <v>0.9438072585151196</v>
      </c>
      <c r="F56" s="14">
        <v>7.2792394309448673E-3</v>
      </c>
      <c r="G56" s="14">
        <v>3.6787010158239346E-7</v>
      </c>
      <c r="H56" s="14">
        <v>204.9585332978389</v>
      </c>
      <c r="I56" s="14">
        <v>566.92182346330469</v>
      </c>
      <c r="J56" s="14">
        <v>0</v>
      </c>
      <c r="K56" s="14">
        <v>137.37698965483773</v>
      </c>
      <c r="L56" s="14">
        <v>7.2792394309448682E-3</v>
      </c>
      <c r="M56" s="14">
        <v>5.9726159530902644E-3</v>
      </c>
      <c r="N56" s="14">
        <v>7.06657570860673</v>
      </c>
      <c r="O56" s="14">
        <v>2751.1592548747722</v>
      </c>
      <c r="P56" s="8">
        <v>7.0665757086067309</v>
      </c>
      <c r="Q56" s="54">
        <v>8.4590808395338224E-2</v>
      </c>
    </row>
    <row r="57" spans="1:17">
      <c r="A57" s="2" t="s">
        <v>279</v>
      </c>
      <c r="B57" s="16" t="s">
        <v>280</v>
      </c>
      <c r="D57" s="14">
        <v>1</v>
      </c>
      <c r="E57" s="14">
        <v>0.87867868884271882</v>
      </c>
      <c r="F57" s="14">
        <v>8.289826604327262E-2</v>
      </c>
      <c r="G57" s="14">
        <v>3.9318227781079682E-5</v>
      </c>
      <c r="H57" s="14">
        <v>188.61031771663306</v>
      </c>
      <c r="I57" s="14">
        <v>348.67645143575641</v>
      </c>
      <c r="J57" s="14">
        <v>0</v>
      </c>
      <c r="K57" s="14">
        <v>12.062978488331749</v>
      </c>
      <c r="L57" s="14">
        <v>8.289826604327262E-2</v>
      </c>
      <c r="M57" s="14">
        <v>6.8018027288505187E-2</v>
      </c>
      <c r="N57" s="14">
        <v>4.3320494266899994</v>
      </c>
      <c r="O57" s="14">
        <v>1259.8899347642525</v>
      </c>
      <c r="P57" s="8">
        <v>4.3320494266899994</v>
      </c>
      <c r="Q57" s="54">
        <v>0.18647585943490702</v>
      </c>
    </row>
    <row r="58" spans="1:17">
      <c r="A58" s="2" t="s">
        <v>339</v>
      </c>
      <c r="B58" s="16" t="s">
        <v>340</v>
      </c>
      <c r="D58" s="14">
        <v>1</v>
      </c>
      <c r="E58" s="14">
        <v>0.9429940751086886</v>
      </c>
      <c r="F58" s="14">
        <v>6.4442558276023949E-3</v>
      </c>
      <c r="G58" s="14">
        <v>3.6591588273793892E-9</v>
      </c>
      <c r="H58" s="14">
        <v>197.85761646518236</v>
      </c>
      <c r="I58" s="14">
        <v>632.71764157080747</v>
      </c>
      <c r="J58" s="14">
        <v>0</v>
      </c>
      <c r="K58" s="14">
        <v>155.17695553251383</v>
      </c>
      <c r="L58" s="14">
        <v>6.4442558276023958E-3</v>
      </c>
      <c r="M58" s="14">
        <v>5.2875119065477656E-3</v>
      </c>
      <c r="N58" s="14">
        <v>7.8979088780979243</v>
      </c>
      <c r="O58" s="14">
        <v>2729.9122037145476</v>
      </c>
      <c r="P58" s="8">
        <v>7.8979088780979243</v>
      </c>
      <c r="Q58" s="54">
        <v>8.5311964704662763E-2</v>
      </c>
    </row>
    <row r="59" spans="1:17">
      <c r="A59" s="2" t="s">
        <v>281</v>
      </c>
      <c r="B59" s="16" t="s">
        <v>282</v>
      </c>
      <c r="D59" s="14">
        <v>1</v>
      </c>
      <c r="E59" s="14">
        <v>0.89153455875640386</v>
      </c>
      <c r="F59" s="14">
        <v>6.5564230375964538E-2</v>
      </c>
      <c r="G59" s="14">
        <v>3.0435150615811379E-7</v>
      </c>
      <c r="H59" s="14">
        <v>196.40248010917398</v>
      </c>
      <c r="I59" s="14">
        <v>355.79852094741887</v>
      </c>
      <c r="J59" s="14">
        <v>0</v>
      </c>
      <c r="K59" s="14">
        <v>15.252218996024304</v>
      </c>
      <c r="L59" s="14">
        <v>6.5564230375964538E-2</v>
      </c>
      <c r="M59" s="14">
        <v>5.3795451023478907E-2</v>
      </c>
      <c r="N59" s="14">
        <v>4.4104631077643859</v>
      </c>
      <c r="O59" s="14">
        <v>1284.5914847674551</v>
      </c>
      <c r="P59" s="8">
        <v>4.4104631077643859</v>
      </c>
      <c r="Q59" s="54">
        <v>0.17021747283393349</v>
      </c>
    </row>
    <row r="60" spans="1:17">
      <c r="A60" s="2" t="s">
        <v>341</v>
      </c>
      <c r="B60" s="16" t="s">
        <v>342</v>
      </c>
      <c r="D60" s="14">
        <v>1</v>
      </c>
      <c r="E60" s="14">
        <v>0.94133080342838427</v>
      </c>
      <c r="F60" s="14">
        <v>4.6046871456110533E-3</v>
      </c>
      <c r="G60" s="14">
        <v>5.3575794008358919E-6</v>
      </c>
      <c r="H60" s="14">
        <v>177.06801896842174</v>
      </c>
      <c r="I60" s="14">
        <v>825.65249804380642</v>
      </c>
      <c r="J60" s="14">
        <v>0</v>
      </c>
      <c r="K60" s="14">
        <v>217.17002010726128</v>
      </c>
      <c r="L60" s="14">
        <v>4.6046871456110533E-3</v>
      </c>
      <c r="M60" s="14">
        <v>3.7781458029738694E-3</v>
      </c>
      <c r="N60" s="14">
        <v>10.346169614829238</v>
      </c>
      <c r="O60" s="14">
        <v>3468.8637484599467</v>
      </c>
      <c r="P60" s="8">
        <v>10.34616961482924</v>
      </c>
      <c r="Q60" s="54">
        <v>8.5545525642619122E-2</v>
      </c>
    </row>
    <row r="61" spans="1:17">
      <c r="A61" s="2" t="s">
        <v>483</v>
      </c>
      <c r="B61" s="16" t="s">
        <v>484</v>
      </c>
      <c r="D61" s="14">
        <v>1</v>
      </c>
      <c r="E61" s="14">
        <v>0.89540333906357017</v>
      </c>
      <c r="F61" s="14">
        <v>0.31219853815944276</v>
      </c>
      <c r="G61" s="14">
        <v>9.5182890612018064E-16</v>
      </c>
      <c r="H61" s="14">
        <v>142.38137929927689</v>
      </c>
      <c r="I61" s="14">
        <v>219.6506072597694</v>
      </c>
      <c r="J61" s="14">
        <v>0</v>
      </c>
      <c r="K61" s="14">
        <v>3.2030899500538035</v>
      </c>
      <c r="L61" s="14">
        <v>0.31219853815944276</v>
      </c>
      <c r="M61" s="14">
        <v>0.25615890055982282</v>
      </c>
      <c r="N61" s="14">
        <v>25.523628862057254</v>
      </c>
      <c r="O61" s="14">
        <v>11892.734868275578</v>
      </c>
      <c r="P61" s="8">
        <v>25.523628862057258</v>
      </c>
      <c r="Q61" s="54">
        <v>0.1482970146145117</v>
      </c>
    </row>
    <row r="62" spans="1:17">
      <c r="A62" s="2" t="s">
        <v>485</v>
      </c>
      <c r="B62" s="16" t="s">
        <v>486</v>
      </c>
      <c r="D62" s="14">
        <v>1</v>
      </c>
      <c r="E62" s="14">
        <v>0.83519834506229984</v>
      </c>
      <c r="F62" s="14">
        <v>0.22842872098932457</v>
      </c>
      <c r="G62" s="14">
        <v>2.7904818093061022E-9</v>
      </c>
      <c r="H62" s="14">
        <v>141.59590972238681</v>
      </c>
      <c r="I62" s="14">
        <v>288.07653113587952</v>
      </c>
      <c r="J62" s="14">
        <v>0</v>
      </c>
      <c r="K62" s="14">
        <v>4.3777332187870286</v>
      </c>
      <c r="L62" s="14">
        <v>0.22842872098932457</v>
      </c>
      <c r="M62" s="14">
        <v>0.18742576557174082</v>
      </c>
      <c r="N62" s="14">
        <v>3.6991467360612775</v>
      </c>
      <c r="O62" s="14">
        <v>1199.9662097109178</v>
      </c>
      <c r="P62" s="8">
        <v>3.699146736061278</v>
      </c>
      <c r="Q62" s="54">
        <v>0.26092030580343162</v>
      </c>
    </row>
    <row r="63" spans="1:17">
      <c r="A63" s="2" t="s">
        <v>487</v>
      </c>
      <c r="B63" s="16" t="s">
        <v>488</v>
      </c>
      <c r="D63" s="14">
        <v>1</v>
      </c>
      <c r="E63" s="14">
        <v>0.98051990236721942</v>
      </c>
      <c r="F63" s="14">
        <v>0.94726745434640447</v>
      </c>
      <c r="G63" s="14">
        <v>8.1310460157153448E-15</v>
      </c>
      <c r="H63" s="14">
        <v>9.2765806965107878</v>
      </c>
      <c r="I63" s="14">
        <v>11.333036690093076</v>
      </c>
      <c r="J63" s="14">
        <v>0</v>
      </c>
      <c r="K63" s="14">
        <v>1.0556680644010723</v>
      </c>
      <c r="L63" s="14">
        <v>0.94726745434640458</v>
      </c>
      <c r="M63" s="14">
        <v>0.77723294629122497</v>
      </c>
      <c r="N63" s="14">
        <v>4.7517717214299973</v>
      </c>
      <c r="O63" s="14">
        <v>2098.1923213146297</v>
      </c>
      <c r="P63" s="8">
        <v>4.7517717214299973</v>
      </c>
      <c r="Q63" s="54">
        <v>2.762016665953684E-2</v>
      </c>
    </row>
    <row r="64" spans="1:17">
      <c r="A64" s="2" t="s">
        <v>489</v>
      </c>
      <c r="B64" s="16" t="s">
        <v>490</v>
      </c>
      <c r="D64" s="14">
        <v>1</v>
      </c>
      <c r="E64" s="14">
        <v>0.99772849644579364</v>
      </c>
      <c r="F64" s="14">
        <v>0.98924573390574333</v>
      </c>
      <c r="G64" s="14">
        <v>1.4684473655814063E-16</v>
      </c>
      <c r="H64" s="14">
        <v>3.4640502717880359</v>
      </c>
      <c r="I64" s="14">
        <v>0.39822008644601714</v>
      </c>
      <c r="J64" s="14">
        <v>0</v>
      </c>
      <c r="K64" s="14">
        <v>1.0108711776312611</v>
      </c>
      <c r="L64" s="14">
        <v>0.98924573390574333</v>
      </c>
      <c r="M64" s="14">
        <v>0.81167612466966244</v>
      </c>
      <c r="N64" s="14">
        <v>0.93385142869950311</v>
      </c>
      <c r="O64" s="14">
        <v>374.87597902284153</v>
      </c>
      <c r="P64" s="8">
        <v>0.93385142869950322</v>
      </c>
      <c r="Q64" s="54">
        <v>2.937129953284507E-3</v>
      </c>
    </row>
    <row r="65" spans="1:17">
      <c r="A65" s="2" t="s">
        <v>491</v>
      </c>
      <c r="B65" s="16" t="s">
        <v>492</v>
      </c>
      <c r="D65" s="14">
        <v>1</v>
      </c>
      <c r="E65" s="14">
        <v>0.99858526597677177</v>
      </c>
      <c r="F65" s="14">
        <v>1.0008204365517051</v>
      </c>
      <c r="G65" s="14">
        <v>2.445335903211231E-14</v>
      </c>
      <c r="H65" s="14">
        <v>0.45346322337123379</v>
      </c>
      <c r="I65" s="14">
        <v>0.18674423634355725</v>
      </c>
      <c r="J65" s="14">
        <v>0</v>
      </c>
      <c r="K65" s="14">
        <v>0.99918023601263395</v>
      </c>
      <c r="L65" s="14">
        <v>1.0008204365517051</v>
      </c>
      <c r="M65" s="14">
        <v>0.82117316819067399</v>
      </c>
      <c r="N65" s="14">
        <v>1.2789017327543222</v>
      </c>
      <c r="O65" s="14">
        <v>354.7161845967388</v>
      </c>
      <c r="P65" s="8">
        <v>1.2789017327543222</v>
      </c>
      <c r="Q65" s="54">
        <v>1.3086611406362815E-3</v>
      </c>
    </row>
    <row r="66" spans="1:17">
      <c r="A66" s="2" t="s">
        <v>493</v>
      </c>
      <c r="B66" s="16" t="s">
        <v>494</v>
      </c>
      <c r="D66" s="14">
        <v>1</v>
      </c>
      <c r="E66" s="14">
        <v>0.97741440744137176</v>
      </c>
      <c r="F66" s="14">
        <v>0.774471869123048</v>
      </c>
      <c r="G66" s="14">
        <v>3.1964125055459896E-13</v>
      </c>
      <c r="H66" s="14">
        <v>57.107253713691989</v>
      </c>
      <c r="I66" s="14">
        <v>13.251521017523819</v>
      </c>
      <c r="J66" s="14">
        <v>0</v>
      </c>
      <c r="K66" s="14">
        <v>1.2912024824508119</v>
      </c>
      <c r="L66" s="14">
        <v>0.77447186912304811</v>
      </c>
      <c r="M66" s="14">
        <v>0.63545416861546089</v>
      </c>
      <c r="N66" s="14">
        <v>32.756898169772448</v>
      </c>
      <c r="O66" s="14">
        <v>10626.992904237577</v>
      </c>
      <c r="P66" s="8">
        <v>32.756898169772448</v>
      </c>
      <c r="Q66" s="54">
        <v>1.167846409124172E-2</v>
      </c>
    </row>
    <row r="67" spans="1:17">
      <c r="A67" s="2" t="s">
        <v>495</v>
      </c>
      <c r="B67" s="16" t="s">
        <v>496</v>
      </c>
      <c r="D67" s="14">
        <v>1</v>
      </c>
      <c r="E67" s="14">
        <v>0.99851063533683315</v>
      </c>
      <c r="F67" s="14">
        <v>1.0009937828177053</v>
      </c>
      <c r="G67" s="14">
        <v>1.910644412201576E-14</v>
      </c>
      <c r="H67" s="14">
        <v>0.38243808115975897</v>
      </c>
      <c r="I67" s="14">
        <v>0.19356983503110786</v>
      </c>
      <c r="J67" s="14">
        <v>0</v>
      </c>
      <c r="K67" s="14">
        <v>0.99900720380609365</v>
      </c>
      <c r="L67" s="14">
        <v>1.0009937828177053</v>
      </c>
      <c r="M67" s="14">
        <v>0.82131539880192739</v>
      </c>
      <c r="N67" s="14">
        <v>1.2203854539584813</v>
      </c>
      <c r="O67" s="14">
        <v>382.49320897966726</v>
      </c>
      <c r="P67" s="8">
        <v>1.2203854539584815</v>
      </c>
      <c r="Q67" s="54">
        <v>1.4717623199712755E-3</v>
      </c>
    </row>
    <row r="68" spans="1:17">
      <c r="A68" s="2" t="s">
        <v>497</v>
      </c>
      <c r="B68" s="16" t="s">
        <v>498</v>
      </c>
      <c r="D68" s="14">
        <v>1</v>
      </c>
      <c r="E68" s="14">
        <v>0.99917408529741281</v>
      </c>
      <c r="F68" s="14">
        <v>1.0029114211121251</v>
      </c>
      <c r="G68" s="14">
        <v>1.7282829249783647E-13</v>
      </c>
      <c r="H68" s="14">
        <v>4.5493478536996805E-2</v>
      </c>
      <c r="I68" s="14">
        <v>3.2499511754195055E-2</v>
      </c>
      <c r="J68" s="14">
        <v>0</v>
      </c>
      <c r="K68" s="14">
        <v>0.99709703065411615</v>
      </c>
      <c r="L68" s="14">
        <v>1.0029114211121253</v>
      </c>
      <c r="M68" s="14">
        <v>0.82288882102249872</v>
      </c>
      <c r="N68" s="14">
        <v>0.97323595637731408</v>
      </c>
      <c r="O68" s="14">
        <v>265.07054507892525</v>
      </c>
      <c r="P68" s="8">
        <v>0.97323595637731408</v>
      </c>
      <c r="Q68" s="54">
        <v>5.9478065735435015E-4</v>
      </c>
    </row>
    <row r="69" spans="1:17">
      <c r="A69" s="2" t="s">
        <v>499</v>
      </c>
      <c r="B69" s="16" t="s">
        <v>500</v>
      </c>
      <c r="D69" s="14">
        <v>1</v>
      </c>
      <c r="E69" s="14">
        <v>0.94485742163667474</v>
      </c>
      <c r="F69" s="14">
        <v>8.2216029696766304E-3</v>
      </c>
      <c r="G69" s="14">
        <v>9.1400166753361965E-14</v>
      </c>
      <c r="H69" s="14">
        <v>211.74272622054707</v>
      </c>
      <c r="I69" s="14">
        <v>504.40068902537422</v>
      </c>
      <c r="J69" s="14">
        <v>0</v>
      </c>
      <c r="K69" s="14">
        <v>121.63078218301895</v>
      </c>
      <c r="L69" s="14">
        <v>8.2216029696766304E-3</v>
      </c>
      <c r="M69" s="14">
        <v>6.7458252366196757E-3</v>
      </c>
      <c r="N69" s="14">
        <v>6.2784301296945175</v>
      </c>
      <c r="O69" s="14">
        <v>2697.1507994154676</v>
      </c>
      <c r="P69" s="8">
        <v>6.2784301296945175</v>
      </c>
      <c r="Q69" s="54">
        <v>8.3540230874245031E-2</v>
      </c>
    </row>
    <row r="70" spans="1:17">
      <c r="A70" s="2" t="s">
        <v>501</v>
      </c>
      <c r="B70" s="16" t="s">
        <v>411</v>
      </c>
      <c r="D70" s="14">
        <v>1</v>
      </c>
      <c r="E70" s="14">
        <v>0.99954499246151352</v>
      </c>
      <c r="F70" s="14">
        <v>0.97309434985864296</v>
      </c>
      <c r="G70" s="14">
        <v>3.0965880862167498E-15</v>
      </c>
      <c r="H70" s="14">
        <v>8.5951795010931065</v>
      </c>
      <c r="I70" s="14">
        <v>7.5633150353031989E-3</v>
      </c>
      <c r="J70" s="14">
        <v>0</v>
      </c>
      <c r="K70" s="14">
        <v>1.0276495800692558</v>
      </c>
      <c r="L70" s="14">
        <v>0.97309434985864307</v>
      </c>
      <c r="M70" s="14">
        <v>0.79842391405901658</v>
      </c>
      <c r="N70" s="14">
        <v>0.92366083495274909</v>
      </c>
      <c r="O70" s="14">
        <v>277.19061656932001</v>
      </c>
      <c r="P70" s="8">
        <v>0.92366083495274909</v>
      </c>
      <c r="Q70" s="54">
        <v>3.8345304466530858E-5</v>
      </c>
    </row>
    <row r="71" spans="1:17">
      <c r="A71" s="2" t="s">
        <v>502</v>
      </c>
      <c r="B71" s="16" t="s">
        <v>412</v>
      </c>
      <c r="D71" s="14">
        <v>1</v>
      </c>
      <c r="E71" s="14">
        <v>0.99954160857338303</v>
      </c>
      <c r="F71" s="14">
        <v>0.94685256332494905</v>
      </c>
      <c r="G71" s="14">
        <v>1.4143940236962605E-10</v>
      </c>
      <c r="H71" s="14">
        <v>16.022945638061742</v>
      </c>
      <c r="I71" s="14">
        <v>1.3482495640892711E-2</v>
      </c>
      <c r="J71" s="14">
        <v>0</v>
      </c>
      <c r="K71" s="14">
        <v>1.056130636102858</v>
      </c>
      <c r="L71" s="14">
        <v>0.94685256332494905</v>
      </c>
      <c r="M71" s="14">
        <v>0.77689252820812071</v>
      </c>
      <c r="N71" s="14">
        <v>0.91189945993912591</v>
      </c>
      <c r="O71" s="14">
        <v>299.23980777902415</v>
      </c>
      <c r="P71" s="8">
        <v>0.91189945993912591</v>
      </c>
      <c r="Q71" s="54">
        <v>5.2525511286325326E-5</v>
      </c>
    </row>
    <row r="72" spans="1:17">
      <c r="A72" s="2" t="s">
        <v>503</v>
      </c>
      <c r="B72" s="16" t="s">
        <v>413</v>
      </c>
      <c r="D72" s="14">
        <v>1</v>
      </c>
      <c r="E72" s="14">
        <v>0.99863220470605085</v>
      </c>
      <c r="F72" s="14">
        <v>3.906119559249703E-3</v>
      </c>
      <c r="G72" s="14">
        <v>1.9137887532745412E-12</v>
      </c>
      <c r="H72" s="14">
        <v>282.59568882222834</v>
      </c>
      <c r="I72" s="14">
        <v>1.2016873977964484</v>
      </c>
      <c r="J72" s="14">
        <v>0</v>
      </c>
      <c r="K72" s="14">
        <v>256.00854885048182</v>
      </c>
      <c r="L72" s="14">
        <v>3.906119559249703E-3</v>
      </c>
      <c r="M72" s="14">
        <v>3.2049710983643813E-3</v>
      </c>
      <c r="N72" s="14">
        <v>2.8513984852632697</v>
      </c>
      <c r="O72" s="14">
        <v>1323.2770090409781</v>
      </c>
      <c r="P72" s="8">
        <v>2.8513984852632697</v>
      </c>
      <c r="Q72" s="54">
        <v>5.9428053644241373E-5</v>
      </c>
    </row>
    <row r="73" spans="1:17">
      <c r="A73" s="2" t="s">
        <v>504</v>
      </c>
      <c r="B73" s="16" t="s">
        <v>414</v>
      </c>
      <c r="D73" s="14">
        <v>1</v>
      </c>
      <c r="E73" s="14">
        <v>0.99979880663199439</v>
      </c>
      <c r="F73" s="14">
        <v>3.6246708089596402E-2</v>
      </c>
      <c r="G73" s="14">
        <v>2.5014800071856679E-12</v>
      </c>
      <c r="H73" s="14">
        <v>273.88520343513619</v>
      </c>
      <c r="I73" s="14">
        <v>0.14658669218720743</v>
      </c>
      <c r="J73" s="14">
        <v>0</v>
      </c>
      <c r="K73" s="14">
        <v>27.588712263970301</v>
      </c>
      <c r="L73" s="14">
        <v>3.6246708089596409E-2</v>
      </c>
      <c r="M73" s="14">
        <v>2.9740423987513854E-2</v>
      </c>
      <c r="N73" s="14">
        <v>0.36656763730231356</v>
      </c>
      <c r="O73" s="14">
        <v>115.12056649479157</v>
      </c>
      <c r="P73" s="8">
        <v>0.36656763730231356</v>
      </c>
      <c r="Q73" s="54">
        <v>4.8205272790478889E-5</v>
      </c>
    </row>
    <row r="74" spans="1:17">
      <c r="A74" s="2" t="s">
        <v>505</v>
      </c>
      <c r="B74" s="16" t="s">
        <v>415</v>
      </c>
      <c r="D74" s="14">
        <v>1</v>
      </c>
      <c r="E74" s="14">
        <v>0.99954212240098872</v>
      </c>
      <c r="F74" s="14">
        <v>0.95196411772952083</v>
      </c>
      <c r="G74" s="14">
        <v>1.7485137215350947E-11</v>
      </c>
      <c r="H74" s="14">
        <v>14.576074483849141</v>
      </c>
      <c r="I74" s="14">
        <v>1.2318747499538906E-2</v>
      </c>
      <c r="J74" s="14">
        <v>0</v>
      </c>
      <c r="K74" s="14">
        <v>1.0504597614299234</v>
      </c>
      <c r="L74" s="14">
        <v>0.95196411772952083</v>
      </c>
      <c r="M74" s="14">
        <v>0.78108655859707188</v>
      </c>
      <c r="N74" s="14">
        <v>0.9142307380494199</v>
      </c>
      <c r="O74" s="14">
        <v>195.68194717209784</v>
      </c>
      <c r="P74" s="8">
        <v>0.9142307380494199</v>
      </c>
      <c r="Q74" s="54">
        <v>4.9976582339061681E-5</v>
      </c>
    </row>
    <row r="75" spans="1:17">
      <c r="A75" s="2" t="s">
        <v>506</v>
      </c>
      <c r="B75" s="16" t="s">
        <v>416</v>
      </c>
      <c r="D75" s="14">
        <v>1</v>
      </c>
      <c r="E75" s="14">
        <v>0.99979282446809903</v>
      </c>
      <c r="F75" s="14">
        <v>4.2884047135262754E-2</v>
      </c>
      <c r="G75" s="14">
        <v>1.0735053931299425E-11</v>
      </c>
      <c r="H75" s="14">
        <v>272.00429688285544</v>
      </c>
      <c r="I75" s="14">
        <v>0.14746934092017661</v>
      </c>
      <c r="J75" s="14">
        <v>0</v>
      </c>
      <c r="K75" s="14">
        <v>23.318694638261384</v>
      </c>
      <c r="L75" s="14">
        <v>4.2884047135262754E-2</v>
      </c>
      <c r="M75" s="14">
        <v>3.5186360674483087E-2</v>
      </c>
      <c r="N75" s="14">
        <v>0.37422313305183624</v>
      </c>
      <c r="O75" s="14">
        <v>154.95457270277385</v>
      </c>
      <c r="P75" s="8">
        <v>0.37422313305183624</v>
      </c>
      <c r="Q75" s="54">
        <v>5.2059709370017538E-5</v>
      </c>
    </row>
    <row r="76" spans="1:17">
      <c r="A76" s="2" t="s">
        <v>507</v>
      </c>
      <c r="B76" s="16" t="s">
        <v>417</v>
      </c>
      <c r="D76" s="14">
        <v>1</v>
      </c>
      <c r="E76" s="14">
        <v>0.99962043595708439</v>
      </c>
      <c r="F76" s="14">
        <v>0.4496214131010578</v>
      </c>
      <c r="G76" s="14">
        <v>2.4796765764413325E-10</v>
      </c>
      <c r="H76" s="14">
        <v>156.80755609028867</v>
      </c>
      <c r="I76" s="14">
        <v>0.10558322312645073</v>
      </c>
      <c r="J76" s="14">
        <v>0</v>
      </c>
      <c r="K76" s="14">
        <v>2.2240933613525162</v>
      </c>
      <c r="L76" s="14">
        <v>0.44962141310105785</v>
      </c>
      <c r="M76" s="14">
        <v>0.36891436944941797</v>
      </c>
      <c r="N76" s="14">
        <v>0.65162991326141673</v>
      </c>
      <c r="O76" s="14">
        <v>279.0083799611408</v>
      </c>
      <c r="P76" s="8">
        <v>0.65162991326141673</v>
      </c>
      <c r="Q76" s="54">
        <v>1.2072436105191831E-4</v>
      </c>
    </row>
    <row r="77" spans="1:17">
      <c r="A77" s="2" t="s">
        <v>508</v>
      </c>
      <c r="B77" s="16" t="s">
        <v>418</v>
      </c>
      <c r="D77" s="14">
        <v>1</v>
      </c>
      <c r="E77" s="14">
        <v>0.99979704192882146</v>
      </c>
      <c r="F77" s="14">
        <v>3.8035057174247995E-2</v>
      </c>
      <c r="G77" s="14">
        <v>7.7444775796035934E-11</v>
      </c>
      <c r="H77" s="14">
        <v>273.37832196629086</v>
      </c>
      <c r="I77" s="14">
        <v>0.14729635595664625</v>
      </c>
      <c r="J77" s="14">
        <v>0</v>
      </c>
      <c r="K77" s="14">
        <v>26.291534029218173</v>
      </c>
      <c r="L77" s="14">
        <v>3.8035057174247995E-2</v>
      </c>
      <c r="M77" s="14">
        <v>3.1207764411470482E-2</v>
      </c>
      <c r="N77" s="14">
        <v>0.36869743072283212</v>
      </c>
      <c r="O77" s="14">
        <v>194.73860895918546</v>
      </c>
      <c r="P77" s="8">
        <v>0.36869743072283218</v>
      </c>
      <c r="Q77" s="54">
        <v>4.943015846408273E-5</v>
      </c>
    </row>
    <row r="78" spans="1:17">
      <c r="A78" s="2" t="s">
        <v>509</v>
      </c>
      <c r="B78" s="16" t="s">
        <v>419</v>
      </c>
      <c r="D78" s="14">
        <v>1</v>
      </c>
      <c r="E78" s="14">
        <v>0.99884947257751833</v>
      </c>
      <c r="F78" s="14">
        <v>4.3331778057391487E-3</v>
      </c>
      <c r="G78" s="14">
        <v>7.6954669257703842E-12</v>
      </c>
      <c r="H78" s="14">
        <v>282.5572857330751</v>
      </c>
      <c r="I78" s="14">
        <v>1.0095608128563187</v>
      </c>
      <c r="J78" s="14">
        <v>0</v>
      </c>
      <c r="K78" s="14">
        <v>230.77751360111131</v>
      </c>
      <c r="L78" s="14">
        <v>4.3331778057391487E-3</v>
      </c>
      <c r="M78" s="14">
        <v>3.555372389608972E-3</v>
      </c>
      <c r="N78" s="14">
        <v>2.3899045335305646</v>
      </c>
      <c r="O78" s="14">
        <v>1348.1212483192562</v>
      </c>
      <c r="P78" s="8">
        <v>2.3899045335305646</v>
      </c>
      <c r="Q78" s="54">
        <v>5.6380962375454195E-5</v>
      </c>
    </row>
    <row r="79" spans="1:17">
      <c r="A79" s="2" t="s">
        <v>510</v>
      </c>
      <c r="B79" s="16" t="s">
        <v>420</v>
      </c>
      <c r="D79" s="14">
        <v>1</v>
      </c>
      <c r="E79" s="14">
        <v>0.99884947950267</v>
      </c>
      <c r="F79" s="14">
        <v>4.3331780991610735E-3</v>
      </c>
      <c r="G79" s="14">
        <v>1.933014123175041E-16</v>
      </c>
      <c r="H79" s="14">
        <v>282.55730486649321</v>
      </c>
      <c r="I79" s="14">
        <v>1.0094011124756799</v>
      </c>
      <c r="J79" s="14">
        <v>0</v>
      </c>
      <c r="K79" s="14">
        <v>230.77749797397092</v>
      </c>
      <c r="L79" s="14">
        <v>4.3331780991610743E-3</v>
      </c>
      <c r="M79" s="14">
        <v>3.5553726303616611E-3</v>
      </c>
      <c r="N79" s="14">
        <v>2.3899027930194765</v>
      </c>
      <c r="O79" s="14">
        <v>1195.2620838728308</v>
      </c>
      <c r="P79" s="8">
        <v>2.3899027930194765</v>
      </c>
      <c r="Q79" s="54">
        <v>5.6372043585186704E-5</v>
      </c>
    </row>
    <row r="80" spans="1:17">
      <c r="A80" s="2" t="s">
        <v>511</v>
      </c>
      <c r="B80" s="16" t="s">
        <v>421</v>
      </c>
      <c r="D80" s="14">
        <v>1</v>
      </c>
      <c r="E80" s="14">
        <v>0.99971953389484791</v>
      </c>
      <c r="F80" s="14">
        <v>0.16734264907053739</v>
      </c>
      <c r="G80" s="14">
        <v>2.1802942307095078E-11</v>
      </c>
      <c r="H80" s="14">
        <v>236.74817489097217</v>
      </c>
      <c r="I80" s="14">
        <v>0.14335492381708867</v>
      </c>
      <c r="J80" s="14">
        <v>0</v>
      </c>
      <c r="K80" s="14">
        <v>5.9757629364316154</v>
      </c>
      <c r="L80" s="14">
        <v>0.16734264907053742</v>
      </c>
      <c r="M80" s="14">
        <v>0.13730464356237596</v>
      </c>
      <c r="N80" s="14">
        <v>0.47651946133384698</v>
      </c>
      <c r="O80" s="14">
        <v>173.48167509320035</v>
      </c>
      <c r="P80" s="8">
        <v>0.47651946133384704</v>
      </c>
      <c r="Q80" s="54">
        <v>9.2942128517614078E-5</v>
      </c>
    </row>
    <row r="81" spans="1:17">
      <c r="A81" s="2" t="s">
        <v>512</v>
      </c>
      <c r="B81" s="16" t="s">
        <v>422</v>
      </c>
      <c r="D81" s="14">
        <v>1</v>
      </c>
      <c r="E81" s="14">
        <v>0.99954802243530427</v>
      </c>
      <c r="F81" s="14">
        <v>0.80761893676002938</v>
      </c>
      <c r="G81" s="14">
        <v>2.8500662772992466E-11</v>
      </c>
      <c r="H81" s="14">
        <v>55.440417685808718</v>
      </c>
      <c r="I81" s="14">
        <v>4.1951980501731947E-2</v>
      </c>
      <c r="J81" s="14">
        <v>0</v>
      </c>
      <c r="K81" s="14">
        <v>1.2382077171342174</v>
      </c>
      <c r="L81" s="14">
        <v>0.80761893676002949</v>
      </c>
      <c r="M81" s="14">
        <v>0.66265133761160422</v>
      </c>
      <c r="N81" s="14">
        <v>0.84440366830904179</v>
      </c>
      <c r="O81" s="14">
        <v>222.96478861700248</v>
      </c>
      <c r="P81" s="8">
        <v>0.84440366830904179</v>
      </c>
      <c r="Q81" s="54">
        <v>9.2672839101578147E-5</v>
      </c>
    </row>
    <row r="82" spans="1:17">
      <c r="A82" s="2" t="s">
        <v>513</v>
      </c>
      <c r="B82" s="16" t="s">
        <v>423</v>
      </c>
      <c r="D82" s="14">
        <v>1</v>
      </c>
      <c r="E82" s="14">
        <v>0.99958122696058016</v>
      </c>
      <c r="F82" s="14">
        <v>0.61075586035919838</v>
      </c>
      <c r="G82" s="14">
        <v>7.175565456656387E-15</v>
      </c>
      <c r="H82" s="14">
        <v>111.18024912291102</v>
      </c>
      <c r="I82" s="14">
        <v>7.8286140410059463E-2</v>
      </c>
      <c r="J82" s="14">
        <v>0</v>
      </c>
      <c r="K82" s="14">
        <v>1.6373154396126117</v>
      </c>
      <c r="L82" s="14">
        <v>0.61075586035919849</v>
      </c>
      <c r="M82" s="14">
        <v>0.50112518342472234</v>
      </c>
      <c r="N82" s="14">
        <v>0.7413587565630525</v>
      </c>
      <c r="O82" s="14">
        <v>296.62505208844294</v>
      </c>
      <c r="P82" s="8">
        <v>0.74135875656305261</v>
      </c>
      <c r="Q82" s="54">
        <v>1.1648899070136598E-4</v>
      </c>
    </row>
    <row r="83" spans="1:17">
      <c r="A83" s="2" t="s">
        <v>514</v>
      </c>
      <c r="B83" s="16" t="s">
        <v>424</v>
      </c>
      <c r="D83" s="14">
        <v>1</v>
      </c>
      <c r="E83" s="14">
        <v>0.99779489731112014</v>
      </c>
      <c r="F83" s="14">
        <v>2.9349447515592086E-3</v>
      </c>
      <c r="G83" s="14">
        <v>2.7525067728016101E-12</v>
      </c>
      <c r="H83" s="14">
        <v>282.55300492970582</v>
      </c>
      <c r="I83" s="14">
        <v>1.9392147460613005</v>
      </c>
      <c r="J83" s="14">
        <v>0</v>
      </c>
      <c r="K83" s="14">
        <v>340.72191630481063</v>
      </c>
      <c r="L83" s="14">
        <v>2.9349447515592086E-3</v>
      </c>
      <c r="M83" s="14">
        <v>2.4081221686543309E-3</v>
      </c>
      <c r="N83" s="14">
        <v>4.6332807690231821</v>
      </c>
      <c r="O83" s="14">
        <v>2381.8769777394373</v>
      </c>
      <c r="P83" s="8">
        <v>4.6332807690231821</v>
      </c>
      <c r="Q83" s="54">
        <v>6.8647686389548818E-5</v>
      </c>
    </row>
    <row r="84" spans="1:17">
      <c r="A84" s="2" t="s">
        <v>403</v>
      </c>
      <c r="B84" s="16" t="s">
        <v>404</v>
      </c>
      <c r="D84" s="14">
        <v>1</v>
      </c>
      <c r="E84" s="14">
        <v>0.82335527289126365</v>
      </c>
      <c r="F84" s="14">
        <v>0.35345107908021661</v>
      </c>
      <c r="G84" s="14">
        <v>6.1599586882567978E-46</v>
      </c>
      <c r="H84" s="14">
        <v>108.78006447583367</v>
      </c>
      <c r="I84" s="14">
        <v>233.02712801568438</v>
      </c>
      <c r="J84" s="14">
        <v>0</v>
      </c>
      <c r="K84" s="14">
        <v>2.8292458537749932</v>
      </c>
      <c r="L84" s="14">
        <v>0.35345107908021661</v>
      </c>
      <c r="M84" s="14">
        <v>0.29000661038531772</v>
      </c>
      <c r="N84" s="14">
        <v>3.1369912425373552</v>
      </c>
      <c r="O84" s="14">
        <v>3772.5770381878483</v>
      </c>
      <c r="P84" s="8">
        <v>3.1369912425373552</v>
      </c>
      <c r="Q84" s="54">
        <v>0.28028927657955044</v>
      </c>
    </row>
    <row r="85" spans="1:17">
      <c r="A85" s="2" t="s">
        <v>405</v>
      </c>
      <c r="B85" s="16" t="s">
        <v>406</v>
      </c>
      <c r="D85" s="14">
        <v>1</v>
      </c>
      <c r="E85" s="14">
        <v>0.84054649558517047</v>
      </c>
      <c r="F85" s="14">
        <v>4.8112573321094816E-2</v>
      </c>
      <c r="G85" s="14">
        <v>1.4592365527070356E-10</v>
      </c>
      <c r="H85" s="14">
        <v>214.08680325250052</v>
      </c>
      <c r="I85" s="14">
        <v>103.62756777977044</v>
      </c>
      <c r="J85" s="14">
        <v>0</v>
      </c>
      <c r="K85" s="14">
        <v>20.784587706963343</v>
      </c>
      <c r="L85" s="14">
        <v>4.8112573321094823E-2</v>
      </c>
      <c r="M85" s="14">
        <v>3.9476366409958302E-2</v>
      </c>
      <c r="N85" s="14">
        <v>328.29087938472463</v>
      </c>
      <c r="O85" s="14">
        <v>104678.8298006133</v>
      </c>
      <c r="P85" s="8">
        <v>328.29087938472463</v>
      </c>
      <c r="Q85" s="54">
        <v>1.0001734113016561E-2</v>
      </c>
    </row>
    <row r="86" spans="1:17">
      <c r="A86" s="2" t="s">
        <v>407</v>
      </c>
      <c r="B86" s="16" t="s">
        <v>408</v>
      </c>
      <c r="D86" s="14">
        <v>1</v>
      </c>
      <c r="E86" s="14">
        <v>0.95797573577726469</v>
      </c>
      <c r="F86" s="14">
        <v>3.7772516739256111E-4</v>
      </c>
      <c r="G86" s="14">
        <v>3.0322458477540995E-7</v>
      </c>
      <c r="H86" s="14">
        <v>51.8604071846758</v>
      </c>
      <c r="I86" s="14">
        <v>2039.8258591976348</v>
      </c>
      <c r="J86" s="14">
        <v>0</v>
      </c>
      <c r="K86" s="14">
        <v>2647.4275116561744</v>
      </c>
      <c r="L86" s="14">
        <v>3.7772516739256111E-4</v>
      </c>
      <c r="M86" s="14">
        <v>3.0992349984559643E-4</v>
      </c>
      <c r="N86" s="14">
        <v>26.170413558704972</v>
      </c>
      <c r="O86" s="14">
        <v>12713.325202683289</v>
      </c>
      <c r="P86" s="8">
        <v>26.170413558704976</v>
      </c>
      <c r="Q86" s="54">
        <v>4.7664286145715273E-2</v>
      </c>
    </row>
    <row r="87" spans="1:17">
      <c r="A87" s="2" t="s">
        <v>409</v>
      </c>
      <c r="B87" s="16" t="s">
        <v>410</v>
      </c>
      <c r="D87" s="14">
        <v>1</v>
      </c>
      <c r="E87" s="14">
        <v>0.96628547076514149</v>
      </c>
      <c r="F87" s="14">
        <v>1.2988290768119716E-4</v>
      </c>
      <c r="G87" s="14">
        <v>3.7256365905341392E-8</v>
      </c>
      <c r="H87" s="14">
        <v>27.731413243888785</v>
      </c>
      <c r="I87" s="14">
        <v>2285.7523416728659</v>
      </c>
      <c r="J87" s="14">
        <v>0</v>
      </c>
      <c r="K87" s="14">
        <v>7699.2424781137515</v>
      </c>
      <c r="L87" s="14">
        <v>1.2988290768119716E-4</v>
      </c>
      <c r="M87" s="14">
        <v>1.0656892575242228E-4</v>
      </c>
      <c r="N87" s="14">
        <v>29.571819217686254</v>
      </c>
      <c r="O87" s="14">
        <v>16698.910594035253</v>
      </c>
      <c r="P87" s="8">
        <v>29.571819217686254</v>
      </c>
      <c r="Q87" s="54">
        <v>3.1858782380253248E-2</v>
      </c>
    </row>
    <row r="88" spans="1:17">
      <c r="A88" s="2" t="s">
        <v>301</v>
      </c>
      <c r="B88" s="16" t="s">
        <v>302</v>
      </c>
      <c r="D88" s="14">
        <v>1</v>
      </c>
      <c r="E88" s="14">
        <v>0.97328486963765992</v>
      </c>
      <c r="F88" s="14">
        <v>3.6219639984105566E-5</v>
      </c>
      <c r="G88" s="14">
        <v>4.5716462414908568E-9</v>
      </c>
      <c r="H88" s="14">
        <v>12.777448206085259</v>
      </c>
      <c r="I88" s="14">
        <v>2442.8753090211312</v>
      </c>
      <c r="J88" s="14">
        <v>0</v>
      </c>
      <c r="K88" s="14">
        <v>27609.330198721873</v>
      </c>
      <c r="L88" s="14">
        <v>3.6219639984105566E-5</v>
      </c>
      <c r="M88" s="14">
        <v>2.971821460695862E-5</v>
      </c>
      <c r="N88" s="14">
        <v>31.907893552293395</v>
      </c>
      <c r="O88" s="14">
        <v>20535.282132384982</v>
      </c>
      <c r="P88" s="8">
        <v>31.907893552293395</v>
      </c>
      <c r="Q88" s="54">
        <v>1.8919136036318923E-2</v>
      </c>
    </row>
    <row r="89" spans="1:17">
      <c r="A89" s="2" t="s">
        <v>303</v>
      </c>
      <c r="B89" s="16" t="s">
        <v>304</v>
      </c>
      <c r="D89" s="14">
        <v>1</v>
      </c>
      <c r="E89" s="14">
        <v>0.44758009842894608</v>
      </c>
      <c r="F89" s="14">
        <v>1.0891924035899005E-3</v>
      </c>
      <c r="G89" s="14">
        <v>1.56847956891377E-15</v>
      </c>
      <c r="H89" s="14">
        <v>35.243024512647146</v>
      </c>
      <c r="I89" s="14">
        <v>848.67393338874876</v>
      </c>
      <c r="J89" s="14">
        <v>0</v>
      </c>
      <c r="K89" s="14">
        <v>918.11143440228852</v>
      </c>
      <c r="L89" s="14">
        <v>1.0891924035899005E-3</v>
      </c>
      <c r="M89" s="14">
        <v>8.9368236714551345E-4</v>
      </c>
      <c r="N89" s="14">
        <v>1171.4595092858801</v>
      </c>
      <c r="O89" s="14">
        <v>755954.5359372712</v>
      </c>
      <c r="P89" s="8">
        <v>1171.4595092858801</v>
      </c>
      <c r="Q89" s="54">
        <v>9.1820755800531284E-3</v>
      </c>
    </row>
    <row r="90" spans="1:17">
      <c r="A90" s="2" t="s">
        <v>425</v>
      </c>
      <c r="B90" s="16" t="s">
        <v>426</v>
      </c>
      <c r="D90" s="14">
        <v>1</v>
      </c>
      <c r="E90" s="14">
        <v>0.98881346973957363</v>
      </c>
      <c r="F90" s="14">
        <v>0.99143672650110526</v>
      </c>
      <c r="G90" s="14">
        <v>1.8059322611234173E-15</v>
      </c>
      <c r="H90" s="14">
        <v>0.26421958296406889</v>
      </c>
      <c r="I90" s="14">
        <v>0.82139471673555953</v>
      </c>
      <c r="J90" s="14">
        <v>0</v>
      </c>
      <c r="K90" s="14">
        <v>1.0086372365174683</v>
      </c>
      <c r="L90" s="14">
        <v>0.99143672650110537</v>
      </c>
      <c r="M90" s="14">
        <v>0.81347383409415697</v>
      </c>
      <c r="N90" s="14">
        <v>0.93417768966821957</v>
      </c>
      <c r="O90" s="14">
        <v>259.01010623741053</v>
      </c>
      <c r="P90" s="8">
        <v>0.93417768966821957</v>
      </c>
      <c r="Q90" s="54">
        <v>1.7200929074860507E-2</v>
      </c>
    </row>
    <row r="91" spans="1:17">
      <c r="A91" s="2" t="s">
        <v>427</v>
      </c>
      <c r="B91" s="16" t="s">
        <v>428</v>
      </c>
      <c r="D91" s="14">
        <v>1</v>
      </c>
      <c r="E91" s="14">
        <v>0.89720792098253499</v>
      </c>
      <c r="F91" s="14">
        <v>0.8200722791619327</v>
      </c>
      <c r="G91" s="14">
        <v>1.0440964506620061E-6</v>
      </c>
      <c r="H91" s="14">
        <v>17.820181855934266</v>
      </c>
      <c r="I91" s="14">
        <v>46.405483557284555</v>
      </c>
      <c r="J91" s="14">
        <v>0</v>
      </c>
      <c r="K91" s="14">
        <v>1.2194047103042469</v>
      </c>
      <c r="L91" s="14">
        <v>0.8200722791619327</v>
      </c>
      <c r="M91" s="14">
        <v>0.67286930505236586</v>
      </c>
      <c r="N91" s="14">
        <v>1.3145338482040694</v>
      </c>
      <c r="O91" s="14">
        <v>217.14784638483022</v>
      </c>
      <c r="P91" s="8">
        <v>1.3145338482040694</v>
      </c>
      <c r="Q91" s="54">
        <v>0.16336886901881062</v>
      </c>
    </row>
    <row r="92" spans="1:17">
      <c r="A92" s="2" t="s">
        <v>429</v>
      </c>
      <c r="B92" s="16" t="s">
        <v>430</v>
      </c>
      <c r="D92" s="14">
        <v>1</v>
      </c>
      <c r="E92" s="14">
        <v>0.85225658306324681</v>
      </c>
      <c r="F92" s="14">
        <v>0.1528854095199032</v>
      </c>
      <c r="G92" s="14">
        <v>6.7392959522191678E-6</v>
      </c>
      <c r="H92" s="14">
        <v>164.28050941867852</v>
      </c>
      <c r="I92" s="14">
        <v>320.95430969773008</v>
      </c>
      <c r="J92" s="14">
        <v>0</v>
      </c>
      <c r="K92" s="14">
        <v>6.5408465277376004</v>
      </c>
      <c r="L92" s="14">
        <v>0.1528854095199032</v>
      </c>
      <c r="M92" s="14">
        <v>0.12544247851108059</v>
      </c>
      <c r="N92" s="14">
        <v>4.0402534913578618</v>
      </c>
      <c r="O92" s="14">
        <v>728.21528928234113</v>
      </c>
      <c r="P92" s="8">
        <v>4.0402534913578627</v>
      </c>
      <c r="Q92" s="54">
        <v>0.23261794334527616</v>
      </c>
    </row>
    <row r="93" spans="1:17">
      <c r="A93" s="2" t="s">
        <v>431</v>
      </c>
      <c r="B93" s="16" t="s">
        <v>432</v>
      </c>
      <c r="D93" s="14">
        <v>1</v>
      </c>
      <c r="E93" s="14">
        <v>0.99949940316458352</v>
      </c>
      <c r="F93" s="14">
        <v>0.99903025469338236</v>
      </c>
      <c r="G93" s="14">
        <v>1.3388485735932809E-19</v>
      </c>
      <c r="H93" s="14">
        <v>1.2392777162860915</v>
      </c>
      <c r="I93" s="14">
        <v>9.1928924126044378E-3</v>
      </c>
      <c r="J93" s="14">
        <v>0</v>
      </c>
      <c r="K93" s="14">
        <v>1.0009706866254167</v>
      </c>
      <c r="L93" s="14">
        <v>0.99903025469338247</v>
      </c>
      <c r="M93" s="14">
        <v>0.8197043239759203</v>
      </c>
      <c r="N93" s="14">
        <v>0.93443831600868277</v>
      </c>
      <c r="O93" s="14">
        <v>363.39371671261665</v>
      </c>
      <c r="P93" s="8">
        <v>0.93443831600868288</v>
      </c>
      <c r="Q93" s="54">
        <v>1.0324099404668033E-4</v>
      </c>
    </row>
    <row r="94" spans="1:17">
      <c r="A94" s="2" t="s">
        <v>433</v>
      </c>
      <c r="B94" s="16" t="s">
        <v>434</v>
      </c>
      <c r="D94" s="14">
        <v>1</v>
      </c>
      <c r="E94" s="14">
        <v>0.99955906642351322</v>
      </c>
      <c r="F94" s="14">
        <v>1.0034539395060909</v>
      </c>
      <c r="G94" s="14">
        <v>2.8295406008721704E-20</v>
      </c>
      <c r="H94" s="14">
        <v>4.8226688564226086E-3</v>
      </c>
      <c r="I94" s="14">
        <v>6.2308127470331356E-5</v>
      </c>
      <c r="J94" s="14">
        <v>0</v>
      </c>
      <c r="K94" s="14">
        <v>0.99655794912939311</v>
      </c>
      <c r="L94" s="14">
        <v>1.0034539395060909</v>
      </c>
      <c r="M94" s="14">
        <v>0.82333395736474757</v>
      </c>
      <c r="N94" s="14">
        <v>0.94135967895452988</v>
      </c>
      <c r="O94" s="14">
        <v>168.72930885580993</v>
      </c>
      <c r="P94" s="8">
        <v>0.94135967895452988</v>
      </c>
      <c r="Q94" s="54">
        <v>2.6118287596271652E-6</v>
      </c>
    </row>
    <row r="95" spans="1:17">
      <c r="A95" s="2" t="s">
        <v>435</v>
      </c>
      <c r="B95" s="16" t="s">
        <v>436</v>
      </c>
      <c r="D95" s="14">
        <v>1</v>
      </c>
      <c r="E95" s="14">
        <v>0.9742810196968873</v>
      </c>
      <c r="F95" s="14">
        <v>0.97286747769507387</v>
      </c>
      <c r="G95" s="14">
        <v>1.565718817810297E-10</v>
      </c>
      <c r="H95" s="14">
        <v>1.0986427034148074</v>
      </c>
      <c r="I95" s="14">
        <v>3.5281686556977903</v>
      </c>
      <c r="J95" s="14">
        <v>0</v>
      </c>
      <c r="K95" s="14">
        <v>1.0278892273891289</v>
      </c>
      <c r="L95" s="14">
        <v>0.97286747769507387</v>
      </c>
      <c r="M95" s="14">
        <v>0.7982377654488082</v>
      </c>
      <c r="N95" s="14">
        <v>0.95907057706399779</v>
      </c>
      <c r="O95" s="14">
        <v>250.40373696563915</v>
      </c>
      <c r="P95" s="8">
        <v>0.95907057706399779</v>
      </c>
      <c r="Q95" s="54">
        <v>4.0434244918055251E-2</v>
      </c>
    </row>
    <row r="96" spans="1:17">
      <c r="A96" s="2" t="s">
        <v>437</v>
      </c>
      <c r="B96" s="164" t="s">
        <v>438</v>
      </c>
      <c r="D96" s="14">
        <v>1</v>
      </c>
      <c r="E96" s="14">
        <v>0.95463183834169874</v>
      </c>
      <c r="F96" s="14">
        <v>5.51087123875363E-4</v>
      </c>
      <c r="G96" s="14">
        <v>5.6841921636955188E-10</v>
      </c>
      <c r="H96" s="14">
        <v>64.185992919878871</v>
      </c>
      <c r="I96" s="14">
        <v>1916.4497423330663</v>
      </c>
      <c r="J96" s="14">
        <v>0</v>
      </c>
      <c r="K96" s="14">
        <v>1814.5951096947888</v>
      </c>
      <c r="L96" s="14">
        <v>5.51087123875363E-4</v>
      </c>
      <c r="M96" s="14">
        <v>4.5216698513973535E-4</v>
      </c>
      <c r="N96" s="14">
        <v>24.511333873617275</v>
      </c>
      <c r="O96" s="14">
        <v>10204.068291586873</v>
      </c>
      <c r="P96" s="8">
        <v>24.511333873617279</v>
      </c>
      <c r="Q96" s="54">
        <v>5.4287199031361963E-2</v>
      </c>
    </row>
    <row r="97" spans="1:17">
      <c r="A97" s="2" t="s">
        <v>439</v>
      </c>
      <c r="B97" s="16" t="s">
        <v>440</v>
      </c>
      <c r="D97" s="14">
        <v>1</v>
      </c>
      <c r="E97" s="14">
        <v>0.86437102406909627</v>
      </c>
      <c r="F97" s="14">
        <v>0.71352268790915307</v>
      </c>
      <c r="G97" s="14">
        <v>5.2506887459706317E-7</v>
      </c>
      <c r="H97" s="14">
        <v>34.513403348192625</v>
      </c>
      <c r="I97" s="14">
        <v>84.731512279492947</v>
      </c>
      <c r="J97" s="14">
        <v>0</v>
      </c>
      <c r="K97" s="14">
        <v>1.4014971309886668</v>
      </c>
      <c r="L97" s="14">
        <v>0.71352268790915307</v>
      </c>
      <c r="M97" s="14">
        <v>0.58544536542946013</v>
      </c>
      <c r="N97" s="14">
        <v>1.6742814708009037</v>
      </c>
      <c r="O97" s="14">
        <v>320.23981692008886</v>
      </c>
      <c r="P97" s="8">
        <v>1.6742814708009037</v>
      </c>
      <c r="Q97" s="54">
        <v>0.21569742361062635</v>
      </c>
    </row>
    <row r="98" spans="1:17">
      <c r="A98" s="2" t="s">
        <v>441</v>
      </c>
      <c r="B98" s="16" t="s">
        <v>442</v>
      </c>
      <c r="D98" s="14">
        <v>1</v>
      </c>
      <c r="E98" s="14">
        <v>0.89122733309161351</v>
      </c>
      <c r="F98" s="14">
        <v>0.80316650773958753</v>
      </c>
      <c r="G98" s="14">
        <v>3.4678002826954905E-19</v>
      </c>
      <c r="H98" s="14">
        <v>20.278022004120984</v>
      </c>
      <c r="I98" s="14">
        <v>52.225518543418005</v>
      </c>
      <c r="J98" s="14">
        <v>0</v>
      </c>
      <c r="K98" s="14">
        <v>1.2450718379858441</v>
      </c>
      <c r="L98" s="14">
        <v>0.80316650773958753</v>
      </c>
      <c r="M98" s="14">
        <v>0.65899811960033161</v>
      </c>
      <c r="N98" s="14">
        <v>1.3682999660025967</v>
      </c>
      <c r="O98" s="14">
        <v>537.00300465737905</v>
      </c>
      <c r="P98" s="8">
        <v>1.3682999660025967</v>
      </c>
      <c r="Q98" s="54">
        <v>0.17301460307880268</v>
      </c>
    </row>
    <row r="99" spans="1:17">
      <c r="A99" s="2" t="s">
        <v>443</v>
      </c>
      <c r="B99" s="16" t="s">
        <v>444</v>
      </c>
      <c r="D99" s="14">
        <v>1</v>
      </c>
      <c r="E99" s="14">
        <v>0.94658303896717721</v>
      </c>
      <c r="F99" s="14">
        <v>0.9293788279058387</v>
      </c>
      <c r="G99" s="14">
        <v>5.0058895410012285E-31</v>
      </c>
      <c r="H99" s="14">
        <v>4.504564134419156</v>
      </c>
      <c r="I99" s="14">
        <v>13.10116587764816</v>
      </c>
      <c r="J99" s="14">
        <v>0</v>
      </c>
      <c r="K99" s="14">
        <v>1.0759874982877449</v>
      </c>
      <c r="L99" s="14">
        <v>0.92937882790583881</v>
      </c>
      <c r="M99" s="14">
        <v>0.76255532829674078</v>
      </c>
      <c r="N99" s="14">
        <v>1.0204853394359426</v>
      </c>
      <c r="O99" s="14">
        <v>796.93782097910503</v>
      </c>
      <c r="P99" s="8">
        <v>1.0204853394359426</v>
      </c>
      <c r="Q99" s="54">
        <v>8.470517526573719E-2</v>
      </c>
    </row>
    <row r="100" spans="1:17">
      <c r="A100" s="2" t="s">
        <v>445</v>
      </c>
      <c r="B100" s="16" t="s">
        <v>446</v>
      </c>
      <c r="D100" s="14">
        <v>1</v>
      </c>
      <c r="E100" s="14">
        <v>0.94159813085458699</v>
      </c>
      <c r="F100" s="14">
        <v>3.6388335975969287E-3</v>
      </c>
      <c r="G100" s="14">
        <v>5.99446851691027E-10</v>
      </c>
      <c r="H100" s="14">
        <v>162.11462495999888</v>
      </c>
      <c r="I100" s="14">
        <v>967.34049059638608</v>
      </c>
      <c r="J100" s="14">
        <v>0</v>
      </c>
      <c r="K100" s="14">
        <v>274.81333597128372</v>
      </c>
      <c r="L100" s="14">
        <v>3.6388335975969291E-3</v>
      </c>
      <c r="M100" s="14">
        <v>2.9856629668282802E-3</v>
      </c>
      <c r="N100" s="14">
        <v>12.153495805535819</v>
      </c>
      <c r="O100" s="14">
        <v>3723.8311148161742</v>
      </c>
      <c r="P100" s="8">
        <v>12.153495805535819</v>
      </c>
      <c r="Q100" s="54">
        <v>8.4368313293146632E-2</v>
      </c>
    </row>
    <row r="101" spans="1:17">
      <c r="A101" s="2" t="s">
        <v>447</v>
      </c>
      <c r="B101" s="16" t="s">
        <v>448</v>
      </c>
      <c r="D101" s="14">
        <v>1</v>
      </c>
      <c r="E101" s="14">
        <v>0.83725420479701607</v>
      </c>
      <c r="F101" s="14">
        <v>0.21686779181671087</v>
      </c>
      <c r="G101" s="14">
        <v>6.015940678076382E-11</v>
      </c>
      <c r="H101" s="14">
        <v>144.90222608059085</v>
      </c>
      <c r="I101" s="14">
        <v>293.17857404729614</v>
      </c>
      <c r="J101" s="14">
        <v>0</v>
      </c>
      <c r="K101" s="14">
        <v>4.6111042659813917</v>
      </c>
      <c r="L101" s="14">
        <v>0.2168677918167109</v>
      </c>
      <c r="M101" s="14">
        <v>0.17794002318561128</v>
      </c>
      <c r="N101" s="14">
        <v>3.7518084730211365</v>
      </c>
      <c r="O101" s="14">
        <v>1263.6841298829791</v>
      </c>
      <c r="P101" s="8">
        <v>3.7518084730211365</v>
      </c>
      <c r="Q101" s="54">
        <v>0.25759191526039826</v>
      </c>
    </row>
    <row r="102" spans="1:17">
      <c r="A102" s="2" t="s">
        <v>449</v>
      </c>
      <c r="B102" s="16" t="s">
        <v>450</v>
      </c>
      <c r="D102" s="14">
        <v>1</v>
      </c>
      <c r="E102" s="14">
        <v>0.90759497314880155</v>
      </c>
      <c r="F102" s="14">
        <v>4.3937928367428075E-2</v>
      </c>
      <c r="G102" s="14">
        <v>2.4582614131619738E-6</v>
      </c>
      <c r="H102" s="14">
        <v>206.44272188870769</v>
      </c>
      <c r="I102" s="14">
        <v>361.79015712655735</v>
      </c>
      <c r="J102" s="14">
        <v>0</v>
      </c>
      <c r="K102" s="14">
        <v>22.759379815032808</v>
      </c>
      <c r="L102" s="14">
        <v>4.3937928367428075E-2</v>
      </c>
      <c r="M102" s="14">
        <v>3.6051070225474734E-2</v>
      </c>
      <c r="N102" s="14">
        <v>4.4763453268297377</v>
      </c>
      <c r="O102" s="14">
        <v>2081.9034480552423</v>
      </c>
      <c r="P102" s="8">
        <v>4.4763453268297377</v>
      </c>
      <c r="Q102" s="54">
        <v>0.14423037983961035</v>
      </c>
    </row>
    <row r="103" spans="1:17">
      <c r="A103" s="2" t="s">
        <v>451</v>
      </c>
      <c r="B103" s="16" t="s">
        <v>452</v>
      </c>
      <c r="D103" s="14">
        <v>1</v>
      </c>
      <c r="E103" s="14">
        <v>0.99953546394828607</v>
      </c>
      <c r="F103" s="14">
        <v>0.89799900498911212</v>
      </c>
      <c r="G103" s="14">
        <v>4.8884035848506775E-21</v>
      </c>
      <c r="H103" s="14">
        <v>29.850791804380094</v>
      </c>
      <c r="I103" s="14">
        <v>2.6822093927519566E-2</v>
      </c>
      <c r="J103" s="14">
        <v>0</v>
      </c>
      <c r="K103" s="14">
        <v>1.1135869799901665</v>
      </c>
      <c r="L103" s="14">
        <v>0.89799900498911223</v>
      </c>
      <c r="M103" s="14">
        <v>0.73680818359356659</v>
      </c>
      <c r="N103" s="14">
        <v>0.88897943302294502</v>
      </c>
      <c r="O103" s="14">
        <v>294.02105767800884</v>
      </c>
      <c r="P103" s="8">
        <v>0.88897943302294502</v>
      </c>
      <c r="Q103" s="54">
        <v>7.9486372751814391E-5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0.9994699235225466</v>
      </c>
      <c r="F104" s="14">
        <v>1.1153476955531998E-2</v>
      </c>
      <c r="G104" s="14">
        <v>1.2546229772329377E-22</v>
      </c>
      <c r="H104" s="14">
        <v>280.61460728287693</v>
      </c>
      <c r="I104" s="14">
        <v>2.7512974144835596</v>
      </c>
      <c r="J104" s="14">
        <v>0</v>
      </c>
      <c r="K104" s="14">
        <v>89.658140146513801</v>
      </c>
      <c r="L104" s="14">
        <v>1.1153476955531998E-2</v>
      </c>
      <c r="M104" s="14">
        <v>9.1514278420140056E-3</v>
      </c>
      <c r="N104" s="14">
        <v>0.50867133965131006</v>
      </c>
      <c r="O104" s="14">
        <v>251.2836417877472</v>
      </c>
      <c r="P104" s="8">
        <v>0.50867133965131017</v>
      </c>
      <c r="Q104" s="54">
        <v>4.6831443031882279E-4</v>
      </c>
    </row>
    <row r="105" spans="1:17">
      <c r="A105" s="2" t="s">
        <v>455</v>
      </c>
      <c r="B105" s="164">
        <v>354656</v>
      </c>
      <c r="D105" s="14">
        <v>1</v>
      </c>
      <c r="E105" s="14">
        <v>0.9866440180228</v>
      </c>
      <c r="F105" s="14">
        <v>0.98911358097473467</v>
      </c>
      <c r="G105" s="14">
        <v>4.1663394664446053E-12</v>
      </c>
      <c r="H105" s="14">
        <v>0.28413593633537215</v>
      </c>
      <c r="I105" s="14">
        <v>1.0176146150916314</v>
      </c>
      <c r="J105" s="14">
        <v>0</v>
      </c>
      <c r="K105" s="14">
        <v>1.0110062375390065</v>
      </c>
      <c r="L105" s="14">
        <v>0.98911358097473479</v>
      </c>
      <c r="M105" s="14">
        <v>0.81156769318976985</v>
      </c>
      <c r="N105" s="14">
        <v>0.93419295713784167</v>
      </c>
      <c r="O105" s="14">
        <v>184.21350921801098</v>
      </c>
      <c r="P105" s="8">
        <v>0.93419295713784167</v>
      </c>
      <c r="Q105" s="54">
        <v>2.06720399555602E-2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0.97305834023273674</v>
      </c>
      <c r="F106" s="14">
        <v>0.9711991442015856</v>
      </c>
      <c r="G106" s="14">
        <v>6.2868411833591235E-12</v>
      </c>
      <c r="H106" s="14">
        <v>1.1926953520078787</v>
      </c>
      <c r="I106" s="14">
        <v>3.8129985484267555</v>
      </c>
      <c r="J106" s="14">
        <v>0</v>
      </c>
      <c r="K106" s="14">
        <v>1.0296549435513469</v>
      </c>
      <c r="L106" s="14">
        <v>0.9711991442015856</v>
      </c>
      <c r="M106" s="14">
        <v>0.796868897817401</v>
      </c>
      <c r="N106" s="14">
        <v>0.95938433015366198</v>
      </c>
      <c r="O106" s="14">
        <v>153.67418200401357</v>
      </c>
      <c r="P106" s="8">
        <v>0.95938433015366198</v>
      </c>
      <c r="Q106" s="54">
        <v>4.2390314623646737E-2</v>
      </c>
    </row>
    <row r="107" spans="1:17">
      <c r="A107" s="2" t="s">
        <v>459</v>
      </c>
      <c r="B107" s="16" t="s">
        <v>460</v>
      </c>
      <c r="D107" s="14">
        <v>1</v>
      </c>
      <c r="E107" s="14">
        <v>0.93326831086169348</v>
      </c>
      <c r="F107" s="14">
        <v>2.2843308887964032E-2</v>
      </c>
      <c r="G107" s="14">
        <v>5.5551458511251283E-22</v>
      </c>
      <c r="H107" s="14">
        <v>220.23995341031173</v>
      </c>
      <c r="I107" s="14">
        <v>356.89947960594054</v>
      </c>
      <c r="J107" s="14">
        <v>0</v>
      </c>
      <c r="K107" s="14">
        <v>43.776495117434258</v>
      </c>
      <c r="L107" s="14">
        <v>2.2843308887964032E-2</v>
      </c>
      <c r="M107" s="14">
        <v>1.874293494257449E-2</v>
      </c>
      <c r="N107" s="14">
        <v>7.969933020032383</v>
      </c>
      <c r="O107" s="14">
        <v>4235.4615048358091</v>
      </c>
      <c r="P107" s="8">
        <v>7.9699330200323839</v>
      </c>
      <c r="Q107" s="54">
        <v>0.10081981929966605</v>
      </c>
    </row>
    <row r="108" spans="1:17">
      <c r="A108" s="2" t="s">
        <v>461</v>
      </c>
      <c r="B108" s="16" t="s">
        <v>462</v>
      </c>
      <c r="D108" s="14">
        <v>1</v>
      </c>
      <c r="E108" s="14">
        <v>0.9995385100861941</v>
      </c>
      <c r="F108" s="14">
        <v>1.0034412814506213</v>
      </c>
      <c r="G108" s="14">
        <v>1.222556241615208E-11</v>
      </c>
      <c r="H108" s="14">
        <v>2.4981167717864016E-3</v>
      </c>
      <c r="I108" s="14">
        <v>6.7040297402239026E-4</v>
      </c>
      <c r="J108" s="14">
        <v>0</v>
      </c>
      <c r="K108" s="14">
        <v>0.99657052035406957</v>
      </c>
      <c r="L108" s="14">
        <v>1.0034412814506213</v>
      </c>
      <c r="M108" s="14">
        <v>0.82332357143023482</v>
      </c>
      <c r="N108" s="14">
        <v>0.93866980483628171</v>
      </c>
      <c r="O108" s="14">
        <v>121.23859199265415</v>
      </c>
      <c r="P108" s="8">
        <v>0.93866980483628182</v>
      </c>
      <c r="Q108" s="54">
        <v>3.7509038548800588E-5</v>
      </c>
    </row>
    <row r="109" spans="1:17">
      <c r="A109" s="2" t="s">
        <v>463</v>
      </c>
      <c r="B109" s="16" t="s">
        <v>464</v>
      </c>
      <c r="D109" s="14">
        <v>1</v>
      </c>
      <c r="E109" s="14">
        <v>0.98749155503224606</v>
      </c>
      <c r="F109" s="14">
        <v>0.9301718340858417</v>
      </c>
      <c r="G109" s="14">
        <v>3.1422262108755056E-14</v>
      </c>
      <c r="H109" s="14">
        <v>16.501816482240589</v>
      </c>
      <c r="I109" s="14">
        <v>7.5945045086558718</v>
      </c>
      <c r="J109" s="14">
        <v>0</v>
      </c>
      <c r="K109" s="14">
        <v>1.0750701788157069</v>
      </c>
      <c r="L109" s="14">
        <v>0.93017183408584181</v>
      </c>
      <c r="M109" s="14">
        <v>0.76320598986743315</v>
      </c>
      <c r="N109" s="14">
        <v>10.224262860489301</v>
      </c>
      <c r="O109" s="14">
        <v>3065.2340055746927</v>
      </c>
      <c r="P109" s="8">
        <v>10.224262860489302</v>
      </c>
      <c r="Q109" s="54">
        <v>1.237939567572173E-2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0.99691584482844697</v>
      </c>
      <c r="F110" s="14">
        <v>1.0005476645309697</v>
      </c>
      <c r="G110" s="14">
        <v>2.3294016524558821E-13</v>
      </c>
      <c r="H110" s="14">
        <v>6.4108819901471728E-2</v>
      </c>
      <c r="I110" s="14">
        <v>0.11356537090381894</v>
      </c>
      <c r="J110" s="14">
        <v>0</v>
      </c>
      <c r="K110" s="14">
        <v>0.99945263524129424</v>
      </c>
      <c r="L110" s="14">
        <v>1.0005476645309697</v>
      </c>
      <c r="M110" s="14">
        <v>0.82094935874766073</v>
      </c>
      <c r="N110" s="14">
        <v>0.93451418437951683</v>
      </c>
      <c r="O110" s="14">
        <v>222.56389815182573</v>
      </c>
      <c r="P110" s="8">
        <v>0.93451418437951683</v>
      </c>
      <c r="Q110" s="54">
        <v>4.2368776573921936E-3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0.99956089876251641</v>
      </c>
      <c r="F111" s="14">
        <v>1.0034567893456301</v>
      </c>
      <c r="G111" s="14">
        <v>4.1257296187646547E-32</v>
      </c>
      <c r="H111" s="14">
        <v>4.5396113766930837E-3</v>
      </c>
      <c r="I111" s="14">
        <v>3.472579840663138E-5</v>
      </c>
      <c r="J111" s="14">
        <v>0</v>
      </c>
      <c r="K111" s="14">
        <v>0.99655511888271286</v>
      </c>
      <c r="L111" s="14">
        <v>1.0034567893456303</v>
      </c>
      <c r="M111" s="14">
        <v>0.82333629565808963</v>
      </c>
      <c r="N111" s="14">
        <v>0.93585283988882295</v>
      </c>
      <c r="O111" s="14">
        <v>430.89472307001074</v>
      </c>
      <c r="P111" s="8">
        <v>0.93585283988882295</v>
      </c>
      <c r="Q111" s="54">
        <v>3.7918595234618971E-6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0.99613007708554036</v>
      </c>
      <c r="F112" s="14">
        <v>0.99991387328164816</v>
      </c>
      <c r="G112" s="14">
        <v>2.6201193936943857E-15</v>
      </c>
      <c r="H112" s="14">
        <v>2.2135666041711726E-2</v>
      </c>
      <c r="I112" s="14">
        <v>9.5752421295380266E-2</v>
      </c>
      <c r="J112" s="14">
        <v>0</v>
      </c>
      <c r="K112" s="14">
        <v>1.0000861341368024</v>
      </c>
      <c r="L112" s="14">
        <v>0.99991387328164827</v>
      </c>
      <c r="M112" s="14">
        <v>0.82042933302759236</v>
      </c>
      <c r="N112" s="14">
        <v>0.93362082044244743</v>
      </c>
      <c r="O112" s="14">
        <v>191.62567339581233</v>
      </c>
      <c r="P112" s="8">
        <v>0.93362082044244743</v>
      </c>
      <c r="Q112" s="54">
        <v>5.4947731169112573E-3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0.97986939858047295</v>
      </c>
      <c r="F113" s="14">
        <v>0.98060678580090621</v>
      </c>
      <c r="G113" s="14">
        <v>3.2959710005804006E-11</v>
      </c>
      <c r="H113" s="14">
        <v>0.64291697737825637</v>
      </c>
      <c r="I113" s="14">
        <v>2.1667662634875304</v>
      </c>
      <c r="J113" s="14">
        <v>0</v>
      </c>
      <c r="K113" s="14">
        <v>1.0197767489272007</v>
      </c>
      <c r="L113" s="14">
        <v>0.98060678580090621</v>
      </c>
      <c r="M113" s="14">
        <v>0.80458786774964364</v>
      </c>
      <c r="N113" s="14">
        <v>0.93963611405627168</v>
      </c>
      <c r="O113" s="14">
        <v>142.03539500074604</v>
      </c>
      <c r="P113" s="8">
        <v>0.93963611405627168</v>
      </c>
      <c r="Q113" s="54">
        <v>3.1507363614594081E-2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0.99778729993011028</v>
      </c>
      <c r="F114" s="14">
        <v>1.0016581374320284</v>
      </c>
      <c r="G114" s="14">
        <v>2.5661313531668516E-18</v>
      </c>
      <c r="H114" s="14">
        <v>6.4310150150227764E-3</v>
      </c>
      <c r="I114" s="14">
        <v>2.9999204784867513E-2</v>
      </c>
      <c r="J114" s="14">
        <v>0</v>
      </c>
      <c r="K114" s="14">
        <v>0.99834460743634612</v>
      </c>
      <c r="L114" s="14">
        <v>1.0016581374320284</v>
      </c>
      <c r="M114" s="14">
        <v>0.8218605017629792</v>
      </c>
      <c r="N114" s="14">
        <v>0.93449925370780917</v>
      </c>
      <c r="O114" s="14">
        <v>317.13166673828215</v>
      </c>
      <c r="P114" s="8">
        <v>0.93449925370780917</v>
      </c>
      <c r="Q114" s="54">
        <v>2.8425606690546897E-3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0.99953983910186528</v>
      </c>
      <c r="F115" s="14">
        <v>0.97589934698845648</v>
      </c>
      <c r="G115" s="14">
        <v>1.3239116968899533E-14</v>
      </c>
      <c r="H115" s="14">
        <v>7.7994688410013238</v>
      </c>
      <c r="I115" s="14">
        <v>8.6498882353813131E-3</v>
      </c>
      <c r="J115" s="14">
        <v>0</v>
      </c>
      <c r="K115" s="14">
        <v>1.0246958388546072</v>
      </c>
      <c r="L115" s="14">
        <v>0.9758993469884566</v>
      </c>
      <c r="M115" s="14">
        <v>0.80072541420402865</v>
      </c>
      <c r="N115" s="14">
        <v>0.9248967761821395</v>
      </c>
      <c r="O115" s="14">
        <v>177.70041760787444</v>
      </c>
      <c r="P115" s="8">
        <v>0.9248967761821395</v>
      </c>
      <c r="Q115" s="54">
        <v>4.5667842650198216E-5</v>
      </c>
    </row>
    <row r="116" spans="1:17">
      <c r="A116" s="2" t="s">
        <v>477</v>
      </c>
      <c r="B116" s="16" t="s">
        <v>478</v>
      </c>
      <c r="D116" s="14">
        <v>1</v>
      </c>
      <c r="E116" s="14">
        <v>0.9448487453881621</v>
      </c>
      <c r="F116" s="14">
        <v>0.13031600010897373</v>
      </c>
      <c r="G116" s="14">
        <v>3.6205712688690229E-19</v>
      </c>
      <c r="H116" s="14">
        <v>226.17294196603004</v>
      </c>
      <c r="I116" s="14">
        <v>50.720763580876067</v>
      </c>
      <c r="J116" s="14">
        <v>0</v>
      </c>
      <c r="K116" s="14">
        <v>7.6736548018951867</v>
      </c>
      <c r="L116" s="14">
        <v>0.13031600010897373</v>
      </c>
      <c r="M116" s="14">
        <v>0.10692427808941296</v>
      </c>
      <c r="N116" s="14">
        <v>101.3599806774601</v>
      </c>
      <c r="O116" s="14">
        <v>46078.247215973366</v>
      </c>
      <c r="P116" s="8">
        <v>101.3599806774601</v>
      </c>
      <c r="Q116" s="54">
        <v>1.2559888473103542E-2</v>
      </c>
    </row>
    <row r="117" spans="1:17">
      <c r="A117" s="2" t="s">
        <v>291</v>
      </c>
      <c r="B117" s="16" t="s">
        <v>479</v>
      </c>
      <c r="D117" s="14">
        <v>1</v>
      </c>
      <c r="E117" s="14">
        <v>0.83732618131926428</v>
      </c>
      <c r="F117" s="14">
        <v>0.57871833371647552</v>
      </c>
      <c r="G117" s="14">
        <v>3.990944870699702E-12</v>
      </c>
      <c r="H117" s="14">
        <v>59.271680530688556</v>
      </c>
      <c r="I117" s="14">
        <v>137.69063783098537</v>
      </c>
      <c r="J117" s="14">
        <v>0</v>
      </c>
      <c r="K117" s="14">
        <v>1.7279563161203009</v>
      </c>
      <c r="L117" s="14">
        <v>0.57871833371647552</v>
      </c>
      <c r="M117" s="14">
        <v>0.47483839281436818</v>
      </c>
      <c r="N117" s="14">
        <v>2.1869413309038022</v>
      </c>
      <c r="O117" s="14">
        <v>674.29962055756937</v>
      </c>
      <c r="P117" s="8">
        <v>2.1869413309038026</v>
      </c>
      <c r="Q117" s="54">
        <v>0.25864519324844992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2.0662213629870374E-8</v>
      </c>
      <c r="E2" s="20">
        <v>0.98957403118377496</v>
      </c>
      <c r="F2" s="20">
        <v>6.084088626809621E-4</v>
      </c>
      <c r="G2" s="20">
        <v>2.4416931631473908E-4</v>
      </c>
      <c r="H2" s="20">
        <v>0</v>
      </c>
      <c r="I2" s="20">
        <v>0.9887214530047792</v>
      </c>
      <c r="J2" s="20">
        <v>4.3544162679519046E-4</v>
      </c>
      <c r="K2" s="20">
        <v>9.9905065272162079E-3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1.8807361247833632E-8</v>
      </c>
      <c r="E3" s="20">
        <v>0.84443849120616288</v>
      </c>
      <c r="F3" s="20">
        <v>0.2245823795700603</v>
      </c>
      <c r="G3" s="20">
        <v>5.4558682199165438E-2</v>
      </c>
      <c r="H3" s="20">
        <v>0</v>
      </c>
      <c r="I3" s="20">
        <v>0.56529742943693717</v>
      </c>
      <c r="J3" s="20">
        <v>1.689244125372548E-3</v>
      </c>
      <c r="K3" s="20">
        <v>0.15387224586110332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1.057604800772418E-17</v>
      </c>
      <c r="E4" s="20">
        <v>0.99950269902045019</v>
      </c>
      <c r="F4" s="20">
        <v>4.2164028491272111E-4</v>
      </c>
      <c r="G4" s="20">
        <v>4.6434175648880721E-7</v>
      </c>
      <c r="H4" s="20">
        <v>0</v>
      </c>
      <c r="I4" s="20">
        <v>0.99908059439378094</v>
      </c>
      <c r="J4" s="20">
        <v>4.8859266393811243E-4</v>
      </c>
      <c r="K4" s="20">
        <v>8.7083156117128647E-6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1.761005049749359E-10</v>
      </c>
      <c r="E5" s="20">
        <v>0.99959025758143816</v>
      </c>
      <c r="F5" s="20">
        <v>0.45205153768881445</v>
      </c>
      <c r="G5" s="20">
        <v>3.5879568927896181E-5</v>
      </c>
      <c r="H5" s="20">
        <v>0</v>
      </c>
      <c r="I5" s="20">
        <v>0.54750284032369578</v>
      </c>
      <c r="J5" s="20">
        <v>3.3039284426145625E-4</v>
      </c>
      <c r="K5" s="20">
        <v>7.9349398199846999E-5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1.4451353324247242E-11</v>
      </c>
      <c r="E6" s="20">
        <v>0.99943044486877286</v>
      </c>
      <c r="F6" s="20">
        <v>0.67508938788265338</v>
      </c>
      <c r="G6" s="20">
        <v>1.9577345580131355E-4</v>
      </c>
      <c r="H6" s="20">
        <v>0</v>
      </c>
      <c r="I6" s="20">
        <v>0.32414528353031813</v>
      </c>
      <c r="J6" s="20">
        <v>2.7194326108910939E-4</v>
      </c>
      <c r="K6" s="20">
        <v>2.9761185568661519E-4</v>
      </c>
      <c r="L6" s="20">
        <v>0</v>
      </c>
    </row>
    <row r="7" spans="1:14">
      <c r="A7" s="2" t="s">
        <v>366</v>
      </c>
      <c r="B7" s="3" t="s">
        <v>305</v>
      </c>
      <c r="D7" s="20">
        <v>1.2628269783189687E-7</v>
      </c>
      <c r="E7" s="20">
        <v>0.99819856580419664</v>
      </c>
      <c r="F7" s="20">
        <v>0.88855417014687621</v>
      </c>
      <c r="G7" s="20">
        <v>1.8087519533270739E-3</v>
      </c>
      <c r="H7" s="20">
        <v>0</v>
      </c>
      <c r="I7" s="20">
        <v>0.10783564370399334</v>
      </c>
      <c r="J7" s="20">
        <v>2.2632649650209809E-4</v>
      </c>
      <c r="K7" s="20">
        <v>1.5749814166034104E-3</v>
      </c>
      <c r="L7" s="20">
        <v>0</v>
      </c>
    </row>
    <row r="8" spans="1:14">
      <c r="A8" s="2" t="s">
        <v>289</v>
      </c>
      <c r="B8" s="3" t="s">
        <v>290</v>
      </c>
      <c r="D8" s="20">
        <v>8.9520944874106481E-18</v>
      </c>
      <c r="E8" s="20">
        <v>0.99961011426279212</v>
      </c>
      <c r="F8" s="20">
        <v>0.76969063615686362</v>
      </c>
      <c r="G8" s="20">
        <v>1.1704174500162225E-4</v>
      </c>
      <c r="H8" s="20">
        <v>0</v>
      </c>
      <c r="I8" s="20">
        <v>0.22980243636092693</v>
      </c>
      <c r="J8" s="20">
        <v>2.4311576605020113E-4</v>
      </c>
      <c r="K8" s="20">
        <v>1.4676997115755817E-4</v>
      </c>
      <c r="L8" s="20">
        <v>0</v>
      </c>
    </row>
    <row r="9" spans="1:14">
      <c r="A9" s="2" t="s">
        <v>291</v>
      </c>
      <c r="B9" s="3" t="s">
        <v>292</v>
      </c>
      <c r="D9" s="20">
        <v>3.7530866903247757E-13</v>
      </c>
      <c r="E9" s="20">
        <v>0.99929020261331902</v>
      </c>
      <c r="F9" s="20">
        <v>0.38508240974111341</v>
      </c>
      <c r="G9" s="20">
        <v>1.459572356380458E-4</v>
      </c>
      <c r="H9" s="20">
        <v>0</v>
      </c>
      <c r="I9" s="20">
        <v>0.61406183563656758</v>
      </c>
      <c r="J9" s="20">
        <v>3.4895125778256191E-4</v>
      </c>
      <c r="K9" s="20">
        <v>3.6084612852308715E-4</v>
      </c>
      <c r="L9" s="20">
        <v>0</v>
      </c>
    </row>
    <row r="10" spans="1:14">
      <c r="A10" s="2" t="s">
        <v>367</v>
      </c>
      <c r="B10" s="3" t="s">
        <v>368</v>
      </c>
      <c r="D10" s="20">
        <v>1.2065374276654571E-5</v>
      </c>
      <c r="E10" s="20">
        <v>0.94811976154963817</v>
      </c>
      <c r="F10" s="20">
        <v>0.7977365357919789</v>
      </c>
      <c r="G10" s="20">
        <v>0.13933333693145594</v>
      </c>
      <c r="H10" s="20">
        <v>0</v>
      </c>
      <c r="I10" s="20">
        <v>1.1049888826203291E-2</v>
      </c>
      <c r="J10" s="20">
        <v>2.1229412656910262E-3</v>
      </c>
      <c r="K10" s="20">
        <v>4.9745231810394128E-2</v>
      </c>
      <c r="L10" s="20">
        <v>0</v>
      </c>
    </row>
    <row r="11" spans="1:14">
      <c r="A11" s="2" t="s">
        <v>369</v>
      </c>
      <c r="B11" s="3" t="s">
        <v>370</v>
      </c>
      <c r="D11" s="20">
        <v>4.6946564673641343E-12</v>
      </c>
      <c r="E11" s="20">
        <v>0.97965405514020165</v>
      </c>
      <c r="F11" s="20">
        <v>0.56571133162240739</v>
      </c>
      <c r="G11" s="20">
        <v>0.41332269266046828</v>
      </c>
      <c r="H11" s="20">
        <v>0</v>
      </c>
      <c r="I11" s="20">
        <v>6.200308573259608E-4</v>
      </c>
      <c r="J11" s="20">
        <v>1.2763911847720917E-2</v>
      </c>
      <c r="K11" s="20">
        <v>7.5820330073828835E-3</v>
      </c>
      <c r="L11" s="20">
        <v>0</v>
      </c>
    </row>
    <row r="12" spans="1:14">
      <c r="A12" s="2" t="s">
        <v>371</v>
      </c>
      <c r="B12" s="3" t="s">
        <v>372</v>
      </c>
      <c r="D12" s="20">
        <v>5.9411165780769881E-2</v>
      </c>
      <c r="E12" s="20">
        <v>0.938374349286765</v>
      </c>
      <c r="F12" s="20">
        <v>2.6375951307910627E-5</v>
      </c>
      <c r="G12" s="20">
        <v>1.307362571431491E-5</v>
      </c>
      <c r="H12" s="20">
        <v>0</v>
      </c>
      <c r="I12" s="20">
        <v>0.93833489970974282</v>
      </c>
      <c r="J12" s="20">
        <v>4.1025257162802985E-4</v>
      </c>
      <c r="K12" s="20">
        <v>1.8042323608370237E-3</v>
      </c>
      <c r="L12" s="20">
        <v>0</v>
      </c>
    </row>
    <row r="13" spans="1:14">
      <c r="A13" s="2" t="s">
        <v>293</v>
      </c>
      <c r="B13" s="3" t="s">
        <v>294</v>
      </c>
      <c r="D13" s="20">
        <v>1.6465672972071936E-8</v>
      </c>
      <c r="E13" s="20">
        <v>0.84710304317265417</v>
      </c>
      <c r="F13" s="20">
        <v>0.16982364960272112</v>
      </c>
      <c r="G13" s="20">
        <v>4.3560587179512084E-2</v>
      </c>
      <c r="H13" s="20">
        <v>0</v>
      </c>
      <c r="I13" s="20">
        <v>0.633718806390421</v>
      </c>
      <c r="J13" s="20">
        <v>9.1564352495308952E-4</v>
      </c>
      <c r="K13" s="20">
        <v>0.15198129683671968</v>
      </c>
      <c r="L13" s="20">
        <v>0</v>
      </c>
    </row>
    <row r="14" spans="1:14">
      <c r="A14" s="2" t="s">
        <v>373</v>
      </c>
      <c r="B14" s="3" t="s">
        <v>374</v>
      </c>
      <c r="D14" s="20">
        <v>6.6747512701292379E-8</v>
      </c>
      <c r="E14" s="20">
        <v>0.99931945077747608</v>
      </c>
      <c r="F14" s="20">
        <v>0.98896129743663153</v>
      </c>
      <c r="G14" s="20">
        <v>1.5493336247079286E-3</v>
      </c>
      <c r="H14" s="20">
        <v>0</v>
      </c>
      <c r="I14" s="20">
        <v>8.8088197161366663E-3</v>
      </c>
      <c r="J14" s="20">
        <v>3.5053761507913047E-4</v>
      </c>
      <c r="K14" s="20">
        <v>3.2994485993195945E-4</v>
      </c>
      <c r="L14" s="20">
        <v>0</v>
      </c>
    </row>
    <row r="15" spans="1:14">
      <c r="A15" s="2" t="s">
        <v>375</v>
      </c>
      <c r="B15" s="3" t="s">
        <v>376</v>
      </c>
      <c r="D15" s="20">
        <v>7.2953544462360395E-2</v>
      </c>
      <c r="E15" s="20">
        <v>0.86744849729109186</v>
      </c>
      <c r="F15" s="20">
        <v>2.1441989615332089E-2</v>
      </c>
      <c r="G15" s="20">
        <v>6.5397423229128166E-3</v>
      </c>
      <c r="H15" s="20">
        <v>0</v>
      </c>
      <c r="I15" s="20">
        <v>0.83946676535284692</v>
      </c>
      <c r="J15" s="20">
        <v>4.6126213144705722E-4</v>
      </c>
      <c r="K15" s="20">
        <v>5.9136696115100626E-2</v>
      </c>
      <c r="L15" s="20">
        <v>0</v>
      </c>
    </row>
    <row r="16" spans="1:14">
      <c r="A16" s="2" t="s">
        <v>377</v>
      </c>
      <c r="B16" s="3" t="s">
        <v>378</v>
      </c>
      <c r="D16" s="20">
        <v>6.3113929913309651E-4</v>
      </c>
      <c r="E16" s="20">
        <v>0.83984621696918937</v>
      </c>
      <c r="F16" s="20">
        <v>0.19495927786281247</v>
      </c>
      <c r="G16" s="20">
        <v>4.9276455706638266E-2</v>
      </c>
      <c r="H16" s="20">
        <v>0</v>
      </c>
      <c r="I16" s="20">
        <v>0.59561048339973865</v>
      </c>
      <c r="J16" s="20">
        <v>9.8372801365350271E-4</v>
      </c>
      <c r="K16" s="20">
        <v>0.15853891571802411</v>
      </c>
      <c r="L16" s="20">
        <v>0</v>
      </c>
    </row>
    <row r="17" spans="1:12">
      <c r="A17" s="2" t="s">
        <v>379</v>
      </c>
      <c r="B17" s="3" t="s">
        <v>380</v>
      </c>
      <c r="D17" s="20">
        <v>1.8892407738499723E-3</v>
      </c>
      <c r="E17" s="20">
        <v>0.84289588180901287</v>
      </c>
      <c r="F17" s="20">
        <v>0.17869236399184577</v>
      </c>
      <c r="G17" s="20">
        <v>4.5582857807276257E-2</v>
      </c>
      <c r="H17" s="20">
        <v>0</v>
      </c>
      <c r="I17" s="20">
        <v>0.6186206600098908</v>
      </c>
      <c r="J17" s="20">
        <v>9.3901941173716219E-4</v>
      </c>
      <c r="K17" s="20">
        <v>0.15427585800539997</v>
      </c>
      <c r="L17" s="20">
        <v>0</v>
      </c>
    </row>
    <row r="18" spans="1:12">
      <c r="A18" s="2" t="s">
        <v>381</v>
      </c>
      <c r="B18" s="3" t="s">
        <v>382</v>
      </c>
      <c r="D18" s="20">
        <v>3.4643419939733893E-8</v>
      </c>
      <c r="E18" s="20">
        <v>0.9525222145258343</v>
      </c>
      <c r="F18" s="20">
        <v>0.2565898321151277</v>
      </c>
      <c r="G18" s="20">
        <v>0.69524039551810313</v>
      </c>
      <c r="H18" s="20">
        <v>0</v>
      </c>
      <c r="I18" s="20">
        <v>6.9198689260351412E-4</v>
      </c>
      <c r="J18" s="20">
        <v>1.0898785349121068E-2</v>
      </c>
      <c r="K18" s="20">
        <v>3.657896548162462E-2</v>
      </c>
      <c r="L18" s="20">
        <v>0</v>
      </c>
    </row>
    <row r="19" spans="1:12">
      <c r="A19" s="2" t="s">
        <v>383</v>
      </c>
      <c r="B19" s="3" t="s">
        <v>384</v>
      </c>
      <c r="D19" s="20">
        <v>9.6026967659862961E-3</v>
      </c>
      <c r="E19" s="20">
        <v>0.95606699913662418</v>
      </c>
      <c r="F19" s="20">
        <v>6.5919195620957865E-3</v>
      </c>
      <c r="G19" s="20">
        <v>2.2126231634715249E-3</v>
      </c>
      <c r="H19" s="20">
        <v>0</v>
      </c>
      <c r="I19" s="20">
        <v>0.94726245641105689</v>
      </c>
      <c r="J19" s="20">
        <v>4.4558612122335843E-4</v>
      </c>
      <c r="K19" s="20">
        <v>3.3884717976165823E-2</v>
      </c>
      <c r="L19" s="20">
        <v>0</v>
      </c>
    </row>
    <row r="20" spans="1:12">
      <c r="A20" s="2" t="s">
        <v>385</v>
      </c>
      <c r="B20" s="3" t="s">
        <v>386</v>
      </c>
      <c r="D20" s="20">
        <v>1.8246217011898776E-2</v>
      </c>
      <c r="E20" s="20">
        <v>0.93571572667631986</v>
      </c>
      <c r="F20" s="20">
        <v>1.1961661827941587E-2</v>
      </c>
      <c r="G20" s="20">
        <v>3.8343087049699273E-3</v>
      </c>
      <c r="H20" s="20">
        <v>0</v>
      </c>
      <c r="I20" s="20">
        <v>0.91991975614340837</v>
      </c>
      <c r="J20" s="20">
        <v>4.5709332426153027E-4</v>
      </c>
      <c r="K20" s="20">
        <v>4.5580962987519832E-2</v>
      </c>
      <c r="L20" s="20">
        <v>0</v>
      </c>
    </row>
    <row r="21" spans="1:12">
      <c r="A21" s="2" t="s">
        <v>387</v>
      </c>
      <c r="B21" s="3" t="s">
        <v>388</v>
      </c>
      <c r="D21" s="20">
        <v>1.5091850478377495E-3</v>
      </c>
      <c r="E21" s="20">
        <v>0.96767905133919085</v>
      </c>
      <c r="F21" s="20">
        <v>0.82391796377770188</v>
      </c>
      <c r="G21" s="20">
        <v>3.3250879263969593E-2</v>
      </c>
      <c r="H21" s="20">
        <v>0</v>
      </c>
      <c r="I21" s="20">
        <v>0.11051020829751944</v>
      </c>
      <c r="J21" s="20">
        <v>6.6091398678689618E-4</v>
      </c>
      <c r="K21" s="20">
        <v>3.0150849626184469E-2</v>
      </c>
      <c r="L21" s="20">
        <v>0</v>
      </c>
    </row>
    <row r="22" spans="1:12">
      <c r="A22" s="2" t="s">
        <v>295</v>
      </c>
      <c r="B22" s="3" t="s">
        <v>296</v>
      </c>
      <c r="D22" s="20">
        <v>5.2631908589902784E-2</v>
      </c>
      <c r="E22" s="20">
        <v>0.9340706488268492</v>
      </c>
      <c r="F22" s="20">
        <v>1.0458461534298563E-3</v>
      </c>
      <c r="G22" s="20">
        <v>4.015719400981278E-4</v>
      </c>
      <c r="H22" s="20">
        <v>0</v>
      </c>
      <c r="I22" s="20">
        <v>0.93262323073332121</v>
      </c>
      <c r="J22" s="20">
        <v>4.1317370155750845E-4</v>
      </c>
      <c r="K22" s="20">
        <v>1.2884268881690432E-2</v>
      </c>
      <c r="L22" s="20">
        <v>0</v>
      </c>
    </row>
    <row r="23" spans="1:12">
      <c r="A23" s="2" t="s">
        <v>389</v>
      </c>
      <c r="B23" s="3" t="s">
        <v>390</v>
      </c>
      <c r="D23" s="20">
        <v>6.0272795115484147E-2</v>
      </c>
      <c r="E23" s="20">
        <v>0.86098982417860981</v>
      </c>
      <c r="F23" s="20">
        <v>3.7804196892705748E-2</v>
      </c>
      <c r="G23" s="20">
        <v>1.1031525463215014E-2</v>
      </c>
      <c r="H23" s="20">
        <v>0</v>
      </c>
      <c r="I23" s="20">
        <v>0.8121541018226891</v>
      </c>
      <c r="J23" s="20">
        <v>5.1482657047763141E-4</v>
      </c>
      <c r="K23" s="20">
        <v>7.8222554135428321E-2</v>
      </c>
      <c r="L23" s="20">
        <v>0</v>
      </c>
    </row>
    <row r="24" spans="1:12">
      <c r="A24" s="2" t="s">
        <v>391</v>
      </c>
      <c r="B24" s="3" t="s">
        <v>392</v>
      </c>
      <c r="D24" s="20">
        <v>1.8938474825637263E-3</v>
      </c>
      <c r="E24" s="20">
        <v>0.8241567977864751</v>
      </c>
      <c r="F24" s="20">
        <v>0.28652576801550877</v>
      </c>
      <c r="G24" s="20">
        <v>6.9160677769347242E-2</v>
      </c>
      <c r="H24" s="20">
        <v>0</v>
      </c>
      <c r="I24" s="20">
        <v>0.46847035200161913</v>
      </c>
      <c r="J24" s="20">
        <v>1.2241717638275013E-3</v>
      </c>
      <c r="K24" s="20">
        <v>0.1727251829671336</v>
      </c>
      <c r="L24" s="20">
        <v>0</v>
      </c>
    </row>
    <row r="25" spans="1:12">
      <c r="A25" s="2" t="s">
        <v>393</v>
      </c>
      <c r="B25" s="3" t="s">
        <v>394</v>
      </c>
      <c r="D25" s="20">
        <v>1.6011806889159813E-4</v>
      </c>
      <c r="E25" s="20">
        <v>0.9493375481949623</v>
      </c>
      <c r="F25" s="20">
        <v>0.30722675089359502</v>
      </c>
      <c r="G25" s="20">
        <v>0.64114252512232195</v>
      </c>
      <c r="H25" s="20">
        <v>0</v>
      </c>
      <c r="I25" s="20">
        <v>9.6827217904531574E-4</v>
      </c>
      <c r="J25" s="20">
        <v>1.0021355012413656E-2</v>
      </c>
      <c r="K25" s="20">
        <v>4.0480978723732478E-2</v>
      </c>
      <c r="L25" s="20">
        <v>0</v>
      </c>
    </row>
    <row r="26" spans="1:12">
      <c r="A26" s="2" t="s">
        <v>395</v>
      </c>
      <c r="B26" s="3" t="s">
        <v>396</v>
      </c>
      <c r="D26" s="20">
        <v>0.12645838757264388</v>
      </c>
      <c r="E26" s="20">
        <v>0.73595887765178403</v>
      </c>
      <c r="F26" s="20">
        <v>0.46834547037707092</v>
      </c>
      <c r="G26" s="20">
        <v>0.10103268148705391</v>
      </c>
      <c r="H26" s="20">
        <v>0</v>
      </c>
      <c r="I26" s="20">
        <v>0.16658072578765923</v>
      </c>
      <c r="J26" s="20">
        <v>1.5766619992706563E-3</v>
      </c>
      <c r="K26" s="20">
        <v>0.13600607277630147</v>
      </c>
      <c r="L26" s="20">
        <v>0</v>
      </c>
    </row>
    <row r="27" spans="1:12">
      <c r="A27" s="2" t="s">
        <v>397</v>
      </c>
      <c r="B27" s="3" t="s">
        <v>398</v>
      </c>
      <c r="D27" s="20">
        <v>0.57160878741085186</v>
      </c>
      <c r="E27" s="20">
        <v>0.38813224336667712</v>
      </c>
      <c r="F27" s="20">
        <v>0.30968315364154347</v>
      </c>
      <c r="G27" s="20">
        <v>5.8831935490476904E-2</v>
      </c>
      <c r="H27" s="20">
        <v>0</v>
      </c>
      <c r="I27" s="20">
        <v>1.9617154234656767E-2</v>
      </c>
      <c r="J27" s="20">
        <v>8.9403255635968619E-4</v>
      </c>
      <c r="K27" s="20">
        <v>3.936493666611126E-2</v>
      </c>
      <c r="L27" s="20">
        <v>0</v>
      </c>
    </row>
    <row r="28" spans="1:12">
      <c r="A28" s="2" t="s">
        <v>399</v>
      </c>
      <c r="B28" s="3" t="s">
        <v>400</v>
      </c>
      <c r="D28" s="20">
        <v>0.75364702838841346</v>
      </c>
      <c r="E28" s="20">
        <v>0.21027620838583225</v>
      </c>
      <c r="F28" s="20">
        <v>0.14328036374757649</v>
      </c>
      <c r="G28" s="20">
        <v>3.0177428579844484E-2</v>
      </c>
      <c r="H28" s="20">
        <v>0</v>
      </c>
      <c r="I28" s="20">
        <v>3.6818416058411269E-2</v>
      </c>
      <c r="J28" s="20">
        <v>4.6621567371565409E-4</v>
      </c>
      <c r="K28" s="20">
        <v>3.561054755203872E-2</v>
      </c>
      <c r="L28" s="20">
        <v>0</v>
      </c>
    </row>
    <row r="29" spans="1:12">
      <c r="A29" s="2" t="s">
        <v>297</v>
      </c>
      <c r="B29" s="3" t="s">
        <v>298</v>
      </c>
      <c r="D29" s="20">
        <v>0.91903547821023901</v>
      </c>
      <c r="E29" s="20">
        <v>7.6690179293923896E-2</v>
      </c>
      <c r="F29" s="20">
        <v>1.252999683859344E-3</v>
      </c>
      <c r="G29" s="20">
        <v>3.9431792227965254E-4</v>
      </c>
      <c r="H29" s="20">
        <v>0</v>
      </c>
      <c r="I29" s="20">
        <v>7.5042861687784901E-2</v>
      </c>
      <c r="J29" s="20">
        <v>3.8469428447076022E-5</v>
      </c>
      <c r="K29" s="20">
        <v>4.235873067390007E-3</v>
      </c>
      <c r="L29" s="20">
        <v>0</v>
      </c>
    </row>
    <row r="30" spans="1:12">
      <c r="A30" s="2" t="s">
        <v>401</v>
      </c>
      <c r="B30" s="3" t="s">
        <v>402</v>
      </c>
      <c r="D30" s="20">
        <v>0.90330357817209594</v>
      </c>
      <c r="E30" s="20">
        <v>8.2277384830425154E-2</v>
      </c>
      <c r="F30" s="20">
        <v>5.5265285112630902E-2</v>
      </c>
      <c r="G30" s="20">
        <v>1.1704368058169526E-2</v>
      </c>
      <c r="H30" s="20">
        <v>0</v>
      </c>
      <c r="I30" s="20">
        <v>1.5307731659624731E-2</v>
      </c>
      <c r="J30" s="20">
        <v>1.8118772602277957E-4</v>
      </c>
      <c r="K30" s="20">
        <v>1.4237849271456132E-2</v>
      </c>
      <c r="L30" s="20">
        <v>0</v>
      </c>
    </row>
    <row r="31" spans="1:12">
      <c r="A31" s="2" t="s">
        <v>299</v>
      </c>
      <c r="B31" s="3" t="s">
        <v>300</v>
      </c>
      <c r="D31" s="20">
        <v>0.99795722399827058</v>
      </c>
      <c r="E31" s="20">
        <v>1.6912099028835285E-3</v>
      </c>
      <c r="F31" s="20">
        <v>9.1060621604377261E-4</v>
      </c>
      <c r="G31" s="20">
        <v>2.0493973295395278E-4</v>
      </c>
      <c r="H31" s="20">
        <v>0</v>
      </c>
      <c r="I31" s="20">
        <v>5.7566395388580316E-4</v>
      </c>
      <c r="J31" s="20">
        <v>3.2908696565719892E-6</v>
      </c>
      <c r="K31" s="20">
        <v>3.4827522918936881E-4</v>
      </c>
      <c r="L31" s="20">
        <v>0</v>
      </c>
    </row>
    <row r="32" spans="1:12">
      <c r="A32" s="2" t="s">
        <v>343</v>
      </c>
      <c r="B32" s="3" t="s">
        <v>344</v>
      </c>
      <c r="D32" s="20">
        <v>1.8273556554497851E-3</v>
      </c>
      <c r="E32" s="20">
        <v>0.85390139962624967</v>
      </c>
      <c r="F32" s="20">
        <v>0.14389369537339894</v>
      </c>
      <c r="G32" s="20">
        <v>3.7526436107087398E-2</v>
      </c>
      <c r="H32" s="20">
        <v>0</v>
      </c>
      <c r="I32" s="20">
        <v>0.67248126814576337</v>
      </c>
      <c r="J32" s="20">
        <v>8.4331092348170571E-4</v>
      </c>
      <c r="K32" s="20">
        <v>0.14342793379481894</v>
      </c>
      <c r="L32" s="20">
        <v>0</v>
      </c>
    </row>
    <row r="33" spans="1:12">
      <c r="A33" s="2" t="s">
        <v>345</v>
      </c>
      <c r="B33" s="3" t="s">
        <v>346</v>
      </c>
      <c r="D33" s="20">
        <v>7.4307364856248097E-5</v>
      </c>
      <c r="E33" s="20">
        <v>0.89520616409300136</v>
      </c>
      <c r="F33" s="20">
        <v>6.5471236720631695E-2</v>
      </c>
      <c r="G33" s="20">
        <v>1.8346199001148165E-2</v>
      </c>
      <c r="H33" s="20">
        <v>0</v>
      </c>
      <c r="I33" s="20">
        <v>0.81138872837122145</v>
      </c>
      <c r="J33" s="20">
        <v>6.2149616453433042E-4</v>
      </c>
      <c r="K33" s="20">
        <v>0.10409803237760801</v>
      </c>
      <c r="L33" s="20">
        <v>0</v>
      </c>
    </row>
    <row r="34" spans="1:12">
      <c r="A34" s="2" t="s">
        <v>347</v>
      </c>
      <c r="B34" s="3" t="s">
        <v>348</v>
      </c>
      <c r="D34" s="20">
        <v>6.8679048390779052E-5</v>
      </c>
      <c r="E34" s="20">
        <v>0.83790897662058106</v>
      </c>
      <c r="F34" s="20">
        <v>0.51362121435061536</v>
      </c>
      <c r="G34" s="20">
        <v>0.11203107639154096</v>
      </c>
      <c r="H34" s="20">
        <v>0</v>
      </c>
      <c r="I34" s="20">
        <v>0.21225668587842469</v>
      </c>
      <c r="J34" s="20">
        <v>1.7587312894597933E-3</v>
      </c>
      <c r="K34" s="20">
        <v>0.16026361304156869</v>
      </c>
      <c r="L34" s="20">
        <v>0</v>
      </c>
    </row>
    <row r="35" spans="1:12">
      <c r="A35" s="2" t="s">
        <v>349</v>
      </c>
      <c r="B35" s="3" t="s">
        <v>350</v>
      </c>
      <c r="D35" s="20">
        <v>1.1295760624341254E-2</v>
      </c>
      <c r="E35" s="20">
        <v>0.9191872009189499</v>
      </c>
      <c r="F35" s="20">
        <v>0.7598610172670891</v>
      </c>
      <c r="G35" s="20">
        <v>0.1365934014859044</v>
      </c>
      <c r="H35" s="20">
        <v>0</v>
      </c>
      <c r="I35" s="20">
        <v>2.273278216595645E-2</v>
      </c>
      <c r="J35" s="20">
        <v>2.075706212237737E-3</v>
      </c>
      <c r="K35" s="20">
        <v>6.7441332244471075E-2</v>
      </c>
      <c r="L35" s="20">
        <v>0</v>
      </c>
    </row>
    <row r="36" spans="1:12">
      <c r="A36" s="2" t="s">
        <v>351</v>
      </c>
      <c r="B36" s="3" t="s">
        <v>352</v>
      </c>
      <c r="D36" s="20">
        <v>3.0095624336241497E-4</v>
      </c>
      <c r="E36" s="20">
        <v>0.94158191138799974</v>
      </c>
      <c r="F36" s="20">
        <v>0.64079931901344189</v>
      </c>
      <c r="G36" s="20">
        <v>0.29581323229066808</v>
      </c>
      <c r="H36" s="20">
        <v>0</v>
      </c>
      <c r="I36" s="20">
        <v>4.9693600838897093E-3</v>
      </c>
      <c r="J36" s="20">
        <v>4.5480733601355825E-3</v>
      </c>
      <c r="K36" s="20">
        <v>5.3569059008502264E-2</v>
      </c>
      <c r="L36" s="20">
        <v>0</v>
      </c>
    </row>
    <row r="37" spans="1:12">
      <c r="A37" s="2" t="s">
        <v>353</v>
      </c>
      <c r="B37" s="3" t="s">
        <v>354</v>
      </c>
      <c r="D37" s="20">
        <v>2.0398090084299937E-3</v>
      </c>
      <c r="E37" s="20">
        <v>0.94971785788194096</v>
      </c>
      <c r="F37" s="20">
        <v>0.26959273817738089</v>
      </c>
      <c r="G37" s="20">
        <v>0.67936590149589404</v>
      </c>
      <c r="H37" s="20">
        <v>0</v>
      </c>
      <c r="I37" s="20">
        <v>7.5921820866598053E-4</v>
      </c>
      <c r="J37" s="20">
        <v>1.0641266383875943E-2</v>
      </c>
      <c r="K37" s="20">
        <v>3.7601066725753106E-2</v>
      </c>
      <c r="L37" s="20">
        <v>0</v>
      </c>
    </row>
    <row r="38" spans="1:12">
      <c r="A38" s="2" t="s">
        <v>355</v>
      </c>
      <c r="B38" s="3" t="s">
        <v>356</v>
      </c>
      <c r="D38" s="20">
        <v>1.1280151234047291E-4</v>
      </c>
      <c r="E38" s="20">
        <v>0.94217012688837209</v>
      </c>
      <c r="F38" s="20">
        <v>0.50808176291937124</v>
      </c>
      <c r="G38" s="20">
        <v>0.43134936396869639</v>
      </c>
      <c r="H38" s="20">
        <v>0</v>
      </c>
      <c r="I38" s="20">
        <v>2.7390000003044888E-3</v>
      </c>
      <c r="J38" s="20">
        <v>6.6753184628029934E-3</v>
      </c>
      <c r="K38" s="20">
        <v>5.104175313648434E-2</v>
      </c>
      <c r="L38" s="20">
        <v>0</v>
      </c>
    </row>
    <row r="39" spans="1:12">
      <c r="A39" s="2" t="s">
        <v>357</v>
      </c>
      <c r="B39" s="3" t="s">
        <v>358</v>
      </c>
      <c r="D39" s="20">
        <v>2.28599191779617E-2</v>
      </c>
      <c r="E39" s="20">
        <v>0.92005578048670733</v>
      </c>
      <c r="F39" s="20">
        <v>0.59114412111327919</v>
      </c>
      <c r="G39" s="20">
        <v>0.32477974036067192</v>
      </c>
      <c r="H39" s="20">
        <v>0</v>
      </c>
      <c r="I39" s="20">
        <v>4.1319190127562435E-3</v>
      </c>
      <c r="J39" s="20">
        <v>5.0025764221401977E-3</v>
      </c>
      <c r="K39" s="20">
        <v>5.2081723913190624E-2</v>
      </c>
      <c r="L39" s="20">
        <v>0</v>
      </c>
    </row>
    <row r="40" spans="1:12">
      <c r="A40" s="2" t="s">
        <v>359</v>
      </c>
      <c r="B40" s="3" t="s">
        <v>360</v>
      </c>
      <c r="D40" s="20">
        <v>1.1280151234047291E-4</v>
      </c>
      <c r="E40" s="20">
        <v>0.94217012688837209</v>
      </c>
      <c r="F40" s="20">
        <v>0.50808176291937124</v>
      </c>
      <c r="G40" s="20">
        <v>0.43134936396869639</v>
      </c>
      <c r="H40" s="20">
        <v>0</v>
      </c>
      <c r="I40" s="20">
        <v>2.7390000003044888E-3</v>
      </c>
      <c r="J40" s="20">
        <v>6.6753184628029934E-3</v>
      </c>
      <c r="K40" s="20">
        <v>5.104175313648434E-2</v>
      </c>
      <c r="L40" s="20">
        <v>0</v>
      </c>
    </row>
    <row r="41" spans="1:12">
      <c r="A41" s="2" t="s">
        <v>313</v>
      </c>
      <c r="B41" s="3" t="s">
        <v>314</v>
      </c>
      <c r="D41" s="20">
        <v>4.3636871309115268E-8</v>
      </c>
      <c r="E41" s="20">
        <v>0.99949597622247821</v>
      </c>
      <c r="F41" s="20">
        <v>4.5529187226524069E-2</v>
      </c>
      <c r="G41" s="20">
        <v>1.0834539252447487E-5</v>
      </c>
      <c r="H41" s="20">
        <v>0</v>
      </c>
      <c r="I41" s="20">
        <v>0.95395595445670167</v>
      </c>
      <c r="J41" s="20">
        <v>4.2792880109393554E-4</v>
      </c>
      <c r="K41" s="20">
        <v>7.6051339556384306E-5</v>
      </c>
      <c r="L41" s="20">
        <v>0</v>
      </c>
    </row>
    <row r="42" spans="1:12">
      <c r="A42" s="2" t="s">
        <v>315</v>
      </c>
      <c r="B42" s="3" t="s">
        <v>316</v>
      </c>
      <c r="D42" s="20">
        <v>2.9399644732680153E-3</v>
      </c>
      <c r="E42" s="20">
        <v>0.94972186595674324</v>
      </c>
      <c r="F42" s="20">
        <v>0.25583547598752326</v>
      </c>
      <c r="G42" s="20">
        <v>0.69319643746959436</v>
      </c>
      <c r="H42" s="20">
        <v>0</v>
      </c>
      <c r="I42" s="20">
        <v>6.8995249962560692E-4</v>
      </c>
      <c r="J42" s="20">
        <v>1.0866743683854044E-2</v>
      </c>
      <c r="K42" s="20">
        <v>3.6471425886134667E-2</v>
      </c>
      <c r="L42" s="20">
        <v>0</v>
      </c>
    </row>
    <row r="43" spans="1:12">
      <c r="A43" s="2" t="s">
        <v>317</v>
      </c>
      <c r="B43" s="3" t="s">
        <v>318</v>
      </c>
      <c r="D43" s="20">
        <v>4.2533051986277977E-12</v>
      </c>
      <c r="E43" s="20">
        <v>0.82399377661821727</v>
      </c>
      <c r="F43" s="20">
        <v>0.31141908993701722</v>
      </c>
      <c r="G43" s="20">
        <v>7.4343120542851013E-2</v>
      </c>
      <c r="H43" s="20">
        <v>0</v>
      </c>
      <c r="I43" s="20">
        <v>0.43823156613834907</v>
      </c>
      <c r="J43" s="20">
        <v>1.2884013371634402E-3</v>
      </c>
      <c r="K43" s="20">
        <v>0.17471782204036598</v>
      </c>
      <c r="L43" s="20">
        <v>0</v>
      </c>
    </row>
    <row r="44" spans="1:12">
      <c r="A44" s="2" t="s">
        <v>307</v>
      </c>
      <c r="B44" s="3" t="s">
        <v>308</v>
      </c>
      <c r="D44" s="20">
        <v>1.0023779755540149E-4</v>
      </c>
      <c r="E44" s="20">
        <v>0.94392381994280172</v>
      </c>
      <c r="F44" s="20">
        <v>0.72585554690063736</v>
      </c>
      <c r="G44" s="20">
        <v>0.21064238109359892</v>
      </c>
      <c r="H44" s="20">
        <v>0</v>
      </c>
      <c r="I44" s="20">
        <v>7.4258919485654575E-3</v>
      </c>
      <c r="J44" s="20">
        <v>3.2235479428871323E-3</v>
      </c>
      <c r="K44" s="20">
        <v>5.275239431675563E-2</v>
      </c>
      <c r="L44" s="20">
        <v>0</v>
      </c>
    </row>
    <row r="45" spans="1:12">
      <c r="A45" s="2" t="s">
        <v>319</v>
      </c>
      <c r="B45" s="3" t="s">
        <v>320</v>
      </c>
      <c r="D45" s="20">
        <v>9.5281375885879424E-6</v>
      </c>
      <c r="E45" s="20">
        <v>0.95972732389944948</v>
      </c>
      <c r="F45" s="20">
        <v>0.16230305858968755</v>
      </c>
      <c r="G45" s="20">
        <v>0.79711734535195489</v>
      </c>
      <c r="H45" s="20">
        <v>0</v>
      </c>
      <c r="I45" s="20">
        <v>3.0691995780702494E-4</v>
      </c>
      <c r="J45" s="20">
        <v>1.2579795622475522E-2</v>
      </c>
      <c r="K45" s="20">
        <v>2.7683352340486488E-2</v>
      </c>
      <c r="L45" s="20">
        <v>0</v>
      </c>
    </row>
    <row r="46" spans="1:12">
      <c r="A46" s="2" t="s">
        <v>321</v>
      </c>
      <c r="B46" s="3" t="s">
        <v>322</v>
      </c>
      <c r="D46" s="20">
        <v>1.4125312151968869E-5</v>
      </c>
      <c r="E46" s="20">
        <v>0.95355858663239623</v>
      </c>
      <c r="F46" s="20">
        <v>0.24088887217043359</v>
      </c>
      <c r="G46" s="20">
        <v>0.71205295593295526</v>
      </c>
      <c r="H46" s="20">
        <v>0</v>
      </c>
      <c r="I46" s="20">
        <v>6.167585290073656E-4</v>
      </c>
      <c r="J46" s="20">
        <v>1.1173262549399482E-2</v>
      </c>
      <c r="K46" s="20">
        <v>3.525402550605243E-2</v>
      </c>
      <c r="L46" s="20">
        <v>0</v>
      </c>
    </row>
    <row r="47" spans="1:12">
      <c r="A47" s="2" t="s">
        <v>323</v>
      </c>
      <c r="B47" s="3" t="s">
        <v>324</v>
      </c>
      <c r="D47" s="20">
        <v>1.3425576998802021E-4</v>
      </c>
      <c r="E47" s="20">
        <v>0.94635187830323908</v>
      </c>
      <c r="F47" s="20">
        <v>0.36893651749963191</v>
      </c>
      <c r="G47" s="20">
        <v>0.57603278144198633</v>
      </c>
      <c r="H47" s="20">
        <v>0</v>
      </c>
      <c r="I47" s="20">
        <v>1.382579361620861E-3</v>
      </c>
      <c r="J47" s="20">
        <v>8.9745420383344193E-3</v>
      </c>
      <c r="K47" s="20">
        <v>4.453932388843853E-2</v>
      </c>
      <c r="L47" s="20">
        <v>0</v>
      </c>
    </row>
    <row r="48" spans="1:12">
      <c r="A48" s="2" t="s">
        <v>325</v>
      </c>
      <c r="B48" s="3" t="s">
        <v>326</v>
      </c>
      <c r="D48" s="20">
        <v>9.0627001488662924E-5</v>
      </c>
      <c r="E48" s="20">
        <v>0.88959614972624623</v>
      </c>
      <c r="F48" s="20">
        <v>0.68655651920878347</v>
      </c>
      <c r="G48" s="20">
        <v>0.13482544138173325</v>
      </c>
      <c r="H48" s="20">
        <v>0</v>
      </c>
      <c r="I48" s="20">
        <v>6.8214189135729492E-2</v>
      </c>
      <c r="J48" s="20">
        <v>2.0531612777235312E-3</v>
      </c>
      <c r="K48" s="20">
        <v>0.10826006199454169</v>
      </c>
      <c r="L48" s="20">
        <v>0</v>
      </c>
    </row>
    <row r="49" spans="1:12">
      <c r="A49" s="2" t="s">
        <v>275</v>
      </c>
      <c r="B49" s="3" t="s">
        <v>276</v>
      </c>
      <c r="D49" s="20">
        <v>1.288456349038728E-6</v>
      </c>
      <c r="E49" s="20">
        <v>0.94347554076045459</v>
      </c>
      <c r="F49" s="20">
        <v>0.71135828536186896</v>
      </c>
      <c r="G49" s="20">
        <v>0.22520807042412735</v>
      </c>
      <c r="H49" s="20">
        <v>0</v>
      </c>
      <c r="I49" s="20">
        <v>6.909184974458301E-3</v>
      </c>
      <c r="J49" s="20">
        <v>3.4493479588587786E-3</v>
      </c>
      <c r="K49" s="20">
        <v>5.3073822824337653E-2</v>
      </c>
      <c r="L49" s="20">
        <v>0</v>
      </c>
    </row>
    <row r="50" spans="1:12">
      <c r="A50" s="2" t="s">
        <v>327</v>
      </c>
      <c r="B50" s="3" t="s">
        <v>328</v>
      </c>
      <c r="D50" s="20">
        <v>6.7150920149943171E-5</v>
      </c>
      <c r="E50" s="20">
        <v>0.94264435818061731</v>
      </c>
      <c r="F50" s="20">
        <v>0.68559975287771779</v>
      </c>
      <c r="G50" s="20">
        <v>0.25093787025049508</v>
      </c>
      <c r="H50" s="20">
        <v>0</v>
      </c>
      <c r="I50" s="20">
        <v>6.1067350524044561E-3</v>
      </c>
      <c r="J50" s="20">
        <v>3.8489610710253572E-3</v>
      </c>
      <c r="K50" s="20">
        <v>5.3439529828207245E-2</v>
      </c>
      <c r="L50" s="20">
        <v>0</v>
      </c>
    </row>
    <row r="51" spans="1:12">
      <c r="A51" s="2" t="s">
        <v>329</v>
      </c>
      <c r="B51" s="3" t="s">
        <v>330</v>
      </c>
      <c r="D51" s="20">
        <v>4.6347799847225245E-5</v>
      </c>
      <c r="E51" s="20">
        <v>0.90856573887792058</v>
      </c>
      <c r="F51" s="20">
        <v>0.72819519198354021</v>
      </c>
      <c r="G51" s="20">
        <v>0.1375762167508327</v>
      </c>
      <c r="H51" s="20">
        <v>0</v>
      </c>
      <c r="I51" s="20">
        <v>4.2794330143547658E-2</v>
      </c>
      <c r="J51" s="20">
        <v>2.0903140524100839E-3</v>
      </c>
      <c r="K51" s="20">
        <v>8.9297599269822114E-2</v>
      </c>
      <c r="L51" s="20">
        <v>0</v>
      </c>
    </row>
    <row r="52" spans="1:12">
      <c r="A52" s="2" t="s">
        <v>277</v>
      </c>
      <c r="B52" s="3" t="s">
        <v>278</v>
      </c>
      <c r="D52" s="20">
        <v>1.407413201598804E-4</v>
      </c>
      <c r="E52" s="20">
        <v>0.89142807452903428</v>
      </c>
      <c r="F52" s="20">
        <v>0.69093995080220405</v>
      </c>
      <c r="G52" s="20">
        <v>0.13518728936152968</v>
      </c>
      <c r="H52" s="20">
        <v>0</v>
      </c>
      <c r="I52" s="20">
        <v>6.5300834365300528E-2</v>
      </c>
      <c r="J52" s="20">
        <v>2.0579702851481522E-3</v>
      </c>
      <c r="K52" s="20">
        <v>0.10637321386565765</v>
      </c>
      <c r="L52" s="20">
        <v>0</v>
      </c>
    </row>
    <row r="53" spans="1:12">
      <c r="A53" s="2" t="s">
        <v>331</v>
      </c>
      <c r="B53" s="3" t="s">
        <v>332</v>
      </c>
      <c r="D53" s="20">
        <v>4.4799321476781267E-5</v>
      </c>
      <c r="E53" s="20">
        <v>0.94151597042500057</v>
      </c>
      <c r="F53" s="20">
        <v>0.59564859348023269</v>
      </c>
      <c r="G53" s="20">
        <v>0.34181071753803138</v>
      </c>
      <c r="H53" s="20">
        <v>0</v>
      </c>
      <c r="I53" s="20">
        <v>4.0566594067365114E-3</v>
      </c>
      <c r="J53" s="20">
        <v>5.2673403660563282E-3</v>
      </c>
      <c r="K53" s="20">
        <v>5.3171889887466343E-2</v>
      </c>
      <c r="L53" s="20">
        <v>0</v>
      </c>
    </row>
    <row r="54" spans="1:12">
      <c r="A54" s="2" t="s">
        <v>333</v>
      </c>
      <c r="B54" s="3" t="s">
        <v>334</v>
      </c>
      <c r="D54" s="20">
        <v>7.3077935110393622E-8</v>
      </c>
      <c r="E54" s="20">
        <v>0.94307036137395295</v>
      </c>
      <c r="F54" s="20">
        <v>0.69872285922884536</v>
      </c>
      <c r="G54" s="20">
        <v>0.23784854942596306</v>
      </c>
      <c r="H54" s="20">
        <v>0</v>
      </c>
      <c r="I54" s="20">
        <v>6.4989527191445431E-3</v>
      </c>
      <c r="J54" s="20">
        <v>3.6455522708247132E-3</v>
      </c>
      <c r="K54" s="20">
        <v>5.3284013277287212E-2</v>
      </c>
      <c r="L54" s="20">
        <v>0</v>
      </c>
    </row>
    <row r="55" spans="1:12">
      <c r="A55" s="2" t="s">
        <v>335</v>
      </c>
      <c r="B55" s="3" t="s">
        <v>336</v>
      </c>
      <c r="D55" s="20">
        <v>3.4892280506366156E-4</v>
      </c>
      <c r="E55" s="20">
        <v>0.94587660203413426</v>
      </c>
      <c r="F55" s="20">
        <v>0.37527362252820767</v>
      </c>
      <c r="G55" s="20">
        <v>0.56917208879216219</v>
      </c>
      <c r="H55" s="20">
        <v>0</v>
      </c>
      <c r="I55" s="20">
        <v>1.4308907137644232E-3</v>
      </c>
      <c r="J55" s="20">
        <v>8.8647894660630749E-3</v>
      </c>
      <c r="K55" s="20">
        <v>4.4909685694738868E-2</v>
      </c>
      <c r="L55" s="20">
        <v>0</v>
      </c>
    </row>
    <row r="56" spans="1:12">
      <c r="A56" s="2" t="s">
        <v>337</v>
      </c>
      <c r="B56" s="3" t="s">
        <v>338</v>
      </c>
      <c r="D56" s="20">
        <v>2.5750907110767549E-5</v>
      </c>
      <c r="E56" s="20">
        <v>0.9438072585151196</v>
      </c>
      <c r="F56" s="20">
        <v>0.72112610355511653</v>
      </c>
      <c r="G56" s="20">
        <v>0.21543029291605584</v>
      </c>
      <c r="H56" s="20">
        <v>0</v>
      </c>
      <c r="I56" s="20">
        <v>7.2508620439472732E-3</v>
      </c>
      <c r="J56" s="20">
        <v>3.2977353306831414E-3</v>
      </c>
      <c r="K56" s="20">
        <v>5.2869255247086383E-2</v>
      </c>
      <c r="L56" s="20">
        <v>0</v>
      </c>
    </row>
    <row r="57" spans="1:12">
      <c r="A57" s="2" t="s">
        <v>279</v>
      </c>
      <c r="B57" s="3" t="s">
        <v>280</v>
      </c>
      <c r="D57" s="20">
        <v>2.7522759446755784E-3</v>
      </c>
      <c r="E57" s="20">
        <v>0.87867868884271882</v>
      </c>
      <c r="F57" s="20">
        <v>0.66360654185420187</v>
      </c>
      <c r="G57" s="20">
        <v>0.13249705154558747</v>
      </c>
      <c r="H57" s="20">
        <v>0</v>
      </c>
      <c r="I57" s="20">
        <v>8.2575095442929528E-2</v>
      </c>
      <c r="J57" s="20">
        <v>2.0216230657886672E-3</v>
      </c>
      <c r="K57" s="20">
        <v>0.11654741214681688</v>
      </c>
      <c r="L57" s="20">
        <v>0</v>
      </c>
    </row>
    <row r="58" spans="1:12">
      <c r="A58" s="2" t="s">
        <v>339</v>
      </c>
      <c r="B58" s="3" t="s">
        <v>340</v>
      </c>
      <c r="D58" s="20">
        <v>2.561411179165573E-7</v>
      </c>
      <c r="E58" s="20">
        <v>0.94299407510868871</v>
      </c>
      <c r="F58" s="20">
        <v>0.69614223777109774</v>
      </c>
      <c r="G58" s="20">
        <v>0.2404327037969069</v>
      </c>
      <c r="H58" s="20">
        <v>0</v>
      </c>
      <c r="I58" s="20">
        <v>6.41913354068407E-3</v>
      </c>
      <c r="J58" s="20">
        <v>3.6856908097790322E-3</v>
      </c>
      <c r="K58" s="20">
        <v>5.331997794041423E-2</v>
      </c>
      <c r="L58" s="20">
        <v>0</v>
      </c>
    </row>
    <row r="59" spans="1:12">
      <c r="A59" s="2" t="s">
        <v>281</v>
      </c>
      <c r="B59" s="3" t="s">
        <v>282</v>
      </c>
      <c r="D59" s="20">
        <v>2.1304605431067972E-5</v>
      </c>
      <c r="E59" s="20">
        <v>0.89153455875640386</v>
      </c>
      <c r="F59" s="20">
        <v>0.69102248601611782</v>
      </c>
      <c r="G59" s="20">
        <v>0.13520343796001921</v>
      </c>
      <c r="H59" s="20">
        <v>0</v>
      </c>
      <c r="I59" s="20">
        <v>6.5308634780266883E-2</v>
      </c>
      <c r="J59" s="20">
        <v>2.0582161169567137E-3</v>
      </c>
      <c r="K59" s="20">
        <v>0.10638592052120843</v>
      </c>
      <c r="L59" s="20">
        <v>0</v>
      </c>
    </row>
    <row r="60" spans="1:12">
      <c r="A60" s="2" t="s">
        <v>341</v>
      </c>
      <c r="B60" s="3" t="s">
        <v>342</v>
      </c>
      <c r="D60" s="20">
        <v>3.7503055805851248E-4</v>
      </c>
      <c r="E60" s="20">
        <v>0.94133080342838427</v>
      </c>
      <c r="F60" s="20">
        <v>0.62299611793849519</v>
      </c>
      <c r="G60" s="20">
        <v>0.31374794925664651</v>
      </c>
      <c r="H60" s="20">
        <v>0</v>
      </c>
      <c r="I60" s="20">
        <v>4.5867362332426042E-3</v>
      </c>
      <c r="J60" s="20">
        <v>4.8282124869203124E-3</v>
      </c>
      <c r="K60" s="20">
        <v>5.3465953526636939E-2</v>
      </c>
      <c r="L60" s="20">
        <v>0</v>
      </c>
    </row>
    <row r="61" spans="1:12">
      <c r="A61" s="2" t="s">
        <v>483</v>
      </c>
      <c r="B61" s="3" t="s">
        <v>484</v>
      </c>
      <c r="D61" s="20">
        <v>6.662802342841266E-14</v>
      </c>
      <c r="E61" s="20">
        <v>0.89540333906357028</v>
      </c>
      <c r="F61" s="20">
        <v>0.50095464492657582</v>
      </c>
      <c r="G61" s="20">
        <v>8.3467230758712388E-2</v>
      </c>
      <c r="H61" s="20">
        <v>0</v>
      </c>
      <c r="I61" s="20">
        <v>0.31098146337828203</v>
      </c>
      <c r="J61" s="20">
        <v>1.191102680229339E-2</v>
      </c>
      <c r="K61" s="20">
        <v>9.26856341340698E-2</v>
      </c>
      <c r="L61" s="20">
        <v>0</v>
      </c>
    </row>
    <row r="62" spans="1:12">
      <c r="A62" s="2" t="s">
        <v>485</v>
      </c>
      <c r="B62" s="3" t="s">
        <v>486</v>
      </c>
      <c r="D62" s="20">
        <v>1.9533372665142721E-7</v>
      </c>
      <c r="E62" s="20">
        <v>0.83519834506229995</v>
      </c>
      <c r="F62" s="20">
        <v>0.49819104876724585</v>
      </c>
      <c r="G62" s="20">
        <v>0.10946908183163424</v>
      </c>
      <c r="H62" s="20">
        <v>0</v>
      </c>
      <c r="I62" s="20">
        <v>0.22753821446341982</v>
      </c>
      <c r="J62" s="20">
        <v>1.7262684768285968E-3</v>
      </c>
      <c r="K62" s="20">
        <v>0.16307519112714478</v>
      </c>
      <c r="L62" s="20">
        <v>0</v>
      </c>
    </row>
    <row r="63" spans="1:12">
      <c r="A63" s="2" t="s">
        <v>487</v>
      </c>
      <c r="B63" s="3" t="s">
        <v>488</v>
      </c>
      <c r="D63" s="20">
        <v>5.6917322110007437E-13</v>
      </c>
      <c r="E63" s="20">
        <v>0.98051990236721953</v>
      </c>
      <c r="F63" s="20">
        <v>3.263872152260356E-2</v>
      </c>
      <c r="G63" s="20">
        <v>4.3065539422353699E-3</v>
      </c>
      <c r="H63" s="20">
        <v>0</v>
      </c>
      <c r="I63" s="20">
        <v>0.94357462690238059</v>
      </c>
      <c r="J63" s="20">
        <v>2.2174934700006661E-3</v>
      </c>
      <c r="K63" s="20">
        <v>1.7262604162210524E-2</v>
      </c>
      <c r="L63" s="20">
        <v>0</v>
      </c>
    </row>
    <row r="64" spans="1:12">
      <c r="A64" s="2" t="s">
        <v>489</v>
      </c>
      <c r="B64" s="3" t="s">
        <v>490</v>
      </c>
      <c r="D64" s="20">
        <v>1.0279131559069846E-14</v>
      </c>
      <c r="E64" s="20">
        <v>0.99772849644579376</v>
      </c>
      <c r="F64" s="20">
        <v>1.2187914476259028E-2</v>
      </c>
      <c r="G64" s="20">
        <v>1.5132363284948655E-4</v>
      </c>
      <c r="H64" s="20">
        <v>0</v>
      </c>
      <c r="I64" s="20">
        <v>0.98538925833668523</v>
      </c>
      <c r="J64" s="20">
        <v>4.3579733339310157E-4</v>
      </c>
      <c r="K64" s="20">
        <v>1.8357062208028167E-3</v>
      </c>
      <c r="L64" s="20">
        <v>0</v>
      </c>
    </row>
    <row r="65" spans="1:12">
      <c r="A65" s="2" t="s">
        <v>491</v>
      </c>
      <c r="B65" s="3" t="s">
        <v>492</v>
      </c>
      <c r="D65" s="20">
        <v>1.7117351322478621E-12</v>
      </c>
      <c r="E65" s="20">
        <v>0.99858526597677177</v>
      </c>
      <c r="F65" s="20">
        <v>1.5954650051093495E-3</v>
      </c>
      <c r="G65" s="20">
        <v>7.0962809810551776E-5</v>
      </c>
      <c r="H65" s="20">
        <v>0</v>
      </c>
      <c r="I65" s="20">
        <v>0.99691883816185189</v>
      </c>
      <c r="J65" s="20">
        <v>5.9682080861868381E-4</v>
      </c>
      <c r="K65" s="20">
        <v>8.1791321289767581E-4</v>
      </c>
      <c r="L65" s="20">
        <v>0</v>
      </c>
    </row>
    <row r="66" spans="1:12">
      <c r="A66" s="2" t="s">
        <v>493</v>
      </c>
      <c r="B66" s="3" t="s">
        <v>494</v>
      </c>
      <c r="D66" s="20">
        <v>2.2374887538821935E-11</v>
      </c>
      <c r="E66" s="20">
        <v>0.97741440744137176</v>
      </c>
      <c r="F66" s="20">
        <v>0.20092616146625394</v>
      </c>
      <c r="G66" s="20">
        <v>5.0355779866590516E-3</v>
      </c>
      <c r="H66" s="20">
        <v>0</v>
      </c>
      <c r="I66" s="20">
        <v>0.7714526679884588</v>
      </c>
      <c r="J66" s="20">
        <v>1.5286552479227146E-2</v>
      </c>
      <c r="K66" s="20">
        <v>7.2990400570260745E-3</v>
      </c>
      <c r="L66" s="20">
        <v>0</v>
      </c>
    </row>
    <row r="67" spans="1:12">
      <c r="A67" s="2" t="s">
        <v>495</v>
      </c>
      <c r="B67" s="3" t="s">
        <v>496</v>
      </c>
      <c r="D67" s="20">
        <v>1.3374510885411035E-12</v>
      </c>
      <c r="E67" s="20">
        <v>0.99851063533683315</v>
      </c>
      <c r="F67" s="20">
        <v>1.3455701447524964E-3</v>
      </c>
      <c r="G67" s="20">
        <v>7.3556537311820998E-5</v>
      </c>
      <c r="H67" s="20">
        <v>0</v>
      </c>
      <c r="I67" s="20">
        <v>0.99709150865476881</v>
      </c>
      <c r="J67" s="20">
        <v>5.6951321184729145E-4</v>
      </c>
      <c r="K67" s="20">
        <v>9.1985144998204724E-4</v>
      </c>
      <c r="L67" s="20">
        <v>0</v>
      </c>
    </row>
    <row r="68" spans="1:12">
      <c r="A68" s="2" t="s">
        <v>497</v>
      </c>
      <c r="B68" s="3" t="s">
        <v>498</v>
      </c>
      <c r="D68" s="20">
        <v>1.2097980474848555E-11</v>
      </c>
      <c r="E68" s="20">
        <v>0.99917408529741292</v>
      </c>
      <c r="F68" s="20">
        <v>1.6006425488456958E-4</v>
      </c>
      <c r="G68" s="20">
        <v>1.2349814466594121E-5</v>
      </c>
      <c r="H68" s="20">
        <v>0</v>
      </c>
      <c r="I68" s="20">
        <v>0.99900167122806172</v>
      </c>
      <c r="J68" s="20">
        <v>4.5417677964274661E-4</v>
      </c>
      <c r="K68" s="20">
        <v>3.7173791084646875E-4</v>
      </c>
      <c r="L68" s="20">
        <v>0</v>
      </c>
    </row>
    <row r="69" spans="1:12">
      <c r="A69" s="2" t="s">
        <v>499</v>
      </c>
      <c r="B69" s="3" t="s">
        <v>500</v>
      </c>
      <c r="D69" s="20">
        <v>6.3980116727353389E-12</v>
      </c>
      <c r="E69" s="20">
        <v>0.94485742163667474</v>
      </c>
      <c r="F69" s="20">
        <v>0.74499560793437292</v>
      </c>
      <c r="G69" s="20">
        <v>0.19167226182964223</v>
      </c>
      <c r="H69" s="20">
        <v>0</v>
      </c>
      <c r="I69" s="20">
        <v>8.189551872659644E-3</v>
      </c>
      <c r="J69" s="20">
        <v>2.9299340605241087E-3</v>
      </c>
      <c r="K69" s="20">
        <v>5.2212644296403134E-2</v>
      </c>
      <c r="L69" s="20">
        <v>0</v>
      </c>
    </row>
    <row r="70" spans="1:12">
      <c r="A70" s="2" t="s">
        <v>501</v>
      </c>
      <c r="B70" s="3" t="s">
        <v>411</v>
      </c>
      <c r="D70" s="20">
        <v>2.1676116603517253E-13</v>
      </c>
      <c r="E70" s="20">
        <v>0.99954499246151363</v>
      </c>
      <c r="F70" s="20">
        <v>3.0241279556645993E-2</v>
      </c>
      <c r="G70" s="20">
        <v>2.8740597134152164E-6</v>
      </c>
      <c r="H70" s="20">
        <v>0</v>
      </c>
      <c r="I70" s="20">
        <v>0.96930083884515417</v>
      </c>
      <c r="J70" s="20">
        <v>4.3104172297794971E-4</v>
      </c>
      <c r="K70" s="20">
        <v>2.3965815291581783E-5</v>
      </c>
      <c r="L70" s="20">
        <v>0</v>
      </c>
    </row>
    <row r="71" spans="1:12">
      <c r="A71" s="2" t="s">
        <v>502</v>
      </c>
      <c r="B71" s="3" t="s">
        <v>412</v>
      </c>
      <c r="D71" s="20">
        <v>9.9007581658738278E-9</v>
      </c>
      <c r="E71" s="20">
        <v>0.99954160857338303</v>
      </c>
      <c r="F71" s="20">
        <v>5.6375131932956443E-2</v>
      </c>
      <c r="G71" s="20">
        <v>5.1233483435392308E-6</v>
      </c>
      <c r="H71" s="20">
        <v>0</v>
      </c>
      <c r="I71" s="20">
        <v>0.94316135329208306</v>
      </c>
      <c r="J71" s="20">
        <v>4.2555308130492553E-4</v>
      </c>
      <c r="K71" s="20">
        <v>3.2828444553953326E-5</v>
      </c>
      <c r="L71" s="20">
        <v>0</v>
      </c>
    </row>
    <row r="72" spans="1:12">
      <c r="A72" s="2" t="s">
        <v>503</v>
      </c>
      <c r="B72" s="3" t="s">
        <v>413</v>
      </c>
      <c r="D72" s="20">
        <v>1.339652127292179E-10</v>
      </c>
      <c r="E72" s="20">
        <v>0.99863220470605096</v>
      </c>
      <c r="F72" s="20">
        <v>0.99428467155212841</v>
      </c>
      <c r="G72" s="20">
        <v>4.5664121116265044E-4</v>
      </c>
      <c r="H72" s="20">
        <v>0</v>
      </c>
      <c r="I72" s="20">
        <v>3.890891942759924E-3</v>
      </c>
      <c r="J72" s="20">
        <v>1.3306526264561928E-3</v>
      </c>
      <c r="K72" s="20">
        <v>3.7142533527650856E-5</v>
      </c>
      <c r="L72" s="20">
        <v>0</v>
      </c>
    </row>
    <row r="73" spans="1:12">
      <c r="A73" s="2" t="s">
        <v>504</v>
      </c>
      <c r="B73" s="3" t="s">
        <v>414</v>
      </c>
      <c r="D73" s="20">
        <v>1.751036005029968E-10</v>
      </c>
      <c r="E73" s="20">
        <v>0.9997988066319945</v>
      </c>
      <c r="F73" s="20">
        <v>0.96363769976618341</v>
      </c>
      <c r="G73" s="20">
        <v>5.5702943031138838E-5</v>
      </c>
      <c r="H73" s="20">
        <v>0</v>
      </c>
      <c r="I73" s="20">
        <v>3.6105403922779923E-2</v>
      </c>
      <c r="J73" s="20">
        <v>1.7106489740774638E-4</v>
      </c>
      <c r="K73" s="20">
        <v>3.0128295494049304E-5</v>
      </c>
      <c r="L73" s="20">
        <v>0</v>
      </c>
    </row>
    <row r="74" spans="1:12">
      <c r="A74" s="2" t="s">
        <v>505</v>
      </c>
      <c r="B74" s="3" t="s">
        <v>415</v>
      </c>
      <c r="D74" s="20">
        <v>1.2239596050745666E-9</v>
      </c>
      <c r="E74" s="20">
        <v>0.99954212240098883</v>
      </c>
      <c r="F74" s="20">
        <v>5.1284460463974828E-2</v>
      </c>
      <c r="G74" s="20">
        <v>4.6811240498247859E-6</v>
      </c>
      <c r="H74" s="20">
        <v>0</v>
      </c>
      <c r="I74" s="20">
        <v>0.94825298081296416</v>
      </c>
      <c r="J74" s="20">
        <v>4.2664101108972941E-4</v>
      </c>
      <c r="K74" s="20">
        <v>3.1235363961913547E-5</v>
      </c>
      <c r="L74" s="20">
        <v>0</v>
      </c>
    </row>
    <row r="75" spans="1:12">
      <c r="A75" s="2" t="s">
        <v>506</v>
      </c>
      <c r="B75" s="3" t="s">
        <v>416</v>
      </c>
      <c r="D75" s="20">
        <v>7.514537751909598E-10</v>
      </c>
      <c r="E75" s="20">
        <v>0.99979282446809903</v>
      </c>
      <c r="F75" s="20">
        <v>0.95701991815263876</v>
      </c>
      <c r="G75" s="20">
        <v>5.6038349549667119E-5</v>
      </c>
      <c r="H75" s="20">
        <v>0</v>
      </c>
      <c r="I75" s="20">
        <v>4.2716867965910649E-2</v>
      </c>
      <c r="J75" s="20">
        <v>1.7463746209085695E-4</v>
      </c>
      <c r="K75" s="20">
        <v>3.253731835626096E-5</v>
      </c>
      <c r="L75" s="20">
        <v>0</v>
      </c>
    </row>
    <row r="76" spans="1:12">
      <c r="A76" s="2" t="s">
        <v>507</v>
      </c>
      <c r="B76" s="3" t="s">
        <v>417</v>
      </c>
      <c r="D76" s="20">
        <v>1.735773603508933E-8</v>
      </c>
      <c r="E76" s="20">
        <v>0.99962043595708439</v>
      </c>
      <c r="F76" s="20">
        <v>0.55171170534807168</v>
      </c>
      <c r="G76" s="20">
        <v>4.012162478805129E-5</v>
      </c>
      <c r="H76" s="20">
        <v>0</v>
      </c>
      <c r="I76" s="20">
        <v>0.4478686089842247</v>
      </c>
      <c r="J76" s="20">
        <v>3.0409395952199454E-4</v>
      </c>
      <c r="K76" s="20">
        <v>7.5452725657448934E-5</v>
      </c>
      <c r="L76" s="20">
        <v>0</v>
      </c>
    </row>
    <row r="77" spans="1:12">
      <c r="A77" s="2" t="s">
        <v>508</v>
      </c>
      <c r="B77" s="3" t="s">
        <v>418</v>
      </c>
      <c r="D77" s="20">
        <v>5.4211343057225165E-9</v>
      </c>
      <c r="E77" s="20">
        <v>0.99979704192882146</v>
      </c>
      <c r="F77" s="20">
        <v>0.96185428800619799</v>
      </c>
      <c r="G77" s="20">
        <v>5.5972615263525585E-5</v>
      </c>
      <c r="H77" s="20">
        <v>0</v>
      </c>
      <c r="I77" s="20">
        <v>3.788678130735991E-2</v>
      </c>
      <c r="J77" s="20">
        <v>1.7205880100398837E-4</v>
      </c>
      <c r="K77" s="20">
        <v>3.0893849040051702E-5</v>
      </c>
      <c r="L77" s="20">
        <v>0</v>
      </c>
    </row>
    <row r="78" spans="1:12">
      <c r="A78" s="2" t="s">
        <v>509</v>
      </c>
      <c r="B78" s="3" t="s">
        <v>419</v>
      </c>
      <c r="D78" s="20">
        <v>5.3868268480392698E-10</v>
      </c>
      <c r="E78" s="20">
        <v>0.99884947257751833</v>
      </c>
      <c r="F78" s="20">
        <v>0.99414955412325168</v>
      </c>
      <c r="G78" s="20">
        <v>3.8363310888540122E-4</v>
      </c>
      <c r="H78" s="20">
        <v>0</v>
      </c>
      <c r="I78" s="20">
        <v>4.3162853453812553E-3</v>
      </c>
      <c r="J78" s="20">
        <v>1.1152887823142638E-3</v>
      </c>
      <c r="K78" s="20">
        <v>3.5238101484658869E-5</v>
      </c>
      <c r="L78" s="20">
        <v>0</v>
      </c>
    </row>
    <row r="79" spans="1:12">
      <c r="A79" s="2" t="s">
        <v>510</v>
      </c>
      <c r="B79" s="3" t="s">
        <v>420</v>
      </c>
      <c r="D79" s="20">
        <v>1.3531098862225291E-14</v>
      </c>
      <c r="E79" s="20">
        <v>0.99884947950267011</v>
      </c>
      <c r="F79" s="20">
        <v>0.99414962144227004</v>
      </c>
      <c r="G79" s="20">
        <v>3.8357242274075846E-4</v>
      </c>
      <c r="H79" s="20">
        <v>0</v>
      </c>
      <c r="I79" s="20">
        <v>4.3162856376593043E-3</v>
      </c>
      <c r="J79" s="20">
        <v>1.1152879700757558E-3</v>
      </c>
      <c r="K79" s="20">
        <v>3.5232527240741684E-5</v>
      </c>
      <c r="L79" s="20">
        <v>0</v>
      </c>
    </row>
    <row r="80" spans="1:12">
      <c r="A80" s="2" t="s">
        <v>511</v>
      </c>
      <c r="B80" s="3" t="s">
        <v>421</v>
      </c>
      <c r="D80" s="20">
        <v>1.5262059614966558E-9</v>
      </c>
      <c r="E80" s="20">
        <v>0.99971953389484791</v>
      </c>
      <c r="F80" s="20">
        <v>0.83297477853639657</v>
      </c>
      <c r="G80" s="20">
        <v>5.4474871050493711E-5</v>
      </c>
      <c r="H80" s="20">
        <v>0</v>
      </c>
      <c r="I80" s="20">
        <v>0.16669028048740084</v>
      </c>
      <c r="J80" s="20">
        <v>2.2237574862246201E-4</v>
      </c>
      <c r="K80" s="20">
        <v>5.8088830323508792E-5</v>
      </c>
      <c r="L80" s="20">
        <v>0</v>
      </c>
    </row>
    <row r="81" spans="1:12">
      <c r="A81" s="2" t="s">
        <v>512</v>
      </c>
      <c r="B81" s="3" t="s">
        <v>422</v>
      </c>
      <c r="D81" s="20">
        <v>1.9950463941094729E-9</v>
      </c>
      <c r="E81" s="20">
        <v>0.99954802243530427</v>
      </c>
      <c r="F81" s="20">
        <v>0.19506156558574944</v>
      </c>
      <c r="G81" s="20">
        <v>1.5941752590658143E-5</v>
      </c>
      <c r="H81" s="20">
        <v>0</v>
      </c>
      <c r="I81" s="20">
        <v>0.80447051509696421</v>
      </c>
      <c r="J81" s="20">
        <v>3.9405504521088628E-4</v>
      </c>
      <c r="K81" s="20">
        <v>5.7920524438486339E-5</v>
      </c>
      <c r="L81" s="20">
        <v>0</v>
      </c>
    </row>
    <row r="82" spans="1:12">
      <c r="A82" s="2" t="s">
        <v>513</v>
      </c>
      <c r="B82" s="3" t="s">
        <v>423</v>
      </c>
      <c r="D82" s="20">
        <v>5.0228958196594727E-13</v>
      </c>
      <c r="E82" s="20">
        <v>0.99958122696058016</v>
      </c>
      <c r="F82" s="20">
        <v>0.39117658851405024</v>
      </c>
      <c r="G82" s="20">
        <v>2.9748733355822599E-5</v>
      </c>
      <c r="H82" s="20">
        <v>0</v>
      </c>
      <c r="I82" s="20">
        <v>0.60837488971317411</v>
      </c>
      <c r="J82" s="20">
        <v>3.4596741972942459E-4</v>
      </c>
      <c r="K82" s="20">
        <v>7.2805619188353725E-5</v>
      </c>
      <c r="L82" s="20">
        <v>0</v>
      </c>
    </row>
    <row r="83" spans="1:12">
      <c r="A83" s="2" t="s">
        <v>514</v>
      </c>
      <c r="B83" s="3" t="s">
        <v>424</v>
      </c>
      <c r="D83" s="20">
        <v>1.9267547409611274E-10</v>
      </c>
      <c r="E83" s="20">
        <v>0.99779489731112014</v>
      </c>
      <c r="F83" s="20">
        <v>0.99413449254467712</v>
      </c>
      <c r="G83" s="20">
        <v>7.3690160350329431E-4</v>
      </c>
      <c r="H83" s="20">
        <v>0</v>
      </c>
      <c r="I83" s="20">
        <v>2.9235031629397303E-3</v>
      </c>
      <c r="J83" s="20">
        <v>2.1621976922108189E-3</v>
      </c>
      <c r="K83" s="20">
        <v>4.2904803993468008E-5</v>
      </c>
      <c r="L83" s="20">
        <v>0</v>
      </c>
    </row>
    <row r="84" spans="1:12">
      <c r="A84" s="2" t="s">
        <v>403</v>
      </c>
      <c r="B84" s="3" t="s">
        <v>404</v>
      </c>
      <c r="D84" s="20">
        <v>4.3119710817797597E-44</v>
      </c>
      <c r="E84" s="20">
        <v>0.82335527289126365</v>
      </c>
      <c r="F84" s="20">
        <v>0.38273177885177323</v>
      </c>
      <c r="G84" s="20">
        <v>8.8550308645960085E-2</v>
      </c>
      <c r="H84" s="20">
        <v>0</v>
      </c>
      <c r="I84" s="20">
        <v>0.35207318539353027</v>
      </c>
      <c r="J84" s="20">
        <v>1.4639292465174327E-3</v>
      </c>
      <c r="K84" s="20">
        <v>0.17518079786221899</v>
      </c>
      <c r="L84" s="20">
        <v>0</v>
      </c>
    </row>
    <row r="85" spans="1:12">
      <c r="A85" s="2" t="s">
        <v>405</v>
      </c>
      <c r="B85" s="3" t="s">
        <v>406</v>
      </c>
      <c r="D85" s="20">
        <v>1.0214655868949251E-8</v>
      </c>
      <c r="E85" s="20">
        <v>0.84054649558517058</v>
      </c>
      <c r="F85" s="20">
        <v>0.75324300856359794</v>
      </c>
      <c r="G85" s="20">
        <v>3.9378475756312772E-2</v>
      </c>
      <c r="H85" s="20">
        <v>0</v>
      </c>
      <c r="I85" s="20">
        <v>4.7925011265259866E-2</v>
      </c>
      <c r="J85" s="20">
        <v>0.15320241037953819</v>
      </c>
      <c r="K85" s="20">
        <v>6.2510838206353498E-3</v>
      </c>
      <c r="L85" s="20">
        <v>0</v>
      </c>
    </row>
    <row r="86" spans="1:12">
      <c r="A86" s="2" t="s">
        <v>407</v>
      </c>
      <c r="B86" s="3" t="s">
        <v>408</v>
      </c>
      <c r="D86" s="20">
        <v>2.1225720934278703E-5</v>
      </c>
      <c r="E86" s="20">
        <v>0.9579757357772648</v>
      </c>
      <c r="F86" s="20">
        <v>0.18246565663856337</v>
      </c>
      <c r="G86" s="20">
        <v>0.77513382649510143</v>
      </c>
      <c r="H86" s="20">
        <v>0</v>
      </c>
      <c r="I86" s="20">
        <v>3.7625264359999799E-4</v>
      </c>
      <c r="J86" s="20">
        <v>1.221285966072899E-2</v>
      </c>
      <c r="K86" s="20">
        <v>2.9790178841072042E-2</v>
      </c>
      <c r="L86" s="20">
        <v>0</v>
      </c>
    </row>
    <row r="87" spans="1:12">
      <c r="A87" s="2" t="s">
        <v>409</v>
      </c>
      <c r="B87" s="3" t="s">
        <v>410</v>
      </c>
      <c r="D87" s="20">
        <v>2.6079456133738984E-6</v>
      </c>
      <c r="E87" s="20">
        <v>0.96628547076514149</v>
      </c>
      <c r="F87" s="20">
        <v>9.757020435729831E-2</v>
      </c>
      <c r="G87" s="20">
        <v>0.8685858898356893</v>
      </c>
      <c r="H87" s="20">
        <v>0</v>
      </c>
      <c r="I87" s="20">
        <v>1.2937657215389282E-4</v>
      </c>
      <c r="J87" s="20">
        <v>1.3800182301586921E-2</v>
      </c>
      <c r="K87" s="20">
        <v>1.991173898765828E-2</v>
      </c>
      <c r="L87" s="20">
        <v>0</v>
      </c>
    </row>
    <row r="88" spans="1:12">
      <c r="A88" s="2" t="s">
        <v>301</v>
      </c>
      <c r="B88" s="3" t="s">
        <v>302</v>
      </c>
      <c r="D88" s="20">
        <v>3.2001523690436004E-7</v>
      </c>
      <c r="E88" s="20">
        <v>0.97328486963766003</v>
      </c>
      <c r="F88" s="20">
        <v>4.4956173768290385E-2</v>
      </c>
      <c r="G88" s="20">
        <v>0.92829261742803004</v>
      </c>
      <c r="H88" s="20">
        <v>0</v>
      </c>
      <c r="I88" s="20">
        <v>3.607844133959153E-5</v>
      </c>
      <c r="J88" s="20">
        <v>1.4890350324403589E-2</v>
      </c>
      <c r="K88" s="20">
        <v>1.1824460022699325E-2</v>
      </c>
      <c r="L88" s="20">
        <v>0</v>
      </c>
    </row>
    <row r="89" spans="1:12">
      <c r="A89" s="2" t="s">
        <v>303</v>
      </c>
      <c r="B89" s="3" t="s">
        <v>304</v>
      </c>
      <c r="D89" s="20">
        <v>1.0979356982396392E-13</v>
      </c>
      <c r="E89" s="20">
        <v>0.44758009842894603</v>
      </c>
      <c r="F89" s="20">
        <v>0.12399905744529775</v>
      </c>
      <c r="G89" s="20">
        <v>0.32249609468772455</v>
      </c>
      <c r="H89" s="20">
        <v>0</v>
      </c>
      <c r="I89" s="20">
        <v>1.0849462959237458E-3</v>
      </c>
      <c r="J89" s="20">
        <v>0.54668110433341077</v>
      </c>
      <c r="K89" s="20">
        <v>5.7387972375332044E-3</v>
      </c>
      <c r="L89" s="20">
        <v>0</v>
      </c>
    </row>
    <row r="90" spans="1:12">
      <c r="A90" s="2" t="s">
        <v>425</v>
      </c>
      <c r="B90" s="3" t="s">
        <v>426</v>
      </c>
      <c r="D90" s="20">
        <v>1.2641525827863927E-13</v>
      </c>
      <c r="E90" s="20">
        <v>0.98881346973957374</v>
      </c>
      <c r="F90" s="20">
        <v>9.2963018070078016E-4</v>
      </c>
      <c r="G90" s="20">
        <v>3.1212999235951267E-4</v>
      </c>
      <c r="H90" s="20">
        <v>0</v>
      </c>
      <c r="I90" s="20">
        <v>0.98757170956651341</v>
      </c>
      <c r="J90" s="20">
        <v>4.3594958851183587E-4</v>
      </c>
      <c r="K90" s="20">
        <v>1.0750580671787816E-2</v>
      </c>
      <c r="L90" s="20">
        <v>0</v>
      </c>
    </row>
    <row r="91" spans="1:12">
      <c r="A91" s="2" t="s">
        <v>427</v>
      </c>
      <c r="B91" s="3" t="s">
        <v>428</v>
      </c>
      <c r="D91" s="20">
        <v>7.3086751546340444E-5</v>
      </c>
      <c r="E91" s="20">
        <v>0.8972079209825351</v>
      </c>
      <c r="F91" s="20">
        <v>6.2698527841919136E-2</v>
      </c>
      <c r="G91" s="20">
        <v>1.7634083751768136E-2</v>
      </c>
      <c r="H91" s="20">
        <v>0</v>
      </c>
      <c r="I91" s="20">
        <v>0.81687530938884778</v>
      </c>
      <c r="J91" s="20">
        <v>6.1344912916189913E-4</v>
      </c>
      <c r="K91" s="20">
        <v>0.10210554313675663</v>
      </c>
      <c r="L91" s="20">
        <v>0</v>
      </c>
    </row>
    <row r="92" spans="1:12">
      <c r="A92" s="2" t="s">
        <v>429</v>
      </c>
      <c r="B92" s="3" t="s">
        <v>430</v>
      </c>
      <c r="D92" s="20">
        <v>4.7175071665534184E-4</v>
      </c>
      <c r="E92" s="20">
        <v>0.85225658306324692</v>
      </c>
      <c r="F92" s="20">
        <v>0.57800454433867865</v>
      </c>
      <c r="G92" s="20">
        <v>0.12196263768513745</v>
      </c>
      <c r="H92" s="20">
        <v>0</v>
      </c>
      <c r="I92" s="20">
        <v>0.15228940103943081</v>
      </c>
      <c r="J92" s="20">
        <v>1.8854516293003362E-3</v>
      </c>
      <c r="K92" s="20">
        <v>0.14538621459079756</v>
      </c>
      <c r="L92" s="20">
        <v>0</v>
      </c>
    </row>
    <row r="93" spans="1:12">
      <c r="A93" s="2" t="s">
        <v>431</v>
      </c>
      <c r="B93" s="3" t="s">
        <v>432</v>
      </c>
      <c r="D93" s="20">
        <v>9.3719400151529694E-18</v>
      </c>
      <c r="E93" s="20">
        <v>0.99949940316458352</v>
      </c>
      <c r="F93" s="20">
        <v>4.3602747169809849E-3</v>
      </c>
      <c r="G93" s="20">
        <v>3.4932991167896874E-6</v>
      </c>
      <c r="H93" s="20">
        <v>0</v>
      </c>
      <c r="I93" s="20">
        <v>0.9951356351484858</v>
      </c>
      <c r="J93" s="20">
        <v>4.360712141373854E-4</v>
      </c>
      <c r="K93" s="20">
        <v>6.4525621279175197E-5</v>
      </c>
      <c r="L93" s="20">
        <v>0</v>
      </c>
    </row>
    <row r="94" spans="1:12">
      <c r="A94" s="2" t="s">
        <v>433</v>
      </c>
      <c r="B94" s="3" t="s">
        <v>434</v>
      </c>
      <c r="D94" s="20">
        <v>1.9806784206105198E-18</v>
      </c>
      <c r="E94" s="20">
        <v>0.99955906642351322</v>
      </c>
      <c r="F94" s="20">
        <v>1.6968078104437307E-5</v>
      </c>
      <c r="G94" s="20">
        <v>2.3677088438725922E-8</v>
      </c>
      <c r="H94" s="20">
        <v>0</v>
      </c>
      <c r="I94" s="20">
        <v>0.99954207466832035</v>
      </c>
      <c r="J94" s="20">
        <v>4.3930118351211405E-4</v>
      </c>
      <c r="K94" s="20">
        <v>1.6323929747669783E-6</v>
      </c>
      <c r="L94" s="20">
        <v>0</v>
      </c>
    </row>
    <row r="95" spans="1:12">
      <c r="A95" s="2" t="s">
        <v>435</v>
      </c>
      <c r="B95" s="3" t="s">
        <v>436</v>
      </c>
      <c r="D95" s="20">
        <v>1.0960031724672083E-8</v>
      </c>
      <c r="E95" s="20">
        <v>0.9742810196968873</v>
      </c>
      <c r="F95" s="20">
        <v>3.8654644876946597E-3</v>
      </c>
      <c r="G95" s="20">
        <v>1.3407040891651606E-3</v>
      </c>
      <c r="H95" s="20">
        <v>0</v>
      </c>
      <c r="I95" s="20">
        <v>0.96907485112002745</v>
      </c>
      <c r="J95" s="20">
        <v>4.4756626929653238E-4</v>
      </c>
      <c r="K95" s="20">
        <v>2.5271403073784528E-2</v>
      </c>
      <c r="L95" s="20">
        <v>0</v>
      </c>
    </row>
    <row r="96" spans="1:12">
      <c r="A96" s="2" t="s">
        <v>437</v>
      </c>
      <c r="B96" s="163" t="s">
        <v>438</v>
      </c>
      <c r="D96" s="20">
        <v>3.9789345145868643E-8</v>
      </c>
      <c r="E96" s="20">
        <v>0.95463183834169885</v>
      </c>
      <c r="F96" s="20">
        <v>0.22583199748930186</v>
      </c>
      <c r="G96" s="20">
        <v>0.72825090208656529</v>
      </c>
      <c r="H96" s="20">
        <v>0</v>
      </c>
      <c r="I96" s="20">
        <v>5.4893876583164735E-4</v>
      </c>
      <c r="J96" s="20">
        <v>1.1438622474354732E-2</v>
      </c>
      <c r="K96" s="20">
        <v>3.3929499394601229E-2</v>
      </c>
      <c r="L96" s="20">
        <v>0</v>
      </c>
    </row>
    <row r="97" spans="1:12">
      <c r="A97" s="2" t="s">
        <v>439</v>
      </c>
      <c r="B97" s="3" t="s">
        <v>440</v>
      </c>
      <c r="D97" s="20">
        <v>3.6754821221794425E-5</v>
      </c>
      <c r="E97" s="20">
        <v>0.86437102406909638</v>
      </c>
      <c r="F97" s="20">
        <v>0.12143195834028096</v>
      </c>
      <c r="G97" s="20">
        <v>3.2197974666207323E-2</v>
      </c>
      <c r="H97" s="20">
        <v>0</v>
      </c>
      <c r="I97" s="20">
        <v>0.71074109106260808</v>
      </c>
      <c r="J97" s="20">
        <v>7.8133135304042178E-4</v>
      </c>
      <c r="K97" s="20">
        <v>0.13481088975664146</v>
      </c>
      <c r="L97" s="20">
        <v>0</v>
      </c>
    </row>
    <row r="98" spans="1:12">
      <c r="A98" s="2" t="s">
        <v>441</v>
      </c>
      <c r="B98" s="3" t="s">
        <v>442</v>
      </c>
      <c r="D98" s="20">
        <v>2.4274601978868442E-17</v>
      </c>
      <c r="E98" s="20">
        <v>0.89122733309161362</v>
      </c>
      <c r="F98" s="20">
        <v>7.1346192619299281E-2</v>
      </c>
      <c r="G98" s="20">
        <v>1.9845697046498845E-2</v>
      </c>
      <c r="H98" s="20">
        <v>0</v>
      </c>
      <c r="I98" s="20">
        <v>0.80003544342581545</v>
      </c>
      <c r="J98" s="20">
        <v>6.3853998413454537E-4</v>
      </c>
      <c r="K98" s="20">
        <v>0.10813412692425166</v>
      </c>
      <c r="L98" s="20">
        <v>0</v>
      </c>
    </row>
    <row r="99" spans="1:12">
      <c r="A99" s="2" t="s">
        <v>443</v>
      </c>
      <c r="B99" s="3" t="s">
        <v>444</v>
      </c>
      <c r="D99" s="20">
        <v>3.5041226787008608E-29</v>
      </c>
      <c r="E99" s="20">
        <v>0.94658303896717721</v>
      </c>
      <c r="F99" s="20">
        <v>1.5848858450540359E-2</v>
      </c>
      <c r="G99" s="20">
        <v>4.9784430335063018E-3</v>
      </c>
      <c r="H99" s="20">
        <v>0</v>
      </c>
      <c r="I99" s="20">
        <v>0.92575573748313056</v>
      </c>
      <c r="J99" s="20">
        <v>4.7622649173677332E-4</v>
      </c>
      <c r="K99" s="20">
        <v>5.2940734541085742E-2</v>
      </c>
      <c r="L99" s="20">
        <v>0</v>
      </c>
    </row>
    <row r="100" spans="1:12">
      <c r="A100" s="2" t="s">
        <v>445</v>
      </c>
      <c r="B100" s="3" t="s">
        <v>446</v>
      </c>
      <c r="D100" s="20">
        <v>4.1961279618371897E-8</v>
      </c>
      <c r="E100" s="20">
        <v>0.9415981308545871</v>
      </c>
      <c r="F100" s="20">
        <v>0.57038409645926025</v>
      </c>
      <c r="G100" s="20">
        <v>0.36758938642662681</v>
      </c>
      <c r="H100" s="20">
        <v>0</v>
      </c>
      <c r="I100" s="20">
        <v>3.6246479687000572E-3</v>
      </c>
      <c r="J100" s="20">
        <v>5.6716313759167169E-3</v>
      </c>
      <c r="K100" s="20">
        <v>5.273019580821664E-2</v>
      </c>
      <c r="L100" s="20">
        <v>0</v>
      </c>
    </row>
    <row r="101" spans="1:12">
      <c r="A101" s="2" t="s">
        <v>447</v>
      </c>
      <c r="B101" s="3" t="s">
        <v>448</v>
      </c>
      <c r="D101" s="20">
        <v>4.2111584746534685E-9</v>
      </c>
      <c r="E101" s="20">
        <v>0.83725420479701618</v>
      </c>
      <c r="F101" s="20">
        <v>0.50982399224195096</v>
      </c>
      <c r="G101" s="20">
        <v>0.11140785813797255</v>
      </c>
      <c r="H101" s="20">
        <v>0</v>
      </c>
      <c r="I101" s="20">
        <v>0.21602235441709264</v>
      </c>
      <c r="J101" s="20">
        <v>1.7508439540765306E-3</v>
      </c>
      <c r="K101" s="20">
        <v>0.16099494703774891</v>
      </c>
      <c r="L101" s="20">
        <v>0</v>
      </c>
    </row>
    <row r="102" spans="1:12">
      <c r="A102" s="2" t="s">
        <v>449</v>
      </c>
      <c r="B102" s="3" t="s">
        <v>450</v>
      </c>
      <c r="D102" s="20">
        <v>1.7207829892133822E-4</v>
      </c>
      <c r="E102" s="20">
        <v>0.90759497314880166</v>
      </c>
      <c r="F102" s="20">
        <v>0.72634807269322932</v>
      </c>
      <c r="G102" s="20">
        <v>0.13748025970809183</v>
      </c>
      <c r="H102" s="20">
        <v>0</v>
      </c>
      <c r="I102" s="20">
        <v>4.3766640747480497E-2</v>
      </c>
      <c r="J102" s="20">
        <v>2.0889611525205447E-3</v>
      </c>
      <c r="K102" s="20">
        <v>9.0143987399756445E-2</v>
      </c>
      <c r="L102" s="20">
        <v>0</v>
      </c>
    </row>
    <row r="103" spans="1:12">
      <c r="A103" s="2" t="s">
        <v>451</v>
      </c>
      <c r="B103" s="3" t="s">
        <v>452</v>
      </c>
      <c r="D103" s="20">
        <v>3.4218825093954745E-19</v>
      </c>
      <c r="E103" s="20">
        <v>0.99953546394828607</v>
      </c>
      <c r="F103" s="20">
        <v>0.10502702588453096</v>
      </c>
      <c r="G103" s="20">
        <v>1.0192395692457438E-5</v>
      </c>
      <c r="H103" s="20">
        <v>0</v>
      </c>
      <c r="I103" s="20">
        <v>0.89449824566806269</v>
      </c>
      <c r="J103" s="20">
        <v>4.1485706874404109E-4</v>
      </c>
      <c r="K103" s="20">
        <v>4.9678982969883991E-5</v>
      </c>
      <c r="L103" s="20">
        <v>0</v>
      </c>
    </row>
    <row r="104" spans="1:12">
      <c r="A104" s="2" t="s">
        <v>453</v>
      </c>
      <c r="B104" s="3" t="s">
        <v>454</v>
      </c>
      <c r="D104" s="20">
        <v>8.7823608406305658E-21</v>
      </c>
      <c r="E104" s="20">
        <v>0.99946992352254671</v>
      </c>
      <c r="F104" s="20">
        <v>0.98731443426407439</v>
      </c>
      <c r="G104" s="20">
        <v>1.045493017503753E-3</v>
      </c>
      <c r="H104" s="20">
        <v>0</v>
      </c>
      <c r="I104" s="20">
        <v>1.1109996240968553E-2</v>
      </c>
      <c r="J104" s="20">
        <v>2.3737995850394474E-4</v>
      </c>
      <c r="K104" s="20">
        <v>2.9269651894926421E-4</v>
      </c>
      <c r="L104" s="20">
        <v>0</v>
      </c>
    </row>
    <row r="105" spans="1:12">
      <c r="A105" s="2" t="s">
        <v>455</v>
      </c>
      <c r="B105" s="163">
        <v>354656</v>
      </c>
      <c r="D105" s="20">
        <v>2.9164376265112243E-10</v>
      </c>
      <c r="E105" s="20">
        <v>0.98664401802280011</v>
      </c>
      <c r="F105" s="20">
        <v>9.9970387840237341E-4</v>
      </c>
      <c r="G105" s="20">
        <v>3.8669355373481995E-4</v>
      </c>
      <c r="H105" s="20">
        <v>0</v>
      </c>
      <c r="I105" s="20">
        <v>0.98525762059066291</v>
      </c>
      <c r="J105" s="20">
        <v>4.3595671333099289E-4</v>
      </c>
      <c r="K105" s="20">
        <v>1.2920024972225124E-2</v>
      </c>
      <c r="L105" s="20">
        <v>0</v>
      </c>
    </row>
    <row r="106" spans="1:12">
      <c r="A106" s="2" t="s">
        <v>457</v>
      </c>
      <c r="B106" s="3" t="s">
        <v>458</v>
      </c>
      <c r="D106" s="20">
        <v>4.4007888283513877E-10</v>
      </c>
      <c r="E106" s="20">
        <v>0.97305834023273685</v>
      </c>
      <c r="F106" s="20">
        <v>4.1963793265045206E-3</v>
      </c>
      <c r="G106" s="20">
        <v>1.4489394484021674E-3</v>
      </c>
      <c r="H106" s="20">
        <v>0</v>
      </c>
      <c r="I106" s="20">
        <v>0.96741302145783015</v>
      </c>
      <c r="J106" s="20">
        <v>4.4771268740504241E-4</v>
      </c>
      <c r="K106" s="20">
        <v>2.6493946639779206E-2</v>
      </c>
      <c r="L106" s="20">
        <v>0</v>
      </c>
    </row>
    <row r="107" spans="1:12">
      <c r="A107" s="2" t="s">
        <v>459</v>
      </c>
      <c r="B107" s="3" t="s">
        <v>460</v>
      </c>
      <c r="D107" s="20">
        <v>3.8886020957875911E-20</v>
      </c>
      <c r="E107" s="20">
        <v>0.9332683108616936</v>
      </c>
      <c r="F107" s="20">
        <v>0.77489225207884094</v>
      </c>
      <c r="G107" s="20">
        <v>0.13562180225025744</v>
      </c>
      <c r="H107" s="20">
        <v>0</v>
      </c>
      <c r="I107" s="20">
        <v>2.2754256532595194E-2</v>
      </c>
      <c r="J107" s="20">
        <v>3.7193020760151133E-3</v>
      </c>
      <c r="K107" s="20">
        <v>6.3012387062291272E-2</v>
      </c>
      <c r="L107" s="20">
        <v>0</v>
      </c>
    </row>
    <row r="108" spans="1:12">
      <c r="A108" s="2" t="s">
        <v>461</v>
      </c>
      <c r="B108" s="3" t="s">
        <v>462</v>
      </c>
      <c r="D108" s="20">
        <v>8.5578936913064577E-10</v>
      </c>
      <c r="E108" s="20">
        <v>0.9995385100861941</v>
      </c>
      <c r="F108" s="20">
        <v>8.7893740498532776E-6</v>
      </c>
      <c r="G108" s="20">
        <v>2.5475313012850834E-7</v>
      </c>
      <c r="H108" s="20">
        <v>0</v>
      </c>
      <c r="I108" s="20">
        <v>0.99952946595901415</v>
      </c>
      <c r="J108" s="20">
        <v>4.380459089235983E-4</v>
      </c>
      <c r="K108" s="20">
        <v>2.3443149093000362E-5</v>
      </c>
      <c r="L108" s="20">
        <v>0</v>
      </c>
    </row>
    <row r="109" spans="1:12">
      <c r="A109" s="2" t="s">
        <v>463</v>
      </c>
      <c r="B109" s="3" t="s">
        <v>464</v>
      </c>
      <c r="D109" s="20">
        <v>2.1995583476128543E-12</v>
      </c>
      <c r="E109" s="20">
        <v>0.98749155503224606</v>
      </c>
      <c r="F109" s="20">
        <v>5.8059991111115303E-2</v>
      </c>
      <c r="G109" s="20">
        <v>2.8859117132892316E-3</v>
      </c>
      <c r="H109" s="20">
        <v>0</v>
      </c>
      <c r="I109" s="20">
        <v>0.92654565220784157</v>
      </c>
      <c r="J109" s="20">
        <v>4.7713226682283413E-3</v>
      </c>
      <c r="K109" s="20">
        <v>7.7371222973260803E-3</v>
      </c>
      <c r="L109" s="20">
        <v>0</v>
      </c>
    </row>
    <row r="110" spans="1:12">
      <c r="A110" s="2" t="s">
        <v>465</v>
      </c>
      <c r="B110" s="3" t="s">
        <v>466</v>
      </c>
      <c r="D110" s="20">
        <v>1.6305811567191179E-11</v>
      </c>
      <c r="E110" s="20">
        <v>0.99691584482844697</v>
      </c>
      <c r="F110" s="20">
        <v>2.255604719413382E-4</v>
      </c>
      <c r="G110" s="20">
        <v>4.3154840943451207E-5</v>
      </c>
      <c r="H110" s="20">
        <v>0</v>
      </c>
      <c r="I110" s="20">
        <v>0.99664712951556222</v>
      </c>
      <c r="J110" s="20">
        <v>4.3610661937710799E-4</v>
      </c>
      <c r="K110" s="20">
        <v>2.6480485358701209E-3</v>
      </c>
      <c r="L110" s="20">
        <v>0</v>
      </c>
    </row>
    <row r="111" spans="1:12">
      <c r="A111" s="2" t="s">
        <v>467</v>
      </c>
      <c r="B111" s="3" t="s">
        <v>468</v>
      </c>
      <c r="D111" s="20">
        <v>2.888010733135259E-30</v>
      </c>
      <c r="E111" s="20">
        <v>0.99956089876251641</v>
      </c>
      <c r="F111" s="20">
        <v>1.5972168667756949E-5</v>
      </c>
      <c r="G111" s="20">
        <v>1.3195803394519928E-8</v>
      </c>
      <c r="H111" s="20">
        <v>0</v>
      </c>
      <c r="I111" s="20">
        <v>0.9995449133980453</v>
      </c>
      <c r="J111" s="20">
        <v>4.367313252814508E-4</v>
      </c>
      <c r="K111" s="20">
        <v>2.3699122021636853E-6</v>
      </c>
      <c r="L111" s="20">
        <v>0</v>
      </c>
    </row>
    <row r="112" spans="1:12">
      <c r="A112" s="2" t="s">
        <v>469</v>
      </c>
      <c r="B112" s="3" t="s">
        <v>470</v>
      </c>
      <c r="D112" s="20">
        <v>1.8340835755860703E-13</v>
      </c>
      <c r="E112" s="20">
        <v>0.99613007708554036</v>
      </c>
      <c r="F112" s="20">
        <v>7.7882127401158549E-5</v>
      </c>
      <c r="G112" s="20">
        <v>3.6385920092244505E-5</v>
      </c>
      <c r="H112" s="20">
        <v>0</v>
      </c>
      <c r="I112" s="20">
        <v>0.99601580903804698</v>
      </c>
      <c r="J112" s="20">
        <v>4.3568971620647554E-4</v>
      </c>
      <c r="K112" s="20">
        <v>3.4342331980695352E-3</v>
      </c>
      <c r="L112" s="20">
        <v>0</v>
      </c>
    </row>
    <row r="113" spans="1:12">
      <c r="A113" s="2" t="s">
        <v>471</v>
      </c>
      <c r="B113" s="3" t="s">
        <v>472</v>
      </c>
      <c r="D113" s="20">
        <v>2.3071797004062807E-9</v>
      </c>
      <c r="E113" s="20">
        <v>0.97986939858047295</v>
      </c>
      <c r="F113" s="20">
        <v>2.2620390932076577E-3</v>
      </c>
      <c r="G113" s="20">
        <v>8.2337118012526175E-4</v>
      </c>
      <c r="H113" s="20">
        <v>0</v>
      </c>
      <c r="I113" s="20">
        <v>0.97678398830714008</v>
      </c>
      <c r="J113" s="20">
        <v>4.3849685322626018E-4</v>
      </c>
      <c r="K113" s="20">
        <v>1.96921022591213E-2</v>
      </c>
      <c r="L113" s="20">
        <v>0</v>
      </c>
    </row>
    <row r="114" spans="1:12">
      <c r="A114" s="2" t="s">
        <v>473</v>
      </c>
      <c r="B114" s="3" t="s">
        <v>474</v>
      </c>
      <c r="D114" s="20">
        <v>1.7962919472167966E-16</v>
      </c>
      <c r="E114" s="20">
        <v>0.99778729993011039</v>
      </c>
      <c r="F114" s="20">
        <v>2.2626883228856141E-5</v>
      </c>
      <c r="G114" s="20">
        <v>1.1399697818249659E-5</v>
      </c>
      <c r="H114" s="20">
        <v>0</v>
      </c>
      <c r="I114" s="20">
        <v>0.99775327334906327</v>
      </c>
      <c r="J114" s="20">
        <v>4.3609965173031101E-4</v>
      </c>
      <c r="K114" s="20">
        <v>1.776600418159181E-3</v>
      </c>
      <c r="L114" s="20">
        <v>0</v>
      </c>
    </row>
    <row r="115" spans="1:12">
      <c r="A115" s="2" t="s">
        <v>475</v>
      </c>
      <c r="B115" s="3" t="s">
        <v>476</v>
      </c>
      <c r="D115" s="20">
        <v>9.2673818782296749E-13</v>
      </c>
      <c r="E115" s="20">
        <v>0.99953983910186539</v>
      </c>
      <c r="F115" s="20">
        <v>2.7441651170179066E-2</v>
      </c>
      <c r="G115" s="20">
        <v>3.2869575294448994E-6</v>
      </c>
      <c r="H115" s="20">
        <v>0</v>
      </c>
      <c r="I115" s="20">
        <v>0.97209490097415685</v>
      </c>
      <c r="J115" s="20">
        <v>4.3161849555166523E-4</v>
      </c>
      <c r="K115" s="20">
        <v>2.854240165637388E-5</v>
      </c>
      <c r="L115" s="20">
        <v>0</v>
      </c>
    </row>
    <row r="116" spans="1:12">
      <c r="A116" s="2" t="s">
        <v>477</v>
      </c>
      <c r="B116" s="3" t="s">
        <v>478</v>
      </c>
      <c r="D116" s="20">
        <v>2.5343998882083166E-17</v>
      </c>
      <c r="E116" s="20">
        <v>0.94484874538816221</v>
      </c>
      <c r="F116" s="20">
        <v>0.79576687901328036</v>
      </c>
      <c r="G116" s="20">
        <v>1.9273890160732911E-2</v>
      </c>
      <c r="H116" s="20">
        <v>0</v>
      </c>
      <c r="I116" s="20">
        <v>0.12980797621414891</v>
      </c>
      <c r="J116" s="20">
        <v>4.7301324316148058E-2</v>
      </c>
      <c r="K116" s="20">
        <v>7.8499302956897138E-3</v>
      </c>
      <c r="L116" s="20">
        <v>0</v>
      </c>
    </row>
    <row r="117" spans="1:12">
      <c r="A117" s="2" t="s">
        <v>291</v>
      </c>
      <c r="B117" s="3" t="s">
        <v>479</v>
      </c>
      <c r="D117" s="20">
        <v>2.7936614094897924E-10</v>
      </c>
      <c r="E117" s="20">
        <v>0.83732618131926428</v>
      </c>
      <c r="F117" s="20">
        <v>0.20854148077917464</v>
      </c>
      <c r="G117" s="20">
        <v>5.232244237577445E-2</v>
      </c>
      <c r="H117" s="20">
        <v>0</v>
      </c>
      <c r="I117" s="20">
        <v>0.57646225816431518</v>
      </c>
      <c r="J117" s="20">
        <v>1.0205726210884413E-3</v>
      </c>
      <c r="K117" s="20">
        <v>0.1616532457802812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3.0993320444805556E-12</v>
      </c>
      <c r="E2" s="14">
        <v>1.4830821795071687E-4</v>
      </c>
      <c r="F2" s="14">
        <v>9.1261329402144299E-8</v>
      </c>
      <c r="G2" s="14">
        <v>3.662539744721086E-8</v>
      </c>
      <c r="H2" s="14">
        <v>0</v>
      </c>
      <c r="I2" s="14">
        <v>6.5316244019278562E-8</v>
      </c>
      <c r="J2" s="14">
        <v>1.4985759790824309E-6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2.8211041871750442E-12</v>
      </c>
      <c r="E3" s="14">
        <v>8.4794614415540569E-5</v>
      </c>
      <c r="F3" s="14">
        <v>3.368735693550904E-5</v>
      </c>
      <c r="G3" s="14">
        <v>8.1838023298748145E-6</v>
      </c>
      <c r="H3" s="14">
        <v>0</v>
      </c>
      <c r="I3" s="14">
        <v>2.5338661880588216E-7</v>
      </c>
      <c r="J3" s="14">
        <v>2.3080836879165494E-5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1.5864072011586269E-21</v>
      </c>
      <c r="E4" s="14">
        <v>1.498620891590671E-4</v>
      </c>
      <c r="F4" s="14">
        <v>6.3246042736908158E-8</v>
      </c>
      <c r="G4" s="14">
        <v>6.9651263473321069E-11</v>
      </c>
      <c r="H4" s="14">
        <v>0</v>
      </c>
      <c r="I4" s="14">
        <v>7.3288899590716853E-8</v>
      </c>
      <c r="J4" s="14">
        <v>1.3062473417569294E-9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2.6415075746240381E-14</v>
      </c>
      <c r="E5" s="14">
        <v>8.212542604855435E-5</v>
      </c>
      <c r="F5" s="14">
        <v>6.7807730653322157E-5</v>
      </c>
      <c r="G5" s="14">
        <v>5.3819353391844256E-9</v>
      </c>
      <c r="H5" s="14">
        <v>0</v>
      </c>
      <c r="I5" s="14">
        <v>4.9558926639218433E-8</v>
      </c>
      <c r="J5" s="14">
        <v>1.1902409729977048E-8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2.1677029986370862E-15</v>
      </c>
      <c r="E6" s="14">
        <v>4.8621792529547713E-5</v>
      </c>
      <c r="F6" s="14">
        <v>1.0126340818239799E-4</v>
      </c>
      <c r="G6" s="14">
        <v>2.9366018370197026E-8</v>
      </c>
      <c r="H6" s="14">
        <v>0</v>
      </c>
      <c r="I6" s="14">
        <v>4.0791489163366402E-8</v>
      </c>
      <c r="J6" s="14">
        <v>4.4641778352992271E-8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1.8942404674784527E-11</v>
      </c>
      <c r="E7" s="14">
        <v>1.6175346555598997E-5</v>
      </c>
      <c r="F7" s="14">
        <v>1.332831255220314E-4</v>
      </c>
      <c r="G7" s="14">
        <v>2.7131279299906104E-7</v>
      </c>
      <c r="H7" s="14">
        <v>0</v>
      </c>
      <c r="I7" s="14">
        <v>3.3948974475314709E-8</v>
      </c>
      <c r="J7" s="14">
        <v>2.3624721249051155E-7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1.3428141731115971E-21</v>
      </c>
      <c r="E8" s="14">
        <v>3.4470365454139031E-5</v>
      </c>
      <c r="F8" s="14">
        <v>1.1545359542352953E-4</v>
      </c>
      <c r="G8" s="14">
        <v>1.7556261750243335E-8</v>
      </c>
      <c r="H8" s="14">
        <v>0</v>
      </c>
      <c r="I8" s="14">
        <v>3.646736490753016E-8</v>
      </c>
      <c r="J8" s="14">
        <v>2.2015495673633724E-8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5.6296300354871628E-17</v>
      </c>
      <c r="E9" s="14">
        <v>9.2109275345485123E-5</v>
      </c>
      <c r="F9" s="14">
        <v>5.7762361461167001E-5</v>
      </c>
      <c r="G9" s="14">
        <v>2.1893585345706866E-8</v>
      </c>
      <c r="H9" s="14">
        <v>0</v>
      </c>
      <c r="I9" s="14">
        <v>5.2342688667384281E-8</v>
      </c>
      <c r="J9" s="14">
        <v>5.4126919278463064E-8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1.8098061414981853E-9</v>
      </c>
      <c r="E10" s="14">
        <v>1.6574833239304932E-6</v>
      </c>
      <c r="F10" s="14">
        <v>1.1966048036879681E-4</v>
      </c>
      <c r="G10" s="14">
        <v>2.0900000539718386E-5</v>
      </c>
      <c r="H10" s="14">
        <v>0</v>
      </c>
      <c r="I10" s="14">
        <v>3.1844118985365384E-7</v>
      </c>
      <c r="J10" s="14">
        <v>7.4617847715591173E-6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7.0419847010462008E-16</v>
      </c>
      <c r="E11" s="14">
        <v>9.3004628598894108E-8</v>
      </c>
      <c r="F11" s="14">
        <v>8.4856699743361089E-5</v>
      </c>
      <c r="G11" s="14">
        <v>6.1998403899070234E-5</v>
      </c>
      <c r="H11" s="14">
        <v>0</v>
      </c>
      <c r="I11" s="14">
        <v>1.9145867771581373E-6</v>
      </c>
      <c r="J11" s="14">
        <v>1.1373049511074323E-6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8.9116748671154804E-6</v>
      </c>
      <c r="E12" s="14">
        <v>1.4075023495646138E-4</v>
      </c>
      <c r="F12" s="14">
        <v>3.9563926961865934E-9</v>
      </c>
      <c r="G12" s="14">
        <v>1.961043857147236E-9</v>
      </c>
      <c r="H12" s="14">
        <v>0</v>
      </c>
      <c r="I12" s="14">
        <v>6.1537885744204469E-8</v>
      </c>
      <c r="J12" s="14">
        <v>2.7063485412555354E-7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2.4698509458107896E-12</v>
      </c>
      <c r="E13" s="14">
        <v>9.5057820958563129E-5</v>
      </c>
      <c r="F13" s="14">
        <v>2.5473547440408165E-5</v>
      </c>
      <c r="G13" s="14">
        <v>6.5340880769268118E-6</v>
      </c>
      <c r="H13" s="14">
        <v>0</v>
      </c>
      <c r="I13" s="14">
        <v>1.3734652874296341E-7</v>
      </c>
      <c r="J13" s="14">
        <v>2.2797194525507947E-5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1.0012126905193855E-11</v>
      </c>
      <c r="E14" s="14">
        <v>1.3213229574204997E-6</v>
      </c>
      <c r="F14" s="14">
        <v>1.4834419461549471E-4</v>
      </c>
      <c r="G14" s="14">
        <v>2.3240004370618925E-7</v>
      </c>
      <c r="H14" s="14">
        <v>0</v>
      </c>
      <c r="I14" s="14">
        <v>5.2580642261869557E-8</v>
      </c>
      <c r="J14" s="14">
        <v>4.9491728989793908E-8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1.0943031669354058E-5</v>
      </c>
      <c r="E15" s="14">
        <v>1.2592001480292702E-4</v>
      </c>
      <c r="F15" s="14">
        <v>3.2162984422998125E-6</v>
      </c>
      <c r="G15" s="14">
        <v>9.8096134843692224E-7</v>
      </c>
      <c r="H15" s="14">
        <v>0</v>
      </c>
      <c r="I15" s="14">
        <v>6.9189319717058565E-8</v>
      </c>
      <c r="J15" s="14">
        <v>8.8705044172650928E-6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9.4670894869964459E-8</v>
      </c>
      <c r="E16" s="14">
        <v>8.9341572509960782E-5</v>
      </c>
      <c r="F16" s="14">
        <v>2.9243891679421866E-5</v>
      </c>
      <c r="G16" s="14">
        <v>7.3914683559957389E-6</v>
      </c>
      <c r="H16" s="14">
        <v>0</v>
      </c>
      <c r="I16" s="14">
        <v>1.4755920204802539E-7</v>
      </c>
      <c r="J16" s="14">
        <v>2.3780837357703615E-5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2.8338611607749583E-7</v>
      </c>
      <c r="E17" s="14">
        <v>9.279309900148361E-5</v>
      </c>
      <c r="F17" s="14">
        <v>2.680385459877686E-5</v>
      </c>
      <c r="G17" s="14">
        <v>6.8374286710914375E-6</v>
      </c>
      <c r="H17" s="14">
        <v>0</v>
      </c>
      <c r="I17" s="14">
        <v>1.408529117605743E-7</v>
      </c>
      <c r="J17" s="14">
        <v>2.3141378700809993E-5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5.1965129909600829E-12</v>
      </c>
      <c r="E18" s="14">
        <v>1.0379803389052711E-7</v>
      </c>
      <c r="F18" s="14">
        <v>3.8488474817269143E-5</v>
      </c>
      <c r="G18" s="14">
        <v>1.0428605932771545E-4</v>
      </c>
      <c r="H18" s="14">
        <v>0</v>
      </c>
      <c r="I18" s="14">
        <v>1.6348178023681599E-6</v>
      </c>
      <c r="J18" s="14">
        <v>5.4868448222436913E-6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1.4404045148979444E-6</v>
      </c>
      <c r="E19" s="14">
        <v>1.4208936846165851E-4</v>
      </c>
      <c r="F19" s="14">
        <v>9.8878793431436783E-7</v>
      </c>
      <c r="G19" s="14">
        <v>3.3189347452072869E-7</v>
      </c>
      <c r="H19" s="14">
        <v>0</v>
      </c>
      <c r="I19" s="14">
        <v>6.6837918183503758E-8</v>
      </c>
      <c r="J19" s="14">
        <v>5.0827076964248722E-6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2.7369325517848159E-6</v>
      </c>
      <c r="E20" s="14">
        <v>1.3798796342151122E-4</v>
      </c>
      <c r="F20" s="14">
        <v>1.7942492741912377E-6</v>
      </c>
      <c r="G20" s="14">
        <v>5.75146305745489E-7</v>
      </c>
      <c r="H20" s="14">
        <v>0</v>
      </c>
      <c r="I20" s="14">
        <v>6.8563998639229531E-8</v>
      </c>
      <c r="J20" s="14">
        <v>6.8371444481279736E-6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2.2637775717566239E-7</v>
      </c>
      <c r="E21" s="14">
        <v>1.6576531244627914E-5</v>
      </c>
      <c r="F21" s="14">
        <v>1.2358769456665526E-4</v>
      </c>
      <c r="G21" s="14">
        <v>4.9876318895954382E-6</v>
      </c>
      <c r="H21" s="14">
        <v>0</v>
      </c>
      <c r="I21" s="14">
        <v>9.9137098018034411E-8</v>
      </c>
      <c r="J21" s="14">
        <v>4.522627443927669E-6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7.8947862884854164E-6</v>
      </c>
      <c r="E22" s="14">
        <v>1.3989348460999816E-4</v>
      </c>
      <c r="F22" s="14">
        <v>1.5687692301447843E-7</v>
      </c>
      <c r="G22" s="14">
        <v>6.0235791014719163E-8</v>
      </c>
      <c r="H22" s="14">
        <v>0</v>
      </c>
      <c r="I22" s="14">
        <v>6.1976055233626258E-8</v>
      </c>
      <c r="J22" s="14">
        <v>1.9326403322535645E-6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9.0409192673226211E-6</v>
      </c>
      <c r="E23" s="14">
        <v>1.2182311527340335E-4</v>
      </c>
      <c r="F23" s="14">
        <v>5.6706295339058609E-6</v>
      </c>
      <c r="G23" s="14">
        <v>1.6547288194822519E-6</v>
      </c>
      <c r="H23" s="14">
        <v>0</v>
      </c>
      <c r="I23" s="14">
        <v>7.7223985571644698E-8</v>
      </c>
      <c r="J23" s="14">
        <v>1.1733383120314246E-5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2.8407712238455892E-7</v>
      </c>
      <c r="E24" s="14">
        <v>7.0270552800242854E-5</v>
      </c>
      <c r="F24" s="14">
        <v>4.2978865202326308E-5</v>
      </c>
      <c r="G24" s="14">
        <v>1.0374101665402086E-5</v>
      </c>
      <c r="H24" s="14">
        <v>0</v>
      </c>
      <c r="I24" s="14">
        <v>1.8362576457412515E-7</v>
      </c>
      <c r="J24" s="14">
        <v>2.5908777445070035E-5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2.4017710333739714E-8</v>
      </c>
      <c r="E25" s="14">
        <v>1.4524082685679733E-7</v>
      </c>
      <c r="F25" s="14">
        <v>4.6084012634039242E-5</v>
      </c>
      <c r="G25" s="14">
        <v>9.6171378768348267E-5</v>
      </c>
      <c r="H25" s="14">
        <v>0</v>
      </c>
      <c r="I25" s="14">
        <v>1.5032032518620482E-6</v>
      </c>
      <c r="J25" s="14">
        <v>6.0721468085598704E-6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1.8968758135896579E-5</v>
      </c>
      <c r="E26" s="14">
        <v>2.4987108868148877E-5</v>
      </c>
      <c r="F26" s="14">
        <v>7.0251820556560622E-5</v>
      </c>
      <c r="G26" s="14">
        <v>1.5154902223058083E-5</v>
      </c>
      <c r="H26" s="14">
        <v>0</v>
      </c>
      <c r="I26" s="14">
        <v>2.364992998905984E-7</v>
      </c>
      <c r="J26" s="14">
        <v>2.0400910916445217E-5</v>
      </c>
      <c r="K26" s="14">
        <v>0</v>
      </c>
    </row>
    <row r="27" spans="1:13">
      <c r="A27" s="2" t="s">
        <v>397</v>
      </c>
      <c r="B27" s="3" t="s">
        <v>398</v>
      </c>
      <c r="D27" s="14">
        <v>8.5741318111627769E-5</v>
      </c>
      <c r="E27" s="14">
        <v>2.9425731351985149E-6</v>
      </c>
      <c r="F27" s="14">
        <v>4.6452473046231515E-5</v>
      </c>
      <c r="G27" s="14">
        <v>8.8247903235715341E-6</v>
      </c>
      <c r="H27" s="14">
        <v>0</v>
      </c>
      <c r="I27" s="14">
        <v>1.341048834539529E-7</v>
      </c>
      <c r="J27" s="14">
        <v>5.904740499916687E-6</v>
      </c>
      <c r="K27" s="14">
        <v>0</v>
      </c>
    </row>
    <row r="28" spans="1:13">
      <c r="A28" s="2" t="s">
        <v>399</v>
      </c>
      <c r="B28" s="3" t="s">
        <v>400</v>
      </c>
      <c r="D28" s="14">
        <v>1.13047054258262E-4</v>
      </c>
      <c r="E28" s="14">
        <v>5.5227624087616892E-6</v>
      </c>
      <c r="F28" s="14">
        <v>2.1492054562136469E-5</v>
      </c>
      <c r="G28" s="14">
        <v>4.5266142869766717E-6</v>
      </c>
      <c r="H28" s="14">
        <v>0</v>
      </c>
      <c r="I28" s="14">
        <v>6.9932351057348098E-8</v>
      </c>
      <c r="J28" s="14">
        <v>5.3415821328058068E-6</v>
      </c>
      <c r="K28" s="14">
        <v>0</v>
      </c>
    </row>
    <row r="29" spans="1:13">
      <c r="A29" s="2" t="s">
        <v>297</v>
      </c>
      <c r="B29" s="3" t="s">
        <v>298</v>
      </c>
      <c r="D29" s="14">
        <v>1.3785532173153582E-4</v>
      </c>
      <c r="E29" s="14">
        <v>1.1256429253167733E-5</v>
      </c>
      <c r="F29" s="14">
        <v>1.8794995257890157E-7</v>
      </c>
      <c r="G29" s="14">
        <v>5.914768834194787E-8</v>
      </c>
      <c r="H29" s="14">
        <v>0</v>
      </c>
      <c r="I29" s="14">
        <v>5.7704142670614019E-9</v>
      </c>
      <c r="J29" s="14">
        <v>6.3538096010850095E-7</v>
      </c>
      <c r="K29" s="14">
        <v>0</v>
      </c>
    </row>
    <row r="30" spans="1:13">
      <c r="A30" s="2" t="s">
        <v>401</v>
      </c>
      <c r="B30" s="3" t="s">
        <v>402</v>
      </c>
      <c r="D30" s="14">
        <v>1.3549553672581436E-4</v>
      </c>
      <c r="E30" s="14">
        <v>2.2961597489437093E-6</v>
      </c>
      <c r="F30" s="14">
        <v>8.2897927668946329E-6</v>
      </c>
      <c r="G30" s="14">
        <v>1.7556552087254288E-6</v>
      </c>
      <c r="H30" s="14">
        <v>0</v>
      </c>
      <c r="I30" s="14">
        <v>2.7178158903416934E-8</v>
      </c>
      <c r="J30" s="14">
        <v>2.1356773907184195E-6</v>
      </c>
      <c r="K30" s="14">
        <v>0</v>
      </c>
    </row>
    <row r="31" spans="1:13">
      <c r="A31" s="2" t="s">
        <v>299</v>
      </c>
      <c r="B31" s="3" t="s">
        <v>300</v>
      </c>
      <c r="D31" s="14">
        <v>1.4969358359974056E-4</v>
      </c>
      <c r="E31" s="14">
        <v>8.6349593082870469E-8</v>
      </c>
      <c r="F31" s="14">
        <v>1.3659093240656586E-7</v>
      </c>
      <c r="G31" s="14">
        <v>3.0740959943092916E-8</v>
      </c>
      <c r="H31" s="14">
        <v>0</v>
      </c>
      <c r="I31" s="14">
        <v>4.9363044848579824E-10</v>
      </c>
      <c r="J31" s="14">
        <v>5.2241284378405314E-8</v>
      </c>
      <c r="K31" s="14">
        <v>0</v>
      </c>
    </row>
    <row r="32" spans="1:13">
      <c r="A32" s="2" t="s">
        <v>343</v>
      </c>
      <c r="B32" s="3" t="s">
        <v>344</v>
      </c>
      <c r="D32" s="14">
        <v>2.741033483174677E-7</v>
      </c>
      <c r="E32" s="14">
        <v>1.008721902218645E-4</v>
      </c>
      <c r="F32" s="14">
        <v>2.1584054306009839E-5</v>
      </c>
      <c r="G32" s="14">
        <v>5.6289654160631088E-6</v>
      </c>
      <c r="H32" s="14">
        <v>0</v>
      </c>
      <c r="I32" s="14">
        <v>1.2649663852225583E-7</v>
      </c>
      <c r="J32" s="14">
        <v>2.1514190069222837E-5</v>
      </c>
      <c r="K32" s="14">
        <v>0</v>
      </c>
    </row>
    <row r="33" spans="1:11">
      <c r="A33" s="2" t="s">
        <v>345</v>
      </c>
      <c r="B33" s="3" t="s">
        <v>346</v>
      </c>
      <c r="D33" s="14">
        <v>1.1146104728437212E-8</v>
      </c>
      <c r="E33" s="14">
        <v>1.2170830925568319E-4</v>
      </c>
      <c r="F33" s="14">
        <v>9.8206855080947527E-6</v>
      </c>
      <c r="G33" s="14">
        <v>2.7519298501722242E-6</v>
      </c>
      <c r="H33" s="14">
        <v>0</v>
      </c>
      <c r="I33" s="14">
        <v>9.3224424680149554E-8</v>
      </c>
      <c r="J33" s="14">
        <v>1.56147048566412E-5</v>
      </c>
      <c r="K33" s="14">
        <v>0</v>
      </c>
    </row>
    <row r="34" spans="1:11">
      <c r="A34" s="2" t="s">
        <v>347</v>
      </c>
      <c r="B34" s="3" t="s">
        <v>348</v>
      </c>
      <c r="D34" s="14">
        <v>1.0301857258616856E-8</v>
      </c>
      <c r="E34" s="14">
        <v>3.1838502881763699E-5</v>
      </c>
      <c r="F34" s="14">
        <v>7.7043182152592286E-5</v>
      </c>
      <c r="G34" s="14">
        <v>1.6804661458731142E-5</v>
      </c>
      <c r="H34" s="14">
        <v>0</v>
      </c>
      <c r="I34" s="14">
        <v>2.6380969341896894E-7</v>
      </c>
      <c r="J34" s="14">
        <v>2.4039541956235302E-5</v>
      </c>
      <c r="K34" s="14">
        <v>0</v>
      </c>
    </row>
    <row r="35" spans="1:11">
      <c r="A35" s="2" t="s">
        <v>349</v>
      </c>
      <c r="B35" s="3" t="s">
        <v>350</v>
      </c>
      <c r="D35" s="14">
        <v>1.6943640936511878E-6</v>
      </c>
      <c r="E35" s="14">
        <v>3.4099173248934672E-6</v>
      </c>
      <c r="F35" s="14">
        <v>1.1397915259006335E-4</v>
      </c>
      <c r="G35" s="14">
        <v>2.0489010222885658E-5</v>
      </c>
      <c r="H35" s="14">
        <v>0</v>
      </c>
      <c r="I35" s="14">
        <v>3.1135593183566048E-7</v>
      </c>
      <c r="J35" s="14">
        <v>1.011619983667066E-5</v>
      </c>
      <c r="K35" s="14">
        <v>0</v>
      </c>
    </row>
    <row r="36" spans="1:11">
      <c r="A36" s="2" t="s">
        <v>351</v>
      </c>
      <c r="B36" s="3" t="s">
        <v>352</v>
      </c>
      <c r="D36" s="14">
        <v>4.5143436504362237E-8</v>
      </c>
      <c r="E36" s="14">
        <v>7.4540401258345624E-7</v>
      </c>
      <c r="F36" s="14">
        <v>9.6119897852016265E-5</v>
      </c>
      <c r="G36" s="14">
        <v>4.4371984843600205E-5</v>
      </c>
      <c r="H36" s="14">
        <v>0</v>
      </c>
      <c r="I36" s="14">
        <v>6.8221100402033727E-7</v>
      </c>
      <c r="J36" s="14">
        <v>8.0353588512753383E-6</v>
      </c>
      <c r="K36" s="14">
        <v>0</v>
      </c>
    </row>
    <row r="37" spans="1:11">
      <c r="A37" s="2" t="s">
        <v>353</v>
      </c>
      <c r="B37" s="3" t="s">
        <v>354</v>
      </c>
      <c r="D37" s="14">
        <v>3.0597135126449897E-7</v>
      </c>
      <c r="E37" s="14">
        <v>1.1388273129989706E-7</v>
      </c>
      <c r="F37" s="14">
        <v>4.0438910726607126E-5</v>
      </c>
      <c r="G37" s="14">
        <v>1.0190488522438409E-4</v>
      </c>
      <c r="H37" s="14">
        <v>0</v>
      </c>
      <c r="I37" s="14">
        <v>1.5961899575813913E-6</v>
      </c>
      <c r="J37" s="14">
        <v>5.6401600088629652E-6</v>
      </c>
      <c r="K37" s="14">
        <v>0</v>
      </c>
    </row>
    <row r="38" spans="1:11">
      <c r="A38" s="2" t="s">
        <v>355</v>
      </c>
      <c r="B38" s="3" t="s">
        <v>356</v>
      </c>
      <c r="D38" s="14">
        <v>1.6920226851070933E-8</v>
      </c>
      <c r="E38" s="14">
        <v>4.1085000004567329E-7</v>
      </c>
      <c r="F38" s="14">
        <v>7.6212264437905677E-5</v>
      </c>
      <c r="G38" s="14">
        <v>6.4702404595304449E-5</v>
      </c>
      <c r="H38" s="14">
        <v>0</v>
      </c>
      <c r="I38" s="14">
        <v>1.0012977694204488E-6</v>
      </c>
      <c r="J38" s="14">
        <v>7.6562629704726503E-6</v>
      </c>
      <c r="K38" s="14">
        <v>0</v>
      </c>
    </row>
    <row r="39" spans="1:11">
      <c r="A39" s="2" t="s">
        <v>357</v>
      </c>
      <c r="B39" s="3" t="s">
        <v>358</v>
      </c>
      <c r="D39" s="14">
        <v>3.4289878766942542E-6</v>
      </c>
      <c r="E39" s="14">
        <v>6.1978785191343647E-7</v>
      </c>
      <c r="F39" s="14">
        <v>8.8671618166991857E-5</v>
      </c>
      <c r="G39" s="14">
        <v>4.8716961054100782E-5</v>
      </c>
      <c r="H39" s="14">
        <v>0</v>
      </c>
      <c r="I39" s="14">
        <v>7.5038646332102958E-7</v>
      </c>
      <c r="J39" s="14">
        <v>7.8122585869785925E-6</v>
      </c>
      <c r="K39" s="14">
        <v>0</v>
      </c>
    </row>
    <row r="40" spans="1:11">
      <c r="A40" s="2" t="s">
        <v>359</v>
      </c>
      <c r="B40" s="3" t="s">
        <v>360</v>
      </c>
      <c r="D40" s="14">
        <v>1.6920226851070933E-8</v>
      </c>
      <c r="E40" s="14">
        <v>4.1085000004567329E-7</v>
      </c>
      <c r="F40" s="14">
        <v>7.6212264437905677E-5</v>
      </c>
      <c r="G40" s="14">
        <v>6.4702404595304449E-5</v>
      </c>
      <c r="H40" s="14">
        <v>0</v>
      </c>
      <c r="I40" s="14">
        <v>1.0012977694204488E-6</v>
      </c>
      <c r="J40" s="14">
        <v>7.6562629704726503E-6</v>
      </c>
      <c r="K40" s="14">
        <v>0</v>
      </c>
    </row>
    <row r="41" spans="1:11">
      <c r="A41" s="2" t="s">
        <v>313</v>
      </c>
      <c r="B41" s="3" t="s">
        <v>314</v>
      </c>
      <c r="D41" s="14">
        <v>6.5455306963672888E-12</v>
      </c>
      <c r="E41" s="14">
        <v>1.4309339316850522E-4</v>
      </c>
      <c r="F41" s="14">
        <v>6.8293780839786089E-6</v>
      </c>
      <c r="G41" s="14">
        <v>1.6251808878671226E-9</v>
      </c>
      <c r="H41" s="14">
        <v>0</v>
      </c>
      <c r="I41" s="14">
        <v>6.4189320164090322E-8</v>
      </c>
      <c r="J41" s="14">
        <v>1.1407700933457644E-8</v>
      </c>
      <c r="K41" s="14">
        <v>0</v>
      </c>
    </row>
    <row r="42" spans="1:11">
      <c r="A42" s="2" t="s">
        <v>315</v>
      </c>
      <c r="B42" s="3" t="s">
        <v>316</v>
      </c>
      <c r="D42" s="14">
        <v>4.4099467099020225E-7</v>
      </c>
      <c r="E42" s="14">
        <v>1.0349287494384102E-7</v>
      </c>
      <c r="F42" s="14">
        <v>3.837532139812848E-5</v>
      </c>
      <c r="G42" s="14">
        <v>1.0397946562043914E-4</v>
      </c>
      <c r="H42" s="14">
        <v>0</v>
      </c>
      <c r="I42" s="14">
        <v>1.6300115525781064E-6</v>
      </c>
      <c r="J42" s="14">
        <v>5.4707138829201998E-6</v>
      </c>
      <c r="K42" s="14">
        <v>0</v>
      </c>
    </row>
    <row r="43" spans="1:11">
      <c r="A43" s="2" t="s">
        <v>317</v>
      </c>
      <c r="B43" s="3" t="s">
        <v>318</v>
      </c>
      <c r="D43" s="14">
        <v>6.3799577979416951E-16</v>
      </c>
      <c r="E43" s="14">
        <v>6.5734734920752351E-5</v>
      </c>
      <c r="F43" s="14">
        <v>4.6712863490552569E-5</v>
      </c>
      <c r="G43" s="14">
        <v>1.1151468081427651E-5</v>
      </c>
      <c r="H43" s="14">
        <v>0</v>
      </c>
      <c r="I43" s="14">
        <v>1.9326020057451601E-7</v>
      </c>
      <c r="J43" s="14">
        <v>2.6207673306054894E-5</v>
      </c>
      <c r="K43" s="14">
        <v>0</v>
      </c>
    </row>
    <row r="44" spans="1:11">
      <c r="A44" s="2" t="s">
        <v>307</v>
      </c>
      <c r="B44" s="3" t="s">
        <v>308</v>
      </c>
      <c r="D44" s="14">
        <v>1.5035669633310223E-8</v>
      </c>
      <c r="E44" s="14">
        <v>1.1138837922848185E-6</v>
      </c>
      <c r="F44" s="14">
        <v>1.088783320350956E-4</v>
      </c>
      <c r="G44" s="14">
        <v>3.1596357164039833E-5</v>
      </c>
      <c r="H44" s="14">
        <v>0</v>
      </c>
      <c r="I44" s="14">
        <v>4.8353219143306973E-7</v>
      </c>
      <c r="J44" s="14">
        <v>7.912859147513342E-6</v>
      </c>
      <c r="K44" s="14">
        <v>0</v>
      </c>
    </row>
    <row r="45" spans="1:11">
      <c r="A45" s="2" t="s">
        <v>319</v>
      </c>
      <c r="B45" s="3" t="s">
        <v>320</v>
      </c>
      <c r="D45" s="14">
        <v>1.4292206382881912E-9</v>
      </c>
      <c r="E45" s="14">
        <v>4.6037993671053739E-8</v>
      </c>
      <c r="F45" s="14">
        <v>2.4345458788453129E-5</v>
      </c>
      <c r="G45" s="14">
        <v>1.1956760180279322E-4</v>
      </c>
      <c r="H45" s="14">
        <v>0</v>
      </c>
      <c r="I45" s="14">
        <v>1.886969343371328E-6</v>
      </c>
      <c r="J45" s="14">
        <v>4.1525028510729726E-6</v>
      </c>
      <c r="K45" s="14">
        <v>0</v>
      </c>
    </row>
    <row r="46" spans="1:11">
      <c r="A46" s="2" t="s">
        <v>321</v>
      </c>
      <c r="B46" s="3" t="s">
        <v>322</v>
      </c>
      <c r="D46" s="14">
        <v>2.11879682279533E-9</v>
      </c>
      <c r="E46" s="14">
        <v>9.2513779351104814E-8</v>
      </c>
      <c r="F46" s="14">
        <v>3.613333082556503E-5</v>
      </c>
      <c r="G46" s="14">
        <v>1.0680794338994327E-4</v>
      </c>
      <c r="H46" s="14">
        <v>0</v>
      </c>
      <c r="I46" s="14">
        <v>1.675989382409922E-6</v>
      </c>
      <c r="J46" s="14">
        <v>5.2881038259078635E-6</v>
      </c>
      <c r="K46" s="14">
        <v>0</v>
      </c>
    </row>
    <row r="47" spans="1:11">
      <c r="A47" s="2" t="s">
        <v>323</v>
      </c>
      <c r="B47" s="3" t="s">
        <v>324</v>
      </c>
      <c r="D47" s="14">
        <v>2.0138365498203027E-8</v>
      </c>
      <c r="E47" s="14">
        <v>2.0738690424312908E-7</v>
      </c>
      <c r="F47" s="14">
        <v>5.5340477624944771E-5</v>
      </c>
      <c r="G47" s="14">
        <v>8.6404917216297944E-5</v>
      </c>
      <c r="H47" s="14">
        <v>0</v>
      </c>
      <c r="I47" s="14">
        <v>1.3461813057501626E-6</v>
      </c>
      <c r="J47" s="14">
        <v>6.6808985832657781E-6</v>
      </c>
      <c r="K47" s="14">
        <v>0</v>
      </c>
    </row>
    <row r="48" spans="1:11">
      <c r="A48" s="2" t="s">
        <v>325</v>
      </c>
      <c r="B48" s="3" t="s">
        <v>326</v>
      </c>
      <c r="D48" s="14">
        <v>1.3594050223299436E-8</v>
      </c>
      <c r="E48" s="14">
        <v>1.0232128370359423E-5</v>
      </c>
      <c r="F48" s="14">
        <v>1.029834778813175E-4</v>
      </c>
      <c r="G48" s="14">
        <v>2.0223816207259985E-5</v>
      </c>
      <c r="H48" s="14">
        <v>0</v>
      </c>
      <c r="I48" s="14">
        <v>3.0797419165852966E-7</v>
      </c>
      <c r="J48" s="14">
        <v>1.6239009299181249E-5</v>
      </c>
      <c r="K48" s="14">
        <v>0</v>
      </c>
    </row>
    <row r="49" spans="1:11">
      <c r="A49" s="2" t="s">
        <v>275</v>
      </c>
      <c r="B49" s="3" t="s">
        <v>276</v>
      </c>
      <c r="D49" s="14">
        <v>1.9326845235580916E-10</v>
      </c>
      <c r="E49" s="14">
        <v>1.0363777461687449E-6</v>
      </c>
      <c r="F49" s="14">
        <v>1.0670374280428032E-4</v>
      </c>
      <c r="G49" s="14">
        <v>3.3781210563619099E-5</v>
      </c>
      <c r="H49" s="14">
        <v>0</v>
      </c>
      <c r="I49" s="14">
        <v>5.1740219382881668E-7</v>
      </c>
      <c r="J49" s="14">
        <v>7.9610734236506455E-6</v>
      </c>
      <c r="K49" s="14">
        <v>0</v>
      </c>
    </row>
    <row r="50" spans="1:11">
      <c r="A50" s="2" t="s">
        <v>327</v>
      </c>
      <c r="B50" s="3" t="s">
        <v>328</v>
      </c>
      <c r="D50" s="14">
        <v>1.0072638022491473E-8</v>
      </c>
      <c r="E50" s="14">
        <v>9.1601025786066831E-7</v>
      </c>
      <c r="F50" s="14">
        <v>1.0283996293165765E-4</v>
      </c>
      <c r="G50" s="14">
        <v>3.7640680537574256E-5</v>
      </c>
      <c r="H50" s="14">
        <v>0</v>
      </c>
      <c r="I50" s="14">
        <v>5.7734416065380351E-7</v>
      </c>
      <c r="J50" s="14">
        <v>8.0159294742310856E-6</v>
      </c>
      <c r="K50" s="14">
        <v>0</v>
      </c>
    </row>
    <row r="51" spans="1:11">
      <c r="A51" s="2" t="s">
        <v>329</v>
      </c>
      <c r="B51" s="3" t="s">
        <v>330</v>
      </c>
      <c r="D51" s="14">
        <v>6.9521699770837854E-9</v>
      </c>
      <c r="E51" s="14">
        <v>6.4191495215321481E-6</v>
      </c>
      <c r="F51" s="14">
        <v>1.0922927879753101E-4</v>
      </c>
      <c r="G51" s="14">
        <v>2.0636432512624901E-5</v>
      </c>
      <c r="H51" s="14">
        <v>0</v>
      </c>
      <c r="I51" s="14">
        <v>3.1354710786151254E-7</v>
      </c>
      <c r="J51" s="14">
        <v>1.3394639890473314E-5</v>
      </c>
      <c r="K51" s="14">
        <v>0</v>
      </c>
    </row>
    <row r="52" spans="1:11">
      <c r="A52" s="2" t="s">
        <v>277</v>
      </c>
      <c r="B52" s="3" t="s">
        <v>278</v>
      </c>
      <c r="D52" s="14">
        <v>2.1111198023982057E-8</v>
      </c>
      <c r="E52" s="14">
        <v>9.7951251547950768E-6</v>
      </c>
      <c r="F52" s="14">
        <v>1.0364099262033059E-4</v>
      </c>
      <c r="G52" s="14">
        <v>2.0278093404229451E-5</v>
      </c>
      <c r="H52" s="14">
        <v>0</v>
      </c>
      <c r="I52" s="14">
        <v>3.0869554277222277E-7</v>
      </c>
      <c r="J52" s="14">
        <v>1.5955982079848646E-5</v>
      </c>
      <c r="K52" s="14">
        <v>0</v>
      </c>
    </row>
    <row r="53" spans="1:11">
      <c r="A53" s="2" t="s">
        <v>331</v>
      </c>
      <c r="B53" s="3" t="s">
        <v>332</v>
      </c>
      <c r="D53" s="14">
        <v>6.7198982215171893E-9</v>
      </c>
      <c r="E53" s="14">
        <v>6.0849891101047658E-7</v>
      </c>
      <c r="F53" s="14">
        <v>8.9347289022034885E-5</v>
      </c>
      <c r="G53" s="14">
        <v>5.1271607630704695E-5</v>
      </c>
      <c r="H53" s="14">
        <v>0</v>
      </c>
      <c r="I53" s="14">
        <v>7.9010105490844906E-7</v>
      </c>
      <c r="J53" s="14">
        <v>7.9757834831199503E-6</v>
      </c>
      <c r="K53" s="14">
        <v>0</v>
      </c>
    </row>
    <row r="54" spans="1:11">
      <c r="A54" s="2" t="s">
        <v>333</v>
      </c>
      <c r="B54" s="3" t="s">
        <v>334</v>
      </c>
      <c r="D54" s="14">
        <v>1.0961690266559041E-11</v>
      </c>
      <c r="E54" s="14">
        <v>9.7484290787168126E-7</v>
      </c>
      <c r="F54" s="14">
        <v>1.0480842888432678E-4</v>
      </c>
      <c r="G54" s="14">
        <v>3.5677282413894453E-5</v>
      </c>
      <c r="H54" s="14">
        <v>0</v>
      </c>
      <c r="I54" s="14">
        <v>5.468328406237069E-7</v>
      </c>
      <c r="J54" s="14">
        <v>7.9926019915930802E-6</v>
      </c>
      <c r="K54" s="14">
        <v>0</v>
      </c>
    </row>
    <row r="55" spans="1:11">
      <c r="A55" s="2" t="s">
        <v>335</v>
      </c>
      <c r="B55" s="3" t="s">
        <v>336</v>
      </c>
      <c r="D55" s="14">
        <v>5.2338420759549224E-8</v>
      </c>
      <c r="E55" s="14">
        <v>2.1463360706466344E-7</v>
      </c>
      <c r="F55" s="14">
        <v>5.6291043379231143E-5</v>
      </c>
      <c r="G55" s="14">
        <v>8.5375813318824318E-5</v>
      </c>
      <c r="H55" s="14">
        <v>0</v>
      </c>
      <c r="I55" s="14">
        <v>1.3297184199094611E-6</v>
      </c>
      <c r="J55" s="14">
        <v>6.7364528542108291E-6</v>
      </c>
      <c r="K55" s="14">
        <v>0</v>
      </c>
    </row>
    <row r="56" spans="1:11">
      <c r="A56" s="2" t="s">
        <v>337</v>
      </c>
      <c r="B56" s="3" t="s">
        <v>338</v>
      </c>
      <c r="D56" s="14">
        <v>3.8626360666151321E-9</v>
      </c>
      <c r="E56" s="14">
        <v>1.0876293065920908E-6</v>
      </c>
      <c r="F56" s="14">
        <v>1.0816891553326746E-4</v>
      </c>
      <c r="G56" s="14">
        <v>3.2314543937408369E-5</v>
      </c>
      <c r="H56" s="14">
        <v>0</v>
      </c>
      <c r="I56" s="14">
        <v>4.9466029960247112E-7</v>
      </c>
      <c r="J56" s="14">
        <v>7.9303882870629573E-6</v>
      </c>
      <c r="K56" s="14">
        <v>0</v>
      </c>
    </row>
    <row r="57" spans="1:11">
      <c r="A57" s="2" t="s">
        <v>279</v>
      </c>
      <c r="B57" s="3" t="s">
        <v>280</v>
      </c>
      <c r="D57" s="14">
        <v>4.1284139170133672E-7</v>
      </c>
      <c r="E57" s="14">
        <v>1.2386264316439427E-5</v>
      </c>
      <c r="F57" s="14">
        <v>9.9540981278130271E-5</v>
      </c>
      <c r="G57" s="14">
        <v>1.9874557731838117E-5</v>
      </c>
      <c r="H57" s="14">
        <v>0</v>
      </c>
      <c r="I57" s="14">
        <v>3.0324345986829999E-7</v>
      </c>
      <c r="J57" s="14">
        <v>1.7482111822022527E-5</v>
      </c>
      <c r="K57" s="14">
        <v>0</v>
      </c>
    </row>
    <row r="58" spans="1:11">
      <c r="A58" s="2" t="s">
        <v>339</v>
      </c>
      <c r="B58" s="3" t="s">
        <v>340</v>
      </c>
      <c r="D58" s="14">
        <v>3.8421167687483588E-11</v>
      </c>
      <c r="E58" s="14">
        <v>9.6287003110261036E-7</v>
      </c>
      <c r="F58" s="14">
        <v>1.0442133566566464E-4</v>
      </c>
      <c r="G58" s="14">
        <v>3.6064905569536031E-5</v>
      </c>
      <c r="H58" s="14">
        <v>0</v>
      </c>
      <c r="I58" s="14">
        <v>5.5285362146685474E-7</v>
      </c>
      <c r="J58" s="14">
        <v>7.9979966910621327E-6</v>
      </c>
      <c r="K58" s="14">
        <v>0</v>
      </c>
    </row>
    <row r="59" spans="1:11">
      <c r="A59" s="2" t="s">
        <v>281</v>
      </c>
      <c r="B59" s="3" t="s">
        <v>282</v>
      </c>
      <c r="D59" s="14">
        <v>3.1956908146601952E-9</v>
      </c>
      <c r="E59" s="14">
        <v>9.7962952170400304E-6</v>
      </c>
      <c r="F59" s="14">
        <v>1.0365337290241766E-4</v>
      </c>
      <c r="G59" s="14">
        <v>2.0280515694002877E-5</v>
      </c>
      <c r="H59" s="14">
        <v>0</v>
      </c>
      <c r="I59" s="14">
        <v>3.0873241754350702E-7</v>
      </c>
      <c r="J59" s="14">
        <v>1.5957888078181262E-5</v>
      </c>
      <c r="K59" s="14">
        <v>0</v>
      </c>
    </row>
    <row r="60" spans="1:11">
      <c r="A60" s="2" t="s">
        <v>341</v>
      </c>
      <c r="B60" s="3" t="s">
        <v>342</v>
      </c>
      <c r="D60" s="14">
        <v>5.6254583708776867E-8</v>
      </c>
      <c r="E60" s="14">
        <v>6.8801043498639048E-7</v>
      </c>
      <c r="F60" s="14">
        <v>9.3449417690774254E-5</v>
      </c>
      <c r="G60" s="14">
        <v>4.706219238849697E-5</v>
      </c>
      <c r="H60" s="14">
        <v>0</v>
      </c>
      <c r="I60" s="14">
        <v>7.2423187303804669E-7</v>
      </c>
      <c r="J60" s="14">
        <v>8.0198930289955405E-6</v>
      </c>
      <c r="K60" s="14">
        <v>0</v>
      </c>
    </row>
    <row r="61" spans="1:11">
      <c r="A61" s="2" t="s">
        <v>483</v>
      </c>
      <c r="B61" s="3" t="s">
        <v>484</v>
      </c>
      <c r="D61" s="14">
        <v>9.9942035142618974E-18</v>
      </c>
      <c r="E61" s="14">
        <v>4.6647219506742294E-5</v>
      </c>
      <c r="F61" s="14">
        <v>7.5143196738986371E-5</v>
      </c>
      <c r="G61" s="14">
        <v>1.2520084613806855E-5</v>
      </c>
      <c r="H61" s="14">
        <v>0</v>
      </c>
      <c r="I61" s="14">
        <v>1.7866540203440081E-6</v>
      </c>
      <c r="J61" s="14">
        <v>1.3902845120110468E-5</v>
      </c>
      <c r="K61" s="14">
        <v>0</v>
      </c>
    </row>
    <row r="62" spans="1:11">
      <c r="A62" s="2" t="s">
        <v>485</v>
      </c>
      <c r="B62" s="3" t="s">
        <v>486</v>
      </c>
      <c r="D62" s="14">
        <v>2.9300058997714074E-11</v>
      </c>
      <c r="E62" s="14">
        <v>3.4130732169512966E-5</v>
      </c>
      <c r="F62" s="14">
        <v>7.4728657315086862E-5</v>
      </c>
      <c r="G62" s="14">
        <v>1.6420362274745134E-5</v>
      </c>
      <c r="H62" s="14">
        <v>0</v>
      </c>
      <c r="I62" s="14">
        <v>2.5894027152428946E-7</v>
      </c>
      <c r="J62" s="14">
        <v>2.446127866907171E-5</v>
      </c>
      <c r="K62" s="14">
        <v>0</v>
      </c>
    </row>
    <row r="63" spans="1:11">
      <c r="A63" s="2" t="s">
        <v>487</v>
      </c>
      <c r="B63" s="3" t="s">
        <v>488</v>
      </c>
      <c r="D63" s="14">
        <v>8.5375983165011138E-17</v>
      </c>
      <c r="E63" s="14">
        <v>1.4153619403535706E-4</v>
      </c>
      <c r="F63" s="14">
        <v>4.8958082283905334E-6</v>
      </c>
      <c r="G63" s="14">
        <v>6.4598309133530541E-7</v>
      </c>
      <c r="H63" s="14">
        <v>0</v>
      </c>
      <c r="I63" s="14">
        <v>3.3262402050009984E-7</v>
      </c>
      <c r="J63" s="14">
        <v>2.5893906243315778E-6</v>
      </c>
      <c r="K63" s="14">
        <v>0</v>
      </c>
    </row>
    <row r="64" spans="1:11">
      <c r="A64" s="2" t="s">
        <v>489</v>
      </c>
      <c r="B64" s="3" t="s">
        <v>490</v>
      </c>
      <c r="D64" s="14">
        <v>1.5418697338604765E-18</v>
      </c>
      <c r="E64" s="14">
        <v>1.4780838875050277E-4</v>
      </c>
      <c r="F64" s="14">
        <v>1.8281871714388538E-6</v>
      </c>
      <c r="G64" s="14">
        <v>2.2698544927422975E-8</v>
      </c>
      <c r="H64" s="14">
        <v>0</v>
      </c>
      <c r="I64" s="14">
        <v>6.5369600008965222E-8</v>
      </c>
      <c r="J64" s="14">
        <v>2.7535593312042243E-7</v>
      </c>
      <c r="K64" s="14">
        <v>0</v>
      </c>
    </row>
    <row r="65" spans="1:11">
      <c r="A65" s="2" t="s">
        <v>491</v>
      </c>
      <c r="B65" s="3" t="s">
        <v>492</v>
      </c>
      <c r="D65" s="14">
        <v>2.5676026983717926E-16</v>
      </c>
      <c r="E65" s="14">
        <v>1.4953782572427776E-4</v>
      </c>
      <c r="F65" s="14">
        <v>2.3931975076640239E-7</v>
      </c>
      <c r="G65" s="14">
        <v>1.0644421471582764E-8</v>
      </c>
      <c r="H65" s="14">
        <v>0</v>
      </c>
      <c r="I65" s="14">
        <v>8.952312129280255E-8</v>
      </c>
      <c r="J65" s="14">
        <v>1.2268698193465136E-7</v>
      </c>
      <c r="K65" s="14">
        <v>0</v>
      </c>
    </row>
    <row r="66" spans="1:11">
      <c r="A66" s="2" t="s">
        <v>493</v>
      </c>
      <c r="B66" s="3" t="s">
        <v>494</v>
      </c>
      <c r="D66" s="14">
        <v>3.3562331308232895E-15</v>
      </c>
      <c r="E66" s="14">
        <v>1.157179001982688E-4</v>
      </c>
      <c r="F66" s="14">
        <v>3.0138924219938088E-5</v>
      </c>
      <c r="G66" s="14">
        <v>7.553366979988577E-7</v>
      </c>
      <c r="H66" s="14">
        <v>0</v>
      </c>
      <c r="I66" s="14">
        <v>2.2929828718840713E-6</v>
      </c>
      <c r="J66" s="14">
        <v>1.094856008553911E-6</v>
      </c>
      <c r="K66" s="14">
        <v>0</v>
      </c>
    </row>
    <row r="67" spans="1:11">
      <c r="A67" s="2" t="s">
        <v>495</v>
      </c>
      <c r="B67" s="3" t="s">
        <v>496</v>
      </c>
      <c r="D67" s="14">
        <v>2.0061766328116549E-16</v>
      </c>
      <c r="E67" s="14">
        <v>1.495637262982153E-4</v>
      </c>
      <c r="F67" s="14">
        <v>2.0183552171287441E-7</v>
      </c>
      <c r="G67" s="14">
        <v>1.1033480596773148E-8</v>
      </c>
      <c r="H67" s="14">
        <v>0</v>
      </c>
      <c r="I67" s="14">
        <v>8.54269817770937E-8</v>
      </c>
      <c r="J67" s="14">
        <v>1.3797771749730707E-7</v>
      </c>
      <c r="K67" s="14">
        <v>0</v>
      </c>
    </row>
    <row r="68" spans="1:11">
      <c r="A68" s="2" t="s">
        <v>497</v>
      </c>
      <c r="B68" s="3" t="s">
        <v>498</v>
      </c>
      <c r="D68" s="14">
        <v>1.8146970712272828E-15</v>
      </c>
      <c r="E68" s="14">
        <v>1.4985025068420921E-4</v>
      </c>
      <c r="F68" s="14">
        <v>2.4009638232685432E-8</v>
      </c>
      <c r="G68" s="14">
        <v>1.8524721699891179E-9</v>
      </c>
      <c r="H68" s="14">
        <v>0</v>
      </c>
      <c r="I68" s="14">
        <v>6.8126516946411978E-8</v>
      </c>
      <c r="J68" s="14">
        <v>5.5760686626970305E-8</v>
      </c>
      <c r="K68" s="14">
        <v>0</v>
      </c>
    </row>
    <row r="69" spans="1:11">
      <c r="A69" s="2" t="s">
        <v>499</v>
      </c>
      <c r="B69" s="3" t="s">
        <v>500</v>
      </c>
      <c r="D69" s="14">
        <v>9.5970175091030059E-16</v>
      </c>
      <c r="E69" s="14">
        <v>1.2284327808989462E-6</v>
      </c>
      <c r="F69" s="14">
        <v>1.1174934119015591E-4</v>
      </c>
      <c r="G69" s="14">
        <v>2.8750839274446331E-5</v>
      </c>
      <c r="H69" s="14">
        <v>0</v>
      </c>
      <c r="I69" s="14">
        <v>4.3949010907861625E-7</v>
      </c>
      <c r="J69" s="14">
        <v>7.8318966444604687E-6</v>
      </c>
      <c r="K69" s="14">
        <v>0</v>
      </c>
    </row>
    <row r="70" spans="1:11">
      <c r="A70" s="2" t="s">
        <v>501</v>
      </c>
      <c r="B70" s="3" t="s">
        <v>411</v>
      </c>
      <c r="D70" s="14">
        <v>3.2514174905275873E-17</v>
      </c>
      <c r="E70" s="14">
        <v>1.4539512582677311E-4</v>
      </c>
      <c r="F70" s="14">
        <v>4.5361919334968976E-6</v>
      </c>
      <c r="G70" s="14">
        <v>4.3110895701228235E-10</v>
      </c>
      <c r="H70" s="14">
        <v>0</v>
      </c>
      <c r="I70" s="14">
        <v>6.4656258446692436E-8</v>
      </c>
      <c r="J70" s="14">
        <v>3.5948722937372666E-9</v>
      </c>
      <c r="K70" s="14">
        <v>0</v>
      </c>
    </row>
    <row r="71" spans="1:11">
      <c r="A71" s="2" t="s">
        <v>502</v>
      </c>
      <c r="B71" s="3" t="s">
        <v>412</v>
      </c>
      <c r="D71" s="14">
        <v>1.4851137248810739E-12</v>
      </c>
      <c r="E71" s="14">
        <v>1.4147420299381243E-4</v>
      </c>
      <c r="F71" s="14">
        <v>8.4562697899434662E-6</v>
      </c>
      <c r="G71" s="14">
        <v>7.6850225153088454E-10</v>
      </c>
      <c r="H71" s="14">
        <v>0</v>
      </c>
      <c r="I71" s="14">
        <v>6.3832962195738826E-8</v>
      </c>
      <c r="J71" s="14">
        <v>4.924266683092998E-9</v>
      </c>
      <c r="K71" s="14">
        <v>0</v>
      </c>
    </row>
    <row r="72" spans="1:11">
      <c r="A72" s="2" t="s">
        <v>503</v>
      </c>
      <c r="B72" s="3" t="s">
        <v>413</v>
      </c>
      <c r="D72" s="14">
        <v>2.0094781909382683E-14</v>
      </c>
      <c r="E72" s="14">
        <v>5.836337914139885E-7</v>
      </c>
      <c r="F72" s="14">
        <v>1.4914270073281924E-4</v>
      </c>
      <c r="G72" s="14">
        <v>6.8496181674397549E-8</v>
      </c>
      <c r="H72" s="14">
        <v>0</v>
      </c>
      <c r="I72" s="14">
        <v>1.9959789396842886E-7</v>
      </c>
      <c r="J72" s="14">
        <v>5.5713800291476274E-9</v>
      </c>
      <c r="K72" s="14">
        <v>0</v>
      </c>
    </row>
    <row r="73" spans="1:11">
      <c r="A73" s="2" t="s">
        <v>504</v>
      </c>
      <c r="B73" s="3" t="s">
        <v>414</v>
      </c>
      <c r="D73" s="14">
        <v>2.6265540075449515E-14</v>
      </c>
      <c r="E73" s="14">
        <v>5.4158105884169873E-6</v>
      </c>
      <c r="F73" s="14">
        <v>1.4454565496492747E-4</v>
      </c>
      <c r="G73" s="14">
        <v>8.3554414546708245E-9</v>
      </c>
      <c r="H73" s="14">
        <v>0</v>
      </c>
      <c r="I73" s="14">
        <v>2.565973461116195E-8</v>
      </c>
      <c r="J73" s="14">
        <v>4.5192443241073947E-9</v>
      </c>
      <c r="K73" s="14">
        <v>0</v>
      </c>
    </row>
    <row r="74" spans="1:11">
      <c r="A74" s="2" t="s">
        <v>505</v>
      </c>
      <c r="B74" s="3" t="s">
        <v>415</v>
      </c>
      <c r="D74" s="14">
        <v>1.8359394076118496E-13</v>
      </c>
      <c r="E74" s="14">
        <v>1.4223794712194459E-4</v>
      </c>
      <c r="F74" s="14">
        <v>7.6926690695962235E-6</v>
      </c>
      <c r="G74" s="14">
        <v>7.021686074737177E-10</v>
      </c>
      <c r="H74" s="14">
        <v>0</v>
      </c>
      <c r="I74" s="14">
        <v>6.3996151663459392E-8</v>
      </c>
      <c r="J74" s="14">
        <v>4.6853045942870314E-9</v>
      </c>
      <c r="K74" s="14">
        <v>0</v>
      </c>
    </row>
    <row r="75" spans="1:11">
      <c r="A75" s="2" t="s">
        <v>506</v>
      </c>
      <c r="B75" s="3" t="s">
        <v>416</v>
      </c>
      <c r="D75" s="14">
        <v>1.1271806627864395E-13</v>
      </c>
      <c r="E75" s="14">
        <v>6.4075301948865963E-6</v>
      </c>
      <c r="F75" s="14">
        <v>1.4355298772289579E-4</v>
      </c>
      <c r="G75" s="14">
        <v>8.4057524324500669E-9</v>
      </c>
      <c r="H75" s="14">
        <v>0</v>
      </c>
      <c r="I75" s="14">
        <v>2.619561931362854E-8</v>
      </c>
      <c r="J75" s="14">
        <v>4.8805977534391432E-9</v>
      </c>
      <c r="K75" s="14">
        <v>0</v>
      </c>
    </row>
    <row r="76" spans="1:11">
      <c r="A76" s="2" t="s">
        <v>507</v>
      </c>
      <c r="B76" s="3" t="s">
        <v>417</v>
      </c>
      <c r="D76" s="14">
        <v>2.6036604052633992E-12</v>
      </c>
      <c r="E76" s="14">
        <v>6.7180291347633685E-5</v>
      </c>
      <c r="F76" s="14">
        <v>8.2756755802210739E-5</v>
      </c>
      <c r="G76" s="14">
        <v>6.0182437182076925E-9</v>
      </c>
      <c r="H76" s="14">
        <v>0</v>
      </c>
      <c r="I76" s="14">
        <v>4.5614093928299175E-8</v>
      </c>
      <c r="J76" s="14">
        <v>1.1317908848617339E-8</v>
      </c>
      <c r="K76" s="14">
        <v>0</v>
      </c>
    </row>
    <row r="77" spans="1:11">
      <c r="A77" s="2" t="s">
        <v>508</v>
      </c>
      <c r="B77" s="3" t="s">
        <v>418</v>
      </c>
      <c r="D77" s="14">
        <v>8.131701458583774E-13</v>
      </c>
      <c r="E77" s="14">
        <v>5.6830171961039849E-6</v>
      </c>
      <c r="F77" s="14">
        <v>1.4427814320092967E-4</v>
      </c>
      <c r="G77" s="14">
        <v>8.3958922895288364E-9</v>
      </c>
      <c r="H77" s="14">
        <v>0</v>
      </c>
      <c r="I77" s="14">
        <v>2.5808820150598251E-8</v>
      </c>
      <c r="J77" s="14">
        <v>4.6340773560077542E-9</v>
      </c>
      <c r="K77" s="14">
        <v>0</v>
      </c>
    </row>
    <row r="78" spans="1:11">
      <c r="A78" s="2" t="s">
        <v>509</v>
      </c>
      <c r="B78" s="3" t="s">
        <v>419</v>
      </c>
      <c r="D78" s="14">
        <v>8.0802402720589036E-14</v>
      </c>
      <c r="E78" s="14">
        <v>6.4744280180718818E-7</v>
      </c>
      <c r="F78" s="14">
        <v>1.4912243311848773E-4</v>
      </c>
      <c r="G78" s="14">
        <v>5.754496633281017E-8</v>
      </c>
      <c r="H78" s="14">
        <v>0</v>
      </c>
      <c r="I78" s="14">
        <v>1.6729331734713954E-7</v>
      </c>
      <c r="J78" s="14">
        <v>5.285715222698829E-9</v>
      </c>
      <c r="K78" s="14">
        <v>0</v>
      </c>
    </row>
    <row r="79" spans="1:11">
      <c r="A79" s="2" t="s">
        <v>510</v>
      </c>
      <c r="B79" s="3" t="s">
        <v>420</v>
      </c>
      <c r="D79" s="14">
        <v>2.0296648293337933E-18</v>
      </c>
      <c r="E79" s="14">
        <v>6.4744284564889556E-7</v>
      </c>
      <c r="F79" s="14">
        <v>1.4912244321634049E-4</v>
      </c>
      <c r="G79" s="14">
        <v>5.753586341111376E-8</v>
      </c>
      <c r="H79" s="14">
        <v>0</v>
      </c>
      <c r="I79" s="14">
        <v>1.6729319551136335E-7</v>
      </c>
      <c r="J79" s="14">
        <v>5.2848790861112522E-9</v>
      </c>
      <c r="K79" s="14">
        <v>0</v>
      </c>
    </row>
    <row r="80" spans="1:11">
      <c r="A80" s="2" t="s">
        <v>511</v>
      </c>
      <c r="B80" s="3" t="s">
        <v>421</v>
      </c>
      <c r="D80" s="14">
        <v>2.2893089422449832E-13</v>
      </c>
      <c r="E80" s="14">
        <v>2.5003542073110121E-5</v>
      </c>
      <c r="F80" s="14">
        <v>1.2494621678045946E-4</v>
      </c>
      <c r="G80" s="14">
        <v>8.1712306575740552E-9</v>
      </c>
      <c r="H80" s="14">
        <v>0</v>
      </c>
      <c r="I80" s="14">
        <v>3.3356362293369293E-8</v>
      </c>
      <c r="J80" s="14">
        <v>8.7133245485263166E-9</v>
      </c>
      <c r="K80" s="14">
        <v>0</v>
      </c>
    </row>
    <row r="81" spans="1:11">
      <c r="A81" s="2" t="s">
        <v>512</v>
      </c>
      <c r="B81" s="3" t="s">
        <v>422</v>
      </c>
      <c r="D81" s="14">
        <v>2.9925695911642088E-13</v>
      </c>
      <c r="E81" s="14">
        <v>1.2067057726454461E-4</v>
      </c>
      <c r="F81" s="14">
        <v>2.9259234837862412E-5</v>
      </c>
      <c r="G81" s="14">
        <v>2.391262888598721E-9</v>
      </c>
      <c r="H81" s="14">
        <v>0</v>
      </c>
      <c r="I81" s="14">
        <v>5.9108256781632929E-8</v>
      </c>
      <c r="J81" s="14">
        <v>8.6880786657729488E-9</v>
      </c>
      <c r="K81" s="14">
        <v>0</v>
      </c>
    </row>
    <row r="82" spans="1:11">
      <c r="A82" s="2" t="s">
        <v>513</v>
      </c>
      <c r="B82" s="3" t="s">
        <v>423</v>
      </c>
      <c r="D82" s="14">
        <v>7.5343437294892077E-17</v>
      </c>
      <c r="E82" s="14">
        <v>9.1256233456976104E-5</v>
      </c>
      <c r="F82" s="14">
        <v>5.867648827710752E-5</v>
      </c>
      <c r="G82" s="14">
        <v>4.462310003373389E-9</v>
      </c>
      <c r="H82" s="14">
        <v>0</v>
      </c>
      <c r="I82" s="14">
        <v>5.1895112959413684E-8</v>
      </c>
      <c r="J82" s="14">
        <v>1.0920842878253056E-8</v>
      </c>
      <c r="K82" s="14">
        <v>0</v>
      </c>
    </row>
    <row r="83" spans="1:11">
      <c r="A83" s="2" t="s">
        <v>514</v>
      </c>
      <c r="B83" s="3" t="s">
        <v>424</v>
      </c>
      <c r="D83" s="14">
        <v>2.8901321114416907E-14</v>
      </c>
      <c r="E83" s="14">
        <v>4.3852547444095947E-7</v>
      </c>
      <c r="F83" s="14">
        <v>1.4912017388170155E-4</v>
      </c>
      <c r="G83" s="14">
        <v>1.1053524052549413E-7</v>
      </c>
      <c r="H83" s="14">
        <v>0</v>
      </c>
      <c r="I83" s="14">
        <v>3.2432965383162278E-7</v>
      </c>
      <c r="J83" s="14">
        <v>6.4357205990201996E-9</v>
      </c>
      <c r="K83" s="14">
        <v>0</v>
      </c>
    </row>
    <row r="84" spans="1:11">
      <c r="A84" s="2" t="s">
        <v>403</v>
      </c>
      <c r="B84" s="3" t="s">
        <v>404</v>
      </c>
      <c r="D84" s="14">
        <v>6.4679566226696383E-48</v>
      </c>
      <c r="E84" s="14">
        <v>5.2810977809029537E-5</v>
      </c>
      <c r="F84" s="14">
        <v>5.7409766827765977E-5</v>
      </c>
      <c r="G84" s="14">
        <v>1.3282546296894011E-5</v>
      </c>
      <c r="H84" s="14">
        <v>0</v>
      </c>
      <c r="I84" s="14">
        <v>2.1958938697761487E-7</v>
      </c>
      <c r="J84" s="14">
        <v>2.6277119679332843E-5</v>
      </c>
      <c r="K84" s="14">
        <v>0</v>
      </c>
    </row>
    <row r="85" spans="1:11">
      <c r="A85" s="2" t="s">
        <v>405</v>
      </c>
      <c r="B85" s="3" t="s">
        <v>406</v>
      </c>
      <c r="D85" s="14">
        <v>1.5321983803423873E-12</v>
      </c>
      <c r="E85" s="14">
        <v>7.1887516897889782E-6</v>
      </c>
      <c r="F85" s="14">
        <v>1.1298645128453966E-4</v>
      </c>
      <c r="G85" s="14">
        <v>5.9067713634469152E-6</v>
      </c>
      <c r="H85" s="14">
        <v>0</v>
      </c>
      <c r="I85" s="14">
        <v>2.2980361556930723E-5</v>
      </c>
      <c r="J85" s="14">
        <v>9.3766257309530223E-7</v>
      </c>
      <c r="K85" s="14">
        <v>0</v>
      </c>
    </row>
    <row r="86" spans="1:11">
      <c r="A86" s="2" t="s">
        <v>407</v>
      </c>
      <c r="B86" s="3" t="s">
        <v>408</v>
      </c>
      <c r="D86" s="14">
        <v>3.183858140141805E-9</v>
      </c>
      <c r="E86" s="14">
        <v>5.6437896539999682E-8</v>
      </c>
      <c r="F86" s="14">
        <v>2.7369848495784503E-5</v>
      </c>
      <c r="G86" s="14">
        <v>1.1627007397426519E-4</v>
      </c>
      <c r="H86" s="14">
        <v>0</v>
      </c>
      <c r="I86" s="14">
        <v>1.8319289491093482E-6</v>
      </c>
      <c r="J86" s="14">
        <v>4.4685268261608052E-6</v>
      </c>
      <c r="K86" s="14">
        <v>0</v>
      </c>
    </row>
    <row r="87" spans="1:11">
      <c r="A87" s="2" t="s">
        <v>409</v>
      </c>
      <c r="B87" s="3" t="s">
        <v>410</v>
      </c>
      <c r="D87" s="14">
        <v>3.9119184200608467E-10</v>
      </c>
      <c r="E87" s="14">
        <v>1.9406485823083915E-8</v>
      </c>
      <c r="F87" s="14">
        <v>1.4635530653594743E-5</v>
      </c>
      <c r="G87" s="14">
        <v>1.3028788347535338E-4</v>
      </c>
      <c r="H87" s="14">
        <v>0</v>
      </c>
      <c r="I87" s="14">
        <v>2.0700273452380379E-6</v>
      </c>
      <c r="J87" s="14">
        <v>2.9867608481487413E-6</v>
      </c>
      <c r="K87" s="14">
        <v>0</v>
      </c>
    </row>
    <row r="88" spans="1:11">
      <c r="A88" s="2" t="s">
        <v>301</v>
      </c>
      <c r="B88" s="3" t="s">
        <v>302</v>
      </c>
      <c r="D88" s="14">
        <v>4.8002285535653998E-11</v>
      </c>
      <c r="E88" s="14">
        <v>5.4117662009387282E-9</v>
      </c>
      <c r="F88" s="14">
        <v>6.7434260652435564E-6</v>
      </c>
      <c r="G88" s="14">
        <v>1.3924389261420447E-4</v>
      </c>
      <c r="H88" s="14">
        <v>0</v>
      </c>
      <c r="I88" s="14">
        <v>2.2335525486605378E-6</v>
      </c>
      <c r="J88" s="14">
        <v>1.7736690034048984E-6</v>
      </c>
      <c r="K88" s="14">
        <v>0</v>
      </c>
    </row>
    <row r="89" spans="1:11">
      <c r="A89" s="2" t="s">
        <v>303</v>
      </c>
      <c r="B89" s="3" t="s">
        <v>304</v>
      </c>
      <c r="D89" s="14">
        <v>1.6469035473594583E-17</v>
      </c>
      <c r="E89" s="14">
        <v>1.6274194438856183E-7</v>
      </c>
      <c r="F89" s="14">
        <v>1.859985861679466E-5</v>
      </c>
      <c r="G89" s="14">
        <v>4.8374414203158678E-5</v>
      </c>
      <c r="H89" s="14">
        <v>0</v>
      </c>
      <c r="I89" s="14">
        <v>8.2002165650011603E-5</v>
      </c>
      <c r="J89" s="14">
        <v>8.6081958562998052E-7</v>
      </c>
      <c r="K89" s="14">
        <v>0</v>
      </c>
    </row>
    <row r="90" spans="1:11">
      <c r="A90" s="2" t="s">
        <v>425</v>
      </c>
      <c r="B90" s="3" t="s">
        <v>426</v>
      </c>
      <c r="D90" s="14">
        <v>1.8962288741795885E-17</v>
      </c>
      <c r="E90" s="14">
        <v>1.4813575643497697E-4</v>
      </c>
      <c r="F90" s="14">
        <v>1.3944452710511699E-7</v>
      </c>
      <c r="G90" s="14">
        <v>4.6819498853926893E-8</v>
      </c>
      <c r="H90" s="14">
        <v>0</v>
      </c>
      <c r="I90" s="14">
        <v>6.5392438276775369E-8</v>
      </c>
      <c r="J90" s="14">
        <v>1.6125871007681721E-6</v>
      </c>
      <c r="K90" s="14">
        <v>0</v>
      </c>
    </row>
    <row r="91" spans="1:11">
      <c r="A91" s="2" t="s">
        <v>427</v>
      </c>
      <c r="B91" s="3" t="s">
        <v>428</v>
      </c>
      <c r="D91" s="14">
        <v>1.0963012731951065E-8</v>
      </c>
      <c r="E91" s="14">
        <v>1.2253129640832716E-4</v>
      </c>
      <c r="F91" s="14">
        <v>9.4047791762878675E-6</v>
      </c>
      <c r="G91" s="14">
        <v>2.6451125627652197E-6</v>
      </c>
      <c r="H91" s="14">
        <v>0</v>
      </c>
      <c r="I91" s="14">
        <v>9.2017369374284865E-8</v>
      </c>
      <c r="J91" s="14">
        <v>1.5315831470513492E-5</v>
      </c>
      <c r="K91" s="14">
        <v>0</v>
      </c>
    </row>
    <row r="92" spans="1:11">
      <c r="A92" s="2" t="s">
        <v>429</v>
      </c>
      <c r="B92" s="3" t="s">
        <v>430</v>
      </c>
      <c r="D92" s="14">
        <v>7.0762607498301264E-8</v>
      </c>
      <c r="E92" s="14">
        <v>2.2843410155914618E-5</v>
      </c>
      <c r="F92" s="14">
        <v>8.6700681650801783E-5</v>
      </c>
      <c r="G92" s="14">
        <v>1.8294395652770615E-5</v>
      </c>
      <c r="H92" s="14">
        <v>0</v>
      </c>
      <c r="I92" s="14">
        <v>2.8281774439505041E-7</v>
      </c>
      <c r="J92" s="14">
        <v>2.180793218861963E-5</v>
      </c>
      <c r="K92" s="14">
        <v>0</v>
      </c>
    </row>
    <row r="93" spans="1:11">
      <c r="A93" s="2" t="s">
        <v>431</v>
      </c>
      <c r="B93" s="3" t="s">
        <v>432</v>
      </c>
      <c r="D93" s="14">
        <v>1.4057910022729452E-21</v>
      </c>
      <c r="E93" s="14">
        <v>1.4927034527227283E-4</v>
      </c>
      <c r="F93" s="14">
        <v>6.5404120754714759E-7</v>
      </c>
      <c r="G93" s="14">
        <v>5.2399486751845304E-10</v>
      </c>
      <c r="H93" s="14">
        <v>0</v>
      </c>
      <c r="I93" s="14">
        <v>6.5410682120607791E-8</v>
      </c>
      <c r="J93" s="14">
        <v>9.6788431918762789E-9</v>
      </c>
      <c r="K93" s="14">
        <v>0</v>
      </c>
    </row>
    <row r="94" spans="1:11">
      <c r="A94" s="2" t="s">
        <v>433</v>
      </c>
      <c r="B94" s="3" t="s">
        <v>434</v>
      </c>
      <c r="D94" s="14">
        <v>2.9710176309157791E-22</v>
      </c>
      <c r="E94" s="14">
        <v>1.4993131120024804E-4</v>
      </c>
      <c r="F94" s="14">
        <v>2.5452117156655959E-9</v>
      </c>
      <c r="G94" s="14">
        <v>3.5515632658088878E-12</v>
      </c>
      <c r="H94" s="14">
        <v>0</v>
      </c>
      <c r="I94" s="14">
        <v>6.5895177526817094E-8</v>
      </c>
      <c r="J94" s="14">
        <v>2.4485894621504671E-10</v>
      </c>
      <c r="K94" s="14">
        <v>0</v>
      </c>
    </row>
    <row r="95" spans="1:11">
      <c r="A95" s="2" t="s">
        <v>435</v>
      </c>
      <c r="B95" s="3" t="s">
        <v>436</v>
      </c>
      <c r="D95" s="14">
        <v>1.6440047587008121E-12</v>
      </c>
      <c r="E95" s="14">
        <v>1.453612276680041E-4</v>
      </c>
      <c r="F95" s="14">
        <v>5.7981967315419879E-7</v>
      </c>
      <c r="G95" s="14">
        <v>2.0110561337477404E-7</v>
      </c>
      <c r="H95" s="14">
        <v>0</v>
      </c>
      <c r="I95" s="14">
        <v>6.7134940394479846E-8</v>
      </c>
      <c r="J95" s="14">
        <v>3.7907104610676785E-6</v>
      </c>
      <c r="K95" s="14">
        <v>0</v>
      </c>
    </row>
    <row r="96" spans="1:11">
      <c r="A96" s="2" t="s">
        <v>437</v>
      </c>
      <c r="B96" s="163" t="s">
        <v>438</v>
      </c>
      <c r="D96" s="14">
        <v>5.9684017718802953E-12</v>
      </c>
      <c r="E96" s="14">
        <v>8.2340814874747081E-8</v>
      </c>
      <c r="F96" s="14">
        <v>3.387479962339527E-5</v>
      </c>
      <c r="G96" s="14">
        <v>1.0923763531298478E-4</v>
      </c>
      <c r="H96" s="14">
        <v>0</v>
      </c>
      <c r="I96" s="14">
        <v>1.7157933711532096E-6</v>
      </c>
      <c r="J96" s="14">
        <v>5.089424909190183E-6</v>
      </c>
      <c r="K96" s="14">
        <v>0</v>
      </c>
    </row>
    <row r="97" spans="1:11">
      <c r="A97" s="2" t="s">
        <v>439</v>
      </c>
      <c r="B97" s="3" t="s">
        <v>440</v>
      </c>
      <c r="D97" s="14">
        <v>5.5132231832691632E-9</v>
      </c>
      <c r="E97" s="14">
        <v>1.0661116365939119E-4</v>
      </c>
      <c r="F97" s="14">
        <v>1.821479375104214E-5</v>
      </c>
      <c r="G97" s="14">
        <v>4.8296961999310976E-6</v>
      </c>
      <c r="H97" s="14">
        <v>0</v>
      </c>
      <c r="I97" s="14">
        <v>1.1719970295606325E-7</v>
      </c>
      <c r="J97" s="14">
        <v>2.0221633463496215E-5</v>
      </c>
      <c r="K97" s="14">
        <v>0</v>
      </c>
    </row>
    <row r="98" spans="1:11">
      <c r="A98" s="2" t="s">
        <v>441</v>
      </c>
      <c r="B98" s="3" t="s">
        <v>442</v>
      </c>
      <c r="D98" s="14">
        <v>3.6411902968302657E-21</v>
      </c>
      <c r="E98" s="14">
        <v>1.200053165138723E-4</v>
      </c>
      <c r="F98" s="14">
        <v>1.070192889289489E-5</v>
      </c>
      <c r="G98" s="14">
        <v>2.9768545569748266E-6</v>
      </c>
      <c r="H98" s="14">
        <v>0</v>
      </c>
      <c r="I98" s="14">
        <v>9.5780997620181779E-8</v>
      </c>
      <c r="J98" s="14">
        <v>1.6220119038637746E-5</v>
      </c>
      <c r="K98" s="14">
        <v>0</v>
      </c>
    </row>
    <row r="99" spans="1:11">
      <c r="A99" s="2" t="s">
        <v>443</v>
      </c>
      <c r="B99" s="3" t="s">
        <v>444</v>
      </c>
      <c r="D99" s="14">
        <v>5.2561840180512903E-33</v>
      </c>
      <c r="E99" s="14">
        <v>1.3886336062246958E-4</v>
      </c>
      <c r="F99" s="14">
        <v>2.3773287675810535E-6</v>
      </c>
      <c r="G99" s="14">
        <v>7.4676645502594522E-7</v>
      </c>
      <c r="H99" s="14">
        <v>0</v>
      </c>
      <c r="I99" s="14">
        <v>7.1433973760515981E-8</v>
      </c>
      <c r="J99" s="14">
        <v>7.9411101811628595E-6</v>
      </c>
      <c r="K99" s="14">
        <v>0</v>
      </c>
    </row>
    <row r="100" spans="1:11">
      <c r="A100" s="2" t="s">
        <v>445</v>
      </c>
      <c r="B100" s="3" t="s">
        <v>446</v>
      </c>
      <c r="D100" s="14">
        <v>6.2941919427557838E-12</v>
      </c>
      <c r="E100" s="14">
        <v>5.4369719530500849E-7</v>
      </c>
      <c r="F100" s="14">
        <v>8.5557614468889014E-5</v>
      </c>
      <c r="G100" s="14">
        <v>5.5138407963994014E-5</v>
      </c>
      <c r="H100" s="14">
        <v>0</v>
      </c>
      <c r="I100" s="14">
        <v>8.5074470638750733E-7</v>
      </c>
      <c r="J100" s="14">
        <v>7.9095293712324946E-6</v>
      </c>
      <c r="K100" s="14">
        <v>0</v>
      </c>
    </row>
    <row r="101" spans="1:11">
      <c r="A101" s="2" t="s">
        <v>447</v>
      </c>
      <c r="B101" s="3" t="s">
        <v>448</v>
      </c>
      <c r="D101" s="14">
        <v>6.3167377119802015E-13</v>
      </c>
      <c r="E101" s="14">
        <v>3.2403353162563892E-5</v>
      </c>
      <c r="F101" s="14">
        <v>7.6473598836292631E-5</v>
      </c>
      <c r="G101" s="14">
        <v>1.6711178720695879E-5</v>
      </c>
      <c r="H101" s="14">
        <v>0</v>
      </c>
      <c r="I101" s="14">
        <v>2.6262659311147953E-7</v>
      </c>
      <c r="J101" s="14">
        <v>2.414924205566233E-5</v>
      </c>
      <c r="K101" s="14">
        <v>0</v>
      </c>
    </row>
    <row r="102" spans="1:11">
      <c r="A102" s="2" t="s">
        <v>449</v>
      </c>
      <c r="B102" s="3" t="s">
        <v>450</v>
      </c>
      <c r="D102" s="14">
        <v>2.581174483820073E-8</v>
      </c>
      <c r="E102" s="14">
        <v>6.5649961121220728E-6</v>
      </c>
      <c r="F102" s="14">
        <v>1.0895221090398438E-4</v>
      </c>
      <c r="G102" s="14">
        <v>2.062203895621377E-5</v>
      </c>
      <c r="H102" s="14">
        <v>0</v>
      </c>
      <c r="I102" s="14">
        <v>3.1334417287808165E-7</v>
      </c>
      <c r="J102" s="14">
        <v>1.3521598109963466E-5</v>
      </c>
      <c r="K102" s="14">
        <v>0</v>
      </c>
    </row>
    <row r="103" spans="1:11">
      <c r="A103" s="2" t="s">
        <v>451</v>
      </c>
      <c r="B103" s="3" t="s">
        <v>452</v>
      </c>
      <c r="D103" s="14">
        <v>5.1328237640932107E-23</v>
      </c>
      <c r="E103" s="14">
        <v>1.3417473685020938E-4</v>
      </c>
      <c r="F103" s="14">
        <v>1.5754053882679641E-5</v>
      </c>
      <c r="G103" s="14">
        <v>1.5288593538686154E-9</v>
      </c>
      <c r="H103" s="14">
        <v>0</v>
      </c>
      <c r="I103" s="14">
        <v>6.2228560311606149E-8</v>
      </c>
      <c r="J103" s="14">
        <v>7.4518474454825976E-9</v>
      </c>
      <c r="K103" s="14">
        <v>0</v>
      </c>
    </row>
    <row r="104" spans="1:11">
      <c r="A104" s="2" t="s">
        <v>453</v>
      </c>
      <c r="B104" s="3" t="s">
        <v>454</v>
      </c>
      <c r="D104" s="14">
        <v>1.3173541260945846E-24</v>
      </c>
      <c r="E104" s="14">
        <v>1.6664994361452826E-6</v>
      </c>
      <c r="F104" s="14">
        <v>1.4809716513961113E-4</v>
      </c>
      <c r="G104" s="14">
        <v>1.5682395262556291E-7</v>
      </c>
      <c r="H104" s="14">
        <v>0</v>
      </c>
      <c r="I104" s="14">
        <v>3.560699377559171E-8</v>
      </c>
      <c r="J104" s="14">
        <v>4.3904477842389629E-8</v>
      </c>
      <c r="K104" s="14">
        <v>0</v>
      </c>
    </row>
    <row r="105" spans="1:11">
      <c r="A105" s="2" t="s">
        <v>455</v>
      </c>
      <c r="B105" s="163">
        <v>354656</v>
      </c>
      <c r="D105" s="14">
        <v>4.3746564397668357E-14</v>
      </c>
      <c r="E105" s="14">
        <v>1.477886430885994E-4</v>
      </c>
      <c r="F105" s="14">
        <v>1.49955581760356E-7</v>
      </c>
      <c r="G105" s="14">
        <v>5.8004033060222985E-8</v>
      </c>
      <c r="H105" s="14">
        <v>0</v>
      </c>
      <c r="I105" s="14">
        <v>6.5393506999648913E-8</v>
      </c>
      <c r="J105" s="14">
        <v>1.9380037458337682E-6</v>
      </c>
      <c r="K105" s="14">
        <v>0</v>
      </c>
    </row>
    <row r="106" spans="1:11">
      <c r="A106" s="2" t="s">
        <v>457</v>
      </c>
      <c r="B106" s="3" t="s">
        <v>458</v>
      </c>
      <c r="D106" s="14">
        <v>6.6011832425270799E-14</v>
      </c>
      <c r="E106" s="14">
        <v>1.451119532186745E-4</v>
      </c>
      <c r="F106" s="14">
        <v>6.2945689897567798E-7</v>
      </c>
      <c r="G106" s="14">
        <v>2.1734091726032507E-7</v>
      </c>
      <c r="H106" s="14">
        <v>0</v>
      </c>
      <c r="I106" s="14">
        <v>6.715690311075635E-8</v>
      </c>
      <c r="J106" s="14">
        <v>3.9740919959668801E-6</v>
      </c>
      <c r="K106" s="14">
        <v>0</v>
      </c>
    </row>
    <row r="107" spans="1:11">
      <c r="A107" s="2" t="s">
        <v>459</v>
      </c>
      <c r="B107" s="3" t="s">
        <v>460</v>
      </c>
      <c r="D107" s="14">
        <v>5.832903143681385E-24</v>
      </c>
      <c r="E107" s="14">
        <v>3.4131384798892786E-6</v>
      </c>
      <c r="F107" s="14">
        <v>1.1623383781182612E-4</v>
      </c>
      <c r="G107" s="14">
        <v>2.0343270337538611E-5</v>
      </c>
      <c r="H107" s="14">
        <v>0</v>
      </c>
      <c r="I107" s="14">
        <v>5.5789531140226688E-7</v>
      </c>
      <c r="J107" s="14">
        <v>9.4518580593436892E-6</v>
      </c>
      <c r="K107" s="14">
        <v>0</v>
      </c>
    </row>
    <row r="108" spans="1:11">
      <c r="A108" s="2" t="s">
        <v>461</v>
      </c>
      <c r="B108" s="3" t="s">
        <v>462</v>
      </c>
      <c r="D108" s="14">
        <v>1.2836840536959685E-13</v>
      </c>
      <c r="E108" s="14">
        <v>1.4992941989385209E-4</v>
      </c>
      <c r="F108" s="14">
        <v>1.3184061074779913E-9</v>
      </c>
      <c r="G108" s="14">
        <v>3.821296951927625E-11</v>
      </c>
      <c r="H108" s="14">
        <v>0</v>
      </c>
      <c r="I108" s="14">
        <v>6.5706886338539737E-8</v>
      </c>
      <c r="J108" s="14">
        <v>3.5164723639500539E-9</v>
      </c>
      <c r="K108" s="14">
        <v>0</v>
      </c>
    </row>
    <row r="109" spans="1:11">
      <c r="A109" s="2" t="s">
        <v>463</v>
      </c>
      <c r="B109" s="3" t="s">
        <v>464</v>
      </c>
      <c r="D109" s="14">
        <v>3.2993375214192808E-16</v>
      </c>
      <c r="E109" s="14">
        <v>1.3898184783117621E-4</v>
      </c>
      <c r="F109" s="14">
        <v>8.7089986666672934E-6</v>
      </c>
      <c r="G109" s="14">
        <v>4.3288675699338467E-7</v>
      </c>
      <c r="H109" s="14">
        <v>0</v>
      </c>
      <c r="I109" s="14">
        <v>7.1569840023425109E-7</v>
      </c>
      <c r="J109" s="14">
        <v>1.1605683445989119E-6</v>
      </c>
      <c r="K109" s="14">
        <v>0</v>
      </c>
    </row>
    <row r="110" spans="1:11">
      <c r="A110" s="2" t="s">
        <v>465</v>
      </c>
      <c r="B110" s="3" t="s">
        <v>466</v>
      </c>
      <c r="D110" s="14">
        <v>2.4458717350786764E-15</v>
      </c>
      <c r="E110" s="14">
        <v>1.4949706942733431E-4</v>
      </c>
      <c r="F110" s="14">
        <v>3.3834070791200724E-8</v>
      </c>
      <c r="G110" s="14">
        <v>6.4732261415176793E-9</v>
      </c>
      <c r="H110" s="14">
        <v>0</v>
      </c>
      <c r="I110" s="14">
        <v>6.5415992906566187E-8</v>
      </c>
      <c r="J110" s="14">
        <v>3.9720728038051809E-7</v>
      </c>
      <c r="K110" s="14">
        <v>0</v>
      </c>
    </row>
    <row r="111" spans="1:11">
      <c r="A111" s="2" t="s">
        <v>467</v>
      </c>
      <c r="B111" s="3" t="s">
        <v>468</v>
      </c>
      <c r="D111" s="14">
        <v>4.3320160997028878E-34</v>
      </c>
      <c r="E111" s="14">
        <v>1.4993173700970677E-4</v>
      </c>
      <c r="F111" s="14">
        <v>2.3958253001635416E-9</v>
      </c>
      <c r="G111" s="14">
        <v>1.9793705091779887E-12</v>
      </c>
      <c r="H111" s="14">
        <v>0</v>
      </c>
      <c r="I111" s="14">
        <v>6.5509698792217606E-8</v>
      </c>
      <c r="J111" s="14">
        <v>3.5548683032455271E-10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2.751125363379105E-17</v>
      </c>
      <c r="E112" s="14">
        <v>1.4940237135570701E-4</v>
      </c>
      <c r="F112" s="14">
        <v>1.1682319110173781E-8</v>
      </c>
      <c r="G112" s="14">
        <v>5.4578880138366751E-9</v>
      </c>
      <c r="H112" s="14">
        <v>0</v>
      </c>
      <c r="I112" s="14">
        <v>6.5353457430971323E-8</v>
      </c>
      <c r="J112" s="14">
        <v>5.1513497971043013E-7</v>
      </c>
      <c r="K112" s="14">
        <v>0</v>
      </c>
    </row>
    <row r="113" spans="1:11">
      <c r="A113" s="2" t="s">
        <v>471</v>
      </c>
      <c r="B113" s="3" t="s">
        <v>472</v>
      </c>
      <c r="D113" s="14">
        <v>3.4607695506094209E-13</v>
      </c>
      <c r="E113" s="14">
        <v>1.4651759824607099E-4</v>
      </c>
      <c r="F113" s="14">
        <v>3.3930586398114861E-7</v>
      </c>
      <c r="G113" s="14">
        <v>1.2350567701878924E-7</v>
      </c>
      <c r="H113" s="14">
        <v>0</v>
      </c>
      <c r="I113" s="14">
        <v>6.5774527983939025E-8</v>
      </c>
      <c r="J113" s="14">
        <v>2.9538153388681943E-6</v>
      </c>
      <c r="K113" s="14">
        <v>0</v>
      </c>
    </row>
    <row r="114" spans="1:11">
      <c r="A114" s="2" t="s">
        <v>473</v>
      </c>
      <c r="B114" s="3" t="s">
        <v>474</v>
      </c>
      <c r="D114" s="14">
        <v>2.6944379208251943E-20</v>
      </c>
      <c r="E114" s="14">
        <v>1.4966299100235947E-4</v>
      </c>
      <c r="F114" s="14">
        <v>3.3940324843284207E-9</v>
      </c>
      <c r="G114" s="14">
        <v>1.7099546727374484E-9</v>
      </c>
      <c r="H114" s="14">
        <v>0</v>
      </c>
      <c r="I114" s="14">
        <v>6.5414947759546633E-8</v>
      </c>
      <c r="J114" s="14">
        <v>2.6649006272387712E-7</v>
      </c>
      <c r="K114" s="14">
        <v>0</v>
      </c>
    </row>
    <row r="115" spans="1:11">
      <c r="A115" s="2" t="s">
        <v>475</v>
      </c>
      <c r="B115" s="3" t="s">
        <v>476</v>
      </c>
      <c r="D115" s="14">
        <v>1.3901072817344509E-16</v>
      </c>
      <c r="E115" s="14">
        <v>1.4581423514612352E-4</v>
      </c>
      <c r="F115" s="14">
        <v>4.1162476755268586E-6</v>
      </c>
      <c r="G115" s="14">
        <v>4.9304362941673481E-10</v>
      </c>
      <c r="H115" s="14">
        <v>0</v>
      </c>
      <c r="I115" s="14">
        <v>6.4742774332749773E-8</v>
      </c>
      <c r="J115" s="14">
        <v>4.2813602484560817E-9</v>
      </c>
      <c r="K115" s="14">
        <v>0</v>
      </c>
    </row>
    <row r="116" spans="1:11">
      <c r="A116" s="2" t="s">
        <v>477</v>
      </c>
      <c r="B116" s="3" t="s">
        <v>478</v>
      </c>
      <c r="D116" s="14">
        <v>3.8015998323124739E-21</v>
      </c>
      <c r="E116" s="14">
        <v>1.9471196432122335E-5</v>
      </c>
      <c r="F116" s="14">
        <v>1.1936503185199202E-4</v>
      </c>
      <c r="G116" s="14">
        <v>2.8910835241099361E-6</v>
      </c>
      <c r="H116" s="14">
        <v>0</v>
      </c>
      <c r="I116" s="14">
        <v>7.0951986474222071E-6</v>
      </c>
      <c r="J116" s="14">
        <v>1.1774895443534568E-6</v>
      </c>
      <c r="K116" s="14">
        <v>0</v>
      </c>
    </row>
    <row r="117" spans="1:11">
      <c r="A117" s="2" t="s">
        <v>291</v>
      </c>
      <c r="B117" s="3" t="s">
        <v>479</v>
      </c>
      <c r="D117" s="14">
        <v>4.1904921142346878E-14</v>
      </c>
      <c r="E117" s="14">
        <v>8.6469338724647264E-5</v>
      </c>
      <c r="F117" s="14">
        <v>3.1281222116876189E-5</v>
      </c>
      <c r="G117" s="14">
        <v>7.848366356366166E-6</v>
      </c>
      <c r="H117" s="14">
        <v>0</v>
      </c>
      <c r="I117" s="14">
        <v>1.5308589316326616E-7</v>
      </c>
      <c r="J117" s="14">
        <v>2.4247986867042177E-5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17"/>
  <sheetViews>
    <sheetView tabSelected="1" topLeftCell="A97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6.5316244019278562E-8</v>
      </c>
      <c r="B2">
        <f>'Mass Balance'!E2</f>
        <v>1.4830821795071687E-4</v>
      </c>
      <c r="C2">
        <f>SUM('Mass Balance'!E2:H2)</f>
        <v>1.4843610467756623E-4</v>
      </c>
      <c r="D2">
        <f>Concentrations!F2/Concentrations!E2</f>
        <v>1.0030487243621815</v>
      </c>
    </row>
    <row r="3" spans="1:4">
      <c r="A3">
        <f>'Mass Balance'!I3</f>
        <v>2.5338661880588216E-7</v>
      </c>
      <c r="B3">
        <f>'Mass Balance'!E3</f>
        <v>8.4794614415540569E-5</v>
      </c>
      <c r="C3">
        <f>SUM('Mass Balance'!E3:H3)</f>
        <v>1.2666577368092443E-4</v>
      </c>
      <c r="D3">
        <f>Concentrations!F3/Concentrations!E3</f>
        <v>0.67205582832727229</v>
      </c>
    </row>
    <row r="4" spans="1:4">
      <c r="A4">
        <f>'Mass Balance'!I4</f>
        <v>7.3288899590716853E-8</v>
      </c>
      <c r="B4">
        <f>'Mass Balance'!E4</f>
        <v>1.498620891590671E-4</v>
      </c>
      <c r="C4">
        <f>SUM('Mass Balance'!E4:H4)</f>
        <v>1.4992540485306746E-4</v>
      </c>
      <c r="D4">
        <f>Concentrations!F4/Concentrations!E4</f>
        <v>1.0034896895616316</v>
      </c>
    </row>
    <row r="5" spans="1:4">
      <c r="A5">
        <f>'Mass Balance'!I5</f>
        <v>4.9558926639218433E-8</v>
      </c>
      <c r="B5">
        <f>'Mass Balance'!E5</f>
        <v>8.212542604855435E-5</v>
      </c>
      <c r="C5">
        <f>SUM('Mass Balance'!E5:H5)</f>
        <v>1.4993853863721568E-4</v>
      </c>
      <c r="D5">
        <f>Concentrations!F5/Concentrations!E5</f>
        <v>0.5498708840734321</v>
      </c>
    </row>
    <row r="6" spans="1:4">
      <c r="A6">
        <f>'Mass Balance'!I6</f>
        <v>4.0791489163366402E-8</v>
      </c>
      <c r="B6">
        <f>'Mass Balance'!E6</f>
        <v>4.8621792529547713E-5</v>
      </c>
      <c r="C6">
        <f>SUM('Mass Balance'!E6:H6)</f>
        <v>1.499145667303159E-4</v>
      </c>
      <c r="D6">
        <f>Concentrations!F6/Concentrations!E6</f>
        <v>0.3255993237539378</v>
      </c>
    </row>
    <row r="7" spans="1:4">
      <c r="A7">
        <f>'Mass Balance'!I7</f>
        <v>3.3948974475314709E-8</v>
      </c>
      <c r="B7">
        <f>'Mass Balance'!E7</f>
        <v>1.6175346555598997E-5</v>
      </c>
      <c r="C7">
        <f>SUM('Mass Balance'!E7:H7)</f>
        <v>1.4972978487062946E-4</v>
      </c>
      <c r="D7">
        <f>Concentrations!F7/Concentrations!E7</f>
        <v>0.10845304645239195</v>
      </c>
    </row>
    <row r="8" spans="1:4">
      <c r="A8">
        <f>'Mass Balance'!I8</f>
        <v>3.646736490753016E-8</v>
      </c>
      <c r="B8">
        <f>'Mass Balance'!E8</f>
        <v>3.4470365454139031E-5</v>
      </c>
      <c r="C8">
        <f>SUM('Mass Balance'!E8:H8)</f>
        <v>1.499415171394188E-4</v>
      </c>
      <c r="D8">
        <f>Concentrations!F8/Concentrations!E8</f>
        <v>0.23079178670061076</v>
      </c>
    </row>
    <row r="9" spans="1:4">
      <c r="A9">
        <f>'Mass Balance'!I9</f>
        <v>5.2342688667384281E-8</v>
      </c>
      <c r="B9">
        <f>'Mass Balance'!E9</f>
        <v>9.2109275345485123E-5</v>
      </c>
      <c r="C9">
        <f>SUM('Mass Balance'!E9:H9)</f>
        <v>1.4989353039199783E-4</v>
      </c>
      <c r="D9">
        <f>Concentrations!F9/Concentrations!E9</f>
        <v>0.61690293913234817</v>
      </c>
    </row>
    <row r="10" spans="1:4">
      <c r="A10">
        <f>'Mass Balance'!I10</f>
        <v>3.1844118985365384E-7</v>
      </c>
      <c r="B10">
        <f>'Mass Balance'!E10</f>
        <v>1.6574833239304932E-6</v>
      </c>
      <c r="C10">
        <f>SUM('Mass Balance'!E10:H10)</f>
        <v>1.4221796423244569E-4</v>
      </c>
      <c r="D10">
        <f>Concentrations!F10/Concentrations!E10</f>
        <v>1.1700140373438877E-2</v>
      </c>
    </row>
    <row r="11" spans="1:4">
      <c r="A11">
        <f>'Mass Balance'!I11</f>
        <v>1.9145867771581373E-6</v>
      </c>
      <c r="B11">
        <f>'Mass Balance'!E11</f>
        <v>9.3004628598894108E-8</v>
      </c>
      <c r="C11">
        <f>SUM('Mass Balance'!E11:H11)</f>
        <v>1.4694810827103021E-4</v>
      </c>
      <c r="D11">
        <f>Concentrations!F11/Concentrations!E11</f>
        <v>6.3538495264243858E-4</v>
      </c>
    </row>
    <row r="12" spans="1:4">
      <c r="A12">
        <f>'Mass Balance'!I12</f>
        <v>6.1537885744204469E-8</v>
      </c>
      <c r="B12">
        <f>'Mass Balance'!E12</f>
        <v>1.4075023495646138E-4</v>
      </c>
      <c r="C12">
        <f>SUM('Mass Balance'!E12:H12)</f>
        <v>1.407561523930147E-4</v>
      </c>
      <c r="D12">
        <f>Concentrations!F12/Concentrations!E12</f>
        <v>1.0038714521286256</v>
      </c>
    </row>
    <row r="13" spans="1:4">
      <c r="A13">
        <f>'Mass Balance'!I13</f>
        <v>1.3734652874296341E-7</v>
      </c>
      <c r="B13">
        <f>'Mass Balance'!E13</f>
        <v>9.5057820958563129E-5</v>
      </c>
      <c r="C13">
        <f>SUM('Mass Balance'!E13:H13)</f>
        <v>1.2706545647589811E-4</v>
      </c>
      <c r="D13">
        <f>Concentrations!F13/Concentrations!E13</f>
        <v>0.75102901537292632</v>
      </c>
    </row>
    <row r="14" spans="1:4">
      <c r="A14">
        <f>'Mass Balance'!I14</f>
        <v>5.2580642261869557E-8</v>
      </c>
      <c r="B14">
        <f>'Mass Balance'!E14</f>
        <v>1.3213229574204997E-6</v>
      </c>
      <c r="C14">
        <f>SUM('Mass Balance'!E14:H14)</f>
        <v>1.4989791761662141E-4</v>
      </c>
      <c r="D14">
        <f>Concentrations!F14/Concentrations!E14</f>
        <v>8.8493168107598615E-3</v>
      </c>
    </row>
    <row r="15" spans="1:4">
      <c r="A15">
        <f>'Mass Balance'!I15</f>
        <v>6.9189319717058565E-8</v>
      </c>
      <c r="B15">
        <f>'Mass Balance'!E15</f>
        <v>1.2592001480292702E-4</v>
      </c>
      <c r="C15">
        <f>SUM('Mass Balance'!E15:H15)</f>
        <v>1.3011727459366377E-4</v>
      </c>
      <c r="D15">
        <f>Concentrations!F15/Concentrations!E15</f>
        <v>0.97152989827926495</v>
      </c>
    </row>
    <row r="16" spans="1:4">
      <c r="A16">
        <f>'Mass Balance'!I16</f>
        <v>1.4755920204802539E-7</v>
      </c>
      <c r="B16">
        <f>'Mass Balance'!E16</f>
        <v>8.9341572509960782E-5</v>
      </c>
      <c r="C16">
        <f>SUM('Mass Balance'!E16:H16)</f>
        <v>1.2597693254537838E-4</v>
      </c>
      <c r="D16">
        <f>Concentrations!F16/Concentrations!E16</f>
        <v>0.71196546040949049</v>
      </c>
    </row>
    <row r="17" spans="1:4">
      <c r="A17">
        <f>'Mass Balance'!I17</f>
        <v>1.408529117605743E-7</v>
      </c>
      <c r="B17">
        <f>'Mass Balance'!E17</f>
        <v>9.279309900148361E-5</v>
      </c>
      <c r="C17">
        <f>SUM('Mass Balance'!E17:H17)</f>
        <v>1.2643438227135192E-4</v>
      </c>
      <c r="D17">
        <f>Concentrations!F17/Concentrations!E17</f>
        <v>0.73679530590858944</v>
      </c>
    </row>
    <row r="18" spans="1:4">
      <c r="A18">
        <f>'Mass Balance'!I18</f>
        <v>1.6348178023681599E-6</v>
      </c>
      <c r="B18">
        <f>'Mass Balance'!E18</f>
        <v>1.0379803389052711E-7</v>
      </c>
      <c r="C18">
        <f>SUM('Mass Balance'!E18:H18)</f>
        <v>1.4287833217887513E-4</v>
      </c>
      <c r="D18">
        <f>Concentrations!F18/Concentrations!E18</f>
        <v>7.2932166972692724E-4</v>
      </c>
    </row>
    <row r="19" spans="1:4">
      <c r="A19">
        <f>'Mass Balance'!I19</f>
        <v>6.6837918183503758E-8</v>
      </c>
      <c r="B19">
        <f>'Mass Balance'!E19</f>
        <v>1.4208936846165851E-4</v>
      </c>
      <c r="C19">
        <f>SUM('Mass Balance'!E19:H19)</f>
        <v>1.434100498704936E-4</v>
      </c>
      <c r="D19">
        <f>Concentrations!F19/Concentrations!E19</f>
        <v>0.99466848831057531</v>
      </c>
    </row>
    <row r="20" spans="1:4">
      <c r="A20">
        <f>'Mass Balance'!I20</f>
        <v>6.8563998639229531E-8</v>
      </c>
      <c r="B20">
        <f>'Mass Balance'!E20</f>
        <v>1.3798796342151122E-4</v>
      </c>
      <c r="C20">
        <f>SUM('Mass Balance'!E20:H20)</f>
        <v>1.4035735900144795E-4</v>
      </c>
      <c r="D20">
        <f>Concentrations!F20/Concentrations!E20</f>
        <v>0.98696642602903817</v>
      </c>
    </row>
    <row r="21" spans="1:4">
      <c r="A21">
        <f>'Mass Balance'!I21</f>
        <v>9.9137098018034411E-8</v>
      </c>
      <c r="B21">
        <f>'Mass Balance'!E21</f>
        <v>1.6576531244627914E-5</v>
      </c>
      <c r="C21">
        <f>SUM('Mass Balance'!E21:H21)</f>
        <v>1.451518577008786E-4</v>
      </c>
      <c r="D21">
        <f>Concentrations!F21/Concentrations!E21</f>
        <v>0.11464824746831957</v>
      </c>
    </row>
    <row r="22" spans="1:4">
      <c r="A22">
        <f>'Mass Balance'!I22</f>
        <v>6.1976055233626258E-8</v>
      </c>
      <c r="B22">
        <f>'Mass Balance'!E22</f>
        <v>1.3989348460999816E-4</v>
      </c>
      <c r="C22">
        <f>SUM('Mass Balance'!E22:H22)</f>
        <v>1.4011059732402736E-4</v>
      </c>
      <c r="D22">
        <f>Concentrations!F22/Concentrations!E22</f>
        <v>1.002358011511207</v>
      </c>
    </row>
    <row r="23" spans="1:4">
      <c r="A23">
        <f>'Mass Balance'!I23</f>
        <v>7.7223985571644698E-8</v>
      </c>
      <c r="B23">
        <f>'Mass Balance'!E23</f>
        <v>1.2182311527340335E-4</v>
      </c>
      <c r="C23">
        <f>SUM('Mass Balance'!E23:H23)</f>
        <v>1.2914847362679145E-4</v>
      </c>
      <c r="D23">
        <f>Concentrations!F23/Concentrations!E23</f>
        <v>0.94697123184535303</v>
      </c>
    </row>
    <row r="24" spans="1:4">
      <c r="A24">
        <f>'Mass Balance'!I24</f>
        <v>1.8362576457412515E-7</v>
      </c>
      <c r="B24">
        <f>'Mass Balance'!E24</f>
        <v>7.0270552800242854E-5</v>
      </c>
      <c r="C24">
        <f>SUM('Mass Balance'!E24:H24)</f>
        <v>1.2362351966797126E-4</v>
      </c>
      <c r="D24">
        <f>Concentrations!F24/Concentrations!E24</f>
        <v>0.57064843187288916</v>
      </c>
    </row>
    <row r="25" spans="1:4">
      <c r="A25">
        <f>'Mass Balance'!I25</f>
        <v>1.5032032518620482E-6</v>
      </c>
      <c r="B25">
        <f>'Mass Balance'!E25</f>
        <v>1.4524082685679733E-7</v>
      </c>
      <c r="C25">
        <f>SUM('Mass Balance'!E25:H25)</f>
        <v>1.4240063222924432E-4</v>
      </c>
      <c r="D25">
        <f>Concentrations!F25/Concentrations!E25</f>
        <v>1.0239368137133337E-3</v>
      </c>
    </row>
    <row r="26" spans="1:4">
      <c r="A26">
        <f>'Mass Balance'!I26</f>
        <v>2.364992998905984E-7</v>
      </c>
      <c r="B26">
        <f>'Mass Balance'!E26</f>
        <v>2.4987108868148877E-5</v>
      </c>
      <c r="C26">
        <f>SUM('Mass Balance'!E26:H26)</f>
        <v>1.1039383164776759E-4</v>
      </c>
      <c r="D26">
        <f>Concentrations!F26/Concentrations!E26</f>
        <v>0.22723099168919011</v>
      </c>
    </row>
    <row r="27" spans="1:4">
      <c r="A27">
        <f>'Mass Balance'!I27</f>
        <v>1.341048834539529E-7</v>
      </c>
      <c r="B27">
        <f>'Mass Balance'!E27</f>
        <v>2.9425731351985149E-6</v>
      </c>
      <c r="C27">
        <f>SUM('Mass Balance'!E27:H27)</f>
        <v>5.8219836505001565E-5</v>
      </c>
      <c r="D27">
        <f>Concentrations!F27/Concentrations!E27</f>
        <v>5.0740255117250999E-2</v>
      </c>
    </row>
    <row r="28" spans="1:4">
      <c r="A28">
        <f>'Mass Balance'!I28</f>
        <v>6.9932351057348098E-8</v>
      </c>
      <c r="B28">
        <f>'Mass Balance'!E28</f>
        <v>5.5227624087616892E-6</v>
      </c>
      <c r="C28">
        <f>SUM('Mass Balance'!E28:H28)</f>
        <v>3.1541431257874831E-5</v>
      </c>
      <c r="D28">
        <f>Concentrations!F28/Concentrations!E28</f>
        <v>0.17578075519766784</v>
      </c>
    </row>
    <row r="29" spans="1:4">
      <c r="A29">
        <f>'Mass Balance'!I29</f>
        <v>5.7704142670614019E-9</v>
      </c>
      <c r="B29">
        <f>'Mass Balance'!E29</f>
        <v>1.1256429253167733E-5</v>
      </c>
      <c r="C29">
        <f>SUM('Mass Balance'!E29:H29)</f>
        <v>1.1503526894088582E-5</v>
      </c>
      <c r="D29">
        <f>Concentrations!F29/Concentrations!E29</f>
        <v>0.98234942729794872</v>
      </c>
    </row>
    <row r="30" spans="1:4">
      <c r="A30">
        <f>'Mass Balance'!I30</f>
        <v>2.7178158903416934E-8</v>
      </c>
      <c r="B30">
        <f>'Mass Balance'!E30</f>
        <v>2.2961597489437093E-6</v>
      </c>
      <c r="C30">
        <f>SUM('Mass Balance'!E30:H30)</f>
        <v>1.234160772456377E-5</v>
      </c>
      <c r="D30">
        <f>Concentrations!F30/Concentrations!E30</f>
        <v>0.18677843130853472</v>
      </c>
    </row>
    <row r="31" spans="1:4">
      <c r="A31">
        <f>'Mass Balance'!I31</f>
        <v>4.9363044848579824E-10</v>
      </c>
      <c r="B31">
        <f>'Mass Balance'!E31</f>
        <v>8.6349593082870469E-8</v>
      </c>
      <c r="C31">
        <f>SUM('Mass Balance'!E31:H31)</f>
        <v>2.5368148543252924E-7</v>
      </c>
      <c r="D31">
        <f>Concentrations!F31/Concentrations!E31</f>
        <v>0.34171802338874774</v>
      </c>
    </row>
    <row r="32" spans="1:4">
      <c r="A32">
        <f>'Mass Balance'!I32</f>
        <v>1.2649663852225583E-7</v>
      </c>
      <c r="B32">
        <f>'Mass Balance'!E32</f>
        <v>1.008721902218645E-4</v>
      </c>
      <c r="C32">
        <f>SUM('Mass Balance'!E32:H32)</f>
        <v>1.2808520994393743E-4</v>
      </c>
      <c r="D32">
        <f>Concentrations!F32/Concentrations!E32</f>
        <v>0.79062187913500215</v>
      </c>
    </row>
    <row r="33" spans="1:4">
      <c r="A33">
        <f>'Mass Balance'!I33</f>
        <v>9.3224424680149554E-8</v>
      </c>
      <c r="B33">
        <f>'Mass Balance'!E33</f>
        <v>1.2170830925568319E-4</v>
      </c>
      <c r="C33">
        <f>SUM('Mass Balance'!E33:H33)</f>
        <v>1.3428092461395018E-4</v>
      </c>
      <c r="D33">
        <f>Concentrations!F33/Concentrations!E33</f>
        <v>0.90991802583642023</v>
      </c>
    </row>
    <row r="34" spans="1:4">
      <c r="A34">
        <f>'Mass Balance'!I34</f>
        <v>2.6380969341896894E-7</v>
      </c>
      <c r="B34">
        <f>'Mass Balance'!E34</f>
        <v>3.1838502881763699E-5</v>
      </c>
      <c r="C34">
        <f>SUM('Mass Balance'!E34:H34)</f>
        <v>1.2568634649308711E-4</v>
      </c>
      <c r="D34">
        <f>Concentrations!F34/Concentrations!E34</f>
        <v>0.25430851284398481</v>
      </c>
    </row>
    <row r="35" spans="1:4">
      <c r="A35">
        <f>'Mass Balance'!I35</f>
        <v>3.1135593183566048E-7</v>
      </c>
      <c r="B35">
        <f>'Mass Balance'!E35</f>
        <v>3.4099173248934672E-6</v>
      </c>
      <c r="C35">
        <f>SUM('Mass Balance'!E35:H35)</f>
        <v>1.3787808013784246E-4</v>
      </c>
      <c r="D35">
        <f>Concentrations!F35/Concentrations!E35</f>
        <v>2.4828185657071927E-2</v>
      </c>
    </row>
    <row r="36" spans="1:4">
      <c r="A36">
        <f>'Mass Balance'!I36</f>
        <v>6.8221100402033727E-7</v>
      </c>
      <c r="B36">
        <f>'Mass Balance'!E36</f>
        <v>7.4540401258345624E-7</v>
      </c>
      <c r="C36">
        <f>SUM('Mass Balance'!E36:H36)</f>
        <v>1.4123728670819994E-4</v>
      </c>
      <c r="D36">
        <f>Concentrations!F36/Concentrations!E36</f>
        <v>5.2983265655727266E-3</v>
      </c>
    </row>
    <row r="37" spans="1:4">
      <c r="A37">
        <f>'Mass Balance'!I37</f>
        <v>1.5961899575813913E-6</v>
      </c>
      <c r="B37">
        <f>'Mass Balance'!E37</f>
        <v>1.1388273129989706E-7</v>
      </c>
      <c r="C37">
        <f>SUM('Mass Balance'!E37:H37)</f>
        <v>1.4245767868229111E-4</v>
      </c>
      <c r="D37">
        <f>Concentrations!F37/Concentrations!E37</f>
        <v>8.0254311530271677E-4</v>
      </c>
    </row>
    <row r="38" spans="1:4">
      <c r="A38">
        <f>'Mass Balance'!I38</f>
        <v>1.0012977694204488E-6</v>
      </c>
      <c r="B38">
        <f>'Mass Balance'!E38</f>
        <v>4.1085000004567329E-7</v>
      </c>
      <c r="C38">
        <f>SUM('Mass Balance'!E38:H38)</f>
        <v>1.4132551903325581E-4</v>
      </c>
      <c r="D38">
        <f>Concentrations!F38/Concentrations!E38</f>
        <v>2.9184957454671031E-3</v>
      </c>
    </row>
    <row r="39" spans="1:4">
      <c r="A39">
        <f>'Mass Balance'!I39</f>
        <v>7.5038646332102958E-7</v>
      </c>
      <c r="B39">
        <f>'Mass Balance'!E39</f>
        <v>6.1978785191343647E-7</v>
      </c>
      <c r="C39">
        <f>SUM('Mass Balance'!E39:H39)</f>
        <v>1.3800836707300606E-4</v>
      </c>
      <c r="D39">
        <f>Concentrations!F39/Concentrations!E39</f>
        <v>4.5085200424820789E-3</v>
      </c>
    </row>
    <row r="40" spans="1:4">
      <c r="A40">
        <f>'Mass Balance'!I40</f>
        <v>1.0012977694204488E-6</v>
      </c>
      <c r="B40">
        <f>'Mass Balance'!E40</f>
        <v>4.1085000004567329E-7</v>
      </c>
      <c r="C40">
        <f>SUM('Mass Balance'!E40:H40)</f>
        <v>1.4132551903325581E-4</v>
      </c>
      <c r="D40">
        <f>Concentrations!F40/Concentrations!E40</f>
        <v>2.9184957454671031E-3</v>
      </c>
    </row>
    <row r="41" spans="1:4">
      <c r="A41">
        <f>'Mass Balance'!I41</f>
        <v>6.4189320164090322E-8</v>
      </c>
      <c r="B41">
        <f>'Mass Balance'!E41</f>
        <v>1.4309339316850522E-4</v>
      </c>
      <c r="C41">
        <f>SUM('Mass Balance'!E41:H41)</f>
        <v>1.4992439643337171E-4</v>
      </c>
      <c r="D41">
        <f>Concentrations!F41/Concentrations!E41</f>
        <v>0.95817235250460897</v>
      </c>
    </row>
    <row r="42" spans="1:4">
      <c r="A42">
        <f>'Mass Balance'!I42</f>
        <v>1.6300115525781064E-6</v>
      </c>
      <c r="B42">
        <f>'Mass Balance'!E42</f>
        <v>1.0349287494384102E-7</v>
      </c>
      <c r="C42">
        <f>SUM('Mass Balance'!E42:H42)</f>
        <v>1.4245827989351145E-4</v>
      </c>
      <c r="D42">
        <f>Concentrations!F42/Concentrations!E42</f>
        <v>7.2932166972692724E-4</v>
      </c>
    </row>
    <row r="43" spans="1:4">
      <c r="A43">
        <f>'Mass Balance'!I43</f>
        <v>1.9326020057451601E-7</v>
      </c>
      <c r="B43">
        <f>'Mass Balance'!E43</f>
        <v>6.5734734920752351E-5</v>
      </c>
      <c r="C43">
        <f>SUM('Mass Balance'!E43:H43)</f>
        <v>1.2359906649273255E-4</v>
      </c>
      <c r="D43">
        <f>Concentrations!F43/Concentrations!E43</f>
        <v>0.53391987495413606</v>
      </c>
    </row>
    <row r="44" spans="1:4">
      <c r="A44">
        <f>'Mass Balance'!I44</f>
        <v>4.8353219143306973E-7</v>
      </c>
      <c r="B44">
        <f>'Mass Balance'!E44</f>
        <v>1.1138837922848185E-6</v>
      </c>
      <c r="C44">
        <f>SUM('Mass Balance'!E44:H44)</f>
        <v>1.4158857299142023E-4</v>
      </c>
      <c r="D44">
        <f>Concentrations!F44/Concentrations!E44</f>
        <v>7.8978347458445227E-3</v>
      </c>
    </row>
    <row r="45" spans="1:4">
      <c r="A45">
        <f>'Mass Balance'!I45</f>
        <v>1.886969343371328E-6</v>
      </c>
      <c r="B45">
        <f>'Mass Balance'!E45</f>
        <v>4.6037993671053739E-8</v>
      </c>
      <c r="C45">
        <f>SUM('Mass Balance'!E45:H45)</f>
        <v>1.4395909858491739E-4</v>
      </c>
      <c r="D45">
        <f>Concentrations!F45/Concentrations!E45</f>
        <v>3.2105070844138669E-4</v>
      </c>
    </row>
    <row r="46" spans="1:4">
      <c r="A46">
        <f>'Mass Balance'!I46</f>
        <v>1.675989382409922E-6</v>
      </c>
      <c r="B46">
        <f>'Mass Balance'!E46</f>
        <v>9.2513779351104814E-8</v>
      </c>
      <c r="C46">
        <f>SUM('Mass Balance'!E46:H46)</f>
        <v>1.430337879948594E-4</v>
      </c>
      <c r="D46">
        <f>Concentrations!F46/Concentrations!E46</f>
        <v>6.4932802139476542E-4</v>
      </c>
    </row>
    <row r="47" spans="1:4">
      <c r="A47">
        <f>'Mass Balance'!I47</f>
        <v>1.3461813057501626E-6</v>
      </c>
      <c r="B47">
        <f>'Mass Balance'!E47</f>
        <v>2.0738690424312908E-7</v>
      </c>
      <c r="C47">
        <f>SUM('Mass Balance'!E47:H47)</f>
        <v>1.4195278174548585E-4</v>
      </c>
      <c r="D47">
        <f>Concentrations!F47/Concentrations!E47</f>
        <v>1.4666746427414959E-3</v>
      </c>
    </row>
    <row r="48" spans="1:4">
      <c r="A48">
        <f>'Mass Balance'!I48</f>
        <v>3.0797419165852966E-7</v>
      </c>
      <c r="B48">
        <f>'Mass Balance'!E48</f>
        <v>1.0232128370359423E-5</v>
      </c>
      <c r="C48">
        <f>SUM('Mass Balance'!E48:H48)</f>
        <v>1.334394224589369E-4</v>
      </c>
      <c r="D48">
        <f>Concentrations!F48/Concentrations!E48</f>
        <v>7.6980049987451254E-2</v>
      </c>
    </row>
    <row r="49" spans="1:4">
      <c r="A49">
        <f>'Mass Balance'!I49</f>
        <v>5.1740219382881668E-7</v>
      </c>
      <c r="B49">
        <f>'Mass Balance'!E49</f>
        <v>1.0363777461687449E-6</v>
      </c>
      <c r="C49">
        <f>SUM('Mass Balance'!E49:H49)</f>
        <v>1.4152133111406816E-4</v>
      </c>
      <c r="D49">
        <f>Concentrations!F49/Concentrations!E49</f>
        <v>7.3517805761136139E-3</v>
      </c>
    </row>
    <row r="50" spans="1:4">
      <c r="A50">
        <f>'Mass Balance'!I50</f>
        <v>5.7734416065380351E-7</v>
      </c>
      <c r="B50">
        <f>'Mass Balance'!E50</f>
        <v>9.1601025786066831E-7</v>
      </c>
      <c r="C50">
        <f>SUM('Mass Balance'!E50:H50)</f>
        <v>1.4139665372709257E-4</v>
      </c>
      <c r="D50">
        <f>Concentrations!F50/Concentrations!E50</f>
        <v>6.5036560878853978E-3</v>
      </c>
    </row>
    <row r="51" spans="1:4">
      <c r="A51">
        <f>'Mass Balance'!I51</f>
        <v>3.1354710786151254E-7</v>
      </c>
      <c r="B51">
        <f>'Mass Balance'!E51</f>
        <v>6.4191495215321481E-6</v>
      </c>
      <c r="C51">
        <f>SUM('Mass Balance'!E51:H51)</f>
        <v>1.3628486083168808E-4</v>
      </c>
      <c r="D51">
        <f>Concentrations!F51/Concentrations!E51</f>
        <v>4.728530984048708E-2</v>
      </c>
    </row>
    <row r="52" spans="1:4">
      <c r="A52">
        <f>'Mass Balance'!I52</f>
        <v>3.0869554277222277E-7</v>
      </c>
      <c r="B52">
        <f>'Mass Balance'!E52</f>
        <v>9.7951251547950768E-6</v>
      </c>
      <c r="C52">
        <f>SUM('Mass Balance'!E52:H52)</f>
        <v>1.3371421117935512E-4</v>
      </c>
      <c r="D52">
        <f>Concentrations!F52/Concentrations!E52</f>
        <v>7.3540873690213074E-2</v>
      </c>
    </row>
    <row r="53" spans="1:4">
      <c r="A53">
        <f>'Mass Balance'!I53</f>
        <v>7.9010105490844906E-7</v>
      </c>
      <c r="B53">
        <f>'Mass Balance'!E53</f>
        <v>6.0849891101047658E-7</v>
      </c>
      <c r="C53">
        <f>SUM('Mass Balance'!E53:H53)</f>
        <v>1.4122739556375006E-4</v>
      </c>
      <c r="D53">
        <f>Concentrations!F53/Concentrations!E53</f>
        <v>4.3255089750456228E-3</v>
      </c>
    </row>
    <row r="54" spans="1:4">
      <c r="A54">
        <f>'Mass Balance'!I54</f>
        <v>5.468328406237069E-7</v>
      </c>
      <c r="B54">
        <f>'Mass Balance'!E54</f>
        <v>9.7484290787168126E-7</v>
      </c>
      <c r="C54">
        <f>SUM('Mass Balance'!E54:H54)</f>
        <v>1.414605542060929E-4</v>
      </c>
      <c r="D54">
        <f>Concentrations!F54/Concentrations!E54</f>
        <v>6.9182403118300557E-3</v>
      </c>
    </row>
    <row r="55" spans="1:4">
      <c r="A55">
        <f>'Mass Balance'!I55</f>
        <v>1.3297184199094611E-6</v>
      </c>
      <c r="B55">
        <f>'Mass Balance'!E55</f>
        <v>2.1463360706466344E-7</v>
      </c>
      <c r="C55">
        <f>SUM('Mass Balance'!E55:H55)</f>
        <v>1.4188149030512013E-4</v>
      </c>
      <c r="D55">
        <f>Concentrations!F55/Concentrations!E55</f>
        <v>1.5186872432767797E-3</v>
      </c>
    </row>
    <row r="56" spans="1:4">
      <c r="A56">
        <f>'Mass Balance'!I56</f>
        <v>4.9466029960247112E-7</v>
      </c>
      <c r="B56">
        <f>'Mass Balance'!E56</f>
        <v>1.0876293065920908E-6</v>
      </c>
      <c r="C56">
        <f>SUM('Mass Balance'!E56:H56)</f>
        <v>1.4157108877726793E-4</v>
      </c>
      <c r="D56">
        <f>Concentrations!F56/Concentrations!E56</f>
        <v>7.7126334484831213E-3</v>
      </c>
    </row>
    <row r="57" spans="1:4">
      <c r="A57">
        <f>'Mass Balance'!I57</f>
        <v>3.0324345986829999E-7</v>
      </c>
      <c r="B57">
        <f>'Mass Balance'!E57</f>
        <v>1.2386264316439427E-5</v>
      </c>
      <c r="C57">
        <f>SUM('Mass Balance'!E57:H57)</f>
        <v>1.318018033264078E-4</v>
      </c>
      <c r="D57">
        <f>Concentrations!F57/Concentrations!E57</f>
        <v>9.4344231965447375E-2</v>
      </c>
    </row>
    <row r="58" spans="1:4">
      <c r="A58">
        <f>'Mass Balance'!I58</f>
        <v>5.5285362146685474E-7</v>
      </c>
      <c r="B58">
        <f>'Mass Balance'!E58</f>
        <v>9.6287003110261036E-7</v>
      </c>
      <c r="C58">
        <f>SUM('Mass Balance'!E58:H58)</f>
        <v>1.4144911126630328E-4</v>
      </c>
      <c r="D58">
        <f>Concentrations!F58/Concentrations!E58</f>
        <v>6.8338243025118008E-3</v>
      </c>
    </row>
    <row r="59" spans="1:4">
      <c r="A59">
        <f>'Mass Balance'!I59</f>
        <v>3.0873241754350702E-7</v>
      </c>
      <c r="B59">
        <f>'Mass Balance'!E59</f>
        <v>9.7962952170400304E-6</v>
      </c>
      <c r="C59">
        <f>SUM('Mass Balance'!E59:H59)</f>
        <v>1.3373018381346058E-4</v>
      </c>
      <c r="D59">
        <f>Concentrations!F59/Concentrations!E59</f>
        <v>7.3540873690213074E-2</v>
      </c>
    </row>
    <row r="60" spans="1:4">
      <c r="A60">
        <f>'Mass Balance'!I60</f>
        <v>7.2423187303804669E-7</v>
      </c>
      <c r="B60">
        <f>'Mass Balance'!E60</f>
        <v>6.8801043498639048E-7</v>
      </c>
      <c r="C60">
        <f>SUM('Mass Balance'!E60:H60)</f>
        <v>1.411996205142576E-4</v>
      </c>
      <c r="D60">
        <f>Concentrations!F60/Concentrations!E60</f>
        <v>4.8916779614992956E-3</v>
      </c>
    </row>
    <row r="61" spans="1:4">
      <c r="A61">
        <f>'Mass Balance'!I61</f>
        <v>1.7866540203440081E-6</v>
      </c>
      <c r="B61">
        <f>'Mass Balance'!E61</f>
        <v>4.6647219506742294E-5</v>
      </c>
      <c r="C61">
        <f>SUM('Mass Balance'!E61:H61)</f>
        <v>1.3431050085953552E-4</v>
      </c>
      <c r="D61">
        <f>Concentrations!F61/Concentrations!E61</f>
        <v>0.3486680521941608</v>
      </c>
    </row>
    <row r="62" spans="1:4">
      <c r="A62">
        <f>'Mass Balance'!I62</f>
        <v>2.5894027152428946E-7</v>
      </c>
      <c r="B62">
        <f>'Mass Balance'!E62</f>
        <v>3.4130732169512966E-5</v>
      </c>
      <c r="C62">
        <f>SUM('Mass Balance'!E62:H62)</f>
        <v>1.2527975175934496E-4</v>
      </c>
      <c r="D62">
        <f>Concentrations!F62/Concentrations!E62</f>
        <v>0.27350236304920528</v>
      </c>
    </row>
    <row r="63" spans="1:4">
      <c r="A63">
        <f>'Mass Balance'!I63</f>
        <v>3.3262402050009984E-7</v>
      </c>
      <c r="B63">
        <f>'Mass Balance'!E63</f>
        <v>1.4153619403535706E-4</v>
      </c>
      <c r="C63">
        <f>SUM('Mass Balance'!E63:H63)</f>
        <v>1.4707798535508289E-4</v>
      </c>
      <c r="D63">
        <f>Concentrations!F63/Concentrations!E63</f>
        <v>0.96608692190690337</v>
      </c>
    </row>
    <row r="64" spans="1:4">
      <c r="A64">
        <f>'Mass Balance'!I64</f>
        <v>6.5369600008965222E-8</v>
      </c>
      <c r="B64">
        <f>'Mass Balance'!E64</f>
        <v>1.4780838875050277E-4</v>
      </c>
      <c r="C64">
        <f>SUM('Mass Balance'!E64:H64)</f>
        <v>1.4965927446686906E-4</v>
      </c>
      <c r="D64">
        <f>Concentrations!F64/Concentrations!E64</f>
        <v>0.99149792496629252</v>
      </c>
    </row>
    <row r="65" spans="1:4">
      <c r="A65">
        <f>'Mass Balance'!I65</f>
        <v>8.952312129280255E-8</v>
      </c>
      <c r="B65">
        <f>'Mass Balance'!E65</f>
        <v>1.4953782572427776E-4</v>
      </c>
      <c r="C65">
        <f>SUM('Mass Balance'!E65:H65)</f>
        <v>1.4978778989651576E-4</v>
      </c>
      <c r="D65">
        <f>Concentrations!F65/Concentrations!E65</f>
        <v>1.0022383372267634</v>
      </c>
    </row>
    <row r="66" spans="1:4">
      <c r="A66">
        <f>'Mass Balance'!I66</f>
        <v>2.2929828718840713E-6</v>
      </c>
      <c r="B66">
        <f>'Mass Balance'!E66</f>
        <v>1.157179001982688E-4</v>
      </c>
      <c r="C66">
        <f>SUM('Mass Balance'!E66:H66)</f>
        <v>1.4661216111620576E-4</v>
      </c>
      <c r="D66">
        <f>Concentrations!F66/Concentrations!E66</f>
        <v>0.79236796923264419</v>
      </c>
    </row>
    <row r="67" spans="1:4">
      <c r="A67">
        <f>'Mass Balance'!I67</f>
        <v>8.54269817770937E-8</v>
      </c>
      <c r="B67">
        <f>'Mass Balance'!E67</f>
        <v>1.495637262982153E-4</v>
      </c>
      <c r="C67">
        <f>SUM('Mass Balance'!E67:H67)</f>
        <v>1.4977659530052495E-4</v>
      </c>
      <c r="D67">
        <f>Concentrations!F67/Concentrations!E67</f>
        <v>1.0024868513093348</v>
      </c>
    </row>
    <row r="68" spans="1:4">
      <c r="A68">
        <f>'Mass Balance'!I68</f>
        <v>6.8126516946411978E-8</v>
      </c>
      <c r="B68">
        <f>'Mass Balance'!E68</f>
        <v>1.4985025068420921E-4</v>
      </c>
      <c r="C68">
        <f>SUM('Mass Balance'!E68:H68)</f>
        <v>1.4987611279461188E-4</v>
      </c>
      <c r="D68">
        <f>Concentrations!F68/Concentrations!E68</f>
        <v>1.0037404250867854</v>
      </c>
    </row>
    <row r="69" spans="1:4">
      <c r="A69">
        <f>'Mass Balance'!I69</f>
        <v>4.3949010907861625E-7</v>
      </c>
      <c r="B69">
        <f>'Mass Balance'!E69</f>
        <v>1.2284327808989462E-6</v>
      </c>
      <c r="C69">
        <f>SUM('Mass Balance'!E69:H69)</f>
        <v>1.4172861324550118E-4</v>
      </c>
      <c r="D69">
        <f>Concentrations!F69/Concentrations!E69</f>
        <v>8.7014218033396335E-3</v>
      </c>
    </row>
    <row r="70" spans="1:4">
      <c r="A70">
        <f>'Mass Balance'!I70</f>
        <v>6.4656258446692436E-8</v>
      </c>
      <c r="B70">
        <f>'Mass Balance'!E70</f>
        <v>1.4539512582677311E-4</v>
      </c>
      <c r="C70">
        <f>SUM('Mass Balance'!E70:H70)</f>
        <v>1.4993174886922703E-4</v>
      </c>
      <c r="D70">
        <f>Concentrations!F70/Concentrations!E70</f>
        <v>0.97353731667672883</v>
      </c>
    </row>
    <row r="71" spans="1:4">
      <c r="A71">
        <f>'Mass Balance'!I71</f>
        <v>6.3832962195738826E-8</v>
      </c>
      <c r="B71">
        <f>'Mass Balance'!E71</f>
        <v>1.4147420299381243E-4</v>
      </c>
      <c r="C71">
        <f>SUM('Mass Balance'!E71:H71)</f>
        <v>1.4993124128600741E-4</v>
      </c>
      <c r="D71">
        <f>Concentrations!F71/Concentrations!E71</f>
        <v>0.94728679146870576</v>
      </c>
    </row>
    <row r="72" spans="1:4">
      <c r="A72">
        <f>'Mass Balance'!I72</f>
        <v>1.9959789396842886E-7</v>
      </c>
      <c r="B72">
        <f>'Mass Balance'!E72</f>
        <v>5.836337914139885E-7</v>
      </c>
      <c r="C72">
        <f>SUM('Mass Balance'!E72:H72)</f>
        <v>1.4979483070590762E-4</v>
      </c>
      <c r="D72">
        <f>Concentrations!F72/Concentrations!E72</f>
        <v>3.9114696490280682E-3</v>
      </c>
    </row>
    <row r="73" spans="1:4">
      <c r="A73">
        <f>'Mass Balance'!I73</f>
        <v>2.565973461116195E-8</v>
      </c>
      <c r="B73">
        <f>'Mass Balance'!E73</f>
        <v>5.4158105884169873E-6</v>
      </c>
      <c r="C73">
        <f>SUM('Mass Balance'!E73:H73)</f>
        <v>1.4996982099479912E-4</v>
      </c>
      <c r="D73">
        <f>Concentrations!F73/Concentrations!E73</f>
        <v>3.6254002154393526E-2</v>
      </c>
    </row>
    <row r="74" spans="1:4">
      <c r="A74">
        <f>'Mass Balance'!I74</f>
        <v>6.3996151663459392E-8</v>
      </c>
      <c r="B74">
        <f>'Mass Balance'!E74</f>
        <v>1.4223794712194459E-4</v>
      </c>
      <c r="C74">
        <f>SUM('Mass Balance'!E74:H74)</f>
        <v>1.4993131836014829E-4</v>
      </c>
      <c r="D74">
        <f>Concentrations!F74/Concentrations!E74</f>
        <v>0.95240020044659923</v>
      </c>
    </row>
    <row r="75" spans="1:4">
      <c r="A75">
        <f>'Mass Balance'!I75</f>
        <v>2.619561931362854E-8</v>
      </c>
      <c r="B75">
        <f>'Mass Balance'!E75</f>
        <v>6.4075301948865963E-6</v>
      </c>
      <c r="C75">
        <f>SUM('Mass Balance'!E75:H75)</f>
        <v>1.4996892367021486E-4</v>
      </c>
      <c r="D75">
        <f>Concentrations!F75/Concentrations!E75</f>
        <v>4.2892933501575733E-2</v>
      </c>
    </row>
    <row r="76" spans="1:4">
      <c r="A76">
        <f>'Mass Balance'!I76</f>
        <v>4.5614093928299175E-8</v>
      </c>
      <c r="B76">
        <f>'Mass Balance'!E76</f>
        <v>6.7180291347633685E-5</v>
      </c>
      <c r="C76">
        <f>SUM('Mass Balance'!E76:H76)</f>
        <v>1.4994306539356262E-4</v>
      </c>
      <c r="D76">
        <f>Concentrations!F76/Concentrations!E76</f>
        <v>0.44979213802343765</v>
      </c>
    </row>
    <row r="77" spans="1:4">
      <c r="A77">
        <f>'Mass Balance'!I77</f>
        <v>2.5808820150598251E-8</v>
      </c>
      <c r="B77">
        <f>'Mass Balance'!E77</f>
        <v>5.6830171961039849E-6</v>
      </c>
      <c r="C77">
        <f>SUM('Mass Balance'!E77:H77)</f>
        <v>1.4996955628932319E-4</v>
      </c>
      <c r="D77">
        <f>Concentrations!F77/Concentrations!E77</f>
        <v>3.8042778263146559E-2</v>
      </c>
    </row>
    <row r="78" spans="1:4">
      <c r="A78">
        <f>'Mass Balance'!I78</f>
        <v>1.6729331734713954E-7</v>
      </c>
      <c r="B78">
        <f>'Mass Balance'!E78</f>
        <v>6.4744280180718818E-7</v>
      </c>
      <c r="C78">
        <f>SUM('Mass Balance'!E78:H78)</f>
        <v>1.4982742088662772E-4</v>
      </c>
      <c r="D78">
        <f>Concentrations!F78/Concentrations!E78</f>
        <v>4.3381689881233443E-3</v>
      </c>
    </row>
    <row r="79" spans="1:4">
      <c r="A79">
        <f>'Mass Balance'!I79</f>
        <v>1.6729319551136335E-7</v>
      </c>
      <c r="B79">
        <f>'Mass Balance'!E79</f>
        <v>6.4744284564889556E-7</v>
      </c>
      <c r="C79">
        <f>SUM('Mass Balance'!E79:H79)</f>
        <v>1.4982742192540049E-4</v>
      </c>
      <c r="D79">
        <f>Concentrations!F79/Concentrations!E79</f>
        <v>4.338169251806163E-3</v>
      </c>
    </row>
    <row r="80" spans="1:4">
      <c r="A80">
        <f>'Mass Balance'!I80</f>
        <v>3.3356362293369293E-8</v>
      </c>
      <c r="B80">
        <f>'Mass Balance'!E80</f>
        <v>2.5003542073110121E-5</v>
      </c>
      <c r="C80">
        <f>SUM('Mass Balance'!E80:H80)</f>
        <v>1.4995793008422715E-4</v>
      </c>
      <c r="D80">
        <f>Concentrations!F80/Concentrations!E80</f>
        <v>0.16738959617862059</v>
      </c>
    </row>
    <row r="81" spans="1:4">
      <c r="A81">
        <f>'Mass Balance'!I81</f>
        <v>5.9108256781632929E-8</v>
      </c>
      <c r="B81">
        <f>'Mass Balance'!E81</f>
        <v>1.2067057726454461E-4</v>
      </c>
      <c r="C81">
        <f>SUM('Mass Balance'!E81:H81)</f>
        <v>1.4993220336529561E-4</v>
      </c>
      <c r="D81">
        <f>Concentrations!F81/Concentrations!E81</f>
        <v>0.80798412745827075</v>
      </c>
    </row>
    <row r="82" spans="1:4">
      <c r="A82">
        <f>'Mass Balance'!I82</f>
        <v>5.1895112959413684E-8</v>
      </c>
      <c r="B82">
        <f>'Mass Balance'!E82</f>
        <v>9.1256233456976104E-5</v>
      </c>
      <c r="C82">
        <f>SUM('Mass Balance'!E82:H82)</f>
        <v>1.4993718404408702E-4</v>
      </c>
      <c r="D82">
        <f>Concentrations!F82/Concentrations!E82</f>
        <v>0.6110117356008371</v>
      </c>
    </row>
    <row r="83" spans="1:4">
      <c r="A83">
        <f>'Mass Balance'!I83</f>
        <v>3.2432965383162278E-7</v>
      </c>
      <c r="B83">
        <f>'Mass Balance'!E83</f>
        <v>4.3852547444095947E-7</v>
      </c>
      <c r="C83">
        <f>SUM('Mass Balance'!E83:H83)</f>
        <v>1.49669234596668E-4</v>
      </c>
      <c r="D83">
        <f>Concentrations!F83/Concentrations!E83</f>
        <v>2.9414309087652814E-3</v>
      </c>
    </row>
    <row r="84" spans="1:4">
      <c r="A84">
        <f>'Mass Balance'!I84</f>
        <v>2.1958938697761487E-7</v>
      </c>
      <c r="B84">
        <f>'Mass Balance'!E84</f>
        <v>5.2810977809029537E-5</v>
      </c>
      <c r="C84">
        <f>SUM('Mass Balance'!E84:H84)</f>
        <v>1.2350329093368953E-4</v>
      </c>
      <c r="D84">
        <f>Concentrations!F84/Concentrations!E84</f>
        <v>0.42928136943734019</v>
      </c>
    </row>
    <row r="85" spans="1:4">
      <c r="A85">
        <f>'Mass Balance'!I85</f>
        <v>2.2980361556930723E-5</v>
      </c>
      <c r="B85">
        <f>'Mass Balance'!E85</f>
        <v>7.1887516897889782E-6</v>
      </c>
      <c r="C85">
        <f>SUM('Mass Balance'!E85:H85)</f>
        <v>1.2608197433777556E-4</v>
      </c>
      <c r="D85">
        <f>Concentrations!F85/Concentrations!E85</f>
        <v>5.7239633469175162E-2</v>
      </c>
    </row>
    <row r="86" spans="1:4">
      <c r="A86">
        <f>'Mass Balance'!I86</f>
        <v>1.8319289491093482E-6</v>
      </c>
      <c r="B86">
        <f>'Mass Balance'!E86</f>
        <v>5.6437896539999682E-8</v>
      </c>
      <c r="C86">
        <f>SUM('Mass Balance'!E86:H86)</f>
        <v>1.4369636036658969E-4</v>
      </c>
      <c r="D86">
        <f>Concentrations!F86/Concentrations!E86</f>
        <v>3.942951301225698E-4</v>
      </c>
    </row>
    <row r="87" spans="1:4">
      <c r="A87">
        <f>'Mass Balance'!I87</f>
        <v>2.0700273452380379E-6</v>
      </c>
      <c r="B87">
        <f>'Mass Balance'!E87</f>
        <v>1.9406485823083915E-8</v>
      </c>
      <c r="C87">
        <f>SUM('Mass Balance'!E87:H87)</f>
        <v>1.4494282061477121E-4</v>
      </c>
      <c r="D87">
        <f>Concentrations!F87/Concentrations!E87</f>
        <v>1.3441463378141344E-4</v>
      </c>
    </row>
    <row r="88" spans="1:4">
      <c r="A88">
        <f>'Mass Balance'!I88</f>
        <v>2.2335525486605378E-6</v>
      </c>
      <c r="B88">
        <f>'Mass Balance'!E88</f>
        <v>5.4117662009387282E-9</v>
      </c>
      <c r="C88">
        <f>SUM('Mass Balance'!E88:H88)</f>
        <v>1.4599273044564896E-4</v>
      </c>
      <c r="D88">
        <f>Concentrations!F88/Concentrations!E88</f>
        <v>3.7213811818105853E-5</v>
      </c>
    </row>
    <row r="89" spans="1:4">
      <c r="A89">
        <f>'Mass Balance'!I89</f>
        <v>8.2002165650011603E-5</v>
      </c>
      <c r="B89">
        <f>'Mass Balance'!E89</f>
        <v>1.6274194438856183E-7</v>
      </c>
      <c r="C89">
        <f>SUM('Mass Balance'!E89:H89)</f>
        <v>6.7137014764341894E-5</v>
      </c>
      <c r="D89">
        <f>Concentrations!F89/Concentrations!E89</f>
        <v>2.4335139283741215E-3</v>
      </c>
    </row>
    <row r="90" spans="1:4">
      <c r="A90">
        <f>'Mass Balance'!I90</f>
        <v>6.5392438276775369E-8</v>
      </c>
      <c r="B90">
        <f>'Mass Balance'!E90</f>
        <v>1.4813575643497697E-4</v>
      </c>
      <c r="C90">
        <f>SUM('Mass Balance'!E90:H90)</f>
        <v>1.48322020460936E-4</v>
      </c>
      <c r="D90">
        <f>Concentrations!F90/Concentrations!E90</f>
        <v>1.0026529338867345</v>
      </c>
    </row>
    <row r="91" spans="1:4">
      <c r="A91">
        <f>'Mass Balance'!I91</f>
        <v>9.2017369374284865E-8</v>
      </c>
      <c r="B91">
        <f>'Mass Balance'!E91</f>
        <v>1.2253129640832716E-4</v>
      </c>
      <c r="C91">
        <f>SUM('Mass Balance'!E91:H91)</f>
        <v>1.3458118814738024E-4</v>
      </c>
      <c r="D91">
        <f>Concentrations!F91/Concentrations!E91</f>
        <v>0.9140270164622144</v>
      </c>
    </row>
    <row r="92" spans="1:4">
      <c r="A92">
        <f>'Mass Balance'!I92</f>
        <v>2.8281774439505041E-7</v>
      </c>
      <c r="B92">
        <f>'Mass Balance'!E92</f>
        <v>2.2843410155914618E-5</v>
      </c>
      <c r="C92">
        <f>SUM('Mass Balance'!E92:H92)</f>
        <v>1.2783848745948702E-4</v>
      </c>
      <c r="D92">
        <f>Concentrations!F92/Concentrations!E92</f>
        <v>0.17938894525213356</v>
      </c>
    </row>
    <row r="93" spans="1:4">
      <c r="A93">
        <f>'Mass Balance'!I93</f>
        <v>6.5410682120607791E-8</v>
      </c>
      <c r="B93">
        <f>'Mass Balance'!E93</f>
        <v>1.4927034527227283E-4</v>
      </c>
      <c r="C93">
        <f>SUM('Mass Balance'!E93:H93)</f>
        <v>1.4992491047468749E-4</v>
      </c>
      <c r="D93">
        <f>Concentrations!F93/Concentrations!E93</f>
        <v>0.99953061655693265</v>
      </c>
    </row>
    <row r="94" spans="1:4">
      <c r="A94">
        <f>'Mass Balance'!I94</f>
        <v>6.5895177526817094E-8</v>
      </c>
      <c r="B94">
        <f>'Mass Balance'!E94</f>
        <v>1.4993131120024804E-4</v>
      </c>
      <c r="C94">
        <f>SUM('Mass Balance'!E94:H94)</f>
        <v>1.4993385996352697E-4</v>
      </c>
      <c r="D94">
        <f>Concentrations!F94/Concentrations!E94</f>
        <v>1.0038965912204807</v>
      </c>
    </row>
    <row r="95" spans="1:4">
      <c r="A95">
        <f>'Mass Balance'!I95</f>
        <v>6.7134940394479846E-8</v>
      </c>
      <c r="B95">
        <f>'Mass Balance'!E95</f>
        <v>1.453612276680041E-4</v>
      </c>
      <c r="C95">
        <f>SUM('Mass Balance'!E95:H95)</f>
        <v>1.4614215295453308E-4</v>
      </c>
      <c r="D95">
        <f>Concentrations!F95/Concentrations!E95</f>
        <v>0.99854914344707935</v>
      </c>
    </row>
    <row r="96" spans="1:4">
      <c r="A96">
        <f>'Mass Balance'!I96</f>
        <v>1.7157933711532096E-6</v>
      </c>
      <c r="B96">
        <f>'Mass Balance'!E96</f>
        <v>8.2340814874747081E-8</v>
      </c>
      <c r="C96">
        <f>SUM('Mass Balance'!E96:H96)</f>
        <v>1.4319477575125479E-4</v>
      </c>
      <c r="D96">
        <f>Concentrations!F96/Concentrations!E96</f>
        <v>5.7727712584221204E-4</v>
      </c>
    </row>
    <row r="97" spans="1:4">
      <c r="A97">
        <f>'Mass Balance'!I97</f>
        <v>1.1719970295606325E-7</v>
      </c>
      <c r="B97">
        <f>'Mass Balance'!E97</f>
        <v>1.0661116365939119E-4</v>
      </c>
      <c r="C97">
        <f>SUM('Mass Balance'!E97:H97)</f>
        <v>1.2965565361036443E-4</v>
      </c>
      <c r="D97">
        <f>Concentrations!F97/Concentrations!E97</f>
        <v>0.8254819609178794</v>
      </c>
    </row>
    <row r="98" spans="1:4">
      <c r="A98">
        <f>'Mass Balance'!I98</f>
        <v>9.5780997620181779E-8</v>
      </c>
      <c r="B98">
        <f>'Mass Balance'!E98</f>
        <v>1.200053165138723E-4</v>
      </c>
      <c r="C98">
        <f>SUM('Mass Balance'!E98:H98)</f>
        <v>1.33684099963742E-4</v>
      </c>
      <c r="D98">
        <f>Concentrations!F98/Concentrations!E98</f>
        <v>0.90119151188221713</v>
      </c>
    </row>
    <row r="99" spans="1:4">
      <c r="A99">
        <f>'Mass Balance'!I99</f>
        <v>7.1433973760515981E-8</v>
      </c>
      <c r="B99">
        <f>'Mass Balance'!E99</f>
        <v>1.3886336062246958E-4</v>
      </c>
      <c r="C99">
        <f>SUM('Mass Balance'!E99:H99)</f>
        <v>1.4198745584507658E-4</v>
      </c>
      <c r="D99">
        <f>Concentrations!F99/Concentrations!E99</f>
        <v>0.98182493204176768</v>
      </c>
    </row>
    <row r="100" spans="1:4">
      <c r="A100">
        <f>'Mass Balance'!I100</f>
        <v>8.5074470638750733E-7</v>
      </c>
      <c r="B100">
        <f>'Mass Balance'!E100</f>
        <v>5.4369719530500849E-7</v>
      </c>
      <c r="C100">
        <f>SUM('Mass Balance'!E100:H100)</f>
        <v>1.4123971962818805E-4</v>
      </c>
      <c r="D100">
        <f>Concentrations!F100/Concentrations!E100</f>
        <v>3.8645293340741366E-3</v>
      </c>
    </row>
    <row r="101" spans="1:4">
      <c r="A101">
        <f>'Mass Balance'!I101</f>
        <v>2.6262659311147953E-7</v>
      </c>
      <c r="B101">
        <f>'Mass Balance'!E101</f>
        <v>3.2403353162563892E-5</v>
      </c>
      <c r="C101">
        <f>SUM('Mass Balance'!E101:H101)</f>
        <v>1.2558813071955242E-4</v>
      </c>
      <c r="D101">
        <f>Concentrations!F101/Concentrations!E101</f>
        <v>0.25902263682185783</v>
      </c>
    </row>
    <row r="102" spans="1:4">
      <c r="A102">
        <f>'Mass Balance'!I102</f>
        <v>3.1334417287808165E-7</v>
      </c>
      <c r="B102">
        <f>'Mass Balance'!E102</f>
        <v>6.5649961121220728E-6</v>
      </c>
      <c r="C102">
        <f>SUM('Mass Balance'!E102:H102)</f>
        <v>1.3613924597232022E-4</v>
      </c>
      <c r="D102">
        <f>Concentrations!F102/Concentrations!E102</f>
        <v>4.8411383565722312E-2</v>
      </c>
    </row>
    <row r="103" spans="1:4">
      <c r="A103">
        <f>'Mass Balance'!I103</f>
        <v>6.2228560311606149E-8</v>
      </c>
      <c r="B103">
        <f>'Mass Balance'!E103</f>
        <v>1.3417473685020938E-4</v>
      </c>
      <c r="C103">
        <f>SUM('Mass Balance'!E103:H103)</f>
        <v>1.4993031959224288E-4</v>
      </c>
      <c r="D103">
        <f>Concentrations!F103/Concentrations!E103</f>
        <v>0.8984163517739604</v>
      </c>
    </row>
    <row r="104" spans="1:4">
      <c r="A104">
        <f>'Mass Balance'!I104</f>
        <v>3.560699377559171E-8</v>
      </c>
      <c r="B104">
        <f>'Mass Balance'!E104</f>
        <v>1.6664994361452826E-6</v>
      </c>
      <c r="C104">
        <f>SUM('Mass Balance'!E104:H104)</f>
        <v>1.49920488528382E-4</v>
      </c>
      <c r="D104">
        <f>Concentrations!F104/Concentrations!E104</f>
        <v>1.1159392286885951E-2</v>
      </c>
    </row>
    <row r="105" spans="1:4">
      <c r="A105">
        <f>'Mass Balance'!I105</f>
        <v>6.5393506999648913E-8</v>
      </c>
      <c r="B105">
        <f>'Mass Balance'!E105</f>
        <v>1.477886430885994E-4</v>
      </c>
      <c r="C105">
        <f>SUM('Mass Balance'!E105:H105)</f>
        <v>1.4799660270341998E-4</v>
      </c>
      <c r="D105">
        <f>Concentrations!F105/Concentrations!E105</f>
        <v>1.0025029928797253</v>
      </c>
    </row>
    <row r="106" spans="1:4">
      <c r="A106">
        <f>'Mass Balance'!I106</f>
        <v>6.715690311075635E-8</v>
      </c>
      <c r="B106">
        <f>'Mass Balance'!E106</f>
        <v>1.451119532186745E-4</v>
      </c>
      <c r="C106">
        <f>SUM('Mass Balance'!E106:H106)</f>
        <v>1.4595875103491049E-4</v>
      </c>
      <c r="D106">
        <f>Concentrations!F106/Concentrations!E106</f>
        <v>0.99808932727434774</v>
      </c>
    </row>
    <row r="107" spans="1:4">
      <c r="A107">
        <f>'Mass Balance'!I107</f>
        <v>5.5789531140226688E-7</v>
      </c>
      <c r="B107">
        <f>'Mass Balance'!E107</f>
        <v>3.4131384798892786E-6</v>
      </c>
      <c r="C107">
        <f>SUM('Mass Balance'!E107:H107)</f>
        <v>1.3999024662925401E-4</v>
      </c>
      <c r="D107">
        <f>Concentrations!F107/Concentrations!E107</f>
        <v>2.4476679023712523E-2</v>
      </c>
    </row>
    <row r="108" spans="1:4">
      <c r="A108">
        <f>'Mass Balance'!I108</f>
        <v>6.5706886338539737E-8</v>
      </c>
      <c r="B108">
        <f>'Mass Balance'!E108</f>
        <v>1.4992941989385209E-4</v>
      </c>
      <c r="C108">
        <f>SUM('Mass Balance'!E108:H108)</f>
        <v>1.4993077651292909E-4</v>
      </c>
      <c r="D108">
        <f>Concentrations!F108/Concentrations!E108</f>
        <v>1.0039045732856162</v>
      </c>
    </row>
    <row r="109" spans="1:4">
      <c r="A109">
        <f>'Mass Balance'!I109</f>
        <v>7.1569840023425109E-7</v>
      </c>
      <c r="B109">
        <f>'Mass Balance'!E109</f>
        <v>1.3898184783117621E-4</v>
      </c>
      <c r="C109">
        <f>SUM('Mass Balance'!E109:H109)</f>
        <v>1.481237332548369E-4</v>
      </c>
      <c r="D109">
        <f>Concentrations!F109/Concentrations!E109</f>
        <v>0.94195421656590006</v>
      </c>
    </row>
    <row r="110" spans="1:4">
      <c r="A110">
        <f>'Mass Balance'!I110</f>
        <v>6.5415992906566187E-8</v>
      </c>
      <c r="B110">
        <f>'Mass Balance'!E110</f>
        <v>1.4949706942733431E-4</v>
      </c>
      <c r="C110">
        <f>SUM('Mass Balance'!E110:H110)</f>
        <v>1.4953737672426703E-4</v>
      </c>
      <c r="D110">
        <f>Concentrations!F110/Concentrations!E110</f>
        <v>1.0036430554508315</v>
      </c>
    </row>
    <row r="111" spans="1:4">
      <c r="A111">
        <f>'Mass Balance'!I111</f>
        <v>6.5509698792217606E-8</v>
      </c>
      <c r="B111">
        <f>'Mass Balance'!E111</f>
        <v>1.4993173700970677E-4</v>
      </c>
      <c r="C111">
        <f>SUM('Mass Balance'!E111:H111)</f>
        <v>1.4993413481437744E-4</v>
      </c>
      <c r="D111">
        <f>Concentrations!F111/Concentrations!E111</f>
        <v>1.0038976020249861</v>
      </c>
    </row>
    <row r="112" spans="1:4">
      <c r="A112">
        <f>'Mass Balance'!I112</f>
        <v>6.5353457430971323E-8</v>
      </c>
      <c r="B112">
        <f>'Mass Balance'!E112</f>
        <v>1.4940237135570701E-4</v>
      </c>
      <c r="C112">
        <f>SUM('Mass Balance'!E112:H112)</f>
        <v>1.4941951156283102E-4</v>
      </c>
      <c r="D112">
        <f>Concentrations!F112/Concentrations!E112</f>
        <v>1.0037984960831405</v>
      </c>
    </row>
    <row r="113" spans="1:4">
      <c r="A113">
        <f>'Mass Balance'!I113</f>
        <v>6.5774527983939025E-8</v>
      </c>
      <c r="B113">
        <f>'Mass Balance'!E113</f>
        <v>1.4651759824607099E-4</v>
      </c>
      <c r="C113">
        <f>SUM('Mass Balance'!E113:H113)</f>
        <v>1.4698040978707093E-4</v>
      </c>
      <c r="D113">
        <f>Concentrations!F113/Concentrations!E113</f>
        <v>1.0007525362272784</v>
      </c>
    </row>
    <row r="114" spans="1:4">
      <c r="A114">
        <f>'Mass Balance'!I114</f>
        <v>6.5414947759546633E-8</v>
      </c>
      <c r="B114">
        <f>'Mass Balance'!E114</f>
        <v>1.4966299100235947E-4</v>
      </c>
      <c r="C114">
        <f>SUM('Mass Balance'!E114:H114)</f>
        <v>1.4966809498951654E-4</v>
      </c>
      <c r="D114">
        <f>Concentrations!F114/Concentrations!E114</f>
        <v>1.0038794214981381</v>
      </c>
    </row>
    <row r="115" spans="1:4">
      <c r="A115">
        <f>'Mass Balance'!I115</f>
        <v>6.4742774332749773E-8</v>
      </c>
      <c r="B115">
        <f>'Mass Balance'!E115</f>
        <v>1.4581423514612352E-4</v>
      </c>
      <c r="C115">
        <f>SUM('Mass Balance'!E115:H115)</f>
        <v>1.499309758652798E-4</v>
      </c>
      <c r="D115">
        <f>Concentrations!F115/Concentrations!E115</f>
        <v>0.97634862444837522</v>
      </c>
    </row>
    <row r="116" spans="1:4">
      <c r="A116">
        <f>'Mass Balance'!I116</f>
        <v>7.0951986474222071E-6</v>
      </c>
      <c r="B116">
        <f>'Mass Balance'!E116</f>
        <v>1.9471196432122335E-5</v>
      </c>
      <c r="C116">
        <f>SUM('Mass Balance'!E116:H116)</f>
        <v>1.4172731180822431E-4</v>
      </c>
      <c r="D116">
        <f>Concentrations!F116/Concentrations!E116</f>
        <v>0.13792260480320309</v>
      </c>
    </row>
    <row r="117" spans="1:4">
      <c r="A117">
        <f>'Mass Balance'!I117</f>
        <v>1.5308589316326616E-7</v>
      </c>
      <c r="B117">
        <f>'Mass Balance'!E117</f>
        <v>8.6469338724647264E-5</v>
      </c>
      <c r="C117">
        <f>SUM('Mass Balance'!E117:H117)</f>
        <v>1.2559892719788963E-4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0.9860390309092798</v>
      </c>
      <c r="M2" s="115">
        <v>0.93308920027540787</v>
      </c>
      <c r="N2" s="115">
        <v>1.1554477727551078</v>
      </c>
      <c r="O2" s="115">
        <v>0.82446919664787999</v>
      </c>
      <c r="P2" s="115">
        <v>0.95422730994028238</v>
      </c>
      <c r="Q2" s="111">
        <v>0.82446919664787999</v>
      </c>
      <c r="R2" s="68">
        <v>0.95422730994028238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0.89357018051063475</v>
      </c>
      <c r="M3" s="115">
        <v>3.6198088400840303</v>
      </c>
      <c r="N3" s="115">
        <v>293.15332066367506</v>
      </c>
      <c r="O3" s="115">
        <v>2.9042779449720335</v>
      </c>
      <c r="P3" s="115">
        <v>2.6908804187397268</v>
      </c>
      <c r="Q3" s="111">
        <v>2.9042779449720335</v>
      </c>
      <c r="R3" s="68">
        <v>2.6908804187397268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1.0999881628575254</v>
      </c>
      <c r="M4" s="115">
        <v>1.0469842798673834</v>
      </c>
      <c r="N4" s="115">
        <v>3.0590247986174237</v>
      </c>
      <c r="O4" s="115">
        <v>0.82780355914823178</v>
      </c>
      <c r="P4" s="115">
        <v>0.96217409228691142</v>
      </c>
      <c r="Q4" s="111">
        <v>0.82780355914823189</v>
      </c>
      <c r="R4" s="68">
        <v>0.96217409228691142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0.55158478661886801</v>
      </c>
      <c r="M5" s="115">
        <v>0.70798466627454903</v>
      </c>
      <c r="N5" s="115">
        <v>45.006354838510326</v>
      </c>
      <c r="O5" s="115">
        <v>2.6267523990470298</v>
      </c>
      <c r="P5" s="115">
        <v>4.2943027260674533</v>
      </c>
      <c r="Q5" s="111">
        <v>2.6267523990470298</v>
      </c>
      <c r="R5" s="68">
        <v>4.2943027260674542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0.32905206183890051</v>
      </c>
      <c r="M6" s="115">
        <v>0.58273555947666289</v>
      </c>
      <c r="N6" s="115">
        <v>64.002328928889739</v>
      </c>
      <c r="O6" s="115">
        <v>3.5088792408126195</v>
      </c>
      <c r="P6" s="115">
        <v>5.9367836955385211</v>
      </c>
      <c r="Q6" s="111">
        <v>3.5088792408126195</v>
      </c>
      <c r="R6" s="68">
        <v>5.9367836955385211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0.11064465955893443</v>
      </c>
      <c r="M7" s="115">
        <v>0.4849853496473529</v>
      </c>
      <c r="N7" s="115">
        <v>84.556683075320109</v>
      </c>
      <c r="O7" s="115">
        <v>4.3755007573507552</v>
      </c>
      <c r="P7" s="115">
        <v>7.5094163442931885</v>
      </c>
      <c r="Q7" s="111">
        <v>4.3755007573507561</v>
      </c>
      <c r="R7" s="68">
        <v>7.5094163442931885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0.23425125861001103</v>
      </c>
      <c r="M8" s="115">
        <v>0.52096235582185946</v>
      </c>
      <c r="N8" s="115">
        <v>70.30767776335459</v>
      </c>
      <c r="O8" s="115">
        <v>3.876900179606305</v>
      </c>
      <c r="P8" s="115">
        <v>6.6320523595190908</v>
      </c>
      <c r="Q8" s="111">
        <v>3.8769001796063054</v>
      </c>
      <c r="R8" s="68">
        <v>6.6320523595190917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0.61756206130860503</v>
      </c>
      <c r="M9" s="115">
        <v>0.74775269524834675</v>
      </c>
      <c r="N9" s="115">
        <v>39.555470321967917</v>
      </c>
      <c r="O9" s="115">
        <v>2.36411160527053</v>
      </c>
      <c r="P9" s="115">
        <v>3.8009787991658142</v>
      </c>
      <c r="Q9" s="111">
        <v>2.36411160527053</v>
      </c>
      <c r="R9" s="68">
        <v>3.8009787991658142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1.1313377283988549E-2</v>
      </c>
      <c r="M10" s="115">
        <v>4.5491598550521974</v>
      </c>
      <c r="N10" s="115">
        <v>734.3688904664524</v>
      </c>
      <c r="O10" s="115">
        <v>7.9570358164089079</v>
      </c>
      <c r="P10" s="115">
        <v>8.1172840366579049</v>
      </c>
      <c r="Q10" s="111">
        <v>7.9570358164089079</v>
      </c>
      <c r="R10" s="68">
        <v>8.1172840366579049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6.3857181256797167E-4</v>
      </c>
      <c r="M11" s="115">
        <v>27.351239673687672</v>
      </c>
      <c r="N11" s="115">
        <v>5383.0467273000795</v>
      </c>
      <c r="O11" s="115">
        <v>21.851671036580573</v>
      </c>
      <c r="P11" s="115">
        <v>10.030378225173726</v>
      </c>
      <c r="Q11" s="111">
        <v>21.851671036580576</v>
      </c>
      <c r="R11" s="68">
        <v>10.030378225173726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0.93580766249286096</v>
      </c>
      <c r="M12" s="115">
        <v>0.8791126534886351</v>
      </c>
      <c r="N12" s="115">
        <v>6.2781247332878501E-2</v>
      </c>
      <c r="O12" s="115">
        <v>0.7734770546950136</v>
      </c>
      <c r="P12" s="115">
        <v>0.89880768617361695</v>
      </c>
      <c r="Q12" s="111">
        <v>0.7734770546950136</v>
      </c>
      <c r="R12" s="68">
        <v>0.89880768617361695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0.64344691056947723</v>
      </c>
      <c r="M13" s="115">
        <v>1.9620932677566199</v>
      </c>
      <c r="N13" s="115">
        <v>217.99822518896266</v>
      </c>
      <c r="O13" s="115">
        <v>2.6194282461048504</v>
      </c>
      <c r="P13" s="115">
        <v>2.4760085725290106</v>
      </c>
      <c r="Q13" s="111">
        <v>2.6194282461048504</v>
      </c>
      <c r="R13" s="68">
        <v>2.4760085725290106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9.1130575613923362E-3</v>
      </c>
      <c r="M14" s="115">
        <v>0.75115203231242222</v>
      </c>
      <c r="N14" s="115">
        <v>167.95837147903291</v>
      </c>
      <c r="O14" s="115">
        <v>4.9672566648174081</v>
      </c>
      <c r="P14" s="115">
        <v>8.321927695321488</v>
      </c>
      <c r="Q14" s="111">
        <v>4.9672566648174081</v>
      </c>
      <c r="R14" s="68">
        <v>8.321927695321488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0.8414355223948482</v>
      </c>
      <c r="M15" s="115">
        <v>0.98841885310083655</v>
      </c>
      <c r="N15" s="115">
        <v>32.027266186148964</v>
      </c>
      <c r="O15" s="115">
        <v>0.98638891824211483</v>
      </c>
      <c r="P15" s="115">
        <v>1.050393257985802</v>
      </c>
      <c r="Q15" s="111">
        <v>0.98638891824211494</v>
      </c>
      <c r="R15" s="68">
        <v>1.050393257985802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0.60536197046262596</v>
      </c>
      <c r="M16" s="115">
        <v>2.1079886006860771</v>
      </c>
      <c r="N16" s="115">
        <v>247.0578715199124</v>
      </c>
      <c r="O16" s="115">
        <v>2.8772247048604576</v>
      </c>
      <c r="P16" s="115">
        <v>2.7086716442180192</v>
      </c>
      <c r="Q16" s="111">
        <v>2.8772247048604576</v>
      </c>
      <c r="R16" s="68">
        <v>2.7086716442180196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0.62835961836642251</v>
      </c>
      <c r="M17" s="115">
        <v>2.0121844537224902</v>
      </c>
      <c r="N17" s="115">
        <v>228.27627771568513</v>
      </c>
      <c r="O17" s="115">
        <v>2.7091883981907641</v>
      </c>
      <c r="P17" s="115">
        <v>2.55657543510734</v>
      </c>
      <c r="Q17" s="111">
        <v>2.7091883981907641</v>
      </c>
      <c r="R17" s="68">
        <v>2.55657543510734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7.0877615844584004E-4</v>
      </c>
      <c r="M18" s="115">
        <v>23.354540033830855</v>
      </c>
      <c r="N18" s="115">
        <v>3827.3152034520203</v>
      </c>
      <c r="O18" s="115">
        <v>23.082816625121691</v>
      </c>
      <c r="P18" s="115">
        <v>9.8875605731367315</v>
      </c>
      <c r="Q18" s="111">
        <v>23.082816625121691</v>
      </c>
      <c r="R18" s="68">
        <v>9.8875605731367333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0.94622093428132037</v>
      </c>
      <c r="M19" s="115">
        <v>0.95482740262148214</v>
      </c>
      <c r="N19" s="115">
        <v>10.706972499991785</v>
      </c>
      <c r="O19" s="115">
        <v>0.87675209801411258</v>
      </c>
      <c r="P19" s="115">
        <v>0.98482866375033806</v>
      </c>
      <c r="Q19" s="111">
        <v>0.87675209801411269</v>
      </c>
      <c r="R19" s="68">
        <v>0.98482866375033806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0.92007808140800484</v>
      </c>
      <c r="M20" s="115">
        <v>0.97948569484613601</v>
      </c>
      <c r="N20" s="115">
        <v>18.661489644825302</v>
      </c>
      <c r="O20" s="115">
        <v>0.92762709163088075</v>
      </c>
      <c r="P20" s="115">
        <v>1.0202596015999648</v>
      </c>
      <c r="Q20" s="111">
        <v>0.92762709163088075</v>
      </c>
      <c r="R20" s="68">
        <v>1.0202596015999648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0.1131402876976554</v>
      </c>
      <c r="M21" s="115">
        <v>1.4162442574004914</v>
      </c>
      <c r="N21" s="115">
        <v>228.24155145727235</v>
      </c>
      <c r="O21" s="115">
        <v>4.8550845660244049</v>
      </c>
      <c r="P21" s="115">
        <v>7.1346609212373941</v>
      </c>
      <c r="Q21" s="111">
        <v>4.8550845660244057</v>
      </c>
      <c r="R21" s="68">
        <v>7.134660921237395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0.93023157453498129</v>
      </c>
      <c r="M22" s="115">
        <v>0.88537221762323226</v>
      </c>
      <c r="N22" s="115">
        <v>1.9108323773868403</v>
      </c>
      <c r="O22" s="115">
        <v>0.78496690779928668</v>
      </c>
      <c r="P22" s="115">
        <v>0.90579326035081975</v>
      </c>
      <c r="Q22" s="111">
        <v>0.78496690779928668</v>
      </c>
      <c r="R22" s="68">
        <v>0.90579326035081975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0.81629606237601893</v>
      </c>
      <c r="M23" s="115">
        <v>1.1031997938806384</v>
      </c>
      <c r="N23" s="115">
        <v>54.32438324407304</v>
      </c>
      <c r="O23" s="115">
        <v>1.1745422853121794</v>
      </c>
      <c r="P23" s="115">
        <v>1.2073755577061818</v>
      </c>
      <c r="Q23" s="111">
        <v>1.1745422853121794</v>
      </c>
      <c r="R23" s="68">
        <v>1.207375557706182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0.47738089035278974</v>
      </c>
      <c r="M24" s="115">
        <v>2.6232252082017875</v>
      </c>
      <c r="N24" s="115">
        <v>348.75341850543538</v>
      </c>
      <c r="O24" s="115">
        <v>3.7986012200836923</v>
      </c>
      <c r="P24" s="115">
        <v>3.5577382547744381</v>
      </c>
      <c r="Q24" s="111">
        <v>3.7986012200836927</v>
      </c>
      <c r="R24" s="68">
        <v>3.5577382547744381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9.9173190138137583E-4</v>
      </c>
      <c r="M25" s="115">
        <v>21.474332169457828</v>
      </c>
      <c r="N25" s="115">
        <v>3514.9068164331989</v>
      </c>
      <c r="O25" s="115">
        <v>21.575924934940168</v>
      </c>
      <c r="P25" s="115">
        <v>9.6887634838176968</v>
      </c>
      <c r="Q25" s="111">
        <v>21.575924934940168</v>
      </c>
      <c r="R25" s="68">
        <v>9.6887634838176968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0.17031221805084393</v>
      </c>
      <c r="M26" s="115">
        <v>3.3785614270085484</v>
      </c>
      <c r="N26" s="115">
        <v>516.67935918861508</v>
      </c>
      <c r="O26" s="115">
        <v>5.3648646524488051</v>
      </c>
      <c r="P26" s="115">
        <v>5.1175950367803793</v>
      </c>
      <c r="Q26" s="111">
        <v>5.3648646524488059</v>
      </c>
      <c r="R26" s="68">
        <v>5.1175950367803793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2.0078693838380776E-2</v>
      </c>
      <c r="M27" s="115">
        <v>1.9157840493421843</v>
      </c>
      <c r="N27" s="115">
        <v>305.68376159641673</v>
      </c>
      <c r="O27" s="115">
        <v>3.2389401719116893</v>
      </c>
      <c r="P27" s="115">
        <v>3.2144324952173293</v>
      </c>
      <c r="Q27" s="111">
        <v>3.2389401719116897</v>
      </c>
      <c r="R27" s="68">
        <v>3.2144324952173298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3.7655734586051981E-2</v>
      </c>
      <c r="M28" s="115">
        <v>0.99903358653354435</v>
      </c>
      <c r="N28" s="115">
        <v>154.78948787670245</v>
      </c>
      <c r="O28" s="115">
        <v>1.6082089707468243</v>
      </c>
      <c r="P28" s="115">
        <v>1.5445012510490552</v>
      </c>
      <c r="Q28" s="111">
        <v>1.6082089707468243</v>
      </c>
      <c r="R28" s="68">
        <v>1.5445012510490552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7.510800752123141E-2</v>
      </c>
      <c r="M29" s="115">
        <v>8.2434489529448596E-2</v>
      </c>
      <c r="N29" s="115">
        <v>1.9235600529853518</v>
      </c>
      <c r="O29" s="115">
        <v>7.9397619382337845E-2</v>
      </c>
      <c r="P29" s="115">
        <v>8.638645866221667E-2</v>
      </c>
      <c r="Q29" s="111">
        <v>7.9397619382337845E-2</v>
      </c>
      <c r="R29" s="68">
        <v>8.638645866221667E-2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1.5654768267244882E-2</v>
      </c>
      <c r="M30" s="115">
        <v>0.38825941290595617</v>
      </c>
      <c r="N30" s="115">
        <v>59.993914919028754</v>
      </c>
      <c r="O30" s="115">
        <v>0.62310922833232196</v>
      </c>
      <c r="P30" s="115">
        <v>0.59746397482333979</v>
      </c>
      <c r="Q30" s="111">
        <v>0.62310922833232196</v>
      </c>
      <c r="R30" s="68">
        <v>0.59746397482333991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5.8806198483863899E-4</v>
      </c>
      <c r="M31" s="115">
        <v>7.0518635497971169E-3</v>
      </c>
      <c r="N31" s="115">
        <v>1.0425224082291651</v>
      </c>
      <c r="O31" s="115">
        <v>1.0886814961024406E-2</v>
      </c>
      <c r="P31" s="115">
        <v>1.0279173865343601E-2</v>
      </c>
      <c r="Q31" s="111">
        <v>1.0886814961024407E-2</v>
      </c>
      <c r="R31" s="68">
        <v>1.0279173865343601E-2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0.68197284422315796</v>
      </c>
      <c r="M32" s="115">
        <v>1.8070948360322259</v>
      </c>
      <c r="N32" s="115">
        <v>187.41163691456458</v>
      </c>
      <c r="O32" s="115">
        <v>2.3490209422014368</v>
      </c>
      <c r="P32" s="115">
        <v>2.2340467926192424</v>
      </c>
      <c r="Q32" s="111">
        <v>2.3490209422014368</v>
      </c>
      <c r="R32" s="68">
        <v>2.2340467926192429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0.81805539233799629</v>
      </c>
      <c r="M33" s="115">
        <v>1.3317774954307078</v>
      </c>
      <c r="N33" s="115">
        <v>90.804073719785507</v>
      </c>
      <c r="O33" s="115">
        <v>1.5219686844905966</v>
      </c>
      <c r="P33" s="115">
        <v>1.5134245092439509</v>
      </c>
      <c r="Q33" s="111">
        <v>1.5219686844905966</v>
      </c>
      <c r="R33" s="68">
        <v>1.5134245092439511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0.21697110309666634</v>
      </c>
      <c r="M34" s="115">
        <v>3.7687099059852707</v>
      </c>
      <c r="N34" s="115">
        <v>572.13397905422494</v>
      </c>
      <c r="O34" s="115">
        <v>5.9438707872327035</v>
      </c>
      <c r="P34" s="115">
        <v>5.6533826331478823</v>
      </c>
      <c r="Q34" s="111">
        <v>5.9438707872327035</v>
      </c>
      <c r="R34" s="68">
        <v>5.6533826331478823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2.3271907629899197E-2</v>
      </c>
      <c r="M35" s="115">
        <v>4.4479418833665791</v>
      </c>
      <c r="N35" s="115">
        <v>714.64268501995355</v>
      </c>
      <c r="O35" s="115">
        <v>7.697836891850069</v>
      </c>
      <c r="P35" s="115">
        <v>7.7819415353679693</v>
      </c>
      <c r="Q35" s="111">
        <v>7.6978368918500699</v>
      </c>
      <c r="R35" s="68">
        <v>7.7819415353679693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5.0887309923901228E-3</v>
      </c>
      <c r="M36" s="115">
        <v>9.7458714860048161</v>
      </c>
      <c r="N36" s="115">
        <v>1583.3496468198261</v>
      </c>
      <c r="O36" s="115">
        <v>12.143539409369209</v>
      </c>
      <c r="P36" s="115">
        <v>8.5572347212644377</v>
      </c>
      <c r="Q36" s="111">
        <v>12.143539409369209</v>
      </c>
      <c r="R36" s="68">
        <v>8.5572347212644377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7.7763152122682004E-4</v>
      </c>
      <c r="M37" s="115">
        <v>22.802713679734158</v>
      </c>
      <c r="N37" s="115">
        <v>3735.6224586873568</v>
      </c>
      <c r="O37" s="115">
        <v>22.632139294207281</v>
      </c>
      <c r="P37" s="115">
        <v>9.8138987076597104</v>
      </c>
      <c r="Q37" s="111">
        <v>22.632139294207281</v>
      </c>
      <c r="R37" s="68">
        <v>9.8138987076597104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2.8050334581096567E-3</v>
      </c>
      <c r="M38" s="115">
        <v>14.304253848863555</v>
      </c>
      <c r="N38" s="115">
        <v>2331.2475600738212</v>
      </c>
      <c r="O38" s="115">
        <v>15.814432386673023</v>
      </c>
      <c r="P38" s="115">
        <v>8.9777427241980341</v>
      </c>
      <c r="Q38" s="111">
        <v>15.814432386673024</v>
      </c>
      <c r="R38" s="68">
        <v>8.9777427241980359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4.2312800834835461E-3</v>
      </c>
      <c r="M39" s="115">
        <v>10.71980661887185</v>
      </c>
      <c r="N39" s="115">
        <v>1743.2037957560062</v>
      </c>
      <c r="O39" s="115">
        <v>12.830989283046728</v>
      </c>
      <c r="P39" s="115">
        <v>8.4712822086411546</v>
      </c>
      <c r="Q39" s="111">
        <v>12.83098928304673</v>
      </c>
      <c r="R39" s="68">
        <v>8.4712822086411563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2.8050334581096567E-3</v>
      </c>
      <c r="M40" s="115">
        <v>14.304253848863555</v>
      </c>
      <c r="N40" s="115">
        <v>2331.2475600738212</v>
      </c>
      <c r="O40" s="115">
        <v>15.814432386673023</v>
      </c>
      <c r="P40" s="115">
        <v>8.9777427241980341</v>
      </c>
      <c r="Q40" s="111">
        <v>15.814432386673024</v>
      </c>
      <c r="R40" s="68">
        <v>8.9777427241980359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0.95209762259850705</v>
      </c>
      <c r="M41" s="115">
        <v>0.91699028805843308</v>
      </c>
      <c r="N41" s="115">
        <v>5.4760292297029736</v>
      </c>
      <c r="O41" s="115">
        <v>1.0087484953511594</v>
      </c>
      <c r="P41" s="115">
        <v>1.2954098409697319</v>
      </c>
      <c r="Q41" s="111">
        <v>1.0087484953511594</v>
      </c>
      <c r="R41" s="68">
        <v>1.2954098409697319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7.0669240620275186E-4</v>
      </c>
      <c r="M42" s="115">
        <v>23.285879322544375</v>
      </c>
      <c r="N42" s="115">
        <v>3816.0631649273519</v>
      </c>
      <c r="O42" s="115">
        <v>23.014954761617616</v>
      </c>
      <c r="P42" s="115">
        <v>9.8584918378562989</v>
      </c>
      <c r="Q42" s="111">
        <v>23.01495476161762</v>
      </c>
      <c r="R42" s="68">
        <v>9.8584918378562989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0.44679061658024222</v>
      </c>
      <c r="M43" s="115">
        <v>2.7608600082073713</v>
      </c>
      <c r="N43" s="115">
        <v>375.40497107632939</v>
      </c>
      <c r="O43" s="115">
        <v>4.0461258820343859</v>
      </c>
      <c r="P43" s="115">
        <v>3.7903983522461955</v>
      </c>
      <c r="Q43" s="111">
        <v>4.0461258820343859</v>
      </c>
      <c r="R43" s="68">
        <v>3.7903983522461955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7.6037155310112441E-3</v>
      </c>
      <c r="M44" s="115">
        <v>6.9076027347581395</v>
      </c>
      <c r="N44" s="115">
        <v>1119.1930071946058</v>
      </c>
      <c r="O44" s="115">
        <v>9.8579626437404961</v>
      </c>
      <c r="P44" s="115">
        <v>8.312309487089701</v>
      </c>
      <c r="Q44" s="111">
        <v>9.8579626437404961</v>
      </c>
      <c r="R44" s="68">
        <v>8.312309487089701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3.1439011995486907E-4</v>
      </c>
      <c r="M45" s="115">
        <v>26.956704905304683</v>
      </c>
      <c r="N45" s="115">
        <v>4429.7732080633123</v>
      </c>
      <c r="O45" s="115">
        <v>25.956668514688875</v>
      </c>
      <c r="P45" s="115">
        <v>10.282209443609664</v>
      </c>
      <c r="Q45" s="111">
        <v>25.956668514688879</v>
      </c>
      <c r="R45" s="68">
        <v>10.282209443609664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6.3172952866021601E-4</v>
      </c>
      <c r="M46" s="115">
        <v>23.942705462998884</v>
      </c>
      <c r="N46" s="115">
        <v>3925.287996866397</v>
      </c>
      <c r="O46" s="115">
        <v>23.553242816229101</v>
      </c>
      <c r="P46" s="115">
        <v>9.9503556663601209</v>
      </c>
      <c r="Q46" s="111">
        <v>23.553242816229101</v>
      </c>
      <c r="R46" s="68">
        <v>9.9503556663601209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1.4160244842594395E-3</v>
      </c>
      <c r="M47" s="115">
        <v>19.231161510716607</v>
      </c>
      <c r="N47" s="115">
        <v>3143.4490965718246</v>
      </c>
      <c r="O47" s="115">
        <v>19.775841039134956</v>
      </c>
      <c r="P47" s="115">
        <v>9.4595221768476154</v>
      </c>
      <c r="Q47" s="111">
        <v>19.77584103913496</v>
      </c>
      <c r="R47" s="68">
        <v>9.4595221768476154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6.9807568689535804E-2</v>
      </c>
      <c r="M48" s="115">
        <v>4.3996313094075665</v>
      </c>
      <c r="N48" s="115">
        <v>697.63953402139634</v>
      </c>
      <c r="O48" s="115">
        <v>7.3302218551208425</v>
      </c>
      <c r="P48" s="115">
        <v>7.1957030223372831</v>
      </c>
      <c r="Q48" s="111">
        <v>7.3302218551208433</v>
      </c>
      <c r="R48" s="68">
        <v>7.1957030223372831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7.0747385631007602E-3</v>
      </c>
      <c r="M49" s="115">
        <v>7.3914599118402382</v>
      </c>
      <c r="N49" s="115">
        <v>1198.2382589023057</v>
      </c>
      <c r="O49" s="115">
        <v>10.248244441321631</v>
      </c>
      <c r="P49" s="115">
        <v>8.3542390385817349</v>
      </c>
      <c r="Q49" s="111">
        <v>10.248244441321631</v>
      </c>
      <c r="R49" s="68">
        <v>8.3542390385817349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6.2532067189838732E-3</v>
      </c>
      <c r="M50" s="115">
        <v>8.2477737236257624</v>
      </c>
      <c r="N50" s="115">
        <v>1338.2136035239946</v>
      </c>
      <c r="O50" s="115">
        <v>10.937832654214281</v>
      </c>
      <c r="P50" s="115">
        <v>8.4274543083197848</v>
      </c>
      <c r="Q50" s="111">
        <v>10.937832654214283</v>
      </c>
      <c r="R50" s="68">
        <v>8.4274543083197848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4.380216261619288E-2</v>
      </c>
      <c r="M51" s="115">
        <v>4.4792443980216072</v>
      </c>
      <c r="N51" s="115">
        <v>715.32366843047134</v>
      </c>
      <c r="O51" s="115">
        <v>7.5909363704472703</v>
      </c>
      <c r="P51" s="115">
        <v>7.5473504469166288</v>
      </c>
      <c r="Q51" s="111">
        <v>7.5909363704472703</v>
      </c>
      <c r="R51" s="68">
        <v>7.5473504469166297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6.6827573768131796E-2</v>
      </c>
      <c r="M52" s="115">
        <v>4.4099363253174682</v>
      </c>
      <c r="N52" s="115">
        <v>699.83408821754301</v>
      </c>
      <c r="O52" s="115">
        <v>7.3596076894278326</v>
      </c>
      <c r="P52" s="115">
        <v>7.2332507047960126</v>
      </c>
      <c r="Q52" s="111">
        <v>7.3596076894278335</v>
      </c>
      <c r="R52" s="68">
        <v>7.2332507047960126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4.1542363277669693E-3</v>
      </c>
      <c r="M53" s="115">
        <v>11.287157927263557</v>
      </c>
      <c r="N53" s="115">
        <v>1835.8826121014572</v>
      </c>
      <c r="O53" s="115">
        <v>13.385893024667549</v>
      </c>
      <c r="P53" s="115">
        <v>8.6978627361373579</v>
      </c>
      <c r="Q53" s="111">
        <v>13.385893024667549</v>
      </c>
      <c r="R53" s="68">
        <v>8.6978627361373597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6.6547551624543989E-3</v>
      </c>
      <c r="M54" s="115">
        <v>7.8118977231958109</v>
      </c>
      <c r="N54" s="115">
        <v>1266.9507698043001</v>
      </c>
      <c r="O54" s="115">
        <v>10.586978409030378</v>
      </c>
      <c r="P54" s="115">
        <v>8.3903073308752596</v>
      </c>
      <c r="Q54" s="111">
        <v>10.586978409030378</v>
      </c>
      <c r="R54" s="68">
        <v>8.3903073308752596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1.4654990276846446E-3</v>
      </c>
      <c r="M55" s="115">
        <v>18.995977427278014</v>
      </c>
      <c r="N55" s="115">
        <v>3104.5798006244836</v>
      </c>
      <c r="O55" s="115">
        <v>19.586013658257254</v>
      </c>
      <c r="P55" s="115">
        <v>9.4342258270671842</v>
      </c>
      <c r="Q55" s="111">
        <v>19.586013658257254</v>
      </c>
      <c r="R55" s="68">
        <v>9.4342258270671842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7.4245308324754344E-3</v>
      </c>
      <c r="M56" s="115">
        <v>7.06657570860673</v>
      </c>
      <c r="N56" s="115">
        <v>1145.1595640947223</v>
      </c>
      <c r="O56" s="115">
        <v>9.9863757645325677</v>
      </c>
      <c r="P56" s="115">
        <v>8.326370550351049</v>
      </c>
      <c r="Q56" s="111">
        <v>9.9863757645325677</v>
      </c>
      <c r="R56" s="68">
        <v>8.326370550351049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8.4495008041012981E-2</v>
      </c>
      <c r="M57" s="115">
        <v>4.3320494266899994</v>
      </c>
      <c r="N57" s="115">
        <v>684.17223646213927</v>
      </c>
      <c r="O57" s="115">
        <v>7.1628611662517647</v>
      </c>
      <c r="P57" s="115">
        <v>6.9937418400199887</v>
      </c>
      <c r="Q57" s="111">
        <v>7.1628611662517647</v>
      </c>
      <c r="R57" s="68">
        <v>6.9937418400199887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6.5730377312692165E-3</v>
      </c>
      <c r="M58" s="115">
        <v>7.8979088780979243</v>
      </c>
      <c r="N58" s="115">
        <v>1281.0107460852394</v>
      </c>
      <c r="O58" s="115">
        <v>10.656270175489469</v>
      </c>
      <c r="P58" s="115">
        <v>8.3977156221458866</v>
      </c>
      <c r="Q58" s="111">
        <v>10.656270175489471</v>
      </c>
      <c r="R58" s="68">
        <v>8.3977156221458866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6.6835556557504283E-2</v>
      </c>
      <c r="M59" s="115">
        <v>4.4104631077643859</v>
      </c>
      <c r="N59" s="115">
        <v>699.91768586753881</v>
      </c>
      <c r="O59" s="115">
        <v>7.3604868205220244</v>
      </c>
      <c r="P59" s="115">
        <v>7.234114742102757</v>
      </c>
      <c r="Q59" s="111">
        <v>7.3604868205220244</v>
      </c>
      <c r="R59" s="68">
        <v>7.234114742102757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4.6969757125549932E-3</v>
      </c>
      <c r="M60" s="115">
        <v>10.346169614829238</v>
      </c>
      <c r="N60" s="115">
        <v>1681.6674898472206</v>
      </c>
      <c r="O60" s="115">
        <v>12.62669368880802</v>
      </c>
      <c r="P60" s="115">
        <v>8.6102864852593459</v>
      </c>
      <c r="Q60" s="111">
        <v>12.62669368880802</v>
      </c>
      <c r="R60" s="68">
        <v>8.6102864852593459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1.6378477131425477</v>
      </c>
      <c r="M61" s="115">
        <v>25.523628862057254</v>
      </c>
      <c r="N61" s="115">
        <v>893.77062750661537</v>
      </c>
      <c r="O61" s="115">
        <v>4.9439130298202247</v>
      </c>
      <c r="P61" s="115">
        <v>4.9714167202603381</v>
      </c>
      <c r="Q61" s="111">
        <v>4.9439130298202256</v>
      </c>
      <c r="R61" s="68">
        <v>4.9714167202603381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0.23256034694876432</v>
      </c>
      <c r="M62" s="115">
        <v>3.6991467360612775</v>
      </c>
      <c r="N62" s="115">
        <v>558.53540533987336</v>
      </c>
      <c r="O62" s="115">
        <v>5.8066416248290702</v>
      </c>
      <c r="P62" s="115">
        <v>5.5125963996486185</v>
      </c>
      <c r="Q62" s="111">
        <v>5.8066416248290711</v>
      </c>
      <c r="R62" s="68">
        <v>5.5125963996486194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3.1908027168648623</v>
      </c>
      <c r="M63" s="115">
        <v>4.7517717214299973</v>
      </c>
      <c r="N63" s="115">
        <v>114.04271377350818</v>
      </c>
      <c r="O63" s="115">
        <v>1.0845628394633828</v>
      </c>
      <c r="P63" s="115">
        <v>1.2140388411237029</v>
      </c>
      <c r="Q63" s="111">
        <v>1.0845628394633828</v>
      </c>
      <c r="R63" s="68">
        <v>1.2140388411237029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0.98290395510784567</v>
      </c>
      <c r="M64" s="115">
        <v>0.93385142869950311</v>
      </c>
      <c r="N64" s="115">
        <v>2.2599053622164402</v>
      </c>
      <c r="O64" s="115">
        <v>0.87628065445211956</v>
      </c>
      <c r="P64" s="115">
        <v>1.0476700771310767</v>
      </c>
      <c r="Q64" s="111">
        <v>0.87628065445211967</v>
      </c>
      <c r="R64" s="68">
        <v>1.0476700771310767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1.3051047534443945</v>
      </c>
      <c r="M65" s="115">
        <v>1.2789017327543222</v>
      </c>
      <c r="N65" s="115">
        <v>9.5858620808119888</v>
      </c>
      <c r="O65" s="115">
        <v>0.83627772099603004</v>
      </c>
      <c r="P65" s="115">
        <v>0.9712749894158762</v>
      </c>
      <c r="Q65" s="111">
        <v>0.83627772099603004</v>
      </c>
      <c r="R65" s="68">
        <v>0.9712749894158762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5.6369770626116154</v>
      </c>
      <c r="M66" s="115">
        <v>32.756898169772448</v>
      </c>
      <c r="N66" s="115">
        <v>886.64841608619895</v>
      </c>
      <c r="O66" s="115">
        <v>2.1178955734200087</v>
      </c>
      <c r="P66" s="115">
        <v>2.5823657820459123</v>
      </c>
      <c r="Q66" s="111">
        <v>2.1178955734200087</v>
      </c>
      <c r="R66" s="68">
        <v>2.5823657820459123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1.2539764309852937</v>
      </c>
      <c r="M67" s="115">
        <v>1.2203854539584813</v>
      </c>
      <c r="N67" s="115">
        <v>7.9822346664693224</v>
      </c>
      <c r="O67" s="115">
        <v>0.83452158797643106</v>
      </c>
      <c r="P67" s="115">
        <v>0.96908788574392934</v>
      </c>
      <c r="Q67" s="111">
        <v>0.83452158797643117</v>
      </c>
      <c r="R67" s="68">
        <v>0.96908788574392946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1.0314567114048268</v>
      </c>
      <c r="M68" s="115">
        <v>0.97323595637731408</v>
      </c>
      <c r="N68" s="115">
        <v>1.0588154517666533</v>
      </c>
      <c r="O68" s="115">
        <v>0.82576279777291473</v>
      </c>
      <c r="P68" s="115">
        <v>0.95957597231080893</v>
      </c>
      <c r="Q68" s="111">
        <v>0.82576279777291484</v>
      </c>
      <c r="R68" s="68">
        <v>0.95957597231080893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8.385485504974725E-3</v>
      </c>
      <c r="M69" s="115">
        <v>6.2784301296945175</v>
      </c>
      <c r="N69" s="115">
        <v>1016.4558048015488</v>
      </c>
      <c r="O69" s="115">
        <v>9.3513808517434498</v>
      </c>
      <c r="P69" s="115">
        <v>8.2600912908882691</v>
      </c>
      <c r="Q69" s="111">
        <v>9.3513808517434498</v>
      </c>
      <c r="R69" s="68">
        <v>8.2600912908882691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0.96710753120954507</v>
      </c>
      <c r="M70" s="115">
        <v>0.92366083495274909</v>
      </c>
      <c r="N70" s="115">
        <v>3.7178408766305475</v>
      </c>
      <c r="O70" s="115">
        <v>0.94714271367758429</v>
      </c>
      <c r="P70" s="115">
        <v>1.1824216530951259</v>
      </c>
      <c r="Q70" s="111">
        <v>0.94714271367758429</v>
      </c>
      <c r="R70" s="68">
        <v>1.1824216530951259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0.94152495301137473</v>
      </c>
      <c r="M71" s="115">
        <v>0.91189945993912591</v>
      </c>
      <c r="N71" s="115">
        <v>6.6463465270009126</v>
      </c>
      <c r="O71" s="115">
        <v>1.052184564800773</v>
      </c>
      <c r="P71" s="115">
        <v>1.3755767596847768</v>
      </c>
      <c r="Q71" s="111">
        <v>1.0521845648007733</v>
      </c>
      <c r="R71" s="68">
        <v>1.3755767596847768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4.0296839253466128E-3</v>
      </c>
      <c r="M72" s="115">
        <v>2.8513984852632697</v>
      </c>
      <c r="N72" s="115">
        <v>656.1477113543018</v>
      </c>
      <c r="O72" s="115">
        <v>6.2628352885253742</v>
      </c>
      <c r="P72" s="115">
        <v>8.8292247021593653</v>
      </c>
      <c r="Q72" s="111">
        <v>6.2628352885253751</v>
      </c>
      <c r="R72" s="68">
        <v>8.8292247021593653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3.7261933332512903E-2</v>
      </c>
      <c r="M73" s="115">
        <v>0.36656763730231356</v>
      </c>
      <c r="N73" s="115">
        <v>76.666326876990695</v>
      </c>
      <c r="O73" s="115">
        <v>4.6150744393908942</v>
      </c>
      <c r="P73" s="115">
        <v>8.0509391602996043</v>
      </c>
      <c r="Q73" s="111">
        <v>4.6150744393908942</v>
      </c>
      <c r="R73" s="68">
        <v>8.0509391602996043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0.94651073209699566</v>
      </c>
      <c r="M74" s="115">
        <v>0.9142307380494199</v>
      </c>
      <c r="N74" s="115">
        <v>6.0852253403393632</v>
      </c>
      <c r="O74" s="115">
        <v>1.0317479080345096</v>
      </c>
      <c r="P74" s="115">
        <v>1.3379607118619892</v>
      </c>
      <c r="Q74" s="111">
        <v>1.0317479080345096</v>
      </c>
      <c r="R74" s="68">
        <v>1.3379607118619892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4.4060243720695801E-2</v>
      </c>
      <c r="M75" s="115">
        <v>0.37422313305183624</v>
      </c>
      <c r="N75" s="115">
        <v>77.003745664500201</v>
      </c>
      <c r="O75" s="115">
        <v>4.5913306062573627</v>
      </c>
      <c r="P75" s="115">
        <v>8.0030580300184617</v>
      </c>
      <c r="Q75" s="111">
        <v>4.5913306062573627</v>
      </c>
      <c r="R75" s="68">
        <v>8.0030580300184617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0.45258188698564772</v>
      </c>
      <c r="M76" s="115">
        <v>0.65162991326141673</v>
      </c>
      <c r="N76" s="115">
        <v>53.518952885742152</v>
      </c>
      <c r="O76" s="115">
        <v>3.0202791238938698</v>
      </c>
      <c r="P76" s="115">
        <v>5.0283618155619312</v>
      </c>
      <c r="Q76" s="111">
        <v>3.0202791238938698</v>
      </c>
      <c r="R76" s="68">
        <v>5.0283618155619321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3.9094340586212299E-2</v>
      </c>
      <c r="M77" s="115">
        <v>0.36869743072283212</v>
      </c>
      <c r="N77" s="115">
        <v>76.772325321468912</v>
      </c>
      <c r="O77" s="115">
        <v>4.6087175105827134</v>
      </c>
      <c r="P77" s="115">
        <v>8.0380500267160535</v>
      </c>
      <c r="Q77" s="111">
        <v>4.6087175105827134</v>
      </c>
      <c r="R77" s="68">
        <v>8.0380500267160535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4.4701791924794667E-3</v>
      </c>
      <c r="M78" s="115">
        <v>2.3899045335305646</v>
      </c>
      <c r="N78" s="115">
        <v>549.72133976449732</v>
      </c>
      <c r="O78" s="115">
        <v>5.9806707686009952</v>
      </c>
      <c r="P78" s="115">
        <v>8.7262998965759291</v>
      </c>
      <c r="Q78" s="111">
        <v>5.9806707686009961</v>
      </c>
      <c r="R78" s="68">
        <v>8.7262998965759291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4.4701795376333843E-3</v>
      </c>
      <c r="M79" s="115">
        <v>2.3899027930194765</v>
      </c>
      <c r="N79" s="115">
        <v>549.72107439261504</v>
      </c>
      <c r="O79" s="115">
        <v>5.9806696251509406</v>
      </c>
      <c r="P79" s="115">
        <v>8.7263001658106223</v>
      </c>
      <c r="Q79" s="111">
        <v>5.9806696251509406</v>
      </c>
      <c r="R79" s="68">
        <v>8.7263001658106241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0.17048092934499964</v>
      </c>
      <c r="M80" s="115">
        <v>0.47651946133384698</v>
      </c>
      <c r="N80" s="115">
        <v>73.828275793332324</v>
      </c>
      <c r="O80" s="115">
        <v>4.1211250443997791</v>
      </c>
      <c r="P80" s="115">
        <v>7.0964808788780696</v>
      </c>
      <c r="Q80" s="111">
        <v>4.12112504439978</v>
      </c>
      <c r="R80" s="68">
        <v>7.0964808788780704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0.80537164435810271</v>
      </c>
      <c r="M81" s="115">
        <v>0.84440366830904179</v>
      </c>
      <c r="N81" s="115">
        <v>21.011767171281072</v>
      </c>
      <c r="O81" s="115">
        <v>1.6065039281140345</v>
      </c>
      <c r="P81" s="115">
        <v>2.3994826526653932</v>
      </c>
      <c r="Q81" s="111">
        <v>1.6065039281140345</v>
      </c>
      <c r="R81" s="68">
        <v>2.3994826526653932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0.61189021272658084</v>
      </c>
      <c r="M82" s="115">
        <v>0.7413587565630525</v>
      </c>
      <c r="N82" s="115">
        <v>39.569766726089767</v>
      </c>
      <c r="O82" s="115">
        <v>2.3857169252888344</v>
      </c>
      <c r="P82" s="115">
        <v>3.8457034601244016</v>
      </c>
      <c r="Q82" s="111">
        <v>2.3857169252888344</v>
      </c>
      <c r="R82" s="68">
        <v>3.8457034601244016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3.0278693887457746E-3</v>
      </c>
      <c r="M83" s="115">
        <v>4.6332807690231821</v>
      </c>
      <c r="N83" s="115">
        <v>1066.9302204941487</v>
      </c>
      <c r="O83" s="115">
        <v>7.3494079960197043</v>
      </c>
      <c r="P83" s="115">
        <v>9.2216003290531461</v>
      </c>
      <c r="Q83" s="111">
        <v>7.3494079960197043</v>
      </c>
      <c r="R83" s="68">
        <v>9.2216003290531461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0.35937335561811451</v>
      </c>
      <c r="M84" s="115">
        <v>3.1369912425373552</v>
      </c>
      <c r="N84" s="115">
        <v>448.89969662073707</v>
      </c>
      <c r="O84" s="115">
        <v>4.7369162589727036</v>
      </c>
      <c r="P84" s="115">
        <v>4.4507410490234873</v>
      </c>
      <c r="Q84" s="111">
        <v>4.7369162589727036</v>
      </c>
      <c r="R84" s="68">
        <v>4.4507410490234873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0.41007975163324123</v>
      </c>
      <c r="M85" s="115">
        <v>328.29087938472463</v>
      </c>
      <c r="N85" s="115">
        <v>9067.9786136886705</v>
      </c>
      <c r="O85" s="115">
        <v>9.0045163348022257</v>
      </c>
      <c r="P85" s="115">
        <v>8.112301340801217</v>
      </c>
      <c r="Q85" s="111">
        <v>9.0045163348022257</v>
      </c>
      <c r="R85" s="68">
        <v>8.112301340801217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3.854032865998312E-4</v>
      </c>
      <c r="M86" s="115">
        <v>26.170413558704972</v>
      </c>
      <c r="N86" s="115">
        <v>4297.6982776264613</v>
      </c>
      <c r="O86" s="115">
        <v>25.331128731321257</v>
      </c>
      <c r="P86" s="115">
        <v>10.193869170621852</v>
      </c>
      <c r="Q86" s="111">
        <v>25.331128731321257</v>
      </c>
      <c r="R86" s="68">
        <v>10.193869170621852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1.3253533384629393E-4</v>
      </c>
      <c r="M87" s="115">
        <v>29.571819217686254</v>
      </c>
      <c r="N87" s="115">
        <v>4872.7261289052931</v>
      </c>
      <c r="O87" s="115">
        <v>28.023919949405254</v>
      </c>
      <c r="P87" s="115">
        <v>10.587035933924613</v>
      </c>
      <c r="Q87" s="111">
        <v>28.023919949405258</v>
      </c>
      <c r="R87" s="68">
        <v>10.587035933924613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3.6963166675278964E-5</v>
      </c>
      <c r="M88" s="115">
        <v>31.907893552293395</v>
      </c>
      <c r="N88" s="115">
        <v>5277.6930633321808</v>
      </c>
      <c r="O88" s="115">
        <v>29.834473692891645</v>
      </c>
      <c r="P88" s="115">
        <v>10.88175799031497</v>
      </c>
      <c r="Q88" s="111">
        <v>29.834473692891645</v>
      </c>
      <c r="R88" s="68">
        <v>10.881757990314972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9.0709589098629424E-3</v>
      </c>
      <c r="M89" s="115">
        <v>1171.4595092858801</v>
      </c>
      <c r="N89" s="115">
        <v>32738.162286871575</v>
      </c>
      <c r="O89" s="115">
        <v>25.010101671434143</v>
      </c>
      <c r="P89" s="115">
        <v>8.6300119323943214</v>
      </c>
      <c r="Q89" s="111">
        <v>25.010101671434143</v>
      </c>
      <c r="R89" s="68">
        <v>8.6300119323943232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0.98495140554839444</v>
      </c>
      <c r="M90" s="115">
        <v>0.93417768966821957</v>
      </c>
      <c r="N90" s="115">
        <v>1.5023605488311844</v>
      </c>
      <c r="O90" s="115">
        <v>0.82579906833993</v>
      </c>
      <c r="P90" s="115">
        <v>0.95504426871578563</v>
      </c>
      <c r="Q90" s="111">
        <v>0.82579906833993</v>
      </c>
      <c r="R90" s="68">
        <v>0.95504426871578563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0.82334209131898339</v>
      </c>
      <c r="M91" s="115">
        <v>1.3145338482040694</v>
      </c>
      <c r="N91" s="115">
        <v>87.239291872610124</v>
      </c>
      <c r="O91" s="115">
        <v>1.4922137058782463</v>
      </c>
      <c r="P91" s="115">
        <v>1.488147527774949</v>
      </c>
      <c r="Q91" s="111">
        <v>1.4922137058782463</v>
      </c>
      <c r="R91" s="68">
        <v>1.488147527774949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0.15574920097980202</v>
      </c>
      <c r="M92" s="115">
        <v>4.0402534913578618</v>
      </c>
      <c r="N92" s="115">
        <v>625.4405584859295</v>
      </c>
      <c r="O92" s="115">
        <v>6.4973155757374279</v>
      </c>
      <c r="P92" s="115">
        <v>6.2365699516783506</v>
      </c>
      <c r="Q92" s="111">
        <v>6.4973155757374288</v>
      </c>
      <c r="R92" s="68">
        <v>6.2365699516783506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0.99234373285055877</v>
      </c>
      <c r="M93" s="115">
        <v>0.93443831600868277</v>
      </c>
      <c r="N93" s="115">
        <v>0.62166953955554161</v>
      </c>
      <c r="O93" s="115">
        <v>0.84257985554863657</v>
      </c>
      <c r="P93" s="115">
        <v>0.9908842911110084</v>
      </c>
      <c r="Q93" s="111">
        <v>0.84257985554863657</v>
      </c>
      <c r="R93" s="68">
        <v>0.9908842911110084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1.0018364743348982</v>
      </c>
      <c r="M94" s="115">
        <v>0.94135967895452988</v>
      </c>
      <c r="N94" s="115">
        <v>0.15143405583732988</v>
      </c>
      <c r="O94" s="115">
        <v>0.82483445482056461</v>
      </c>
      <c r="P94" s="115">
        <v>0.95871494904912125</v>
      </c>
      <c r="Q94" s="111">
        <v>0.82483445482056461</v>
      </c>
      <c r="R94" s="68">
        <v>0.95871494904912136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0.97765657284633012</v>
      </c>
      <c r="M95" s="115">
        <v>0.95907057706399779</v>
      </c>
      <c r="N95" s="115">
        <v>6.5970324903726061</v>
      </c>
      <c r="O95" s="115">
        <v>0.84991590947079221</v>
      </c>
      <c r="P95" s="115">
        <v>0.96680361367084733</v>
      </c>
      <c r="Q95" s="111">
        <v>0.84991590947079221</v>
      </c>
      <c r="R95" s="68">
        <v>0.96680361367084733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5.6226970959100326E-4</v>
      </c>
      <c r="M96" s="115">
        <v>24.511333873617275</v>
      </c>
      <c r="N96" s="115">
        <v>4020.1315427911841</v>
      </c>
      <c r="O96" s="115">
        <v>24.007789484882288</v>
      </c>
      <c r="P96" s="115">
        <v>10.011799346162768</v>
      </c>
      <c r="Q96" s="111">
        <v>24.007789484882291</v>
      </c>
      <c r="R96" s="68">
        <v>10.011799346162769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0.71984030851515846</v>
      </c>
      <c r="M97" s="115">
        <v>1.6742814708009037</v>
      </c>
      <c r="N97" s="115">
        <v>160.46775877749607</v>
      </c>
      <c r="O97" s="115">
        <v>2.1156834994047578</v>
      </c>
      <c r="P97" s="115">
        <v>2.0278852382120807</v>
      </c>
      <c r="Q97" s="111">
        <v>2.1156834994047582</v>
      </c>
      <c r="R97" s="68">
        <v>2.0278852382120807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0.80709376127073185</v>
      </c>
      <c r="M98" s="115">
        <v>1.3682999660025967</v>
      </c>
      <c r="N98" s="115">
        <v>98.31631446046147</v>
      </c>
      <c r="O98" s="115">
        <v>1.5849670192548579</v>
      </c>
      <c r="P98" s="115">
        <v>1.5671467760456874</v>
      </c>
      <c r="Q98" s="111">
        <v>1.5849670192548579</v>
      </c>
      <c r="R98" s="68">
        <v>1.5671467760456876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0.92663008242989275</v>
      </c>
      <c r="M99" s="115">
        <v>1.0204853394359426</v>
      </c>
      <c r="N99" s="115">
        <v>24.291412817982099</v>
      </c>
      <c r="O99" s="115">
        <v>0.98470597782645919</v>
      </c>
      <c r="P99" s="115">
        <v>1.0701421745635913</v>
      </c>
      <c r="Q99" s="111">
        <v>0.9847059778264593</v>
      </c>
      <c r="R99" s="68">
        <v>1.0701421745635915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3.7118937697271908E-3</v>
      </c>
      <c r="M100" s="115">
        <v>12.153495805535819</v>
      </c>
      <c r="N100" s="115">
        <v>1977.9813660545808</v>
      </c>
      <c r="O100" s="115">
        <v>14.083653106290706</v>
      </c>
      <c r="P100" s="115">
        <v>8.7775345121226742</v>
      </c>
      <c r="Q100" s="111">
        <v>14.083653106290708</v>
      </c>
      <c r="R100" s="68">
        <v>8.7775345121226742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0.22081310482893987</v>
      </c>
      <c r="M101" s="115">
        <v>3.7518084730211365</v>
      </c>
      <c r="N101" s="115">
        <v>568.82026120102137</v>
      </c>
      <c r="O101" s="115">
        <v>5.9103171973829962</v>
      </c>
      <c r="P101" s="115">
        <v>5.618816676960102</v>
      </c>
      <c r="Q101" s="111">
        <v>5.9103171973829971</v>
      </c>
      <c r="R101" s="68">
        <v>5.6188166769601029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4.4797038209469016E-2</v>
      </c>
      <c r="M102" s="115">
        <v>4.4763453268297377</v>
      </c>
      <c r="N102" s="115">
        <v>714.66016695496353</v>
      </c>
      <c r="O102" s="115">
        <v>7.5800151340838511</v>
      </c>
      <c r="P102" s="115">
        <v>7.5318758105305061</v>
      </c>
      <c r="Q102" s="111">
        <v>7.580015134083852</v>
      </c>
      <c r="R102" s="68">
        <v>7.5318758105305061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0.89382316949725626</v>
      </c>
      <c r="M103" s="115">
        <v>0.88897943302294502</v>
      </c>
      <c r="N103" s="115">
        <v>11.859919326117357</v>
      </c>
      <c r="O103" s="115">
        <v>1.2471118830183063</v>
      </c>
      <c r="P103" s="115">
        <v>1.7349285133098704</v>
      </c>
      <c r="Q103" s="111">
        <v>1.2471118830183063</v>
      </c>
      <c r="R103" s="68">
        <v>1.7349285133098704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1.1489525776764587E-2</v>
      </c>
      <c r="M104" s="115">
        <v>0.50867133965131006</v>
      </c>
      <c r="N104" s="115">
        <v>112.63616242300999</v>
      </c>
      <c r="O104" s="115">
        <v>4.8093689501838419</v>
      </c>
      <c r="P104" s="115">
        <v>8.2571831342523723</v>
      </c>
      <c r="Q104" s="111">
        <v>4.8093689501838428</v>
      </c>
      <c r="R104" s="68">
        <v>8.2571831342523723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0.98270068622819018</v>
      </c>
      <c r="M105" s="115">
        <v>0.93419295713784167</v>
      </c>
      <c r="N105" s="115">
        <v>1.8383413881975919</v>
      </c>
      <c r="O105" s="115">
        <v>0.82766432449217642</v>
      </c>
      <c r="P105" s="115">
        <v>0.95564801983107239</v>
      </c>
      <c r="Q105" s="111">
        <v>0.82766432449217642</v>
      </c>
      <c r="R105" s="68">
        <v>0.95564801983107239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0.97464357987972094</v>
      </c>
      <c r="M106" s="115">
        <v>0.95938433015366198</v>
      </c>
      <c r="N106" s="115">
        <v>7.1034298510924483</v>
      </c>
      <c r="O106" s="115">
        <v>0.85278192771807781</v>
      </c>
      <c r="P106" s="115">
        <v>0.96849247839488783</v>
      </c>
      <c r="Q106" s="111">
        <v>0.85278192771807781</v>
      </c>
      <c r="R106" s="68">
        <v>0.96849247839488795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4.0105026238694337E-2</v>
      </c>
      <c r="M107" s="115">
        <v>7.969933020032383</v>
      </c>
      <c r="N107" s="115">
        <v>759.20744351097414</v>
      </c>
      <c r="O107" s="115">
        <v>7.1293082685289217</v>
      </c>
      <c r="P107" s="115">
        <v>7.173765391231159</v>
      </c>
      <c r="Q107" s="111">
        <v>7.1293082685289226</v>
      </c>
      <c r="R107" s="68">
        <v>7.1737653912311599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0.9992965635729405</v>
      </c>
      <c r="M108" s="115">
        <v>0.93866980483628171</v>
      </c>
      <c r="N108" s="115">
        <v>7.8382020344380632E-2</v>
      </c>
      <c r="O108" s="115">
        <v>0.82474131654981897</v>
      </c>
      <c r="P108" s="115">
        <v>0.95860714385231993</v>
      </c>
      <c r="Q108" s="111">
        <v>0.82474131654981897</v>
      </c>
      <c r="R108" s="68">
        <v>0.95860714385231993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4.7560659306237518</v>
      </c>
      <c r="M109" s="115">
        <v>10.224262860489301</v>
      </c>
      <c r="N109" s="115">
        <v>261.40439087205294</v>
      </c>
      <c r="O109" s="115">
        <v>1.2282775682746334</v>
      </c>
      <c r="P109" s="115">
        <v>1.4282944938008519</v>
      </c>
      <c r="Q109" s="111">
        <v>1.2282775682746334</v>
      </c>
      <c r="R109" s="68">
        <v>1.4282944938008519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0.99378241820640545</v>
      </c>
      <c r="M110" s="115">
        <v>0.93451418437951683</v>
      </c>
      <c r="N110" s="115">
        <v>0.22349282774372617</v>
      </c>
      <c r="O110" s="115">
        <v>0.82386126069742882</v>
      </c>
      <c r="P110" s="115">
        <v>0.95718772457989276</v>
      </c>
      <c r="Q110" s="111">
        <v>0.82386126069742882</v>
      </c>
      <c r="R110" s="68">
        <v>0.95718772457989287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0.99663384253110776</v>
      </c>
      <c r="M111" s="115">
        <v>0.93585283988882295</v>
      </c>
      <c r="N111" s="115">
        <v>3.2442682743758292E-3</v>
      </c>
      <c r="O111" s="115">
        <v>0.82474449439233688</v>
      </c>
      <c r="P111" s="115">
        <v>0.958662471129474</v>
      </c>
      <c r="Q111" s="111">
        <v>0.82474449439233688</v>
      </c>
      <c r="R111" s="68">
        <v>0.95866247112947411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0.99314355440550839</v>
      </c>
      <c r="M112" s="115">
        <v>0.93362082044244743</v>
      </c>
      <c r="N112" s="115">
        <v>0.16894393056042262</v>
      </c>
      <c r="O112" s="115">
        <v>0.8218614671154626</v>
      </c>
      <c r="P112" s="115">
        <v>0.95464145876575657</v>
      </c>
      <c r="Q112" s="111">
        <v>0.8218614671154626</v>
      </c>
      <c r="R112" s="68">
        <v>0.95464145876575657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0.97460097253716171</v>
      </c>
      <c r="M113" s="115">
        <v>0.93963611405627168</v>
      </c>
      <c r="N113" s="115">
        <v>3.9441633592553473</v>
      </c>
      <c r="O113" s="115">
        <v>0.83953414971924212</v>
      </c>
      <c r="P113" s="115">
        <v>0.96258281293686121</v>
      </c>
      <c r="Q113" s="111">
        <v>0.83953414971924223</v>
      </c>
      <c r="R113" s="68">
        <v>0.96258281293686121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0.99485589331452917</v>
      </c>
      <c r="M114" s="115">
        <v>0.93449925370780917</v>
      </c>
      <c r="N114" s="115">
        <v>5.2399108147883261E-2</v>
      </c>
      <c r="O114" s="115">
        <v>0.82226744850692324</v>
      </c>
      <c r="P114" s="115">
        <v>0.95554948337094647</v>
      </c>
      <c r="Q114" s="111">
        <v>0.82226744850692324</v>
      </c>
      <c r="R114" s="68">
        <v>0.95554948337094647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0.96984016792057626</v>
      </c>
      <c r="M115" s="115">
        <v>0.9248967761821395</v>
      </c>
      <c r="N115" s="115">
        <v>3.398442618770408</v>
      </c>
      <c r="O115" s="115">
        <v>0.93587774115238265</v>
      </c>
      <c r="P115" s="115">
        <v>1.1617182420871635</v>
      </c>
      <c r="Q115" s="111">
        <v>0.93587774115238276</v>
      </c>
      <c r="R115" s="68">
        <v>1.1617182420871635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1.0907862622998574</v>
      </c>
      <c r="M116" s="115">
        <v>101.3599806774601</v>
      </c>
      <c r="N116" s="115">
        <v>2809.0841711231601</v>
      </c>
      <c r="O116" s="115">
        <v>5.6067871758700267</v>
      </c>
      <c r="P116" s="115">
        <v>7.2908429119995466</v>
      </c>
      <c r="Q116" s="111">
        <v>5.6067871758700276</v>
      </c>
      <c r="R116" s="68">
        <v>7.2908429119995475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0.58617715258835046</v>
      </c>
      <c r="M117" s="115">
        <v>2.1869413309038022</v>
      </c>
      <c r="N117" s="115">
        <v>262.57129189386052</v>
      </c>
      <c r="O117" s="115">
        <v>3.0164726052997248</v>
      </c>
      <c r="P117" s="115">
        <v>2.8353350016790286</v>
      </c>
      <c r="Q117" s="111">
        <v>3.0164726052997248</v>
      </c>
      <c r="R117" s="68">
        <v>2.8353350016790291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2025-02-02T13:41:13Z</dcterms:modified>
</cp:coreProperties>
</file>