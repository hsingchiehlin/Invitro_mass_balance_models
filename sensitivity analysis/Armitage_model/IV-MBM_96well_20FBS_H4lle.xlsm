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4CE4E0C5-1580-460A-A972-E197A5DA3E4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<sst xmlns="http://schemas.openxmlformats.org/spreadsheetml/2006/main" count="2915" uniqueCount="495">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</sst>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67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7.0000000000000007E-2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7.0000000000000007E-2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4.6666666666666672E-4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2.8000000000000003E-6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1.5253216459051903E-5</v>
      </c>
      <c r="J2" s="67" t="s">
        <v>231</v>
      </c>
      <c r="K2" s="68">
        <v>1.179653185015176E-3</v>
      </c>
      <c r="L2" s="67" t="s">
        <v>231</v>
      </c>
      <c r="M2" s="68">
        <v>5.9031282658442992E-2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1.0659114616829277E-3</v>
      </c>
      <c r="J3" s="67" t="s">
        <v>231</v>
      </c>
      <c r="K3" s="68">
        <v>2.3285879322544376E-2</v>
      </c>
      <c r="L3" s="67" t="s">
        <v>231</v>
      </c>
      <c r="M3" s="68">
        <v>3.816063164927352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2.1685799900759677E-3</v>
      </c>
      <c r="J4" s="67" t="s">
        <v>231</v>
      </c>
      <c r="K4" s="68">
        <v>2.7608600082073714E-3</v>
      </c>
      <c r="L4" s="67" t="s">
        <v>231</v>
      </c>
      <c r="M4" s="68">
        <v>0.37540497107632936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1.6607770725611535E-3</v>
      </c>
      <c r="J5" s="67" t="s">
        <v>231</v>
      </c>
      <c r="K5" s="68">
        <v>6.9076027347581394E-3</v>
      </c>
      <c r="L5" s="67" t="s">
        <v>231</v>
      </c>
      <c r="M5" s="68">
        <v>1.1191930071946057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2.8819326188224866E-3</v>
      </c>
      <c r="J6" s="67" t="s">
        <v>231</v>
      </c>
      <c r="K6" s="68">
        <v>2.6956704905304683E-2</v>
      </c>
      <c r="L6" s="67" t="s">
        <v>231</v>
      </c>
      <c r="M6" s="68">
        <v>4.4297732080633123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4.2321275742635255E-4</v>
      </c>
      <c r="J7" s="67" t="s">
        <v>231</v>
      </c>
      <c r="K7" s="68">
        <v>2.3942705462998884E-2</v>
      </c>
      <c r="L7" s="67" t="s">
        <v>231</v>
      </c>
      <c r="M7" s="68">
        <v>3.925287996866397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8.2374097323154136E-4</v>
      </c>
      <c r="J8" s="67" t="s">
        <v>231</v>
      </c>
      <c r="K8" s="68">
        <v>1.9231161510716608E-2</v>
      </c>
      <c r="L8" s="67" t="s">
        <v>231</v>
      </c>
      <c r="M8" s="68">
        <v>3.1434490965718247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2.5027847247910981E-4</v>
      </c>
      <c r="J9" s="67" t="s">
        <v>231</v>
      </c>
      <c r="K9" s="68">
        <v>4.3996313094075657E-3</v>
      </c>
      <c r="L9" s="67" t="s">
        <v>231</v>
      </c>
      <c r="M9" s="68">
        <v>0.69763953402139633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1.0001633575015573E-3</v>
      </c>
      <c r="J10" s="67" t="s">
        <v>231</v>
      </c>
      <c r="K10" s="68">
        <v>7.3914599118402383E-3</v>
      </c>
      <c r="L10" s="67" t="s">
        <v>231</v>
      </c>
      <c r="M10" s="68">
        <v>1.1982382589023057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2.4646492939369569E-4</v>
      </c>
      <c r="J11" s="67" t="s">
        <v>231</v>
      </c>
      <c r="K11" s="68">
        <v>8.2477737236257634E-3</v>
      </c>
      <c r="L11" s="67" t="s">
        <v>231</v>
      </c>
      <c r="M11" s="68">
        <v>1.3382136035239944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5.254529955604026E-4</v>
      </c>
      <c r="J12" s="67" t="s">
        <v>231</v>
      </c>
      <c r="K12" s="68">
        <v>4.4792443980216073E-3</v>
      </c>
      <c r="L12" s="67" t="s">
        <v>231</v>
      </c>
      <c r="M12" s="68">
        <v>0.71532366843047135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1.1638442324570768E-2</v>
      </c>
      <c r="J13" s="67" t="s">
        <v>232</v>
      </c>
      <c r="K13" s="68">
        <v>4.409936325317468E-3</v>
      </c>
      <c r="L13" s="67" t="s">
        <v>231</v>
      </c>
      <c r="M13" s="68">
        <v>0.699834088217543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2.3567630430775229E-3</v>
      </c>
      <c r="J14" s="67" t="s">
        <v>231</v>
      </c>
      <c r="K14" s="68">
        <v>1.1287157927263557E-2</v>
      </c>
      <c r="L14" s="67" t="s">
        <v>231</v>
      </c>
      <c r="M14" s="68">
        <v>1.8358826121014571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1.1812460482418885E-3</v>
      </c>
      <c r="J15" s="67" t="s">
        <v>231</v>
      </c>
      <c r="K15" s="68">
        <v>7.8118977231958113E-3</v>
      </c>
      <c r="L15" s="67" t="s">
        <v>231</v>
      </c>
      <c r="M15" s="68">
        <v>1.2669507698043001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8.6673118419443329E-4</v>
      </c>
      <c r="J16" s="67" t="s">
        <v>231</v>
      </c>
      <c r="K16" s="68">
        <v>1.8995977427278016E-2</v>
      </c>
      <c r="L16" s="67" t="s">
        <v>231</v>
      </c>
      <c r="M16" s="68">
        <v>3.1045798006244838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6.9980168465764504E-4</v>
      </c>
      <c r="J17" s="67" t="s">
        <v>231</v>
      </c>
      <c r="K17" s="68">
        <v>7.06657570860673E-3</v>
      </c>
      <c r="L17" s="67" t="s">
        <v>231</v>
      </c>
      <c r="M17" s="68">
        <v>1.1451595640947223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1.8803690848695318E-3</v>
      </c>
      <c r="J18" s="67" t="s">
        <v>231</v>
      </c>
      <c r="K18" s="68">
        <v>4.3320494266899994E-3</v>
      </c>
      <c r="L18" s="67" t="s">
        <v>231</v>
      </c>
      <c r="M18" s="68">
        <v>0.68417223646213932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7.182474876729128E-3</v>
      </c>
      <c r="J19" s="67" t="s">
        <v>231</v>
      </c>
      <c r="K19" s="68">
        <v>7.8979088780979246E-3</v>
      </c>
      <c r="L19" s="67" t="s">
        <v>231</v>
      </c>
      <c r="M19" s="68">
        <v>1.2810107460852393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1.2042667662040462E-3</v>
      </c>
      <c r="J20" s="67" t="s">
        <v>231</v>
      </c>
      <c r="K20" s="68">
        <v>4.4104631077643858E-3</v>
      </c>
      <c r="L20" s="67" t="s">
        <v>231</v>
      </c>
      <c r="M20" s="68">
        <v>0.69991768586753877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3.3974626421694469E-3</v>
      </c>
      <c r="J21" s="67" t="s">
        <v>231</v>
      </c>
      <c r="K21" s="68">
        <v>1.0346169614829238E-2</v>
      </c>
      <c r="L21" s="67" t="s">
        <v>231</v>
      </c>
      <c r="M21" s="68">
        <v>1.6816674898472206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1.035818739410087E-4</v>
      </c>
      <c r="J22" s="67" t="s">
        <v>231</v>
      </c>
      <c r="K22" s="68">
        <v>1.8070948360322258E-3</v>
      </c>
      <c r="L22" s="67" t="s">
        <v>231</v>
      </c>
      <c r="M22" s="68">
        <v>0.18741163691456458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3.3497230554238747E-5</v>
      </c>
      <c r="J23" s="67" t="s">
        <v>231</v>
      </c>
      <c r="K23" s="68">
        <v>1.3317774954307079E-3</v>
      </c>
      <c r="L23" s="67" t="s">
        <v>231</v>
      </c>
      <c r="M23" s="68">
        <v>9.0804073719785508E-2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9.951118951897689E-5</v>
      </c>
      <c r="J24" s="67" t="s">
        <v>231</v>
      </c>
      <c r="K24" s="68">
        <v>3.7687099059852706E-3</v>
      </c>
      <c r="L24" s="67" t="s">
        <v>231</v>
      </c>
      <c r="M24" s="68">
        <v>0.57213397905422492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4.4421991712206062E-4</v>
      </c>
      <c r="J25" s="67" t="s">
        <v>231</v>
      </c>
      <c r="K25" s="68">
        <v>4.4479418833665791E-3</v>
      </c>
      <c r="L25" s="67" t="s">
        <v>231</v>
      </c>
      <c r="M25" s="68">
        <v>0.71464268501995354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8.9860577799592541E-4</v>
      </c>
      <c r="J26" s="67" t="s">
        <v>231</v>
      </c>
      <c r="K26" s="68">
        <v>9.745871486004816E-3</v>
      </c>
      <c r="L26" s="67" t="s">
        <v>231</v>
      </c>
      <c r="M26" s="68">
        <v>1.583349646819826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5.8602942466474853E-4</v>
      </c>
      <c r="J27" s="67" t="s">
        <v>231</v>
      </c>
      <c r="K27" s="68">
        <v>2.280271367973416E-2</v>
      </c>
      <c r="L27" s="67" t="s">
        <v>231</v>
      </c>
      <c r="M27" s="68">
        <v>3.7356224586873568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3.1891929355897382E-4</v>
      </c>
      <c r="J28" s="67" t="s">
        <v>231</v>
      </c>
      <c r="K28" s="68">
        <v>1.4304253848863554E-2</v>
      </c>
      <c r="L28" s="67" t="s">
        <v>231</v>
      </c>
      <c r="M28" s="68">
        <v>2.3312475600738214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1.9654104027575579E-4</v>
      </c>
      <c r="J29" s="67" t="s">
        <v>231</v>
      </c>
      <c r="K29" s="68">
        <v>1.071980661887185E-2</v>
      </c>
      <c r="L29" s="67" t="s">
        <v>231</v>
      </c>
      <c r="M29" s="68">
        <v>1.7432037957560063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3.1891929355897382E-4</v>
      </c>
      <c r="J30" s="67" t="s">
        <v>231</v>
      </c>
      <c r="K30" s="68">
        <v>1.4304253848863554E-2</v>
      </c>
      <c r="L30" s="67" t="s">
        <v>231</v>
      </c>
      <c r="M30" s="68">
        <v>2.3312475600738214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8.2431859700291038E-8</v>
      </c>
      <c r="J31" s="67" t="s">
        <v>231</v>
      </c>
      <c r="K31" s="68">
        <v>9.3308920027540792E-4</v>
      </c>
      <c r="L31" s="67" t="s">
        <v>231</v>
      </c>
      <c r="M31" s="68">
        <v>1.1554477727551077E-3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1.0346880185584291E-5</v>
      </c>
      <c r="J32" s="67" t="s">
        <v>231</v>
      </c>
      <c r="K32" s="68">
        <v>2.4505323282486189E-3</v>
      </c>
      <c r="L32" s="67" t="s">
        <v>231</v>
      </c>
      <c r="M32" s="68">
        <v>0.29836788366502481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8.1307209089594068E-8</v>
      </c>
      <c r="J33" s="67" t="s">
        <v>231</v>
      </c>
      <c r="K33" s="68">
        <v>9.3447384499872963E-4</v>
      </c>
      <c r="L33" s="67" t="s">
        <v>231</v>
      </c>
      <c r="M33" s="68">
        <v>5.9112315638426875E-4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1.9356455092753282E-10</v>
      </c>
      <c r="J34" s="67" t="s">
        <v>231</v>
      </c>
      <c r="K34" s="68">
        <v>7.0801896056700466E-4</v>
      </c>
      <c r="L34" s="67" t="s">
        <v>231</v>
      </c>
      <c r="M34" s="68">
        <v>4.5011946894008191E-2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1.9755447637834445E-7</v>
      </c>
      <c r="J35" s="67" t="s">
        <v>231</v>
      </c>
      <c r="K35" s="68">
        <v>5.8088016331065253E-4</v>
      </c>
      <c r="L35" s="67" t="s">
        <v>231</v>
      </c>
      <c r="M35" s="68">
        <v>6.3708695447816793E-2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1.8004661880117161E-7</v>
      </c>
      <c r="J36" s="67" t="s">
        <v>231</v>
      </c>
      <c r="K36" s="68">
        <v>4.3924152836887908E-4</v>
      </c>
      <c r="L36" s="67" t="s">
        <v>231</v>
      </c>
      <c r="M36" s="68">
        <v>7.7422530192250469E-2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2.0176000169488683E-6</v>
      </c>
      <c r="J37" s="67" t="s">
        <v>231</v>
      </c>
      <c r="K37" s="68">
        <v>1.2348194375218359E-3</v>
      </c>
      <c r="L37" s="67" t="s">
        <v>231</v>
      </c>
      <c r="M37" s="68">
        <v>0.1823549969650603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1.0531571382891604E-6</v>
      </c>
      <c r="J38" s="67" t="s">
        <v>231</v>
      </c>
      <c r="K38" s="68">
        <v>7.5252506048211214E-4</v>
      </c>
      <c r="L38" s="67" t="s">
        <v>231</v>
      </c>
      <c r="M38" s="68">
        <v>4.0343584790475839E-2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2.2389551218760865E-4</v>
      </c>
      <c r="J39" s="67" t="s">
        <v>231</v>
      </c>
      <c r="K39" s="68">
        <v>4.549159855052198E-3</v>
      </c>
      <c r="L39" s="67" t="s">
        <v>231</v>
      </c>
      <c r="M39" s="68">
        <v>0.73436889046645248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8.1827895699519302E-10</v>
      </c>
      <c r="J40" s="67" t="s">
        <v>231</v>
      </c>
      <c r="K40" s="68">
        <v>2.5004948701691745E-2</v>
      </c>
      <c r="L40" s="67" t="s">
        <v>231</v>
      </c>
      <c r="M40" s="68">
        <v>5.6206755110324869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2.679088064547295E-8</v>
      </c>
      <c r="J41" s="67" t="s">
        <v>231</v>
      </c>
      <c r="K41" s="68">
        <v>8.7360584590188224E-4</v>
      </c>
      <c r="L41" s="67" t="s">
        <v>231</v>
      </c>
      <c r="M41" s="68">
        <v>6.5793390124856111E-5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1.1424468856966483E-3</v>
      </c>
      <c r="J42" s="67" t="s">
        <v>231</v>
      </c>
      <c r="K42" s="68">
        <v>1.9620932677566197E-3</v>
      </c>
      <c r="L42" s="67" t="s">
        <v>231</v>
      </c>
      <c r="M42" s="68">
        <v>0.21799822518896267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4.7092727227902216E-9</v>
      </c>
      <c r="J43" s="67" t="s">
        <v>231</v>
      </c>
      <c r="K43" s="68">
        <v>7.2970192415459261E-4</v>
      </c>
      <c r="L43" s="67" t="s">
        <v>231</v>
      </c>
      <c r="M43" s="68">
        <v>0.16460990830849606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1.1746861409053423E-6</v>
      </c>
      <c r="J44" s="67" t="s">
        <v>231</v>
      </c>
      <c r="K44" s="68">
        <v>9.8841885310083652E-4</v>
      </c>
      <c r="L44" s="67" t="s">
        <v>231</v>
      </c>
      <c r="M44" s="68">
        <v>3.2027266186148963E-2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1.0081821077387174E-4</v>
      </c>
      <c r="J45" s="67" t="s">
        <v>231</v>
      </c>
      <c r="K45" s="68">
        <v>2.1079886006860767E-3</v>
      </c>
      <c r="L45" s="67" t="s">
        <v>231</v>
      </c>
      <c r="M45" s="68">
        <v>0.24705787151991238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2.2581190524092797E-6</v>
      </c>
      <c r="J46" s="67" t="s">
        <v>231</v>
      </c>
      <c r="K46" s="68">
        <v>2.0121844537224899E-3</v>
      </c>
      <c r="L46" s="67" t="s">
        <v>231</v>
      </c>
      <c r="M46" s="68">
        <v>0.22827627771568512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2.7035700580343397E-3</v>
      </c>
      <c r="J47" s="142" t="s">
        <v>231</v>
      </c>
      <c r="K47" s="143">
        <v>2.3354540033830855E-2</v>
      </c>
      <c r="L47" s="142" t="s">
        <v>231</v>
      </c>
      <c r="M47" s="143">
        <v>3.8273152034520201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1.8941435653601939E-6</v>
      </c>
      <c r="J48" s="142" t="s">
        <v>231</v>
      </c>
      <c r="K48" s="143">
        <v>9.5482740262148205E-4</v>
      </c>
      <c r="L48" s="142" t="s">
        <v>231</v>
      </c>
      <c r="M48" s="143">
        <v>1.0706972499991784E-2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5.3709590101125106E-6</v>
      </c>
      <c r="J49" s="142" t="s">
        <v>231</v>
      </c>
      <c r="K49" s="143">
        <v>9.7948569484613613E-4</v>
      </c>
      <c r="L49" s="142" t="s">
        <v>231</v>
      </c>
      <c r="M49" s="143">
        <v>1.8661489644825301E-2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8.2920256997636041E-6</v>
      </c>
      <c r="J50" s="142" t="s">
        <v>231</v>
      </c>
      <c r="K50" s="143">
        <v>4.29624353783841E-3</v>
      </c>
      <c r="L50" s="142" t="s">
        <v>231</v>
      </c>
      <c r="M50" s="143">
        <v>0.67749883954334622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4.1538548362220491E-8</v>
      </c>
      <c r="J51" s="142" t="s">
        <v>231</v>
      </c>
      <c r="K51" s="143">
        <v>8.8537221762323231E-4</v>
      </c>
      <c r="L51" s="142" t="s">
        <v>231</v>
      </c>
      <c r="M51" s="143">
        <v>1.9108323773868402E-3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1.2097417574959458E-5</v>
      </c>
      <c r="J52" s="142" t="s">
        <v>231</v>
      </c>
      <c r="K52" s="143">
        <v>1.1031997938806383E-3</v>
      </c>
      <c r="L52" s="142" t="s">
        <v>231</v>
      </c>
      <c r="M52" s="143">
        <v>5.4324383244073036E-2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1.9198934708631482E-4</v>
      </c>
      <c r="J53" s="142" t="s">
        <v>231</v>
      </c>
      <c r="K53" s="143">
        <v>2.6232252082017877E-3</v>
      </c>
      <c r="L53" s="142" t="s">
        <v>231</v>
      </c>
      <c r="M53" s="143">
        <v>0.34875341850543534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9.2503197079419328E-4</v>
      </c>
      <c r="J54" s="67" t="s">
        <v>231</v>
      </c>
      <c r="K54" s="68">
        <v>2.1474332169457828E-2</v>
      </c>
      <c r="L54" s="67" t="s">
        <v>231</v>
      </c>
      <c r="M54" s="68">
        <v>3.5149068164331987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2.0937087649551561E-4</v>
      </c>
      <c r="J55" s="67" t="s">
        <v>231</v>
      </c>
      <c r="K55" s="68">
        <v>3.3785614270085483E-3</v>
      </c>
      <c r="L55" s="67" t="s">
        <v>231</v>
      </c>
      <c r="M55" s="68">
        <v>0.51667935918861507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6.1885595507522981E-5</v>
      </c>
      <c r="J56" s="67" t="s">
        <v>231</v>
      </c>
      <c r="K56" s="68">
        <v>1.9157840493421844E-3</v>
      </c>
      <c r="L56" s="67" t="s">
        <v>231</v>
      </c>
      <c r="M56" s="68">
        <v>0.30568376159641675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3.0261748558639872E-5</v>
      </c>
      <c r="J57" s="67" t="s">
        <v>231</v>
      </c>
      <c r="K57" s="68">
        <v>9.9903358653354426E-4</v>
      </c>
      <c r="L57" s="67" t="s">
        <v>231</v>
      </c>
      <c r="M57" s="68">
        <v>0.15478948787670244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3.2782564009616318E-7</v>
      </c>
      <c r="J58" s="67" t="s">
        <v>231</v>
      </c>
      <c r="K58" s="68">
        <v>8.2434489529448597E-5</v>
      </c>
      <c r="L58" s="67" t="s">
        <v>231</v>
      </c>
      <c r="M58" s="68">
        <v>1.9235600529853517E-3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7.3425667361402401E-6</v>
      </c>
      <c r="J59" s="67" t="s">
        <v>231</v>
      </c>
      <c r="K59" s="68">
        <v>3.8825941290595613E-4</v>
      </c>
      <c r="L59" s="67" t="s">
        <v>231</v>
      </c>
      <c r="M59" s="68">
        <v>5.9993914919028758E-2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1.1533456906648124E-7</v>
      </c>
      <c r="J60" s="67" t="s">
        <v>231</v>
      </c>
      <c r="K60" s="68">
        <v>7.0518635497971173E-6</v>
      </c>
      <c r="L60" s="67" t="s">
        <v>231</v>
      </c>
      <c r="M60" s="68">
        <v>1.042522408229165E-3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4.1846435149348299E-2</v>
      </c>
      <c r="J61" s="67" t="s">
        <v>232</v>
      </c>
      <c r="K61" s="68">
        <v>3.1369912425373552E-3</v>
      </c>
      <c r="L61" s="67" t="s">
        <v>231</v>
      </c>
      <c r="M61" s="68">
        <v>0.44889969662073703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4.0720390601107499E-5</v>
      </c>
      <c r="J62" s="67" t="s">
        <v>231</v>
      </c>
      <c r="K62" s="68">
        <v>1.1075795275646035E-2</v>
      </c>
      <c r="L62" s="67" t="s">
        <v>231</v>
      </c>
      <c r="M62" s="68">
        <v>1.8012303280456523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2.7943531418717288E-4</v>
      </c>
      <c r="J63" s="67" t="s">
        <v>231</v>
      </c>
      <c r="K63" s="68">
        <v>2.6170413558704975E-2</v>
      </c>
      <c r="L63" s="67" t="s">
        <v>231</v>
      </c>
      <c r="M63" s="68">
        <v>4.2976982776264618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2.0046574583187525E-4</v>
      </c>
      <c r="J64" s="67" t="s">
        <v>231</v>
      </c>
      <c r="K64" s="68">
        <v>2.9571819217686254E-2</v>
      </c>
      <c r="L64" s="67" t="s">
        <v>231</v>
      </c>
      <c r="M64" s="68">
        <v>4.8727261289052928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3.0478633478548452E-4</v>
      </c>
      <c r="J65" s="67" t="s">
        <v>231</v>
      </c>
      <c r="K65" s="68">
        <v>3.1907893552293391E-2</v>
      </c>
      <c r="L65" s="67" t="s">
        <v>231</v>
      </c>
      <c r="M65" s="68">
        <v>5.2776930633321806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1.2060343198176329E-6</v>
      </c>
      <c r="J66" s="67" t="s">
        <v>231</v>
      </c>
      <c r="K66" s="68">
        <v>3.0743123196256942E-2</v>
      </c>
      <c r="L66" s="67" t="s">
        <v>231</v>
      </c>
      <c r="M66" s="68">
        <v>5.074066806667263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4.0842923711064343E-4</v>
      </c>
      <c r="J67" s="67" t="s">
        <v>231</v>
      </c>
      <c r="K67" s="68">
        <v>1.0917494733650997E-3</v>
      </c>
      <c r="L67" s="67" t="s">
        <v>231</v>
      </c>
      <c r="M67" s="68">
        <v>4.0936298784538798E-2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1.6720606297665119E-4</v>
      </c>
      <c r="J68" s="67" t="s">
        <v>231</v>
      </c>
      <c r="K68" s="68">
        <v>1.2266071261333644E-3</v>
      </c>
      <c r="L68" s="67" t="s">
        <v>231</v>
      </c>
      <c r="M68" s="68">
        <v>7.0562117935478855E-2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2.2361030627016124E-7</v>
      </c>
      <c r="J69" s="67" t="s">
        <v>231</v>
      </c>
      <c r="K69" s="68">
        <v>1.8634928692499844E-2</v>
      </c>
      <c r="L69" s="67" t="s">
        <v>231</v>
      </c>
      <c r="M69" s="68">
        <v>3.0449429148166969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2.451256845757578E-4</v>
      </c>
      <c r="J70" s="67" t="s">
        <v>231</v>
      </c>
      <c r="K70" s="68">
        <v>4.488532853413366E-3</v>
      </c>
      <c r="L70" s="67" t="s">
        <v>231</v>
      </c>
      <c r="M70" s="68">
        <v>0.71991052843765835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3.1199873407300921E-4</v>
      </c>
      <c r="J71" s="67" t="s">
        <v>231</v>
      </c>
      <c r="K71" s="68">
        <v>1.1845461422822605E-3</v>
      </c>
      <c r="L71" s="67" t="s">
        <v>231</v>
      </c>
      <c r="M71" s="68">
        <v>6.412715121178944E-2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1.494709287285808E-6</v>
      </c>
      <c r="J72" s="67" t="s">
        <v>231</v>
      </c>
      <c r="K72" s="68">
        <v>4.4449436321447157E-3</v>
      </c>
      <c r="L72" s="67" t="s">
        <v>231</v>
      </c>
      <c r="M72" s="68">
        <v>0.71182907704899145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6.0518457540468217E-3</v>
      </c>
      <c r="J73" s="67" t="s">
        <v>231</v>
      </c>
      <c r="K73" s="68">
        <v>3.204041936838199E-3</v>
      </c>
      <c r="L73" s="67" t="s">
        <v>231</v>
      </c>
      <c r="M73" s="68">
        <v>0.46402382402012649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5.1474383530167166E-2</v>
      </c>
      <c r="J74" s="67" t="s">
        <v>232</v>
      </c>
      <c r="K74" s="68">
        <v>4.4812097374810258E-3</v>
      </c>
      <c r="L74" s="67" t="s">
        <v>231</v>
      </c>
      <c r="M74" s="68">
        <v>0.71843409764050126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2.2734179271449273E-13</v>
      </c>
      <c r="J75" s="67" t="s">
        <v>231</v>
      </c>
      <c r="K75" s="68">
        <v>2.3899041751980197E-3</v>
      </c>
      <c r="L75" s="67" t="s">
        <v>231</v>
      </c>
      <c r="M75" s="68">
        <v>0.54972128513030549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1.250716324745942E-13</v>
      </c>
      <c r="J76" s="67" t="s">
        <v>231</v>
      </c>
      <c r="K76" s="68">
        <v>2.3899041761949501E-3</v>
      </c>
      <c r="L76" s="67" t="s">
        <v>231</v>
      </c>
      <c r="M76" s="68">
        <v>0.54972128535961762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2.9730454963324626E-7</v>
      </c>
      <c r="J77" s="67" t="s">
        <v>231</v>
      </c>
      <c r="K77" s="68">
        <v>4.0831458195166705E-3</v>
      </c>
      <c r="L77" s="67" t="s">
        <v>231</v>
      </c>
      <c r="M77" s="68">
        <v>0.63766032278920315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1.0976665596407155E-3</v>
      </c>
      <c r="J78" s="67" t="s">
        <v>231</v>
      </c>
      <c r="K78" s="68">
        <v>1.8336445553141609E-3</v>
      </c>
      <c r="L78" s="67" t="s">
        <v>231</v>
      </c>
      <c r="M78" s="68">
        <v>0.19781950724642283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2.0809977203131155E-5</v>
      </c>
      <c r="J79" s="67" t="s">
        <v>231</v>
      </c>
      <c r="K79" s="68">
        <v>2.6522028886716113E-3</v>
      </c>
      <c r="L79" s="67" t="s">
        <v>231</v>
      </c>
      <c r="M79" s="68">
        <v>0.35536399940458224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1.3522551636930799E-14</v>
      </c>
      <c r="J80" s="67" t="s">
        <v>231</v>
      </c>
      <c r="K80" s="68">
        <v>4.6332801308614944E-3</v>
      </c>
      <c r="L80" s="67" t="s">
        <v>231</v>
      </c>
      <c r="M80" s="68">
        <v>1.066930127110175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2.241131983093976E-5</v>
      </c>
      <c r="J81" s="67" t="s">
        <v>231</v>
      </c>
      <c r="K81" s="68">
        <v>9.3395504623876421E-4</v>
      </c>
      <c r="L81" s="67" t="s">
        <v>231</v>
      </c>
      <c r="M81" s="68">
        <v>1.7147633941983691E-3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3.8012917773454241E-5</v>
      </c>
      <c r="J82" s="67" t="s">
        <v>231</v>
      </c>
      <c r="K82" s="68">
        <v>1.3145338482040694E-3</v>
      </c>
      <c r="L82" s="67" t="s">
        <v>231</v>
      </c>
      <c r="M82" s="68">
        <v>8.723929187261012E-2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3.3274429508814142E-5</v>
      </c>
      <c r="J83" s="67" t="s">
        <v>231</v>
      </c>
      <c r="K83" s="68">
        <v>4.0402534913578621E-3</v>
      </c>
      <c r="L83" s="67" t="s">
        <v>231</v>
      </c>
      <c r="M83" s="68">
        <v>0.6254405584859295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6.2900958567136188E-6</v>
      </c>
      <c r="J84" s="67" t="s">
        <v>231</v>
      </c>
      <c r="K84" s="68">
        <v>9.5010333335577538E-4</v>
      </c>
      <c r="L84" s="67" t="s">
        <v>231</v>
      </c>
      <c r="M84" s="68">
        <v>7.0879175677590984E-3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3.3320698407698809E-8</v>
      </c>
      <c r="J85" s="67" t="s">
        <v>231</v>
      </c>
      <c r="K85" s="68">
        <v>9.3305630369133242E-4</v>
      </c>
      <c r="L85" s="67" t="s">
        <v>231</v>
      </c>
      <c r="M85" s="68">
        <v>3.4826063556257271E-4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2.4661998235944144E-6</v>
      </c>
      <c r="J86" s="67" t="s">
        <v>231</v>
      </c>
      <c r="K86" s="68">
        <v>9.4897457366460117E-4</v>
      </c>
      <c r="L86" s="67" t="s">
        <v>231</v>
      </c>
      <c r="M86" s="68">
        <v>6.7705123154401898E-3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3.1172268953398672E-3</v>
      </c>
      <c r="J87" s="67" t="s">
        <v>231</v>
      </c>
      <c r="K87" s="68">
        <v>2.4511333873617275E-2</v>
      </c>
      <c r="L87" s="67" t="s">
        <v>231</v>
      </c>
      <c r="M87" s="68">
        <v>4.0201315427911837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1.1687172234412543E-4</v>
      </c>
      <c r="J88" s="67" t="s">
        <v>231</v>
      </c>
      <c r="K88" s="68">
        <v>1.6742814708009036E-3</v>
      </c>
      <c r="L88" s="67" t="s">
        <v>231</v>
      </c>
      <c r="M88" s="68">
        <v>0.16046775877749606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3.0839295352733272E-5</v>
      </c>
      <c r="J89" s="67" t="s">
        <v>231</v>
      </c>
      <c r="K89" s="68">
        <v>1.3682999660025968E-3</v>
      </c>
      <c r="L89" s="67" t="s">
        <v>231</v>
      </c>
      <c r="M89" s="68">
        <v>9.8316314460461476E-2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1.8886528271373848E-6</v>
      </c>
      <c r="J90" s="67" t="s">
        <v>231</v>
      </c>
      <c r="K90" s="68">
        <v>1.0204853394359425E-3</v>
      </c>
      <c r="L90" s="67" t="s">
        <v>231</v>
      </c>
      <c r="M90" s="68">
        <v>2.4291412817982101E-2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2.4675766805019495E-3</v>
      </c>
      <c r="J91" s="67" t="s">
        <v>231</v>
      </c>
      <c r="K91" s="68">
        <v>1.2153495805535819E-2</v>
      </c>
      <c r="L91" s="67" t="s">
        <v>231</v>
      </c>
      <c r="M91" s="68">
        <v>1.9779813660545809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2.2618015655869621E-2</v>
      </c>
      <c r="J92" s="67" t="s">
        <v>232</v>
      </c>
      <c r="K92" s="68">
        <v>3.7518084730211363E-3</v>
      </c>
      <c r="L92" s="67" t="s">
        <v>231</v>
      </c>
      <c r="M92" s="68">
        <v>0.56882026120102136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6.3693840737584955E-3</v>
      </c>
      <c r="J93" s="67" t="s">
        <v>231</v>
      </c>
      <c r="K93" s="68">
        <v>4.4763453268297374E-3</v>
      </c>
      <c r="L93" s="67" t="s">
        <v>231</v>
      </c>
      <c r="M93" s="68">
        <v>0.71466016695496348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6.4808449952799822E-9</v>
      </c>
      <c r="J94" s="67" t="s">
        <v>231</v>
      </c>
      <c r="K94" s="68">
        <v>8.8906691012033293E-4</v>
      </c>
      <c r="L94" s="67" t="s">
        <v>231</v>
      </c>
      <c r="M94" s="68">
        <v>1.1876104532448585E-2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4.7223164807060595E-5</v>
      </c>
      <c r="J95" s="67" t="s">
        <v>231</v>
      </c>
      <c r="K95" s="68">
        <v>6.0831469062695397E-3</v>
      </c>
      <c r="L95" s="67" t="s">
        <v>231</v>
      </c>
      <c r="M95" s="68">
        <v>0.98457974326361175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9.8888218694667538E-8</v>
      </c>
      <c r="J96" s="67" t="s">
        <v>231</v>
      </c>
      <c r="K96" s="68">
        <v>9.3419295713784167E-4</v>
      </c>
      <c r="L96" s="67" t="s">
        <v>231</v>
      </c>
      <c r="M96" s="68">
        <v>1.8383413881975918E-3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3.5740089682791439E-8</v>
      </c>
      <c r="J97" s="67" t="s">
        <v>231</v>
      </c>
      <c r="K97" s="68">
        <v>9.5069190025021989E-4</v>
      </c>
      <c r="L97" s="67" t="s">
        <v>231</v>
      </c>
      <c r="M97" s="68">
        <v>7.2520727602454977E-3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9.42059182364644E-6</v>
      </c>
      <c r="J98" s="67" t="s">
        <v>231</v>
      </c>
      <c r="K98" s="68">
        <v>4.4933954446518872E-3</v>
      </c>
      <c r="L98" s="67" t="s">
        <v>231</v>
      </c>
      <c r="M98" s="68">
        <v>0.72269682157432413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4.220347536540239E-8</v>
      </c>
      <c r="J99" s="67" t="s">
        <v>231</v>
      </c>
      <c r="K99" s="68">
        <v>9.3357298304136112E-4</v>
      </c>
      <c r="L99" s="67" t="s">
        <v>231</v>
      </c>
      <c r="M99" s="68">
        <v>1.7909769896777358E-4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6.1721151521234715E-5</v>
      </c>
      <c r="J100" s="67" t="s">
        <v>231</v>
      </c>
      <c r="K100" s="68">
        <v>2.4760684858483976E-3</v>
      </c>
      <c r="L100" s="67" t="s">
        <v>231</v>
      </c>
      <c r="M100" s="68">
        <v>0.31955001358835378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1.3202195788177642E-5</v>
      </c>
      <c r="J101" s="67" t="s">
        <v>231</v>
      </c>
      <c r="K101" s="68">
        <v>9.3289508168933422E-4</v>
      </c>
      <c r="L101" s="67" t="s">
        <v>231</v>
      </c>
      <c r="M101" s="68">
        <v>4.5535447116500186E-4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6.4681623554181429E-11</v>
      </c>
      <c r="J102" s="67" t="s">
        <v>231</v>
      </c>
      <c r="K102" s="68">
        <v>9.3467288092968271E-4</v>
      </c>
      <c r="L102" s="67" t="s">
        <v>231</v>
      </c>
      <c r="M102" s="68">
        <v>3.8323244690005175E-5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9.2313258083438847E-9</v>
      </c>
      <c r="J103" s="67" t="s">
        <v>231</v>
      </c>
      <c r="K103" s="68">
        <v>9.336208204424474E-4</v>
      </c>
      <c r="L103" s="67" t="s">
        <v>231</v>
      </c>
      <c r="M103" s="68">
        <v>1.6894393056042262E-4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4.3318650944306411E-7</v>
      </c>
      <c r="J104" s="67" t="s">
        <v>231</v>
      </c>
      <c r="K104" s="68">
        <v>9.3963611405627168E-4</v>
      </c>
      <c r="L104" s="67" t="s">
        <v>231</v>
      </c>
      <c r="M104" s="68">
        <v>3.9441633592553474E-3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5.8206870412465861E-8</v>
      </c>
      <c r="J105" s="67" t="s">
        <v>231</v>
      </c>
      <c r="K105" s="68">
        <v>9.3447783165333752E-4</v>
      </c>
      <c r="L105" s="67" t="s">
        <v>231</v>
      </c>
      <c r="M105" s="68">
        <v>5.3157827031120609E-5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5.5315340002432562E-7</v>
      </c>
      <c r="J106" s="67" t="s">
        <v>231</v>
      </c>
      <c r="K106" s="68">
        <v>1.0804872960500078E-3</v>
      </c>
      <c r="L106" s="67" t="s">
        <v>231</v>
      </c>
      <c r="M106" s="68">
        <v>3.7690042508526776E-2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6.6549208488170998E-5</v>
      </c>
      <c r="J107" s="67" t="s">
        <v>231</v>
      </c>
      <c r="K107" s="68">
        <v>4.472414602277739E-3</v>
      </c>
      <c r="L107" s="67" t="s">
        <v>231</v>
      </c>
      <c r="M107" s="68">
        <v>0.72075301306342021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8.2419056554886721E-5</v>
      </c>
      <c r="J108" s="67" t="s">
        <v>231</v>
      </c>
      <c r="K108" s="68">
        <v>2.1869413309038022E-3</v>
      </c>
      <c r="L108" s="67" t="s">
        <v>231</v>
      </c>
      <c r="M108" s="68">
        <v>0.26257129189386053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0.91524686904516583</v>
      </c>
      <c r="F2" s="14">
        <v>0.86549032988575925</v>
      </c>
      <c r="G2" s="14">
        <v>1.124632701514241E-6</v>
      </c>
      <c r="H2" s="14">
        <v>11.694515123905621</v>
      </c>
      <c r="I2" s="14">
        <v>31.538380656535999</v>
      </c>
      <c r="J2" s="14">
        <v>0</v>
      </c>
      <c r="K2" s="14">
        <v>1.1554144113106328</v>
      </c>
      <c r="L2" s="14">
        <v>0.86549032988575936</v>
      </c>
      <c r="M2" s="14">
        <v>0.71013481567126557</v>
      </c>
      <c r="N2" s="14">
        <v>1.1796531850151761</v>
      </c>
      <c r="O2" s="14">
        <v>217.18594789314409</v>
      </c>
      <c r="P2" s="8">
        <v>1.1796531850151761</v>
      </c>
      <c r="Q2" s="54">
        <v>0.13459824295368686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0.94972186595674324</v>
      </c>
      <c r="F3" s="14">
        <v>6.9265273705574498E-4</v>
      </c>
      <c r="G3" s="14">
        <v>4.1999492475257354E-5</v>
      </c>
      <c r="H3" s="14">
        <v>72.713584580355615</v>
      </c>
      <c r="I3" s="14">
        <v>1824.2011512357744</v>
      </c>
      <c r="J3" s="14">
        <v>0</v>
      </c>
      <c r="K3" s="14">
        <v>1443.7248948884462</v>
      </c>
      <c r="L3" s="14">
        <v>6.9265273705574498E-4</v>
      </c>
      <c r="M3" s="14">
        <v>5.6832157075423879E-4</v>
      </c>
      <c r="N3" s="14">
        <v>23.285879322544375</v>
      </c>
      <c r="O3" s="14">
        <v>8497.2502235896682</v>
      </c>
      <c r="P3" s="8">
        <v>23.285879322544378</v>
      </c>
      <c r="Q3" s="54">
        <v>5.8354281417815471E-2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0.82399377661821727</v>
      </c>
      <c r="F4" s="14">
        <v>0.43994665417498485</v>
      </c>
      <c r="G4" s="14">
        <v>6.0761502837539952E-14</v>
      </c>
      <c r="H4" s="14">
        <v>88.511564897969848</v>
      </c>
      <c r="I4" s="14">
        <v>195.63979090223947</v>
      </c>
      <c r="J4" s="14">
        <v>0</v>
      </c>
      <c r="K4" s="14">
        <v>2.2730028527555501</v>
      </c>
      <c r="L4" s="14">
        <v>0.43994665417498485</v>
      </c>
      <c r="M4" s="14">
        <v>0.36097622975057508</v>
      </c>
      <c r="N4" s="14">
        <v>2.7608600082073713</v>
      </c>
      <c r="O4" s="14">
        <v>876.07609780436303</v>
      </c>
      <c r="P4" s="8">
        <v>2.7608600082073713</v>
      </c>
      <c r="Q4" s="54">
        <v>0.27954851526458563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0.94392381994280172</v>
      </c>
      <c r="F5" s="14">
        <v>7.4549543425745492E-3</v>
      </c>
      <c r="G5" s="14">
        <v>1.4319685365057354E-6</v>
      </c>
      <c r="H5" s="14">
        <v>206.30273615866224</v>
      </c>
      <c r="I5" s="14">
        <v>554.32205550947072</v>
      </c>
      <c r="J5" s="14">
        <v>0</v>
      </c>
      <c r="K5" s="14">
        <v>134.13898382839091</v>
      </c>
      <c r="L5" s="14">
        <v>7.4549543425745492E-3</v>
      </c>
      <c r="M5" s="14">
        <v>6.1167900380824178E-3</v>
      </c>
      <c r="N5" s="14">
        <v>6.9076027347581395</v>
      </c>
      <c r="O5" s="14">
        <v>2421.7364427788557</v>
      </c>
      <c r="P5" s="8">
        <v>6.9076027347581395</v>
      </c>
      <c r="Q5" s="54">
        <v>8.4403830906809016E-2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0.95972732389944948</v>
      </c>
      <c r="F6" s="14">
        <v>3.0812113724847443E-4</v>
      </c>
      <c r="G6" s="14">
        <v>1.3611625126554203E-7</v>
      </c>
      <c r="H6" s="14">
        <v>46.129791550047614</v>
      </c>
      <c r="I6" s="14">
        <v>2097.6772246104069</v>
      </c>
      <c r="J6" s="14">
        <v>0</v>
      </c>
      <c r="K6" s="14">
        <v>3245.4767917904378</v>
      </c>
      <c r="L6" s="14">
        <v>3.0812113724847443E-4</v>
      </c>
      <c r="M6" s="14">
        <v>2.5281339311237328E-4</v>
      </c>
      <c r="N6" s="14">
        <v>26.956704905304683</v>
      </c>
      <c r="O6" s="14">
        <v>9555.8823218814578</v>
      </c>
      <c r="P6" s="8">
        <v>26.956704905304687</v>
      </c>
      <c r="Q6" s="54">
        <v>4.429336374477838E-2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0.95355858663239612</v>
      </c>
      <c r="F7" s="14">
        <v>6.1917231034200283E-4</v>
      </c>
      <c r="G7" s="14">
        <v>2.0179017359955525E-7</v>
      </c>
      <c r="H7" s="14">
        <v>68.465459348122309</v>
      </c>
      <c r="I7" s="14">
        <v>1873.8235682446186</v>
      </c>
      <c r="J7" s="14">
        <v>0</v>
      </c>
      <c r="K7" s="14">
        <v>1615.0593030357659</v>
      </c>
      <c r="L7" s="14">
        <v>6.1917231034200283E-4</v>
      </c>
      <c r="M7" s="14">
        <v>5.0803088063561329E-4</v>
      </c>
      <c r="N7" s="14">
        <v>23.942705462998884</v>
      </c>
      <c r="O7" s="14">
        <v>8487.4496595784749</v>
      </c>
      <c r="P7" s="8">
        <v>23.942705462998884</v>
      </c>
      <c r="Q7" s="54">
        <v>5.6406440809683885E-2</v>
      </c>
    </row>
    <row r="8" spans="1:20">
      <c r="A8" s="2" t="s">
        <v>323</v>
      </c>
      <c r="B8" s="16" t="s">
        <v>324</v>
      </c>
      <c r="D8" s="14">
        <v>1</v>
      </c>
      <c r="E8" s="14">
        <v>0.94635187830323908</v>
      </c>
      <c r="F8" s="14">
        <v>1.3879903030181468E-3</v>
      </c>
      <c r="G8" s="14">
        <v>1.9179395712574311E-6</v>
      </c>
      <c r="H8" s="14">
        <v>104.85917391417458</v>
      </c>
      <c r="I8" s="14">
        <v>1515.8757406368059</v>
      </c>
      <c r="J8" s="14">
        <v>0</v>
      </c>
      <c r="K8" s="14">
        <v>720.4661284920561</v>
      </c>
      <c r="L8" s="14">
        <v>1.3879903030181468E-3</v>
      </c>
      <c r="M8" s="14">
        <v>1.1388460436263894E-3</v>
      </c>
      <c r="N8" s="14">
        <v>19.231161510716607</v>
      </c>
      <c r="O8" s="14">
        <v>6154.7409298897437</v>
      </c>
      <c r="P8" s="8">
        <v>19.231161510716607</v>
      </c>
      <c r="Q8" s="54">
        <v>7.1262918221501659E-2</v>
      </c>
    </row>
    <row r="9" spans="1:20">
      <c r="A9" s="2" t="s">
        <v>325</v>
      </c>
      <c r="B9" s="16" t="s">
        <v>326</v>
      </c>
      <c r="D9" s="14">
        <v>1</v>
      </c>
      <c r="E9" s="14">
        <v>0.88959614972624623</v>
      </c>
      <c r="F9" s="14">
        <v>6.8481156074570601E-2</v>
      </c>
      <c r="G9" s="14">
        <v>1.2946714498380414E-6</v>
      </c>
      <c r="H9" s="14">
        <v>195.13316257639363</v>
      </c>
      <c r="I9" s="14">
        <v>354.80379310982431</v>
      </c>
      <c r="J9" s="14">
        <v>0</v>
      </c>
      <c r="K9" s="14">
        <v>14.602557218968069</v>
      </c>
      <c r="L9" s="14">
        <v>6.8481156074570601E-2</v>
      </c>
      <c r="M9" s="14">
        <v>5.6188788559185181E-2</v>
      </c>
      <c r="N9" s="14">
        <v>4.3996313094075665</v>
      </c>
      <c r="O9" s="14">
        <v>1339.0277890181928</v>
      </c>
      <c r="P9" s="8">
        <v>4.3996313094075665</v>
      </c>
      <c r="Q9" s="54">
        <v>0.17321609919126671</v>
      </c>
    </row>
    <row r="10" spans="1:20">
      <c r="A10" s="2" t="s">
        <v>275</v>
      </c>
      <c r="B10" s="16" t="s">
        <v>276</v>
      </c>
      <c r="D10" s="14">
        <v>1</v>
      </c>
      <c r="E10" s="14">
        <v>0.94347554076045448</v>
      </c>
      <c r="F10" s="14">
        <v>6.9362251546009977E-3</v>
      </c>
      <c r="G10" s="14">
        <v>1.8406519271981826E-8</v>
      </c>
      <c r="H10" s="14">
        <v>202.18232303372804</v>
      </c>
      <c r="I10" s="14">
        <v>592.65281690559823</v>
      </c>
      <c r="J10" s="14">
        <v>0</v>
      </c>
      <c r="K10" s="14">
        <v>144.17063715653336</v>
      </c>
      <c r="L10" s="14">
        <v>6.9362251546009977E-3</v>
      </c>
      <c r="M10" s="14">
        <v>5.6911727393501189E-3</v>
      </c>
      <c r="N10" s="14">
        <v>7.3914599118402382</v>
      </c>
      <c r="O10" s="14">
        <v>2738.4619827376901</v>
      </c>
      <c r="P10" s="8">
        <v>7.3914599118402382</v>
      </c>
      <c r="Q10" s="54">
        <v>8.491811651894024E-2</v>
      </c>
    </row>
    <row r="11" spans="1:20">
      <c r="A11" s="2" t="s">
        <v>327</v>
      </c>
      <c r="B11" s="16" t="s">
        <v>328</v>
      </c>
      <c r="D11" s="14">
        <v>1</v>
      </c>
      <c r="E11" s="14">
        <v>0.94264435818061731</v>
      </c>
      <c r="F11" s="14">
        <v>6.1306347187921953E-3</v>
      </c>
      <c r="G11" s="14">
        <v>9.5929885928490214E-7</v>
      </c>
      <c r="H11" s="14">
        <v>194.86123035405802</v>
      </c>
      <c r="I11" s="14">
        <v>660.36281644867108</v>
      </c>
      <c r="J11" s="14">
        <v>0</v>
      </c>
      <c r="K11" s="14">
        <v>163.11524758353428</v>
      </c>
      <c r="L11" s="14">
        <v>6.1306347187921953E-3</v>
      </c>
      <c r="M11" s="14">
        <v>5.0301857867689967E-3</v>
      </c>
      <c r="N11" s="14">
        <v>8.2477737236257624</v>
      </c>
      <c r="O11" s="14">
        <v>3141.6594890662896</v>
      </c>
      <c r="P11" s="8">
        <v>8.2477737236257642</v>
      </c>
      <c r="Q11" s="54">
        <v>8.5503247725131612E-2</v>
      </c>
    </row>
    <row r="12" spans="1:20">
      <c r="A12" s="2" t="s">
        <v>329</v>
      </c>
      <c r="B12" s="16" t="s">
        <v>330</v>
      </c>
      <c r="D12" s="14">
        <v>1</v>
      </c>
      <c r="E12" s="14">
        <v>0.90856573887792047</v>
      </c>
      <c r="F12" s="14">
        <v>4.2961812473293545E-2</v>
      </c>
      <c r="G12" s="14">
        <v>6.6211142638893183E-7</v>
      </c>
      <c r="H12" s="14">
        <v>206.9677103181958</v>
      </c>
      <c r="I12" s="14">
        <v>362.04267566008593</v>
      </c>
      <c r="J12" s="14">
        <v>0</v>
      </c>
      <c r="K12" s="14">
        <v>23.276485381561415</v>
      </c>
      <c r="L12" s="14">
        <v>4.2961812473293545E-2</v>
      </c>
      <c r="M12" s="14">
        <v>3.525016713433736E-2</v>
      </c>
      <c r="N12" s="14">
        <v>4.4792443980216072</v>
      </c>
      <c r="O12" s="14">
        <v>1229.1046628171291</v>
      </c>
      <c r="P12" s="8">
        <v>4.4792443980216081</v>
      </c>
      <c r="Q12" s="54">
        <v>0.14287615883171539</v>
      </c>
    </row>
    <row r="13" spans="1:20">
      <c r="A13" s="2" t="s">
        <v>277</v>
      </c>
      <c r="B13" s="16" t="s">
        <v>278</v>
      </c>
      <c r="D13" s="14">
        <v>1</v>
      </c>
      <c r="E13" s="14">
        <v>0.89142807452903416</v>
      </c>
      <c r="F13" s="14">
        <v>6.5556399432849549E-2</v>
      </c>
      <c r="G13" s="14">
        <v>2.0105902879982909E-6</v>
      </c>
      <c r="H13" s="14">
        <v>196.37902194241812</v>
      </c>
      <c r="I13" s="14">
        <v>355.75602463560438</v>
      </c>
      <c r="J13" s="14">
        <v>0</v>
      </c>
      <c r="K13" s="14">
        <v>15.254040927374538</v>
      </c>
      <c r="L13" s="14">
        <v>6.5556399432849549E-2</v>
      </c>
      <c r="M13" s="14">
        <v>5.3789025734653058E-2</v>
      </c>
      <c r="N13" s="14">
        <v>4.4099363253174682</v>
      </c>
      <c r="O13" s="14">
        <v>1794.5353888614375</v>
      </c>
      <c r="P13" s="8">
        <v>4.4099363253174682</v>
      </c>
      <c r="Q13" s="54">
        <v>0.17019714218505227</v>
      </c>
    </row>
    <row r="14" spans="1:20">
      <c r="A14" s="2" t="s">
        <v>331</v>
      </c>
      <c r="B14" s="16" t="s">
        <v>332</v>
      </c>
      <c r="D14" s="14">
        <v>1</v>
      </c>
      <c r="E14" s="14">
        <v>0.94151597042500057</v>
      </c>
      <c r="F14" s="14">
        <v>4.0725357802221295E-3</v>
      </c>
      <c r="G14" s="14">
        <v>6.3999030681116078E-7</v>
      </c>
      <c r="H14" s="14">
        <v>169.29530283089829</v>
      </c>
      <c r="I14" s="14">
        <v>899.50188825797704</v>
      </c>
      <c r="J14" s="14">
        <v>0</v>
      </c>
      <c r="K14" s="14">
        <v>245.54725948790968</v>
      </c>
      <c r="L14" s="14">
        <v>4.0725357802221295E-3</v>
      </c>
      <c r="M14" s="14">
        <v>3.3415156076722573E-3</v>
      </c>
      <c r="N14" s="14">
        <v>11.287157927263557</v>
      </c>
      <c r="O14" s="14">
        <v>4299.3913260739619</v>
      </c>
      <c r="P14" s="8">
        <v>11.287157927263557</v>
      </c>
      <c r="Q14" s="54">
        <v>8.5075023819946166E-2</v>
      </c>
    </row>
    <row r="15" spans="1:20">
      <c r="A15" s="2" t="s">
        <v>333</v>
      </c>
      <c r="B15" s="16" t="s">
        <v>334</v>
      </c>
      <c r="D15" s="14">
        <v>1</v>
      </c>
      <c r="E15" s="14">
        <v>0.94307036137395284</v>
      </c>
      <c r="F15" s="14">
        <v>6.5243873909494191E-3</v>
      </c>
      <c r="G15" s="14">
        <v>1.0439705015770515E-9</v>
      </c>
      <c r="H15" s="14">
        <v>198.59108095408288</v>
      </c>
      <c r="I15" s="14">
        <v>625.91723533148149</v>
      </c>
      <c r="J15" s="14">
        <v>0</v>
      </c>
      <c r="K15" s="14">
        <v>153.27109505900773</v>
      </c>
      <c r="L15" s="14">
        <v>6.52438739094942E-3</v>
      </c>
      <c r="M15" s="14">
        <v>5.3532598542739987E-3</v>
      </c>
      <c r="N15" s="14">
        <v>7.8118977231958109</v>
      </c>
      <c r="O15" s="14">
        <v>3003.5184366143258</v>
      </c>
      <c r="P15" s="8">
        <v>7.8118977231958118</v>
      </c>
      <c r="Q15" s="54">
        <v>8.5254421243659548E-2</v>
      </c>
    </row>
    <row r="16" spans="1:20">
      <c r="A16" s="2" t="s">
        <v>335</v>
      </c>
      <c r="B16" s="16" t="s">
        <v>336</v>
      </c>
      <c r="D16" s="14">
        <v>1</v>
      </c>
      <c r="E16" s="14">
        <v>0.94587660203413426</v>
      </c>
      <c r="F16" s="14">
        <v>1.4364907292232271E-3</v>
      </c>
      <c r="G16" s="14">
        <v>4.9846115009094494E-6</v>
      </c>
      <c r="H16" s="14">
        <v>106.66030653939508</v>
      </c>
      <c r="I16" s="14">
        <v>1497.8212862951634</v>
      </c>
      <c r="J16" s="14">
        <v>0</v>
      </c>
      <c r="K16" s="14">
        <v>696.14093544532898</v>
      </c>
      <c r="L16" s="14">
        <v>1.4364907292232271E-3</v>
      </c>
      <c r="M16" s="14">
        <v>1.1786406433276578E-3</v>
      </c>
      <c r="N16" s="14">
        <v>18.995977427278014</v>
      </c>
      <c r="O16" s="14">
        <v>7091.5782931514277</v>
      </c>
      <c r="P16" s="8">
        <v>18.995977427278014</v>
      </c>
      <c r="Q16" s="54">
        <v>7.1855497111582192E-2</v>
      </c>
    </row>
    <row r="17" spans="1:21">
      <c r="A17" s="2" t="s">
        <v>337</v>
      </c>
      <c r="B17" s="16" t="s">
        <v>338</v>
      </c>
      <c r="D17" s="14">
        <v>1</v>
      </c>
      <c r="E17" s="14">
        <v>0.9438072585151196</v>
      </c>
      <c r="F17" s="14">
        <v>7.2792394309448673E-3</v>
      </c>
      <c r="G17" s="14">
        <v>3.6787010158239346E-7</v>
      </c>
      <c r="H17" s="14">
        <v>204.9585332978389</v>
      </c>
      <c r="I17" s="14">
        <v>566.92182346330469</v>
      </c>
      <c r="J17" s="14">
        <v>0</v>
      </c>
      <c r="K17" s="14">
        <v>137.37698965483773</v>
      </c>
      <c r="L17" s="14">
        <v>7.2792394309448682E-3</v>
      </c>
      <c r="M17" s="14">
        <v>5.9726159530902644E-3</v>
      </c>
      <c r="N17" s="14">
        <v>7.06657570860673</v>
      </c>
      <c r="O17" s="14">
        <v>2751.1592548747722</v>
      </c>
      <c r="P17" s="8">
        <v>7.0665757086067309</v>
      </c>
      <c r="Q17" s="54">
        <v>8.4590808395338224E-2</v>
      </c>
    </row>
    <row r="18" spans="1:21">
      <c r="A18" s="2" t="s">
        <v>279</v>
      </c>
      <c r="B18" s="16" t="s">
        <v>280</v>
      </c>
      <c r="D18" s="14">
        <v>1</v>
      </c>
      <c r="E18" s="14">
        <v>0.87867868884271882</v>
      </c>
      <c r="F18" s="14">
        <v>8.289826604327262E-2</v>
      </c>
      <c r="G18" s="14">
        <v>3.9318227781079682E-5</v>
      </c>
      <c r="H18" s="14">
        <v>188.61031771663306</v>
      </c>
      <c r="I18" s="14">
        <v>348.67645143575641</v>
      </c>
      <c r="J18" s="14">
        <v>0</v>
      </c>
      <c r="K18" s="14">
        <v>12.062978488331749</v>
      </c>
      <c r="L18" s="14">
        <v>8.289826604327262E-2</v>
      </c>
      <c r="M18" s="14">
        <v>6.8018027288505187E-2</v>
      </c>
      <c r="N18" s="14">
        <v>4.3320494266899994</v>
      </c>
      <c r="O18" s="14">
        <v>1259.8899347642525</v>
      </c>
      <c r="P18" s="8">
        <v>4.3320494266899994</v>
      </c>
      <c r="Q18" s="54">
        <v>0.18647585943490702</v>
      </c>
    </row>
    <row r="19" spans="1:21">
      <c r="A19" s="2" t="s">
        <v>339</v>
      </c>
      <c r="B19" s="16" t="s">
        <v>340</v>
      </c>
      <c r="D19" s="14">
        <v>1</v>
      </c>
      <c r="E19" s="14">
        <v>0.9429940751086886</v>
      </c>
      <c r="F19" s="14">
        <v>6.4442558276023949E-3</v>
      </c>
      <c r="G19" s="14">
        <v>3.6591588273793892E-9</v>
      </c>
      <c r="H19" s="14">
        <v>197.85761646518236</v>
      </c>
      <c r="I19" s="14">
        <v>632.71764157080747</v>
      </c>
      <c r="J19" s="14">
        <v>0</v>
      </c>
      <c r="K19" s="14">
        <v>155.17695553251383</v>
      </c>
      <c r="L19" s="14">
        <v>6.4442558276023958E-3</v>
      </c>
      <c r="M19" s="14">
        <v>5.2875119065477656E-3</v>
      </c>
      <c r="N19" s="14">
        <v>7.8979088780979243</v>
      </c>
      <c r="O19" s="14">
        <v>2729.9122037145476</v>
      </c>
      <c r="P19" s="8">
        <v>7.8979088780979243</v>
      </c>
      <c r="Q19" s="54">
        <v>8.5311964704662763E-2</v>
      </c>
    </row>
    <row r="20" spans="1:21">
      <c r="A20" s="2" t="s">
        <v>281</v>
      </c>
      <c r="B20" s="16" t="s">
        <v>282</v>
      </c>
      <c r="D20" s="14">
        <v>1</v>
      </c>
      <c r="E20" s="14">
        <v>0.89153455875640386</v>
      </c>
      <c r="F20" s="14">
        <v>6.5564230375964538E-2</v>
      </c>
      <c r="G20" s="14">
        <v>3.0435150615811379E-7</v>
      </c>
      <c r="H20" s="14">
        <v>196.40248010917398</v>
      </c>
      <c r="I20" s="14">
        <v>355.79852094741887</v>
      </c>
      <c r="J20" s="14">
        <v>0</v>
      </c>
      <c r="K20" s="14">
        <v>15.252218996024304</v>
      </c>
      <c r="L20" s="14">
        <v>6.5564230375964538E-2</v>
      </c>
      <c r="M20" s="14">
        <v>5.3795451023478907E-2</v>
      </c>
      <c r="N20" s="14">
        <v>4.4104631077643859</v>
      </c>
      <c r="O20" s="14">
        <v>1284.5914847674551</v>
      </c>
      <c r="P20" s="8">
        <v>4.4104631077643859</v>
      </c>
      <c r="Q20" s="54">
        <v>0.17021747283393349</v>
      </c>
    </row>
    <row r="21" spans="1:21">
      <c r="A21" s="2" t="s">
        <v>341</v>
      </c>
      <c r="B21" s="16" t="s">
        <v>342</v>
      </c>
      <c r="D21" s="14">
        <v>1</v>
      </c>
      <c r="E21" s="14">
        <v>0.94133080342838427</v>
      </c>
      <c r="F21" s="14">
        <v>4.6046871456110533E-3</v>
      </c>
      <c r="G21" s="14">
        <v>5.3575794008358919E-6</v>
      </c>
      <c r="H21" s="14">
        <v>177.06801896842174</v>
      </c>
      <c r="I21" s="14">
        <v>825.65249804380642</v>
      </c>
      <c r="J21" s="14">
        <v>0</v>
      </c>
      <c r="K21" s="14">
        <v>217.17002010726128</v>
      </c>
      <c r="L21" s="14">
        <v>4.6046871456110533E-3</v>
      </c>
      <c r="M21" s="14">
        <v>3.7781458029738694E-3</v>
      </c>
      <c r="N21" s="14">
        <v>10.346169614829238</v>
      </c>
      <c r="O21" s="14">
        <v>3468.8637484599467</v>
      </c>
      <c r="P21" s="8">
        <v>10.34616961482924</v>
      </c>
      <c r="Q21" s="54">
        <v>8.5545525642619122E-2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0.85390139962624967</v>
      </c>
      <c r="F22" s="14">
        <v>0.67511312916851396</v>
      </c>
      <c r="G22" s="14">
        <v>2.6105080792139778E-5</v>
      </c>
      <c r="H22" s="14">
        <v>40.897480494940574</v>
      </c>
      <c r="I22" s="14">
        <v>98.753779229177354</v>
      </c>
      <c r="J22" s="14">
        <v>0</v>
      </c>
      <c r="K22" s="14">
        <v>1.4812332286169945</v>
      </c>
      <c r="L22" s="14">
        <v>0.67511312916851396</v>
      </c>
      <c r="M22" s="14">
        <v>0.55393032248276564</v>
      </c>
      <c r="N22" s="14">
        <v>1.8070948360322259</v>
      </c>
      <c r="O22" s="14">
        <v>296.7249720764915</v>
      </c>
      <c r="P22" s="8">
        <v>1.8070948360322261</v>
      </c>
      <c r="Q22" s="54">
        <v>0.22948469407171029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0.89520616409300124</v>
      </c>
      <c r="F23" s="14">
        <v>0.81456422554809815</v>
      </c>
      <c r="G23" s="14">
        <v>1.0615337836606867E-6</v>
      </c>
      <c r="H23" s="14">
        <v>18.608241450838925</v>
      </c>
      <c r="I23" s="14">
        <v>48.279471055653055</v>
      </c>
      <c r="J23" s="14">
        <v>0</v>
      </c>
      <c r="K23" s="14">
        <v>1.2276502805253044</v>
      </c>
      <c r="L23" s="14">
        <v>0.81456422554809815</v>
      </c>
      <c r="M23" s="14">
        <v>0.66834994706221451</v>
      </c>
      <c r="N23" s="14">
        <v>1.3317774954307078</v>
      </c>
      <c r="O23" s="14">
        <v>201.3114862093058</v>
      </c>
      <c r="P23" s="8">
        <v>1.331777495430708</v>
      </c>
      <c r="Q23" s="54">
        <v>0.16655685180417282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0.83790897662058095</v>
      </c>
      <c r="F24" s="14">
        <v>0.2130873857430052</v>
      </c>
      <c r="G24" s="14">
        <v>9.8112926272541476E-7</v>
      </c>
      <c r="H24" s="14">
        <v>145.98147292821031</v>
      </c>
      <c r="I24" s="14">
        <v>294.81862208300248</v>
      </c>
      <c r="J24" s="14">
        <v>0</v>
      </c>
      <c r="K24" s="14">
        <v>4.6929103593492556</v>
      </c>
      <c r="L24" s="14">
        <v>0.2130873857430052</v>
      </c>
      <c r="M24" s="14">
        <v>0.17483820000213579</v>
      </c>
      <c r="N24" s="14">
        <v>3.7687099059852707</v>
      </c>
      <c r="O24" s="14">
        <v>664.23512092990393</v>
      </c>
      <c r="P24" s="8">
        <v>3.7687099059852707</v>
      </c>
      <c r="Q24" s="54">
        <v>0.25642178086650996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0.9191872009189499</v>
      </c>
      <c r="F25" s="14">
        <v>2.2821750478019962E-2</v>
      </c>
      <c r="G25" s="14">
        <v>1.6136800891916074E-4</v>
      </c>
      <c r="H25" s="14">
        <v>215.96777434830861</v>
      </c>
      <c r="I25" s="14">
        <v>359.45631969974835</v>
      </c>
      <c r="J25" s="14">
        <v>0</v>
      </c>
      <c r="K25" s="14">
        <v>43.81784828307179</v>
      </c>
      <c r="L25" s="14">
        <v>2.2821750478019966E-2</v>
      </c>
      <c r="M25" s="14">
        <v>1.8725246267215383E-2</v>
      </c>
      <c r="N25" s="14">
        <v>4.4479418833665791</v>
      </c>
      <c r="O25" s="14">
        <v>855.33922417139308</v>
      </c>
      <c r="P25" s="8">
        <v>4.4479418833665791</v>
      </c>
      <c r="Q25" s="54">
        <v>0.10790613159115373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0.94158191138799963</v>
      </c>
      <c r="F26" s="14">
        <v>4.9888084547697834E-3</v>
      </c>
      <c r="G26" s="14">
        <v>4.2993749051773558E-6</v>
      </c>
      <c r="H26" s="14">
        <v>182.1280465590728</v>
      </c>
      <c r="I26" s="14">
        <v>778.45587444912644</v>
      </c>
      <c r="J26" s="14">
        <v>0</v>
      </c>
      <c r="K26" s="14">
        <v>200.44866606251503</v>
      </c>
      <c r="L26" s="14">
        <v>4.9888084547697834E-3</v>
      </c>
      <c r="M26" s="14">
        <v>4.0933173371386078E-3</v>
      </c>
      <c r="N26" s="14">
        <v>9.7458714860048161</v>
      </c>
      <c r="O26" s="14">
        <v>2167.1894423428912</v>
      </c>
      <c r="P26" s="8">
        <v>9.7458714860048161</v>
      </c>
      <c r="Q26" s="54">
        <v>8.5710494413603636E-2</v>
      </c>
    </row>
    <row r="27" spans="1:21">
      <c r="A27" s="2" t="s">
        <v>353</v>
      </c>
      <c r="B27" s="16" t="s">
        <v>354</v>
      </c>
      <c r="D27" s="14">
        <v>1</v>
      </c>
      <c r="E27" s="14">
        <v>0.94971785788194085</v>
      </c>
      <c r="F27" s="14">
        <v>7.6218952832319566E-4</v>
      </c>
      <c r="G27" s="14">
        <v>2.9140128691857042E-5</v>
      </c>
      <c r="H27" s="14">
        <v>76.623675016308781</v>
      </c>
      <c r="I27" s="14">
        <v>1787.805003936563</v>
      </c>
      <c r="J27" s="14">
        <v>0</v>
      </c>
      <c r="K27" s="14">
        <v>1312.0096286287001</v>
      </c>
      <c r="L27" s="14">
        <v>7.6218952832319566E-4</v>
      </c>
      <c r="M27" s="14">
        <v>6.2537650798918205E-4</v>
      </c>
      <c r="N27" s="14">
        <v>22.802713679734158</v>
      </c>
      <c r="O27" s="14">
        <v>5390.3334867523572</v>
      </c>
      <c r="P27" s="8">
        <v>22.802713679734161</v>
      </c>
      <c r="Q27" s="54">
        <v>6.0161706761204976E-2</v>
      </c>
    </row>
    <row r="28" spans="1:21">
      <c r="A28" s="2" t="s">
        <v>355</v>
      </c>
      <c r="B28" s="16" t="s">
        <v>356</v>
      </c>
      <c r="D28" s="14">
        <v>1</v>
      </c>
      <c r="E28" s="14">
        <v>0.94217012688837209</v>
      </c>
      <c r="F28" s="14">
        <v>2.7497195068299147E-3</v>
      </c>
      <c r="G28" s="14">
        <v>1.6114501762924695E-6</v>
      </c>
      <c r="H28" s="14">
        <v>144.40704948822508</v>
      </c>
      <c r="I28" s="14">
        <v>1135.1299051807798</v>
      </c>
      <c r="J28" s="14">
        <v>0</v>
      </c>
      <c r="K28" s="14">
        <v>363.67345742579971</v>
      </c>
      <c r="L28" s="14">
        <v>2.7497195068299147E-3</v>
      </c>
      <c r="M28" s="14">
        <v>2.2561448553539451E-3</v>
      </c>
      <c r="N28" s="14">
        <v>14.304253848863555</v>
      </c>
      <c r="O28" s="14">
        <v>3696.2191945463419</v>
      </c>
      <c r="P28" s="8">
        <v>14.304253848863555</v>
      </c>
      <c r="Q28" s="54">
        <v>8.1666805018374963E-2</v>
      </c>
    </row>
    <row r="29" spans="1:21">
      <c r="A29" s="2" t="s">
        <v>357</v>
      </c>
      <c r="B29" s="16" t="s">
        <v>358</v>
      </c>
      <c r="D29" s="14">
        <v>1</v>
      </c>
      <c r="E29" s="14">
        <v>0.92005578048670733</v>
      </c>
      <c r="F29" s="14">
        <v>4.1480899265258116E-3</v>
      </c>
      <c r="G29" s="14">
        <v>3.2657027397088134E-4</v>
      </c>
      <c r="H29" s="14">
        <v>168.01504124411071</v>
      </c>
      <c r="I29" s="14">
        <v>854.68352726492606</v>
      </c>
      <c r="J29" s="14">
        <v>0</v>
      </c>
      <c r="K29" s="14">
        <v>241.07481219375086</v>
      </c>
      <c r="L29" s="14">
        <v>4.1480899265258124E-3</v>
      </c>
      <c r="M29" s="14">
        <v>3.4035077847144289E-3</v>
      </c>
      <c r="N29" s="14">
        <v>10.71980661887185</v>
      </c>
      <c r="O29" s="14">
        <v>2534.0550866351164</v>
      </c>
      <c r="P29" s="8">
        <v>10.71980661887185</v>
      </c>
      <c r="Q29" s="54">
        <v>8.3330758261105017E-2</v>
      </c>
    </row>
    <row r="30" spans="1:21">
      <c r="A30" s="2" t="s">
        <v>359</v>
      </c>
      <c r="B30" s="16" t="s">
        <v>360</v>
      </c>
      <c r="D30" s="14">
        <v>1</v>
      </c>
      <c r="E30" s="14">
        <v>0.94217012688837209</v>
      </c>
      <c r="F30" s="14">
        <v>2.7497195068299147E-3</v>
      </c>
      <c r="G30" s="14">
        <v>1.6114501762924695E-6</v>
      </c>
      <c r="H30" s="14">
        <v>144.40704948822508</v>
      </c>
      <c r="I30" s="14">
        <v>1135.1299051807798</v>
      </c>
      <c r="J30" s="14">
        <v>0</v>
      </c>
      <c r="K30" s="14">
        <v>363.67345742579971</v>
      </c>
      <c r="L30" s="14">
        <v>2.7497195068299147E-3</v>
      </c>
      <c r="M30" s="14">
        <v>2.2561448553539451E-3</v>
      </c>
      <c r="N30" s="14">
        <v>14.304253848863555</v>
      </c>
      <c r="O30" s="14">
        <v>3696.2191945463419</v>
      </c>
      <c r="P30" s="8">
        <v>14.304253848863555</v>
      </c>
      <c r="Q30" s="54">
        <v>8.1666805018374963E-2</v>
      </c>
    </row>
    <row r="31" spans="1:21">
      <c r="A31" s="2" t="s">
        <v>283</v>
      </c>
      <c r="B31" s="16" t="s">
        <v>284</v>
      </c>
      <c r="D31" s="14">
        <v>1</v>
      </c>
      <c r="E31" s="14">
        <v>0.98957403118377485</v>
      </c>
      <c r="F31" s="14">
        <v>0.99259096964082705</v>
      </c>
      <c r="G31" s="14">
        <v>2.9517448042671955E-10</v>
      </c>
      <c r="H31" s="14">
        <v>0.17292202781973681</v>
      </c>
      <c r="I31" s="14">
        <v>0.64255083240720812</v>
      </c>
      <c r="J31" s="14">
        <v>0</v>
      </c>
      <c r="K31" s="14">
        <v>1.0074643338351688</v>
      </c>
      <c r="L31" s="14">
        <v>0.99259096964082705</v>
      </c>
      <c r="M31" s="14">
        <v>0.81442089059029865</v>
      </c>
      <c r="N31" s="14">
        <v>0.93308920027540787</v>
      </c>
      <c r="O31" s="14">
        <v>181.19659180148145</v>
      </c>
      <c r="P31" s="8">
        <v>0.93308920027540798</v>
      </c>
      <c r="Q31" s="54">
        <v>1.5984810443545935E-2</v>
      </c>
    </row>
    <row r="32" spans="1:21">
      <c r="A32" s="2" t="s">
        <v>361</v>
      </c>
      <c r="B32" s="16" t="s">
        <v>362</v>
      </c>
      <c r="D32" s="14">
        <v>1</v>
      </c>
      <c r="E32" s="14">
        <v>0.83214796071616925</v>
      </c>
      <c r="F32" s="14">
        <v>0.53538397200238919</v>
      </c>
      <c r="G32" s="14">
        <v>2.9110367191015139E-10</v>
      </c>
      <c r="H32" s="14">
        <v>68.139240098244002</v>
      </c>
      <c r="I32" s="14">
        <v>155.55270323308545</v>
      </c>
      <c r="J32" s="14">
        <v>0</v>
      </c>
      <c r="K32" s="14">
        <v>1.8678183365480681</v>
      </c>
      <c r="L32" s="14">
        <v>0.53538397200238919</v>
      </c>
      <c r="M32" s="14">
        <v>0.43928254902796032</v>
      </c>
      <c r="N32" s="14">
        <v>2.4505323282486189</v>
      </c>
      <c r="O32" s="14">
        <v>627.55682394118878</v>
      </c>
      <c r="P32" s="8">
        <v>2.4505323282486193</v>
      </c>
      <c r="Q32" s="54">
        <v>0.26673349944542601</v>
      </c>
    </row>
    <row r="33" spans="1:17">
      <c r="A33" s="2" t="s">
        <v>364</v>
      </c>
      <c r="B33" s="16" t="s">
        <v>365</v>
      </c>
      <c r="D33" s="14">
        <v>1</v>
      </c>
      <c r="E33" s="14">
        <v>0.9995398221632904</v>
      </c>
      <c r="F33" s="14">
        <v>0.99923334116125395</v>
      </c>
      <c r="G33" s="14">
        <v>1.3407606371409616E-12</v>
      </c>
      <c r="H33" s="14">
        <v>1.1938971530859364</v>
      </c>
      <c r="I33" s="14">
        <v>3.3803047418268571E-3</v>
      </c>
      <c r="J33" s="14">
        <v>0</v>
      </c>
      <c r="K33" s="14">
        <v>1.0007672470554827</v>
      </c>
      <c r="L33" s="14">
        <v>0.99923334116125395</v>
      </c>
      <c r="M33" s="14">
        <v>0.81987095642280894</v>
      </c>
      <c r="N33" s="14">
        <v>0.93447384499872965</v>
      </c>
      <c r="O33" s="14">
        <v>276.74442919637374</v>
      </c>
      <c r="P33" s="8">
        <v>0.93447384499872965</v>
      </c>
      <c r="Q33" s="54">
        <v>3.8543917637600861E-5</v>
      </c>
    </row>
    <row r="34" spans="1:17">
      <c r="A34" s="2" t="s">
        <v>285</v>
      </c>
      <c r="B34" s="16" t="s">
        <v>286</v>
      </c>
      <c r="D34" s="14">
        <v>1</v>
      </c>
      <c r="E34" s="14">
        <v>0.99958748823026622</v>
      </c>
      <c r="F34" s="14">
        <v>0.54964337122660401</v>
      </c>
      <c r="G34" s="14">
        <v>3.9870873372030161E-12</v>
      </c>
      <c r="H34" s="14">
        <v>128.48161727303551</v>
      </c>
      <c r="I34" s="14">
        <v>9.7696075273351182E-2</v>
      </c>
      <c r="J34" s="14">
        <v>0</v>
      </c>
      <c r="K34" s="14">
        <v>1.8193615212139536</v>
      </c>
      <c r="L34" s="14">
        <v>0.54964337122660401</v>
      </c>
      <c r="M34" s="14">
        <v>0.4509823860914286</v>
      </c>
      <c r="N34" s="14">
        <v>0.70801896056700475</v>
      </c>
      <c r="O34" s="14">
        <v>156.50051104373071</v>
      </c>
      <c r="P34" s="8">
        <v>0.70801896056700475</v>
      </c>
      <c r="Q34" s="54">
        <v>1.3136422779670804E-4</v>
      </c>
    </row>
    <row r="35" spans="1:17">
      <c r="A35" s="2" t="s">
        <v>287</v>
      </c>
      <c r="B35" s="16" t="s">
        <v>288</v>
      </c>
      <c r="D35" s="14">
        <v>1</v>
      </c>
      <c r="E35" s="14">
        <v>0.99953014993966749</v>
      </c>
      <c r="F35" s="14">
        <v>0.32546752118048977</v>
      </c>
      <c r="G35" s="14">
        <v>1.1616411574218233E-13</v>
      </c>
      <c r="H35" s="14">
        <v>191.90560361981503</v>
      </c>
      <c r="I35" s="14">
        <v>0.34409359944870865</v>
      </c>
      <c r="J35" s="14">
        <v>0</v>
      </c>
      <c r="K35" s="14">
        <v>3.0725031990072047</v>
      </c>
      <c r="L35" s="14">
        <v>0.32546752118048977</v>
      </c>
      <c r="M35" s="14">
        <v>0.2670461011285919</v>
      </c>
      <c r="N35" s="14">
        <v>0.58088016331065262</v>
      </c>
      <c r="O35" s="14">
        <v>133.75346640391086</v>
      </c>
      <c r="P35" s="8">
        <v>0.58088016331065262</v>
      </c>
      <c r="Q35" s="54">
        <v>3.1803622824932033E-4</v>
      </c>
    </row>
    <row r="36" spans="1:17">
      <c r="A36" s="2" t="s">
        <v>366</v>
      </c>
      <c r="B36" s="16" t="s">
        <v>305</v>
      </c>
      <c r="D36" s="14">
        <v>1</v>
      </c>
      <c r="E36" s="14">
        <v>0.99957283066122637</v>
      </c>
      <c r="F36" s="14">
        <v>0.10857578764446958</v>
      </c>
      <c r="G36" s="14">
        <v>2.0481155881727109E-10</v>
      </c>
      <c r="H36" s="14">
        <v>253.28705157900603</v>
      </c>
      <c r="I36" s="14">
        <v>0.67145418877653507</v>
      </c>
      <c r="J36" s="14">
        <v>0</v>
      </c>
      <c r="K36" s="14">
        <v>9.2101565339271652</v>
      </c>
      <c r="L36" s="14">
        <v>0.1085757876444696</v>
      </c>
      <c r="M36" s="14">
        <v>8.9086433762287295E-2</v>
      </c>
      <c r="N36" s="14">
        <v>0.43924152836887909</v>
      </c>
      <c r="O36" s="14">
        <v>90.606742471932378</v>
      </c>
      <c r="P36" s="8">
        <v>0.43924152836887909</v>
      </c>
      <c r="Q36" s="54">
        <v>3.5548099529447019E-4</v>
      </c>
    </row>
    <row r="37" spans="1:17">
      <c r="A37" s="2" t="s">
        <v>289</v>
      </c>
      <c r="B37" s="16" t="s">
        <v>290</v>
      </c>
      <c r="D37" s="14">
        <v>1</v>
      </c>
      <c r="E37" s="14">
        <v>0.96831736424930936</v>
      </c>
      <c r="F37" s="14">
        <v>0.21778022021987192</v>
      </c>
      <c r="G37" s="14">
        <v>4.8553519255014826E-17</v>
      </c>
      <c r="H37" s="14">
        <v>206.50873797907298</v>
      </c>
      <c r="I37" s="14">
        <v>65.278407195716213</v>
      </c>
      <c r="J37" s="14">
        <v>0</v>
      </c>
      <c r="K37" s="14">
        <v>4.5917852364663574</v>
      </c>
      <c r="L37" s="14">
        <v>0.21778022021987192</v>
      </c>
      <c r="M37" s="14">
        <v>0.17868867069040492</v>
      </c>
      <c r="N37" s="14">
        <v>1.234819437521836</v>
      </c>
      <c r="O37" s="14">
        <v>430.23578842135811</v>
      </c>
      <c r="P37" s="8">
        <v>1.234819437521836</v>
      </c>
      <c r="Q37" s="54">
        <v>4.9770218687749779E-2</v>
      </c>
    </row>
    <row r="38" spans="1:17">
      <c r="A38" s="2" t="s">
        <v>291</v>
      </c>
      <c r="B38" s="16" t="s">
        <v>292</v>
      </c>
      <c r="D38" s="14">
        <v>1</v>
      </c>
      <c r="E38" s="14">
        <v>0.99885394244255665</v>
      </c>
      <c r="F38" s="14">
        <v>0.61608757403482528</v>
      </c>
      <c r="G38" s="14">
        <v>1.3433826789730179E-14</v>
      </c>
      <c r="H38" s="14">
        <v>109.38114104068049</v>
      </c>
      <c r="I38" s="14">
        <v>0.8460988653117375</v>
      </c>
      <c r="J38" s="14">
        <v>0</v>
      </c>
      <c r="K38" s="14">
        <v>1.6231458678039714</v>
      </c>
      <c r="L38" s="14">
        <v>0.61608757403482528</v>
      </c>
      <c r="M38" s="14">
        <v>0.50549985449557422</v>
      </c>
      <c r="N38" s="14">
        <v>0.7525250604821121</v>
      </c>
      <c r="O38" s="14">
        <v>232.02605189844962</v>
      </c>
      <c r="P38" s="8">
        <v>0.75252506048211221</v>
      </c>
      <c r="Q38" s="54">
        <v>1.2718067119112237E-3</v>
      </c>
    </row>
    <row r="39" spans="1:17">
      <c r="A39" s="2" t="s">
        <v>367</v>
      </c>
      <c r="B39" s="16" t="s">
        <v>368</v>
      </c>
      <c r="D39" s="14">
        <v>1</v>
      </c>
      <c r="E39" s="14">
        <v>0.94811976154963806</v>
      </c>
      <c r="F39" s="14">
        <v>1.1093134300962161E-2</v>
      </c>
      <c r="G39" s="14">
        <v>1.7236248966649385E-7</v>
      </c>
      <c r="H39" s="14">
        <v>226.73275801272706</v>
      </c>
      <c r="I39" s="14">
        <v>366.66667613541028</v>
      </c>
      <c r="J39" s="14">
        <v>0</v>
      </c>
      <c r="K39" s="14">
        <v>90.145848131782301</v>
      </c>
      <c r="L39" s="14">
        <v>1.1093134300962161E-2</v>
      </c>
      <c r="M39" s="14">
        <v>9.1019166939394526E-3</v>
      </c>
      <c r="N39" s="14">
        <v>4.5491598550521974</v>
      </c>
      <c r="O39" s="14">
        <v>1266.2131540552286</v>
      </c>
      <c r="P39" s="8">
        <v>4.5491598550521983</v>
      </c>
      <c r="Q39" s="54">
        <v>7.9592370896630613E-2</v>
      </c>
    </row>
    <row r="40" spans="1:17">
      <c r="A40" s="2" t="s">
        <v>369</v>
      </c>
      <c r="B40" s="16" t="s">
        <v>370</v>
      </c>
      <c r="D40" s="14">
        <v>1</v>
      </c>
      <c r="E40" s="14">
        <v>0.9871106199009535</v>
      </c>
      <c r="F40" s="14">
        <v>1.0118161943428931E-3</v>
      </c>
      <c r="G40" s="14">
        <v>1.0271520508431128E-14</v>
      </c>
      <c r="H40" s="14">
        <v>261.36150730607056</v>
      </c>
      <c r="I40" s="14">
        <v>175.07479175048366</v>
      </c>
      <c r="J40" s="14">
        <v>0</v>
      </c>
      <c r="K40" s="14">
        <v>988.32179756663515</v>
      </c>
      <c r="L40" s="14">
        <v>1.0118161943428931E-3</v>
      </c>
      <c r="M40" s="14">
        <v>8.3019518745834381E-4</v>
      </c>
      <c r="N40" s="14">
        <v>25.004948701691745</v>
      </c>
      <c r="O40" s="14">
        <v>10174.513626718372</v>
      </c>
      <c r="P40" s="8">
        <v>25.004948701691749</v>
      </c>
      <c r="Q40" s="54">
        <v>1.9526464600606859E-3</v>
      </c>
    </row>
    <row r="41" spans="1:17">
      <c r="A41" s="2" t="s">
        <v>371</v>
      </c>
      <c r="B41" s="16" t="s">
        <v>372</v>
      </c>
      <c r="D41" s="14">
        <v>1</v>
      </c>
      <c r="E41" s="14">
        <v>0.93266537372201952</v>
      </c>
      <c r="F41" s="14">
        <v>0.93627249402011248</v>
      </c>
      <c r="G41" s="14">
        <v>9.2792046375845399E-4</v>
      </c>
      <c r="H41" s="14">
        <v>8.1148830415148972E-3</v>
      </c>
      <c r="I41" s="14">
        <v>3.7613126583464586E-2</v>
      </c>
      <c r="J41" s="14">
        <v>0</v>
      </c>
      <c r="K41" s="14">
        <v>1.0680651267519972</v>
      </c>
      <c r="L41" s="14">
        <v>0.93627249402011248</v>
      </c>
      <c r="M41" s="14">
        <v>0.76821158134350231</v>
      </c>
      <c r="N41" s="14">
        <v>0.87360584590188228</v>
      </c>
      <c r="O41" s="14">
        <v>122.47080353698487</v>
      </c>
      <c r="P41" s="8">
        <v>0.87360584590188228</v>
      </c>
      <c r="Q41" s="54">
        <v>3.1560177388819345E-3</v>
      </c>
    </row>
    <row r="42" spans="1:17">
      <c r="A42" s="2" t="s">
        <v>293</v>
      </c>
      <c r="B42" s="16" t="s">
        <v>294</v>
      </c>
      <c r="D42" s="14">
        <v>1</v>
      </c>
      <c r="E42" s="14">
        <v>0.84710304317265417</v>
      </c>
      <c r="F42" s="14">
        <v>0.63619896443336799</v>
      </c>
      <c r="G42" s="14">
        <v>2.3522389960102757E-10</v>
      </c>
      <c r="H42" s="14">
        <v>48.267294680173116</v>
      </c>
      <c r="I42" s="14">
        <v>114.63312415661073</v>
      </c>
      <c r="J42" s="14">
        <v>0</v>
      </c>
      <c r="K42" s="14">
        <v>1.571835315530028</v>
      </c>
      <c r="L42" s="14">
        <v>0.63619896443336799</v>
      </c>
      <c r="M42" s="14">
        <v>0.52200125031757849</v>
      </c>
      <c r="N42" s="14">
        <v>1.9620932677566199</v>
      </c>
      <c r="O42" s="14">
        <v>648.19713193607697</v>
      </c>
      <c r="P42" s="8">
        <v>1.9620932677566199</v>
      </c>
      <c r="Q42" s="54">
        <v>0.24317007493875151</v>
      </c>
    </row>
    <row r="43" spans="1:17">
      <c r="A43" s="2" t="s">
        <v>373</v>
      </c>
      <c r="B43" s="16" t="s">
        <v>374</v>
      </c>
      <c r="D43" s="14">
        <v>1</v>
      </c>
      <c r="E43" s="14">
        <v>0.99948145586347237</v>
      </c>
      <c r="F43" s="14">
        <v>8.8510547101366722E-3</v>
      </c>
      <c r="G43" s="14">
        <v>4.7926735116253806E-10</v>
      </c>
      <c r="H43" s="14">
        <v>281.32933861831896</v>
      </c>
      <c r="I43" s="14">
        <v>2.1993713429578792</v>
      </c>
      <c r="J43" s="14">
        <v>0</v>
      </c>
      <c r="K43" s="14">
        <v>112.98088564007516</v>
      </c>
      <c r="L43" s="14">
        <v>8.8510547101366722E-3</v>
      </c>
      <c r="M43" s="14">
        <v>7.2622903896671399E-3</v>
      </c>
      <c r="N43" s="14">
        <v>0.72970192415459256</v>
      </c>
      <c r="O43" s="14">
        <v>194.34881047933416</v>
      </c>
      <c r="P43" s="8">
        <v>0.72970192415459267</v>
      </c>
      <c r="Q43" s="54">
        <v>2.8477283713187378E-4</v>
      </c>
    </row>
    <row r="44" spans="1:17">
      <c r="A44" s="2" t="s">
        <v>375</v>
      </c>
      <c r="B44" s="16" t="s">
        <v>376</v>
      </c>
      <c r="D44" s="14">
        <v>1</v>
      </c>
      <c r="E44" s="14">
        <v>0.86744849729109175</v>
      </c>
      <c r="F44" s="14">
        <v>0.8427521503357156</v>
      </c>
      <c r="G44" s="14">
        <v>1.042193492319434E-3</v>
      </c>
      <c r="H44" s="14">
        <v>6.0942444336437251</v>
      </c>
      <c r="I44" s="14">
        <v>17.209848218191617</v>
      </c>
      <c r="J44" s="14">
        <v>0</v>
      </c>
      <c r="K44" s="14">
        <v>1.1865884882069344</v>
      </c>
      <c r="L44" s="14">
        <v>0.84275215033571571</v>
      </c>
      <c r="M44" s="14">
        <v>0.69147813935045477</v>
      </c>
      <c r="N44" s="14">
        <v>0.98841885310083655</v>
      </c>
      <c r="O44" s="14">
        <v>147.66977665326499</v>
      </c>
      <c r="P44" s="8">
        <v>0.98841885310083655</v>
      </c>
      <c r="Q44" s="54">
        <v>9.4618713784161007E-2</v>
      </c>
    </row>
    <row r="45" spans="1:17">
      <c r="A45" s="2" t="s">
        <v>377</v>
      </c>
      <c r="B45" s="16" t="s">
        <v>378</v>
      </c>
      <c r="D45" s="14">
        <v>1</v>
      </c>
      <c r="E45" s="14">
        <v>0.83984621696918937</v>
      </c>
      <c r="F45" s="14">
        <v>0.59794149853763778</v>
      </c>
      <c r="G45" s="14">
        <v>9.0162757019013771E-6</v>
      </c>
      <c r="H45" s="14">
        <v>55.411345458962153</v>
      </c>
      <c r="I45" s="14">
        <v>129.67488343852173</v>
      </c>
      <c r="J45" s="14">
        <v>0</v>
      </c>
      <c r="K45" s="14">
        <v>1.6724044115447096</v>
      </c>
      <c r="L45" s="14">
        <v>0.59794149853763778</v>
      </c>
      <c r="M45" s="14">
        <v>0.49061099955013182</v>
      </c>
      <c r="N45" s="14">
        <v>2.1079886006860771</v>
      </c>
      <c r="O45" s="14">
        <v>468.47938661647373</v>
      </c>
      <c r="P45" s="8">
        <v>2.1079886006860771</v>
      </c>
      <c r="Q45" s="54">
        <v>0.25366226514883866</v>
      </c>
    </row>
    <row r="46" spans="1:17">
      <c r="A46" s="2" t="s">
        <v>379</v>
      </c>
      <c r="B46" s="16" t="s">
        <v>380</v>
      </c>
      <c r="D46" s="14">
        <v>1</v>
      </c>
      <c r="E46" s="14">
        <v>0.84289588180901287</v>
      </c>
      <c r="F46" s="14">
        <v>0.62104172908656186</v>
      </c>
      <c r="G46" s="14">
        <v>2.6989153912142456E-5</v>
      </c>
      <c r="H46" s="14">
        <v>50.787961571124868</v>
      </c>
      <c r="I46" s="14">
        <v>119.95488896651646</v>
      </c>
      <c r="J46" s="14">
        <v>0</v>
      </c>
      <c r="K46" s="14">
        <v>1.610197758322643</v>
      </c>
      <c r="L46" s="14">
        <v>0.62104172908656186</v>
      </c>
      <c r="M46" s="14">
        <v>0.50956473871552399</v>
      </c>
      <c r="N46" s="14">
        <v>2.0121844537224902</v>
      </c>
      <c r="O46" s="14">
        <v>258.68643337056335</v>
      </c>
      <c r="P46" s="8">
        <v>2.0121844537224902</v>
      </c>
      <c r="Q46" s="54">
        <v>0.24684137280863996</v>
      </c>
    </row>
    <row r="47" spans="1:17">
      <c r="A47" s="2" t="s">
        <v>381</v>
      </c>
      <c r="B47" s="16" t="s">
        <v>382</v>
      </c>
      <c r="D47" s="14">
        <v>1</v>
      </c>
      <c r="E47" s="14">
        <v>0.9525222145258343</v>
      </c>
      <c r="F47" s="14">
        <v>6.9469509194997189E-4</v>
      </c>
      <c r="G47" s="14">
        <v>4.949059991390555E-10</v>
      </c>
      <c r="H47" s="14">
        <v>72.927987754413266</v>
      </c>
      <c r="I47" s="14">
        <v>1829.5799882055344</v>
      </c>
      <c r="J47" s="14">
        <v>0</v>
      </c>
      <c r="K47" s="14">
        <v>1439.480444856827</v>
      </c>
      <c r="L47" s="14">
        <v>6.94695091949972E-4</v>
      </c>
      <c r="M47" s="14">
        <v>5.6999732294495196E-4</v>
      </c>
      <c r="N47" s="14">
        <v>23.354540033830855</v>
      </c>
      <c r="O47" s="14">
        <v>9138.3979698376752</v>
      </c>
      <c r="P47" s="8">
        <v>23.354540033830858</v>
      </c>
      <c r="Q47" s="54">
        <v>5.8526344770599398E-2</v>
      </c>
    </row>
    <row r="48" spans="1:17">
      <c r="A48" s="2" t="s">
        <v>383</v>
      </c>
      <c r="B48" s="16" t="s">
        <v>384</v>
      </c>
      <c r="D48" s="14">
        <v>1</v>
      </c>
      <c r="E48" s="14">
        <v>0.95606699913662418</v>
      </c>
      <c r="F48" s="14">
        <v>0.95096971675485409</v>
      </c>
      <c r="G48" s="14">
        <v>1.3718138237123279E-4</v>
      </c>
      <c r="H48" s="14">
        <v>1.8735560374305895</v>
      </c>
      <c r="I48" s="14">
        <v>5.8226925354513801</v>
      </c>
      <c r="J48" s="14">
        <v>0</v>
      </c>
      <c r="K48" s="14">
        <v>1.0515581962088758</v>
      </c>
      <c r="L48" s="14">
        <v>0.95096971675485409</v>
      </c>
      <c r="M48" s="14">
        <v>0.78027065259735784</v>
      </c>
      <c r="N48" s="14">
        <v>0.95482740262148214</v>
      </c>
      <c r="O48" s="14">
        <v>88.923076006138615</v>
      </c>
      <c r="P48" s="8">
        <v>0.95482740262148214</v>
      </c>
      <c r="Q48" s="54">
        <v>5.4215548761865323E-2</v>
      </c>
    </row>
    <row r="49" spans="1:17">
      <c r="A49" s="2" t="s">
        <v>385</v>
      </c>
      <c r="B49" s="16" t="s">
        <v>386</v>
      </c>
      <c r="D49" s="14">
        <v>1</v>
      </c>
      <c r="E49" s="14">
        <v>0.93571572667631986</v>
      </c>
      <c r="F49" s="14">
        <v>0.9235200065368917</v>
      </c>
      <c r="G49" s="14">
        <v>2.6066024302712529E-4</v>
      </c>
      <c r="H49" s="14">
        <v>3.399744721447699</v>
      </c>
      <c r="I49" s="14">
        <v>10.090286065710334</v>
      </c>
      <c r="J49" s="14">
        <v>0</v>
      </c>
      <c r="K49" s="14">
        <v>1.0828135751491736</v>
      </c>
      <c r="L49" s="14">
        <v>0.9235200065368917</v>
      </c>
      <c r="M49" s="14">
        <v>0.75774816536351963</v>
      </c>
      <c r="N49" s="14">
        <v>0.97948569484613601</v>
      </c>
      <c r="O49" s="14">
        <v>108.84045041130264</v>
      </c>
      <c r="P49" s="8">
        <v>0.97948569484613612</v>
      </c>
      <c r="Q49" s="54">
        <v>7.2929540780031735E-2</v>
      </c>
    </row>
    <row r="50" spans="1:17">
      <c r="A50" s="2" t="s">
        <v>387</v>
      </c>
      <c r="B50" s="16" t="s">
        <v>388</v>
      </c>
      <c r="D50" s="14">
        <v>1</v>
      </c>
      <c r="E50" s="14">
        <v>0.87297389388953384</v>
      </c>
      <c r="F50" s="14">
        <v>8.8057946928623773E-2</v>
      </c>
      <c r="G50" s="14">
        <v>8.523874431925792E-5</v>
      </c>
      <c r="H50" s="14">
        <v>185.86968189235878</v>
      </c>
      <c r="I50" s="14">
        <v>345.51406129247698</v>
      </c>
      <c r="J50" s="14">
        <v>0</v>
      </c>
      <c r="K50" s="14">
        <v>11.356158471541015</v>
      </c>
      <c r="L50" s="14">
        <v>8.8057946928623773E-2</v>
      </c>
      <c r="M50" s="14">
        <v>7.2251545454935812E-2</v>
      </c>
      <c r="N50" s="14">
        <v>4.2962435378384098</v>
      </c>
      <c r="O50" s="14">
        <v>848.29328654619394</v>
      </c>
      <c r="P50" s="8">
        <v>4.2962435378384098</v>
      </c>
      <c r="Q50" s="54">
        <v>0.19048716857140319</v>
      </c>
    </row>
    <row r="51" spans="1:17">
      <c r="A51" s="2" t="s">
        <v>295</v>
      </c>
      <c r="B51" s="16" t="s">
        <v>296</v>
      </c>
      <c r="D51" s="14">
        <v>1</v>
      </c>
      <c r="E51" s="14">
        <v>0.93407064882684909</v>
      </c>
      <c r="F51" s="14">
        <v>0.9362731981690634</v>
      </c>
      <c r="G51" s="14">
        <v>7.5188440842718245E-4</v>
      </c>
      <c r="H51" s="14">
        <v>0.29725049836000911</v>
      </c>
      <c r="I51" s="14">
        <v>1.0567682634161257</v>
      </c>
      <c r="J51" s="14">
        <v>0</v>
      </c>
      <c r="K51" s="14">
        <v>1.0680643234854506</v>
      </c>
      <c r="L51" s="14">
        <v>0.93627319816906351</v>
      </c>
      <c r="M51" s="14">
        <v>0.76821215909771656</v>
      </c>
      <c r="N51" s="14">
        <v>0.88537221762323226</v>
      </c>
      <c r="O51" s="14">
        <v>51.42241839955733</v>
      </c>
      <c r="P51" s="8">
        <v>0.88537221762323226</v>
      </c>
      <c r="Q51" s="54">
        <v>2.061483021070469E-2</v>
      </c>
    </row>
    <row r="52" spans="1:17">
      <c r="A52" s="2" t="s">
        <v>389</v>
      </c>
      <c r="B52" s="16" t="s">
        <v>390</v>
      </c>
      <c r="D52" s="14">
        <v>1</v>
      </c>
      <c r="E52" s="14">
        <v>0.86098982417860981</v>
      </c>
      <c r="F52" s="14">
        <v>0.81533259440873207</v>
      </c>
      <c r="G52" s="14">
        <v>8.610399302212019E-4</v>
      </c>
      <c r="H52" s="14">
        <v>10.744712622983668</v>
      </c>
      <c r="I52" s="14">
        <v>29.030330166355292</v>
      </c>
      <c r="J52" s="14">
        <v>0</v>
      </c>
      <c r="K52" s="14">
        <v>1.2264933437687306</v>
      </c>
      <c r="L52" s="14">
        <v>0.81533259440873207</v>
      </c>
      <c r="M52" s="14">
        <v>0.66898039371236473</v>
      </c>
      <c r="N52" s="14">
        <v>1.1031997938806384</v>
      </c>
      <c r="O52" s="14">
        <v>118.20785791431041</v>
      </c>
      <c r="P52" s="8">
        <v>1.1031997938806384</v>
      </c>
      <c r="Q52" s="54">
        <v>0.12515608661668534</v>
      </c>
    </row>
    <row r="53" spans="1:17">
      <c r="A53" s="2" t="s">
        <v>391</v>
      </c>
      <c r="B53" s="16" t="s">
        <v>392</v>
      </c>
      <c r="D53" s="14">
        <v>1</v>
      </c>
      <c r="E53" s="14">
        <v>0.8241567977864751</v>
      </c>
      <c r="F53" s="14">
        <v>0.4703037842742338</v>
      </c>
      <c r="G53" s="14">
        <v>2.7054964036624653E-5</v>
      </c>
      <c r="H53" s="14">
        <v>81.43638245097452</v>
      </c>
      <c r="I53" s="14">
        <v>182.00178360354536</v>
      </c>
      <c r="J53" s="14">
        <v>0</v>
      </c>
      <c r="K53" s="14">
        <v>2.1262852510174586</v>
      </c>
      <c r="L53" s="14">
        <v>0.4703037842742338</v>
      </c>
      <c r="M53" s="14">
        <v>0.38588425499700885</v>
      </c>
      <c r="N53" s="14">
        <v>2.6232252082017875</v>
      </c>
      <c r="O53" s="14">
        <v>425.01494823285361</v>
      </c>
      <c r="P53" s="8">
        <v>2.6232252082017875</v>
      </c>
      <c r="Q53" s="54">
        <v>0.2763602927474138</v>
      </c>
    </row>
    <row r="54" spans="1:17">
      <c r="A54" s="2" t="s">
        <v>393</v>
      </c>
      <c r="B54" s="16" t="s">
        <v>394</v>
      </c>
      <c r="D54" s="14">
        <v>1</v>
      </c>
      <c r="E54" s="14">
        <v>0.94933754819496219</v>
      </c>
      <c r="F54" s="14">
        <v>9.7206166423717793E-4</v>
      </c>
      <c r="G54" s="14">
        <v>2.2874009841656869E-6</v>
      </c>
      <c r="H54" s="14">
        <v>87.320017875623861</v>
      </c>
      <c r="I54" s="14">
        <v>1687.2171713745311</v>
      </c>
      <c r="J54" s="14">
        <v>0</v>
      </c>
      <c r="K54" s="14">
        <v>1028.7413204230686</v>
      </c>
      <c r="L54" s="14">
        <v>9.7206166423717793E-4</v>
      </c>
      <c r="M54" s="14">
        <v>7.9757659550660446E-4</v>
      </c>
      <c r="N54" s="14">
        <v>21.474332169457828</v>
      </c>
      <c r="O54" s="14">
        <v>5011.8943850297619</v>
      </c>
      <c r="P54" s="8">
        <v>21.474332169457828</v>
      </c>
      <c r="Q54" s="54">
        <v>6.4769565957971967E-2</v>
      </c>
    </row>
    <row r="55" spans="1:17">
      <c r="A55" s="2" t="s">
        <v>395</v>
      </c>
      <c r="B55" s="16" t="s">
        <v>396</v>
      </c>
      <c r="D55" s="14">
        <v>1</v>
      </c>
      <c r="E55" s="14">
        <v>0.73595887765178403</v>
      </c>
      <c r="F55" s="14">
        <v>0.16723266561127823</v>
      </c>
      <c r="G55" s="14">
        <v>1.806548393894912E-3</v>
      </c>
      <c r="H55" s="14">
        <v>133.1131964464162</v>
      </c>
      <c r="I55" s="14">
        <v>265.87547759751021</v>
      </c>
      <c r="J55" s="14">
        <v>0</v>
      </c>
      <c r="K55" s="14">
        <v>5.9796930004359128</v>
      </c>
      <c r="L55" s="14">
        <v>0.16723266561127823</v>
      </c>
      <c r="M55" s="14">
        <v>0.13721440213405378</v>
      </c>
      <c r="N55" s="14">
        <v>3.3785614270085484</v>
      </c>
      <c r="O55" s="14">
        <v>433.03021809968561</v>
      </c>
      <c r="P55" s="8">
        <v>3.3785614270085484</v>
      </c>
      <c r="Q55" s="54">
        <v>0.21760971644208238</v>
      </c>
    </row>
    <row r="56" spans="1:17">
      <c r="A56" s="2" t="s">
        <v>397</v>
      </c>
      <c r="B56" s="16" t="s">
        <v>398</v>
      </c>
      <c r="D56" s="14">
        <v>1</v>
      </c>
      <c r="E56" s="14">
        <v>0.38813224336667712</v>
      </c>
      <c r="F56" s="14">
        <v>1.9693929047656149E-2</v>
      </c>
      <c r="G56" s="14">
        <v>8.1658398201550249E-3</v>
      </c>
      <c r="H56" s="14">
        <v>88.018176910397742</v>
      </c>
      <c r="I56" s="14">
        <v>154.82088286967604</v>
      </c>
      <c r="J56" s="14">
        <v>0</v>
      </c>
      <c r="K56" s="14">
        <v>50.77706929786131</v>
      </c>
      <c r="L56" s="14">
        <v>1.9693929047656149E-2</v>
      </c>
      <c r="M56" s="14">
        <v>1.6158868783601871E-2</v>
      </c>
      <c r="N56" s="14">
        <v>1.9157840493421843</v>
      </c>
      <c r="O56" s="14">
        <v>347.61901575313931</v>
      </c>
      <c r="P56" s="8">
        <v>1.9157840493421845</v>
      </c>
      <c r="Q56" s="54">
        <v>6.2983898665778013E-2</v>
      </c>
    </row>
    <row r="57" spans="1:17">
      <c r="A57" s="2" t="s">
        <v>399</v>
      </c>
      <c r="B57" s="16" t="s">
        <v>400</v>
      </c>
      <c r="D57" s="14">
        <v>1</v>
      </c>
      <c r="E57" s="14">
        <v>0.21027620838583222</v>
      </c>
      <c r="F57" s="14">
        <v>3.6962510710163765E-2</v>
      </c>
      <c r="G57" s="14">
        <v>1.0766386119834475E-2</v>
      </c>
      <c r="H57" s="14">
        <v>40.723159318888257</v>
      </c>
      <c r="I57" s="14">
        <v>79.414285736432845</v>
      </c>
      <c r="J57" s="14">
        <v>0</v>
      </c>
      <c r="K57" s="14">
        <v>27.054439235509644</v>
      </c>
      <c r="L57" s="14">
        <v>3.6962510710163765E-2</v>
      </c>
      <c r="M57" s="14">
        <v>3.0327740037689371E-2</v>
      </c>
      <c r="N57" s="14">
        <v>0.99903358653354435</v>
      </c>
      <c r="O57" s="14">
        <v>146.85793722043101</v>
      </c>
      <c r="P57" s="8">
        <v>0.99903358653354435</v>
      </c>
      <c r="Q57" s="54">
        <v>5.6976876083261956E-2</v>
      </c>
    </row>
    <row r="58" spans="1:17">
      <c r="A58" s="2" t="s">
        <v>297</v>
      </c>
      <c r="B58" s="16" t="s">
        <v>298</v>
      </c>
      <c r="D58" s="14">
        <v>1</v>
      </c>
      <c r="E58" s="14">
        <v>7.6690179293923896E-2</v>
      </c>
      <c r="F58" s="14">
        <v>7.5336553708763146E-2</v>
      </c>
      <c r="G58" s="14">
        <v>1.312907826014627E-2</v>
      </c>
      <c r="H58" s="14">
        <v>0.35612769550345152</v>
      </c>
      <c r="I58" s="14">
        <v>1.0376787428411907</v>
      </c>
      <c r="J58" s="14">
        <v>0</v>
      </c>
      <c r="K58" s="14">
        <v>13.273768851516763</v>
      </c>
      <c r="L58" s="14">
        <v>7.5336553708763146E-2</v>
      </c>
      <c r="M58" s="14">
        <v>6.1813642318040166E-2</v>
      </c>
      <c r="N58" s="14">
        <v>8.2434489529448596E-2</v>
      </c>
      <c r="O58" s="14">
        <v>7.0011611957360698</v>
      </c>
      <c r="P58" s="8">
        <v>8.2434489529448596E-2</v>
      </c>
      <c r="Q58" s="54">
        <v>6.777396907824011E-3</v>
      </c>
    </row>
    <row r="59" spans="1:17">
      <c r="A59" s="2" t="s">
        <v>401</v>
      </c>
      <c r="B59" s="16" t="s">
        <v>402</v>
      </c>
      <c r="D59" s="14">
        <v>1</v>
      </c>
      <c r="E59" s="14">
        <v>8.2277384830425154E-2</v>
      </c>
      <c r="F59" s="14">
        <v>1.5367640870795441E-2</v>
      </c>
      <c r="G59" s="14">
        <v>1.2904336831029938E-2</v>
      </c>
      <c r="H59" s="14">
        <v>15.707504863753664</v>
      </c>
      <c r="I59" s="14">
        <v>30.800968574130327</v>
      </c>
      <c r="J59" s="14">
        <v>0</v>
      </c>
      <c r="K59" s="14">
        <v>65.071796537124513</v>
      </c>
      <c r="L59" s="14">
        <v>1.5367640870795441E-2</v>
      </c>
      <c r="M59" s="14">
        <v>1.260914933448766E-2</v>
      </c>
      <c r="N59" s="14">
        <v>0.38825941290595617</v>
      </c>
      <c r="O59" s="14">
        <v>64.385058442194719</v>
      </c>
      <c r="P59" s="8">
        <v>0.38825941290595617</v>
      </c>
      <c r="Q59" s="54">
        <v>2.2780558834329809E-2</v>
      </c>
    </row>
    <row r="60" spans="1:17">
      <c r="A60" s="2" t="s">
        <v>299</v>
      </c>
      <c r="B60" s="16" t="s">
        <v>300</v>
      </c>
      <c r="D60" s="14">
        <v>1</v>
      </c>
      <c r="E60" s="14">
        <v>1.6912099028835285E-3</v>
      </c>
      <c r="F60" s="14">
        <v>5.7791690514883537E-4</v>
      </c>
      <c r="G60" s="14">
        <v>1.4256531771403862E-2</v>
      </c>
      <c r="H60" s="14">
        <v>0.25881258982599264</v>
      </c>
      <c r="I60" s="14">
        <v>0.53931508672092832</v>
      </c>
      <c r="J60" s="14">
        <v>0</v>
      </c>
      <c r="K60" s="14">
        <v>1730.3525664169006</v>
      </c>
      <c r="L60" s="14">
        <v>5.7791690514883548E-4</v>
      </c>
      <c r="M60" s="14">
        <v>4.7418082067461945E-4</v>
      </c>
      <c r="N60" s="14">
        <v>7.0518635497971169E-3</v>
      </c>
      <c r="O60" s="14">
        <v>0.57924007198033522</v>
      </c>
      <c r="P60" s="8">
        <v>7.0518635497971169E-3</v>
      </c>
      <c r="Q60" s="54">
        <v>5.572403667029901E-4</v>
      </c>
    </row>
    <row r="61" spans="1:17">
      <c r="A61" s="2" t="s">
        <v>403</v>
      </c>
      <c r="B61" s="16" t="s">
        <v>404</v>
      </c>
      <c r="D61" s="14">
        <v>1</v>
      </c>
      <c r="E61" s="14">
        <v>0.82335527289126365</v>
      </c>
      <c r="F61" s="14">
        <v>0.35345107908021661</v>
      </c>
      <c r="G61" s="14">
        <v>6.1599586882567978E-46</v>
      </c>
      <c r="H61" s="14">
        <v>108.78006447583367</v>
      </c>
      <c r="I61" s="14">
        <v>233.02712801568438</v>
      </c>
      <c r="J61" s="14">
        <v>0</v>
      </c>
      <c r="K61" s="14">
        <v>2.8292458537749932</v>
      </c>
      <c r="L61" s="14">
        <v>0.35345107908021661</v>
      </c>
      <c r="M61" s="14">
        <v>0.29000661038531772</v>
      </c>
      <c r="N61" s="14">
        <v>3.1369912425373552</v>
      </c>
      <c r="O61" s="14">
        <v>3772.5770381878483</v>
      </c>
      <c r="P61" s="8">
        <v>3.1369912425373552</v>
      </c>
      <c r="Q61" s="54">
        <v>0.28028927657955044</v>
      </c>
    </row>
    <row r="62" spans="1:17">
      <c r="A62" s="2" t="s">
        <v>405</v>
      </c>
      <c r="B62" s="16" t="s">
        <v>406</v>
      </c>
      <c r="D62" s="14">
        <v>1</v>
      </c>
      <c r="E62" s="14">
        <v>0.94157055863204819</v>
      </c>
      <c r="F62" s="14">
        <v>4.1870606404380778E-3</v>
      </c>
      <c r="G62" s="14">
        <v>1.2826192049827007E-9</v>
      </c>
      <c r="H62" s="14">
        <v>171.06818622856008</v>
      </c>
      <c r="I62" s="14">
        <v>882.93030105853904</v>
      </c>
      <c r="J62" s="14">
        <v>0</v>
      </c>
      <c r="K62" s="14">
        <v>238.83102870355691</v>
      </c>
      <c r="L62" s="14">
        <v>4.1870606404380778E-3</v>
      </c>
      <c r="M62" s="14">
        <v>3.4354832554794427E-3</v>
      </c>
      <c r="N62" s="14">
        <v>11.075795275646035</v>
      </c>
      <c r="O62" s="14">
        <v>3531.6280815924952</v>
      </c>
      <c r="P62" s="8">
        <v>11.075795275646035</v>
      </c>
      <c r="Q62" s="54">
        <v>8.5217035396222801E-2</v>
      </c>
    </row>
    <row r="63" spans="1:17">
      <c r="A63" s="2" t="s">
        <v>407</v>
      </c>
      <c r="B63" s="16" t="s">
        <v>408</v>
      </c>
      <c r="D63" s="14">
        <v>1</v>
      </c>
      <c r="E63" s="14">
        <v>0.95797573577726469</v>
      </c>
      <c r="F63" s="14">
        <v>3.7772516739256111E-4</v>
      </c>
      <c r="G63" s="14">
        <v>3.0322458477540995E-7</v>
      </c>
      <c r="H63" s="14">
        <v>51.8604071846758</v>
      </c>
      <c r="I63" s="14">
        <v>2039.8258591976348</v>
      </c>
      <c r="J63" s="14">
        <v>0</v>
      </c>
      <c r="K63" s="14">
        <v>2647.4275116561744</v>
      </c>
      <c r="L63" s="14">
        <v>3.7772516739256111E-4</v>
      </c>
      <c r="M63" s="14">
        <v>3.0992349984559643E-4</v>
      </c>
      <c r="N63" s="14">
        <v>26.170413558704972</v>
      </c>
      <c r="O63" s="14">
        <v>12713.325202683289</v>
      </c>
      <c r="P63" s="8">
        <v>26.170413558704976</v>
      </c>
      <c r="Q63" s="54">
        <v>4.7664286145715273E-2</v>
      </c>
    </row>
    <row r="64" spans="1:17">
      <c r="A64" s="2" t="s">
        <v>409</v>
      </c>
      <c r="B64" s="16" t="s">
        <v>410</v>
      </c>
      <c r="D64" s="14">
        <v>1</v>
      </c>
      <c r="E64" s="14">
        <v>0.96628547076514149</v>
      </c>
      <c r="F64" s="14">
        <v>1.2988290768119716E-4</v>
      </c>
      <c r="G64" s="14">
        <v>3.7256365905341392E-8</v>
      </c>
      <c r="H64" s="14">
        <v>27.731413243888785</v>
      </c>
      <c r="I64" s="14">
        <v>2285.7523416728659</v>
      </c>
      <c r="J64" s="14">
        <v>0</v>
      </c>
      <c r="K64" s="14">
        <v>7699.2424781137515</v>
      </c>
      <c r="L64" s="14">
        <v>1.2988290768119716E-4</v>
      </c>
      <c r="M64" s="14">
        <v>1.0656892575242228E-4</v>
      </c>
      <c r="N64" s="14">
        <v>29.571819217686254</v>
      </c>
      <c r="O64" s="14">
        <v>16698.910594035253</v>
      </c>
      <c r="P64" s="8">
        <v>29.571819217686254</v>
      </c>
      <c r="Q64" s="54">
        <v>3.1858782380253248E-2</v>
      </c>
    </row>
    <row r="65" spans="1:17">
      <c r="A65" s="2" t="s">
        <v>301</v>
      </c>
      <c r="B65" s="16" t="s">
        <v>302</v>
      </c>
      <c r="D65" s="14">
        <v>1</v>
      </c>
      <c r="E65" s="14">
        <v>0.97328486963765992</v>
      </c>
      <c r="F65" s="14">
        <v>3.6219639984105566E-5</v>
      </c>
      <c r="G65" s="14">
        <v>4.5716462414908568E-9</v>
      </c>
      <c r="H65" s="14">
        <v>12.777448206085259</v>
      </c>
      <c r="I65" s="14">
        <v>2442.8753090211312</v>
      </c>
      <c r="J65" s="14">
        <v>0</v>
      </c>
      <c r="K65" s="14">
        <v>27609.330198721873</v>
      </c>
      <c r="L65" s="14">
        <v>3.6219639984105566E-5</v>
      </c>
      <c r="M65" s="14">
        <v>2.971821460695862E-5</v>
      </c>
      <c r="N65" s="14">
        <v>31.907893552293395</v>
      </c>
      <c r="O65" s="14">
        <v>20535.282132384982</v>
      </c>
      <c r="P65" s="8">
        <v>31.907893552293395</v>
      </c>
      <c r="Q65" s="54">
        <v>1.8919136036318923E-2</v>
      </c>
    </row>
    <row r="66" spans="1:17">
      <c r="A66" s="2" t="s">
        <v>303</v>
      </c>
      <c r="B66" s="16" t="s">
        <v>304</v>
      </c>
      <c r="D66" s="14">
        <v>1</v>
      </c>
      <c r="E66" s="14">
        <v>0.96965050529023877</v>
      </c>
      <c r="F66" s="14">
        <v>7.535918291819396E-5</v>
      </c>
      <c r="G66" s="14">
        <v>4.4287857254928818E-15</v>
      </c>
      <c r="H66" s="14">
        <v>19.978191925576496</v>
      </c>
      <c r="I66" s="14">
        <v>2366.5372879384499</v>
      </c>
      <c r="J66" s="14">
        <v>0</v>
      </c>
      <c r="K66" s="14">
        <v>13269.782941855254</v>
      </c>
      <c r="L66" s="14">
        <v>7.535918291819396E-5</v>
      </c>
      <c r="M66" s="14">
        <v>6.1832209584378146E-5</v>
      </c>
      <c r="N66" s="14">
        <v>30.743123196256942</v>
      </c>
      <c r="O66" s="14">
        <v>19838.844829776564</v>
      </c>
      <c r="P66" s="8">
        <v>30.743123196256942</v>
      </c>
      <c r="Q66" s="54">
        <v>2.5604326215249912E-2</v>
      </c>
    </row>
    <row r="67" spans="1:17">
      <c r="A67" s="2" t="s">
        <v>411</v>
      </c>
      <c r="B67" s="16" t="s">
        <v>412</v>
      </c>
      <c r="D67" s="14">
        <v>1</v>
      </c>
      <c r="E67" s="14">
        <v>0.92594630323342331</v>
      </c>
      <c r="F67" s="14">
        <v>0.89332311943838838</v>
      </c>
      <c r="G67" s="14">
        <v>5.6720109615116055E-5</v>
      </c>
      <c r="H67" s="14">
        <v>7.8905735761026383</v>
      </c>
      <c r="I67" s="14">
        <v>21.956633088668241</v>
      </c>
      <c r="J67" s="14">
        <v>0</v>
      </c>
      <c r="K67" s="14">
        <v>1.1194157838752421</v>
      </c>
      <c r="L67" s="14">
        <v>0.89332311943838838</v>
      </c>
      <c r="M67" s="14">
        <v>0.73297161949919765</v>
      </c>
      <c r="N67" s="14">
        <v>1.0917494733650996</v>
      </c>
      <c r="O67" s="14">
        <v>327.63401695686645</v>
      </c>
      <c r="P67" s="8">
        <v>1.0917494733650996</v>
      </c>
      <c r="Q67" s="54">
        <v>0.11131808960951724</v>
      </c>
    </row>
    <row r="68" spans="1:17">
      <c r="A68" s="2" t="s">
        <v>413</v>
      </c>
      <c r="B68" s="16" t="s">
        <v>414</v>
      </c>
      <c r="D68" s="14">
        <v>1</v>
      </c>
      <c r="E68" s="14">
        <v>0.89906085885229448</v>
      </c>
      <c r="F68" s="14">
        <v>0.83813042783989533</v>
      </c>
      <c r="G68" s="14">
        <v>1.2519877957541882E-4</v>
      </c>
      <c r="H68" s="14">
        <v>14.183114460530097</v>
      </c>
      <c r="I68" s="14">
        <v>37.620865143055667</v>
      </c>
      <c r="J68" s="14">
        <v>0</v>
      </c>
      <c r="K68" s="14">
        <v>1.1931317212492683</v>
      </c>
      <c r="L68" s="14">
        <v>0.83813042783989533</v>
      </c>
      <c r="M68" s="14">
        <v>0.68768601604263413</v>
      </c>
      <c r="N68" s="14">
        <v>1.2266071261333644</v>
      </c>
      <c r="O68" s="14">
        <v>402.51112844066347</v>
      </c>
      <c r="P68" s="8">
        <v>1.2266071261333644</v>
      </c>
      <c r="Q68" s="54">
        <v>0.14656449586970219</v>
      </c>
    </row>
    <row r="69" spans="1:17">
      <c r="A69" s="2" t="s">
        <v>415</v>
      </c>
      <c r="B69" s="16" t="s">
        <v>416</v>
      </c>
      <c r="D69" s="14">
        <v>1</v>
      </c>
      <c r="E69" s="14">
        <v>0.94483179685112439</v>
      </c>
      <c r="F69" s="14">
        <v>1.5113294845640998E-3</v>
      </c>
      <c r="G69" s="14">
        <v>1.4774324814391514E-5</v>
      </c>
      <c r="H69" s="14">
        <v>109.34002153527851</v>
      </c>
      <c r="I69" s="14">
        <v>1470.0642825360496</v>
      </c>
      <c r="J69" s="14">
        <v>0</v>
      </c>
      <c r="K69" s="14">
        <v>661.66908686256556</v>
      </c>
      <c r="L69" s="14">
        <v>1.5113294845641001E-3</v>
      </c>
      <c r="M69" s="14">
        <v>1.2400458420848441E-3</v>
      </c>
      <c r="N69" s="14">
        <v>18.634928692499845</v>
      </c>
      <c r="O69" s="14">
        <v>8648.0977076153267</v>
      </c>
      <c r="P69" s="8">
        <v>18.634928692499845</v>
      </c>
      <c r="Q69" s="54">
        <v>7.2700320568589355E-2</v>
      </c>
    </row>
    <row r="70" spans="1:17">
      <c r="A70" s="2" t="s">
        <v>417</v>
      </c>
      <c r="B70" s="16" t="s">
        <v>418</v>
      </c>
      <c r="D70" s="14">
        <v>1</v>
      </c>
      <c r="E70" s="14">
        <v>0.92059119548978907</v>
      </c>
      <c r="F70" s="14">
        <v>2.8377787025412271E-2</v>
      </c>
      <c r="G70" s="14">
        <v>3.907572213493658E-5</v>
      </c>
      <c r="H70" s="14">
        <v>214.42653366706185</v>
      </c>
      <c r="I70" s="14">
        <v>362.85715888191078</v>
      </c>
      <c r="J70" s="14">
        <v>0</v>
      </c>
      <c r="K70" s="14">
        <v>35.238829550186601</v>
      </c>
      <c r="L70" s="14">
        <v>2.8377787025412275E-2</v>
      </c>
      <c r="M70" s="14">
        <v>2.3283974254350769E-2</v>
      </c>
      <c r="N70" s="14">
        <v>4.4885328534133659</v>
      </c>
      <c r="O70" s="14">
        <v>1409.6237426144676</v>
      </c>
      <c r="P70" s="8">
        <v>4.4885328534133659</v>
      </c>
      <c r="Q70" s="54">
        <v>0.11932616847334228</v>
      </c>
    </row>
    <row r="71" spans="1:17">
      <c r="A71" s="2" t="s">
        <v>419</v>
      </c>
      <c r="B71" s="16" t="s">
        <v>420</v>
      </c>
      <c r="D71" s="14">
        <v>1</v>
      </c>
      <c r="E71" s="14">
        <v>0.89121833215601054</v>
      </c>
      <c r="F71" s="14">
        <v>0.83641525905266345</v>
      </c>
      <c r="G71" s="14">
        <v>3.0652819997668661E-4</v>
      </c>
      <c r="H71" s="14">
        <v>12.80683892209851</v>
      </c>
      <c r="I71" s="14">
        <v>34.221506015070034</v>
      </c>
      <c r="J71" s="14">
        <v>0</v>
      </c>
      <c r="K71" s="14">
        <v>1.1955783794913248</v>
      </c>
      <c r="L71" s="14">
        <v>0.83641525905266345</v>
      </c>
      <c r="M71" s="14">
        <v>0.6862787200527104</v>
      </c>
      <c r="N71" s="14">
        <v>1.1845461422822605</v>
      </c>
      <c r="O71" s="14">
        <v>253.54025629409503</v>
      </c>
      <c r="P71" s="8">
        <v>1.1845461422822605</v>
      </c>
      <c r="Q71" s="54">
        <v>0.13883504903342309</v>
      </c>
    </row>
    <row r="72" spans="1:17">
      <c r="A72" s="2" t="s">
        <v>421</v>
      </c>
      <c r="B72" s="16" t="s">
        <v>422</v>
      </c>
      <c r="D72" s="14">
        <v>1</v>
      </c>
      <c r="E72" s="14">
        <v>0.90708083863889688</v>
      </c>
      <c r="F72" s="14">
        <v>3.305184628051927E-2</v>
      </c>
      <c r="G72" s="14">
        <v>1.6508370677815968E-4</v>
      </c>
      <c r="H72" s="14">
        <v>209.64075941471378</v>
      </c>
      <c r="I72" s="14">
        <v>359.36261513470629</v>
      </c>
      <c r="J72" s="14">
        <v>0</v>
      </c>
      <c r="K72" s="14">
        <v>30.255495911264696</v>
      </c>
      <c r="L72" s="14">
        <v>3.305184628051927E-2</v>
      </c>
      <c r="M72" s="14">
        <v>2.7119039873166061E-2</v>
      </c>
      <c r="N72" s="14">
        <v>4.4449436321447156</v>
      </c>
      <c r="O72" s="14">
        <v>1840.5178097621624</v>
      </c>
      <c r="P72" s="8">
        <v>4.4449436321447164</v>
      </c>
      <c r="Q72" s="54">
        <v>0.12686239177327632</v>
      </c>
    </row>
    <row r="73" spans="1:17">
      <c r="A73" s="2" t="s">
        <v>423</v>
      </c>
      <c r="B73" s="16" t="s">
        <v>424</v>
      </c>
      <c r="D73" s="14">
        <v>1</v>
      </c>
      <c r="E73" s="14">
        <v>0.81401678743779227</v>
      </c>
      <c r="F73" s="14">
        <v>0.32502762824472881</v>
      </c>
      <c r="G73" s="14">
        <v>1.7925396320859428E-4</v>
      </c>
      <c r="H73" s="14">
        <v>113.35489494452393</v>
      </c>
      <c r="I73" s="14">
        <v>240.60101191105176</v>
      </c>
      <c r="J73" s="14">
        <v>0</v>
      </c>
      <c r="K73" s="14">
        <v>3.076661529976314</v>
      </c>
      <c r="L73" s="14">
        <v>0.32502762824472881</v>
      </c>
      <c r="M73" s="14">
        <v>0.26668516897479999</v>
      </c>
      <c r="N73" s="14">
        <v>3.2040419368381992</v>
      </c>
      <c r="O73" s="14">
        <v>1371.8746360960117</v>
      </c>
      <c r="P73" s="8">
        <v>3.2040419368381992</v>
      </c>
      <c r="Q73" s="54">
        <v>0.27510434490733066</v>
      </c>
    </row>
    <row r="74" spans="1:17">
      <c r="A74" s="2" t="s">
        <v>425</v>
      </c>
      <c r="B74" s="16" t="s">
        <v>426</v>
      </c>
      <c r="D74" s="14">
        <v>1</v>
      </c>
      <c r="E74" s="14">
        <v>0.91769468578023905</v>
      </c>
      <c r="F74" s="14">
        <v>2.9676107541285857E-2</v>
      </c>
      <c r="G74" s="14">
        <v>6.0424828146426187E-5</v>
      </c>
      <c r="H74" s="14">
        <v>213.29807511425989</v>
      </c>
      <c r="I74" s="14">
        <v>362.27978972257881</v>
      </c>
      <c r="J74" s="14">
        <v>0</v>
      </c>
      <c r="K74" s="14">
        <v>33.697141668892542</v>
      </c>
      <c r="L74" s="14">
        <v>2.967610754128586E-2</v>
      </c>
      <c r="M74" s="14">
        <v>2.434924623762505E-2</v>
      </c>
      <c r="N74" s="14">
        <v>4.4812097374810254</v>
      </c>
      <c r="O74" s="14">
        <v>2366.8853591427278</v>
      </c>
      <c r="P74" s="8">
        <v>4.4812097374810254</v>
      </c>
      <c r="Q74" s="54">
        <v>0.12157495206189907</v>
      </c>
    </row>
    <row r="75" spans="1:17">
      <c r="A75" s="2" t="s">
        <v>427</v>
      </c>
      <c r="B75" s="16" t="s">
        <v>428</v>
      </c>
      <c r="D75" s="14">
        <v>1</v>
      </c>
      <c r="E75" s="14">
        <v>0.99884947400314406</v>
      </c>
      <c r="F75" s="14">
        <v>4.3331778661476889E-3</v>
      </c>
      <c r="G75" s="14">
        <v>6.1127268067534225E-12</v>
      </c>
      <c r="H75" s="14">
        <v>282.55728967218721</v>
      </c>
      <c r="I75" s="14">
        <v>1.0095279341213457</v>
      </c>
      <c r="J75" s="14">
        <v>0</v>
      </c>
      <c r="K75" s="14">
        <v>230.7775103838575</v>
      </c>
      <c r="L75" s="14">
        <v>4.3331778661476897E-3</v>
      </c>
      <c r="M75" s="14">
        <v>3.555372439174179E-3</v>
      </c>
      <c r="N75" s="14">
        <v>2.3899041751980197</v>
      </c>
      <c r="O75" s="14">
        <v>1348.1210461874509</v>
      </c>
      <c r="P75" s="8">
        <v>2.3899041751980197</v>
      </c>
      <c r="Q75" s="54">
        <v>5.6379126196101898E-5</v>
      </c>
    </row>
    <row r="76" spans="1:17">
      <c r="A76" s="2" t="s">
        <v>429</v>
      </c>
      <c r="B76" s="16" t="s">
        <v>430</v>
      </c>
      <c r="D76" s="14">
        <v>1</v>
      </c>
      <c r="E76" s="14">
        <v>0.99884947441980676</v>
      </c>
      <c r="F76" s="14">
        <v>4.333177867955243E-3</v>
      </c>
      <c r="G76" s="14">
        <v>1.5354475531813814E-13</v>
      </c>
      <c r="H76" s="14">
        <v>282.55728979005397</v>
      </c>
      <c r="I76" s="14">
        <v>1.0095279345424628</v>
      </c>
      <c r="J76" s="14">
        <v>0</v>
      </c>
      <c r="K76" s="14">
        <v>230.77751028759036</v>
      </c>
      <c r="L76" s="14">
        <v>4.333177867955243E-3</v>
      </c>
      <c r="M76" s="14">
        <v>3.5553724406572765E-3</v>
      </c>
      <c r="N76" s="14">
        <v>2.3899041761949502</v>
      </c>
      <c r="O76" s="14">
        <v>1195.2627756403804</v>
      </c>
      <c r="P76" s="8">
        <v>2.3899041761949502</v>
      </c>
      <c r="Q76" s="54">
        <v>5.6379126219620032E-5</v>
      </c>
    </row>
    <row r="77" spans="1:17">
      <c r="A77" s="2" t="s">
        <v>431</v>
      </c>
      <c r="B77" s="16" t="s">
        <v>432</v>
      </c>
      <c r="D77" s="14">
        <v>1</v>
      </c>
      <c r="E77" s="14">
        <v>0.84390626810284886</v>
      </c>
      <c r="F77" s="14">
        <v>0.12050620080321979</v>
      </c>
      <c r="G77" s="14">
        <v>3.1326933297135532E-4</v>
      </c>
      <c r="H77" s="14">
        <v>170.48626433050927</v>
      </c>
      <c r="I77" s="14">
        <v>326.39730592730649</v>
      </c>
      <c r="J77" s="14">
        <v>0</v>
      </c>
      <c r="K77" s="14">
        <v>8.2983281634855182</v>
      </c>
      <c r="L77" s="14">
        <v>0.12050620080321979</v>
      </c>
      <c r="M77" s="14">
        <v>9.8875337759041837E-2</v>
      </c>
      <c r="N77" s="14">
        <v>4.0831458195166705</v>
      </c>
      <c r="O77" s="14">
        <v>1486.5100670532393</v>
      </c>
      <c r="P77" s="8">
        <v>4.0831458195166714</v>
      </c>
      <c r="Q77" s="54">
        <v>0.21161505686407764</v>
      </c>
    </row>
    <row r="78" spans="1:17">
      <c r="A78" s="2" t="s">
        <v>433</v>
      </c>
      <c r="B78" s="16" t="s">
        <v>434</v>
      </c>
      <c r="D78" s="14">
        <v>1</v>
      </c>
      <c r="E78" s="14">
        <v>0.82414872467464928</v>
      </c>
      <c r="F78" s="14">
        <v>0.63394140163613932</v>
      </c>
      <c r="G78" s="14">
        <v>4.4637267736583118E-4</v>
      </c>
      <c r="H78" s="14">
        <v>43.518018827086557</v>
      </c>
      <c r="I78" s="14">
        <v>104.11811251954465</v>
      </c>
      <c r="J78" s="14">
        <v>0</v>
      </c>
      <c r="K78" s="14">
        <v>1.577432862752141</v>
      </c>
      <c r="L78" s="14">
        <v>0.63394140163613932</v>
      </c>
      <c r="M78" s="14">
        <v>0.52014892004245239</v>
      </c>
      <c r="N78" s="14">
        <v>1.8336445553141609</v>
      </c>
      <c r="O78" s="14">
        <v>484.17384483070424</v>
      </c>
      <c r="P78" s="8">
        <v>1.8336445553141612</v>
      </c>
      <c r="Q78" s="54">
        <v>0.22999917938761993</v>
      </c>
    </row>
    <row r="79" spans="1:17">
      <c r="A79" s="2" t="s">
        <v>435</v>
      </c>
      <c r="B79" s="16" t="s">
        <v>436</v>
      </c>
      <c r="D79" s="14">
        <v>1</v>
      </c>
      <c r="E79" s="14">
        <v>0.81886875869571629</v>
      </c>
      <c r="F79" s="14">
        <v>0.45731287547222677</v>
      </c>
      <c r="G79" s="14">
        <v>1.0720176027923167E-4</v>
      </c>
      <c r="H79" s="14">
        <v>83.24792723595715</v>
      </c>
      <c r="I79" s="14">
        <v>185.36622250062828</v>
      </c>
      <c r="J79" s="14">
        <v>0</v>
      </c>
      <c r="K79" s="14">
        <v>2.1866867381929449</v>
      </c>
      <c r="L79" s="14">
        <v>0.45731287547222677</v>
      </c>
      <c r="M79" s="14">
        <v>0.37522521432496209</v>
      </c>
      <c r="N79" s="14">
        <v>2.6522028886716114</v>
      </c>
      <c r="O79" s="14">
        <v>1061.1728977863984</v>
      </c>
      <c r="P79" s="8">
        <v>2.6522028886716114</v>
      </c>
      <c r="Q79" s="54">
        <v>0.2758230774453716</v>
      </c>
    </row>
    <row r="80" spans="1:17">
      <c r="A80" s="2" t="s">
        <v>437</v>
      </c>
      <c r="B80" s="16" t="s">
        <v>438</v>
      </c>
      <c r="D80" s="14">
        <v>1</v>
      </c>
      <c r="E80" s="14">
        <v>0.99779489904534446</v>
      </c>
      <c r="F80" s="14">
        <v>2.9349448272817614E-3</v>
      </c>
      <c r="G80" s="14">
        <v>2.1863939248531845E-12</v>
      </c>
      <c r="H80" s="14">
        <v>282.55301221966749</v>
      </c>
      <c r="I80" s="14">
        <v>1.9391516139450047</v>
      </c>
      <c r="J80" s="14">
        <v>0</v>
      </c>
      <c r="K80" s="14">
        <v>340.72190751407186</v>
      </c>
      <c r="L80" s="14">
        <v>2.9349448272817614E-3</v>
      </c>
      <c r="M80" s="14">
        <v>2.4081222307846852E-3</v>
      </c>
      <c r="N80" s="14">
        <v>4.6332801308614942</v>
      </c>
      <c r="O80" s="14">
        <v>2381.8766496732769</v>
      </c>
      <c r="P80" s="8">
        <v>4.6332801308614942</v>
      </c>
      <c r="Q80" s="54">
        <v>6.8645451529418257E-5</v>
      </c>
    </row>
    <row r="81" spans="1:17">
      <c r="A81" s="2" t="s">
        <v>440</v>
      </c>
      <c r="B81" s="16" t="s">
        <v>441</v>
      </c>
      <c r="D81" s="14">
        <v>1</v>
      </c>
      <c r="E81" s="14">
        <v>0.98713214313261399</v>
      </c>
      <c r="F81" s="14">
        <v>0.98970144388968129</v>
      </c>
      <c r="G81" s="14">
        <v>2.088491401373305E-15</v>
      </c>
      <c r="H81" s="14">
        <v>0.26375712718080035</v>
      </c>
      <c r="I81" s="14">
        <v>0.94986388294555457</v>
      </c>
      <c r="J81" s="14">
        <v>0</v>
      </c>
      <c r="K81" s="14">
        <v>1.0104057200016237</v>
      </c>
      <c r="L81" s="14">
        <v>0.9897014438896814</v>
      </c>
      <c r="M81" s="14">
        <v>0.81205003471148363</v>
      </c>
      <c r="N81" s="14">
        <v>0.93395504623876424</v>
      </c>
      <c r="O81" s="14">
        <v>258.94837612015976</v>
      </c>
      <c r="P81" s="8">
        <v>0.93395504623876424</v>
      </c>
      <c r="Q81" s="54">
        <v>1.9891217886391799E-2</v>
      </c>
    </row>
    <row r="82" spans="1:17">
      <c r="A82" s="2" t="s">
        <v>442</v>
      </c>
      <c r="B82" s="16" t="s">
        <v>443</v>
      </c>
      <c r="D82" s="14">
        <v>1</v>
      </c>
      <c r="E82" s="14">
        <v>0.89720792098253499</v>
      </c>
      <c r="F82" s="14">
        <v>0.8200722791619327</v>
      </c>
      <c r="G82" s="14">
        <v>1.0440964506620061E-6</v>
      </c>
      <c r="H82" s="14">
        <v>17.820181855934266</v>
      </c>
      <c r="I82" s="14">
        <v>46.405483557284555</v>
      </c>
      <c r="J82" s="14">
        <v>0</v>
      </c>
      <c r="K82" s="14">
        <v>1.2194047103042469</v>
      </c>
      <c r="L82" s="14">
        <v>0.8200722791619327</v>
      </c>
      <c r="M82" s="14">
        <v>0.67286930505236586</v>
      </c>
      <c r="N82" s="14">
        <v>1.3145338482040694</v>
      </c>
      <c r="O82" s="14">
        <v>217.14784638483022</v>
      </c>
      <c r="P82" s="8">
        <v>1.3145338482040694</v>
      </c>
      <c r="Q82" s="54">
        <v>0.16336886901881062</v>
      </c>
    </row>
    <row r="83" spans="1:17">
      <c r="A83" s="2" t="s">
        <v>444</v>
      </c>
      <c r="B83" s="16" t="s">
        <v>445</v>
      </c>
      <c r="D83" s="14">
        <v>1</v>
      </c>
      <c r="E83" s="14">
        <v>0.85225658306324681</v>
      </c>
      <c r="F83" s="14">
        <v>0.1528854095199032</v>
      </c>
      <c r="G83" s="14">
        <v>6.7392959522191678E-6</v>
      </c>
      <c r="H83" s="14">
        <v>164.28050941867852</v>
      </c>
      <c r="I83" s="14">
        <v>320.95430969773008</v>
      </c>
      <c r="J83" s="14">
        <v>0</v>
      </c>
      <c r="K83" s="14">
        <v>6.5408465277376004</v>
      </c>
      <c r="L83" s="14">
        <v>0.1528854095199032</v>
      </c>
      <c r="M83" s="14">
        <v>0.12544247851108059</v>
      </c>
      <c r="N83" s="14">
        <v>4.0402534913578618</v>
      </c>
      <c r="O83" s="14">
        <v>728.21528928234113</v>
      </c>
      <c r="P83" s="8">
        <v>4.0402534913578627</v>
      </c>
      <c r="Q83" s="54">
        <v>0.23261794334527616</v>
      </c>
    </row>
    <row r="84" spans="1:17">
      <c r="A84" s="2" t="s">
        <v>446</v>
      </c>
      <c r="B84" s="16" t="s">
        <v>447</v>
      </c>
      <c r="D84" s="14">
        <v>1</v>
      </c>
      <c r="E84" s="14">
        <v>0.97238560444701772</v>
      </c>
      <c r="F84" s="14">
        <v>0.97046227601360424</v>
      </c>
      <c r="G84" s="14">
        <v>6.5312626020959453E-17</v>
      </c>
      <c r="H84" s="14">
        <v>1.203839691050258</v>
      </c>
      <c r="I84" s="14">
        <v>3.8710236874571384</v>
      </c>
      <c r="J84" s="14">
        <v>0</v>
      </c>
      <c r="K84" s="14">
        <v>1.0304367564989014</v>
      </c>
      <c r="L84" s="14">
        <v>0.97046227601360424</v>
      </c>
      <c r="M84" s="14">
        <v>0.79626429746916227</v>
      </c>
      <c r="N84" s="14">
        <v>0.95010333335577535</v>
      </c>
      <c r="O84" s="14">
        <v>369.48568530872745</v>
      </c>
      <c r="P84" s="8">
        <v>0.95010333335577546</v>
      </c>
      <c r="Q84" s="54">
        <v>4.3473622395858828E-2</v>
      </c>
    </row>
    <row r="85" spans="1:17">
      <c r="A85" s="2" t="s">
        <v>448</v>
      </c>
      <c r="B85" s="16" t="s">
        <v>449</v>
      </c>
      <c r="D85" s="14">
        <v>1</v>
      </c>
      <c r="E85" s="14">
        <v>0.99443012031530276</v>
      </c>
      <c r="F85" s="14">
        <v>0.99807778268624181</v>
      </c>
      <c r="G85" s="14">
        <v>4.4604931416301003E-10</v>
      </c>
      <c r="H85" s="14">
        <v>4.796830673148908E-2</v>
      </c>
      <c r="I85" s="14">
        <v>0.19597991231813719</v>
      </c>
      <c r="J85" s="14">
        <v>0</v>
      </c>
      <c r="K85" s="14">
        <v>1.0019259193492762</v>
      </c>
      <c r="L85" s="14">
        <v>0.99807778268624192</v>
      </c>
      <c r="M85" s="14">
        <v>0.81892282069406153</v>
      </c>
      <c r="N85" s="14">
        <v>0.93305630369133241</v>
      </c>
      <c r="O85" s="14">
        <v>167.24101187363442</v>
      </c>
      <c r="P85" s="8">
        <v>0.93305630369133241</v>
      </c>
      <c r="Q85" s="54">
        <v>8.2150754979027352E-3</v>
      </c>
    </row>
    <row r="86" spans="1:17">
      <c r="A86" s="2" t="s">
        <v>450</v>
      </c>
      <c r="B86" s="16" t="s">
        <v>451</v>
      </c>
      <c r="D86" s="14">
        <v>1</v>
      </c>
      <c r="E86" s="14">
        <v>0.97305940065615371</v>
      </c>
      <c r="F86" s="14">
        <v>0.97140767931694505</v>
      </c>
      <c r="G86" s="14">
        <v>1.641723519908915E-10</v>
      </c>
      <c r="H86" s="14">
        <v>1.1462293703849751</v>
      </c>
      <c r="I86" s="14">
        <v>3.6993779460406118</v>
      </c>
      <c r="J86" s="14">
        <v>0</v>
      </c>
      <c r="K86" s="14">
        <v>1.0294339043141598</v>
      </c>
      <c r="L86" s="14">
        <v>0.97140767931694505</v>
      </c>
      <c r="M86" s="14">
        <v>0.79704000087955351</v>
      </c>
      <c r="N86" s="14">
        <v>0.94897457366460114</v>
      </c>
      <c r="O86" s="14">
        <v>247.76777143809068</v>
      </c>
      <c r="P86" s="8">
        <v>0.94897457366460114</v>
      </c>
      <c r="Q86" s="54">
        <v>4.2396372881180908E-2</v>
      </c>
    </row>
    <row r="87" spans="1:17">
      <c r="A87" s="2" t="s">
        <v>452</v>
      </c>
      <c r="B87" s="16" t="s">
        <v>453</v>
      </c>
      <c r="D87" s="14">
        <v>1</v>
      </c>
      <c r="E87" s="14">
        <v>0.95463183834169874</v>
      </c>
      <c r="F87" s="14">
        <v>5.51087123875363E-4</v>
      </c>
      <c r="G87" s="14">
        <v>5.6841921636955188E-10</v>
      </c>
      <c r="H87" s="14">
        <v>64.185992919878871</v>
      </c>
      <c r="I87" s="14">
        <v>1916.4497423330663</v>
      </c>
      <c r="J87" s="14">
        <v>0</v>
      </c>
      <c r="K87" s="14">
        <v>1814.5951096947888</v>
      </c>
      <c r="L87" s="14">
        <v>5.51087123875363E-4</v>
      </c>
      <c r="M87" s="14">
        <v>4.5216698513973535E-4</v>
      </c>
      <c r="N87" s="14">
        <v>24.511333873617275</v>
      </c>
      <c r="O87" s="14">
        <v>10204.068291586873</v>
      </c>
      <c r="P87" s="8">
        <v>24.511333873617279</v>
      </c>
      <c r="Q87" s="54">
        <v>5.4287199031361963E-2</v>
      </c>
    </row>
    <row r="88" spans="1:17">
      <c r="A88" s="2" t="s">
        <v>454</v>
      </c>
      <c r="B88" s="16" t="s">
        <v>455</v>
      </c>
      <c r="D88" s="14">
        <v>1</v>
      </c>
      <c r="E88" s="14">
        <v>0.86437102406909627</v>
      </c>
      <c r="F88" s="14">
        <v>0.71352268790915307</v>
      </c>
      <c r="G88" s="14">
        <v>5.2506887459706317E-7</v>
      </c>
      <c r="H88" s="14">
        <v>34.513403348192625</v>
      </c>
      <c r="I88" s="14">
        <v>84.731512279492947</v>
      </c>
      <c r="J88" s="14">
        <v>0</v>
      </c>
      <c r="K88" s="14">
        <v>1.4014971309886668</v>
      </c>
      <c r="L88" s="14">
        <v>0.71352268790915307</v>
      </c>
      <c r="M88" s="14">
        <v>0.58544536542946013</v>
      </c>
      <c r="N88" s="14">
        <v>1.6742814708009037</v>
      </c>
      <c r="O88" s="14">
        <v>320.23981692008886</v>
      </c>
      <c r="P88" s="8">
        <v>1.6742814708009037</v>
      </c>
      <c r="Q88" s="54">
        <v>0.21569742361062635</v>
      </c>
    </row>
    <row r="89" spans="1:17">
      <c r="A89" s="2" t="s">
        <v>456</v>
      </c>
      <c r="B89" s="16" t="s">
        <v>457</v>
      </c>
      <c r="D89" s="14">
        <v>1</v>
      </c>
      <c r="E89" s="14">
        <v>0.89122733309161351</v>
      </c>
      <c r="F89" s="14">
        <v>0.80316650773958753</v>
      </c>
      <c r="G89" s="14">
        <v>3.4678002826954905E-19</v>
      </c>
      <c r="H89" s="14">
        <v>20.278022004120984</v>
      </c>
      <c r="I89" s="14">
        <v>52.225518543418005</v>
      </c>
      <c r="J89" s="14">
        <v>0</v>
      </c>
      <c r="K89" s="14">
        <v>1.2450718379858441</v>
      </c>
      <c r="L89" s="14">
        <v>0.80316650773958753</v>
      </c>
      <c r="M89" s="14">
        <v>0.65899811960033161</v>
      </c>
      <c r="N89" s="14">
        <v>1.3682999660025967</v>
      </c>
      <c r="O89" s="14">
        <v>537.00300465737905</v>
      </c>
      <c r="P89" s="8">
        <v>1.3682999660025967</v>
      </c>
      <c r="Q89" s="54">
        <v>0.17301460307880268</v>
      </c>
    </row>
    <row r="90" spans="1:17">
      <c r="A90" s="2" t="s">
        <v>458</v>
      </c>
      <c r="B90" s="16" t="s">
        <v>459</v>
      </c>
      <c r="D90" s="14">
        <v>1</v>
      </c>
      <c r="E90" s="14">
        <v>0.94658303896717721</v>
      </c>
      <c r="F90" s="14">
        <v>0.9293788279058387</v>
      </c>
      <c r="G90" s="14">
        <v>5.0058895410012285E-31</v>
      </c>
      <c r="H90" s="14">
        <v>4.504564134419156</v>
      </c>
      <c r="I90" s="14">
        <v>13.10116587764816</v>
      </c>
      <c r="J90" s="14">
        <v>0</v>
      </c>
      <c r="K90" s="14">
        <v>1.0759874982877449</v>
      </c>
      <c r="L90" s="14">
        <v>0.92937882790583881</v>
      </c>
      <c r="M90" s="14">
        <v>0.76255532829674078</v>
      </c>
      <c r="N90" s="14">
        <v>1.0204853394359426</v>
      </c>
      <c r="O90" s="14">
        <v>796.93782097910503</v>
      </c>
      <c r="P90" s="8">
        <v>1.0204853394359426</v>
      </c>
      <c r="Q90" s="54">
        <v>8.470517526573719E-2</v>
      </c>
    </row>
    <row r="91" spans="1:17">
      <c r="A91" s="2" t="s">
        <v>460</v>
      </c>
      <c r="B91" s="16" t="s">
        <v>461</v>
      </c>
      <c r="D91" s="14">
        <v>1</v>
      </c>
      <c r="E91" s="14">
        <v>0.94159813085458699</v>
      </c>
      <c r="F91" s="14">
        <v>3.6388335975969287E-3</v>
      </c>
      <c r="G91" s="14">
        <v>5.99446851691027E-10</v>
      </c>
      <c r="H91" s="14">
        <v>162.11462495999888</v>
      </c>
      <c r="I91" s="14">
        <v>967.34049059638608</v>
      </c>
      <c r="J91" s="14">
        <v>0</v>
      </c>
      <c r="K91" s="14">
        <v>274.81333597128372</v>
      </c>
      <c r="L91" s="14">
        <v>3.6388335975969291E-3</v>
      </c>
      <c r="M91" s="14">
        <v>2.9856629668282802E-3</v>
      </c>
      <c r="N91" s="14">
        <v>12.153495805535819</v>
      </c>
      <c r="O91" s="14">
        <v>3723.8311148161742</v>
      </c>
      <c r="P91" s="8">
        <v>12.153495805535819</v>
      </c>
      <c r="Q91" s="54">
        <v>8.4368313293146632E-2</v>
      </c>
    </row>
    <row r="92" spans="1:17">
      <c r="A92" s="2" t="s">
        <v>462</v>
      </c>
      <c r="B92" s="16" t="s">
        <v>463</v>
      </c>
      <c r="D92" s="14">
        <v>1</v>
      </c>
      <c r="E92" s="14">
        <v>0.83725420479701607</v>
      </c>
      <c r="F92" s="14">
        <v>0.21686779181671087</v>
      </c>
      <c r="G92" s="14">
        <v>6.015940678076382E-11</v>
      </c>
      <c r="H92" s="14">
        <v>144.90222608059085</v>
      </c>
      <c r="I92" s="14">
        <v>293.17857404729614</v>
      </c>
      <c r="J92" s="14">
        <v>0</v>
      </c>
      <c r="K92" s="14">
        <v>4.6111042659813917</v>
      </c>
      <c r="L92" s="14">
        <v>0.2168677918167109</v>
      </c>
      <c r="M92" s="14">
        <v>0.17794002318561128</v>
      </c>
      <c r="N92" s="14">
        <v>3.7518084730211365</v>
      </c>
      <c r="O92" s="14">
        <v>1263.6841298829791</v>
      </c>
      <c r="P92" s="8">
        <v>3.7518084730211365</v>
      </c>
      <c r="Q92" s="54">
        <v>0.25759191526039826</v>
      </c>
    </row>
    <row r="93" spans="1:17">
      <c r="A93" s="2" t="s">
        <v>464</v>
      </c>
      <c r="B93" s="16" t="s">
        <v>465</v>
      </c>
      <c r="D93" s="14">
        <v>1</v>
      </c>
      <c r="E93" s="14">
        <v>0.90759497314880155</v>
      </c>
      <c r="F93" s="14">
        <v>4.3937928367428075E-2</v>
      </c>
      <c r="G93" s="14">
        <v>2.4582614131619738E-6</v>
      </c>
      <c r="H93" s="14">
        <v>206.44272188870769</v>
      </c>
      <c r="I93" s="14">
        <v>361.79015712655735</v>
      </c>
      <c r="J93" s="14">
        <v>0</v>
      </c>
      <c r="K93" s="14">
        <v>22.759379815032808</v>
      </c>
      <c r="L93" s="14">
        <v>4.3937928367428075E-2</v>
      </c>
      <c r="M93" s="14">
        <v>3.6051070225474734E-2</v>
      </c>
      <c r="N93" s="14">
        <v>4.4763453268297377</v>
      </c>
      <c r="O93" s="14">
        <v>2081.9034480552423</v>
      </c>
      <c r="P93" s="8">
        <v>4.4763453268297377</v>
      </c>
      <c r="Q93" s="54">
        <v>0.14423037983961035</v>
      </c>
    </row>
    <row r="94" spans="1:17">
      <c r="A94" s="2" t="s">
        <v>466</v>
      </c>
      <c r="B94" s="16" t="s">
        <v>467</v>
      </c>
      <c r="D94" s="14">
        <v>1</v>
      </c>
      <c r="E94" s="14">
        <v>0.99951783128373917</v>
      </c>
      <c r="F94" s="14">
        <v>0.89797992072660981</v>
      </c>
      <c r="G94" s="14">
        <v>2.0375254612491055E-20</v>
      </c>
      <c r="H94" s="14">
        <v>29.850157415763256</v>
      </c>
      <c r="I94" s="14">
        <v>3.6320074917230362E-2</v>
      </c>
      <c r="J94" s="14">
        <v>0</v>
      </c>
      <c r="K94" s="14">
        <v>1.1136106464283071</v>
      </c>
      <c r="L94" s="14">
        <v>0.89797992072660981</v>
      </c>
      <c r="M94" s="14">
        <v>0.7367925249561833</v>
      </c>
      <c r="N94" s="14">
        <v>0.8890669101203329</v>
      </c>
      <c r="O94" s="14">
        <v>294.04998985319889</v>
      </c>
      <c r="P94" s="8">
        <v>0.8890669101203329</v>
      </c>
      <c r="Q94" s="54">
        <v>1.0763331979397681E-4</v>
      </c>
    </row>
    <row r="95" spans="1:17">
      <c r="A95" s="2" t="s">
        <v>468</v>
      </c>
      <c r="B95" s="16" t="s">
        <v>469</v>
      </c>
      <c r="D95" s="14">
        <v>1</v>
      </c>
      <c r="E95" s="14">
        <v>0.9451510507249945</v>
      </c>
      <c r="F95" s="14">
        <v>8.4830279194032989E-3</v>
      </c>
      <c r="G95" s="14">
        <v>2.4064640825655552E-20</v>
      </c>
      <c r="H95" s="14">
        <v>213.42775509948541</v>
      </c>
      <c r="I95" s="14">
        <v>488.88652499895403</v>
      </c>
      <c r="J95" s="14">
        <v>0</v>
      </c>
      <c r="K95" s="14">
        <v>117.88243649566351</v>
      </c>
      <c r="L95" s="14">
        <v>8.4830279194032989E-3</v>
      </c>
      <c r="M95" s="14">
        <v>6.9603244078704071E-3</v>
      </c>
      <c r="N95" s="14">
        <v>6.0831469062695396</v>
      </c>
      <c r="O95" s="14">
        <v>3005.0745716971524</v>
      </c>
      <c r="P95" s="8">
        <v>6.0831469062695396</v>
      </c>
      <c r="Q95" s="54">
        <v>8.3216235816661169E-2</v>
      </c>
    </row>
    <row r="96" spans="1:17">
      <c r="A96" s="2" t="s">
        <v>470</v>
      </c>
      <c r="B96" s="164">
        <v>354656</v>
      </c>
      <c r="D96" s="14">
        <v>1</v>
      </c>
      <c r="E96" s="14">
        <v>0.9866440180228</v>
      </c>
      <c r="F96" s="14">
        <v>0.98911358097473467</v>
      </c>
      <c r="G96" s="14">
        <v>4.1663394664446053E-12</v>
      </c>
      <c r="H96" s="14">
        <v>0.28413593633537215</v>
      </c>
      <c r="I96" s="14">
        <v>1.0176146150916314</v>
      </c>
      <c r="J96" s="14">
        <v>0</v>
      </c>
      <c r="K96" s="14">
        <v>1.0110062375390065</v>
      </c>
      <c r="L96" s="14">
        <v>0.98911358097473479</v>
      </c>
      <c r="M96" s="14">
        <v>0.81156769318976985</v>
      </c>
      <c r="N96" s="14">
        <v>0.93419295713784167</v>
      </c>
      <c r="O96" s="14">
        <v>184.21350921801098</v>
      </c>
      <c r="P96" s="8">
        <v>0.93419295713784167</v>
      </c>
      <c r="Q96" s="54">
        <v>2.06720399555602E-2</v>
      </c>
    </row>
    <row r="97" spans="1:17">
      <c r="A97" s="2" t="s">
        <v>472</v>
      </c>
      <c r="B97" s="16" t="s">
        <v>473</v>
      </c>
      <c r="D97" s="14">
        <v>1</v>
      </c>
      <c r="E97" s="14">
        <v>0.97204262157522292</v>
      </c>
      <c r="F97" s="14">
        <v>0.96997859981113721</v>
      </c>
      <c r="G97" s="14">
        <v>6.5289093754524512E-12</v>
      </c>
      <c r="H97" s="14">
        <v>1.2337073517506125</v>
      </c>
      <c r="I97" s="14">
        <v>3.9597641873423464</v>
      </c>
      <c r="J97" s="14">
        <v>0</v>
      </c>
      <c r="K97" s="14">
        <v>1.0309505799351741</v>
      </c>
      <c r="L97" s="14">
        <v>0.96997859981113721</v>
      </c>
      <c r="M97" s="14">
        <v>0.79586744114503805</v>
      </c>
      <c r="N97" s="14">
        <v>0.95069190025021988</v>
      </c>
      <c r="O97" s="14">
        <v>152.28182858208024</v>
      </c>
      <c r="P97" s="8">
        <v>0.95069190025021999</v>
      </c>
      <c r="Q97" s="54">
        <v>4.4021954796218891E-2</v>
      </c>
    </row>
    <row r="98" spans="1:17">
      <c r="A98" s="2" t="s">
        <v>474</v>
      </c>
      <c r="B98" s="16" t="s">
        <v>475</v>
      </c>
      <c r="D98" s="14">
        <v>1</v>
      </c>
      <c r="E98" s="14">
        <v>0.93381263037132933</v>
      </c>
      <c r="F98" s="14">
        <v>2.0056546035478341E-2</v>
      </c>
      <c r="G98" s="14">
        <v>5.6504707664608966E-22</v>
      </c>
      <c r="H98" s="14">
        <v>220.52414385929609</v>
      </c>
      <c r="I98" s="14">
        <v>363.00559215886392</v>
      </c>
      <c r="J98" s="14">
        <v>0</v>
      </c>
      <c r="K98" s="14">
        <v>49.859033466235118</v>
      </c>
      <c r="L98" s="14">
        <v>2.0056546035478344E-2</v>
      </c>
      <c r="M98" s="14">
        <v>1.6456396022109982E-2</v>
      </c>
      <c r="N98" s="14">
        <v>4.4933954446518873</v>
      </c>
      <c r="O98" s="14">
        <v>2387.9251411513524</v>
      </c>
      <c r="P98" s="8">
        <v>4.4933954446518882</v>
      </c>
      <c r="Q98" s="54">
        <v>0.10254472280719952</v>
      </c>
    </row>
    <row r="99" spans="1:17">
      <c r="A99" s="2" t="s">
        <v>476</v>
      </c>
      <c r="B99" s="16" t="s">
        <v>477</v>
      </c>
      <c r="D99" s="14">
        <v>1</v>
      </c>
      <c r="E99" s="14">
        <v>0.99601665748722235</v>
      </c>
      <c r="F99" s="14">
        <v>0.99979280286897565</v>
      </c>
      <c r="G99" s="14">
        <v>1.942757050724132E-9</v>
      </c>
      <c r="H99" s="14">
        <v>2.3560798556907396E-2</v>
      </c>
      <c r="I99" s="14">
        <v>0.10144886133832343</v>
      </c>
      <c r="J99" s="14">
        <v>0</v>
      </c>
      <c r="K99" s="14">
        <v>1.0002072400705724</v>
      </c>
      <c r="L99" s="14">
        <v>0.99979280286897565</v>
      </c>
      <c r="M99" s="14">
        <v>0.8203299947539946</v>
      </c>
      <c r="N99" s="14">
        <v>0.93357298304136116</v>
      </c>
      <c r="O99" s="14">
        <v>120.5802864896222</v>
      </c>
      <c r="P99" s="8">
        <v>0.93357298304136116</v>
      </c>
      <c r="Q99" s="54">
        <v>5.6760626043165629E-3</v>
      </c>
    </row>
    <row r="100" spans="1:17">
      <c r="A100" s="2" t="s">
        <v>478</v>
      </c>
      <c r="B100" s="16" t="s">
        <v>479</v>
      </c>
      <c r="D100" s="14">
        <v>1</v>
      </c>
      <c r="E100" s="14">
        <v>0.82867723251663372</v>
      </c>
      <c r="F100" s="14">
        <v>0.5075967588672976</v>
      </c>
      <c r="G100" s="14">
        <v>6.9978934888966504E-13</v>
      </c>
      <c r="H100" s="14">
        <v>73.780032186617305</v>
      </c>
      <c r="I100" s="14">
        <v>167.03058844397373</v>
      </c>
      <c r="J100" s="14">
        <v>0</v>
      </c>
      <c r="K100" s="14">
        <v>1.9700677408411758</v>
      </c>
      <c r="L100" s="14">
        <v>0.5075967588672976</v>
      </c>
      <c r="M100" s="14">
        <v>0.4164831406506177</v>
      </c>
      <c r="N100" s="14">
        <v>2.4760684858483977</v>
      </c>
      <c r="O100" s="14">
        <v>742.32533205734967</v>
      </c>
      <c r="P100" s="8">
        <v>2.4760684858483977</v>
      </c>
      <c r="Q100" s="54">
        <v>0.27226763009224242</v>
      </c>
    </row>
    <row r="101" spans="1:17">
      <c r="A101" s="2" t="s">
        <v>480</v>
      </c>
      <c r="B101" s="16" t="s">
        <v>481</v>
      </c>
      <c r="D101" s="14">
        <v>1</v>
      </c>
      <c r="E101" s="14">
        <v>0.9936054649497813</v>
      </c>
      <c r="F101" s="14">
        <v>0.99717092093149395</v>
      </c>
      <c r="G101" s="14">
        <v>5.244186075010089E-13</v>
      </c>
      <c r="H101" s="14">
        <v>6.3892459347200961E-2</v>
      </c>
      <c r="I101" s="14">
        <v>0.25556817757746864</v>
      </c>
      <c r="J101" s="14">
        <v>0</v>
      </c>
      <c r="K101" s="14">
        <v>1.00283710546419</v>
      </c>
      <c r="L101" s="14">
        <v>0.99717092093149395</v>
      </c>
      <c r="M101" s="14">
        <v>0.81817874062429086</v>
      </c>
      <c r="N101" s="14">
        <v>0.93289508168933422</v>
      </c>
      <c r="O101" s="14">
        <v>222.17829265513183</v>
      </c>
      <c r="P101" s="8">
        <v>0.93289508168933422</v>
      </c>
      <c r="Q101" s="54">
        <v>9.5346943606205003E-3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0.99805964053329155</v>
      </c>
      <c r="F102" s="14">
        <v>1.0019412850412952</v>
      </c>
      <c r="G102" s="14">
        <v>3.2763535471792703E-29</v>
      </c>
      <c r="H102" s="14">
        <v>4.5327552762068112E-3</v>
      </c>
      <c r="I102" s="14">
        <v>2.2040398519665598E-2</v>
      </c>
      <c r="J102" s="14">
        <v>0</v>
      </c>
      <c r="K102" s="14">
        <v>0.99806247624458833</v>
      </c>
      <c r="L102" s="14">
        <v>1.0019412850412952</v>
      </c>
      <c r="M102" s="14">
        <v>0.82209282437638276</v>
      </c>
      <c r="N102" s="14">
        <v>0.9346728809296827</v>
      </c>
      <c r="O102" s="14">
        <v>430.3514345664538</v>
      </c>
      <c r="P102" s="8">
        <v>0.93467288092968281</v>
      </c>
      <c r="Q102" s="54">
        <v>2.4066860623060517E-3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0.99613007708554036</v>
      </c>
      <c r="F103" s="14">
        <v>0.99991387328164816</v>
      </c>
      <c r="G103" s="14">
        <v>2.6201193936943857E-15</v>
      </c>
      <c r="H103" s="14">
        <v>2.2135666041711726E-2</v>
      </c>
      <c r="I103" s="14">
        <v>9.5752421295380266E-2</v>
      </c>
      <c r="J103" s="14">
        <v>0</v>
      </c>
      <c r="K103" s="14">
        <v>1.0000861341368024</v>
      </c>
      <c r="L103" s="14">
        <v>0.99991387328164827</v>
      </c>
      <c r="M103" s="14">
        <v>0.82042933302759236</v>
      </c>
      <c r="N103" s="14">
        <v>0.93362082044244743</v>
      </c>
      <c r="O103" s="14">
        <v>191.62567339581233</v>
      </c>
      <c r="P103" s="8">
        <v>0.93362082044244743</v>
      </c>
      <c r="Q103" s="54">
        <v>5.4947731169112573E-3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0.97986939858047295</v>
      </c>
      <c r="F104" s="14">
        <v>0.98060678580090621</v>
      </c>
      <c r="G104" s="14">
        <v>3.2959710005804006E-11</v>
      </c>
      <c r="H104" s="14">
        <v>0.64291697737825637</v>
      </c>
      <c r="I104" s="14">
        <v>2.1667662634875304</v>
      </c>
      <c r="J104" s="14">
        <v>0</v>
      </c>
      <c r="K104" s="14">
        <v>1.0197767489272007</v>
      </c>
      <c r="L104" s="14">
        <v>0.98060678580090621</v>
      </c>
      <c r="M104" s="14">
        <v>0.80458786774964364</v>
      </c>
      <c r="N104" s="14">
        <v>0.93963611405627168</v>
      </c>
      <c r="O104" s="14">
        <v>142.03539500074604</v>
      </c>
      <c r="P104" s="8">
        <v>0.93963611405627168</v>
      </c>
      <c r="Q104" s="54">
        <v>3.1507363614594081E-2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0.99775921288230285</v>
      </c>
      <c r="F105" s="14">
        <v>1.0016297601121831</v>
      </c>
      <c r="G105" s="14">
        <v>2.6067279427006024E-18</v>
      </c>
      <c r="H105" s="14">
        <v>6.4308328221535822E-3</v>
      </c>
      <c r="I105" s="14">
        <v>3.0473644051669371E-2</v>
      </c>
      <c r="J105" s="14">
        <v>0</v>
      </c>
      <c r="K105" s="14">
        <v>0.99837289168404841</v>
      </c>
      <c r="L105" s="14">
        <v>1.0016297601121831</v>
      </c>
      <c r="M105" s="14">
        <v>0.82183721817204614</v>
      </c>
      <c r="N105" s="14">
        <v>0.93447783165333753</v>
      </c>
      <c r="O105" s="14">
        <v>317.12439694987665</v>
      </c>
      <c r="P105" s="8">
        <v>0.93447783165333753</v>
      </c>
      <c r="Q105" s="54">
        <v>2.8875159406806352E-3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0.93272846161099399</v>
      </c>
      <c r="F106" s="14">
        <v>0.90316401856388762</v>
      </c>
      <c r="G106" s="14">
        <v>1.5426063506713695E-10</v>
      </c>
      <c r="H106" s="14">
        <v>7.2181620398050184</v>
      </c>
      <c r="I106" s="14">
        <v>20.234095621646873</v>
      </c>
      <c r="J106" s="14">
        <v>0</v>
      </c>
      <c r="K106" s="14">
        <v>1.1072185997733726</v>
      </c>
      <c r="L106" s="14">
        <v>0.90316401856388773</v>
      </c>
      <c r="M106" s="14">
        <v>0.74104607723166982</v>
      </c>
      <c r="N106" s="14">
        <v>1.0804872960500078</v>
      </c>
      <c r="O106" s="14">
        <v>207.59402419008802</v>
      </c>
      <c r="P106" s="8">
        <v>1.080487296050008</v>
      </c>
      <c r="Q106" s="54">
        <v>0.10682768029750142</v>
      </c>
    </row>
    <row r="107" spans="1:17">
      <c r="A107" s="2" t="s">
        <v>492</v>
      </c>
      <c r="B107" s="16" t="s">
        <v>493</v>
      </c>
      <c r="D107" s="14">
        <v>1</v>
      </c>
      <c r="E107" s="14">
        <v>0.94204995037654171</v>
      </c>
      <c r="F107" s="14">
        <v>1.4757285065753491E-2</v>
      </c>
      <c r="G107" s="14">
        <v>2.6279370284275312E-18</v>
      </c>
      <c r="H107" s="14">
        <v>224.58795807240321</v>
      </c>
      <c r="I107" s="14">
        <v>360.94716691827637</v>
      </c>
      <c r="J107" s="14">
        <v>0</v>
      </c>
      <c r="K107" s="14">
        <v>67.763141766546951</v>
      </c>
      <c r="L107" s="14">
        <v>1.4757285065753491E-2</v>
      </c>
      <c r="M107" s="14">
        <v>1.210835239645074E-2</v>
      </c>
      <c r="N107" s="14">
        <v>4.4724146022777385</v>
      </c>
      <c r="O107" s="14">
        <v>2033.1596781954602</v>
      </c>
      <c r="P107" s="8">
        <v>4.4724146022777385</v>
      </c>
      <c r="Q107" s="54">
        <v>8.9380676494498809E-2</v>
      </c>
    </row>
    <row r="108" spans="1:17">
      <c r="A108" s="2" t="s">
        <v>291</v>
      </c>
      <c r="B108" s="16" t="s">
        <v>494</v>
      </c>
      <c r="D108" s="14">
        <v>1</v>
      </c>
      <c r="E108" s="14">
        <v>0.83732618131926428</v>
      </c>
      <c r="F108" s="14">
        <v>0.57871833371647552</v>
      </c>
      <c r="G108" s="14">
        <v>3.990944870699702E-12</v>
      </c>
      <c r="H108" s="14">
        <v>59.271680530688556</v>
      </c>
      <c r="I108" s="14">
        <v>137.69063783098537</v>
      </c>
      <c r="J108" s="14">
        <v>0</v>
      </c>
      <c r="K108" s="14">
        <v>1.7279563161203009</v>
      </c>
      <c r="L108" s="14">
        <v>0.57871833371647552</v>
      </c>
      <c r="M108" s="14">
        <v>0.47483839281436818</v>
      </c>
      <c r="N108" s="14">
        <v>2.1869413309038022</v>
      </c>
      <c r="O108" s="14">
        <v>674.29962055756937</v>
      </c>
      <c r="P108" s="8">
        <v>2.1869413309038026</v>
      </c>
      <c r="Q108" s="54">
        <v>0.25864519324844992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7.8724289105996901E-5</v>
      </c>
      <c r="E2" s="20">
        <v>0.91524686904516583</v>
      </c>
      <c r="F2" s="20">
        <v>4.1145982011949536E-2</v>
      </c>
      <c r="G2" s="20">
        <v>1.1984584649483682E-2</v>
      </c>
      <c r="H2" s="20">
        <v>0</v>
      </c>
      <c r="I2" s="20">
        <v>0.8621163023837326</v>
      </c>
      <c r="J2" s="20">
        <v>5.5050481967374896E-4</v>
      </c>
      <c r="K2" s="20">
        <v>8.4123901846054283E-2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2.9399644732680153E-3</v>
      </c>
      <c r="E3" s="20">
        <v>0.94972186595674324</v>
      </c>
      <c r="F3" s="20">
        <v>0.25583547598752326</v>
      </c>
      <c r="G3" s="20">
        <v>0.69319643746959436</v>
      </c>
      <c r="H3" s="20">
        <v>0</v>
      </c>
      <c r="I3" s="20">
        <v>6.8995249962560692E-4</v>
      </c>
      <c r="J3" s="20">
        <v>1.0866743683854044E-2</v>
      </c>
      <c r="K3" s="20">
        <v>3.6471425886134667E-2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4.2533051986277977E-12</v>
      </c>
      <c r="E4" s="20">
        <v>0.82399377661821727</v>
      </c>
      <c r="F4" s="20">
        <v>0.31141908993701722</v>
      </c>
      <c r="G4" s="20">
        <v>7.4343120542851013E-2</v>
      </c>
      <c r="H4" s="20">
        <v>0</v>
      </c>
      <c r="I4" s="20">
        <v>0.43823156613834907</v>
      </c>
      <c r="J4" s="20">
        <v>1.2884013371634402E-3</v>
      </c>
      <c r="K4" s="20">
        <v>0.17471782204036598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1.0023779755540149E-4</v>
      </c>
      <c r="E5" s="20">
        <v>0.94392381994280172</v>
      </c>
      <c r="F5" s="20">
        <v>0.72585554690063736</v>
      </c>
      <c r="G5" s="20">
        <v>0.21064238109359892</v>
      </c>
      <c r="H5" s="20">
        <v>0</v>
      </c>
      <c r="I5" s="20">
        <v>7.4258919485654575E-3</v>
      </c>
      <c r="J5" s="20">
        <v>3.2235479428871323E-3</v>
      </c>
      <c r="K5" s="20">
        <v>5.275239431675563E-2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9.5281375885879424E-6</v>
      </c>
      <c r="E6" s="20">
        <v>0.95972732389944948</v>
      </c>
      <c r="F6" s="20">
        <v>0.16230305858968755</v>
      </c>
      <c r="G6" s="20">
        <v>0.79711734535195489</v>
      </c>
      <c r="H6" s="20">
        <v>0</v>
      </c>
      <c r="I6" s="20">
        <v>3.0691995780702494E-4</v>
      </c>
      <c r="J6" s="20">
        <v>1.2579795622475522E-2</v>
      </c>
      <c r="K6" s="20">
        <v>2.7683352340486488E-2</v>
      </c>
      <c r="L6" s="20">
        <v>0</v>
      </c>
    </row>
    <row r="7" spans="1:14">
      <c r="A7" s="2" t="s">
        <v>321</v>
      </c>
      <c r="B7" s="3" t="s">
        <v>322</v>
      </c>
      <c r="D7" s="20">
        <v>1.4125312151968869E-5</v>
      </c>
      <c r="E7" s="20">
        <v>0.95355858663239623</v>
      </c>
      <c r="F7" s="20">
        <v>0.24088887217043359</v>
      </c>
      <c r="G7" s="20">
        <v>0.71205295593295526</v>
      </c>
      <c r="H7" s="20">
        <v>0</v>
      </c>
      <c r="I7" s="20">
        <v>6.167585290073656E-4</v>
      </c>
      <c r="J7" s="20">
        <v>1.1173262549399482E-2</v>
      </c>
      <c r="K7" s="20">
        <v>3.525402550605243E-2</v>
      </c>
      <c r="L7" s="20">
        <v>0</v>
      </c>
    </row>
    <row r="8" spans="1:14">
      <c r="A8" s="2" t="s">
        <v>323</v>
      </c>
      <c r="B8" s="3" t="s">
        <v>324</v>
      </c>
      <c r="D8" s="20">
        <v>1.3425576998802021E-4</v>
      </c>
      <c r="E8" s="20">
        <v>0.94635187830323908</v>
      </c>
      <c r="F8" s="20">
        <v>0.36893651749963191</v>
      </c>
      <c r="G8" s="20">
        <v>0.57603278144198633</v>
      </c>
      <c r="H8" s="20">
        <v>0</v>
      </c>
      <c r="I8" s="20">
        <v>1.382579361620861E-3</v>
      </c>
      <c r="J8" s="20">
        <v>8.9745420383344193E-3</v>
      </c>
      <c r="K8" s="20">
        <v>4.453932388843853E-2</v>
      </c>
      <c r="L8" s="20">
        <v>0</v>
      </c>
    </row>
    <row r="9" spans="1:14">
      <c r="A9" s="2" t="s">
        <v>325</v>
      </c>
      <c r="B9" s="3" t="s">
        <v>326</v>
      </c>
      <c r="D9" s="20">
        <v>9.0627001488662924E-5</v>
      </c>
      <c r="E9" s="20">
        <v>0.88959614972624623</v>
      </c>
      <c r="F9" s="20">
        <v>0.68655651920878347</v>
      </c>
      <c r="G9" s="20">
        <v>0.13482544138173325</v>
      </c>
      <c r="H9" s="20">
        <v>0</v>
      </c>
      <c r="I9" s="20">
        <v>6.8214189135729492E-2</v>
      </c>
      <c r="J9" s="20">
        <v>2.0531612777235312E-3</v>
      </c>
      <c r="K9" s="20">
        <v>0.10826006199454169</v>
      </c>
      <c r="L9" s="20">
        <v>0</v>
      </c>
    </row>
    <row r="10" spans="1:14">
      <c r="A10" s="2" t="s">
        <v>275</v>
      </c>
      <c r="B10" s="3" t="s">
        <v>276</v>
      </c>
      <c r="D10" s="20">
        <v>1.288456349038728E-6</v>
      </c>
      <c r="E10" s="20">
        <v>0.94347554076045459</v>
      </c>
      <c r="F10" s="20">
        <v>0.71135828536186896</v>
      </c>
      <c r="G10" s="20">
        <v>0.22520807042412735</v>
      </c>
      <c r="H10" s="20">
        <v>0</v>
      </c>
      <c r="I10" s="20">
        <v>6.909184974458301E-3</v>
      </c>
      <c r="J10" s="20">
        <v>3.4493479588587786E-3</v>
      </c>
      <c r="K10" s="20">
        <v>5.3073822824337653E-2</v>
      </c>
      <c r="L10" s="20">
        <v>0</v>
      </c>
    </row>
    <row r="11" spans="1:14">
      <c r="A11" s="2" t="s">
        <v>327</v>
      </c>
      <c r="B11" s="3" t="s">
        <v>328</v>
      </c>
      <c r="D11" s="20">
        <v>6.7150920149943171E-5</v>
      </c>
      <c r="E11" s="20">
        <v>0.94264435818061731</v>
      </c>
      <c r="F11" s="20">
        <v>0.68559975287771779</v>
      </c>
      <c r="G11" s="20">
        <v>0.25093787025049508</v>
      </c>
      <c r="H11" s="20">
        <v>0</v>
      </c>
      <c r="I11" s="20">
        <v>6.1067350524044561E-3</v>
      </c>
      <c r="J11" s="20">
        <v>3.8489610710253572E-3</v>
      </c>
      <c r="K11" s="20">
        <v>5.3439529828207245E-2</v>
      </c>
      <c r="L11" s="20">
        <v>0</v>
      </c>
    </row>
    <row r="12" spans="1:14">
      <c r="A12" s="2" t="s">
        <v>329</v>
      </c>
      <c r="B12" s="3" t="s">
        <v>330</v>
      </c>
      <c r="D12" s="20">
        <v>4.6347799847225245E-5</v>
      </c>
      <c r="E12" s="20">
        <v>0.90856573887792058</v>
      </c>
      <c r="F12" s="20">
        <v>0.72819519198354021</v>
      </c>
      <c r="G12" s="20">
        <v>0.1375762167508327</v>
      </c>
      <c r="H12" s="20">
        <v>0</v>
      </c>
      <c r="I12" s="20">
        <v>4.2794330143547658E-2</v>
      </c>
      <c r="J12" s="20">
        <v>2.0903140524100839E-3</v>
      </c>
      <c r="K12" s="20">
        <v>8.9297599269822114E-2</v>
      </c>
      <c r="L12" s="20">
        <v>0</v>
      </c>
    </row>
    <row r="13" spans="1:14">
      <c r="A13" s="2" t="s">
        <v>277</v>
      </c>
      <c r="B13" s="3" t="s">
        <v>278</v>
      </c>
      <c r="D13" s="20">
        <v>1.407413201598804E-4</v>
      </c>
      <c r="E13" s="20">
        <v>0.89142807452903428</v>
      </c>
      <c r="F13" s="20">
        <v>0.69093995080220405</v>
      </c>
      <c r="G13" s="20">
        <v>0.13518728936152968</v>
      </c>
      <c r="H13" s="20">
        <v>0</v>
      </c>
      <c r="I13" s="20">
        <v>6.5300834365300528E-2</v>
      </c>
      <c r="J13" s="20">
        <v>2.0579702851481522E-3</v>
      </c>
      <c r="K13" s="20">
        <v>0.10637321386565765</v>
      </c>
      <c r="L13" s="20">
        <v>0</v>
      </c>
    </row>
    <row r="14" spans="1:14">
      <c r="A14" s="2" t="s">
        <v>331</v>
      </c>
      <c r="B14" s="3" t="s">
        <v>332</v>
      </c>
      <c r="D14" s="20">
        <v>4.4799321476781267E-5</v>
      </c>
      <c r="E14" s="20">
        <v>0.94151597042500057</v>
      </c>
      <c r="F14" s="20">
        <v>0.59564859348023269</v>
      </c>
      <c r="G14" s="20">
        <v>0.34181071753803138</v>
      </c>
      <c r="H14" s="20">
        <v>0</v>
      </c>
      <c r="I14" s="20">
        <v>4.0566594067365114E-3</v>
      </c>
      <c r="J14" s="20">
        <v>5.2673403660563282E-3</v>
      </c>
      <c r="K14" s="20">
        <v>5.3171889887466343E-2</v>
      </c>
      <c r="L14" s="20">
        <v>0</v>
      </c>
    </row>
    <row r="15" spans="1:14">
      <c r="A15" s="2" t="s">
        <v>333</v>
      </c>
      <c r="B15" s="3" t="s">
        <v>334</v>
      </c>
      <c r="D15" s="20">
        <v>7.3077935110393622E-8</v>
      </c>
      <c r="E15" s="20">
        <v>0.94307036137395295</v>
      </c>
      <c r="F15" s="20">
        <v>0.69872285922884536</v>
      </c>
      <c r="G15" s="20">
        <v>0.23784854942596306</v>
      </c>
      <c r="H15" s="20">
        <v>0</v>
      </c>
      <c r="I15" s="20">
        <v>6.4989527191445431E-3</v>
      </c>
      <c r="J15" s="20">
        <v>3.6455522708247132E-3</v>
      </c>
      <c r="K15" s="20">
        <v>5.3284013277287212E-2</v>
      </c>
      <c r="L15" s="20">
        <v>0</v>
      </c>
    </row>
    <row r="16" spans="1:14">
      <c r="A16" s="2" t="s">
        <v>335</v>
      </c>
      <c r="B16" s="3" t="s">
        <v>336</v>
      </c>
      <c r="D16" s="20">
        <v>3.4892280506366156E-4</v>
      </c>
      <c r="E16" s="20">
        <v>0.94587660203413426</v>
      </c>
      <c r="F16" s="20">
        <v>0.37527362252820767</v>
      </c>
      <c r="G16" s="20">
        <v>0.56917208879216219</v>
      </c>
      <c r="H16" s="20">
        <v>0</v>
      </c>
      <c r="I16" s="20">
        <v>1.4308907137644232E-3</v>
      </c>
      <c r="J16" s="20">
        <v>8.8647894660630749E-3</v>
      </c>
      <c r="K16" s="20">
        <v>4.4909685694738868E-2</v>
      </c>
      <c r="L16" s="20">
        <v>0</v>
      </c>
    </row>
    <row r="17" spans="1:12">
      <c r="A17" s="2" t="s">
        <v>337</v>
      </c>
      <c r="B17" s="3" t="s">
        <v>338</v>
      </c>
      <c r="D17" s="20">
        <v>2.5750907110767549E-5</v>
      </c>
      <c r="E17" s="20">
        <v>0.9438072585151196</v>
      </c>
      <c r="F17" s="20">
        <v>0.72112610355511653</v>
      </c>
      <c r="G17" s="20">
        <v>0.21543029291605584</v>
      </c>
      <c r="H17" s="20">
        <v>0</v>
      </c>
      <c r="I17" s="20">
        <v>7.2508620439472732E-3</v>
      </c>
      <c r="J17" s="20">
        <v>3.2977353306831414E-3</v>
      </c>
      <c r="K17" s="20">
        <v>5.2869255247086383E-2</v>
      </c>
      <c r="L17" s="20">
        <v>0</v>
      </c>
    </row>
    <row r="18" spans="1:12">
      <c r="A18" s="2" t="s">
        <v>279</v>
      </c>
      <c r="B18" s="3" t="s">
        <v>280</v>
      </c>
      <c r="D18" s="20">
        <v>2.7522759446755784E-3</v>
      </c>
      <c r="E18" s="20">
        <v>0.87867868884271882</v>
      </c>
      <c r="F18" s="20">
        <v>0.66360654185420187</v>
      </c>
      <c r="G18" s="20">
        <v>0.13249705154558747</v>
      </c>
      <c r="H18" s="20">
        <v>0</v>
      </c>
      <c r="I18" s="20">
        <v>8.2575095442929528E-2</v>
      </c>
      <c r="J18" s="20">
        <v>2.0216230657886672E-3</v>
      </c>
      <c r="K18" s="20">
        <v>0.11654741214681688</v>
      </c>
      <c r="L18" s="20">
        <v>0</v>
      </c>
    </row>
    <row r="19" spans="1:12">
      <c r="A19" s="2" t="s">
        <v>339</v>
      </c>
      <c r="B19" s="3" t="s">
        <v>340</v>
      </c>
      <c r="D19" s="20">
        <v>2.561411179165573E-7</v>
      </c>
      <c r="E19" s="20">
        <v>0.94299407510868871</v>
      </c>
      <c r="F19" s="20">
        <v>0.69614223777109774</v>
      </c>
      <c r="G19" s="20">
        <v>0.2404327037969069</v>
      </c>
      <c r="H19" s="20">
        <v>0</v>
      </c>
      <c r="I19" s="20">
        <v>6.41913354068407E-3</v>
      </c>
      <c r="J19" s="20">
        <v>3.6856908097790322E-3</v>
      </c>
      <c r="K19" s="20">
        <v>5.331997794041423E-2</v>
      </c>
      <c r="L19" s="20">
        <v>0</v>
      </c>
    </row>
    <row r="20" spans="1:12">
      <c r="A20" s="2" t="s">
        <v>281</v>
      </c>
      <c r="B20" s="3" t="s">
        <v>282</v>
      </c>
      <c r="D20" s="20">
        <v>2.1304605431067972E-5</v>
      </c>
      <c r="E20" s="20">
        <v>0.89153455875640386</v>
      </c>
      <c r="F20" s="20">
        <v>0.69102248601611782</v>
      </c>
      <c r="G20" s="20">
        <v>0.13520343796001921</v>
      </c>
      <c r="H20" s="20">
        <v>0</v>
      </c>
      <c r="I20" s="20">
        <v>6.5308634780266883E-2</v>
      </c>
      <c r="J20" s="20">
        <v>2.0582161169567137E-3</v>
      </c>
      <c r="K20" s="20">
        <v>0.10638592052120843</v>
      </c>
      <c r="L20" s="20">
        <v>0</v>
      </c>
    </row>
    <row r="21" spans="1:12">
      <c r="A21" s="2" t="s">
        <v>341</v>
      </c>
      <c r="B21" s="3" t="s">
        <v>342</v>
      </c>
      <c r="D21" s="20">
        <v>3.7503055805851248E-4</v>
      </c>
      <c r="E21" s="20">
        <v>0.94133080342838427</v>
      </c>
      <c r="F21" s="20">
        <v>0.62299611793849519</v>
      </c>
      <c r="G21" s="20">
        <v>0.31374794925664651</v>
      </c>
      <c r="H21" s="20">
        <v>0</v>
      </c>
      <c r="I21" s="20">
        <v>4.5867362332426042E-3</v>
      </c>
      <c r="J21" s="20">
        <v>4.8282124869203124E-3</v>
      </c>
      <c r="K21" s="20">
        <v>5.3465953526636939E-2</v>
      </c>
      <c r="L21" s="20">
        <v>0</v>
      </c>
    </row>
    <row r="22" spans="1:12">
      <c r="A22" s="2" t="s">
        <v>343</v>
      </c>
      <c r="B22" s="3" t="s">
        <v>344</v>
      </c>
      <c r="D22" s="20">
        <v>1.8273556554497851E-3</v>
      </c>
      <c r="E22" s="20">
        <v>0.85390139962624967</v>
      </c>
      <c r="F22" s="20">
        <v>0.14389369537339894</v>
      </c>
      <c r="G22" s="20">
        <v>3.7526436107087398E-2</v>
      </c>
      <c r="H22" s="20">
        <v>0</v>
      </c>
      <c r="I22" s="20">
        <v>0.67248126814576337</v>
      </c>
      <c r="J22" s="20">
        <v>8.4331092348170571E-4</v>
      </c>
      <c r="K22" s="20">
        <v>0.14342793379481894</v>
      </c>
      <c r="L22" s="20">
        <v>0</v>
      </c>
    </row>
    <row r="23" spans="1:12">
      <c r="A23" s="2" t="s">
        <v>345</v>
      </c>
      <c r="B23" s="3" t="s">
        <v>346</v>
      </c>
      <c r="D23" s="20">
        <v>7.4307364856248097E-5</v>
      </c>
      <c r="E23" s="20">
        <v>0.89520616409300136</v>
      </c>
      <c r="F23" s="20">
        <v>6.5471236720631695E-2</v>
      </c>
      <c r="G23" s="20">
        <v>1.8346199001148165E-2</v>
      </c>
      <c r="H23" s="20">
        <v>0</v>
      </c>
      <c r="I23" s="20">
        <v>0.81138872837122145</v>
      </c>
      <c r="J23" s="20">
        <v>6.2149616453433042E-4</v>
      </c>
      <c r="K23" s="20">
        <v>0.10409803237760801</v>
      </c>
      <c r="L23" s="20">
        <v>0</v>
      </c>
    </row>
    <row r="24" spans="1:12">
      <c r="A24" s="2" t="s">
        <v>347</v>
      </c>
      <c r="B24" s="3" t="s">
        <v>348</v>
      </c>
      <c r="D24" s="20">
        <v>6.8679048390779052E-5</v>
      </c>
      <c r="E24" s="20">
        <v>0.83790897662058106</v>
      </c>
      <c r="F24" s="20">
        <v>0.51362121435061536</v>
      </c>
      <c r="G24" s="20">
        <v>0.11203107639154096</v>
      </c>
      <c r="H24" s="20">
        <v>0</v>
      </c>
      <c r="I24" s="20">
        <v>0.21225668587842469</v>
      </c>
      <c r="J24" s="20">
        <v>1.7587312894597933E-3</v>
      </c>
      <c r="K24" s="20">
        <v>0.16026361304156869</v>
      </c>
      <c r="L24" s="20">
        <v>0</v>
      </c>
    </row>
    <row r="25" spans="1:12">
      <c r="A25" s="2" t="s">
        <v>349</v>
      </c>
      <c r="B25" s="3" t="s">
        <v>350</v>
      </c>
      <c r="D25" s="20">
        <v>1.1295760624341254E-2</v>
      </c>
      <c r="E25" s="20">
        <v>0.9191872009189499</v>
      </c>
      <c r="F25" s="20">
        <v>0.7598610172670891</v>
      </c>
      <c r="G25" s="20">
        <v>0.1365934014859044</v>
      </c>
      <c r="H25" s="20">
        <v>0</v>
      </c>
      <c r="I25" s="20">
        <v>2.273278216595645E-2</v>
      </c>
      <c r="J25" s="20">
        <v>2.075706212237737E-3</v>
      </c>
      <c r="K25" s="20">
        <v>6.7441332244471075E-2</v>
      </c>
      <c r="L25" s="20">
        <v>0</v>
      </c>
    </row>
    <row r="26" spans="1:12">
      <c r="A26" s="2" t="s">
        <v>351</v>
      </c>
      <c r="B26" s="3" t="s">
        <v>352</v>
      </c>
      <c r="D26" s="20">
        <v>3.0095624336241497E-4</v>
      </c>
      <c r="E26" s="20">
        <v>0.94158191138799974</v>
      </c>
      <c r="F26" s="20">
        <v>0.64079931901344189</v>
      </c>
      <c r="G26" s="20">
        <v>0.29581323229066808</v>
      </c>
      <c r="H26" s="20">
        <v>0</v>
      </c>
      <c r="I26" s="20">
        <v>4.9693600838897093E-3</v>
      </c>
      <c r="J26" s="20">
        <v>4.5480733601355825E-3</v>
      </c>
      <c r="K26" s="20">
        <v>5.3569059008502264E-2</v>
      </c>
      <c r="L26" s="20">
        <v>0</v>
      </c>
    </row>
    <row r="27" spans="1:12">
      <c r="A27" s="2" t="s">
        <v>353</v>
      </c>
      <c r="B27" s="3" t="s">
        <v>354</v>
      </c>
      <c r="D27" s="20">
        <v>2.0398090084299937E-3</v>
      </c>
      <c r="E27" s="20">
        <v>0.94971785788194096</v>
      </c>
      <c r="F27" s="20">
        <v>0.26959273817738089</v>
      </c>
      <c r="G27" s="20">
        <v>0.67936590149589404</v>
      </c>
      <c r="H27" s="20">
        <v>0</v>
      </c>
      <c r="I27" s="20">
        <v>7.5921820866598053E-4</v>
      </c>
      <c r="J27" s="20">
        <v>1.0641266383875943E-2</v>
      </c>
      <c r="K27" s="20">
        <v>3.7601066725753106E-2</v>
      </c>
      <c r="L27" s="20">
        <v>0</v>
      </c>
    </row>
    <row r="28" spans="1:12">
      <c r="A28" s="2" t="s">
        <v>355</v>
      </c>
      <c r="B28" s="3" t="s">
        <v>356</v>
      </c>
      <c r="D28" s="20">
        <v>1.1280151234047291E-4</v>
      </c>
      <c r="E28" s="20">
        <v>0.94217012688837209</v>
      </c>
      <c r="F28" s="20">
        <v>0.50808176291937124</v>
      </c>
      <c r="G28" s="20">
        <v>0.43134936396869639</v>
      </c>
      <c r="H28" s="20">
        <v>0</v>
      </c>
      <c r="I28" s="20">
        <v>2.7390000003044888E-3</v>
      </c>
      <c r="J28" s="20">
        <v>6.6753184628029934E-3</v>
      </c>
      <c r="K28" s="20">
        <v>5.104175313648434E-2</v>
      </c>
      <c r="L28" s="20">
        <v>0</v>
      </c>
    </row>
    <row r="29" spans="1:12">
      <c r="A29" s="2" t="s">
        <v>357</v>
      </c>
      <c r="B29" s="3" t="s">
        <v>358</v>
      </c>
      <c r="D29" s="20">
        <v>2.28599191779617E-2</v>
      </c>
      <c r="E29" s="20">
        <v>0.92005578048670733</v>
      </c>
      <c r="F29" s="20">
        <v>0.59114412111327919</v>
      </c>
      <c r="G29" s="20">
        <v>0.32477974036067192</v>
      </c>
      <c r="H29" s="20">
        <v>0</v>
      </c>
      <c r="I29" s="20">
        <v>4.1319190127562435E-3</v>
      </c>
      <c r="J29" s="20">
        <v>5.0025764221401977E-3</v>
      </c>
      <c r="K29" s="20">
        <v>5.2081723913190624E-2</v>
      </c>
      <c r="L29" s="20">
        <v>0</v>
      </c>
    </row>
    <row r="30" spans="1:12">
      <c r="A30" s="2" t="s">
        <v>359</v>
      </c>
      <c r="B30" s="3" t="s">
        <v>360</v>
      </c>
      <c r="D30" s="20">
        <v>1.1280151234047291E-4</v>
      </c>
      <c r="E30" s="20">
        <v>0.94217012688837209</v>
      </c>
      <c r="F30" s="20">
        <v>0.50808176291937124</v>
      </c>
      <c r="G30" s="20">
        <v>0.43134936396869639</v>
      </c>
      <c r="H30" s="20">
        <v>0</v>
      </c>
      <c r="I30" s="20">
        <v>2.7390000003044888E-3</v>
      </c>
      <c r="J30" s="20">
        <v>6.6753184628029934E-3</v>
      </c>
      <c r="K30" s="20">
        <v>5.104175313648434E-2</v>
      </c>
      <c r="L30" s="20">
        <v>0</v>
      </c>
    </row>
    <row r="31" spans="1:12">
      <c r="A31" s="2" t="s">
        <v>283</v>
      </c>
      <c r="B31" s="3" t="s">
        <v>284</v>
      </c>
      <c r="D31" s="20">
        <v>2.0662213629870374E-8</v>
      </c>
      <c r="E31" s="20">
        <v>0.98957403118377496</v>
      </c>
      <c r="F31" s="20">
        <v>6.084088626809621E-4</v>
      </c>
      <c r="G31" s="20">
        <v>2.4416931631473908E-4</v>
      </c>
      <c r="H31" s="20">
        <v>0</v>
      </c>
      <c r="I31" s="20">
        <v>0.9887214530047792</v>
      </c>
      <c r="J31" s="20">
        <v>4.3544162679519046E-4</v>
      </c>
      <c r="K31" s="20">
        <v>9.9905065272162079E-3</v>
      </c>
      <c r="L31" s="20">
        <v>0</v>
      </c>
    </row>
    <row r="32" spans="1:12">
      <c r="A32" s="2" t="s">
        <v>361</v>
      </c>
      <c r="B32" s="3" t="s">
        <v>362</v>
      </c>
      <c r="D32" s="20">
        <v>2.0377257033710605E-8</v>
      </c>
      <c r="E32" s="20">
        <v>0.83214796071616925</v>
      </c>
      <c r="F32" s="20">
        <v>0.23974110236166174</v>
      </c>
      <c r="G32" s="20">
        <v>5.9110027228572483E-2</v>
      </c>
      <c r="H32" s="20">
        <v>0</v>
      </c>
      <c r="I32" s="20">
        <v>0.53329683112593507</v>
      </c>
      <c r="J32" s="20">
        <v>1.1435817531826892E-3</v>
      </c>
      <c r="K32" s="20">
        <v>0.16670843715339126</v>
      </c>
      <c r="L32" s="20">
        <v>0</v>
      </c>
    </row>
    <row r="33" spans="1:12">
      <c r="A33" s="2" t="s">
        <v>364</v>
      </c>
      <c r="B33" s="3" t="s">
        <v>365</v>
      </c>
      <c r="D33" s="20">
        <v>9.3853244599867338E-11</v>
      </c>
      <c r="E33" s="20">
        <v>0.9995398221632904</v>
      </c>
      <c r="F33" s="20">
        <v>4.2006077434175596E-3</v>
      </c>
      <c r="G33" s="20">
        <v>1.2845158018942059E-6</v>
      </c>
      <c r="H33" s="20">
        <v>0</v>
      </c>
      <c r="I33" s="20">
        <v>0.99533792990407099</v>
      </c>
      <c r="J33" s="20">
        <v>4.3608779433274068E-4</v>
      </c>
      <c r="K33" s="20">
        <v>2.4089948523500537E-5</v>
      </c>
      <c r="L33" s="20">
        <v>0</v>
      </c>
    </row>
    <row r="34" spans="1:12">
      <c r="A34" s="2" t="s">
        <v>285</v>
      </c>
      <c r="B34" s="3" t="s">
        <v>286</v>
      </c>
      <c r="D34" s="20">
        <v>2.7909611360421121E-10</v>
      </c>
      <c r="E34" s="20">
        <v>0.99958748823026622</v>
      </c>
      <c r="F34" s="20">
        <v>0.45204972221344819</v>
      </c>
      <c r="G34" s="20">
        <v>3.712450860387346E-5</v>
      </c>
      <c r="H34" s="20">
        <v>0</v>
      </c>
      <c r="I34" s="20">
        <v>0.5475006415082142</v>
      </c>
      <c r="J34" s="20">
        <v>3.3040884826460225E-4</v>
      </c>
      <c r="K34" s="20">
        <v>8.2102642372942525E-5</v>
      </c>
      <c r="L34" s="20">
        <v>0</v>
      </c>
    </row>
    <row r="35" spans="1:12">
      <c r="A35" s="2" t="s">
        <v>287</v>
      </c>
      <c r="B35" s="3" t="s">
        <v>288</v>
      </c>
      <c r="D35" s="20">
        <v>8.1314881019527665E-12</v>
      </c>
      <c r="E35" s="20">
        <v>0.9995301499396676</v>
      </c>
      <c r="F35" s="20">
        <v>0.67520067577595733</v>
      </c>
      <c r="G35" s="20">
        <v>1.307555677905093E-4</v>
      </c>
      <c r="H35" s="20">
        <v>0</v>
      </c>
      <c r="I35" s="20">
        <v>0.32419871859591975</v>
      </c>
      <c r="J35" s="20">
        <v>2.7107740954497128E-4</v>
      </c>
      <c r="K35" s="20">
        <v>1.9877264265582518E-4</v>
      </c>
      <c r="L35" s="20">
        <v>0</v>
      </c>
    </row>
    <row r="36" spans="1:12">
      <c r="A36" s="2" t="s">
        <v>366</v>
      </c>
      <c r="B36" s="3" t="s">
        <v>305</v>
      </c>
      <c r="D36" s="20">
        <v>1.4336809117208978E-8</v>
      </c>
      <c r="E36" s="20">
        <v>0.99957283066122649</v>
      </c>
      <c r="F36" s="20">
        <v>0.89116516227557496</v>
      </c>
      <c r="G36" s="20">
        <v>2.5515259173508338E-4</v>
      </c>
      <c r="H36" s="20">
        <v>0</v>
      </c>
      <c r="I36" s="20">
        <v>0.1081525157939164</v>
      </c>
      <c r="J36" s="20">
        <v>2.0497937990547697E-4</v>
      </c>
      <c r="K36" s="20">
        <v>2.2217562205904386E-4</v>
      </c>
      <c r="L36" s="20">
        <v>0</v>
      </c>
    </row>
    <row r="37" spans="1:12">
      <c r="A37" s="2" t="s">
        <v>289</v>
      </c>
      <c r="B37" s="3" t="s">
        <v>290</v>
      </c>
      <c r="D37" s="20">
        <v>3.3987463478510385E-15</v>
      </c>
      <c r="E37" s="20">
        <v>0.96831736424930948</v>
      </c>
      <c r="F37" s="20">
        <v>0.72658034370557045</v>
      </c>
      <c r="G37" s="20">
        <v>2.4805794734372166E-2</v>
      </c>
      <c r="H37" s="20">
        <v>0</v>
      </c>
      <c r="I37" s="20">
        <v>0.2169312258093668</v>
      </c>
      <c r="J37" s="20">
        <v>5.7624907084352357E-4</v>
      </c>
      <c r="K37" s="20">
        <v>3.1106386679843608E-2</v>
      </c>
      <c r="L37" s="20">
        <v>0</v>
      </c>
    </row>
    <row r="38" spans="1:12">
      <c r="A38" s="2" t="s">
        <v>291</v>
      </c>
      <c r="B38" s="3" t="s">
        <v>292</v>
      </c>
      <c r="D38" s="20">
        <v>9.4036787528111271E-13</v>
      </c>
      <c r="E38" s="20">
        <v>0.99885394244255676</v>
      </c>
      <c r="F38" s="20">
        <v>0.38484660663753034</v>
      </c>
      <c r="G38" s="20">
        <v>3.2151756881846033E-4</v>
      </c>
      <c r="H38" s="20">
        <v>0</v>
      </c>
      <c r="I38" s="20">
        <v>0.61368581823620794</v>
      </c>
      <c r="J38" s="20">
        <v>3.511783615583191E-4</v>
      </c>
      <c r="K38" s="20">
        <v>7.948791949445147E-4</v>
      </c>
      <c r="L38" s="20">
        <v>0</v>
      </c>
    </row>
    <row r="39" spans="1:12">
      <c r="A39" s="2" t="s">
        <v>367</v>
      </c>
      <c r="B39" s="3" t="s">
        <v>368</v>
      </c>
      <c r="D39" s="20">
        <v>1.2065374276654571E-5</v>
      </c>
      <c r="E39" s="20">
        <v>0.94811976154963817</v>
      </c>
      <c r="F39" s="20">
        <v>0.7977365357919789</v>
      </c>
      <c r="G39" s="20">
        <v>0.13933333693145594</v>
      </c>
      <c r="H39" s="20">
        <v>0</v>
      </c>
      <c r="I39" s="20">
        <v>1.1049888826203291E-2</v>
      </c>
      <c r="J39" s="20">
        <v>2.1229412656910262E-3</v>
      </c>
      <c r="K39" s="20">
        <v>4.9745231810394128E-2</v>
      </c>
      <c r="L39" s="20">
        <v>0</v>
      </c>
    </row>
    <row r="40" spans="1:12">
      <c r="A40" s="2" t="s">
        <v>369</v>
      </c>
      <c r="B40" s="3" t="s">
        <v>370</v>
      </c>
      <c r="D40" s="20">
        <v>7.1900643559017905E-13</v>
      </c>
      <c r="E40" s="20">
        <v>0.98711061990095361</v>
      </c>
      <c r="F40" s="20">
        <v>0.9195743273056789</v>
      </c>
      <c r="G40" s="20">
        <v>6.6528420865183804E-2</v>
      </c>
      <c r="H40" s="20">
        <v>0</v>
      </c>
      <c r="I40" s="20">
        <v>1.0078717300908669E-3</v>
      </c>
      <c r="J40" s="20">
        <v>1.1668976060789484E-2</v>
      </c>
      <c r="K40" s="20">
        <v>1.2204040375379285E-3</v>
      </c>
      <c r="L40" s="20">
        <v>0</v>
      </c>
    </row>
    <row r="41" spans="1:12">
      <c r="A41" s="2" t="s">
        <v>371</v>
      </c>
      <c r="B41" s="3" t="s">
        <v>372</v>
      </c>
      <c r="D41" s="20">
        <v>6.4954432463091794E-2</v>
      </c>
      <c r="E41" s="20">
        <v>0.93266537372201952</v>
      </c>
      <c r="F41" s="20">
        <v>2.8551404493266018E-5</v>
      </c>
      <c r="G41" s="20">
        <v>1.4292988101716545E-5</v>
      </c>
      <c r="H41" s="20">
        <v>0</v>
      </c>
      <c r="I41" s="20">
        <v>0.93262252932942458</v>
      </c>
      <c r="J41" s="20">
        <v>4.0768272808754515E-4</v>
      </c>
      <c r="K41" s="20">
        <v>1.9725110868012087E-3</v>
      </c>
      <c r="L41" s="20">
        <v>0</v>
      </c>
    </row>
    <row r="42" spans="1:12">
      <c r="A42" s="2" t="s">
        <v>293</v>
      </c>
      <c r="B42" s="3" t="s">
        <v>294</v>
      </c>
      <c r="D42" s="20">
        <v>1.6465672972071936E-8</v>
      </c>
      <c r="E42" s="20">
        <v>0.84710304317265417</v>
      </c>
      <c r="F42" s="20">
        <v>0.16982364960272112</v>
      </c>
      <c r="G42" s="20">
        <v>4.3560587179512084E-2</v>
      </c>
      <c r="H42" s="20">
        <v>0</v>
      </c>
      <c r="I42" s="20">
        <v>0.633718806390421</v>
      </c>
      <c r="J42" s="20">
        <v>9.1564352495308952E-4</v>
      </c>
      <c r="K42" s="20">
        <v>0.15198129683671968</v>
      </c>
      <c r="L42" s="20">
        <v>0</v>
      </c>
    </row>
    <row r="43" spans="1:12">
      <c r="A43" s="2" t="s">
        <v>373</v>
      </c>
      <c r="B43" s="3" t="s">
        <v>374</v>
      </c>
      <c r="D43" s="20">
        <v>3.3548714581377673E-8</v>
      </c>
      <c r="E43" s="20">
        <v>0.99948145586347237</v>
      </c>
      <c r="F43" s="20">
        <v>0.98982914499469365</v>
      </c>
      <c r="G43" s="20">
        <v>8.3576111032399427E-4</v>
      </c>
      <c r="H43" s="20">
        <v>0</v>
      </c>
      <c r="I43" s="20">
        <v>8.8165497584546757E-3</v>
      </c>
      <c r="J43" s="20">
        <v>3.4052756460547666E-4</v>
      </c>
      <c r="K43" s="20">
        <v>1.7798302320742109E-4</v>
      </c>
      <c r="L43" s="20">
        <v>0</v>
      </c>
    </row>
    <row r="44" spans="1:12">
      <c r="A44" s="2" t="s">
        <v>375</v>
      </c>
      <c r="B44" s="3" t="s">
        <v>376</v>
      </c>
      <c r="D44" s="20">
        <v>7.2953544462360395E-2</v>
      </c>
      <c r="E44" s="20">
        <v>0.86744849729109186</v>
      </c>
      <c r="F44" s="20">
        <v>2.1441989615332089E-2</v>
      </c>
      <c r="G44" s="20">
        <v>6.5397423229128166E-3</v>
      </c>
      <c r="H44" s="20">
        <v>0</v>
      </c>
      <c r="I44" s="20">
        <v>0.83946676535284692</v>
      </c>
      <c r="J44" s="20">
        <v>4.6126213144705722E-4</v>
      </c>
      <c r="K44" s="20">
        <v>5.9136696115100626E-2</v>
      </c>
      <c r="L44" s="20">
        <v>0</v>
      </c>
    </row>
    <row r="45" spans="1:12">
      <c r="A45" s="2" t="s">
        <v>377</v>
      </c>
      <c r="B45" s="3" t="s">
        <v>378</v>
      </c>
      <c r="D45" s="20">
        <v>6.3113929913309651E-4</v>
      </c>
      <c r="E45" s="20">
        <v>0.83984621696918937</v>
      </c>
      <c r="F45" s="20">
        <v>0.19495927786281247</v>
      </c>
      <c r="G45" s="20">
        <v>4.9276455706638266E-2</v>
      </c>
      <c r="H45" s="20">
        <v>0</v>
      </c>
      <c r="I45" s="20">
        <v>0.59561048339973865</v>
      </c>
      <c r="J45" s="20">
        <v>9.8372801365350271E-4</v>
      </c>
      <c r="K45" s="20">
        <v>0.15853891571802411</v>
      </c>
      <c r="L45" s="20">
        <v>0</v>
      </c>
    </row>
    <row r="46" spans="1:12">
      <c r="A46" s="2" t="s">
        <v>379</v>
      </c>
      <c r="B46" s="3" t="s">
        <v>380</v>
      </c>
      <c r="D46" s="20">
        <v>1.8892407738499723E-3</v>
      </c>
      <c r="E46" s="20">
        <v>0.84289588180901287</v>
      </c>
      <c r="F46" s="20">
        <v>0.17869236399184577</v>
      </c>
      <c r="G46" s="20">
        <v>4.5582857807276257E-2</v>
      </c>
      <c r="H46" s="20">
        <v>0</v>
      </c>
      <c r="I46" s="20">
        <v>0.6186206600098908</v>
      </c>
      <c r="J46" s="20">
        <v>9.3901941173716219E-4</v>
      </c>
      <c r="K46" s="20">
        <v>0.15427585800539997</v>
      </c>
      <c r="L46" s="20">
        <v>0</v>
      </c>
    </row>
    <row r="47" spans="1:12">
      <c r="A47" s="2" t="s">
        <v>381</v>
      </c>
      <c r="B47" s="3" t="s">
        <v>382</v>
      </c>
      <c r="D47" s="20">
        <v>3.4643419939733893E-8</v>
      </c>
      <c r="E47" s="20">
        <v>0.9525222145258343</v>
      </c>
      <c r="F47" s="20">
        <v>0.2565898321151277</v>
      </c>
      <c r="G47" s="20">
        <v>0.69524039551810313</v>
      </c>
      <c r="H47" s="20">
        <v>0</v>
      </c>
      <c r="I47" s="20">
        <v>6.9198689260351412E-4</v>
      </c>
      <c r="J47" s="20">
        <v>1.0898785349121068E-2</v>
      </c>
      <c r="K47" s="20">
        <v>3.657896548162462E-2</v>
      </c>
      <c r="L47" s="20">
        <v>0</v>
      </c>
    </row>
    <row r="48" spans="1:12">
      <c r="A48" s="2" t="s">
        <v>383</v>
      </c>
      <c r="B48" s="3" t="s">
        <v>384</v>
      </c>
      <c r="D48" s="20">
        <v>9.6026967659862961E-3</v>
      </c>
      <c r="E48" s="20">
        <v>0.95606699913662418</v>
      </c>
      <c r="F48" s="20">
        <v>6.5919195620957865E-3</v>
      </c>
      <c r="G48" s="20">
        <v>2.2126231634715249E-3</v>
      </c>
      <c r="H48" s="20">
        <v>0</v>
      </c>
      <c r="I48" s="20">
        <v>0.94726245641105689</v>
      </c>
      <c r="J48" s="20">
        <v>4.4558612122335843E-4</v>
      </c>
      <c r="K48" s="20">
        <v>3.3884717976165823E-2</v>
      </c>
      <c r="L48" s="20">
        <v>0</v>
      </c>
    </row>
    <row r="49" spans="1:12">
      <c r="A49" s="2" t="s">
        <v>385</v>
      </c>
      <c r="B49" s="3" t="s">
        <v>386</v>
      </c>
      <c r="D49" s="20">
        <v>1.8246217011898776E-2</v>
      </c>
      <c r="E49" s="20">
        <v>0.93571572667631986</v>
      </c>
      <c r="F49" s="20">
        <v>1.1961661827941587E-2</v>
      </c>
      <c r="G49" s="20">
        <v>3.8343087049699273E-3</v>
      </c>
      <c r="H49" s="20">
        <v>0</v>
      </c>
      <c r="I49" s="20">
        <v>0.91991975614340837</v>
      </c>
      <c r="J49" s="20">
        <v>4.5709332426153027E-4</v>
      </c>
      <c r="K49" s="20">
        <v>4.5580962987519832E-2</v>
      </c>
      <c r="L49" s="20">
        <v>0</v>
      </c>
    </row>
    <row r="50" spans="1:12">
      <c r="A50" s="2" t="s">
        <v>387</v>
      </c>
      <c r="B50" s="3" t="s">
        <v>388</v>
      </c>
      <c r="D50" s="20">
        <v>5.9667121023480561E-3</v>
      </c>
      <c r="E50" s="20">
        <v>0.87297389388953384</v>
      </c>
      <c r="F50" s="20">
        <v>0.65396388877007527</v>
      </c>
      <c r="G50" s="20">
        <v>0.13129534329114129</v>
      </c>
      <c r="H50" s="20">
        <v>0</v>
      </c>
      <c r="I50" s="20">
        <v>8.7714661828317234E-2</v>
      </c>
      <c r="J50" s="20">
        <v>2.0049136509912584E-3</v>
      </c>
      <c r="K50" s="20">
        <v>0.11905448035712698</v>
      </c>
      <c r="L50" s="20">
        <v>0</v>
      </c>
    </row>
    <row r="51" spans="1:12">
      <c r="A51" s="2" t="s">
        <v>295</v>
      </c>
      <c r="B51" s="3" t="s">
        <v>296</v>
      </c>
      <c r="D51" s="20">
        <v>5.2631908589902784E-2</v>
      </c>
      <c r="E51" s="20">
        <v>0.9340706488268492</v>
      </c>
      <c r="F51" s="20">
        <v>1.0458461534298563E-3</v>
      </c>
      <c r="G51" s="20">
        <v>4.015719400981278E-4</v>
      </c>
      <c r="H51" s="20">
        <v>0</v>
      </c>
      <c r="I51" s="20">
        <v>0.93262323073332121</v>
      </c>
      <c r="J51" s="20">
        <v>4.1317370155750845E-4</v>
      </c>
      <c r="K51" s="20">
        <v>1.2884268881690432E-2</v>
      </c>
      <c r="L51" s="20">
        <v>0</v>
      </c>
    </row>
    <row r="52" spans="1:12">
      <c r="A52" s="2" t="s">
        <v>389</v>
      </c>
      <c r="B52" s="3" t="s">
        <v>390</v>
      </c>
      <c r="D52" s="20">
        <v>6.0272795115484147E-2</v>
      </c>
      <c r="E52" s="20">
        <v>0.86098982417860981</v>
      </c>
      <c r="F52" s="20">
        <v>3.7804196892705748E-2</v>
      </c>
      <c r="G52" s="20">
        <v>1.1031525463215014E-2</v>
      </c>
      <c r="H52" s="20">
        <v>0</v>
      </c>
      <c r="I52" s="20">
        <v>0.8121541018226891</v>
      </c>
      <c r="J52" s="20">
        <v>5.1482657047763141E-4</v>
      </c>
      <c r="K52" s="20">
        <v>7.8222554135428321E-2</v>
      </c>
      <c r="L52" s="20">
        <v>0</v>
      </c>
    </row>
    <row r="53" spans="1:12">
      <c r="A53" s="2" t="s">
        <v>391</v>
      </c>
      <c r="B53" s="3" t="s">
        <v>392</v>
      </c>
      <c r="D53" s="20">
        <v>1.8938474825637263E-3</v>
      </c>
      <c r="E53" s="20">
        <v>0.8241567977864751</v>
      </c>
      <c r="F53" s="20">
        <v>0.28652576801550877</v>
      </c>
      <c r="G53" s="20">
        <v>6.9160677769347242E-2</v>
      </c>
      <c r="H53" s="20">
        <v>0</v>
      </c>
      <c r="I53" s="20">
        <v>0.46847035200161913</v>
      </c>
      <c r="J53" s="20">
        <v>1.2241717638275013E-3</v>
      </c>
      <c r="K53" s="20">
        <v>0.1727251829671336</v>
      </c>
      <c r="L53" s="20">
        <v>0</v>
      </c>
    </row>
    <row r="54" spans="1:12">
      <c r="A54" s="2" t="s">
        <v>393</v>
      </c>
      <c r="B54" s="3" t="s">
        <v>394</v>
      </c>
      <c r="D54" s="20">
        <v>1.6011806889159813E-4</v>
      </c>
      <c r="E54" s="20">
        <v>0.9493375481949623</v>
      </c>
      <c r="F54" s="20">
        <v>0.30722675089359502</v>
      </c>
      <c r="G54" s="20">
        <v>0.64114252512232195</v>
      </c>
      <c r="H54" s="20">
        <v>0</v>
      </c>
      <c r="I54" s="20">
        <v>9.6827217904531574E-4</v>
      </c>
      <c r="J54" s="20">
        <v>1.0021355012413656E-2</v>
      </c>
      <c r="K54" s="20">
        <v>4.0480978723732478E-2</v>
      </c>
      <c r="L54" s="20">
        <v>0</v>
      </c>
    </row>
    <row r="55" spans="1:12">
      <c r="A55" s="2" t="s">
        <v>395</v>
      </c>
      <c r="B55" s="3" t="s">
        <v>396</v>
      </c>
      <c r="D55" s="20">
        <v>0.12645838757264388</v>
      </c>
      <c r="E55" s="20">
        <v>0.73595887765178403</v>
      </c>
      <c r="F55" s="20">
        <v>0.46834547037707092</v>
      </c>
      <c r="G55" s="20">
        <v>0.10103268148705391</v>
      </c>
      <c r="H55" s="20">
        <v>0</v>
      </c>
      <c r="I55" s="20">
        <v>0.16658072578765923</v>
      </c>
      <c r="J55" s="20">
        <v>1.5766619992706563E-3</v>
      </c>
      <c r="K55" s="20">
        <v>0.13600607277630147</v>
      </c>
      <c r="L55" s="20">
        <v>0</v>
      </c>
    </row>
    <row r="56" spans="1:12">
      <c r="A56" s="2" t="s">
        <v>397</v>
      </c>
      <c r="B56" s="3" t="s">
        <v>398</v>
      </c>
      <c r="D56" s="20">
        <v>0.57160878741085186</v>
      </c>
      <c r="E56" s="20">
        <v>0.38813224336667712</v>
      </c>
      <c r="F56" s="20">
        <v>0.30968315364154347</v>
      </c>
      <c r="G56" s="20">
        <v>5.8831935490476904E-2</v>
      </c>
      <c r="H56" s="20">
        <v>0</v>
      </c>
      <c r="I56" s="20">
        <v>1.9617154234656767E-2</v>
      </c>
      <c r="J56" s="20">
        <v>8.9403255635968619E-4</v>
      </c>
      <c r="K56" s="20">
        <v>3.936493666611126E-2</v>
      </c>
      <c r="L56" s="20">
        <v>0</v>
      </c>
    </row>
    <row r="57" spans="1:12">
      <c r="A57" s="2" t="s">
        <v>399</v>
      </c>
      <c r="B57" s="3" t="s">
        <v>400</v>
      </c>
      <c r="D57" s="20">
        <v>0.75364702838841346</v>
      </c>
      <c r="E57" s="20">
        <v>0.21027620838583225</v>
      </c>
      <c r="F57" s="20">
        <v>0.14328036374757649</v>
      </c>
      <c r="G57" s="20">
        <v>3.0177428579844484E-2</v>
      </c>
      <c r="H57" s="20">
        <v>0</v>
      </c>
      <c r="I57" s="20">
        <v>3.6818416058411269E-2</v>
      </c>
      <c r="J57" s="20">
        <v>4.6621567371565409E-4</v>
      </c>
      <c r="K57" s="20">
        <v>3.561054755203872E-2</v>
      </c>
      <c r="L57" s="20">
        <v>0</v>
      </c>
    </row>
    <row r="58" spans="1:12">
      <c r="A58" s="2" t="s">
        <v>297</v>
      </c>
      <c r="B58" s="3" t="s">
        <v>298</v>
      </c>
      <c r="D58" s="20">
        <v>0.91903547821023901</v>
      </c>
      <c r="E58" s="20">
        <v>7.6690179293923896E-2</v>
      </c>
      <c r="F58" s="20">
        <v>1.252999683859344E-3</v>
      </c>
      <c r="G58" s="20">
        <v>3.9431792227965254E-4</v>
      </c>
      <c r="H58" s="20">
        <v>0</v>
      </c>
      <c r="I58" s="20">
        <v>7.5042861687784901E-2</v>
      </c>
      <c r="J58" s="20">
        <v>3.8469428447076022E-5</v>
      </c>
      <c r="K58" s="20">
        <v>4.235873067390007E-3</v>
      </c>
      <c r="L58" s="20">
        <v>0</v>
      </c>
    </row>
    <row r="59" spans="1:12">
      <c r="A59" s="2" t="s">
        <v>401</v>
      </c>
      <c r="B59" s="3" t="s">
        <v>402</v>
      </c>
      <c r="D59" s="20">
        <v>0.90330357817209594</v>
      </c>
      <c r="E59" s="20">
        <v>8.2277384830425154E-2</v>
      </c>
      <c r="F59" s="20">
        <v>5.5265285112630902E-2</v>
      </c>
      <c r="G59" s="20">
        <v>1.1704368058169526E-2</v>
      </c>
      <c r="H59" s="20">
        <v>0</v>
      </c>
      <c r="I59" s="20">
        <v>1.5307731659624731E-2</v>
      </c>
      <c r="J59" s="20">
        <v>1.8118772602277957E-4</v>
      </c>
      <c r="K59" s="20">
        <v>1.4237849271456132E-2</v>
      </c>
      <c r="L59" s="20">
        <v>0</v>
      </c>
    </row>
    <row r="60" spans="1:12">
      <c r="A60" s="2" t="s">
        <v>299</v>
      </c>
      <c r="B60" s="3" t="s">
        <v>300</v>
      </c>
      <c r="D60" s="20">
        <v>0.99795722399827058</v>
      </c>
      <c r="E60" s="20">
        <v>1.6912099028835285E-3</v>
      </c>
      <c r="F60" s="20">
        <v>9.1060621604377261E-4</v>
      </c>
      <c r="G60" s="20">
        <v>2.0493973295395278E-4</v>
      </c>
      <c r="H60" s="20">
        <v>0</v>
      </c>
      <c r="I60" s="20">
        <v>5.7566395388580316E-4</v>
      </c>
      <c r="J60" s="20">
        <v>3.2908696565719892E-6</v>
      </c>
      <c r="K60" s="20">
        <v>3.4827522918936881E-4</v>
      </c>
      <c r="L60" s="20">
        <v>0</v>
      </c>
    </row>
    <row r="61" spans="1:12">
      <c r="A61" s="2" t="s">
        <v>403</v>
      </c>
      <c r="B61" s="3" t="s">
        <v>404</v>
      </c>
      <c r="D61" s="20">
        <v>4.3119710817797597E-44</v>
      </c>
      <c r="E61" s="20">
        <v>0.82335527289126365</v>
      </c>
      <c r="F61" s="20">
        <v>0.38273177885177323</v>
      </c>
      <c r="G61" s="20">
        <v>8.8550308645960085E-2</v>
      </c>
      <c r="H61" s="20">
        <v>0</v>
      </c>
      <c r="I61" s="20">
        <v>0.35207318539353027</v>
      </c>
      <c r="J61" s="20">
        <v>1.4639292465174327E-3</v>
      </c>
      <c r="K61" s="20">
        <v>0.17518079786221899</v>
      </c>
      <c r="L61" s="20">
        <v>0</v>
      </c>
    </row>
    <row r="62" spans="1:12">
      <c r="A62" s="2" t="s">
        <v>405</v>
      </c>
      <c r="B62" s="3" t="s">
        <v>406</v>
      </c>
      <c r="D62" s="20">
        <v>8.9783344348789077E-8</v>
      </c>
      <c r="E62" s="20">
        <v>0.94157055863204819</v>
      </c>
      <c r="F62" s="20">
        <v>0.60188630642656593</v>
      </c>
      <c r="G62" s="20">
        <v>0.33551351440224492</v>
      </c>
      <c r="H62" s="20">
        <v>0</v>
      </c>
      <c r="I62" s="20">
        <v>4.170737803237394E-3</v>
      </c>
      <c r="J62" s="20">
        <v>5.1687044619681509E-3</v>
      </c>
      <c r="K62" s="20">
        <v>5.3260647122639254E-2</v>
      </c>
      <c r="L62" s="20">
        <v>0</v>
      </c>
    </row>
    <row r="63" spans="1:12">
      <c r="A63" s="2" t="s">
        <v>407</v>
      </c>
      <c r="B63" s="3" t="s">
        <v>408</v>
      </c>
      <c r="D63" s="20">
        <v>2.1225720934278703E-5</v>
      </c>
      <c r="E63" s="20">
        <v>0.9579757357772648</v>
      </c>
      <c r="F63" s="20">
        <v>0.18246565663856337</v>
      </c>
      <c r="G63" s="20">
        <v>0.77513382649510143</v>
      </c>
      <c r="H63" s="20">
        <v>0</v>
      </c>
      <c r="I63" s="20">
        <v>3.7625264359999799E-4</v>
      </c>
      <c r="J63" s="20">
        <v>1.221285966072899E-2</v>
      </c>
      <c r="K63" s="20">
        <v>2.9790178841072042E-2</v>
      </c>
      <c r="L63" s="20">
        <v>0</v>
      </c>
    </row>
    <row r="64" spans="1:12">
      <c r="A64" s="2" t="s">
        <v>409</v>
      </c>
      <c r="B64" s="3" t="s">
        <v>410</v>
      </c>
      <c r="D64" s="20">
        <v>2.6079456133738984E-6</v>
      </c>
      <c r="E64" s="20">
        <v>0.96628547076514149</v>
      </c>
      <c r="F64" s="20">
        <v>9.757020435729831E-2</v>
      </c>
      <c r="G64" s="20">
        <v>0.8685858898356893</v>
      </c>
      <c r="H64" s="20">
        <v>0</v>
      </c>
      <c r="I64" s="20">
        <v>1.2937657215389282E-4</v>
      </c>
      <c r="J64" s="20">
        <v>1.3800182301586921E-2</v>
      </c>
      <c r="K64" s="20">
        <v>1.991173898765828E-2</v>
      </c>
      <c r="L64" s="20">
        <v>0</v>
      </c>
    </row>
    <row r="65" spans="1:12">
      <c r="A65" s="2" t="s">
        <v>301</v>
      </c>
      <c r="B65" s="3" t="s">
        <v>302</v>
      </c>
      <c r="D65" s="20">
        <v>3.2001523690436004E-7</v>
      </c>
      <c r="E65" s="20">
        <v>0.97328486963766003</v>
      </c>
      <c r="F65" s="20">
        <v>4.4956173768290385E-2</v>
      </c>
      <c r="G65" s="20">
        <v>0.92829261742803004</v>
      </c>
      <c r="H65" s="20">
        <v>0</v>
      </c>
      <c r="I65" s="20">
        <v>3.607844133959153E-5</v>
      </c>
      <c r="J65" s="20">
        <v>1.4890350324403589E-2</v>
      </c>
      <c r="K65" s="20">
        <v>1.1824460022699325E-2</v>
      </c>
      <c r="L65" s="20">
        <v>0</v>
      </c>
    </row>
    <row r="66" spans="1:12">
      <c r="A66" s="2" t="s">
        <v>303</v>
      </c>
      <c r="B66" s="3" t="s">
        <v>304</v>
      </c>
      <c r="D66" s="20">
        <v>3.1001500078450182E-13</v>
      </c>
      <c r="E66" s="20">
        <v>0.96965050529023888</v>
      </c>
      <c r="F66" s="20">
        <v>7.0291270470948353E-2</v>
      </c>
      <c r="G66" s="20">
        <v>0.89928416941661105</v>
      </c>
      <c r="H66" s="20">
        <v>0</v>
      </c>
      <c r="I66" s="20">
        <v>7.506540267950568E-5</v>
      </c>
      <c r="J66" s="20">
        <v>1.434679082491991E-2</v>
      </c>
      <c r="K66" s="20">
        <v>1.6002703884531195E-2</v>
      </c>
      <c r="L66" s="20">
        <v>0</v>
      </c>
    </row>
    <row r="67" spans="1:12">
      <c r="A67" s="2" t="s">
        <v>411</v>
      </c>
      <c r="B67" s="3" t="s">
        <v>412</v>
      </c>
      <c r="D67" s="20">
        <v>3.9704076730581253E-3</v>
      </c>
      <c r="E67" s="20">
        <v>0.92594630323342331</v>
      </c>
      <c r="F67" s="20">
        <v>2.7762194070159528E-2</v>
      </c>
      <c r="G67" s="20">
        <v>8.3435205736939345E-3</v>
      </c>
      <c r="H67" s="20">
        <v>0</v>
      </c>
      <c r="I67" s="20">
        <v>0.88984058858956983</v>
      </c>
      <c r="J67" s="20">
        <v>5.0948308757038001E-4</v>
      </c>
      <c r="K67" s="20">
        <v>6.9573806005948272E-2</v>
      </c>
      <c r="L67" s="20">
        <v>0</v>
      </c>
    </row>
    <row r="68" spans="1:12">
      <c r="A68" s="2" t="s">
        <v>413</v>
      </c>
      <c r="B68" s="3" t="s">
        <v>414</v>
      </c>
      <c r="D68" s="20">
        <v>8.7639145702793197E-3</v>
      </c>
      <c r="E68" s="20">
        <v>0.89906085885229448</v>
      </c>
      <c r="F68" s="20">
        <v>4.9901869917929102E-2</v>
      </c>
      <c r="G68" s="20">
        <v>1.4295928754361156E-2</v>
      </c>
      <c r="H68" s="20">
        <v>0</v>
      </c>
      <c r="I68" s="20">
        <v>0.83486306018000422</v>
      </c>
      <c r="J68" s="20">
        <v>5.7241665886223687E-4</v>
      </c>
      <c r="K68" s="20">
        <v>9.1602809918563843E-2</v>
      </c>
      <c r="L68" s="20">
        <v>0</v>
      </c>
    </row>
    <row r="69" spans="1:12">
      <c r="A69" s="2" t="s">
        <v>415</v>
      </c>
      <c r="B69" s="3" t="s">
        <v>416</v>
      </c>
      <c r="D69" s="20">
        <v>1.0342027370074062E-3</v>
      </c>
      <c r="E69" s="20">
        <v>0.94483179685112439</v>
      </c>
      <c r="F69" s="20">
        <v>0.384701931769724</v>
      </c>
      <c r="G69" s="20">
        <v>0.55862442736369888</v>
      </c>
      <c r="H69" s="20">
        <v>0</v>
      </c>
      <c r="I69" s="20">
        <v>1.5054377177014754E-3</v>
      </c>
      <c r="J69" s="20">
        <v>8.6963000564999286E-3</v>
      </c>
      <c r="K69" s="20">
        <v>4.543770035536835E-2</v>
      </c>
      <c r="L69" s="20">
        <v>0</v>
      </c>
    </row>
    <row r="70" spans="1:12">
      <c r="A70" s="2" t="s">
        <v>417</v>
      </c>
      <c r="B70" s="3" t="s">
        <v>418</v>
      </c>
      <c r="D70" s="20">
        <v>2.7353005494455611E-3</v>
      </c>
      <c r="E70" s="20">
        <v>0.92059119548978907</v>
      </c>
      <c r="F70" s="20">
        <v>0.75443831605419054</v>
      </c>
      <c r="G70" s="20">
        <v>0.13788572037512611</v>
      </c>
      <c r="H70" s="20">
        <v>0</v>
      </c>
      <c r="I70" s="20">
        <v>2.8267159060472408E-2</v>
      </c>
      <c r="J70" s="20">
        <v>2.0946486649262379E-3</v>
      </c>
      <c r="K70" s="20">
        <v>7.4578855295838922E-2</v>
      </c>
      <c r="L70" s="20">
        <v>0</v>
      </c>
    </row>
    <row r="71" spans="1:12">
      <c r="A71" s="2" t="s">
        <v>419</v>
      </c>
      <c r="B71" s="3" t="s">
        <v>420</v>
      </c>
      <c r="D71" s="20">
        <v>2.1456973998368066E-2</v>
      </c>
      <c r="E71" s="20">
        <v>0.89121833215601065</v>
      </c>
      <c r="F71" s="20">
        <v>4.5059582063511412E-2</v>
      </c>
      <c r="G71" s="20">
        <v>1.3004172285726616E-2</v>
      </c>
      <c r="H71" s="20">
        <v>0</v>
      </c>
      <c r="I71" s="20">
        <v>0.8331545778067726</v>
      </c>
      <c r="J71" s="20">
        <v>5.5278819973172174E-4</v>
      </c>
      <c r="K71" s="20">
        <v>8.6771905645889422E-2</v>
      </c>
      <c r="L71" s="20">
        <v>0</v>
      </c>
    </row>
    <row r="72" spans="1:12">
      <c r="A72" s="2" t="s">
        <v>421</v>
      </c>
      <c r="B72" s="3" t="s">
        <v>422</v>
      </c>
      <c r="D72" s="20">
        <v>1.1555859474471181E-2</v>
      </c>
      <c r="E72" s="20">
        <v>0.90708083863889688</v>
      </c>
      <c r="F72" s="20">
        <v>0.73760004792472922</v>
      </c>
      <c r="G72" s="20">
        <v>0.13655779375118843</v>
      </c>
      <c r="H72" s="20">
        <v>0</v>
      </c>
      <c r="I72" s="20">
        <v>3.292299696297929E-2</v>
      </c>
      <c r="J72" s="20">
        <v>2.0743070283342014E-3</v>
      </c>
      <c r="K72" s="20">
        <v>7.9288994858297684E-2</v>
      </c>
      <c r="L72" s="20">
        <v>0</v>
      </c>
    </row>
    <row r="73" spans="1:12">
      <c r="A73" s="2" t="s">
        <v>423</v>
      </c>
      <c r="B73" s="3" t="s">
        <v>424</v>
      </c>
      <c r="D73" s="20">
        <v>1.2547777424601603E-2</v>
      </c>
      <c r="E73" s="20">
        <v>0.81401678743779238</v>
      </c>
      <c r="F73" s="20">
        <v>0.39882786237281315</v>
      </c>
      <c r="G73" s="20">
        <v>9.1428384526199682E-2</v>
      </c>
      <c r="H73" s="20">
        <v>0</v>
      </c>
      <c r="I73" s="20">
        <v>0.32376054053877956</v>
      </c>
      <c r="J73" s="20">
        <v>1.4952195705244932E-3</v>
      </c>
      <c r="K73" s="20">
        <v>0.17194021556708164</v>
      </c>
      <c r="L73" s="20">
        <v>0</v>
      </c>
    </row>
    <row r="74" spans="1:12">
      <c r="A74" s="2" t="s">
        <v>425</v>
      </c>
      <c r="B74" s="3" t="s">
        <v>426</v>
      </c>
      <c r="D74" s="20">
        <v>4.2297379702498344E-3</v>
      </c>
      <c r="E74" s="20">
        <v>0.91769468578023905</v>
      </c>
      <c r="F74" s="20">
        <v>0.75046794748201218</v>
      </c>
      <c r="G74" s="20">
        <v>0.13766632009457996</v>
      </c>
      <c r="H74" s="20">
        <v>0</v>
      </c>
      <c r="I74" s="20">
        <v>2.956041820364691E-2</v>
      </c>
      <c r="J74" s="20">
        <v>2.0912312108244788E-3</v>
      </c>
      <c r="K74" s="20">
        <v>7.598434503868691E-2</v>
      </c>
      <c r="L74" s="20">
        <v>0</v>
      </c>
    </row>
    <row r="75" spans="1:12">
      <c r="A75" s="2" t="s">
        <v>427</v>
      </c>
      <c r="B75" s="3" t="s">
        <v>428</v>
      </c>
      <c r="D75" s="20">
        <v>4.2789087647273969E-10</v>
      </c>
      <c r="E75" s="20">
        <v>0.99884947400314417</v>
      </c>
      <c r="F75" s="20">
        <v>0.99414956798262377</v>
      </c>
      <c r="G75" s="20">
        <v>3.8362061496611139E-4</v>
      </c>
      <c r="H75" s="20">
        <v>0</v>
      </c>
      <c r="I75" s="20">
        <v>4.3162854055542989E-3</v>
      </c>
      <c r="J75" s="20">
        <v>1.1152886150924094E-3</v>
      </c>
      <c r="K75" s="20">
        <v>3.5236953872563679E-5</v>
      </c>
      <c r="L75" s="20">
        <v>0</v>
      </c>
    </row>
    <row r="76" spans="1:12">
      <c r="A76" s="2" t="s">
        <v>429</v>
      </c>
      <c r="B76" s="3" t="s">
        <v>430</v>
      </c>
      <c r="D76" s="20">
        <v>1.0748132872269673E-11</v>
      </c>
      <c r="E76" s="20">
        <v>0.99884947441980687</v>
      </c>
      <c r="F76" s="20">
        <v>0.99414956839732593</v>
      </c>
      <c r="G76" s="20">
        <v>3.8362061512613594E-4</v>
      </c>
      <c r="H76" s="20">
        <v>0</v>
      </c>
      <c r="I76" s="20">
        <v>4.3162854073548066E-3</v>
      </c>
      <c r="J76" s="20">
        <v>1.1152886155576438E-3</v>
      </c>
      <c r="K76" s="20">
        <v>3.5236953887262512E-5</v>
      </c>
      <c r="L76" s="20">
        <v>0</v>
      </c>
    </row>
    <row r="77" spans="1:12">
      <c r="A77" s="2" t="s">
        <v>431</v>
      </c>
      <c r="B77" s="3" t="s">
        <v>432</v>
      </c>
      <c r="D77" s="20">
        <v>2.1928853307994878E-2</v>
      </c>
      <c r="E77" s="20">
        <v>0.84390626810284886</v>
      </c>
      <c r="F77" s="20">
        <v>0.59983887242046385</v>
      </c>
      <c r="G77" s="20">
        <v>0.12403097625237651</v>
      </c>
      <c r="H77" s="20">
        <v>0</v>
      </c>
      <c r="I77" s="20">
        <v>0.12003641943000853</v>
      </c>
      <c r="J77" s="20">
        <v>1.9054680491077803E-3</v>
      </c>
      <c r="K77" s="20">
        <v>0.1322594105400485</v>
      </c>
      <c r="L77" s="20">
        <v>0</v>
      </c>
    </row>
    <row r="78" spans="1:12">
      <c r="A78" s="2" t="s">
        <v>433</v>
      </c>
      <c r="B78" s="3" t="s">
        <v>434</v>
      </c>
      <c r="D78" s="20">
        <v>3.1246087415608189E-2</v>
      </c>
      <c r="E78" s="20">
        <v>0.82414872467464928</v>
      </c>
      <c r="F78" s="20">
        <v>0.15311379744122136</v>
      </c>
      <c r="G78" s="20">
        <v>3.9564882757426978E-2</v>
      </c>
      <c r="H78" s="20">
        <v>0</v>
      </c>
      <c r="I78" s="20">
        <v>0.63147004447600097</v>
      </c>
      <c r="J78" s="20">
        <v>8.5570079247994195E-4</v>
      </c>
      <c r="K78" s="20">
        <v>0.14374948711726246</v>
      </c>
      <c r="L78" s="20">
        <v>0</v>
      </c>
    </row>
    <row r="79" spans="1:12">
      <c r="A79" s="2" t="s">
        <v>435</v>
      </c>
      <c r="B79" s="3" t="s">
        <v>436</v>
      </c>
      <c r="D79" s="20">
        <v>7.5041232195462186E-3</v>
      </c>
      <c r="E79" s="20">
        <v>0.81886875869571629</v>
      </c>
      <c r="F79" s="20">
        <v>0.2928995071869917</v>
      </c>
      <c r="G79" s="20">
        <v>7.0439164550238756E-2</v>
      </c>
      <c r="H79" s="20">
        <v>0</v>
      </c>
      <c r="I79" s="20">
        <v>0.45553008695848585</v>
      </c>
      <c r="J79" s="20">
        <v>1.2376946813800855E-3</v>
      </c>
      <c r="K79" s="20">
        <v>0.17238942340335725</v>
      </c>
      <c r="L79" s="20">
        <v>0</v>
      </c>
    </row>
    <row r="80" spans="1:12">
      <c r="A80" s="2" t="s">
        <v>437</v>
      </c>
      <c r="B80" s="3" t="s">
        <v>438</v>
      </c>
      <c r="D80" s="20">
        <v>1.5304757473972295E-10</v>
      </c>
      <c r="E80" s="20">
        <v>0.99779489904534457</v>
      </c>
      <c r="F80" s="20">
        <v>0.99413451819367837</v>
      </c>
      <c r="G80" s="20">
        <v>7.3687761329910186E-4</v>
      </c>
      <c r="H80" s="20">
        <v>0</v>
      </c>
      <c r="I80" s="20">
        <v>2.9235032383670865E-3</v>
      </c>
      <c r="J80" s="20">
        <v>2.1621973944020308E-3</v>
      </c>
      <c r="K80" s="20">
        <v>4.2903407205886407E-5</v>
      </c>
      <c r="L80" s="20">
        <v>0</v>
      </c>
    </row>
    <row r="81" spans="1:12">
      <c r="A81" s="2" t="s">
        <v>440</v>
      </c>
      <c r="B81" s="3" t="s">
        <v>441</v>
      </c>
      <c r="D81" s="20">
        <v>1.4619439809613138E-13</v>
      </c>
      <c r="E81" s="20">
        <v>0.98713214313261399</v>
      </c>
      <c r="F81" s="20">
        <v>9.2800307627292824E-4</v>
      </c>
      <c r="G81" s="20">
        <v>3.609482755193108E-4</v>
      </c>
      <c r="H81" s="20">
        <v>0</v>
      </c>
      <c r="I81" s="20">
        <v>0.9858431917808218</v>
      </c>
      <c r="J81" s="20">
        <v>4.3584568824475678E-4</v>
      </c>
      <c r="K81" s="20">
        <v>1.2432011178994872E-2</v>
      </c>
      <c r="L81" s="20">
        <v>0</v>
      </c>
    </row>
    <row r="82" spans="1:12">
      <c r="A82" s="2" t="s">
        <v>442</v>
      </c>
      <c r="B82" s="3" t="s">
        <v>443</v>
      </c>
      <c r="D82" s="20">
        <v>7.3086751546340444E-5</v>
      </c>
      <c r="E82" s="20">
        <v>0.8972079209825351</v>
      </c>
      <c r="F82" s="20">
        <v>6.2698527841919136E-2</v>
      </c>
      <c r="G82" s="20">
        <v>1.7634083751768136E-2</v>
      </c>
      <c r="H82" s="20">
        <v>0</v>
      </c>
      <c r="I82" s="20">
        <v>0.81687530938884778</v>
      </c>
      <c r="J82" s="20">
        <v>6.1344912916189913E-4</v>
      </c>
      <c r="K82" s="20">
        <v>0.10210554313675663</v>
      </c>
      <c r="L82" s="20">
        <v>0</v>
      </c>
    </row>
    <row r="83" spans="1:12">
      <c r="A83" s="2" t="s">
        <v>444</v>
      </c>
      <c r="B83" s="3" t="s">
        <v>445</v>
      </c>
      <c r="D83" s="20">
        <v>4.7175071665534184E-4</v>
      </c>
      <c r="E83" s="20">
        <v>0.85225658306324692</v>
      </c>
      <c r="F83" s="20">
        <v>0.57800454433867865</v>
      </c>
      <c r="G83" s="20">
        <v>0.12196263768513745</v>
      </c>
      <c r="H83" s="20">
        <v>0</v>
      </c>
      <c r="I83" s="20">
        <v>0.15228940103943081</v>
      </c>
      <c r="J83" s="20">
        <v>1.8854516293003362E-3</v>
      </c>
      <c r="K83" s="20">
        <v>0.14538621459079756</v>
      </c>
      <c r="L83" s="20">
        <v>0</v>
      </c>
    </row>
    <row r="84" spans="1:12">
      <c r="A84" s="2" t="s">
        <v>446</v>
      </c>
      <c r="B84" s="3" t="s">
        <v>447</v>
      </c>
      <c r="D84" s="20">
        <v>4.5718838214671627E-15</v>
      </c>
      <c r="E84" s="20">
        <v>0.97238560444701783</v>
      </c>
      <c r="F84" s="20">
        <v>4.2355895689912288E-3</v>
      </c>
      <c r="G84" s="20">
        <v>1.470989001233713E-3</v>
      </c>
      <c r="H84" s="20">
        <v>0</v>
      </c>
      <c r="I84" s="20">
        <v>0.96667902587679289</v>
      </c>
      <c r="J84" s="20">
        <v>4.4338155556602864E-4</v>
      </c>
      <c r="K84" s="20">
        <v>2.7171013997411765E-2</v>
      </c>
      <c r="L84" s="20">
        <v>0</v>
      </c>
    </row>
    <row r="85" spans="1:12">
      <c r="A85" s="2" t="s">
        <v>448</v>
      </c>
      <c r="B85" s="3" t="s">
        <v>449</v>
      </c>
      <c r="D85" s="20">
        <v>3.1223451991410708E-8</v>
      </c>
      <c r="E85" s="20">
        <v>0.99443012031530287</v>
      </c>
      <c r="F85" s="20">
        <v>1.6877169040407122E-4</v>
      </c>
      <c r="G85" s="20">
        <v>7.4472366680892153E-5</v>
      </c>
      <c r="H85" s="20">
        <v>0</v>
      </c>
      <c r="I85" s="20">
        <v>0.99418687625821789</v>
      </c>
      <c r="J85" s="20">
        <v>4.3542627505595527E-4</v>
      </c>
      <c r="K85" s="20">
        <v>5.1344221861892095E-3</v>
      </c>
      <c r="L85" s="20">
        <v>0</v>
      </c>
    </row>
    <row r="86" spans="1:12">
      <c r="A86" s="2" t="s">
        <v>450</v>
      </c>
      <c r="B86" s="3" t="s">
        <v>451</v>
      </c>
      <c r="D86" s="20">
        <v>1.1492064639362407E-8</v>
      </c>
      <c r="E86" s="20">
        <v>0.97305940065615382</v>
      </c>
      <c r="F86" s="20">
        <v>4.0328934167624978E-3</v>
      </c>
      <c r="G86" s="20">
        <v>1.4057636194954328E-3</v>
      </c>
      <c r="H86" s="20">
        <v>0</v>
      </c>
      <c r="I86" s="20">
        <v>0.96762074361989592</v>
      </c>
      <c r="J86" s="20">
        <v>4.4285480104348069E-4</v>
      </c>
      <c r="K86" s="20">
        <v>2.6497733050738066E-2</v>
      </c>
      <c r="L86" s="20">
        <v>0</v>
      </c>
    </row>
    <row r="87" spans="1:12">
      <c r="A87" s="2" t="s">
        <v>452</v>
      </c>
      <c r="B87" s="3" t="s">
        <v>453</v>
      </c>
      <c r="D87" s="20">
        <v>3.9789345145868643E-8</v>
      </c>
      <c r="E87" s="20">
        <v>0.95463183834169885</v>
      </c>
      <c r="F87" s="20">
        <v>0.22583199748930186</v>
      </c>
      <c r="G87" s="20">
        <v>0.72825090208656529</v>
      </c>
      <c r="H87" s="20">
        <v>0</v>
      </c>
      <c r="I87" s="20">
        <v>5.4893876583164735E-4</v>
      </c>
      <c r="J87" s="20">
        <v>1.1438622474354732E-2</v>
      </c>
      <c r="K87" s="20">
        <v>3.3929499394601229E-2</v>
      </c>
      <c r="L87" s="20">
        <v>0</v>
      </c>
    </row>
    <row r="88" spans="1:12">
      <c r="A88" s="2" t="s">
        <v>454</v>
      </c>
      <c r="B88" s="3" t="s">
        <v>455</v>
      </c>
      <c r="D88" s="20">
        <v>3.6754821221794425E-5</v>
      </c>
      <c r="E88" s="20">
        <v>0.86437102406909638</v>
      </c>
      <c r="F88" s="20">
        <v>0.12143195834028096</v>
      </c>
      <c r="G88" s="20">
        <v>3.2197974666207323E-2</v>
      </c>
      <c r="H88" s="20">
        <v>0</v>
      </c>
      <c r="I88" s="20">
        <v>0.71074109106260808</v>
      </c>
      <c r="J88" s="20">
        <v>7.8133135304042178E-4</v>
      </c>
      <c r="K88" s="20">
        <v>0.13481088975664146</v>
      </c>
      <c r="L88" s="20">
        <v>0</v>
      </c>
    </row>
    <row r="89" spans="1:12">
      <c r="A89" s="2" t="s">
        <v>456</v>
      </c>
      <c r="B89" s="3" t="s">
        <v>457</v>
      </c>
      <c r="D89" s="20">
        <v>2.4274601978868442E-17</v>
      </c>
      <c r="E89" s="20">
        <v>0.89122733309161362</v>
      </c>
      <c r="F89" s="20">
        <v>7.1346192619299281E-2</v>
      </c>
      <c r="G89" s="20">
        <v>1.9845697046498845E-2</v>
      </c>
      <c r="H89" s="20">
        <v>0</v>
      </c>
      <c r="I89" s="20">
        <v>0.80003544342581545</v>
      </c>
      <c r="J89" s="20">
        <v>6.3853998413454537E-4</v>
      </c>
      <c r="K89" s="20">
        <v>0.10813412692425166</v>
      </c>
      <c r="L89" s="20">
        <v>0</v>
      </c>
    </row>
    <row r="90" spans="1:12">
      <c r="A90" s="2" t="s">
        <v>458</v>
      </c>
      <c r="B90" s="3" t="s">
        <v>459</v>
      </c>
      <c r="D90" s="20">
        <v>3.5041226787008608E-29</v>
      </c>
      <c r="E90" s="20">
        <v>0.94658303896717721</v>
      </c>
      <c r="F90" s="20">
        <v>1.5848858450540359E-2</v>
      </c>
      <c r="G90" s="20">
        <v>4.9784430335063018E-3</v>
      </c>
      <c r="H90" s="20">
        <v>0</v>
      </c>
      <c r="I90" s="20">
        <v>0.92575573748313056</v>
      </c>
      <c r="J90" s="20">
        <v>4.7622649173677332E-4</v>
      </c>
      <c r="K90" s="20">
        <v>5.2940734541085742E-2</v>
      </c>
      <c r="L90" s="20">
        <v>0</v>
      </c>
    </row>
    <row r="91" spans="1:12">
      <c r="A91" s="2" t="s">
        <v>460</v>
      </c>
      <c r="B91" s="3" t="s">
        <v>461</v>
      </c>
      <c r="D91" s="20">
        <v>4.1961279618371897E-8</v>
      </c>
      <c r="E91" s="20">
        <v>0.9415981308545871</v>
      </c>
      <c r="F91" s="20">
        <v>0.57038409645926025</v>
      </c>
      <c r="G91" s="20">
        <v>0.36758938642662681</v>
      </c>
      <c r="H91" s="20">
        <v>0</v>
      </c>
      <c r="I91" s="20">
        <v>3.6246479687000572E-3</v>
      </c>
      <c r="J91" s="20">
        <v>5.6716313759167169E-3</v>
      </c>
      <c r="K91" s="20">
        <v>5.273019580821664E-2</v>
      </c>
      <c r="L91" s="20">
        <v>0</v>
      </c>
    </row>
    <row r="92" spans="1:12">
      <c r="A92" s="2" t="s">
        <v>462</v>
      </c>
      <c r="B92" s="3" t="s">
        <v>463</v>
      </c>
      <c r="D92" s="20">
        <v>4.2111584746534685E-9</v>
      </c>
      <c r="E92" s="20">
        <v>0.83725420479701618</v>
      </c>
      <c r="F92" s="20">
        <v>0.50982399224195096</v>
      </c>
      <c r="G92" s="20">
        <v>0.11140785813797255</v>
      </c>
      <c r="H92" s="20">
        <v>0</v>
      </c>
      <c r="I92" s="20">
        <v>0.21602235441709264</v>
      </c>
      <c r="J92" s="20">
        <v>1.7508439540765306E-3</v>
      </c>
      <c r="K92" s="20">
        <v>0.16099494703774891</v>
      </c>
      <c r="L92" s="20">
        <v>0</v>
      </c>
    </row>
    <row r="93" spans="1:12">
      <c r="A93" s="2" t="s">
        <v>464</v>
      </c>
      <c r="B93" s="3" t="s">
        <v>465</v>
      </c>
      <c r="D93" s="20">
        <v>1.7207829892133822E-4</v>
      </c>
      <c r="E93" s="20">
        <v>0.90759497314880166</v>
      </c>
      <c r="F93" s="20">
        <v>0.72634807269322932</v>
      </c>
      <c r="G93" s="20">
        <v>0.13748025970809183</v>
      </c>
      <c r="H93" s="20">
        <v>0</v>
      </c>
      <c r="I93" s="20">
        <v>4.3766640747480497E-2</v>
      </c>
      <c r="J93" s="20">
        <v>2.0889611525205447E-3</v>
      </c>
      <c r="K93" s="20">
        <v>9.0143987399756445E-2</v>
      </c>
      <c r="L93" s="20">
        <v>0</v>
      </c>
    </row>
    <row r="94" spans="1:12">
      <c r="A94" s="2" t="s">
        <v>466</v>
      </c>
      <c r="B94" s="3" t="s">
        <v>467</v>
      </c>
      <c r="D94" s="20">
        <v>1.4262678228743742E-18</v>
      </c>
      <c r="E94" s="20">
        <v>0.99951783128373917</v>
      </c>
      <c r="F94" s="20">
        <v>0.10502479385162145</v>
      </c>
      <c r="G94" s="20">
        <v>1.3801628468547539E-5</v>
      </c>
      <c r="H94" s="20">
        <v>0</v>
      </c>
      <c r="I94" s="20">
        <v>0.89447923580364919</v>
      </c>
      <c r="J94" s="20">
        <v>4.1489789138948881E-4</v>
      </c>
      <c r="K94" s="20">
        <v>6.727082487123551E-5</v>
      </c>
      <c r="L94" s="20">
        <v>0</v>
      </c>
    </row>
    <row r="95" spans="1:12">
      <c r="A95" s="2" t="s">
        <v>468</v>
      </c>
      <c r="B95" s="3" t="s">
        <v>469</v>
      </c>
      <c r="D95" s="20">
        <v>1.6845248577958891E-18</v>
      </c>
      <c r="E95" s="20">
        <v>0.9451510507249945</v>
      </c>
      <c r="F95" s="20">
        <v>0.75092421354202965</v>
      </c>
      <c r="G95" s="20">
        <v>0.18577687949960259</v>
      </c>
      <c r="H95" s="20">
        <v>0</v>
      </c>
      <c r="I95" s="20">
        <v>8.4499576833622983E-3</v>
      </c>
      <c r="J95" s="20">
        <v>2.8388018895924524E-3</v>
      </c>
      <c r="K95" s="20">
        <v>5.2010147385413222E-2</v>
      </c>
      <c r="L95" s="20">
        <v>0</v>
      </c>
    </row>
    <row r="96" spans="1:12">
      <c r="A96" s="2" t="s">
        <v>470</v>
      </c>
      <c r="B96" s="163">
        <v>354656</v>
      </c>
      <c r="D96" s="20">
        <v>2.9164376265112243E-10</v>
      </c>
      <c r="E96" s="20">
        <v>0.98664401802280011</v>
      </c>
      <c r="F96" s="20">
        <v>9.9970387840237341E-4</v>
      </c>
      <c r="G96" s="20">
        <v>3.8669355373481995E-4</v>
      </c>
      <c r="H96" s="20">
        <v>0</v>
      </c>
      <c r="I96" s="20">
        <v>0.98525762059066291</v>
      </c>
      <c r="J96" s="20">
        <v>4.3595671333099289E-4</v>
      </c>
      <c r="K96" s="20">
        <v>1.2920024972225124E-2</v>
      </c>
      <c r="L96" s="20">
        <v>0</v>
      </c>
    </row>
    <row r="97" spans="1:12">
      <c r="A97" s="2" t="s">
        <v>472</v>
      </c>
      <c r="B97" s="3" t="s">
        <v>473</v>
      </c>
      <c r="D97" s="20">
        <v>4.5702365628167168E-10</v>
      </c>
      <c r="E97" s="20">
        <v>0.97204262157522303</v>
      </c>
      <c r="F97" s="20">
        <v>4.340675946399356E-3</v>
      </c>
      <c r="G97" s="20">
        <v>1.5047103911900921E-3</v>
      </c>
      <c r="H97" s="20">
        <v>0</v>
      </c>
      <c r="I97" s="20">
        <v>0.96619723523763357</v>
      </c>
      <c r="J97" s="20">
        <v>4.4365622011676944E-4</v>
      </c>
      <c r="K97" s="20">
        <v>2.7513721747636805E-2</v>
      </c>
      <c r="L97" s="20">
        <v>0</v>
      </c>
    </row>
    <row r="98" spans="1:12">
      <c r="A98" s="2" t="s">
        <v>474</v>
      </c>
      <c r="B98" s="3" t="s">
        <v>475</v>
      </c>
      <c r="D98" s="20">
        <v>3.9553295365226284E-20</v>
      </c>
      <c r="E98" s="20">
        <v>0.93381263037132933</v>
      </c>
      <c r="F98" s="20">
        <v>0.7758921477545474</v>
      </c>
      <c r="G98" s="20">
        <v>0.13794212502036832</v>
      </c>
      <c r="H98" s="20">
        <v>0</v>
      </c>
      <c r="I98" s="20">
        <v>1.9978357596413636E-2</v>
      </c>
      <c r="J98" s="20">
        <v>2.0969178741708813E-3</v>
      </c>
      <c r="K98" s="20">
        <v>6.4090451754499692E-2</v>
      </c>
      <c r="L98" s="20">
        <v>0</v>
      </c>
    </row>
    <row r="99" spans="1:12">
      <c r="A99" s="2" t="s">
        <v>476</v>
      </c>
      <c r="B99" s="3" t="s">
        <v>477</v>
      </c>
      <c r="D99" s="20">
        <v>1.3599299355068928E-7</v>
      </c>
      <c r="E99" s="20">
        <v>0.99601665748722246</v>
      </c>
      <c r="F99" s="20">
        <v>8.2896313642622982E-5</v>
      </c>
      <c r="G99" s="20">
        <v>3.8550567308562915E-5</v>
      </c>
      <c r="H99" s="20">
        <v>0</v>
      </c>
      <c r="I99" s="20">
        <v>0.99589521060627129</v>
      </c>
      <c r="J99" s="20">
        <v>4.3566739208596866E-4</v>
      </c>
      <c r="K99" s="20">
        <v>3.5475391276978512E-3</v>
      </c>
      <c r="L99" s="20">
        <v>0</v>
      </c>
    </row>
    <row r="100" spans="1:12">
      <c r="A100" s="2" t="s">
        <v>478</v>
      </c>
      <c r="B100" s="3" t="s">
        <v>479</v>
      </c>
      <c r="D100" s="20">
        <v>4.8985254422276566E-11</v>
      </c>
      <c r="E100" s="20">
        <v>0.82867723251663372</v>
      </c>
      <c r="F100" s="20">
        <v>0.25958766524539439</v>
      </c>
      <c r="G100" s="20">
        <v>6.3471623608710032E-2</v>
      </c>
      <c r="H100" s="20">
        <v>0</v>
      </c>
      <c r="I100" s="20">
        <v>0.50561794366252932</v>
      </c>
      <c r="J100" s="20">
        <v>1.1554986267292525E-3</v>
      </c>
      <c r="K100" s="20">
        <v>0.17016726880765151</v>
      </c>
      <c r="L100" s="20">
        <v>0</v>
      </c>
    </row>
    <row r="101" spans="1:12">
      <c r="A101" s="2" t="s">
        <v>480</v>
      </c>
      <c r="B101" s="3" t="s">
        <v>481</v>
      </c>
      <c r="D101" s="20">
        <v>3.6709302525070632E-11</v>
      </c>
      <c r="E101" s="20">
        <v>0.9936054649497813</v>
      </c>
      <c r="F101" s="20">
        <v>2.2479922896719191E-4</v>
      </c>
      <c r="G101" s="20">
        <v>9.7115907479438106E-5</v>
      </c>
      <c r="H101" s="20">
        <v>0</v>
      </c>
      <c r="I101" s="20">
        <v>0.99328354981333467</v>
      </c>
      <c r="J101" s="20">
        <v>4.3535103812168945E-4</v>
      </c>
      <c r="K101" s="20">
        <v>5.959183975387812E-3</v>
      </c>
      <c r="L101" s="20">
        <v>0</v>
      </c>
    </row>
    <row r="102" spans="1:12">
      <c r="A102" s="2" t="s">
        <v>482</v>
      </c>
      <c r="B102" s="3" t="s">
        <v>483</v>
      </c>
      <c r="D102" s="20">
        <v>2.29344748302549E-27</v>
      </c>
      <c r="E102" s="20">
        <v>0.99805964053329166</v>
      </c>
      <c r="F102" s="20">
        <v>1.5948046163806048E-5</v>
      </c>
      <c r="G102" s="20">
        <v>8.3753514374729292E-6</v>
      </c>
      <c r="H102" s="20">
        <v>0</v>
      </c>
      <c r="I102" s="20">
        <v>0.99803531713569038</v>
      </c>
      <c r="J102" s="20">
        <v>4.3618067776718535E-4</v>
      </c>
      <c r="K102" s="20">
        <v>1.5041787889412822E-3</v>
      </c>
      <c r="L102" s="20">
        <v>0</v>
      </c>
    </row>
    <row r="103" spans="1:12">
      <c r="A103" s="2" t="s">
        <v>484</v>
      </c>
      <c r="B103" s="3" t="s">
        <v>485</v>
      </c>
      <c r="D103" s="20">
        <v>1.8340835755860703E-13</v>
      </c>
      <c r="E103" s="20">
        <v>0.99613007708554036</v>
      </c>
      <c r="F103" s="20">
        <v>7.7882127401158549E-5</v>
      </c>
      <c r="G103" s="20">
        <v>3.6385920092244505E-5</v>
      </c>
      <c r="H103" s="20">
        <v>0</v>
      </c>
      <c r="I103" s="20">
        <v>0.99601580903804698</v>
      </c>
      <c r="J103" s="20">
        <v>4.3568971620647554E-4</v>
      </c>
      <c r="K103" s="20">
        <v>3.4342331980695352E-3</v>
      </c>
      <c r="L103" s="20">
        <v>0</v>
      </c>
    </row>
    <row r="104" spans="1:12">
      <c r="A104" s="2" t="s">
        <v>486</v>
      </c>
      <c r="B104" s="3" t="s">
        <v>487</v>
      </c>
      <c r="D104" s="20">
        <v>2.3071797004062807E-9</v>
      </c>
      <c r="E104" s="20">
        <v>0.97986939858047295</v>
      </c>
      <c r="F104" s="20">
        <v>2.2620390932076577E-3</v>
      </c>
      <c r="G104" s="20">
        <v>8.2337118012526175E-4</v>
      </c>
      <c r="H104" s="20">
        <v>0</v>
      </c>
      <c r="I104" s="20">
        <v>0.97678398830714008</v>
      </c>
      <c r="J104" s="20">
        <v>4.3849685322626018E-4</v>
      </c>
      <c r="K104" s="20">
        <v>1.96921022591213E-2</v>
      </c>
      <c r="L104" s="20">
        <v>0</v>
      </c>
    </row>
    <row r="105" spans="1:12">
      <c r="A105" s="2" t="s">
        <v>488</v>
      </c>
      <c r="B105" s="3" t="s">
        <v>489</v>
      </c>
      <c r="D105" s="20">
        <v>1.8247095598904223E-16</v>
      </c>
      <c r="E105" s="20">
        <v>0.99775921288230285</v>
      </c>
      <c r="F105" s="20">
        <v>2.2626242201465169E-5</v>
      </c>
      <c r="G105" s="20">
        <v>1.1579984739634364E-5</v>
      </c>
      <c r="H105" s="20">
        <v>0</v>
      </c>
      <c r="I105" s="20">
        <v>0.99772500665536179</v>
      </c>
      <c r="J105" s="20">
        <v>4.3608965477155763E-4</v>
      </c>
      <c r="K105" s="20">
        <v>1.8046974629253971E-3</v>
      </c>
      <c r="L105" s="20">
        <v>0</v>
      </c>
    </row>
    <row r="106" spans="1:12">
      <c r="A106" s="2" t="s">
        <v>490</v>
      </c>
      <c r="B106" s="3" t="s">
        <v>491</v>
      </c>
      <c r="D106" s="20">
        <v>1.0798244454699588E-8</v>
      </c>
      <c r="E106" s="20">
        <v>0.93272846161099399</v>
      </c>
      <c r="F106" s="20">
        <v>2.5396381320849985E-2</v>
      </c>
      <c r="G106" s="20">
        <v>7.6889563362258131E-3</v>
      </c>
      <c r="H106" s="20">
        <v>0</v>
      </c>
      <c r="I106" s="20">
        <v>0.89964312395391821</v>
      </c>
      <c r="J106" s="20">
        <v>5.0422740482333717E-4</v>
      </c>
      <c r="K106" s="20">
        <v>6.6767300185938377E-2</v>
      </c>
      <c r="L106" s="20">
        <v>0</v>
      </c>
    </row>
    <row r="107" spans="1:12">
      <c r="A107" s="2" t="s">
        <v>492</v>
      </c>
      <c r="B107" s="3" t="s">
        <v>493</v>
      </c>
      <c r="D107" s="20">
        <v>1.8395559198992724E-16</v>
      </c>
      <c r="E107" s="20">
        <v>0.94204995037654171</v>
      </c>
      <c r="F107" s="20">
        <v>0.79019027168194356</v>
      </c>
      <c r="G107" s="20">
        <v>0.13715992342894504</v>
      </c>
      <c r="H107" s="20">
        <v>0</v>
      </c>
      <c r="I107" s="20">
        <v>1.4699755265653159E-2</v>
      </c>
      <c r="J107" s="20">
        <v>2.0871268143962786E-3</v>
      </c>
      <c r="K107" s="20">
        <v>5.5862922809061757E-2</v>
      </c>
      <c r="L107" s="20">
        <v>0</v>
      </c>
    </row>
    <row r="108" spans="1:12">
      <c r="A108" s="2" t="s">
        <v>291</v>
      </c>
      <c r="B108" s="3" t="s">
        <v>494</v>
      </c>
      <c r="D108" s="20">
        <v>2.7936614094897924E-10</v>
      </c>
      <c r="E108" s="20">
        <v>0.83732618131926428</v>
      </c>
      <c r="F108" s="20">
        <v>0.20854148077917464</v>
      </c>
      <c r="G108" s="20">
        <v>5.232244237577445E-2</v>
      </c>
      <c r="H108" s="20">
        <v>0</v>
      </c>
      <c r="I108" s="20">
        <v>0.57646225816431518</v>
      </c>
      <c r="J108" s="20">
        <v>1.0205726210884413E-3</v>
      </c>
      <c r="K108" s="20">
        <v>0.1616532457802812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1.1808643365899533E-8</v>
      </c>
      <c r="E2" s="14">
        <v>1.2931744535755988E-4</v>
      </c>
      <c r="F2" s="14">
        <v>6.1718973017924294E-6</v>
      </c>
      <c r="G2" s="14">
        <v>1.797687697422552E-6</v>
      </c>
      <c r="H2" s="14">
        <v>0</v>
      </c>
      <c r="I2" s="14">
        <v>8.2575722951062326E-8</v>
      </c>
      <c r="J2" s="14">
        <v>1.2618585276908141E-5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4.4099467099020225E-7</v>
      </c>
      <c r="E3" s="14">
        <v>1.0349287494384102E-7</v>
      </c>
      <c r="F3" s="14">
        <v>3.837532139812848E-5</v>
      </c>
      <c r="G3" s="14">
        <v>1.0397946562043914E-4</v>
      </c>
      <c r="H3" s="14">
        <v>0</v>
      </c>
      <c r="I3" s="14">
        <v>1.6300115525781064E-6</v>
      </c>
      <c r="J3" s="14">
        <v>5.4707138829201998E-6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6.3799577979416951E-16</v>
      </c>
      <c r="E4" s="14">
        <v>6.5734734920752351E-5</v>
      </c>
      <c r="F4" s="14">
        <v>4.6712863490552569E-5</v>
      </c>
      <c r="G4" s="14">
        <v>1.1151468081427651E-5</v>
      </c>
      <c r="H4" s="14">
        <v>0</v>
      </c>
      <c r="I4" s="14">
        <v>1.9326020057451601E-7</v>
      </c>
      <c r="J4" s="14">
        <v>2.6207673306054894E-5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1.5035669633310223E-8</v>
      </c>
      <c r="E5" s="14">
        <v>1.1138837922848185E-6</v>
      </c>
      <c r="F5" s="14">
        <v>1.088783320350956E-4</v>
      </c>
      <c r="G5" s="14">
        <v>3.1596357164039833E-5</v>
      </c>
      <c r="H5" s="14">
        <v>0</v>
      </c>
      <c r="I5" s="14">
        <v>4.8353219143306973E-7</v>
      </c>
      <c r="J5" s="14">
        <v>7.912859147513342E-6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1.4292206382881912E-9</v>
      </c>
      <c r="E6" s="14">
        <v>4.6037993671053739E-8</v>
      </c>
      <c r="F6" s="14">
        <v>2.4345458788453129E-5</v>
      </c>
      <c r="G6" s="14">
        <v>1.1956760180279322E-4</v>
      </c>
      <c r="H6" s="14">
        <v>0</v>
      </c>
      <c r="I6" s="14">
        <v>1.886969343371328E-6</v>
      </c>
      <c r="J6" s="14">
        <v>4.1525028510729726E-6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2.11879682279533E-9</v>
      </c>
      <c r="E7" s="14">
        <v>9.2513779351104814E-8</v>
      </c>
      <c r="F7" s="14">
        <v>3.613333082556503E-5</v>
      </c>
      <c r="G7" s="14">
        <v>1.0680794338994327E-4</v>
      </c>
      <c r="H7" s="14">
        <v>0</v>
      </c>
      <c r="I7" s="14">
        <v>1.675989382409922E-6</v>
      </c>
      <c r="J7" s="14">
        <v>5.2881038259078635E-6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2.0138365498203027E-8</v>
      </c>
      <c r="E8" s="14">
        <v>2.0738690424312908E-7</v>
      </c>
      <c r="F8" s="14">
        <v>5.5340477624944771E-5</v>
      </c>
      <c r="G8" s="14">
        <v>8.6404917216297944E-5</v>
      </c>
      <c r="H8" s="14">
        <v>0</v>
      </c>
      <c r="I8" s="14">
        <v>1.3461813057501626E-6</v>
      </c>
      <c r="J8" s="14">
        <v>6.6808985832657781E-6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1.3594050223299436E-8</v>
      </c>
      <c r="E9" s="14">
        <v>1.0232128370359423E-5</v>
      </c>
      <c r="F9" s="14">
        <v>1.029834778813175E-4</v>
      </c>
      <c r="G9" s="14">
        <v>2.0223816207259985E-5</v>
      </c>
      <c r="H9" s="14">
        <v>0</v>
      </c>
      <c r="I9" s="14">
        <v>3.0797419165852966E-7</v>
      </c>
      <c r="J9" s="14">
        <v>1.6239009299181249E-5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1.9326845235580916E-10</v>
      </c>
      <c r="E10" s="14">
        <v>1.0363777461687449E-6</v>
      </c>
      <c r="F10" s="14">
        <v>1.0670374280428032E-4</v>
      </c>
      <c r="G10" s="14">
        <v>3.3781210563619099E-5</v>
      </c>
      <c r="H10" s="14">
        <v>0</v>
      </c>
      <c r="I10" s="14">
        <v>5.1740219382881668E-7</v>
      </c>
      <c r="J10" s="14">
        <v>7.9610734236506455E-6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1.0072638022491473E-8</v>
      </c>
      <c r="E11" s="14">
        <v>9.1601025786066831E-7</v>
      </c>
      <c r="F11" s="14">
        <v>1.0283996293165765E-4</v>
      </c>
      <c r="G11" s="14">
        <v>3.7640680537574256E-5</v>
      </c>
      <c r="H11" s="14">
        <v>0</v>
      </c>
      <c r="I11" s="14">
        <v>5.7734416065380351E-7</v>
      </c>
      <c r="J11" s="14">
        <v>8.0159294742310856E-6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6.9521699770837854E-9</v>
      </c>
      <c r="E12" s="14">
        <v>6.4191495215321481E-6</v>
      </c>
      <c r="F12" s="14">
        <v>1.0922927879753101E-4</v>
      </c>
      <c r="G12" s="14">
        <v>2.0636432512624901E-5</v>
      </c>
      <c r="H12" s="14">
        <v>0</v>
      </c>
      <c r="I12" s="14">
        <v>3.1354710786151254E-7</v>
      </c>
      <c r="J12" s="14">
        <v>1.3394639890473314E-5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2.1111198023982057E-8</v>
      </c>
      <c r="E13" s="14">
        <v>9.7951251547950768E-6</v>
      </c>
      <c r="F13" s="14">
        <v>1.0364099262033059E-4</v>
      </c>
      <c r="G13" s="14">
        <v>2.0278093404229451E-5</v>
      </c>
      <c r="H13" s="14">
        <v>0</v>
      </c>
      <c r="I13" s="14">
        <v>3.0869554277222277E-7</v>
      </c>
      <c r="J13" s="14">
        <v>1.5955982079848646E-5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6.7198982215171893E-9</v>
      </c>
      <c r="E14" s="14">
        <v>6.0849891101047658E-7</v>
      </c>
      <c r="F14" s="14">
        <v>8.9347289022034885E-5</v>
      </c>
      <c r="G14" s="14">
        <v>5.1271607630704695E-5</v>
      </c>
      <c r="H14" s="14">
        <v>0</v>
      </c>
      <c r="I14" s="14">
        <v>7.9010105490844906E-7</v>
      </c>
      <c r="J14" s="14">
        <v>7.9757834831199503E-6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1.0961690266559041E-11</v>
      </c>
      <c r="E15" s="14">
        <v>9.7484290787168126E-7</v>
      </c>
      <c r="F15" s="14">
        <v>1.0480842888432678E-4</v>
      </c>
      <c r="G15" s="14">
        <v>3.5677282413894453E-5</v>
      </c>
      <c r="H15" s="14">
        <v>0</v>
      </c>
      <c r="I15" s="14">
        <v>5.468328406237069E-7</v>
      </c>
      <c r="J15" s="14">
        <v>7.9926019915930802E-6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5.2338420759549224E-8</v>
      </c>
      <c r="E16" s="14">
        <v>2.1463360706466344E-7</v>
      </c>
      <c r="F16" s="14">
        <v>5.6291043379231143E-5</v>
      </c>
      <c r="G16" s="14">
        <v>8.5375813318824318E-5</v>
      </c>
      <c r="H16" s="14">
        <v>0</v>
      </c>
      <c r="I16" s="14">
        <v>1.3297184199094611E-6</v>
      </c>
      <c r="J16" s="14">
        <v>6.7364528542108291E-6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3.8626360666151321E-9</v>
      </c>
      <c r="E17" s="14">
        <v>1.0876293065920908E-6</v>
      </c>
      <c r="F17" s="14">
        <v>1.0816891553326746E-4</v>
      </c>
      <c r="G17" s="14">
        <v>3.2314543937408369E-5</v>
      </c>
      <c r="H17" s="14">
        <v>0</v>
      </c>
      <c r="I17" s="14">
        <v>4.9466029960247112E-7</v>
      </c>
      <c r="J17" s="14">
        <v>7.9303882870629573E-6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4.1284139170133672E-7</v>
      </c>
      <c r="E18" s="14">
        <v>1.2386264316439427E-5</v>
      </c>
      <c r="F18" s="14">
        <v>9.9540981278130271E-5</v>
      </c>
      <c r="G18" s="14">
        <v>1.9874557731838117E-5</v>
      </c>
      <c r="H18" s="14">
        <v>0</v>
      </c>
      <c r="I18" s="14">
        <v>3.0324345986829999E-7</v>
      </c>
      <c r="J18" s="14">
        <v>1.7482111822022527E-5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3.8421167687483588E-11</v>
      </c>
      <c r="E19" s="14">
        <v>9.6287003110261036E-7</v>
      </c>
      <c r="F19" s="14">
        <v>1.0442133566566464E-4</v>
      </c>
      <c r="G19" s="14">
        <v>3.6064905569536031E-5</v>
      </c>
      <c r="H19" s="14">
        <v>0</v>
      </c>
      <c r="I19" s="14">
        <v>5.5285362146685474E-7</v>
      </c>
      <c r="J19" s="14">
        <v>7.9979966910621327E-6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3.1956908146601952E-9</v>
      </c>
      <c r="E20" s="14">
        <v>9.7962952170400304E-6</v>
      </c>
      <c r="F20" s="14">
        <v>1.0365337290241766E-4</v>
      </c>
      <c r="G20" s="14">
        <v>2.0280515694002877E-5</v>
      </c>
      <c r="H20" s="14">
        <v>0</v>
      </c>
      <c r="I20" s="14">
        <v>3.0873241754350702E-7</v>
      </c>
      <c r="J20" s="14">
        <v>1.5957888078181262E-5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5.6254583708776867E-8</v>
      </c>
      <c r="E21" s="14">
        <v>6.8801043498639048E-7</v>
      </c>
      <c r="F21" s="14">
        <v>9.3449417690774254E-5</v>
      </c>
      <c r="G21" s="14">
        <v>4.706219238849697E-5</v>
      </c>
      <c r="H21" s="14">
        <v>0</v>
      </c>
      <c r="I21" s="14">
        <v>7.2423187303804669E-7</v>
      </c>
      <c r="J21" s="14">
        <v>8.0198930289955405E-6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2.741033483174677E-7</v>
      </c>
      <c r="E22" s="14">
        <v>1.008721902218645E-4</v>
      </c>
      <c r="F22" s="14">
        <v>2.1584054306009839E-5</v>
      </c>
      <c r="G22" s="14">
        <v>5.6289654160631088E-6</v>
      </c>
      <c r="H22" s="14">
        <v>0</v>
      </c>
      <c r="I22" s="14">
        <v>1.2649663852225583E-7</v>
      </c>
      <c r="J22" s="14">
        <v>2.1514190069222837E-5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1.1146104728437212E-8</v>
      </c>
      <c r="E23" s="14">
        <v>1.2170830925568319E-4</v>
      </c>
      <c r="F23" s="14">
        <v>9.8206855080947527E-6</v>
      </c>
      <c r="G23" s="14">
        <v>2.7519298501722242E-6</v>
      </c>
      <c r="H23" s="14">
        <v>0</v>
      </c>
      <c r="I23" s="14">
        <v>9.3224424680149554E-8</v>
      </c>
      <c r="J23" s="14">
        <v>1.56147048566412E-5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1.0301857258616856E-8</v>
      </c>
      <c r="E24" s="14">
        <v>3.1838502881763699E-5</v>
      </c>
      <c r="F24" s="14">
        <v>7.7043182152592286E-5</v>
      </c>
      <c r="G24" s="14">
        <v>1.6804661458731142E-5</v>
      </c>
      <c r="H24" s="14">
        <v>0</v>
      </c>
      <c r="I24" s="14">
        <v>2.6380969341896894E-7</v>
      </c>
      <c r="J24" s="14">
        <v>2.4039541956235302E-5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1.6943640936511878E-6</v>
      </c>
      <c r="E25" s="14">
        <v>3.4099173248934672E-6</v>
      </c>
      <c r="F25" s="14">
        <v>1.1397915259006335E-4</v>
      </c>
      <c r="G25" s="14">
        <v>2.0489010222885658E-5</v>
      </c>
      <c r="H25" s="14">
        <v>0</v>
      </c>
      <c r="I25" s="14">
        <v>3.1135593183566048E-7</v>
      </c>
      <c r="J25" s="14">
        <v>1.011619983667066E-5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4.5143436504362237E-8</v>
      </c>
      <c r="E26" s="14">
        <v>7.4540401258345624E-7</v>
      </c>
      <c r="F26" s="14">
        <v>9.6119897852016265E-5</v>
      </c>
      <c r="G26" s="14">
        <v>4.4371984843600205E-5</v>
      </c>
      <c r="H26" s="14">
        <v>0</v>
      </c>
      <c r="I26" s="14">
        <v>6.8221100402033727E-7</v>
      </c>
      <c r="J26" s="14">
        <v>8.0353588512753383E-6</v>
      </c>
      <c r="K26" s="14">
        <v>0</v>
      </c>
    </row>
    <row r="27" spans="1:13">
      <c r="A27" s="2" t="s">
        <v>353</v>
      </c>
      <c r="B27" s="3" t="s">
        <v>354</v>
      </c>
      <c r="D27" s="14">
        <v>3.0597135126449897E-7</v>
      </c>
      <c r="E27" s="14">
        <v>1.1388273129989706E-7</v>
      </c>
      <c r="F27" s="14">
        <v>4.0438910726607126E-5</v>
      </c>
      <c r="G27" s="14">
        <v>1.0190488522438409E-4</v>
      </c>
      <c r="H27" s="14">
        <v>0</v>
      </c>
      <c r="I27" s="14">
        <v>1.5961899575813913E-6</v>
      </c>
      <c r="J27" s="14">
        <v>5.6401600088629652E-6</v>
      </c>
      <c r="K27" s="14">
        <v>0</v>
      </c>
    </row>
    <row r="28" spans="1:13">
      <c r="A28" s="2" t="s">
        <v>355</v>
      </c>
      <c r="B28" s="3" t="s">
        <v>356</v>
      </c>
      <c r="D28" s="14">
        <v>1.6920226851070933E-8</v>
      </c>
      <c r="E28" s="14">
        <v>4.1085000004567329E-7</v>
      </c>
      <c r="F28" s="14">
        <v>7.6212264437905677E-5</v>
      </c>
      <c r="G28" s="14">
        <v>6.4702404595304449E-5</v>
      </c>
      <c r="H28" s="14">
        <v>0</v>
      </c>
      <c r="I28" s="14">
        <v>1.0012977694204488E-6</v>
      </c>
      <c r="J28" s="14">
        <v>7.6562629704726503E-6</v>
      </c>
      <c r="K28" s="14">
        <v>0</v>
      </c>
    </row>
    <row r="29" spans="1:13">
      <c r="A29" s="2" t="s">
        <v>357</v>
      </c>
      <c r="B29" s="3" t="s">
        <v>358</v>
      </c>
      <c r="D29" s="14">
        <v>3.4289878766942542E-6</v>
      </c>
      <c r="E29" s="14">
        <v>6.1978785191343647E-7</v>
      </c>
      <c r="F29" s="14">
        <v>8.8671618166991857E-5</v>
      </c>
      <c r="G29" s="14">
        <v>4.8716961054100782E-5</v>
      </c>
      <c r="H29" s="14">
        <v>0</v>
      </c>
      <c r="I29" s="14">
        <v>7.5038646332102958E-7</v>
      </c>
      <c r="J29" s="14">
        <v>7.8122585869785925E-6</v>
      </c>
      <c r="K29" s="14">
        <v>0</v>
      </c>
    </row>
    <row r="30" spans="1:13">
      <c r="A30" s="2" t="s">
        <v>359</v>
      </c>
      <c r="B30" s="3" t="s">
        <v>360</v>
      </c>
      <c r="D30" s="14">
        <v>1.6920226851070933E-8</v>
      </c>
      <c r="E30" s="14">
        <v>4.1085000004567329E-7</v>
      </c>
      <c r="F30" s="14">
        <v>7.6212264437905677E-5</v>
      </c>
      <c r="G30" s="14">
        <v>6.4702404595304449E-5</v>
      </c>
      <c r="H30" s="14">
        <v>0</v>
      </c>
      <c r="I30" s="14">
        <v>1.0012977694204488E-6</v>
      </c>
      <c r="J30" s="14">
        <v>7.6562629704726503E-6</v>
      </c>
      <c r="K30" s="14">
        <v>0</v>
      </c>
    </row>
    <row r="31" spans="1:13">
      <c r="A31" s="2" t="s">
        <v>283</v>
      </c>
      <c r="B31" s="3" t="s">
        <v>284</v>
      </c>
      <c r="D31" s="14">
        <v>3.0993320444805556E-12</v>
      </c>
      <c r="E31" s="14">
        <v>1.4830821795071687E-4</v>
      </c>
      <c r="F31" s="14">
        <v>9.1261329402144299E-8</v>
      </c>
      <c r="G31" s="14">
        <v>3.662539744721086E-8</v>
      </c>
      <c r="H31" s="14">
        <v>0</v>
      </c>
      <c r="I31" s="14">
        <v>6.5316244019278562E-8</v>
      </c>
      <c r="J31" s="14">
        <v>1.4985759790824309E-6</v>
      </c>
      <c r="K31" s="14">
        <v>0</v>
      </c>
    </row>
    <row r="32" spans="1:13">
      <c r="A32" s="2" t="s">
        <v>361</v>
      </c>
      <c r="B32" s="3" t="s">
        <v>362</v>
      </c>
      <c r="D32" s="14">
        <v>3.0565885550565898E-12</v>
      </c>
      <c r="E32" s="14">
        <v>7.999452466889025E-5</v>
      </c>
      <c r="F32" s="14">
        <v>3.5961165354249251E-5</v>
      </c>
      <c r="G32" s="14">
        <v>8.8665040842858716E-6</v>
      </c>
      <c r="H32" s="14">
        <v>0</v>
      </c>
      <c r="I32" s="14">
        <v>1.7153726297740334E-7</v>
      </c>
      <c r="J32" s="14">
        <v>2.5006265573008684E-5</v>
      </c>
      <c r="K32" s="14">
        <v>0</v>
      </c>
    </row>
    <row r="33" spans="1:11">
      <c r="A33" s="2" t="s">
        <v>364</v>
      </c>
      <c r="B33" s="3" t="s">
        <v>365</v>
      </c>
      <c r="D33" s="14">
        <v>1.4077986689980098E-14</v>
      </c>
      <c r="E33" s="14">
        <v>1.4930068948561061E-4</v>
      </c>
      <c r="F33" s="14">
        <v>6.3009116151263379E-7</v>
      </c>
      <c r="G33" s="14">
        <v>1.9267737028413085E-10</v>
      </c>
      <c r="H33" s="14">
        <v>0</v>
      </c>
      <c r="I33" s="14">
        <v>6.541316914991109E-8</v>
      </c>
      <c r="J33" s="14">
        <v>3.6134922785250802E-9</v>
      </c>
      <c r="K33" s="14">
        <v>0</v>
      </c>
    </row>
    <row r="34" spans="1:11">
      <c r="A34" s="2" t="s">
        <v>285</v>
      </c>
      <c r="B34" s="3" t="s">
        <v>286</v>
      </c>
      <c r="D34" s="14">
        <v>4.1864417040631673E-14</v>
      </c>
      <c r="E34" s="14">
        <v>8.2125096226232119E-5</v>
      </c>
      <c r="F34" s="14">
        <v>6.7807458332017219E-5</v>
      </c>
      <c r="G34" s="14">
        <v>5.5686762905810179E-9</v>
      </c>
      <c r="H34" s="14">
        <v>0</v>
      </c>
      <c r="I34" s="14">
        <v>4.9561327239690331E-8</v>
      </c>
      <c r="J34" s="14">
        <v>1.2315396355941377E-8</v>
      </c>
      <c r="K34" s="14">
        <v>0</v>
      </c>
    </row>
    <row r="35" spans="1:11">
      <c r="A35" s="2" t="s">
        <v>287</v>
      </c>
      <c r="B35" s="3" t="s">
        <v>288</v>
      </c>
      <c r="D35" s="14">
        <v>1.2197232152929147E-15</v>
      </c>
      <c r="E35" s="14">
        <v>4.8629807789387956E-5</v>
      </c>
      <c r="F35" s="14">
        <v>1.0128010136639357E-4</v>
      </c>
      <c r="G35" s="14">
        <v>1.9613335168576391E-8</v>
      </c>
      <c r="H35" s="14">
        <v>0</v>
      </c>
      <c r="I35" s="14">
        <v>4.0661611431745679E-8</v>
      </c>
      <c r="J35" s="14">
        <v>2.981589639837377E-8</v>
      </c>
      <c r="K35" s="14">
        <v>0</v>
      </c>
    </row>
    <row r="36" spans="1:11">
      <c r="A36" s="2" t="s">
        <v>366</v>
      </c>
      <c r="B36" s="3" t="s">
        <v>305</v>
      </c>
      <c r="D36" s="14">
        <v>2.1505213675813463E-12</v>
      </c>
      <c r="E36" s="14">
        <v>1.6222877369087455E-5</v>
      </c>
      <c r="F36" s="14">
        <v>1.3367477434133622E-4</v>
      </c>
      <c r="G36" s="14">
        <v>3.8272888760262494E-8</v>
      </c>
      <c r="H36" s="14">
        <v>0</v>
      </c>
      <c r="I36" s="14">
        <v>3.0746906985821539E-8</v>
      </c>
      <c r="J36" s="14">
        <v>3.3326343308856572E-8</v>
      </c>
      <c r="K36" s="14">
        <v>0</v>
      </c>
    </row>
    <row r="37" spans="1:11">
      <c r="A37" s="2" t="s">
        <v>289</v>
      </c>
      <c r="B37" s="3" t="s">
        <v>290</v>
      </c>
      <c r="D37" s="14">
        <v>5.0981195217765571E-19</v>
      </c>
      <c r="E37" s="14">
        <v>3.2539683871405016E-5</v>
      </c>
      <c r="F37" s="14">
        <v>1.0898705155583556E-4</v>
      </c>
      <c r="G37" s="14">
        <v>3.7208692101558241E-6</v>
      </c>
      <c r="H37" s="14">
        <v>0</v>
      </c>
      <c r="I37" s="14">
        <v>8.6437360626528517E-8</v>
      </c>
      <c r="J37" s="14">
        <v>4.6659580019765404E-6</v>
      </c>
      <c r="K37" s="14">
        <v>0</v>
      </c>
    </row>
    <row r="38" spans="1:11">
      <c r="A38" s="2" t="s">
        <v>291</v>
      </c>
      <c r="B38" s="3" t="s">
        <v>292</v>
      </c>
      <c r="D38" s="14">
        <v>1.4105518129216688E-16</v>
      </c>
      <c r="E38" s="14">
        <v>9.205287273543117E-5</v>
      </c>
      <c r="F38" s="14">
        <v>5.7726990995629541E-5</v>
      </c>
      <c r="G38" s="14">
        <v>4.8227635322769038E-8</v>
      </c>
      <c r="H38" s="14">
        <v>0</v>
      </c>
      <c r="I38" s="14">
        <v>5.2676754233747857E-8</v>
      </c>
      <c r="J38" s="14">
        <v>1.1923187924167719E-7</v>
      </c>
      <c r="K38" s="14">
        <v>0</v>
      </c>
    </row>
    <row r="39" spans="1:11">
      <c r="A39" s="2" t="s">
        <v>367</v>
      </c>
      <c r="B39" s="3" t="s">
        <v>368</v>
      </c>
      <c r="D39" s="14">
        <v>1.8098061414981853E-9</v>
      </c>
      <c r="E39" s="14">
        <v>1.6574833239304932E-6</v>
      </c>
      <c r="F39" s="14">
        <v>1.1966048036879681E-4</v>
      </c>
      <c r="G39" s="14">
        <v>2.0900000539718386E-5</v>
      </c>
      <c r="H39" s="14">
        <v>0</v>
      </c>
      <c r="I39" s="14">
        <v>3.1844118985365384E-7</v>
      </c>
      <c r="J39" s="14">
        <v>7.4617847715591173E-6</v>
      </c>
      <c r="K39" s="14">
        <v>0</v>
      </c>
    </row>
    <row r="40" spans="1:11">
      <c r="A40" s="2" t="s">
        <v>369</v>
      </c>
      <c r="B40" s="3" t="s">
        <v>370</v>
      </c>
      <c r="D40" s="14">
        <v>1.0785096533852684E-16</v>
      </c>
      <c r="E40" s="14">
        <v>1.5118075951362999E-7</v>
      </c>
      <c r="F40" s="14">
        <v>1.3793614909585181E-4</v>
      </c>
      <c r="G40" s="14">
        <v>9.9792631297775685E-6</v>
      </c>
      <c r="H40" s="14">
        <v>0</v>
      </c>
      <c r="I40" s="14">
        <v>1.7503464091184223E-6</v>
      </c>
      <c r="J40" s="14">
        <v>1.8306060563068927E-7</v>
      </c>
      <c r="K40" s="14">
        <v>0</v>
      </c>
    </row>
    <row r="41" spans="1:11">
      <c r="A41" s="2" t="s">
        <v>371</v>
      </c>
      <c r="B41" s="3" t="s">
        <v>372</v>
      </c>
      <c r="D41" s="14">
        <v>9.7431648694637672E-6</v>
      </c>
      <c r="E41" s="14">
        <v>1.3989337939941367E-4</v>
      </c>
      <c r="F41" s="14">
        <v>4.2827106739899018E-9</v>
      </c>
      <c r="G41" s="14">
        <v>2.1439482152574813E-9</v>
      </c>
      <c r="H41" s="14">
        <v>0</v>
      </c>
      <c r="I41" s="14">
        <v>6.1152409213131759E-8</v>
      </c>
      <c r="J41" s="14">
        <v>2.9587666302018129E-7</v>
      </c>
      <c r="K41" s="14">
        <v>0</v>
      </c>
    </row>
    <row r="42" spans="1:11">
      <c r="A42" s="2" t="s">
        <v>293</v>
      </c>
      <c r="B42" s="3" t="s">
        <v>294</v>
      </c>
      <c r="D42" s="14">
        <v>2.4698509458107896E-12</v>
      </c>
      <c r="E42" s="14">
        <v>9.5057820958563129E-5</v>
      </c>
      <c r="F42" s="14">
        <v>2.5473547440408165E-5</v>
      </c>
      <c r="G42" s="14">
        <v>6.5340880769268118E-6</v>
      </c>
      <c r="H42" s="14">
        <v>0</v>
      </c>
      <c r="I42" s="14">
        <v>1.3734652874296341E-7</v>
      </c>
      <c r="J42" s="14">
        <v>2.2797194525507947E-5</v>
      </c>
      <c r="K42" s="14">
        <v>0</v>
      </c>
    </row>
    <row r="43" spans="1:11">
      <c r="A43" s="2" t="s">
        <v>373</v>
      </c>
      <c r="B43" s="3" t="s">
        <v>374</v>
      </c>
      <c r="D43" s="14">
        <v>5.0323071872066502E-12</v>
      </c>
      <c r="E43" s="14">
        <v>1.3224824637682009E-6</v>
      </c>
      <c r="F43" s="14">
        <v>1.4847437174920404E-4</v>
      </c>
      <c r="G43" s="14">
        <v>1.2536416654859913E-7</v>
      </c>
      <c r="H43" s="14">
        <v>0</v>
      </c>
      <c r="I43" s="14">
        <v>5.1079134690821483E-8</v>
      </c>
      <c r="J43" s="14">
        <v>2.6697453481113159E-8</v>
      </c>
      <c r="K43" s="14">
        <v>0</v>
      </c>
    </row>
    <row r="44" spans="1:11">
      <c r="A44" s="2" t="s">
        <v>375</v>
      </c>
      <c r="B44" s="3" t="s">
        <v>376</v>
      </c>
      <c r="D44" s="14">
        <v>1.0943031669354058E-5</v>
      </c>
      <c r="E44" s="14">
        <v>1.2592001480292702E-4</v>
      </c>
      <c r="F44" s="14">
        <v>3.2162984422998125E-6</v>
      </c>
      <c r="G44" s="14">
        <v>9.8096134843692224E-7</v>
      </c>
      <c r="H44" s="14">
        <v>0</v>
      </c>
      <c r="I44" s="14">
        <v>6.9189319717058565E-8</v>
      </c>
      <c r="J44" s="14">
        <v>8.8705044172650928E-6</v>
      </c>
      <c r="K44" s="14">
        <v>0</v>
      </c>
    </row>
    <row r="45" spans="1:11">
      <c r="A45" s="2" t="s">
        <v>377</v>
      </c>
      <c r="B45" s="3" t="s">
        <v>378</v>
      </c>
      <c r="D45" s="14">
        <v>9.4670894869964459E-8</v>
      </c>
      <c r="E45" s="14">
        <v>8.9341572509960782E-5</v>
      </c>
      <c r="F45" s="14">
        <v>2.9243891679421866E-5</v>
      </c>
      <c r="G45" s="14">
        <v>7.3914683559957389E-6</v>
      </c>
      <c r="H45" s="14">
        <v>0</v>
      </c>
      <c r="I45" s="14">
        <v>1.4755920204802539E-7</v>
      </c>
      <c r="J45" s="14">
        <v>2.3780837357703615E-5</v>
      </c>
      <c r="K45" s="14">
        <v>0</v>
      </c>
    </row>
    <row r="46" spans="1:11">
      <c r="A46" s="2" t="s">
        <v>379</v>
      </c>
      <c r="B46" s="3" t="s">
        <v>380</v>
      </c>
      <c r="D46" s="14">
        <v>2.8338611607749583E-7</v>
      </c>
      <c r="E46" s="14">
        <v>9.279309900148361E-5</v>
      </c>
      <c r="F46" s="14">
        <v>2.680385459877686E-5</v>
      </c>
      <c r="G46" s="14">
        <v>6.8374286710914375E-6</v>
      </c>
      <c r="H46" s="14">
        <v>0</v>
      </c>
      <c r="I46" s="14">
        <v>1.408529117605743E-7</v>
      </c>
      <c r="J46" s="14">
        <v>2.3141378700809993E-5</v>
      </c>
      <c r="K46" s="14">
        <v>0</v>
      </c>
    </row>
    <row r="47" spans="1:11">
      <c r="A47" s="2" t="s">
        <v>381</v>
      </c>
      <c r="B47" s="3" t="s">
        <v>382</v>
      </c>
      <c r="D47" s="14">
        <v>5.1965129909600829E-12</v>
      </c>
      <c r="E47" s="14">
        <v>1.0379803389052711E-7</v>
      </c>
      <c r="F47" s="14">
        <v>3.8488474817269143E-5</v>
      </c>
      <c r="G47" s="14">
        <v>1.0428605932771545E-4</v>
      </c>
      <c r="H47" s="14">
        <v>0</v>
      </c>
      <c r="I47" s="14">
        <v>1.6348178023681599E-6</v>
      </c>
      <c r="J47" s="14">
        <v>5.4868448222436913E-6</v>
      </c>
      <c r="K47" s="14">
        <v>0</v>
      </c>
    </row>
    <row r="48" spans="1:11">
      <c r="A48" s="2" t="s">
        <v>383</v>
      </c>
      <c r="B48" s="3" t="s">
        <v>384</v>
      </c>
      <c r="D48" s="14">
        <v>1.4404045148979444E-6</v>
      </c>
      <c r="E48" s="14">
        <v>1.4208936846165851E-4</v>
      </c>
      <c r="F48" s="14">
        <v>9.8878793431436783E-7</v>
      </c>
      <c r="G48" s="14">
        <v>3.3189347452072869E-7</v>
      </c>
      <c r="H48" s="14">
        <v>0</v>
      </c>
      <c r="I48" s="14">
        <v>6.6837918183503758E-8</v>
      </c>
      <c r="J48" s="14">
        <v>5.0827076964248722E-6</v>
      </c>
      <c r="K48" s="14">
        <v>0</v>
      </c>
    </row>
    <row r="49" spans="1:11">
      <c r="A49" s="2" t="s">
        <v>385</v>
      </c>
      <c r="B49" s="3" t="s">
        <v>386</v>
      </c>
      <c r="D49" s="14">
        <v>2.7369325517848159E-6</v>
      </c>
      <c r="E49" s="14">
        <v>1.3798796342151122E-4</v>
      </c>
      <c r="F49" s="14">
        <v>1.7942492741912377E-6</v>
      </c>
      <c r="G49" s="14">
        <v>5.75146305745489E-7</v>
      </c>
      <c r="H49" s="14">
        <v>0</v>
      </c>
      <c r="I49" s="14">
        <v>6.8563998639229531E-8</v>
      </c>
      <c r="J49" s="14">
        <v>6.8371444481279736E-6</v>
      </c>
      <c r="K49" s="14">
        <v>0</v>
      </c>
    </row>
    <row r="50" spans="1:11">
      <c r="A50" s="2" t="s">
        <v>387</v>
      </c>
      <c r="B50" s="3" t="s">
        <v>388</v>
      </c>
      <c r="D50" s="14">
        <v>8.9500681535220822E-7</v>
      </c>
      <c r="E50" s="14">
        <v>1.3157199274247583E-5</v>
      </c>
      <c r="F50" s="14">
        <v>9.8094583315511277E-5</v>
      </c>
      <c r="G50" s="14">
        <v>1.969430149367119E-5</v>
      </c>
      <c r="H50" s="14">
        <v>0</v>
      </c>
      <c r="I50" s="14">
        <v>3.0073704764868866E-7</v>
      </c>
      <c r="J50" s="14">
        <v>1.7858172053569045E-5</v>
      </c>
      <c r="K50" s="14">
        <v>0</v>
      </c>
    </row>
    <row r="51" spans="1:11">
      <c r="A51" s="2" t="s">
        <v>295</v>
      </c>
      <c r="B51" s="3" t="s">
        <v>296</v>
      </c>
      <c r="D51" s="14">
        <v>7.8947862884854164E-6</v>
      </c>
      <c r="E51" s="14">
        <v>1.3989348460999816E-4</v>
      </c>
      <c r="F51" s="14">
        <v>1.5687692301447843E-7</v>
      </c>
      <c r="G51" s="14">
        <v>6.0235791014719163E-8</v>
      </c>
      <c r="H51" s="14">
        <v>0</v>
      </c>
      <c r="I51" s="14">
        <v>6.1976055233626258E-8</v>
      </c>
      <c r="J51" s="14">
        <v>1.9326403322535645E-6</v>
      </c>
      <c r="K51" s="14">
        <v>0</v>
      </c>
    </row>
    <row r="52" spans="1:11">
      <c r="A52" s="2" t="s">
        <v>389</v>
      </c>
      <c r="B52" s="3" t="s">
        <v>390</v>
      </c>
      <c r="D52" s="14">
        <v>9.0409192673226211E-6</v>
      </c>
      <c r="E52" s="14">
        <v>1.2182311527340335E-4</v>
      </c>
      <c r="F52" s="14">
        <v>5.6706295339058609E-6</v>
      </c>
      <c r="G52" s="14">
        <v>1.6547288194822519E-6</v>
      </c>
      <c r="H52" s="14">
        <v>0</v>
      </c>
      <c r="I52" s="14">
        <v>7.7223985571644698E-8</v>
      </c>
      <c r="J52" s="14">
        <v>1.1733383120314246E-5</v>
      </c>
      <c r="K52" s="14">
        <v>0</v>
      </c>
    </row>
    <row r="53" spans="1:11">
      <c r="A53" s="2" t="s">
        <v>391</v>
      </c>
      <c r="B53" s="3" t="s">
        <v>392</v>
      </c>
      <c r="D53" s="14">
        <v>2.8407712238455892E-7</v>
      </c>
      <c r="E53" s="14">
        <v>7.0270552800242854E-5</v>
      </c>
      <c r="F53" s="14">
        <v>4.2978865202326308E-5</v>
      </c>
      <c r="G53" s="14">
        <v>1.0374101665402086E-5</v>
      </c>
      <c r="H53" s="14">
        <v>0</v>
      </c>
      <c r="I53" s="14">
        <v>1.8362576457412515E-7</v>
      </c>
      <c r="J53" s="14">
        <v>2.5908777445070035E-5</v>
      </c>
      <c r="K53" s="14">
        <v>0</v>
      </c>
    </row>
    <row r="54" spans="1:11">
      <c r="A54" s="2" t="s">
        <v>393</v>
      </c>
      <c r="B54" s="3" t="s">
        <v>394</v>
      </c>
      <c r="D54" s="14">
        <v>2.4017710333739714E-8</v>
      </c>
      <c r="E54" s="14">
        <v>1.4524082685679733E-7</v>
      </c>
      <c r="F54" s="14">
        <v>4.6084012634039242E-5</v>
      </c>
      <c r="G54" s="14">
        <v>9.6171378768348267E-5</v>
      </c>
      <c r="H54" s="14">
        <v>0</v>
      </c>
      <c r="I54" s="14">
        <v>1.5032032518620482E-6</v>
      </c>
      <c r="J54" s="14">
        <v>6.0721468085598704E-6</v>
      </c>
      <c r="K54" s="14">
        <v>0</v>
      </c>
    </row>
    <row r="55" spans="1:11">
      <c r="A55" s="2" t="s">
        <v>395</v>
      </c>
      <c r="B55" s="3" t="s">
        <v>396</v>
      </c>
      <c r="D55" s="14">
        <v>1.8968758135896579E-5</v>
      </c>
      <c r="E55" s="14">
        <v>2.4987108868148877E-5</v>
      </c>
      <c r="F55" s="14">
        <v>7.0251820556560622E-5</v>
      </c>
      <c r="G55" s="14">
        <v>1.5154902223058083E-5</v>
      </c>
      <c r="H55" s="14">
        <v>0</v>
      </c>
      <c r="I55" s="14">
        <v>2.364992998905984E-7</v>
      </c>
      <c r="J55" s="14">
        <v>2.0400910916445217E-5</v>
      </c>
      <c r="K55" s="14">
        <v>0</v>
      </c>
    </row>
    <row r="56" spans="1:11">
      <c r="A56" s="2" t="s">
        <v>397</v>
      </c>
      <c r="B56" s="3" t="s">
        <v>398</v>
      </c>
      <c r="D56" s="14">
        <v>8.5741318111627769E-5</v>
      </c>
      <c r="E56" s="14">
        <v>2.9425731351985149E-6</v>
      </c>
      <c r="F56" s="14">
        <v>4.6452473046231515E-5</v>
      </c>
      <c r="G56" s="14">
        <v>8.8247903235715341E-6</v>
      </c>
      <c r="H56" s="14">
        <v>0</v>
      </c>
      <c r="I56" s="14">
        <v>1.341048834539529E-7</v>
      </c>
      <c r="J56" s="14">
        <v>5.904740499916687E-6</v>
      </c>
      <c r="K56" s="14">
        <v>0</v>
      </c>
    </row>
    <row r="57" spans="1:11">
      <c r="A57" s="2" t="s">
        <v>399</v>
      </c>
      <c r="B57" s="3" t="s">
        <v>400</v>
      </c>
      <c r="D57" s="14">
        <v>1.13047054258262E-4</v>
      </c>
      <c r="E57" s="14">
        <v>5.5227624087616892E-6</v>
      </c>
      <c r="F57" s="14">
        <v>2.1492054562136469E-5</v>
      </c>
      <c r="G57" s="14">
        <v>4.5266142869766717E-6</v>
      </c>
      <c r="H57" s="14">
        <v>0</v>
      </c>
      <c r="I57" s="14">
        <v>6.9932351057348098E-8</v>
      </c>
      <c r="J57" s="14">
        <v>5.3415821328058068E-6</v>
      </c>
      <c r="K57" s="14">
        <v>0</v>
      </c>
    </row>
    <row r="58" spans="1:11">
      <c r="A58" s="2" t="s">
        <v>297</v>
      </c>
      <c r="B58" s="3" t="s">
        <v>298</v>
      </c>
      <c r="D58" s="14">
        <v>1.3785532173153582E-4</v>
      </c>
      <c r="E58" s="14">
        <v>1.1256429253167733E-5</v>
      </c>
      <c r="F58" s="14">
        <v>1.8794995257890157E-7</v>
      </c>
      <c r="G58" s="14">
        <v>5.914768834194787E-8</v>
      </c>
      <c r="H58" s="14">
        <v>0</v>
      </c>
      <c r="I58" s="14">
        <v>5.7704142670614019E-9</v>
      </c>
      <c r="J58" s="14">
        <v>6.3538096010850095E-7</v>
      </c>
      <c r="K58" s="14">
        <v>0</v>
      </c>
    </row>
    <row r="59" spans="1:11">
      <c r="A59" s="2" t="s">
        <v>401</v>
      </c>
      <c r="B59" s="3" t="s">
        <v>402</v>
      </c>
      <c r="D59" s="14">
        <v>1.3549553672581436E-4</v>
      </c>
      <c r="E59" s="14">
        <v>2.2961597489437093E-6</v>
      </c>
      <c r="F59" s="14">
        <v>8.2897927668946329E-6</v>
      </c>
      <c r="G59" s="14">
        <v>1.7556552087254288E-6</v>
      </c>
      <c r="H59" s="14">
        <v>0</v>
      </c>
      <c r="I59" s="14">
        <v>2.7178158903416934E-8</v>
      </c>
      <c r="J59" s="14">
        <v>2.1356773907184195E-6</v>
      </c>
      <c r="K59" s="14">
        <v>0</v>
      </c>
    </row>
    <row r="60" spans="1:11">
      <c r="A60" s="2" t="s">
        <v>299</v>
      </c>
      <c r="B60" s="3" t="s">
        <v>300</v>
      </c>
      <c r="D60" s="14">
        <v>1.4969358359974056E-4</v>
      </c>
      <c r="E60" s="14">
        <v>8.6349593082870469E-8</v>
      </c>
      <c r="F60" s="14">
        <v>1.3659093240656586E-7</v>
      </c>
      <c r="G60" s="14">
        <v>3.0740959943092916E-8</v>
      </c>
      <c r="H60" s="14">
        <v>0</v>
      </c>
      <c r="I60" s="14">
        <v>4.9363044848579824E-10</v>
      </c>
      <c r="J60" s="14">
        <v>5.2241284378405314E-8</v>
      </c>
      <c r="K60" s="14">
        <v>0</v>
      </c>
    </row>
    <row r="61" spans="1:11">
      <c r="A61" s="2" t="s">
        <v>403</v>
      </c>
      <c r="B61" s="3" t="s">
        <v>404</v>
      </c>
      <c r="D61" s="14">
        <v>6.4679566226696383E-48</v>
      </c>
      <c r="E61" s="14">
        <v>5.2810977809029537E-5</v>
      </c>
      <c r="F61" s="14">
        <v>5.7409766827765977E-5</v>
      </c>
      <c r="G61" s="14">
        <v>1.3282546296894011E-5</v>
      </c>
      <c r="H61" s="14">
        <v>0</v>
      </c>
      <c r="I61" s="14">
        <v>2.1958938697761487E-7</v>
      </c>
      <c r="J61" s="14">
        <v>2.6277119679332843E-5</v>
      </c>
      <c r="K61" s="14">
        <v>0</v>
      </c>
    </row>
    <row r="62" spans="1:11">
      <c r="A62" s="2" t="s">
        <v>405</v>
      </c>
      <c r="B62" s="3" t="s">
        <v>406</v>
      </c>
      <c r="D62" s="14">
        <v>1.346750165231836E-11</v>
      </c>
      <c r="E62" s="14">
        <v>6.2561067048560901E-7</v>
      </c>
      <c r="F62" s="14">
        <v>9.0282945963984866E-5</v>
      </c>
      <c r="G62" s="14">
        <v>5.0327027160336725E-5</v>
      </c>
      <c r="H62" s="14">
        <v>0</v>
      </c>
      <c r="I62" s="14">
        <v>7.7530566929522247E-7</v>
      </c>
      <c r="J62" s="14">
        <v>7.9890970683958857E-6</v>
      </c>
      <c r="K62" s="14">
        <v>0</v>
      </c>
    </row>
    <row r="63" spans="1:11">
      <c r="A63" s="2" t="s">
        <v>407</v>
      </c>
      <c r="B63" s="3" t="s">
        <v>408</v>
      </c>
      <c r="D63" s="14">
        <v>3.183858140141805E-9</v>
      </c>
      <c r="E63" s="14">
        <v>5.6437896539999682E-8</v>
      </c>
      <c r="F63" s="14">
        <v>2.7369848495784503E-5</v>
      </c>
      <c r="G63" s="14">
        <v>1.1627007397426519E-4</v>
      </c>
      <c r="H63" s="14">
        <v>0</v>
      </c>
      <c r="I63" s="14">
        <v>1.8319289491093482E-6</v>
      </c>
      <c r="J63" s="14">
        <v>4.4685268261608052E-6</v>
      </c>
      <c r="K63" s="14">
        <v>0</v>
      </c>
    </row>
    <row r="64" spans="1:11">
      <c r="A64" s="2" t="s">
        <v>409</v>
      </c>
      <c r="B64" s="3" t="s">
        <v>410</v>
      </c>
      <c r="D64" s="14">
        <v>3.9119184200608467E-10</v>
      </c>
      <c r="E64" s="14">
        <v>1.9406485823083915E-8</v>
      </c>
      <c r="F64" s="14">
        <v>1.4635530653594743E-5</v>
      </c>
      <c r="G64" s="14">
        <v>1.3028788347535338E-4</v>
      </c>
      <c r="H64" s="14">
        <v>0</v>
      </c>
      <c r="I64" s="14">
        <v>2.0700273452380379E-6</v>
      </c>
      <c r="J64" s="14">
        <v>2.9867608481487413E-6</v>
      </c>
      <c r="K64" s="14">
        <v>0</v>
      </c>
    </row>
    <row r="65" spans="1:11">
      <c r="A65" s="2" t="s">
        <v>301</v>
      </c>
      <c r="B65" s="3" t="s">
        <v>302</v>
      </c>
      <c r="D65" s="14">
        <v>4.8002285535653998E-11</v>
      </c>
      <c r="E65" s="14">
        <v>5.4117662009387282E-9</v>
      </c>
      <c r="F65" s="14">
        <v>6.7434260652435564E-6</v>
      </c>
      <c r="G65" s="14">
        <v>1.3924389261420447E-4</v>
      </c>
      <c r="H65" s="14">
        <v>0</v>
      </c>
      <c r="I65" s="14">
        <v>2.2335525486605378E-6</v>
      </c>
      <c r="J65" s="14">
        <v>1.7736690034048984E-6</v>
      </c>
      <c r="K65" s="14">
        <v>0</v>
      </c>
    </row>
    <row r="66" spans="1:11">
      <c r="A66" s="2" t="s">
        <v>303</v>
      </c>
      <c r="B66" s="3" t="s">
        <v>304</v>
      </c>
      <c r="D66" s="14">
        <v>4.6502250117675262E-17</v>
      </c>
      <c r="E66" s="14">
        <v>1.1259810401925849E-8</v>
      </c>
      <c r="F66" s="14">
        <v>1.0543690570642251E-5</v>
      </c>
      <c r="G66" s="14">
        <v>1.3489262541249163E-4</v>
      </c>
      <c r="H66" s="14">
        <v>0</v>
      </c>
      <c r="I66" s="14">
        <v>2.1520186237379861E-6</v>
      </c>
      <c r="J66" s="14">
        <v>2.4004055826796788E-6</v>
      </c>
      <c r="K66" s="14">
        <v>0</v>
      </c>
    </row>
    <row r="67" spans="1:11">
      <c r="A67" s="2" t="s">
        <v>411</v>
      </c>
      <c r="B67" s="3" t="s">
        <v>412</v>
      </c>
      <c r="D67" s="14">
        <v>5.9556115095871865E-7</v>
      </c>
      <c r="E67" s="14">
        <v>1.3347608828843545E-4</v>
      </c>
      <c r="F67" s="14">
        <v>4.1643291105239289E-6</v>
      </c>
      <c r="G67" s="14">
        <v>1.2515280860540899E-6</v>
      </c>
      <c r="H67" s="14">
        <v>0</v>
      </c>
      <c r="I67" s="14">
        <v>7.6422463135556989E-8</v>
      </c>
      <c r="J67" s="14">
        <v>1.0436070900892238E-5</v>
      </c>
      <c r="K67" s="14">
        <v>0</v>
      </c>
    </row>
    <row r="68" spans="1:11">
      <c r="A68" s="2" t="s">
        <v>413</v>
      </c>
      <c r="B68" s="3" t="s">
        <v>414</v>
      </c>
      <c r="D68" s="14">
        <v>1.3145871855418979E-6</v>
      </c>
      <c r="E68" s="14">
        <v>1.2522945902700063E-4</v>
      </c>
      <c r="F68" s="14">
        <v>7.4852804876893639E-6</v>
      </c>
      <c r="G68" s="14">
        <v>2.144389313154173E-6</v>
      </c>
      <c r="H68" s="14">
        <v>0</v>
      </c>
      <c r="I68" s="14">
        <v>8.5862498829335502E-8</v>
      </c>
      <c r="J68" s="14">
        <v>1.3740421487784576E-5</v>
      </c>
      <c r="K68" s="14">
        <v>0</v>
      </c>
    </row>
    <row r="69" spans="1:11">
      <c r="A69" s="2" t="s">
        <v>415</v>
      </c>
      <c r="B69" s="3" t="s">
        <v>416</v>
      </c>
      <c r="D69" s="14">
        <v>1.5513041055111091E-7</v>
      </c>
      <c r="E69" s="14">
        <v>2.2581565765522127E-7</v>
      </c>
      <c r="F69" s="14">
        <v>5.7705289765458587E-5</v>
      </c>
      <c r="G69" s="14">
        <v>8.3793664104554825E-5</v>
      </c>
      <c r="H69" s="14">
        <v>0</v>
      </c>
      <c r="I69" s="14">
        <v>1.3044450084749891E-6</v>
      </c>
      <c r="J69" s="14">
        <v>6.8156550533052513E-6</v>
      </c>
      <c r="K69" s="14">
        <v>0</v>
      </c>
    </row>
    <row r="70" spans="1:11">
      <c r="A70" s="2" t="s">
        <v>417</v>
      </c>
      <c r="B70" s="3" t="s">
        <v>418</v>
      </c>
      <c r="D70" s="14">
        <v>4.1029508241683409E-7</v>
      </c>
      <c r="E70" s="14">
        <v>4.2400738590708607E-6</v>
      </c>
      <c r="F70" s="14">
        <v>1.1316574740812857E-4</v>
      </c>
      <c r="G70" s="14">
        <v>2.0682858056268914E-5</v>
      </c>
      <c r="H70" s="14">
        <v>0</v>
      </c>
      <c r="I70" s="14">
        <v>3.1419729973893565E-7</v>
      </c>
      <c r="J70" s="14">
        <v>1.1186828294375836E-5</v>
      </c>
      <c r="K70" s="14">
        <v>0</v>
      </c>
    </row>
    <row r="71" spans="1:11">
      <c r="A71" s="2" t="s">
        <v>419</v>
      </c>
      <c r="B71" s="3" t="s">
        <v>420</v>
      </c>
      <c r="D71" s="14">
        <v>3.2185460997552093E-6</v>
      </c>
      <c r="E71" s="14">
        <v>1.2497318667101587E-4</v>
      </c>
      <c r="F71" s="14">
        <v>6.75893730952671E-6</v>
      </c>
      <c r="G71" s="14">
        <v>1.9506258428589921E-6</v>
      </c>
      <c r="H71" s="14">
        <v>0</v>
      </c>
      <c r="I71" s="14">
        <v>8.2918229959758235E-8</v>
      </c>
      <c r="J71" s="14">
        <v>1.3015785846883411E-5</v>
      </c>
      <c r="K71" s="14">
        <v>0</v>
      </c>
    </row>
    <row r="72" spans="1:11">
      <c r="A72" s="2" t="s">
        <v>421</v>
      </c>
      <c r="B72" s="3" t="s">
        <v>422</v>
      </c>
      <c r="D72" s="14">
        <v>1.7333789211706768E-6</v>
      </c>
      <c r="E72" s="14">
        <v>4.9384495444468931E-6</v>
      </c>
      <c r="F72" s="14">
        <v>1.1064000718870936E-4</v>
      </c>
      <c r="G72" s="14">
        <v>2.048366906267826E-5</v>
      </c>
      <c r="H72" s="14">
        <v>0</v>
      </c>
      <c r="I72" s="14">
        <v>3.1114605425013016E-7</v>
      </c>
      <c r="J72" s="14">
        <v>1.189334922874465E-5</v>
      </c>
      <c r="K72" s="14">
        <v>0</v>
      </c>
    </row>
    <row r="73" spans="1:11">
      <c r="A73" s="2" t="s">
        <v>423</v>
      </c>
      <c r="B73" s="3" t="s">
        <v>424</v>
      </c>
      <c r="D73" s="14">
        <v>1.88216661369024E-6</v>
      </c>
      <c r="E73" s="14">
        <v>4.8564081080816924E-5</v>
      </c>
      <c r="F73" s="14">
        <v>5.9824179355921955E-5</v>
      </c>
      <c r="G73" s="14">
        <v>1.3714257678929949E-5</v>
      </c>
      <c r="H73" s="14">
        <v>0</v>
      </c>
      <c r="I73" s="14">
        <v>2.2428293557867393E-7</v>
      </c>
      <c r="J73" s="14">
        <v>2.5791032335062241E-5</v>
      </c>
      <c r="K73" s="14">
        <v>0</v>
      </c>
    </row>
    <row r="74" spans="1:11">
      <c r="A74" s="2" t="s">
        <v>425</v>
      </c>
      <c r="B74" s="3" t="s">
        <v>426</v>
      </c>
      <c r="D74" s="14">
        <v>6.3446069553747497E-7</v>
      </c>
      <c r="E74" s="14">
        <v>4.4340627305470356E-6</v>
      </c>
      <c r="F74" s="14">
        <v>1.1257019212230181E-4</v>
      </c>
      <c r="G74" s="14">
        <v>2.064994801418699E-5</v>
      </c>
      <c r="H74" s="14">
        <v>0</v>
      </c>
      <c r="I74" s="14">
        <v>3.1368468162367176E-7</v>
      </c>
      <c r="J74" s="14">
        <v>1.1397651755803035E-5</v>
      </c>
      <c r="K74" s="14">
        <v>0</v>
      </c>
    </row>
    <row r="75" spans="1:11">
      <c r="A75" s="2" t="s">
        <v>427</v>
      </c>
      <c r="B75" s="3" t="s">
        <v>428</v>
      </c>
      <c r="D75" s="14">
        <v>6.418363147091094E-14</v>
      </c>
      <c r="E75" s="14">
        <v>6.4744281083314479E-7</v>
      </c>
      <c r="F75" s="14">
        <v>1.4912243519739354E-4</v>
      </c>
      <c r="G75" s="14">
        <v>5.7543092244916696E-8</v>
      </c>
      <c r="H75" s="14">
        <v>0</v>
      </c>
      <c r="I75" s="14">
        <v>1.6729329226386137E-7</v>
      </c>
      <c r="J75" s="14">
        <v>5.285543080884551E-9</v>
      </c>
      <c r="K75" s="14">
        <v>0</v>
      </c>
    </row>
    <row r="76" spans="1:11">
      <c r="A76" s="2" t="s">
        <v>429</v>
      </c>
      <c r="B76" s="3" t="s">
        <v>430</v>
      </c>
      <c r="D76" s="14">
        <v>1.6122199308404504E-15</v>
      </c>
      <c r="E76" s="14">
        <v>6.4744281110322082E-7</v>
      </c>
      <c r="F76" s="14">
        <v>1.4912243525959886E-4</v>
      </c>
      <c r="G76" s="14">
        <v>5.7543092268920385E-8</v>
      </c>
      <c r="H76" s="14">
        <v>0</v>
      </c>
      <c r="I76" s="14">
        <v>1.6729329233364653E-7</v>
      </c>
      <c r="J76" s="14">
        <v>5.2855430830893761E-9</v>
      </c>
      <c r="K76" s="14">
        <v>0</v>
      </c>
    </row>
    <row r="77" spans="1:11">
      <c r="A77" s="2" t="s">
        <v>431</v>
      </c>
      <c r="B77" s="3" t="s">
        <v>432</v>
      </c>
      <c r="D77" s="14">
        <v>3.289327996199231E-6</v>
      </c>
      <c r="E77" s="14">
        <v>1.8005462914501278E-5</v>
      </c>
      <c r="F77" s="14">
        <v>8.9975830863069567E-5</v>
      </c>
      <c r="G77" s="14">
        <v>1.8604646437856474E-5</v>
      </c>
      <c r="H77" s="14">
        <v>0</v>
      </c>
      <c r="I77" s="14">
        <v>2.8582020736616701E-7</v>
      </c>
      <c r="J77" s="14">
        <v>1.9838911581007272E-5</v>
      </c>
      <c r="K77" s="14">
        <v>0</v>
      </c>
    </row>
    <row r="78" spans="1:11">
      <c r="A78" s="2" t="s">
        <v>433</v>
      </c>
      <c r="B78" s="3" t="s">
        <v>434</v>
      </c>
      <c r="D78" s="14">
        <v>4.6869131123412273E-6</v>
      </c>
      <c r="E78" s="14">
        <v>9.4720506671400136E-5</v>
      </c>
      <c r="F78" s="14">
        <v>2.2967069616183202E-5</v>
      </c>
      <c r="G78" s="14">
        <v>5.9347324136140454E-6</v>
      </c>
      <c r="H78" s="14">
        <v>0</v>
      </c>
      <c r="I78" s="14">
        <v>1.2835511887199127E-7</v>
      </c>
      <c r="J78" s="14">
        <v>2.1562423067589365E-5</v>
      </c>
      <c r="K78" s="14">
        <v>0</v>
      </c>
    </row>
    <row r="79" spans="1:11">
      <c r="A79" s="2" t="s">
        <v>435</v>
      </c>
      <c r="B79" s="3" t="s">
        <v>436</v>
      </c>
      <c r="D79" s="14">
        <v>1.1256184829319325E-6</v>
      </c>
      <c r="E79" s="14">
        <v>6.8329513043772873E-5</v>
      </c>
      <c r="F79" s="14">
        <v>4.3934926078048749E-5</v>
      </c>
      <c r="G79" s="14">
        <v>1.0565874682535812E-5</v>
      </c>
      <c r="H79" s="14">
        <v>0</v>
      </c>
      <c r="I79" s="14">
        <v>1.8565420220701278E-7</v>
      </c>
      <c r="J79" s="14">
        <v>2.5858413510503581E-5</v>
      </c>
      <c r="K79" s="14">
        <v>0</v>
      </c>
    </row>
    <row r="80" spans="1:11">
      <c r="A80" s="2" t="s">
        <v>437</v>
      </c>
      <c r="B80" s="3" t="s">
        <v>438</v>
      </c>
      <c r="D80" s="14">
        <v>2.2957136210958438E-14</v>
      </c>
      <c r="E80" s="14">
        <v>4.3852548575506288E-7</v>
      </c>
      <c r="F80" s="14">
        <v>1.4912017772905173E-4</v>
      </c>
      <c r="G80" s="14">
        <v>1.1053164199486526E-7</v>
      </c>
      <c r="H80" s="14">
        <v>0</v>
      </c>
      <c r="I80" s="14">
        <v>3.2432960916030459E-7</v>
      </c>
      <c r="J80" s="14">
        <v>6.4355110808829596E-9</v>
      </c>
      <c r="K80" s="14">
        <v>0</v>
      </c>
    </row>
    <row r="81" spans="1:11">
      <c r="A81" s="2" t="s">
        <v>440</v>
      </c>
      <c r="B81" s="3" t="s">
        <v>441</v>
      </c>
      <c r="D81" s="14">
        <v>2.1929159714419706E-17</v>
      </c>
      <c r="E81" s="14">
        <v>1.4787647876712324E-4</v>
      </c>
      <c r="F81" s="14">
        <v>1.3920046144093921E-7</v>
      </c>
      <c r="G81" s="14">
        <v>5.4142241327896615E-8</v>
      </c>
      <c r="H81" s="14">
        <v>0</v>
      </c>
      <c r="I81" s="14">
        <v>6.5376853236713508E-8</v>
      </c>
      <c r="J81" s="14">
        <v>1.8648016768492306E-6</v>
      </c>
      <c r="K81" s="14">
        <v>0</v>
      </c>
    </row>
    <row r="82" spans="1:11">
      <c r="A82" s="2" t="s">
        <v>442</v>
      </c>
      <c r="B82" s="3" t="s">
        <v>443</v>
      </c>
      <c r="D82" s="14">
        <v>1.0963012731951065E-8</v>
      </c>
      <c r="E82" s="14">
        <v>1.2253129640832716E-4</v>
      </c>
      <c r="F82" s="14">
        <v>9.4047791762878675E-6</v>
      </c>
      <c r="G82" s="14">
        <v>2.6451125627652197E-6</v>
      </c>
      <c r="H82" s="14">
        <v>0</v>
      </c>
      <c r="I82" s="14">
        <v>9.2017369374284865E-8</v>
      </c>
      <c r="J82" s="14">
        <v>1.5315831470513492E-5</v>
      </c>
      <c r="K82" s="14">
        <v>0</v>
      </c>
    </row>
    <row r="83" spans="1:11">
      <c r="A83" s="2" t="s">
        <v>444</v>
      </c>
      <c r="B83" s="3" t="s">
        <v>445</v>
      </c>
      <c r="D83" s="14">
        <v>7.0762607498301264E-8</v>
      </c>
      <c r="E83" s="14">
        <v>2.2843410155914618E-5</v>
      </c>
      <c r="F83" s="14">
        <v>8.6700681650801783E-5</v>
      </c>
      <c r="G83" s="14">
        <v>1.8294395652770615E-5</v>
      </c>
      <c r="H83" s="14">
        <v>0</v>
      </c>
      <c r="I83" s="14">
        <v>2.8281774439505041E-7</v>
      </c>
      <c r="J83" s="14">
        <v>2.180793218861963E-5</v>
      </c>
      <c r="K83" s="14">
        <v>0</v>
      </c>
    </row>
    <row r="84" spans="1:11">
      <c r="A84" s="2" t="s">
        <v>446</v>
      </c>
      <c r="B84" s="3" t="s">
        <v>447</v>
      </c>
      <c r="D84" s="14">
        <v>6.8578257322007426E-19</v>
      </c>
      <c r="E84" s="14">
        <v>1.4500185388151889E-4</v>
      </c>
      <c r="F84" s="14">
        <v>6.3533843534868414E-7</v>
      </c>
      <c r="G84" s="14">
        <v>2.206483501850569E-7</v>
      </c>
      <c r="H84" s="14">
        <v>0</v>
      </c>
      <c r="I84" s="14">
        <v>6.650723333490428E-8</v>
      </c>
      <c r="J84" s="14">
        <v>4.0756520996117642E-6</v>
      </c>
      <c r="K84" s="14">
        <v>0</v>
      </c>
    </row>
    <row r="85" spans="1:11">
      <c r="A85" s="2" t="s">
        <v>448</v>
      </c>
      <c r="B85" s="3" t="s">
        <v>449</v>
      </c>
      <c r="D85" s="14">
        <v>4.6835177987116058E-12</v>
      </c>
      <c r="E85" s="14">
        <v>1.4912803143873267E-4</v>
      </c>
      <c r="F85" s="14">
        <v>2.5315753560610676E-8</v>
      </c>
      <c r="G85" s="14">
        <v>1.117085500213382E-8</v>
      </c>
      <c r="H85" s="14">
        <v>0</v>
      </c>
      <c r="I85" s="14">
        <v>6.5313941258393273E-8</v>
      </c>
      <c r="J85" s="14">
        <v>7.7016332792838126E-7</v>
      </c>
      <c r="K85" s="14">
        <v>0</v>
      </c>
    </row>
    <row r="86" spans="1:11">
      <c r="A86" s="2" t="s">
        <v>450</v>
      </c>
      <c r="B86" s="3" t="s">
        <v>451</v>
      </c>
      <c r="D86" s="14">
        <v>1.7238096959043607E-12</v>
      </c>
      <c r="E86" s="14">
        <v>1.4514311154298435E-4</v>
      </c>
      <c r="F86" s="14">
        <v>6.0493401251437447E-7</v>
      </c>
      <c r="G86" s="14">
        <v>2.1086454292431489E-7</v>
      </c>
      <c r="H86" s="14">
        <v>0</v>
      </c>
      <c r="I86" s="14">
        <v>6.6428220156522088E-8</v>
      </c>
      <c r="J86" s="14">
        <v>3.9746599576107088E-6</v>
      </c>
      <c r="K86" s="14">
        <v>0</v>
      </c>
    </row>
    <row r="87" spans="1:11">
      <c r="A87" s="2" t="s">
        <v>452</v>
      </c>
      <c r="B87" s="3" t="s">
        <v>453</v>
      </c>
      <c r="D87" s="14">
        <v>5.9684017718802953E-12</v>
      </c>
      <c r="E87" s="14">
        <v>8.2340814874747081E-8</v>
      </c>
      <c r="F87" s="14">
        <v>3.387479962339527E-5</v>
      </c>
      <c r="G87" s="14">
        <v>1.0923763531298478E-4</v>
      </c>
      <c r="H87" s="14">
        <v>0</v>
      </c>
      <c r="I87" s="14">
        <v>1.7157933711532096E-6</v>
      </c>
      <c r="J87" s="14">
        <v>5.089424909190183E-6</v>
      </c>
      <c r="K87" s="14">
        <v>0</v>
      </c>
    </row>
    <row r="88" spans="1:11">
      <c r="A88" s="2" t="s">
        <v>454</v>
      </c>
      <c r="B88" s="3" t="s">
        <v>455</v>
      </c>
      <c r="D88" s="14">
        <v>5.5132231832691632E-9</v>
      </c>
      <c r="E88" s="14">
        <v>1.0661116365939119E-4</v>
      </c>
      <c r="F88" s="14">
        <v>1.821479375104214E-5</v>
      </c>
      <c r="G88" s="14">
        <v>4.8296961999310976E-6</v>
      </c>
      <c r="H88" s="14">
        <v>0</v>
      </c>
      <c r="I88" s="14">
        <v>1.1719970295606325E-7</v>
      </c>
      <c r="J88" s="14">
        <v>2.0221633463496215E-5</v>
      </c>
      <c r="K88" s="14">
        <v>0</v>
      </c>
    </row>
    <row r="89" spans="1:11">
      <c r="A89" s="2" t="s">
        <v>456</v>
      </c>
      <c r="B89" s="3" t="s">
        <v>457</v>
      </c>
      <c r="D89" s="14">
        <v>3.6411902968302657E-21</v>
      </c>
      <c r="E89" s="14">
        <v>1.200053165138723E-4</v>
      </c>
      <c r="F89" s="14">
        <v>1.070192889289489E-5</v>
      </c>
      <c r="G89" s="14">
        <v>2.9768545569748266E-6</v>
      </c>
      <c r="H89" s="14">
        <v>0</v>
      </c>
      <c r="I89" s="14">
        <v>9.5780997620181779E-8</v>
      </c>
      <c r="J89" s="14">
        <v>1.6220119038637746E-5</v>
      </c>
      <c r="K89" s="14">
        <v>0</v>
      </c>
    </row>
    <row r="90" spans="1:11">
      <c r="A90" s="2" t="s">
        <v>458</v>
      </c>
      <c r="B90" s="3" t="s">
        <v>459</v>
      </c>
      <c r="D90" s="14">
        <v>5.2561840180512903E-33</v>
      </c>
      <c r="E90" s="14">
        <v>1.3886336062246958E-4</v>
      </c>
      <c r="F90" s="14">
        <v>2.3773287675810535E-6</v>
      </c>
      <c r="G90" s="14">
        <v>7.4676645502594522E-7</v>
      </c>
      <c r="H90" s="14">
        <v>0</v>
      </c>
      <c r="I90" s="14">
        <v>7.1433973760515981E-8</v>
      </c>
      <c r="J90" s="14">
        <v>7.9411101811628595E-6</v>
      </c>
      <c r="K90" s="14">
        <v>0</v>
      </c>
    </row>
    <row r="91" spans="1:11">
      <c r="A91" s="2" t="s">
        <v>460</v>
      </c>
      <c r="B91" s="3" t="s">
        <v>461</v>
      </c>
      <c r="D91" s="14">
        <v>6.2941919427557838E-12</v>
      </c>
      <c r="E91" s="14">
        <v>5.4369719530500849E-7</v>
      </c>
      <c r="F91" s="14">
        <v>8.5557614468889014E-5</v>
      </c>
      <c r="G91" s="14">
        <v>5.5138407963994014E-5</v>
      </c>
      <c r="H91" s="14">
        <v>0</v>
      </c>
      <c r="I91" s="14">
        <v>8.5074470638750733E-7</v>
      </c>
      <c r="J91" s="14">
        <v>7.9095293712324946E-6</v>
      </c>
      <c r="K91" s="14">
        <v>0</v>
      </c>
    </row>
    <row r="92" spans="1:11">
      <c r="A92" s="2" t="s">
        <v>462</v>
      </c>
      <c r="B92" s="3" t="s">
        <v>463</v>
      </c>
      <c r="D92" s="14">
        <v>6.3167377119802015E-13</v>
      </c>
      <c r="E92" s="14">
        <v>3.2403353162563892E-5</v>
      </c>
      <c r="F92" s="14">
        <v>7.6473598836292631E-5</v>
      </c>
      <c r="G92" s="14">
        <v>1.6711178720695879E-5</v>
      </c>
      <c r="H92" s="14">
        <v>0</v>
      </c>
      <c r="I92" s="14">
        <v>2.6262659311147953E-7</v>
      </c>
      <c r="J92" s="14">
        <v>2.414924205566233E-5</v>
      </c>
      <c r="K92" s="14">
        <v>0</v>
      </c>
    </row>
    <row r="93" spans="1:11">
      <c r="A93" s="2" t="s">
        <v>464</v>
      </c>
      <c r="B93" s="3" t="s">
        <v>465</v>
      </c>
      <c r="D93" s="14">
        <v>2.581174483820073E-8</v>
      </c>
      <c r="E93" s="14">
        <v>6.5649961121220728E-6</v>
      </c>
      <c r="F93" s="14">
        <v>1.0895221090398438E-4</v>
      </c>
      <c r="G93" s="14">
        <v>2.062203895621377E-5</v>
      </c>
      <c r="H93" s="14">
        <v>0</v>
      </c>
      <c r="I93" s="14">
        <v>3.1334417287808165E-7</v>
      </c>
      <c r="J93" s="14">
        <v>1.3521598109963466E-5</v>
      </c>
      <c r="K93" s="14">
        <v>0</v>
      </c>
    </row>
    <row r="94" spans="1:11">
      <c r="A94" s="2" t="s">
        <v>466</v>
      </c>
      <c r="B94" s="3" t="s">
        <v>467</v>
      </c>
      <c r="D94" s="14">
        <v>2.139401734311561E-22</v>
      </c>
      <c r="E94" s="14">
        <v>1.3417188537054734E-4</v>
      </c>
      <c r="F94" s="14">
        <v>1.5753719077743215E-5</v>
      </c>
      <c r="G94" s="14">
        <v>2.0702442702821305E-9</v>
      </c>
      <c r="H94" s="14">
        <v>0</v>
      </c>
      <c r="I94" s="14">
        <v>6.2234683708423314E-8</v>
      </c>
      <c r="J94" s="14">
        <v>1.0090623730685324E-8</v>
      </c>
      <c r="K94" s="14">
        <v>0</v>
      </c>
    </row>
    <row r="95" spans="1:11">
      <c r="A95" s="2" t="s">
        <v>468</v>
      </c>
      <c r="B95" s="3" t="s">
        <v>469</v>
      </c>
      <c r="D95" s="14">
        <v>2.5267872866938331E-22</v>
      </c>
      <c r="E95" s="14">
        <v>1.2674936525043444E-6</v>
      </c>
      <c r="F95" s="14">
        <v>1.1263863203130442E-4</v>
      </c>
      <c r="G95" s="14">
        <v>2.7866531924940381E-5</v>
      </c>
      <c r="H95" s="14">
        <v>0</v>
      </c>
      <c r="I95" s="14">
        <v>4.2582028343886779E-7</v>
      </c>
      <c r="J95" s="14">
        <v>7.8015221078119815E-6</v>
      </c>
      <c r="K95" s="14">
        <v>0</v>
      </c>
    </row>
    <row r="96" spans="1:11">
      <c r="A96" s="2" t="s">
        <v>470</v>
      </c>
      <c r="B96" s="163">
        <v>354656</v>
      </c>
      <c r="D96" s="14">
        <v>4.3746564397668357E-14</v>
      </c>
      <c r="E96" s="14">
        <v>1.477886430885994E-4</v>
      </c>
      <c r="F96" s="14">
        <v>1.49955581760356E-7</v>
      </c>
      <c r="G96" s="14">
        <v>5.8004033060222985E-8</v>
      </c>
      <c r="H96" s="14">
        <v>0</v>
      </c>
      <c r="I96" s="14">
        <v>6.5393506999648913E-8</v>
      </c>
      <c r="J96" s="14">
        <v>1.9380037458337682E-6</v>
      </c>
      <c r="K96" s="14">
        <v>0</v>
      </c>
    </row>
    <row r="97" spans="1:11">
      <c r="A97" s="2" t="s">
        <v>472</v>
      </c>
      <c r="B97" s="3" t="s">
        <v>473</v>
      </c>
      <c r="D97" s="14">
        <v>6.8553548442250734E-14</v>
      </c>
      <c r="E97" s="14">
        <v>1.44929585285645E-4</v>
      </c>
      <c r="F97" s="14">
        <v>6.5110139195990323E-7</v>
      </c>
      <c r="G97" s="14">
        <v>2.2570655867851377E-7</v>
      </c>
      <c r="H97" s="14">
        <v>0</v>
      </c>
      <c r="I97" s="14">
        <v>6.6548433017515401E-8</v>
      </c>
      <c r="J97" s="14">
        <v>4.1270582621455197E-6</v>
      </c>
      <c r="K97" s="14">
        <v>0</v>
      </c>
    </row>
    <row r="98" spans="1:11">
      <c r="A98" s="2" t="s">
        <v>474</v>
      </c>
      <c r="B98" s="3" t="s">
        <v>475</v>
      </c>
      <c r="D98" s="14">
        <v>5.9329943047839418E-24</v>
      </c>
      <c r="E98" s="14">
        <v>2.9967536394620449E-6</v>
      </c>
      <c r="F98" s="14">
        <v>1.163838221631821E-4</v>
      </c>
      <c r="G98" s="14">
        <v>2.0691318753055244E-5</v>
      </c>
      <c r="H98" s="14">
        <v>0</v>
      </c>
      <c r="I98" s="14">
        <v>3.1453768112563215E-7</v>
      </c>
      <c r="J98" s="14">
        <v>9.6135677631749528E-6</v>
      </c>
      <c r="K98" s="14">
        <v>0</v>
      </c>
    </row>
    <row r="99" spans="1:11">
      <c r="A99" s="2" t="s">
        <v>476</v>
      </c>
      <c r="B99" s="3" t="s">
        <v>477</v>
      </c>
      <c r="D99" s="14">
        <v>2.0398949032603388E-11</v>
      </c>
      <c r="E99" s="14">
        <v>1.4938428159094066E-4</v>
      </c>
      <c r="F99" s="14">
        <v>1.2434447046393446E-8</v>
      </c>
      <c r="G99" s="14">
        <v>5.7825850962844359E-9</v>
      </c>
      <c r="H99" s="14">
        <v>0</v>
      </c>
      <c r="I99" s="14">
        <v>6.535010881289529E-8</v>
      </c>
      <c r="J99" s="14">
        <v>5.3213086915467755E-7</v>
      </c>
      <c r="K99" s="14">
        <v>0</v>
      </c>
    </row>
    <row r="100" spans="1:11">
      <c r="A100" s="2" t="s">
        <v>478</v>
      </c>
      <c r="B100" s="3" t="s">
        <v>479</v>
      </c>
      <c r="D100" s="14">
        <v>7.3477881633414828E-15</v>
      </c>
      <c r="E100" s="14">
        <v>7.584269154937939E-5</v>
      </c>
      <c r="F100" s="14">
        <v>3.8938149786809155E-5</v>
      </c>
      <c r="G100" s="14">
        <v>9.5207435413065027E-6</v>
      </c>
      <c r="H100" s="14">
        <v>0</v>
      </c>
      <c r="I100" s="14">
        <v>1.7332479400938784E-7</v>
      </c>
      <c r="J100" s="14">
        <v>2.5525090321147724E-5</v>
      </c>
      <c r="K100" s="14">
        <v>0</v>
      </c>
    </row>
    <row r="101" spans="1:11">
      <c r="A101" s="2" t="s">
        <v>480</v>
      </c>
      <c r="B101" s="3" t="s">
        <v>481</v>
      </c>
      <c r="D101" s="14">
        <v>5.5063953787605936E-15</v>
      </c>
      <c r="E101" s="14">
        <v>1.4899253247200017E-4</v>
      </c>
      <c r="F101" s="14">
        <v>3.3719884345078777E-8</v>
      </c>
      <c r="G101" s="14">
        <v>1.4567386121915713E-8</v>
      </c>
      <c r="H101" s="14">
        <v>0</v>
      </c>
      <c r="I101" s="14">
        <v>6.5302655718253398E-8</v>
      </c>
      <c r="J101" s="14">
        <v>8.9387759630817163E-7</v>
      </c>
      <c r="K101" s="14">
        <v>0</v>
      </c>
    </row>
    <row r="102" spans="1:11">
      <c r="A102" s="2" t="s">
        <v>482</v>
      </c>
      <c r="B102" s="3" t="s">
        <v>483</v>
      </c>
      <c r="D102" s="14">
        <v>3.4401712245382341E-31</v>
      </c>
      <c r="E102" s="14">
        <v>1.4970529757035353E-4</v>
      </c>
      <c r="F102" s="14">
        <v>2.3922069245709065E-9</v>
      </c>
      <c r="G102" s="14">
        <v>1.2563027156209391E-9</v>
      </c>
      <c r="H102" s="14">
        <v>0</v>
      </c>
      <c r="I102" s="14">
        <v>6.5427101665077793E-8</v>
      </c>
      <c r="J102" s="14">
        <v>2.256268183411923E-7</v>
      </c>
      <c r="K102" s="14">
        <v>0</v>
      </c>
    </row>
    <row r="103" spans="1:11">
      <c r="A103" s="2" t="s">
        <v>484</v>
      </c>
      <c r="B103" s="3" t="s">
        <v>485</v>
      </c>
      <c r="D103" s="14">
        <v>2.751125363379105E-17</v>
      </c>
      <c r="E103" s="14">
        <v>1.4940237135570701E-4</v>
      </c>
      <c r="F103" s="14">
        <v>1.1682319110173781E-8</v>
      </c>
      <c r="G103" s="14">
        <v>5.4578880138366751E-9</v>
      </c>
      <c r="H103" s="14">
        <v>0</v>
      </c>
      <c r="I103" s="14">
        <v>6.5353457430971323E-8</v>
      </c>
      <c r="J103" s="14">
        <v>5.1513497971043013E-7</v>
      </c>
      <c r="K103" s="14">
        <v>0</v>
      </c>
    </row>
    <row r="104" spans="1:11">
      <c r="A104" s="2" t="s">
        <v>486</v>
      </c>
      <c r="B104" s="3" t="s">
        <v>487</v>
      </c>
      <c r="D104" s="14">
        <v>3.4607695506094209E-13</v>
      </c>
      <c r="E104" s="14">
        <v>1.4651759824607099E-4</v>
      </c>
      <c r="F104" s="14">
        <v>3.3930586398114861E-7</v>
      </c>
      <c r="G104" s="14">
        <v>1.2350567701878924E-7</v>
      </c>
      <c r="H104" s="14">
        <v>0</v>
      </c>
      <c r="I104" s="14">
        <v>6.5774527983939025E-8</v>
      </c>
      <c r="J104" s="14">
        <v>2.9538153388681943E-6</v>
      </c>
      <c r="K104" s="14">
        <v>0</v>
      </c>
    </row>
    <row r="105" spans="1:11">
      <c r="A105" s="2" t="s">
        <v>488</v>
      </c>
      <c r="B105" s="3" t="s">
        <v>489</v>
      </c>
      <c r="D105" s="14">
        <v>2.7370643398356331E-20</v>
      </c>
      <c r="E105" s="14">
        <v>1.4965875099830423E-4</v>
      </c>
      <c r="F105" s="14">
        <v>3.3939363302197748E-9</v>
      </c>
      <c r="G105" s="14">
        <v>1.7369977109451542E-9</v>
      </c>
      <c r="H105" s="14">
        <v>0</v>
      </c>
      <c r="I105" s="14">
        <v>6.5413448215733629E-8</v>
      </c>
      <c r="J105" s="14">
        <v>2.7070461943880948E-7</v>
      </c>
      <c r="K105" s="14">
        <v>0</v>
      </c>
    </row>
    <row r="106" spans="1:11">
      <c r="A106" s="2" t="s">
        <v>490</v>
      </c>
      <c r="B106" s="3" t="s">
        <v>491</v>
      </c>
      <c r="D106" s="14">
        <v>1.6197366682049381E-12</v>
      </c>
      <c r="E106" s="14">
        <v>1.3494646859308772E-4</v>
      </c>
      <c r="F106" s="14">
        <v>3.8094571981274967E-6</v>
      </c>
      <c r="G106" s="14">
        <v>1.1533434504338718E-6</v>
      </c>
      <c r="H106" s="14">
        <v>0</v>
      </c>
      <c r="I106" s="14">
        <v>7.5634110723500553E-8</v>
      </c>
      <c r="J106" s="14">
        <v>1.0015095027890755E-5</v>
      </c>
      <c r="K106" s="14">
        <v>0</v>
      </c>
    </row>
    <row r="107" spans="1:11">
      <c r="A107" s="2" t="s">
        <v>492</v>
      </c>
      <c r="B107" s="3" t="s">
        <v>493</v>
      </c>
      <c r="D107" s="14">
        <v>2.7593338798489081E-20</v>
      </c>
      <c r="E107" s="14">
        <v>2.2049632898479734E-6</v>
      </c>
      <c r="F107" s="14">
        <v>1.1852854075229152E-4</v>
      </c>
      <c r="G107" s="14">
        <v>2.0573988514341754E-5</v>
      </c>
      <c r="H107" s="14">
        <v>0</v>
      </c>
      <c r="I107" s="14">
        <v>3.1306902215944171E-7</v>
      </c>
      <c r="J107" s="14">
        <v>8.3794384213592624E-6</v>
      </c>
      <c r="K107" s="14">
        <v>0</v>
      </c>
    </row>
    <row r="108" spans="1:11">
      <c r="A108" s="2" t="s">
        <v>291</v>
      </c>
      <c r="B108" s="3" t="s">
        <v>494</v>
      </c>
      <c r="D108" s="14">
        <v>4.1904921142346878E-14</v>
      </c>
      <c r="E108" s="14">
        <v>8.6469338724647264E-5</v>
      </c>
      <c r="F108" s="14">
        <v>3.1281222116876189E-5</v>
      </c>
      <c r="G108" s="14">
        <v>7.848366356366166E-6</v>
      </c>
      <c r="H108" s="14">
        <v>0</v>
      </c>
      <c r="I108" s="14">
        <v>1.5308589316326616E-7</v>
      </c>
      <c r="J108" s="14">
        <v>2.4247986867042177E-5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08"/>
  <sheetViews>
    <sheetView tabSelected="1" topLeftCell="A93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8.2575722951062326E-8</v>
      </c>
      <c r="B2">
        <f>'Mass Balance'!E2</f>
        <v>1.2931744535755988E-4</v>
      </c>
      <c r="C2">
        <f>SUM('Mass Balance'!E2:H2)</f>
        <v>1.3728703035677486E-4</v>
      </c>
      <c r="D2">
        <f>Concentrations!F2/Concentrations!E2</f>
        <v>0.94563593622416298</v>
      </c>
    </row>
    <row r="3" spans="1:4">
      <c r="A3">
        <f>'Mass Balance'!I3</f>
        <v>1.6300115525781064E-6</v>
      </c>
      <c r="B3">
        <f>'Mass Balance'!E3</f>
        <v>1.0349287494384102E-7</v>
      </c>
      <c r="C3">
        <f>SUM('Mass Balance'!E3:H3)</f>
        <v>1.4245827989351145E-4</v>
      </c>
      <c r="D3">
        <f>Concentrations!F3/Concentrations!E3</f>
        <v>7.2932166972692724E-4</v>
      </c>
    </row>
    <row r="4" spans="1:4">
      <c r="A4">
        <f>'Mass Balance'!I4</f>
        <v>1.9326020057451601E-7</v>
      </c>
      <c r="B4">
        <f>'Mass Balance'!E4</f>
        <v>6.5734734920752351E-5</v>
      </c>
      <c r="C4">
        <f>SUM('Mass Balance'!E4:H4)</f>
        <v>1.2359906649273255E-4</v>
      </c>
      <c r="D4">
        <f>Concentrations!F4/Concentrations!E4</f>
        <v>0.53391987495413606</v>
      </c>
    </row>
    <row r="5" spans="1:4">
      <c r="A5">
        <f>'Mass Balance'!I5</f>
        <v>4.8353219143306973E-7</v>
      </c>
      <c r="B5">
        <f>'Mass Balance'!E5</f>
        <v>1.1138837922848185E-6</v>
      </c>
      <c r="C5">
        <f>SUM('Mass Balance'!E5:H5)</f>
        <v>1.4158857299142023E-4</v>
      </c>
      <c r="D5">
        <f>Concentrations!F5/Concentrations!E5</f>
        <v>7.8978347458445227E-3</v>
      </c>
    </row>
    <row r="6" spans="1:4">
      <c r="A6">
        <f>'Mass Balance'!I6</f>
        <v>1.886969343371328E-6</v>
      </c>
      <c r="B6">
        <f>'Mass Balance'!E6</f>
        <v>4.6037993671053739E-8</v>
      </c>
      <c r="C6">
        <f>SUM('Mass Balance'!E6:H6)</f>
        <v>1.4395909858491739E-4</v>
      </c>
      <c r="D6">
        <f>Concentrations!F6/Concentrations!E6</f>
        <v>3.2105070844138669E-4</v>
      </c>
    </row>
    <row r="7" spans="1:4">
      <c r="A7">
        <f>'Mass Balance'!I7</f>
        <v>1.675989382409922E-6</v>
      </c>
      <c r="B7">
        <f>'Mass Balance'!E7</f>
        <v>9.2513779351104814E-8</v>
      </c>
      <c r="C7">
        <f>SUM('Mass Balance'!E7:H7)</f>
        <v>1.430337879948594E-4</v>
      </c>
      <c r="D7">
        <f>Concentrations!F7/Concentrations!E7</f>
        <v>6.4932802139476542E-4</v>
      </c>
    </row>
    <row r="8" spans="1:4">
      <c r="A8">
        <f>'Mass Balance'!I8</f>
        <v>1.3461813057501626E-6</v>
      </c>
      <c r="B8">
        <f>'Mass Balance'!E8</f>
        <v>2.0738690424312908E-7</v>
      </c>
      <c r="C8">
        <f>SUM('Mass Balance'!E8:H8)</f>
        <v>1.4195278174548585E-4</v>
      </c>
      <c r="D8">
        <f>Concentrations!F8/Concentrations!E8</f>
        <v>1.4666746427414959E-3</v>
      </c>
    </row>
    <row r="9" spans="1:4">
      <c r="A9">
        <f>'Mass Balance'!I9</f>
        <v>3.0797419165852966E-7</v>
      </c>
      <c r="B9">
        <f>'Mass Balance'!E9</f>
        <v>1.0232128370359423E-5</v>
      </c>
      <c r="C9">
        <f>SUM('Mass Balance'!E9:H9)</f>
        <v>1.334394224589369E-4</v>
      </c>
      <c r="D9">
        <f>Concentrations!F9/Concentrations!E9</f>
        <v>7.6980049987451254E-2</v>
      </c>
    </row>
    <row r="10" spans="1:4">
      <c r="A10">
        <f>'Mass Balance'!I10</f>
        <v>5.1740219382881668E-7</v>
      </c>
      <c r="B10">
        <f>'Mass Balance'!E10</f>
        <v>1.0363777461687449E-6</v>
      </c>
      <c r="C10">
        <f>SUM('Mass Balance'!E10:H10)</f>
        <v>1.4152133111406816E-4</v>
      </c>
      <c r="D10">
        <f>Concentrations!F10/Concentrations!E10</f>
        <v>7.3517805761136139E-3</v>
      </c>
    </row>
    <row r="11" spans="1:4">
      <c r="A11">
        <f>'Mass Balance'!I11</f>
        <v>5.7734416065380351E-7</v>
      </c>
      <c r="B11">
        <f>'Mass Balance'!E11</f>
        <v>9.1601025786066831E-7</v>
      </c>
      <c r="C11">
        <f>SUM('Mass Balance'!E11:H11)</f>
        <v>1.4139665372709257E-4</v>
      </c>
      <c r="D11">
        <f>Concentrations!F11/Concentrations!E11</f>
        <v>6.5036560878853978E-3</v>
      </c>
    </row>
    <row r="12" spans="1:4">
      <c r="A12">
        <f>'Mass Balance'!I12</f>
        <v>3.1354710786151254E-7</v>
      </c>
      <c r="B12">
        <f>'Mass Balance'!E12</f>
        <v>6.4191495215321481E-6</v>
      </c>
      <c r="C12">
        <f>SUM('Mass Balance'!E12:H12)</f>
        <v>1.3628486083168808E-4</v>
      </c>
      <c r="D12">
        <f>Concentrations!F12/Concentrations!E12</f>
        <v>4.728530984048708E-2</v>
      </c>
    </row>
    <row r="13" spans="1:4">
      <c r="A13">
        <f>'Mass Balance'!I13</f>
        <v>3.0869554277222277E-7</v>
      </c>
      <c r="B13">
        <f>'Mass Balance'!E13</f>
        <v>9.7951251547950768E-6</v>
      </c>
      <c r="C13">
        <f>SUM('Mass Balance'!E13:H13)</f>
        <v>1.3371421117935512E-4</v>
      </c>
      <c r="D13">
        <f>Concentrations!F13/Concentrations!E13</f>
        <v>7.3540873690213074E-2</v>
      </c>
    </row>
    <row r="14" spans="1:4">
      <c r="A14">
        <f>'Mass Balance'!I14</f>
        <v>7.9010105490844906E-7</v>
      </c>
      <c r="B14">
        <f>'Mass Balance'!E14</f>
        <v>6.0849891101047658E-7</v>
      </c>
      <c r="C14">
        <f>SUM('Mass Balance'!E14:H14)</f>
        <v>1.4122739556375006E-4</v>
      </c>
      <c r="D14">
        <f>Concentrations!F14/Concentrations!E14</f>
        <v>4.3255089750456228E-3</v>
      </c>
    </row>
    <row r="15" spans="1:4">
      <c r="A15">
        <f>'Mass Balance'!I15</f>
        <v>5.468328406237069E-7</v>
      </c>
      <c r="B15">
        <f>'Mass Balance'!E15</f>
        <v>9.7484290787168126E-7</v>
      </c>
      <c r="C15">
        <f>SUM('Mass Balance'!E15:H15)</f>
        <v>1.414605542060929E-4</v>
      </c>
      <c r="D15">
        <f>Concentrations!F15/Concentrations!E15</f>
        <v>6.9182403118300557E-3</v>
      </c>
    </row>
    <row r="16" spans="1:4">
      <c r="A16">
        <f>'Mass Balance'!I16</f>
        <v>1.3297184199094611E-6</v>
      </c>
      <c r="B16">
        <f>'Mass Balance'!E16</f>
        <v>2.1463360706466344E-7</v>
      </c>
      <c r="C16">
        <f>SUM('Mass Balance'!E16:H16)</f>
        <v>1.4188149030512013E-4</v>
      </c>
      <c r="D16">
        <f>Concentrations!F16/Concentrations!E16</f>
        <v>1.5186872432767797E-3</v>
      </c>
    </row>
    <row r="17" spans="1:4">
      <c r="A17">
        <f>'Mass Balance'!I17</f>
        <v>4.9466029960247112E-7</v>
      </c>
      <c r="B17">
        <f>'Mass Balance'!E17</f>
        <v>1.0876293065920908E-6</v>
      </c>
      <c r="C17">
        <f>SUM('Mass Balance'!E17:H17)</f>
        <v>1.4157108877726793E-4</v>
      </c>
      <c r="D17">
        <f>Concentrations!F17/Concentrations!E17</f>
        <v>7.7126334484831213E-3</v>
      </c>
    </row>
    <row r="18" spans="1:4">
      <c r="A18">
        <f>'Mass Balance'!I18</f>
        <v>3.0324345986829999E-7</v>
      </c>
      <c r="B18">
        <f>'Mass Balance'!E18</f>
        <v>1.2386264316439427E-5</v>
      </c>
      <c r="C18">
        <f>SUM('Mass Balance'!E18:H18)</f>
        <v>1.318018033264078E-4</v>
      </c>
      <c r="D18">
        <f>Concentrations!F18/Concentrations!E18</f>
        <v>9.4344231965447375E-2</v>
      </c>
    </row>
    <row r="19" spans="1:4">
      <c r="A19">
        <f>'Mass Balance'!I19</f>
        <v>5.5285362146685474E-7</v>
      </c>
      <c r="B19">
        <f>'Mass Balance'!E19</f>
        <v>9.6287003110261036E-7</v>
      </c>
      <c r="C19">
        <f>SUM('Mass Balance'!E19:H19)</f>
        <v>1.4144911126630328E-4</v>
      </c>
      <c r="D19">
        <f>Concentrations!F19/Concentrations!E19</f>
        <v>6.8338243025118008E-3</v>
      </c>
    </row>
    <row r="20" spans="1:4">
      <c r="A20">
        <f>'Mass Balance'!I20</f>
        <v>3.0873241754350702E-7</v>
      </c>
      <c r="B20">
        <f>'Mass Balance'!E20</f>
        <v>9.7962952170400304E-6</v>
      </c>
      <c r="C20">
        <f>SUM('Mass Balance'!E20:H20)</f>
        <v>1.3373018381346058E-4</v>
      </c>
      <c r="D20">
        <f>Concentrations!F20/Concentrations!E20</f>
        <v>7.3540873690213074E-2</v>
      </c>
    </row>
    <row r="21" spans="1:4">
      <c r="A21">
        <f>'Mass Balance'!I21</f>
        <v>7.2423187303804669E-7</v>
      </c>
      <c r="B21">
        <f>'Mass Balance'!E21</f>
        <v>6.8801043498639048E-7</v>
      </c>
      <c r="C21">
        <f>SUM('Mass Balance'!E21:H21)</f>
        <v>1.411996205142576E-4</v>
      </c>
      <c r="D21">
        <f>Concentrations!F21/Concentrations!E21</f>
        <v>4.8916779614992956E-3</v>
      </c>
    </row>
    <row r="22" spans="1:4">
      <c r="A22">
        <f>'Mass Balance'!I22</f>
        <v>1.2649663852225583E-7</v>
      </c>
      <c r="B22">
        <f>'Mass Balance'!E22</f>
        <v>1.008721902218645E-4</v>
      </c>
      <c r="C22">
        <f>SUM('Mass Balance'!E22:H22)</f>
        <v>1.2808520994393743E-4</v>
      </c>
      <c r="D22">
        <f>Concentrations!F22/Concentrations!E22</f>
        <v>0.79062187913500215</v>
      </c>
    </row>
    <row r="23" spans="1:4">
      <c r="A23">
        <f>'Mass Balance'!I23</f>
        <v>9.3224424680149554E-8</v>
      </c>
      <c r="B23">
        <f>'Mass Balance'!E23</f>
        <v>1.2170830925568319E-4</v>
      </c>
      <c r="C23">
        <f>SUM('Mass Balance'!E23:H23)</f>
        <v>1.3428092461395018E-4</v>
      </c>
      <c r="D23">
        <f>Concentrations!F23/Concentrations!E23</f>
        <v>0.90991802583642023</v>
      </c>
    </row>
    <row r="24" spans="1:4">
      <c r="A24">
        <f>'Mass Balance'!I24</f>
        <v>2.6380969341896894E-7</v>
      </c>
      <c r="B24">
        <f>'Mass Balance'!E24</f>
        <v>3.1838502881763699E-5</v>
      </c>
      <c r="C24">
        <f>SUM('Mass Balance'!E24:H24)</f>
        <v>1.2568634649308711E-4</v>
      </c>
      <c r="D24">
        <f>Concentrations!F24/Concentrations!E24</f>
        <v>0.25430851284398481</v>
      </c>
    </row>
    <row r="25" spans="1:4">
      <c r="A25">
        <f>'Mass Balance'!I25</f>
        <v>3.1135593183566048E-7</v>
      </c>
      <c r="B25">
        <f>'Mass Balance'!E25</f>
        <v>3.4099173248934672E-6</v>
      </c>
      <c r="C25">
        <f>SUM('Mass Balance'!E25:H25)</f>
        <v>1.3787808013784246E-4</v>
      </c>
      <c r="D25">
        <f>Concentrations!F25/Concentrations!E25</f>
        <v>2.4828185657071927E-2</v>
      </c>
    </row>
    <row r="26" spans="1:4">
      <c r="A26">
        <f>'Mass Balance'!I26</f>
        <v>6.8221100402033727E-7</v>
      </c>
      <c r="B26">
        <f>'Mass Balance'!E26</f>
        <v>7.4540401258345624E-7</v>
      </c>
      <c r="C26">
        <f>SUM('Mass Balance'!E26:H26)</f>
        <v>1.4123728670819994E-4</v>
      </c>
      <c r="D26">
        <f>Concentrations!F26/Concentrations!E26</f>
        <v>5.2983265655727266E-3</v>
      </c>
    </row>
    <row r="27" spans="1:4">
      <c r="A27">
        <f>'Mass Balance'!I27</f>
        <v>1.5961899575813913E-6</v>
      </c>
      <c r="B27">
        <f>'Mass Balance'!E27</f>
        <v>1.1388273129989706E-7</v>
      </c>
      <c r="C27">
        <f>SUM('Mass Balance'!E27:H27)</f>
        <v>1.4245767868229111E-4</v>
      </c>
      <c r="D27">
        <f>Concentrations!F27/Concentrations!E27</f>
        <v>8.0254311530271677E-4</v>
      </c>
    </row>
    <row r="28" spans="1:4">
      <c r="A28">
        <f>'Mass Balance'!I28</f>
        <v>1.0012977694204488E-6</v>
      </c>
      <c r="B28">
        <f>'Mass Balance'!E28</f>
        <v>4.1085000004567329E-7</v>
      </c>
      <c r="C28">
        <f>SUM('Mass Balance'!E28:H28)</f>
        <v>1.4132551903325581E-4</v>
      </c>
      <c r="D28">
        <f>Concentrations!F28/Concentrations!E28</f>
        <v>2.9184957454671031E-3</v>
      </c>
    </row>
    <row r="29" spans="1:4">
      <c r="A29">
        <f>'Mass Balance'!I29</f>
        <v>7.5038646332102958E-7</v>
      </c>
      <c r="B29">
        <f>'Mass Balance'!E29</f>
        <v>6.1978785191343647E-7</v>
      </c>
      <c r="C29">
        <f>SUM('Mass Balance'!E29:H29)</f>
        <v>1.3800836707300606E-4</v>
      </c>
      <c r="D29">
        <f>Concentrations!F29/Concentrations!E29</f>
        <v>4.5085200424820789E-3</v>
      </c>
    </row>
    <row r="30" spans="1:4">
      <c r="A30">
        <f>'Mass Balance'!I30</f>
        <v>1.0012977694204488E-6</v>
      </c>
      <c r="B30">
        <f>'Mass Balance'!E30</f>
        <v>4.1085000004567329E-7</v>
      </c>
      <c r="C30">
        <f>SUM('Mass Balance'!E30:H30)</f>
        <v>1.4132551903325581E-4</v>
      </c>
      <c r="D30">
        <f>Concentrations!F30/Concentrations!E30</f>
        <v>2.9184957454671031E-3</v>
      </c>
    </row>
    <row r="31" spans="1:4">
      <c r="A31">
        <f>'Mass Balance'!I31</f>
        <v>6.5316244019278562E-8</v>
      </c>
      <c r="B31">
        <f>'Mass Balance'!E31</f>
        <v>1.4830821795071687E-4</v>
      </c>
      <c r="C31">
        <f>SUM('Mass Balance'!E31:H31)</f>
        <v>1.4843610467756623E-4</v>
      </c>
      <c r="D31">
        <f>Concentrations!F31/Concentrations!E31</f>
        <v>1.0030487243621815</v>
      </c>
    </row>
    <row r="32" spans="1:4">
      <c r="A32">
        <f>'Mass Balance'!I32</f>
        <v>1.7153726297740334E-7</v>
      </c>
      <c r="B32">
        <f>'Mass Balance'!E32</f>
        <v>7.999452466889025E-5</v>
      </c>
      <c r="C32">
        <f>SUM('Mass Balance'!E32:H32)</f>
        <v>1.2482219410742538E-4</v>
      </c>
      <c r="D32">
        <f>Concentrations!F32/Concentrations!E32</f>
        <v>0.64337593466145504</v>
      </c>
    </row>
    <row r="33" spans="1:4">
      <c r="A33">
        <f>'Mass Balance'!I33</f>
        <v>6.541316914991109E-8</v>
      </c>
      <c r="B33">
        <f>'Mass Balance'!E33</f>
        <v>1.4930068948561061E-4</v>
      </c>
      <c r="C33">
        <f>SUM('Mass Balance'!E33:H33)</f>
        <v>1.4993097332449354E-4</v>
      </c>
      <c r="D33">
        <f>Concentrations!F33/Concentrations!E33</f>
        <v>0.99969337789726764</v>
      </c>
    </row>
    <row r="34" spans="1:4">
      <c r="A34">
        <f>'Mass Balance'!I34</f>
        <v>4.9561327239690331E-8</v>
      </c>
      <c r="B34">
        <f>'Mass Balance'!E34</f>
        <v>8.2125096226232119E-5</v>
      </c>
      <c r="C34">
        <f>SUM('Mass Balance'!E34:H34)</f>
        <v>1.4993812323453991E-4</v>
      </c>
      <c r="D34">
        <f>Concentrations!F34/Concentrations!E34</f>
        <v>0.54987019915558155</v>
      </c>
    </row>
    <row r="35" spans="1:4">
      <c r="A35">
        <f>'Mass Balance'!I35</f>
        <v>4.0661611431745679E-8</v>
      </c>
      <c r="B35">
        <f>'Mass Balance'!E35</f>
        <v>4.8629807789387956E-5</v>
      </c>
      <c r="C35">
        <f>SUM('Mass Balance'!E35:H35)</f>
        <v>1.4992952249095009E-4</v>
      </c>
      <c r="D35">
        <f>Concentrations!F35/Concentrations!E35</f>
        <v>0.32562051399863756</v>
      </c>
    </row>
    <row r="36" spans="1:4">
      <c r="A36">
        <f>'Mass Balance'!I36</f>
        <v>3.0746906985821539E-8</v>
      </c>
      <c r="B36">
        <f>'Mass Balance'!E36</f>
        <v>1.6222877369087455E-5</v>
      </c>
      <c r="C36">
        <f>SUM('Mass Balance'!E36:H36)</f>
        <v>1.4993592459918394E-4</v>
      </c>
      <c r="D36">
        <f>Concentrations!F36/Concentrations!E36</f>
        <v>0.1086221877125709</v>
      </c>
    </row>
    <row r="37" spans="1:4">
      <c r="A37">
        <f>'Mass Balance'!I37</f>
        <v>8.6437360626528517E-8</v>
      </c>
      <c r="B37">
        <f>'Mass Balance'!E37</f>
        <v>3.2539683871405016E-5</v>
      </c>
      <c r="C37">
        <f>SUM('Mass Balance'!E37:H37)</f>
        <v>1.4524760463739643E-4</v>
      </c>
      <c r="D37">
        <f>Concentrations!F37/Concentrations!E37</f>
        <v>0.22490582970047907</v>
      </c>
    </row>
    <row r="38" spans="1:4">
      <c r="A38">
        <f>'Mass Balance'!I38</f>
        <v>5.2676754233747857E-8</v>
      </c>
      <c r="B38">
        <f>'Mass Balance'!E38</f>
        <v>9.205287273543117E-5</v>
      </c>
      <c r="C38">
        <f>SUM('Mass Balance'!E38:H38)</f>
        <v>1.498280913663835E-4</v>
      </c>
      <c r="D38">
        <f>Concentrations!F38/Concentrations!E38</f>
        <v>0.61679445598249316</v>
      </c>
    </row>
    <row r="39" spans="1:4">
      <c r="A39">
        <f>'Mass Balance'!I39</f>
        <v>3.1844118985365384E-7</v>
      </c>
      <c r="B39">
        <f>'Mass Balance'!E39</f>
        <v>1.6574833239304932E-6</v>
      </c>
      <c r="C39">
        <f>SUM('Mass Balance'!E39:H39)</f>
        <v>1.4221796423244569E-4</v>
      </c>
      <c r="D39">
        <f>Concentrations!F39/Concentrations!E39</f>
        <v>1.1700140373438877E-2</v>
      </c>
    </row>
    <row r="40" spans="1:4">
      <c r="A40">
        <f>'Mass Balance'!I40</f>
        <v>1.7503464091184223E-6</v>
      </c>
      <c r="B40">
        <f>'Mass Balance'!E40</f>
        <v>1.5118075951362999E-7</v>
      </c>
      <c r="C40">
        <f>SUM('Mass Balance'!E40:H40)</f>
        <v>1.4806659298514301E-4</v>
      </c>
      <c r="D40">
        <f>Concentrations!F40/Concentrations!E40</f>
        <v>1.0250281720648681E-3</v>
      </c>
    </row>
    <row r="41" spans="1:4">
      <c r="A41">
        <f>'Mass Balance'!I41</f>
        <v>6.1152409213131759E-8</v>
      </c>
      <c r="B41">
        <f>'Mass Balance'!E41</f>
        <v>1.3989337939941367E-4</v>
      </c>
      <c r="C41">
        <f>SUM('Mass Balance'!E41:H41)</f>
        <v>1.3989980605830292E-4</v>
      </c>
      <c r="D41">
        <f>Concentrations!F41/Concentrations!E41</f>
        <v>1.0038675396339609</v>
      </c>
    </row>
    <row r="42" spans="1:4">
      <c r="A42">
        <f>'Mass Balance'!I42</f>
        <v>1.3734652874296341E-7</v>
      </c>
      <c r="B42">
        <f>'Mass Balance'!E42</f>
        <v>9.5057820958563129E-5</v>
      </c>
      <c r="C42">
        <f>SUM('Mass Balance'!E42:H42)</f>
        <v>1.2706545647589811E-4</v>
      </c>
      <c r="D42">
        <f>Concentrations!F42/Concentrations!E42</f>
        <v>0.75102901537292632</v>
      </c>
    </row>
    <row r="43" spans="1:4">
      <c r="A43">
        <f>'Mass Balance'!I43</f>
        <v>5.1079134690821483E-8</v>
      </c>
      <c r="B43">
        <f>'Mass Balance'!E43</f>
        <v>1.3224824637682009E-6</v>
      </c>
      <c r="C43">
        <f>SUM('Mass Balance'!E43:H43)</f>
        <v>1.4992221837952085E-4</v>
      </c>
      <c r="D43">
        <f>Concentrations!F43/Concentrations!E43</f>
        <v>8.8556467538360335E-3</v>
      </c>
    </row>
    <row r="44" spans="1:4">
      <c r="A44">
        <f>'Mass Balance'!I44</f>
        <v>6.9189319717058565E-8</v>
      </c>
      <c r="B44">
        <f>'Mass Balance'!E44</f>
        <v>1.2592001480292702E-4</v>
      </c>
      <c r="C44">
        <f>SUM('Mass Balance'!E44:H44)</f>
        <v>1.3011727459366377E-4</v>
      </c>
      <c r="D44">
        <f>Concentrations!F44/Concentrations!E44</f>
        <v>0.97152989827926495</v>
      </c>
    </row>
    <row r="45" spans="1:4">
      <c r="A45">
        <f>'Mass Balance'!I45</f>
        <v>1.4755920204802539E-7</v>
      </c>
      <c r="B45">
        <f>'Mass Balance'!E45</f>
        <v>8.9341572509960782E-5</v>
      </c>
      <c r="C45">
        <f>SUM('Mass Balance'!E45:H45)</f>
        <v>1.2597693254537838E-4</v>
      </c>
      <c r="D45">
        <f>Concentrations!F45/Concentrations!E45</f>
        <v>0.71196546040949049</v>
      </c>
    </row>
    <row r="46" spans="1:4">
      <c r="A46">
        <f>'Mass Balance'!I46</f>
        <v>1.408529117605743E-7</v>
      </c>
      <c r="B46">
        <f>'Mass Balance'!E46</f>
        <v>9.279309900148361E-5</v>
      </c>
      <c r="C46">
        <f>SUM('Mass Balance'!E46:H46)</f>
        <v>1.2643438227135192E-4</v>
      </c>
      <c r="D46">
        <f>Concentrations!F46/Concentrations!E46</f>
        <v>0.73679530590858944</v>
      </c>
    </row>
    <row r="47" spans="1:4">
      <c r="A47">
        <f>'Mass Balance'!I47</f>
        <v>1.6348178023681599E-6</v>
      </c>
      <c r="B47">
        <f>'Mass Balance'!E47</f>
        <v>1.0379803389052711E-7</v>
      </c>
      <c r="C47">
        <f>SUM('Mass Balance'!E47:H47)</f>
        <v>1.4287833217887513E-4</v>
      </c>
      <c r="D47">
        <f>Concentrations!F47/Concentrations!E47</f>
        <v>7.2932166972692724E-4</v>
      </c>
    </row>
    <row r="48" spans="1:4">
      <c r="A48">
        <f>'Mass Balance'!I48</f>
        <v>6.6837918183503758E-8</v>
      </c>
      <c r="B48">
        <f>'Mass Balance'!E48</f>
        <v>1.4208936846165851E-4</v>
      </c>
      <c r="C48">
        <f>SUM('Mass Balance'!E48:H48)</f>
        <v>1.434100498704936E-4</v>
      </c>
      <c r="D48">
        <f>Concentrations!F48/Concentrations!E48</f>
        <v>0.99466848831057531</v>
      </c>
    </row>
    <row r="49" spans="1:4">
      <c r="A49">
        <f>'Mass Balance'!I49</f>
        <v>6.8563998639229531E-8</v>
      </c>
      <c r="B49">
        <f>'Mass Balance'!E49</f>
        <v>1.3798796342151122E-4</v>
      </c>
      <c r="C49">
        <f>SUM('Mass Balance'!E49:H49)</f>
        <v>1.4035735900144795E-4</v>
      </c>
      <c r="D49">
        <f>Concentrations!F49/Concentrations!E49</f>
        <v>0.98696642602903817</v>
      </c>
    </row>
    <row r="50" spans="1:4">
      <c r="A50">
        <f>'Mass Balance'!I50</f>
        <v>3.0073704764868866E-7</v>
      </c>
      <c r="B50">
        <f>'Mass Balance'!E50</f>
        <v>1.3157199274247583E-5</v>
      </c>
      <c r="C50">
        <f>SUM('Mass Balance'!E50:H50)</f>
        <v>1.3094608408343005E-4</v>
      </c>
      <c r="D50">
        <f>Concentrations!F50/Concentrations!E50</f>
        <v>0.10087122598395437</v>
      </c>
    </row>
    <row r="51" spans="1:4">
      <c r="A51">
        <f>'Mass Balance'!I51</f>
        <v>6.1976055233626258E-8</v>
      </c>
      <c r="B51">
        <f>'Mass Balance'!E51</f>
        <v>1.3989348460999816E-4</v>
      </c>
      <c r="C51">
        <f>SUM('Mass Balance'!E51:H51)</f>
        <v>1.4011059732402736E-4</v>
      </c>
      <c r="D51">
        <f>Concentrations!F51/Concentrations!E51</f>
        <v>1.002358011511207</v>
      </c>
    </row>
    <row r="52" spans="1:4">
      <c r="A52">
        <f>'Mass Balance'!I52</f>
        <v>7.7223985571644698E-8</v>
      </c>
      <c r="B52">
        <f>'Mass Balance'!E52</f>
        <v>1.2182311527340335E-4</v>
      </c>
      <c r="C52">
        <f>SUM('Mass Balance'!E52:H52)</f>
        <v>1.2914847362679145E-4</v>
      </c>
      <c r="D52">
        <f>Concentrations!F52/Concentrations!E52</f>
        <v>0.94697123184535303</v>
      </c>
    </row>
    <row r="53" spans="1:4">
      <c r="A53">
        <f>'Mass Balance'!I53</f>
        <v>1.8362576457412515E-7</v>
      </c>
      <c r="B53">
        <f>'Mass Balance'!E53</f>
        <v>7.0270552800242854E-5</v>
      </c>
      <c r="C53">
        <f>SUM('Mass Balance'!E53:H53)</f>
        <v>1.2362351966797126E-4</v>
      </c>
      <c r="D53">
        <f>Concentrations!F53/Concentrations!E53</f>
        <v>0.57064843187288916</v>
      </c>
    </row>
    <row r="54" spans="1:4">
      <c r="A54">
        <f>'Mass Balance'!I54</f>
        <v>1.5032032518620482E-6</v>
      </c>
      <c r="B54">
        <f>'Mass Balance'!E54</f>
        <v>1.4524082685679733E-7</v>
      </c>
      <c r="C54">
        <f>SUM('Mass Balance'!E54:H54)</f>
        <v>1.4240063222924432E-4</v>
      </c>
      <c r="D54">
        <f>Concentrations!F54/Concentrations!E54</f>
        <v>1.0239368137133337E-3</v>
      </c>
    </row>
    <row r="55" spans="1:4">
      <c r="A55">
        <f>'Mass Balance'!I55</f>
        <v>2.364992998905984E-7</v>
      </c>
      <c r="B55">
        <f>'Mass Balance'!E55</f>
        <v>2.4987108868148877E-5</v>
      </c>
      <c r="C55">
        <f>SUM('Mass Balance'!E55:H55)</f>
        <v>1.1039383164776759E-4</v>
      </c>
      <c r="D55">
        <f>Concentrations!F55/Concentrations!E55</f>
        <v>0.22723099168919011</v>
      </c>
    </row>
    <row r="56" spans="1:4">
      <c r="A56">
        <f>'Mass Balance'!I56</f>
        <v>1.341048834539529E-7</v>
      </c>
      <c r="B56">
        <f>'Mass Balance'!E56</f>
        <v>2.9425731351985149E-6</v>
      </c>
      <c r="C56">
        <f>SUM('Mass Balance'!E56:H56)</f>
        <v>5.8219836505001565E-5</v>
      </c>
      <c r="D56">
        <f>Concentrations!F56/Concentrations!E56</f>
        <v>5.0740255117250999E-2</v>
      </c>
    </row>
    <row r="57" spans="1:4">
      <c r="A57">
        <f>'Mass Balance'!I57</f>
        <v>6.9932351057348098E-8</v>
      </c>
      <c r="B57">
        <f>'Mass Balance'!E57</f>
        <v>5.5227624087616892E-6</v>
      </c>
      <c r="C57">
        <f>SUM('Mass Balance'!E57:H57)</f>
        <v>3.1541431257874831E-5</v>
      </c>
      <c r="D57">
        <f>Concentrations!F57/Concentrations!E57</f>
        <v>0.17578075519766784</v>
      </c>
    </row>
    <row r="58" spans="1:4">
      <c r="A58">
        <f>'Mass Balance'!I58</f>
        <v>5.7704142670614019E-9</v>
      </c>
      <c r="B58">
        <f>'Mass Balance'!E58</f>
        <v>1.1256429253167733E-5</v>
      </c>
      <c r="C58">
        <f>SUM('Mass Balance'!E58:H58)</f>
        <v>1.1503526894088582E-5</v>
      </c>
      <c r="D58">
        <f>Concentrations!F58/Concentrations!E58</f>
        <v>0.98234942729794872</v>
      </c>
    </row>
    <row r="59" spans="1:4">
      <c r="A59">
        <f>'Mass Balance'!I59</f>
        <v>2.7178158903416934E-8</v>
      </c>
      <c r="B59">
        <f>'Mass Balance'!E59</f>
        <v>2.2961597489437093E-6</v>
      </c>
      <c r="C59">
        <f>SUM('Mass Balance'!E59:H59)</f>
        <v>1.234160772456377E-5</v>
      </c>
      <c r="D59">
        <f>Concentrations!F59/Concentrations!E59</f>
        <v>0.18677843130853472</v>
      </c>
    </row>
    <row r="60" spans="1:4">
      <c r="A60">
        <f>'Mass Balance'!I60</f>
        <v>4.9363044848579824E-10</v>
      </c>
      <c r="B60">
        <f>'Mass Balance'!E60</f>
        <v>8.6349593082870469E-8</v>
      </c>
      <c r="C60">
        <f>SUM('Mass Balance'!E60:H60)</f>
        <v>2.5368148543252924E-7</v>
      </c>
      <c r="D60">
        <f>Concentrations!F60/Concentrations!E60</f>
        <v>0.34171802338874774</v>
      </c>
    </row>
    <row r="61" spans="1:4">
      <c r="A61">
        <f>'Mass Balance'!I61</f>
        <v>2.1958938697761487E-7</v>
      </c>
      <c r="B61">
        <f>'Mass Balance'!E61</f>
        <v>5.2810977809029537E-5</v>
      </c>
      <c r="C61">
        <f>SUM('Mass Balance'!E61:H61)</f>
        <v>1.2350329093368953E-4</v>
      </c>
      <c r="D61">
        <f>Concentrations!F61/Concentrations!E61</f>
        <v>0.42928136943734019</v>
      </c>
    </row>
    <row r="62" spans="1:4">
      <c r="A62">
        <f>'Mass Balance'!I62</f>
        <v>7.7530566929522247E-7</v>
      </c>
      <c r="B62">
        <f>'Mass Balance'!E62</f>
        <v>6.2561067048560901E-7</v>
      </c>
      <c r="C62">
        <f>SUM('Mass Balance'!E62:H62)</f>
        <v>1.412355837948072E-4</v>
      </c>
      <c r="D62">
        <f>Concentrations!F62/Concentrations!E62</f>
        <v>4.4468899351751282E-3</v>
      </c>
    </row>
    <row r="63" spans="1:4">
      <c r="A63">
        <f>'Mass Balance'!I63</f>
        <v>1.8319289491093482E-6</v>
      </c>
      <c r="B63">
        <f>'Mass Balance'!E63</f>
        <v>5.6437896539999682E-8</v>
      </c>
      <c r="C63">
        <f>SUM('Mass Balance'!E63:H63)</f>
        <v>1.4369636036658969E-4</v>
      </c>
      <c r="D63">
        <f>Concentrations!F63/Concentrations!E63</f>
        <v>3.942951301225698E-4</v>
      </c>
    </row>
    <row r="64" spans="1:4">
      <c r="A64">
        <f>'Mass Balance'!I64</f>
        <v>2.0700273452380379E-6</v>
      </c>
      <c r="B64">
        <f>'Mass Balance'!E64</f>
        <v>1.9406485823083915E-8</v>
      </c>
      <c r="C64">
        <f>SUM('Mass Balance'!E64:H64)</f>
        <v>1.4494282061477121E-4</v>
      </c>
      <c r="D64">
        <f>Concentrations!F64/Concentrations!E64</f>
        <v>1.3441463378141344E-4</v>
      </c>
    </row>
    <row r="65" spans="1:4">
      <c r="A65">
        <f>'Mass Balance'!I65</f>
        <v>2.2335525486605378E-6</v>
      </c>
      <c r="B65">
        <f>'Mass Balance'!E65</f>
        <v>5.4117662009387282E-9</v>
      </c>
      <c r="C65">
        <f>SUM('Mass Balance'!E65:H65)</f>
        <v>1.4599273044564896E-4</v>
      </c>
      <c r="D65">
        <f>Concentrations!F65/Concentrations!E65</f>
        <v>3.7213811818105853E-5</v>
      </c>
    </row>
    <row r="66" spans="1:4">
      <c r="A66">
        <f>'Mass Balance'!I66</f>
        <v>2.1520186237379861E-6</v>
      </c>
      <c r="B66">
        <f>'Mass Balance'!E66</f>
        <v>1.1259810401925849E-8</v>
      </c>
      <c r="C66">
        <f>SUM('Mass Balance'!E66:H66)</f>
        <v>1.4544757579353581E-4</v>
      </c>
      <c r="D66">
        <f>Concentrations!F66/Concentrations!E66</f>
        <v>7.7717881346988231E-5</v>
      </c>
    </row>
    <row r="67" spans="1:4">
      <c r="A67">
        <f>'Mass Balance'!I67</f>
        <v>7.6422463135556989E-8</v>
      </c>
      <c r="B67">
        <f>'Mass Balance'!E67</f>
        <v>1.3347608828843545E-4</v>
      </c>
      <c r="C67">
        <f>SUM('Mass Balance'!E67:H67)</f>
        <v>1.3889194548501348E-4</v>
      </c>
      <c r="D67">
        <f>Concentrations!F67/Concentrations!E67</f>
        <v>0.96476773687511452</v>
      </c>
    </row>
    <row r="68" spans="1:4">
      <c r="A68">
        <f>'Mass Balance'!I68</f>
        <v>8.5862498829335502E-8</v>
      </c>
      <c r="B68">
        <f>'Mass Balance'!E68</f>
        <v>1.2522945902700063E-4</v>
      </c>
      <c r="C68">
        <f>SUM('Mass Balance'!E68:H68)</f>
        <v>1.3485912882784418E-4</v>
      </c>
      <c r="D68">
        <f>Concentrations!F68/Concentrations!E68</f>
        <v>0.93222880251935281</v>
      </c>
    </row>
    <row r="69" spans="1:4">
      <c r="A69">
        <f>'Mass Balance'!I69</f>
        <v>1.3044450084749891E-6</v>
      </c>
      <c r="B69">
        <f>'Mass Balance'!E69</f>
        <v>2.2581565765522127E-7</v>
      </c>
      <c r="C69">
        <f>SUM('Mass Balance'!E69:H69)</f>
        <v>1.4172476952766864E-4</v>
      </c>
      <c r="D69">
        <f>Concentrations!F69/Concentrations!E69</f>
        <v>1.5995751726402129E-3</v>
      </c>
    </row>
    <row r="70" spans="1:4">
      <c r="A70">
        <f>'Mass Balance'!I70</f>
        <v>3.1419729973893565E-7</v>
      </c>
      <c r="B70">
        <f>'Mass Balance'!E70</f>
        <v>4.2400738590708607E-6</v>
      </c>
      <c r="C70">
        <f>SUM('Mass Balance'!E70:H70)</f>
        <v>1.3808867932346835E-4</v>
      </c>
      <c r="D70">
        <f>Concentrations!F70/Concentrations!E70</f>
        <v>3.0825612024579729E-2</v>
      </c>
    </row>
    <row r="71" spans="1:4">
      <c r="A71">
        <f>'Mass Balance'!I71</f>
        <v>8.2918229959758235E-8</v>
      </c>
      <c r="B71">
        <f>'Mass Balance'!E71</f>
        <v>1.2497318667101587E-4</v>
      </c>
      <c r="C71">
        <f>SUM('Mass Balance'!E71:H71)</f>
        <v>1.3368274982340157E-4</v>
      </c>
      <c r="D71">
        <f>Concentrations!F71/Concentrations!E71</f>
        <v>0.93850769095966746</v>
      </c>
    </row>
    <row r="72" spans="1:4">
      <c r="A72">
        <f>'Mass Balance'!I72</f>
        <v>3.1114605425013016E-7</v>
      </c>
      <c r="B72">
        <f>'Mass Balance'!E72</f>
        <v>4.9384495444468931E-6</v>
      </c>
      <c r="C72">
        <f>SUM('Mass Balance'!E72:H72)</f>
        <v>1.360621257958345E-4</v>
      </c>
      <c r="D72">
        <f>Concentrations!F72/Concentrations!E72</f>
        <v>3.6437597259925146E-2</v>
      </c>
    </row>
    <row r="73" spans="1:4">
      <c r="A73">
        <f>'Mass Balance'!I73</f>
        <v>2.2428293557867393E-7</v>
      </c>
      <c r="B73">
        <f>'Mass Balance'!E73</f>
        <v>4.8564081080816924E-5</v>
      </c>
      <c r="C73">
        <f>SUM('Mass Balance'!E73:H73)</f>
        <v>1.2210251811566882E-4</v>
      </c>
      <c r="D73">
        <f>Concentrations!F73/Concentrations!E73</f>
        <v>0.39928860591166571</v>
      </c>
    </row>
    <row r="74" spans="1:4">
      <c r="A74">
        <f>'Mass Balance'!I74</f>
        <v>3.1368468162367176E-7</v>
      </c>
      <c r="B74">
        <f>'Mass Balance'!E74</f>
        <v>4.4340627305470356E-6</v>
      </c>
      <c r="C74">
        <f>SUM('Mass Balance'!E74:H74)</f>
        <v>1.3765420286703583E-4</v>
      </c>
      <c r="D74">
        <f>Concentrations!F74/Concentrations!E74</f>
        <v>3.2337669598745407E-2</v>
      </c>
    </row>
    <row r="75" spans="1:4">
      <c r="A75">
        <f>'Mass Balance'!I75</f>
        <v>1.6729329226386137E-7</v>
      </c>
      <c r="B75">
        <f>'Mass Balance'!E75</f>
        <v>6.4744281083314479E-7</v>
      </c>
      <c r="C75">
        <f>SUM('Mass Balance'!E75:H75)</f>
        <v>1.498274211004716E-4</v>
      </c>
      <c r="D75">
        <f>Concentrations!F75/Concentrations!E75</f>
        <v>4.3381690424097365E-3</v>
      </c>
    </row>
    <row r="76" spans="1:4">
      <c r="A76">
        <f>'Mass Balance'!I76</f>
        <v>1.6729329233364653E-7</v>
      </c>
      <c r="B76">
        <f>'Mass Balance'!E76</f>
        <v>6.4744281110322082E-7</v>
      </c>
      <c r="C76">
        <f>SUM('Mass Balance'!E76:H76)</f>
        <v>1.4982742116297098E-4</v>
      </c>
      <c r="D76">
        <f>Concentrations!F76/Concentrations!E76</f>
        <v>4.3381690424097374E-3</v>
      </c>
    </row>
    <row r="77" spans="1:4">
      <c r="A77">
        <f>'Mass Balance'!I77</f>
        <v>2.8582020736616701E-7</v>
      </c>
      <c r="B77">
        <f>'Mass Balance'!E77</f>
        <v>1.8005462914501278E-5</v>
      </c>
      <c r="C77">
        <f>SUM('Mass Balance'!E77:H77)</f>
        <v>1.2658594021542732E-4</v>
      </c>
      <c r="D77">
        <f>Concentrations!F77/Concentrations!E77</f>
        <v>0.14279571719987913</v>
      </c>
    </row>
    <row r="78" spans="1:4">
      <c r="A78">
        <f>'Mass Balance'!I78</f>
        <v>1.2835511887199127E-7</v>
      </c>
      <c r="B78">
        <f>'Mass Balance'!E78</f>
        <v>9.4720506671400136E-5</v>
      </c>
      <c r="C78">
        <f>SUM('Mass Balance'!E78:H78)</f>
        <v>1.2362230870119738E-4</v>
      </c>
      <c r="D78">
        <f>Concentrations!F78/Concentrations!E78</f>
        <v>0.76920752608869414</v>
      </c>
    </row>
    <row r="79" spans="1:4">
      <c r="A79">
        <f>'Mass Balance'!I79</f>
        <v>1.8565420220701278E-7</v>
      </c>
      <c r="B79">
        <f>'Mass Balance'!E79</f>
        <v>6.8329513043772873E-5</v>
      </c>
      <c r="C79">
        <f>SUM('Mass Balance'!E79:H79)</f>
        <v>1.2283031380435743E-4</v>
      </c>
      <c r="D79">
        <f>Concentrations!F79/Concentrations!E79</f>
        <v>0.5584690716502958</v>
      </c>
    </row>
    <row r="80" spans="1:4">
      <c r="A80">
        <f>'Mass Balance'!I80</f>
        <v>3.2432960916030459E-7</v>
      </c>
      <c r="B80">
        <f>'Mass Balance'!E80</f>
        <v>4.3852548575506288E-7</v>
      </c>
      <c r="C80">
        <f>SUM('Mass Balance'!E80:H80)</f>
        <v>1.4966923485680166E-4</v>
      </c>
      <c r="D80">
        <f>Concentrations!F80/Concentrations!E80</f>
        <v>2.9414309795428046E-3</v>
      </c>
    </row>
    <row r="81" spans="1:4">
      <c r="A81">
        <f>'Mass Balance'!I81</f>
        <v>6.5376853236713508E-8</v>
      </c>
      <c r="B81">
        <f>'Mass Balance'!E81</f>
        <v>1.4787647876712324E-4</v>
      </c>
      <c r="C81">
        <f>SUM('Mass Balance'!E81:H81)</f>
        <v>1.4806982146989208E-4</v>
      </c>
      <c r="D81">
        <f>Concentrations!F81/Concentrations!E81</f>
        <v>1.0026027931264743</v>
      </c>
    </row>
    <row r="82" spans="1:4">
      <c r="A82">
        <f>'Mass Balance'!I82</f>
        <v>9.2017369374284865E-8</v>
      </c>
      <c r="B82">
        <f>'Mass Balance'!E82</f>
        <v>1.2253129640832716E-4</v>
      </c>
      <c r="C82">
        <f>SUM('Mass Balance'!E82:H82)</f>
        <v>1.3458118814738024E-4</v>
      </c>
      <c r="D82">
        <f>Concentrations!F82/Concentrations!E82</f>
        <v>0.9140270164622144</v>
      </c>
    </row>
    <row r="83" spans="1:4">
      <c r="A83">
        <f>'Mass Balance'!I83</f>
        <v>2.8281774439505041E-7</v>
      </c>
      <c r="B83">
        <f>'Mass Balance'!E83</f>
        <v>2.2843410155914618E-5</v>
      </c>
      <c r="C83">
        <f>SUM('Mass Balance'!E83:H83)</f>
        <v>1.2783848745948702E-4</v>
      </c>
      <c r="D83">
        <f>Concentrations!F83/Concentrations!E83</f>
        <v>0.17938894525213356</v>
      </c>
    </row>
    <row r="84" spans="1:4">
      <c r="A84">
        <f>'Mass Balance'!I84</f>
        <v>6.650723333490428E-8</v>
      </c>
      <c r="B84">
        <f>'Mass Balance'!E84</f>
        <v>1.4500185388151889E-4</v>
      </c>
      <c r="C84">
        <f>SUM('Mass Balance'!E84:H84)</f>
        <v>1.4585784066705262E-4</v>
      </c>
      <c r="D84">
        <f>Concentrations!F84/Concentrations!E84</f>
        <v>0.99802205172041059</v>
      </c>
    </row>
    <row r="85" spans="1:4">
      <c r="A85">
        <f>'Mass Balance'!I85</f>
        <v>6.5313941258393273E-8</v>
      </c>
      <c r="B85">
        <f>'Mass Balance'!E85</f>
        <v>1.4912803143873267E-4</v>
      </c>
      <c r="C85">
        <f>SUM('Mass Balance'!E85:H85)</f>
        <v>1.4916451804729541E-4</v>
      </c>
      <c r="D85">
        <f>Concentrations!F85/Concentrations!E85</f>
        <v>1.0036680932087843</v>
      </c>
    </row>
    <row r="86" spans="1:4">
      <c r="A86">
        <f>'Mass Balance'!I86</f>
        <v>6.6428220156522088E-8</v>
      </c>
      <c r="B86">
        <f>'Mass Balance'!E86</f>
        <v>1.4514311154298435E-4</v>
      </c>
      <c r="C86">
        <f>SUM('Mass Balance'!E86:H86)</f>
        <v>1.4595891009842304E-4</v>
      </c>
      <c r="D86">
        <f>Concentrations!F86/Concentrations!E86</f>
        <v>0.99830254829448761</v>
      </c>
    </row>
    <row r="87" spans="1:4">
      <c r="A87">
        <f>'Mass Balance'!I87</f>
        <v>1.7157933711532096E-6</v>
      </c>
      <c r="B87">
        <f>'Mass Balance'!E87</f>
        <v>8.2340814874747081E-8</v>
      </c>
      <c r="C87">
        <f>SUM('Mass Balance'!E87:H87)</f>
        <v>1.4319477575125479E-4</v>
      </c>
      <c r="D87">
        <f>Concentrations!F87/Concentrations!E87</f>
        <v>5.7727712584221204E-4</v>
      </c>
    </row>
    <row r="88" spans="1:4">
      <c r="A88">
        <f>'Mass Balance'!I88</f>
        <v>1.1719970295606325E-7</v>
      </c>
      <c r="B88">
        <f>'Mass Balance'!E88</f>
        <v>1.0661116365939119E-4</v>
      </c>
      <c r="C88">
        <f>SUM('Mass Balance'!E88:H88)</f>
        <v>1.2965565361036443E-4</v>
      </c>
      <c r="D88">
        <f>Concentrations!F88/Concentrations!E88</f>
        <v>0.8254819609178794</v>
      </c>
    </row>
    <row r="89" spans="1:4">
      <c r="A89">
        <f>'Mass Balance'!I89</f>
        <v>9.5780997620181779E-8</v>
      </c>
      <c r="B89">
        <f>'Mass Balance'!E89</f>
        <v>1.200053165138723E-4</v>
      </c>
      <c r="C89">
        <f>SUM('Mass Balance'!E89:H89)</f>
        <v>1.33684099963742E-4</v>
      </c>
      <c r="D89">
        <f>Concentrations!F89/Concentrations!E89</f>
        <v>0.90119151188221713</v>
      </c>
    </row>
    <row r="90" spans="1:4">
      <c r="A90">
        <f>'Mass Balance'!I90</f>
        <v>7.1433973760515981E-8</v>
      </c>
      <c r="B90">
        <f>'Mass Balance'!E90</f>
        <v>1.3886336062246958E-4</v>
      </c>
      <c r="C90">
        <f>SUM('Mass Balance'!E90:H90)</f>
        <v>1.4198745584507658E-4</v>
      </c>
      <c r="D90">
        <f>Concentrations!F90/Concentrations!E90</f>
        <v>0.98182493204176768</v>
      </c>
    </row>
    <row r="91" spans="1:4">
      <c r="A91">
        <f>'Mass Balance'!I91</f>
        <v>8.5074470638750733E-7</v>
      </c>
      <c r="B91">
        <f>'Mass Balance'!E91</f>
        <v>5.4369719530500849E-7</v>
      </c>
      <c r="C91">
        <f>SUM('Mass Balance'!E91:H91)</f>
        <v>1.4123971962818805E-4</v>
      </c>
      <c r="D91">
        <f>Concentrations!F91/Concentrations!E91</f>
        <v>3.8645293340741366E-3</v>
      </c>
    </row>
    <row r="92" spans="1:4">
      <c r="A92">
        <f>'Mass Balance'!I92</f>
        <v>2.6262659311147953E-7</v>
      </c>
      <c r="B92">
        <f>'Mass Balance'!E92</f>
        <v>3.2403353162563892E-5</v>
      </c>
      <c r="C92">
        <f>SUM('Mass Balance'!E92:H92)</f>
        <v>1.2558813071955242E-4</v>
      </c>
      <c r="D92">
        <f>Concentrations!F92/Concentrations!E92</f>
        <v>0.25902263682185783</v>
      </c>
    </row>
    <row r="93" spans="1:4">
      <c r="A93">
        <f>'Mass Balance'!I93</f>
        <v>3.1334417287808165E-7</v>
      </c>
      <c r="B93">
        <f>'Mass Balance'!E93</f>
        <v>6.5649961121220728E-6</v>
      </c>
      <c r="C93">
        <f>SUM('Mass Balance'!E93:H93)</f>
        <v>1.3613924597232022E-4</v>
      </c>
      <c r="D93">
        <f>Concentrations!F93/Concentrations!E93</f>
        <v>4.8411383565722312E-2</v>
      </c>
    </row>
    <row r="94" spans="1:4">
      <c r="A94">
        <f>'Mass Balance'!I94</f>
        <v>6.2234683708423314E-8</v>
      </c>
      <c r="B94">
        <f>'Mass Balance'!E94</f>
        <v>1.3417188537054734E-4</v>
      </c>
      <c r="C94">
        <f>SUM('Mass Balance'!E94:H94)</f>
        <v>1.4992767469256083E-4</v>
      </c>
      <c r="D94">
        <f>Concentrations!F94/Concentrations!E94</f>
        <v>0.89841310742128699</v>
      </c>
    </row>
    <row r="95" spans="1:4">
      <c r="A95">
        <f>'Mass Balance'!I95</f>
        <v>4.2582028343886779E-7</v>
      </c>
      <c r="B95">
        <f>'Mass Balance'!E95</f>
        <v>1.2674936525043444E-6</v>
      </c>
      <c r="C95">
        <f>SUM('Mass Balance'!E95:H95)</f>
        <v>1.4177265760874916E-4</v>
      </c>
      <c r="D95">
        <f>Concentrations!F95/Concentrations!E95</f>
        <v>8.9753144885108532E-3</v>
      </c>
    </row>
    <row r="96" spans="1:4">
      <c r="A96">
        <f>'Mass Balance'!I96</f>
        <v>6.5393506999648913E-8</v>
      </c>
      <c r="B96">
        <f>'Mass Balance'!E96</f>
        <v>1.477886430885994E-4</v>
      </c>
      <c r="C96">
        <f>SUM('Mass Balance'!E96:H96)</f>
        <v>1.4799660270341998E-4</v>
      </c>
      <c r="D96">
        <f>Concentrations!F96/Concentrations!E96</f>
        <v>1.0025029928797253</v>
      </c>
    </row>
    <row r="97" spans="1:4">
      <c r="A97">
        <f>'Mass Balance'!I97</f>
        <v>6.6548433017515401E-8</v>
      </c>
      <c r="B97">
        <f>'Mass Balance'!E97</f>
        <v>1.44929585285645E-4</v>
      </c>
      <c r="C97">
        <f>SUM('Mass Balance'!E97:H97)</f>
        <v>1.4580639323628344E-4</v>
      </c>
      <c r="D97">
        <f>Concentrations!F97/Concentrations!E97</f>
        <v>0.99787661392795624</v>
      </c>
    </row>
    <row r="98" spans="1:4">
      <c r="A98">
        <f>'Mass Balance'!I98</f>
        <v>3.1453768112563215E-7</v>
      </c>
      <c r="B98">
        <f>'Mass Balance'!E98</f>
        <v>2.9967536394620449E-6</v>
      </c>
      <c r="C98">
        <f>SUM('Mass Balance'!E98:H98)</f>
        <v>1.4007189455569939E-4</v>
      </c>
      <c r="D98">
        <f>Concentrations!F98/Concentrations!E98</f>
        <v>2.147812674958453E-2</v>
      </c>
    </row>
    <row r="99" spans="1:4">
      <c r="A99">
        <f>'Mass Balance'!I99</f>
        <v>6.535010881289529E-8</v>
      </c>
      <c r="B99">
        <f>'Mass Balance'!E99</f>
        <v>1.4938428159094066E-4</v>
      </c>
      <c r="C99">
        <f>SUM('Mass Balance'!E99:H99)</f>
        <v>1.4940249862308334E-4</v>
      </c>
      <c r="D99">
        <f>Concentrations!F99/Concentrations!E99</f>
        <v>1.0037912472179731</v>
      </c>
    </row>
    <row r="100" spans="1:4">
      <c r="A100">
        <f>'Mass Balance'!I100</f>
        <v>1.7332479400938784E-7</v>
      </c>
      <c r="B100">
        <f>'Mass Balance'!E100</f>
        <v>7.584269154937939E-5</v>
      </c>
      <c r="C100">
        <f>SUM('Mass Balance'!E100:H100)</f>
        <v>1.2430158487749504E-4</v>
      </c>
      <c r="D100">
        <f>Concentrations!F100/Concentrations!E100</f>
        <v>0.6125385601891854</v>
      </c>
    </row>
    <row r="101" spans="1:4">
      <c r="A101">
        <f>'Mass Balance'!I101</f>
        <v>6.5302655718253398E-8</v>
      </c>
      <c r="B101">
        <f>'Mass Balance'!E101</f>
        <v>1.4899253247200017E-4</v>
      </c>
      <c r="C101">
        <f>SUM('Mass Balance'!E101:H101)</f>
        <v>1.4904081974246718E-4</v>
      </c>
      <c r="D101">
        <f>Concentrations!F101/Concentrations!E101</f>
        <v>1.0035884021450032</v>
      </c>
    </row>
    <row r="102" spans="1:4">
      <c r="A102">
        <f>'Mass Balance'!I102</f>
        <v>6.5427101665077793E-8</v>
      </c>
      <c r="B102">
        <f>'Mass Balance'!E102</f>
        <v>1.4970529757035353E-4</v>
      </c>
      <c r="C102">
        <f>SUM('Mass Balance'!E102:H102)</f>
        <v>1.4970894607999372E-4</v>
      </c>
      <c r="D102">
        <f>Concentrations!F102/Concentrations!E102</f>
        <v>1.0038891909364551</v>
      </c>
    </row>
    <row r="103" spans="1:4">
      <c r="A103">
        <f>'Mass Balance'!I103</f>
        <v>6.5353457430971323E-8</v>
      </c>
      <c r="B103">
        <f>'Mass Balance'!E103</f>
        <v>1.4940237135570701E-4</v>
      </c>
      <c r="C103">
        <f>SUM('Mass Balance'!E103:H103)</f>
        <v>1.4941951156283102E-4</v>
      </c>
      <c r="D103">
        <f>Concentrations!F103/Concentrations!E103</f>
        <v>1.0037984960831405</v>
      </c>
    </row>
    <row r="104" spans="1:4">
      <c r="A104">
        <f>'Mass Balance'!I104</f>
        <v>6.5774527983939025E-8</v>
      </c>
      <c r="B104">
        <f>'Mass Balance'!E104</f>
        <v>1.4651759824607099E-4</v>
      </c>
      <c r="C104">
        <f>SUM('Mass Balance'!E104:H104)</f>
        <v>1.4698040978707093E-4</v>
      </c>
      <c r="D104">
        <f>Concentrations!F104/Concentrations!E104</f>
        <v>1.0007525362272784</v>
      </c>
    </row>
    <row r="105" spans="1:4">
      <c r="A105">
        <f>'Mass Balance'!I105</f>
        <v>6.5413448215733629E-8</v>
      </c>
      <c r="B105">
        <f>'Mass Balance'!E105</f>
        <v>1.4965875099830423E-4</v>
      </c>
      <c r="C105">
        <f>SUM('Mass Balance'!E105:H105)</f>
        <v>1.496638819323454E-4</v>
      </c>
      <c r="D105">
        <f>Concentrations!F105/Concentrations!E105</f>
        <v>1.0038792397804066</v>
      </c>
    </row>
    <row r="106" spans="1:4">
      <c r="A106">
        <f>'Mass Balance'!I106</f>
        <v>7.5634110723500553E-8</v>
      </c>
      <c r="B106">
        <f>'Mass Balance'!E106</f>
        <v>1.3494646859308772E-4</v>
      </c>
      <c r="C106">
        <f>SUM('Mass Balance'!E106:H106)</f>
        <v>1.3990926924164907E-4</v>
      </c>
      <c r="D106">
        <f>Concentrations!F106/Concentrations!E106</f>
        <v>0.96830326910358977</v>
      </c>
    </row>
    <row r="107" spans="1:4">
      <c r="A107">
        <f>'Mass Balance'!I107</f>
        <v>3.1306902215944171E-7</v>
      </c>
      <c r="B107">
        <f>'Mass Balance'!E107</f>
        <v>2.2049632898479734E-6</v>
      </c>
      <c r="C107">
        <f>SUM('Mass Balance'!E107:H107)</f>
        <v>1.4130749255648125E-4</v>
      </c>
      <c r="D107">
        <f>Concentrations!F107/Concentrations!E107</f>
        <v>1.5665077058658022E-2</v>
      </c>
    </row>
    <row r="108" spans="1:4">
      <c r="A108">
        <f>'Mass Balance'!I108</f>
        <v>1.5308589316326616E-7</v>
      </c>
      <c r="B108">
        <f>'Mass Balance'!E108</f>
        <v>8.6469338724647264E-5</v>
      </c>
      <c r="C108">
        <f>SUM('Mass Balance'!E108:H108)</f>
        <v>1.2559892719788963E-4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0.86662602466227223</v>
      </c>
      <c r="M2" s="115">
        <v>1.1796531850151761</v>
      </c>
      <c r="N2" s="115">
        <v>59.03128265844299</v>
      </c>
      <c r="O2" s="115">
        <v>1.2597485497176137</v>
      </c>
      <c r="P2" s="115">
        <v>1.2929775943367654</v>
      </c>
      <c r="Q2" s="111">
        <v>1.2597485497176137</v>
      </c>
      <c r="R2" s="68">
        <v>1.2929775943367654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7.0669240620275186E-4</v>
      </c>
      <c r="M3" s="115">
        <v>23.285879322544375</v>
      </c>
      <c r="N3" s="115">
        <v>3816.0631649273519</v>
      </c>
      <c r="O3" s="115">
        <v>23.014954761617616</v>
      </c>
      <c r="P3" s="115">
        <v>9.8584918378562989</v>
      </c>
      <c r="Q3" s="111">
        <v>23.01495476161762</v>
      </c>
      <c r="R3" s="68">
        <v>9.8584918378562989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0.44679061658024222</v>
      </c>
      <c r="M4" s="115">
        <v>2.7608600082073713</v>
      </c>
      <c r="N4" s="115">
        <v>375.40497107632939</v>
      </c>
      <c r="O4" s="115">
        <v>4.0461258820343859</v>
      </c>
      <c r="P4" s="115">
        <v>3.7903983522461955</v>
      </c>
      <c r="Q4" s="111">
        <v>4.0461258820343859</v>
      </c>
      <c r="R4" s="68">
        <v>3.7903983522461955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7.6037155310112441E-3</v>
      </c>
      <c r="M5" s="115">
        <v>6.9076027347581395</v>
      </c>
      <c r="N5" s="115">
        <v>1119.1930071946058</v>
      </c>
      <c r="O5" s="115">
        <v>9.8579626437404961</v>
      </c>
      <c r="P5" s="115">
        <v>8.312309487089701</v>
      </c>
      <c r="Q5" s="111">
        <v>9.8579626437404961</v>
      </c>
      <c r="R5" s="68">
        <v>8.312309487089701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3.1439011995486907E-4</v>
      </c>
      <c r="M6" s="115">
        <v>26.956704905304683</v>
      </c>
      <c r="N6" s="115">
        <v>4429.7732080633123</v>
      </c>
      <c r="O6" s="115">
        <v>25.956668514688875</v>
      </c>
      <c r="P6" s="115">
        <v>10.282209443609664</v>
      </c>
      <c r="Q6" s="111">
        <v>25.956668514688879</v>
      </c>
      <c r="R6" s="68">
        <v>10.282209443609664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6.3172952866021601E-4</v>
      </c>
      <c r="M7" s="115">
        <v>23.942705462998884</v>
      </c>
      <c r="N7" s="115">
        <v>3925.287996866397</v>
      </c>
      <c r="O7" s="115">
        <v>23.553242816229101</v>
      </c>
      <c r="P7" s="115">
        <v>9.9503556663601209</v>
      </c>
      <c r="Q7" s="111">
        <v>23.553242816229101</v>
      </c>
      <c r="R7" s="68">
        <v>9.9503556663601209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1.4160244842594395E-3</v>
      </c>
      <c r="M8" s="115">
        <v>19.231161510716607</v>
      </c>
      <c r="N8" s="115">
        <v>3143.4490965718246</v>
      </c>
      <c r="O8" s="115">
        <v>19.775841039134956</v>
      </c>
      <c r="P8" s="115">
        <v>9.4595221768476154</v>
      </c>
      <c r="Q8" s="111">
        <v>19.77584103913496</v>
      </c>
      <c r="R8" s="68">
        <v>9.4595221768476154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6.9807568689535804E-2</v>
      </c>
      <c r="M9" s="115">
        <v>4.3996313094075665</v>
      </c>
      <c r="N9" s="115">
        <v>697.63953402139634</v>
      </c>
      <c r="O9" s="115">
        <v>7.3302218551208425</v>
      </c>
      <c r="P9" s="115">
        <v>7.1957030223372831</v>
      </c>
      <c r="Q9" s="111">
        <v>7.3302218551208433</v>
      </c>
      <c r="R9" s="68">
        <v>7.1957030223372831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7.0747385631007602E-3</v>
      </c>
      <c r="M10" s="115">
        <v>7.3914599118402382</v>
      </c>
      <c r="N10" s="115">
        <v>1198.2382589023057</v>
      </c>
      <c r="O10" s="115">
        <v>10.248244441321631</v>
      </c>
      <c r="P10" s="115">
        <v>8.3542390385817349</v>
      </c>
      <c r="Q10" s="111">
        <v>10.248244441321631</v>
      </c>
      <c r="R10" s="68">
        <v>8.3542390385817349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6.2532067189838732E-3</v>
      </c>
      <c r="M11" s="115">
        <v>8.2477737236257624</v>
      </c>
      <c r="N11" s="115">
        <v>1338.2136035239946</v>
      </c>
      <c r="O11" s="115">
        <v>10.937832654214281</v>
      </c>
      <c r="P11" s="115">
        <v>8.4274543083197848</v>
      </c>
      <c r="Q11" s="111">
        <v>10.937832654214283</v>
      </c>
      <c r="R11" s="68">
        <v>8.4274543083197848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4.380216261619288E-2</v>
      </c>
      <c r="M12" s="115">
        <v>4.4792443980216072</v>
      </c>
      <c r="N12" s="115">
        <v>715.32366843047134</v>
      </c>
      <c r="O12" s="115">
        <v>7.5909363704472703</v>
      </c>
      <c r="P12" s="115">
        <v>7.5473504469166288</v>
      </c>
      <c r="Q12" s="111">
        <v>7.5909363704472703</v>
      </c>
      <c r="R12" s="68">
        <v>7.5473504469166297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6.6827573768131796E-2</v>
      </c>
      <c r="M13" s="115">
        <v>4.4099363253174682</v>
      </c>
      <c r="N13" s="115">
        <v>699.83408821754301</v>
      </c>
      <c r="O13" s="115">
        <v>7.3596076894278326</v>
      </c>
      <c r="P13" s="115">
        <v>7.2332507047960126</v>
      </c>
      <c r="Q13" s="111">
        <v>7.3596076894278335</v>
      </c>
      <c r="R13" s="68">
        <v>7.2332507047960126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4.1542363277669693E-3</v>
      </c>
      <c r="M14" s="115">
        <v>11.287157927263557</v>
      </c>
      <c r="N14" s="115">
        <v>1835.8826121014572</v>
      </c>
      <c r="O14" s="115">
        <v>13.385893024667549</v>
      </c>
      <c r="P14" s="115">
        <v>8.6978627361373579</v>
      </c>
      <c r="Q14" s="111">
        <v>13.385893024667549</v>
      </c>
      <c r="R14" s="68">
        <v>8.6978627361373597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6.6547551624543989E-3</v>
      </c>
      <c r="M15" s="115">
        <v>7.8118977231958109</v>
      </c>
      <c r="N15" s="115">
        <v>1266.9507698043001</v>
      </c>
      <c r="O15" s="115">
        <v>10.586978409030378</v>
      </c>
      <c r="P15" s="115">
        <v>8.3903073308752596</v>
      </c>
      <c r="Q15" s="111">
        <v>10.586978409030378</v>
      </c>
      <c r="R15" s="68">
        <v>8.3903073308752596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1.4654990276846446E-3</v>
      </c>
      <c r="M16" s="115">
        <v>18.995977427278014</v>
      </c>
      <c r="N16" s="115">
        <v>3104.5798006244836</v>
      </c>
      <c r="O16" s="115">
        <v>19.586013658257254</v>
      </c>
      <c r="P16" s="115">
        <v>9.4342258270671842</v>
      </c>
      <c r="Q16" s="111">
        <v>19.586013658257254</v>
      </c>
      <c r="R16" s="68">
        <v>9.4342258270671842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7.4245308324754344E-3</v>
      </c>
      <c r="M17" s="115">
        <v>7.06657570860673</v>
      </c>
      <c r="N17" s="115">
        <v>1145.1595640947223</v>
      </c>
      <c r="O17" s="115">
        <v>9.9863757645325677</v>
      </c>
      <c r="P17" s="115">
        <v>8.326370550351049</v>
      </c>
      <c r="Q17" s="111">
        <v>9.9863757645325677</v>
      </c>
      <c r="R17" s="68">
        <v>8.326370550351049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8.4495008041012981E-2</v>
      </c>
      <c r="M18" s="115">
        <v>4.3320494266899994</v>
      </c>
      <c r="N18" s="115">
        <v>684.17223646213927</v>
      </c>
      <c r="O18" s="115">
        <v>7.1628611662517647</v>
      </c>
      <c r="P18" s="115">
        <v>6.9937418400199887</v>
      </c>
      <c r="Q18" s="111">
        <v>7.1628611662517647</v>
      </c>
      <c r="R18" s="68">
        <v>6.9937418400199887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6.5730377312692165E-3</v>
      </c>
      <c r="M19" s="115">
        <v>7.8979088780979243</v>
      </c>
      <c r="N19" s="115">
        <v>1281.0107460852394</v>
      </c>
      <c r="O19" s="115">
        <v>10.656270175489469</v>
      </c>
      <c r="P19" s="115">
        <v>8.3977156221458866</v>
      </c>
      <c r="Q19" s="111">
        <v>10.656270175489471</v>
      </c>
      <c r="R19" s="68">
        <v>8.3977156221458866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6.6835556557504283E-2</v>
      </c>
      <c r="M20" s="115">
        <v>4.4104631077643859</v>
      </c>
      <c r="N20" s="115">
        <v>699.91768586753881</v>
      </c>
      <c r="O20" s="115">
        <v>7.3604868205220244</v>
      </c>
      <c r="P20" s="115">
        <v>7.234114742102757</v>
      </c>
      <c r="Q20" s="111">
        <v>7.3604868205220244</v>
      </c>
      <c r="R20" s="68">
        <v>7.234114742102757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4.6969757125549932E-3</v>
      </c>
      <c r="M21" s="115">
        <v>10.346169614829238</v>
      </c>
      <c r="N21" s="115">
        <v>1681.6674898472206</v>
      </c>
      <c r="O21" s="115">
        <v>12.62669368880802</v>
      </c>
      <c r="P21" s="115">
        <v>8.6102864852593459</v>
      </c>
      <c r="Q21" s="111">
        <v>12.62669368880802</v>
      </c>
      <c r="R21" s="68">
        <v>8.6102864852593459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0.68197284422315796</v>
      </c>
      <c r="M22" s="115">
        <v>1.8070948360322259</v>
      </c>
      <c r="N22" s="115">
        <v>187.41163691456458</v>
      </c>
      <c r="O22" s="115">
        <v>2.3490209422014368</v>
      </c>
      <c r="P22" s="115">
        <v>2.2340467926192424</v>
      </c>
      <c r="Q22" s="111">
        <v>2.3490209422014368</v>
      </c>
      <c r="R22" s="68">
        <v>2.2340467926192429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0.81805539233799629</v>
      </c>
      <c r="M23" s="115">
        <v>1.3317774954307078</v>
      </c>
      <c r="N23" s="115">
        <v>90.804073719785507</v>
      </c>
      <c r="O23" s="115">
        <v>1.5219686844905966</v>
      </c>
      <c r="P23" s="115">
        <v>1.5134245092439509</v>
      </c>
      <c r="Q23" s="111">
        <v>1.5219686844905966</v>
      </c>
      <c r="R23" s="68">
        <v>1.5134245092439511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0.21697110309666634</v>
      </c>
      <c r="M24" s="115">
        <v>3.7687099059852707</v>
      </c>
      <c r="N24" s="115">
        <v>572.13397905422494</v>
      </c>
      <c r="O24" s="115">
        <v>5.9438707872327035</v>
      </c>
      <c r="P24" s="115">
        <v>5.6533826331478823</v>
      </c>
      <c r="Q24" s="111">
        <v>5.9438707872327035</v>
      </c>
      <c r="R24" s="68">
        <v>5.6533826331478823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2.3271907629899197E-2</v>
      </c>
      <c r="M25" s="115">
        <v>4.4479418833665791</v>
      </c>
      <c r="N25" s="115">
        <v>714.64268501995355</v>
      </c>
      <c r="O25" s="115">
        <v>7.697836891850069</v>
      </c>
      <c r="P25" s="115">
        <v>7.7819415353679693</v>
      </c>
      <c r="Q25" s="111">
        <v>7.6978368918500699</v>
      </c>
      <c r="R25" s="68">
        <v>7.7819415353679693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5.0887309923901228E-3</v>
      </c>
      <c r="M26" s="115">
        <v>9.7458714860048161</v>
      </c>
      <c r="N26" s="115">
        <v>1583.3496468198261</v>
      </c>
      <c r="O26" s="115">
        <v>12.143539409369209</v>
      </c>
      <c r="P26" s="115">
        <v>8.5572347212644377</v>
      </c>
      <c r="Q26" s="111">
        <v>12.143539409369209</v>
      </c>
      <c r="R26" s="68">
        <v>8.5572347212644377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7.7763152122682004E-4</v>
      </c>
      <c r="M27" s="115">
        <v>22.802713679734158</v>
      </c>
      <c r="N27" s="115">
        <v>3735.6224586873568</v>
      </c>
      <c r="O27" s="115">
        <v>22.632139294207281</v>
      </c>
      <c r="P27" s="115">
        <v>9.8138987076597104</v>
      </c>
      <c r="Q27" s="111">
        <v>22.632139294207281</v>
      </c>
      <c r="R27" s="68">
        <v>9.8138987076597104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2.8050334581096567E-3</v>
      </c>
      <c r="M28" s="115">
        <v>14.304253848863555</v>
      </c>
      <c r="N28" s="115">
        <v>2331.2475600738212</v>
      </c>
      <c r="O28" s="115">
        <v>15.814432386673023</v>
      </c>
      <c r="P28" s="115">
        <v>8.9777427241980341</v>
      </c>
      <c r="Q28" s="111">
        <v>15.814432386673024</v>
      </c>
      <c r="R28" s="68">
        <v>8.9777427241980359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4.2312800834835461E-3</v>
      </c>
      <c r="M29" s="115">
        <v>10.71980661887185</v>
      </c>
      <c r="N29" s="115">
        <v>1743.2037957560062</v>
      </c>
      <c r="O29" s="115">
        <v>12.830989283046728</v>
      </c>
      <c r="P29" s="115">
        <v>8.4712822086411546</v>
      </c>
      <c r="Q29" s="111">
        <v>12.83098928304673</v>
      </c>
      <c r="R29" s="68">
        <v>8.4712822086411563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2.8050334581096567E-3</v>
      </c>
      <c r="M30" s="115">
        <v>14.304253848863555</v>
      </c>
      <c r="N30" s="115">
        <v>2331.2475600738212</v>
      </c>
      <c r="O30" s="115">
        <v>15.814432386673023</v>
      </c>
      <c r="P30" s="115">
        <v>8.9777427241980341</v>
      </c>
      <c r="Q30" s="111">
        <v>15.814432386673024</v>
      </c>
      <c r="R30" s="68">
        <v>8.9777427241980359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0.9860390309092798</v>
      </c>
      <c r="M31" s="115">
        <v>0.93308920027540787</v>
      </c>
      <c r="N31" s="115">
        <v>1.1554477727551078</v>
      </c>
      <c r="O31" s="115">
        <v>0.82446919664787999</v>
      </c>
      <c r="P31" s="115">
        <v>0.95422730994028238</v>
      </c>
      <c r="Q31" s="111">
        <v>0.82446919664787999</v>
      </c>
      <c r="R31" s="68">
        <v>0.95422730994028238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0.56180071690469802</v>
      </c>
      <c r="M32" s="115">
        <v>2.4505323282486189</v>
      </c>
      <c r="N32" s="115">
        <v>298.36788366502481</v>
      </c>
      <c r="O32" s="115">
        <v>3.0552149221965124</v>
      </c>
      <c r="P32" s="115">
        <v>2.8064127643147434</v>
      </c>
      <c r="Q32" s="111">
        <v>3.0552149221965124</v>
      </c>
      <c r="R32" s="68">
        <v>2.8064127643147438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0.99254020273558874</v>
      </c>
      <c r="M33" s="115">
        <v>0.93447384499872965</v>
      </c>
      <c r="N33" s="115">
        <v>0.59112315638426871</v>
      </c>
      <c r="O33" s="115">
        <v>0.84191382420117233</v>
      </c>
      <c r="P33" s="115">
        <v>0.98973350284358641</v>
      </c>
      <c r="Q33" s="111">
        <v>0.84191382420117233</v>
      </c>
      <c r="R33" s="68">
        <v>0.98973350284358641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0.55158300622671519</v>
      </c>
      <c r="M34" s="115">
        <v>0.70801896056700475</v>
      </c>
      <c r="N34" s="115">
        <v>45.01194689400819</v>
      </c>
      <c r="O34" s="115">
        <v>2.626772661050143</v>
      </c>
      <c r="P34" s="115">
        <v>4.294291726185782</v>
      </c>
      <c r="Q34" s="111">
        <v>2.6267726610501434</v>
      </c>
      <c r="R34" s="68">
        <v>4.2942917261857829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0.32909791489392504</v>
      </c>
      <c r="M35" s="115">
        <v>0.58088016331065262</v>
      </c>
      <c r="N35" s="115">
        <v>63.708695447816794</v>
      </c>
      <c r="O35" s="115">
        <v>3.5078420795355418</v>
      </c>
      <c r="P35" s="115">
        <v>5.937433684346618</v>
      </c>
      <c r="Q35" s="111">
        <v>3.5078420795355423</v>
      </c>
      <c r="R35" s="68">
        <v>5.937433684346618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0.11100520459490457</v>
      </c>
      <c r="M36" s="115">
        <v>0.43924152836887909</v>
      </c>
      <c r="N36" s="115">
        <v>77.422530192250477</v>
      </c>
      <c r="O36" s="115">
        <v>4.3494364397341263</v>
      </c>
      <c r="P36" s="115">
        <v>7.5235287258104142</v>
      </c>
      <c r="Q36" s="111">
        <v>4.3494364397341263</v>
      </c>
      <c r="R36" s="68">
        <v>7.5235287258104142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0.22159741366807773</v>
      </c>
      <c r="M37" s="115">
        <v>1.234819437521836</v>
      </c>
      <c r="N37" s="115">
        <v>182.35499696506031</v>
      </c>
      <c r="O37" s="115">
        <v>4.2742130410943773</v>
      </c>
      <c r="P37" s="115">
        <v>6.3858008919763165</v>
      </c>
      <c r="Q37" s="111">
        <v>4.2742130410943782</v>
      </c>
      <c r="R37" s="68">
        <v>6.3858008919763165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0.61725564864778537</v>
      </c>
      <c r="M38" s="115">
        <v>0.7525250604821121</v>
      </c>
      <c r="N38" s="115">
        <v>40.343584790475838</v>
      </c>
      <c r="O38" s="115">
        <v>2.3670058231847895</v>
      </c>
      <c r="P38" s="115">
        <v>3.7995304555170257</v>
      </c>
      <c r="Q38" s="111">
        <v>2.3670058231847899</v>
      </c>
      <c r="R38" s="68">
        <v>3.7995304555170262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1.1313377283988549E-2</v>
      </c>
      <c r="M39" s="115">
        <v>4.5491598550521974</v>
      </c>
      <c r="N39" s="115">
        <v>734.3688904664524</v>
      </c>
      <c r="O39" s="115">
        <v>7.9570358164089079</v>
      </c>
      <c r="P39" s="115">
        <v>8.1172840366579049</v>
      </c>
      <c r="Q39" s="111">
        <v>7.9570358164089079</v>
      </c>
      <c r="R39" s="68">
        <v>8.1172840366579049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1.0428884472921929E-3</v>
      </c>
      <c r="M40" s="115">
        <v>25.004948701691745</v>
      </c>
      <c r="N40" s="115">
        <v>5620.6755110324866</v>
      </c>
      <c r="O40" s="115">
        <v>19.838500082558589</v>
      </c>
      <c r="P40" s="115">
        <v>13.008971139826215</v>
      </c>
      <c r="Q40" s="111">
        <v>19.838500082558589</v>
      </c>
      <c r="R40" s="68">
        <v>13.008971139826215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0.92991717947112218</v>
      </c>
      <c r="M41" s="115">
        <v>0.87360584590188228</v>
      </c>
      <c r="N41" s="115">
        <v>6.5793390124856105E-2</v>
      </c>
      <c r="O41" s="115">
        <v>0.76876360600034099</v>
      </c>
      <c r="P41" s="115">
        <v>0.89330787640608644</v>
      </c>
      <c r="Q41" s="111">
        <v>0.76876360600034099</v>
      </c>
      <c r="R41" s="68">
        <v>0.89330787640608644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0.64344691056947723</v>
      </c>
      <c r="M42" s="115">
        <v>1.9620932677566199</v>
      </c>
      <c r="N42" s="115">
        <v>217.99822518896266</v>
      </c>
      <c r="O42" s="115">
        <v>2.6194282461048504</v>
      </c>
      <c r="P42" s="115">
        <v>2.4760085725290106</v>
      </c>
      <c r="Q42" s="111">
        <v>2.6194282461048504</v>
      </c>
      <c r="R42" s="68">
        <v>2.4760085725290106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9.1240955263772201E-3</v>
      </c>
      <c r="M43" s="115">
        <v>0.72970192415459256</v>
      </c>
      <c r="N43" s="115">
        <v>164.60990830849607</v>
      </c>
      <c r="O43" s="115">
        <v>4.9535273456350781</v>
      </c>
      <c r="P43" s="115">
        <v>8.3254955895638219</v>
      </c>
      <c r="Q43" s="111">
        <v>4.9535273456350781</v>
      </c>
      <c r="R43" s="68">
        <v>8.3254955895638219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0.8414355223948482</v>
      </c>
      <c r="M44" s="115">
        <v>0.98841885310083655</v>
      </c>
      <c r="N44" s="115">
        <v>32.027266186148964</v>
      </c>
      <c r="O44" s="115">
        <v>0.98638891824211483</v>
      </c>
      <c r="P44" s="115">
        <v>1.050393257985802</v>
      </c>
      <c r="Q44" s="111">
        <v>0.98638891824211494</v>
      </c>
      <c r="R44" s="68">
        <v>1.050393257985802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0.60536197046262596</v>
      </c>
      <c r="M45" s="115">
        <v>2.1079886006860771</v>
      </c>
      <c r="N45" s="115">
        <v>247.0578715199124</v>
      </c>
      <c r="O45" s="115">
        <v>2.8772247048604576</v>
      </c>
      <c r="P45" s="115">
        <v>2.7086716442180192</v>
      </c>
      <c r="Q45" s="111">
        <v>2.8772247048604576</v>
      </c>
      <c r="R45" s="68">
        <v>2.7086716442180196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0.62835961836642251</v>
      </c>
      <c r="M46" s="115">
        <v>2.0121844537224902</v>
      </c>
      <c r="N46" s="115">
        <v>228.27627771568513</v>
      </c>
      <c r="O46" s="115">
        <v>2.7091883981907641</v>
      </c>
      <c r="P46" s="115">
        <v>2.55657543510734</v>
      </c>
      <c r="Q46" s="111">
        <v>2.7091883981907641</v>
      </c>
      <c r="R46" s="68">
        <v>2.55657543510734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7.0877615844584004E-4</v>
      </c>
      <c r="M47" s="115">
        <v>23.354540033830855</v>
      </c>
      <c r="N47" s="115">
        <v>3827.3152034520203</v>
      </c>
      <c r="O47" s="115">
        <v>23.082816625121691</v>
      </c>
      <c r="P47" s="115">
        <v>9.8875605731367315</v>
      </c>
      <c r="Q47" s="111">
        <v>23.082816625121691</v>
      </c>
      <c r="R47" s="68">
        <v>9.8875605731367333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0.94622093428132037</v>
      </c>
      <c r="M48" s="115">
        <v>0.95482740262148214</v>
      </c>
      <c r="N48" s="115">
        <v>10.706972499991785</v>
      </c>
      <c r="O48" s="115">
        <v>0.87675209801411258</v>
      </c>
      <c r="P48" s="115">
        <v>0.98482866375033806</v>
      </c>
      <c r="Q48" s="111">
        <v>0.87675209801411269</v>
      </c>
      <c r="R48" s="68">
        <v>0.98482866375033806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0.92007808140800484</v>
      </c>
      <c r="M49" s="115">
        <v>0.97948569484613601</v>
      </c>
      <c r="N49" s="115">
        <v>18.661489644825302</v>
      </c>
      <c r="O49" s="115">
        <v>0.92762709163088075</v>
      </c>
      <c r="P49" s="115">
        <v>1.0202596015999648</v>
      </c>
      <c r="Q49" s="111">
        <v>0.92762709163088075</v>
      </c>
      <c r="R49" s="68">
        <v>1.0202596015999648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8.9750536937614575E-2</v>
      </c>
      <c r="M50" s="115">
        <v>4.2962435378384098</v>
      </c>
      <c r="N50" s="115">
        <v>677.49883954334621</v>
      </c>
      <c r="O50" s="115">
        <v>7.0852366893507615</v>
      </c>
      <c r="P50" s="115">
        <v>6.9057041042753671</v>
      </c>
      <c r="Q50" s="111">
        <v>7.0852366893507623</v>
      </c>
      <c r="R50" s="68">
        <v>6.9057041042753671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0.93023157453498129</v>
      </c>
      <c r="M51" s="115">
        <v>0.88537221762323226</v>
      </c>
      <c r="N51" s="115">
        <v>1.9108323773868403</v>
      </c>
      <c r="O51" s="115">
        <v>0.78496690779928668</v>
      </c>
      <c r="P51" s="115">
        <v>0.90579326035081975</v>
      </c>
      <c r="Q51" s="111">
        <v>0.78496690779928668</v>
      </c>
      <c r="R51" s="68">
        <v>0.90579326035081975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0.81629606237601893</v>
      </c>
      <c r="M52" s="115">
        <v>1.1031997938806384</v>
      </c>
      <c r="N52" s="115">
        <v>54.32438324407304</v>
      </c>
      <c r="O52" s="115">
        <v>1.1745422853121794</v>
      </c>
      <c r="P52" s="115">
        <v>1.2073755577061818</v>
      </c>
      <c r="Q52" s="111">
        <v>1.1745422853121794</v>
      </c>
      <c r="R52" s="68">
        <v>1.207375557706182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0.47738089035278974</v>
      </c>
      <c r="M53" s="115">
        <v>2.6232252082017875</v>
      </c>
      <c r="N53" s="115">
        <v>348.75341850543538</v>
      </c>
      <c r="O53" s="115">
        <v>3.7986012200836923</v>
      </c>
      <c r="P53" s="115">
        <v>3.5577382547744381</v>
      </c>
      <c r="Q53" s="111">
        <v>3.7986012200836927</v>
      </c>
      <c r="R53" s="68">
        <v>3.5577382547744381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9.9173190138137583E-4</v>
      </c>
      <c r="M54" s="115">
        <v>21.474332169457828</v>
      </c>
      <c r="N54" s="115">
        <v>3514.9068164331989</v>
      </c>
      <c r="O54" s="115">
        <v>21.575924934940168</v>
      </c>
      <c r="P54" s="115">
        <v>9.6887634838176968</v>
      </c>
      <c r="Q54" s="111">
        <v>21.575924934940168</v>
      </c>
      <c r="R54" s="68">
        <v>9.6887634838176968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0.17031221805084393</v>
      </c>
      <c r="M55" s="115">
        <v>3.3785614270085484</v>
      </c>
      <c r="N55" s="115">
        <v>516.67935918861508</v>
      </c>
      <c r="O55" s="115">
        <v>5.3648646524488051</v>
      </c>
      <c r="P55" s="115">
        <v>5.1175950367803793</v>
      </c>
      <c r="Q55" s="111">
        <v>5.3648646524488059</v>
      </c>
      <c r="R55" s="68">
        <v>5.1175950367803793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2.0078693838380776E-2</v>
      </c>
      <c r="M56" s="115">
        <v>1.9157840493421843</v>
      </c>
      <c r="N56" s="115">
        <v>305.68376159641673</v>
      </c>
      <c r="O56" s="115">
        <v>3.2389401719116893</v>
      </c>
      <c r="P56" s="115">
        <v>3.2144324952173293</v>
      </c>
      <c r="Q56" s="111">
        <v>3.2389401719116897</v>
      </c>
      <c r="R56" s="68">
        <v>3.2144324952173298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3.7655734586051981E-2</v>
      </c>
      <c r="M57" s="115">
        <v>0.99903358653354435</v>
      </c>
      <c r="N57" s="115">
        <v>154.78948787670245</v>
      </c>
      <c r="O57" s="115">
        <v>1.6082089707468243</v>
      </c>
      <c r="P57" s="115">
        <v>1.5445012510490552</v>
      </c>
      <c r="Q57" s="111">
        <v>1.6082089707468243</v>
      </c>
      <c r="R57" s="68">
        <v>1.5445012510490552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7.510800752123141E-2</v>
      </c>
      <c r="M58" s="115">
        <v>8.2434489529448596E-2</v>
      </c>
      <c r="N58" s="115">
        <v>1.9235600529853518</v>
      </c>
      <c r="O58" s="115">
        <v>7.9397619382337845E-2</v>
      </c>
      <c r="P58" s="115">
        <v>8.638645866221667E-2</v>
      </c>
      <c r="Q58" s="111">
        <v>7.9397619382337845E-2</v>
      </c>
      <c r="R58" s="68">
        <v>8.638645866221667E-2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1.5654768267244882E-2</v>
      </c>
      <c r="M59" s="115">
        <v>0.38825941290595617</v>
      </c>
      <c r="N59" s="115">
        <v>59.993914919028754</v>
      </c>
      <c r="O59" s="115">
        <v>0.62310922833232196</v>
      </c>
      <c r="P59" s="115">
        <v>0.59746397482333979</v>
      </c>
      <c r="Q59" s="111">
        <v>0.62310922833232196</v>
      </c>
      <c r="R59" s="68">
        <v>0.59746397482333991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5.8806198483863899E-4</v>
      </c>
      <c r="M60" s="115">
        <v>7.0518635497971169E-3</v>
      </c>
      <c r="N60" s="115">
        <v>1.0425224082291651</v>
      </c>
      <c r="O60" s="115">
        <v>1.0886814961024406E-2</v>
      </c>
      <c r="P60" s="115">
        <v>1.0279173865343601E-2</v>
      </c>
      <c r="Q60" s="111">
        <v>1.0886814961024407E-2</v>
      </c>
      <c r="R60" s="68">
        <v>1.0279173865343601E-2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0.35937335561811451</v>
      </c>
      <c r="M61" s="115">
        <v>3.1369912425373552</v>
      </c>
      <c r="N61" s="115">
        <v>448.89969662073707</v>
      </c>
      <c r="O61" s="115">
        <v>4.7369162589727036</v>
      </c>
      <c r="P61" s="115">
        <v>4.4507410490234873</v>
      </c>
      <c r="Q61" s="111">
        <v>4.7369162589727036</v>
      </c>
      <c r="R61" s="68">
        <v>4.4507410490234873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4.2710411641861627E-3</v>
      </c>
      <c r="M62" s="115">
        <v>11.075795275646035</v>
      </c>
      <c r="N62" s="115">
        <v>1801.2303280456522</v>
      </c>
      <c r="O62" s="115">
        <v>13.215883145499999</v>
      </c>
      <c r="P62" s="115">
        <v>8.679001280421712</v>
      </c>
      <c r="Q62" s="111">
        <v>13.215883145499999</v>
      </c>
      <c r="R62" s="68">
        <v>8.679001280421712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3.854032865998312E-4</v>
      </c>
      <c r="M63" s="115">
        <v>26.170413558704972</v>
      </c>
      <c r="N63" s="115">
        <v>4297.6982776264613</v>
      </c>
      <c r="O63" s="115">
        <v>25.331128731321257</v>
      </c>
      <c r="P63" s="115">
        <v>10.193869170621852</v>
      </c>
      <c r="Q63" s="111">
        <v>25.331128731321257</v>
      </c>
      <c r="R63" s="68">
        <v>10.193869170621852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1.3253533384629393E-4</v>
      </c>
      <c r="M64" s="115">
        <v>29.571819217686254</v>
      </c>
      <c r="N64" s="115">
        <v>4872.7261289052931</v>
      </c>
      <c r="O64" s="115">
        <v>28.023919949405254</v>
      </c>
      <c r="P64" s="115">
        <v>10.587035933924613</v>
      </c>
      <c r="Q64" s="111">
        <v>28.023919949405258</v>
      </c>
      <c r="R64" s="68">
        <v>10.587035933924613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3.6963166675278964E-5</v>
      </c>
      <c r="M65" s="115">
        <v>31.907893552293395</v>
      </c>
      <c r="N65" s="115">
        <v>5277.6930633321808</v>
      </c>
      <c r="O65" s="115">
        <v>29.834473692891645</v>
      </c>
      <c r="P65" s="115">
        <v>10.88175799031497</v>
      </c>
      <c r="Q65" s="111">
        <v>29.834473692891645</v>
      </c>
      <c r="R65" s="68">
        <v>10.881757990314972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7.6901612637030883E-5</v>
      </c>
      <c r="M66" s="115">
        <v>30.743123196256942</v>
      </c>
      <c r="N66" s="115">
        <v>5074.0668066672624</v>
      </c>
      <c r="O66" s="115">
        <v>28.938657205281508</v>
      </c>
      <c r="P66" s="115">
        <v>10.731188628710663</v>
      </c>
      <c r="Q66" s="111">
        <v>28.938657205281512</v>
      </c>
      <c r="R66" s="68">
        <v>10.731188628710663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0.89266748873262658</v>
      </c>
      <c r="M67" s="115">
        <v>1.0917494733650996</v>
      </c>
      <c r="N67" s="115">
        <v>40.936298784538799</v>
      </c>
      <c r="O67" s="115">
        <v>1.1112366605981459</v>
      </c>
      <c r="P67" s="115">
        <v>1.1700638501823708</v>
      </c>
      <c r="Q67" s="111">
        <v>1.1112366605981461</v>
      </c>
      <c r="R67" s="68">
        <v>1.1700638501823708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0.84025677094587847</v>
      </c>
      <c r="M68" s="115">
        <v>1.2266071261333644</v>
      </c>
      <c r="N68" s="115">
        <v>70.562117935478852</v>
      </c>
      <c r="O68" s="115">
        <v>1.3473506577523346</v>
      </c>
      <c r="P68" s="115">
        <v>1.3639374639525226</v>
      </c>
      <c r="Q68" s="111">
        <v>1.3473506577523349</v>
      </c>
      <c r="R68" s="68">
        <v>1.3639374639525226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1.5418404063334179E-3</v>
      </c>
      <c r="M69" s="115">
        <v>18.634928692499845</v>
      </c>
      <c r="N69" s="115">
        <v>3044.9429148166969</v>
      </c>
      <c r="O69" s="115">
        <v>19.29300878876154</v>
      </c>
      <c r="P69" s="115">
        <v>9.3928408329715829</v>
      </c>
      <c r="Q69" s="111">
        <v>19.29300878876154</v>
      </c>
      <c r="R69" s="68">
        <v>9.3928408329715829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2.8936192958915228E-2</v>
      </c>
      <c r="M70" s="115">
        <v>4.4885328534133659</v>
      </c>
      <c r="N70" s="115">
        <v>719.9105284376584</v>
      </c>
      <c r="O70" s="115">
        <v>7.7144102153712089</v>
      </c>
      <c r="P70" s="115">
        <v>7.7555138608505816</v>
      </c>
      <c r="Q70" s="111">
        <v>7.7144102153712089</v>
      </c>
      <c r="R70" s="68">
        <v>7.7555138608505816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0.83807299344636221</v>
      </c>
      <c r="M71" s="115">
        <v>1.1845461422822605</v>
      </c>
      <c r="N71" s="115">
        <v>64.127151211789439</v>
      </c>
      <c r="O71" s="115">
        <v>1.2846917525815986</v>
      </c>
      <c r="P71" s="115">
        <v>1.3084903153401672</v>
      </c>
      <c r="Q71" s="111">
        <v>1.2846917525815988</v>
      </c>
      <c r="R71" s="68">
        <v>1.3084903153401672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3.3700852437072756E-2</v>
      </c>
      <c r="M72" s="115">
        <v>4.4449436321447156</v>
      </c>
      <c r="N72" s="115">
        <v>711.82907704899139</v>
      </c>
      <c r="O72" s="115">
        <v>7.5981173275481053</v>
      </c>
      <c r="P72" s="115">
        <v>7.6057224219986317</v>
      </c>
      <c r="Q72" s="111">
        <v>7.5981173275481053</v>
      </c>
      <c r="R72" s="68">
        <v>7.6057224219986317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0.33056820105394952</v>
      </c>
      <c r="M73" s="115">
        <v>3.2040419368381992</v>
      </c>
      <c r="N73" s="115">
        <v>464.02382402012648</v>
      </c>
      <c r="O73" s="115">
        <v>4.8759314916562415</v>
      </c>
      <c r="P73" s="115">
        <v>4.5879014590978535</v>
      </c>
      <c r="Q73" s="111">
        <v>4.8759314916562415</v>
      </c>
      <c r="R73" s="68">
        <v>4.5879014590978535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3.025972244239724E-2</v>
      </c>
      <c r="M74" s="115">
        <v>4.4812097374810254</v>
      </c>
      <c r="N74" s="115">
        <v>718.43409764050125</v>
      </c>
      <c r="O74" s="115">
        <v>7.6899132257851388</v>
      </c>
      <c r="P74" s="115">
        <v>7.7213592272506597</v>
      </c>
      <c r="Q74" s="111">
        <v>7.6899132257851388</v>
      </c>
      <c r="R74" s="68">
        <v>7.7213592272506606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4.4701792635384457E-3</v>
      </c>
      <c r="M75" s="115">
        <v>2.3899041751980197</v>
      </c>
      <c r="N75" s="115">
        <v>549.72128513030543</v>
      </c>
      <c r="O75" s="115">
        <v>5.9806705331895698</v>
      </c>
      <c r="P75" s="115">
        <v>8.7262999520043856</v>
      </c>
      <c r="Q75" s="111">
        <v>5.9806705331895706</v>
      </c>
      <c r="R75" s="68">
        <v>8.7262999520043856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4.4701792654031486E-3</v>
      </c>
      <c r="M76" s="115">
        <v>2.3899041761949502</v>
      </c>
      <c r="N76" s="115">
        <v>549.72128535961758</v>
      </c>
      <c r="O76" s="115">
        <v>5.9806705356843617</v>
      </c>
      <c r="P76" s="115">
        <v>8.726299955644496</v>
      </c>
      <c r="Q76" s="111">
        <v>5.9806705356843626</v>
      </c>
      <c r="R76" s="68">
        <v>8.726299955644496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0.12279134266712792</v>
      </c>
      <c r="M77" s="115">
        <v>4.0831458195166705</v>
      </c>
      <c r="N77" s="115">
        <v>637.66032278920318</v>
      </c>
      <c r="O77" s="115">
        <v>6.6370724972953017</v>
      </c>
      <c r="P77" s="115">
        <v>6.4094452426558615</v>
      </c>
      <c r="Q77" s="111">
        <v>6.6370724972953017</v>
      </c>
      <c r="R77" s="68">
        <v>6.4094452426558615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0.64082326231629338</v>
      </c>
      <c r="M78" s="115">
        <v>1.8336445553141609</v>
      </c>
      <c r="N78" s="115">
        <v>197.81950724642283</v>
      </c>
      <c r="O78" s="115">
        <v>2.4196337383154747</v>
      </c>
      <c r="P78" s="115">
        <v>2.2929133498127841</v>
      </c>
      <c r="Q78" s="111">
        <v>2.4196337383154747</v>
      </c>
      <c r="R78" s="68">
        <v>2.2929133498127841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0.46427437919671771</v>
      </c>
      <c r="M79" s="115">
        <v>2.6522028886716114</v>
      </c>
      <c r="N79" s="115">
        <v>355.36399940458222</v>
      </c>
      <c r="O79" s="115">
        <v>3.8562868699278994</v>
      </c>
      <c r="P79" s="115">
        <v>3.6118336168256047</v>
      </c>
      <c r="Q79" s="111">
        <v>3.8562868699278994</v>
      </c>
      <c r="R79" s="68">
        <v>3.6118336168256047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3.0278694727529365E-3</v>
      </c>
      <c r="M80" s="115">
        <v>4.6332801308614942</v>
      </c>
      <c r="N80" s="115">
        <v>1066.9301271101749</v>
      </c>
      <c r="O80" s="115">
        <v>7.3494075706014819</v>
      </c>
      <c r="P80" s="115">
        <v>9.2216004387874566</v>
      </c>
      <c r="Q80" s="111">
        <v>7.3494075706014819</v>
      </c>
      <c r="R80" s="68">
        <v>9.2216004387874566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0.98326374756043156</v>
      </c>
      <c r="M81" s="115">
        <v>0.93395504623876424</v>
      </c>
      <c r="N81" s="115">
        <v>1.7147633941983691</v>
      </c>
      <c r="O81" s="115">
        <v>0.82704899210518712</v>
      </c>
      <c r="P81" s="115">
        <v>0.95534439699559803</v>
      </c>
      <c r="Q81" s="111">
        <v>0.82704899210518712</v>
      </c>
      <c r="R81" s="68">
        <v>0.95534439699559814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0.82334209131898339</v>
      </c>
      <c r="M82" s="115">
        <v>1.3145338482040694</v>
      </c>
      <c r="N82" s="115">
        <v>87.239291872610124</v>
      </c>
      <c r="O82" s="115">
        <v>1.4922137058782463</v>
      </c>
      <c r="P82" s="115">
        <v>1.488147527774949</v>
      </c>
      <c r="Q82" s="111">
        <v>1.4922137058782463</v>
      </c>
      <c r="R82" s="68">
        <v>1.488147527774949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0.15574920097980202</v>
      </c>
      <c r="M83" s="115">
        <v>4.0402534913578618</v>
      </c>
      <c r="N83" s="115">
        <v>625.4405584859295</v>
      </c>
      <c r="O83" s="115">
        <v>6.4973155757374279</v>
      </c>
      <c r="P83" s="115">
        <v>6.2365699516783506</v>
      </c>
      <c r="Q83" s="111">
        <v>6.4973155757374288</v>
      </c>
      <c r="R83" s="68">
        <v>6.2365699516783506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0.96502867795626968</v>
      </c>
      <c r="M84" s="115">
        <v>0.95010333335577535</v>
      </c>
      <c r="N84" s="115">
        <v>7.0879175677590984</v>
      </c>
      <c r="O84" s="115">
        <v>0.85967250610745405</v>
      </c>
      <c r="P84" s="115">
        <v>0.97607725549089763</v>
      </c>
      <c r="Q84" s="111">
        <v>0.85967250610745416</v>
      </c>
      <c r="R84" s="68">
        <v>0.97607725549089774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0.99135075903626846</v>
      </c>
      <c r="M85" s="115">
        <v>0.93305630369133241</v>
      </c>
      <c r="N85" s="115">
        <v>0.3482606355625727</v>
      </c>
      <c r="O85" s="115">
        <v>0.8219020694732323</v>
      </c>
      <c r="P85" s="115">
        <v>0.95404100824116977</v>
      </c>
      <c r="Q85" s="111">
        <v>0.8219020694732323</v>
      </c>
      <c r="R85" s="68">
        <v>0.95404100824116977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0.965917809313802</v>
      </c>
      <c r="M86" s="115">
        <v>0.94897457366460114</v>
      </c>
      <c r="N86" s="115">
        <v>6.7705123154401896</v>
      </c>
      <c r="O86" s="115">
        <v>0.85756206350456943</v>
      </c>
      <c r="P86" s="115">
        <v>0.97461237236482812</v>
      </c>
      <c r="Q86" s="111">
        <v>0.85756206350456954</v>
      </c>
      <c r="R86" s="68">
        <v>0.97461237236482812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5.6226970959100326E-4</v>
      </c>
      <c r="M87" s="115">
        <v>24.511333873617275</v>
      </c>
      <c r="N87" s="115">
        <v>4020.1315427911841</v>
      </c>
      <c r="O87" s="115">
        <v>24.007789484882288</v>
      </c>
      <c r="P87" s="115">
        <v>10.011799346162768</v>
      </c>
      <c r="Q87" s="111">
        <v>24.007789484882291</v>
      </c>
      <c r="R87" s="68">
        <v>10.011799346162769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0.71984030851515846</v>
      </c>
      <c r="M88" s="115">
        <v>1.6742814708009037</v>
      </c>
      <c r="N88" s="115">
        <v>160.46775877749607</v>
      </c>
      <c r="O88" s="115">
        <v>2.1156834994047578</v>
      </c>
      <c r="P88" s="115">
        <v>2.0278852382120807</v>
      </c>
      <c r="Q88" s="111">
        <v>2.1156834994047582</v>
      </c>
      <c r="R88" s="68">
        <v>2.0278852382120807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0.80709376127073185</v>
      </c>
      <c r="M89" s="115">
        <v>1.3682999660025967</v>
      </c>
      <c r="N89" s="115">
        <v>98.31631446046147</v>
      </c>
      <c r="O89" s="115">
        <v>1.5849670192548579</v>
      </c>
      <c r="P89" s="115">
        <v>1.5671467760456874</v>
      </c>
      <c r="Q89" s="111">
        <v>1.5849670192548579</v>
      </c>
      <c r="R89" s="68">
        <v>1.5671467760456876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0.92663008242989275</v>
      </c>
      <c r="M90" s="115">
        <v>1.0204853394359426</v>
      </c>
      <c r="N90" s="115">
        <v>24.291412817982099</v>
      </c>
      <c r="O90" s="115">
        <v>0.98470597782645919</v>
      </c>
      <c r="P90" s="115">
        <v>1.0701421745635913</v>
      </c>
      <c r="Q90" s="111">
        <v>0.9847059778264593</v>
      </c>
      <c r="R90" s="68">
        <v>1.0701421745635915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3.7118937697271908E-3</v>
      </c>
      <c r="M91" s="115">
        <v>12.153495805535819</v>
      </c>
      <c r="N91" s="115">
        <v>1977.9813660545808</v>
      </c>
      <c r="O91" s="115">
        <v>14.083653106290706</v>
      </c>
      <c r="P91" s="115">
        <v>8.7775345121226742</v>
      </c>
      <c r="Q91" s="111">
        <v>14.083653106290708</v>
      </c>
      <c r="R91" s="68">
        <v>8.7775345121226742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0.22081310482893987</v>
      </c>
      <c r="M92" s="115">
        <v>3.7518084730211365</v>
      </c>
      <c r="N92" s="115">
        <v>568.82026120102137</v>
      </c>
      <c r="O92" s="115">
        <v>5.9103171973829962</v>
      </c>
      <c r="P92" s="115">
        <v>5.618816676960102</v>
      </c>
      <c r="Q92" s="111">
        <v>5.9103171973829971</v>
      </c>
      <c r="R92" s="68">
        <v>5.6188166769601029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4.4797038209469016E-2</v>
      </c>
      <c r="M93" s="115">
        <v>4.4763453268297377</v>
      </c>
      <c r="N93" s="115">
        <v>714.66016695496353</v>
      </c>
      <c r="O93" s="115">
        <v>7.5800151340838511</v>
      </c>
      <c r="P93" s="115">
        <v>7.5318758105305061</v>
      </c>
      <c r="Q93" s="111">
        <v>7.580015134083852</v>
      </c>
      <c r="R93" s="68">
        <v>7.5318758105305061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0.89380662364256758</v>
      </c>
      <c r="M94" s="115">
        <v>0.8890669101203329</v>
      </c>
      <c r="N94" s="115">
        <v>11.876104532448585</v>
      </c>
      <c r="O94" s="115">
        <v>1.2471739252168357</v>
      </c>
      <c r="P94" s="115">
        <v>1.7349093651012817</v>
      </c>
      <c r="Q94" s="111">
        <v>1.2471739252168359</v>
      </c>
      <c r="R94" s="68">
        <v>1.7349093651012817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8.6520599064026493E-3</v>
      </c>
      <c r="M95" s="115">
        <v>6.0831469062695396</v>
      </c>
      <c r="N95" s="115">
        <v>984.5797432636117</v>
      </c>
      <c r="O95" s="115">
        <v>9.1939932615656179</v>
      </c>
      <c r="P95" s="115">
        <v>8.2437653976839513</v>
      </c>
      <c r="Q95" s="111">
        <v>9.1939932615656197</v>
      </c>
      <c r="R95" s="68">
        <v>8.2437653976839513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0.98270068622819018</v>
      </c>
      <c r="M96" s="115">
        <v>0.93419295713784167</v>
      </c>
      <c r="N96" s="115">
        <v>1.8383413881975919</v>
      </c>
      <c r="O96" s="115">
        <v>0.82766432449217642</v>
      </c>
      <c r="P96" s="115">
        <v>0.95564801983107239</v>
      </c>
      <c r="Q96" s="111">
        <v>0.82766432449217642</v>
      </c>
      <c r="R96" s="68">
        <v>0.95564801983107239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0.96457398478841583</v>
      </c>
      <c r="M97" s="115">
        <v>0.95069190025021988</v>
      </c>
      <c r="N97" s="115">
        <v>7.2520727602454977</v>
      </c>
      <c r="O97" s="115">
        <v>0.86076923939027838</v>
      </c>
      <c r="P97" s="115">
        <v>0.97684191643440044</v>
      </c>
      <c r="Q97" s="111">
        <v>0.86076923939027838</v>
      </c>
      <c r="R97" s="68">
        <v>0.97684191643440044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2.0452728109039808E-2</v>
      </c>
      <c r="M98" s="115">
        <v>4.4933954446518873</v>
      </c>
      <c r="N98" s="115">
        <v>722.69682157432419</v>
      </c>
      <c r="O98" s="115">
        <v>7.8123691152021646</v>
      </c>
      <c r="P98" s="115">
        <v>7.9270197551835988</v>
      </c>
      <c r="Q98" s="111">
        <v>7.8123691152021655</v>
      </c>
      <c r="R98" s="68">
        <v>7.9270197551835997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0.99302505384995921</v>
      </c>
      <c r="M99" s="115">
        <v>0.93357298304136116</v>
      </c>
      <c r="N99" s="115">
        <v>0.17909769896777358</v>
      </c>
      <c r="O99" s="115">
        <v>0.82184928720122175</v>
      </c>
      <c r="P99" s="115">
        <v>0.95459011088385337</v>
      </c>
      <c r="Q99" s="111">
        <v>0.82184928720122175</v>
      </c>
      <c r="R99" s="68">
        <v>0.95459011088385348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0.51490338733311691</v>
      </c>
      <c r="M100" s="115">
        <v>2.4760684858483977</v>
      </c>
      <c r="N100" s="115">
        <v>319.55001358835381</v>
      </c>
      <c r="O100" s="115">
        <v>3.5320208289944377</v>
      </c>
      <c r="P100" s="115">
        <v>3.3093653185058498</v>
      </c>
      <c r="Q100" s="111">
        <v>3.5320208289944377</v>
      </c>
      <c r="R100" s="68">
        <v>3.3093653185058498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0.99046842925873302</v>
      </c>
      <c r="M101" s="115">
        <v>0.93289508168933422</v>
      </c>
      <c r="N101" s="115">
        <v>0.45535447116500188</v>
      </c>
      <c r="O101" s="115">
        <v>0.82208791586057561</v>
      </c>
      <c r="P101" s="115">
        <v>0.9538770157786709</v>
      </c>
      <c r="Q101" s="111">
        <v>0.82208791586057561</v>
      </c>
      <c r="R101" s="68">
        <v>0.95387701577867101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0.9951346901066862</v>
      </c>
      <c r="M102" s="115">
        <v>0.9346728809296827</v>
      </c>
      <c r="N102" s="115">
        <v>3.832324469000517E-2</v>
      </c>
      <c r="O102" s="115">
        <v>0.82241223347430015</v>
      </c>
      <c r="P102" s="115">
        <v>0.95577025360971812</v>
      </c>
      <c r="Q102" s="111">
        <v>0.82241223347430026</v>
      </c>
      <c r="R102" s="68">
        <v>0.95577025360971812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0.99314355440550839</v>
      </c>
      <c r="M103" s="115">
        <v>0.93362082044244743</v>
      </c>
      <c r="N103" s="115">
        <v>0.16894393056042262</v>
      </c>
      <c r="O103" s="115">
        <v>0.8218614671154626</v>
      </c>
      <c r="P103" s="115">
        <v>0.95464145876575657</v>
      </c>
      <c r="Q103" s="111">
        <v>0.8218614671154626</v>
      </c>
      <c r="R103" s="68">
        <v>0.95464145876575657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0.97460097253716171</v>
      </c>
      <c r="M104" s="115">
        <v>0.93963611405627168</v>
      </c>
      <c r="N104" s="115">
        <v>3.9441633592553473</v>
      </c>
      <c r="O104" s="115">
        <v>0.83953414971924212</v>
      </c>
      <c r="P104" s="115">
        <v>0.96258281293686121</v>
      </c>
      <c r="Q104" s="111">
        <v>0.83953414971924223</v>
      </c>
      <c r="R104" s="68">
        <v>0.96258281293686121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0.9948278396806679</v>
      </c>
      <c r="M105" s="115">
        <v>0.93447783165333753</v>
      </c>
      <c r="N105" s="115">
        <v>5.3157827031120611E-2</v>
      </c>
      <c r="O105" s="115">
        <v>0.82228183770149188</v>
      </c>
      <c r="P105" s="115">
        <v>0.95556177503958351</v>
      </c>
      <c r="Q105" s="111">
        <v>0.82228183770149188</v>
      </c>
      <c r="R105" s="68">
        <v>0.95556177503958351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0.9021171144905179</v>
      </c>
      <c r="M106" s="115">
        <v>1.0804872960500078</v>
      </c>
      <c r="N106" s="115">
        <v>37.690042508526773</v>
      </c>
      <c r="O106" s="115">
        <v>1.0887050291228009</v>
      </c>
      <c r="P106" s="115">
        <v>1.1529176158526064</v>
      </c>
      <c r="Q106" s="111">
        <v>1.0887050291228009</v>
      </c>
      <c r="R106" s="68">
        <v>1.1529176158526064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1.504958971745525E-2</v>
      </c>
      <c r="M107" s="115">
        <v>4.4724146022777385</v>
      </c>
      <c r="N107" s="115">
        <v>720.75301306342021</v>
      </c>
      <c r="O107" s="115">
        <v>7.853582411855518</v>
      </c>
      <c r="P107" s="115">
        <v>8.0329621339713615</v>
      </c>
      <c r="Q107" s="111">
        <v>7.8535824118555189</v>
      </c>
      <c r="R107" s="68">
        <v>8.0329621339713615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0.58617715258835046</v>
      </c>
      <c r="M108" s="115">
        <v>2.1869413309038022</v>
      </c>
      <c r="N108" s="115">
        <v>262.57129189386052</v>
      </c>
      <c r="O108" s="115">
        <v>3.0164726052997248</v>
      </c>
      <c r="P108" s="115">
        <v>2.8353350016790286</v>
      </c>
      <c r="Q108" s="111">
        <v>3.0164726052997248</v>
      </c>
      <c r="R108" s="68">
        <v>2.8353350016790291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2024-10-28T23:17:37Z</dcterms:modified>
</cp:coreProperties>
</file>