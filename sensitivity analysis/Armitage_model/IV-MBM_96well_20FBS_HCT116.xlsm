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90888C54-1EC3-47C0-A942-00E4F92697CE}" xr6:coauthVersionLast="47" xr6:coauthVersionMax="47" xr10:uidLastSave="{00000000-0000-0000-0000-000000000000}"/>
  <bookViews>
    <workbookView xWindow="43080" yWindow="-120" windowWidth="29040" windowHeight="15720" tabRatio="841" firstSheet="1" activeTab="10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VIVE" sheetId="22" r:id="rId5"/>
    <sheet name="Input System Parameters" sheetId="2" r:id="rId6"/>
    <sheet name="QA-QC" sheetId="17" r:id="rId7"/>
    <sheet name="Concentrations" sheetId="15" r:id="rId8"/>
    <sheet name="Mass Fractions" sheetId="11" r:id="rId9"/>
    <sheet name="Mass Balance" sheetId="12" r:id="rId10"/>
    <sheet name="工作表1" sheetId="23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<sst xmlns="http://schemas.openxmlformats.org/spreadsheetml/2006/main" count="2915" uniqueCount="495">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</sst>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2.4700000000000002</v>
      </c>
      <c r="K5" s="136">
        <v>2.6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0.98799999999999999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0.49399999999999999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0.247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4.1599999999999998E-2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1.456E-2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8.0599999999999995E-3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5.1999999999999998E-3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5.9800000000000001E-3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3.1199999999999999E-3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0.86326307120167833</v>
      </c>
      <c r="M2" s="115">
        <v>2.1552554770847894</v>
      </c>
      <c r="N2" s="115">
        <v>59.019667738295226</v>
      </c>
      <c r="O2" s="115">
        <v>1.2595006831940978</v>
      </c>
      <c r="P2" s="115">
        <v>1.292723189708664</v>
      </c>
      <c r="Q2" s="111">
        <v>1.2595006831940978</v>
      </c>
      <c r="R2" s="68">
        <v>1.292723189708664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6.7914731556304071E-4</v>
      </c>
      <c r="M3" s="115">
        <v>87.35587507411266</v>
      </c>
      <c r="N3" s="115">
        <v>3741.1540744715298</v>
      </c>
      <c r="O3" s="115">
        <v>22.563172583607603</v>
      </c>
      <c r="P3" s="115">
        <v>9.6649702359008387</v>
      </c>
      <c r="Q3" s="111">
        <v>22.563172583607606</v>
      </c>
      <c r="R3" s="68">
        <v>9.6649702359008387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0.43896657876428991</v>
      </c>
      <c r="M4" s="115">
        <v>9.310316862033293</v>
      </c>
      <c r="N4" s="115">
        <v>374.67605594060802</v>
      </c>
      <c r="O4" s="115">
        <v>4.0382696131416411</v>
      </c>
      <c r="P4" s="115">
        <v>3.7830386235738658</v>
      </c>
      <c r="Q4" s="111">
        <v>4.0382696131416411</v>
      </c>
      <c r="R4" s="68">
        <v>3.7830386235738658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7.4116597480479484E-3</v>
      </c>
      <c r="M5" s="115">
        <v>26.207650470651018</v>
      </c>
      <c r="N5" s="115">
        <v>1112.6113378815924</v>
      </c>
      <c r="O5" s="115">
        <v>9.7999906498091072</v>
      </c>
      <c r="P5" s="115">
        <v>8.2634270584828773</v>
      </c>
      <c r="Q5" s="111">
        <v>9.7999906498091072</v>
      </c>
      <c r="R5" s="68">
        <v>8.2634270584828773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3.011806506586273E-4</v>
      </c>
      <c r="M6" s="115">
        <v>100.86473025358134</v>
      </c>
      <c r="N6" s="115">
        <v>4329.3420479042425</v>
      </c>
      <c r="O6" s="115">
        <v>25.368182781818977</v>
      </c>
      <c r="P6" s="115">
        <v>10.049092718459816</v>
      </c>
      <c r="Q6" s="111">
        <v>25.368182781818977</v>
      </c>
      <c r="R6" s="68">
        <v>10.049092718459818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6.0676360506228377E-4</v>
      </c>
      <c r="M7" s="115">
        <v>89.776834375244036</v>
      </c>
      <c r="N7" s="115">
        <v>3846.0961295168509</v>
      </c>
      <c r="O7" s="115">
        <v>23.078061050650756</v>
      </c>
      <c r="P7" s="115">
        <v>9.7496093143369684</v>
      </c>
      <c r="Q7" s="111">
        <v>23.078061050650756</v>
      </c>
      <c r="R7" s="68">
        <v>9.7496093143369702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1.3655919549479499E-3</v>
      </c>
      <c r="M8" s="115">
        <v>72.357291587600827</v>
      </c>
      <c r="N8" s="115">
        <v>3092.3516964064443</v>
      </c>
      <c r="O8" s="115">
        <v>19.454380747544533</v>
      </c>
      <c r="P8" s="115">
        <v>9.3057557326666629</v>
      </c>
      <c r="Q8" s="111">
        <v>19.454380747544533</v>
      </c>
      <c r="R8" s="68">
        <v>9.3057557326666629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6.8229156807800187E-2</v>
      </c>
      <c r="M9" s="115">
        <v>16.533522164950533</v>
      </c>
      <c r="N9" s="115">
        <v>695.06801534026226</v>
      </c>
      <c r="O9" s="115">
        <v>7.3032024539572582</v>
      </c>
      <c r="P9" s="115">
        <v>7.1691794613240889</v>
      </c>
      <c r="Q9" s="111">
        <v>7.3032024539572591</v>
      </c>
      <c r="R9" s="68">
        <v>7.1691794613240889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6.8931094642107104E-3</v>
      </c>
      <c r="M10" s="115">
        <v>28.036713914762654</v>
      </c>
      <c r="N10" s="115">
        <v>1190.699244980183</v>
      </c>
      <c r="O10" s="115">
        <v>10.183765063412919</v>
      </c>
      <c r="P10" s="115">
        <v>8.3016762665681725</v>
      </c>
      <c r="Q10" s="111">
        <v>10.183765063412919</v>
      </c>
      <c r="R10" s="68">
        <v>8.3016762665681743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6.0880970136357191E-3</v>
      </c>
      <c r="M11" s="115">
        <v>31.27014736222765</v>
      </c>
      <c r="N11" s="115">
        <v>1328.8215251621154</v>
      </c>
      <c r="O11" s="115">
        <v>10.861066896395814</v>
      </c>
      <c r="P11" s="115">
        <v>8.3683073148603988</v>
      </c>
      <c r="Q11" s="111">
        <v>10.861066896395815</v>
      </c>
      <c r="R11" s="68">
        <v>8.3683073148603988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4.2800483032942753E-2</v>
      </c>
      <c r="M12" s="115">
        <v>16.907641160912554</v>
      </c>
      <c r="N12" s="115">
        <v>712.62053136264149</v>
      </c>
      <c r="O12" s="115">
        <v>7.5622509761452523</v>
      </c>
      <c r="P12" s="115">
        <v>7.5188297594888995</v>
      </c>
      <c r="Q12" s="111">
        <v>7.5622509761452532</v>
      </c>
      <c r="R12" s="68">
        <v>7.5188297594888995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6.5314524423546252E-2</v>
      </c>
      <c r="M13" s="115">
        <v>16.580778762081508</v>
      </c>
      <c r="N13" s="115">
        <v>697.2463518395989</v>
      </c>
      <c r="O13" s="115">
        <v>7.3323944900910654</v>
      </c>
      <c r="P13" s="115">
        <v>7.2065047284357249</v>
      </c>
      <c r="Q13" s="111">
        <v>7.3323944900910654</v>
      </c>
      <c r="R13" s="68">
        <v>7.2065047284357249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4.0338569912387601E-3</v>
      </c>
      <c r="M14" s="115">
        <v>42.710660316089253</v>
      </c>
      <c r="N14" s="115">
        <v>1818.2773548189455</v>
      </c>
      <c r="O14" s="115">
        <v>13.257528558932075</v>
      </c>
      <c r="P14" s="115">
        <v>8.6144542925537078</v>
      </c>
      <c r="Q14" s="111">
        <v>13.257528558932075</v>
      </c>
      <c r="R14" s="68">
        <v>8.6144542925537095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6.4815166418336527E-3</v>
      </c>
      <c r="M15" s="115">
        <v>29.624851356678612</v>
      </c>
      <c r="N15" s="115">
        <v>1258.5272776589482</v>
      </c>
      <c r="O15" s="115">
        <v>10.516589462911142</v>
      </c>
      <c r="P15" s="115">
        <v>8.3345232470867199</v>
      </c>
      <c r="Q15" s="111">
        <v>10.516589462911142</v>
      </c>
      <c r="R15" s="68">
        <v>8.3345232470867199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1.4135905818039717E-3</v>
      </c>
      <c r="M16" s="115">
        <v>71.484740752938023</v>
      </c>
      <c r="N16" s="115">
        <v>3054.7235196760334</v>
      </c>
      <c r="O16" s="115">
        <v>19.271482912611791</v>
      </c>
      <c r="P16" s="115">
        <v>9.2827220991646922</v>
      </c>
      <c r="Q16" s="111">
        <v>19.271482912611795</v>
      </c>
      <c r="R16" s="68">
        <v>9.2827220991646922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7.2359881248282455E-3</v>
      </c>
      <c r="M17" s="115">
        <v>26.808756293949649</v>
      </c>
      <c r="N17" s="115">
        <v>1138.27050702215</v>
      </c>
      <c r="O17" s="115">
        <v>9.9262996714298541</v>
      </c>
      <c r="P17" s="115">
        <v>8.2762807255552371</v>
      </c>
      <c r="Q17" s="111">
        <v>9.9262996714298559</v>
      </c>
      <c r="R17" s="68">
        <v>8.2762807255552371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8.2598379627091462E-2</v>
      </c>
      <c r="M18" s="115">
        <v>16.23722718213374</v>
      </c>
      <c r="N18" s="115">
        <v>681.6992345464455</v>
      </c>
      <c r="O18" s="115">
        <v>7.1369703620917075</v>
      </c>
      <c r="P18" s="115">
        <v>6.9684623328337967</v>
      </c>
      <c r="Q18" s="111">
        <v>7.1369703620917075</v>
      </c>
      <c r="R18" s="68">
        <v>6.9684623328337976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6.4014439414633202E-3</v>
      </c>
      <c r="M19" s="115">
        <v>29.949609041148101</v>
      </c>
      <c r="N19" s="115">
        <v>1272.4002861717854</v>
      </c>
      <c r="O19" s="115">
        <v>10.584642839455489</v>
      </c>
      <c r="P19" s="115">
        <v>8.3412694182790972</v>
      </c>
      <c r="Q19" s="111">
        <v>10.584642839455489</v>
      </c>
      <c r="R19" s="68">
        <v>8.341269418279099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6.5322297621210959E-2</v>
      </c>
      <c r="M20" s="115">
        <v>16.582752070038506</v>
      </c>
      <c r="N20" s="115">
        <v>697.32933236746294</v>
      </c>
      <c r="O20" s="115">
        <v>7.333267131394515</v>
      </c>
      <c r="P20" s="115">
        <v>7.2073623873748387</v>
      </c>
      <c r="Q20" s="111">
        <v>7.333267131394515</v>
      </c>
      <c r="R20" s="68">
        <v>7.2073623873748387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4.5645976449791847E-3</v>
      </c>
      <c r="M21" s="115">
        <v>39.174670047307515</v>
      </c>
      <c r="N21" s="115">
        <v>1666.8775556067646</v>
      </c>
      <c r="O21" s="115">
        <v>12.515644405605896</v>
      </c>
      <c r="P21" s="115">
        <v>8.5345607120745175</v>
      </c>
      <c r="Q21" s="111">
        <v>12.515644405605896</v>
      </c>
      <c r="R21" s="68">
        <v>8.5345607120745175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0.67395510034526307</v>
      </c>
      <c r="M22" s="115">
        <v>5.0538101589586608</v>
      </c>
      <c r="N22" s="115">
        <v>187.24119661168373</v>
      </c>
      <c r="O22" s="115">
        <v>2.3468846402756136</v>
      </c>
      <c r="P22" s="115">
        <v>2.2320150531912497</v>
      </c>
      <c r="Q22" s="111">
        <v>2.3468846402756136</v>
      </c>
      <c r="R22" s="68">
        <v>2.2320150531912497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0.81288346700783209</v>
      </c>
      <c r="M23" s="115">
        <v>2.8709741097038428</v>
      </c>
      <c r="N23" s="115">
        <v>90.770112332957012</v>
      </c>
      <c r="O23" s="115">
        <v>1.5213994570857299</v>
      </c>
      <c r="P23" s="115">
        <v>1.5128584774230354</v>
      </c>
      <c r="Q23" s="111">
        <v>1.5213994570857299</v>
      </c>
      <c r="R23" s="68">
        <v>1.5128584774230356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0.2124280649727609</v>
      </c>
      <c r="M24" s="115">
        <v>13.746210301845297</v>
      </c>
      <c r="N24" s="115">
        <v>570.41075798320537</v>
      </c>
      <c r="O24" s="115">
        <v>5.9259683312364544</v>
      </c>
      <c r="P24" s="115">
        <v>5.6363551038756645</v>
      </c>
      <c r="Q24" s="111">
        <v>5.9259683312364553</v>
      </c>
      <c r="R24" s="68">
        <v>5.6363551038756645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2.2736582929640821E-2</v>
      </c>
      <c r="M25" s="115">
        <v>16.848720786585893</v>
      </c>
      <c r="N25" s="115">
        <v>711.94632721260859</v>
      </c>
      <c r="O25" s="115">
        <v>7.668792835235358</v>
      </c>
      <c r="P25" s="115">
        <v>7.7525801506437881</v>
      </c>
      <c r="Q25" s="111">
        <v>7.6687928352353589</v>
      </c>
      <c r="R25" s="68">
        <v>7.752580150643789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4.9478952740434371E-3</v>
      </c>
      <c r="M26" s="115">
        <v>36.916111633107704</v>
      </c>
      <c r="N26" s="115">
        <v>1570.2281071737689</v>
      </c>
      <c r="O26" s="115">
        <v>12.042903435424012</v>
      </c>
      <c r="P26" s="115">
        <v>8.4863191816164427</v>
      </c>
      <c r="Q26" s="111">
        <v>12.042903435424012</v>
      </c>
      <c r="R26" s="68">
        <v>8.4863191816164445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7.476327723495305E-4</v>
      </c>
      <c r="M27" s="115">
        <v>85.572868425464165</v>
      </c>
      <c r="N27" s="115">
        <v>3663.7916259170065</v>
      </c>
      <c r="O27" s="115">
        <v>22.196954681507226</v>
      </c>
      <c r="P27" s="115">
        <v>9.6251910626310497</v>
      </c>
      <c r="Q27" s="111">
        <v>22.196954681507229</v>
      </c>
      <c r="R27" s="68">
        <v>9.6251910626310497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2.7166464412034341E-3</v>
      </c>
      <c r="M28" s="115">
        <v>54.012966997638898</v>
      </c>
      <c r="N28" s="115">
        <v>2302.9691789444232</v>
      </c>
      <c r="O28" s="115">
        <v>15.622600959571701</v>
      </c>
      <c r="P28" s="115">
        <v>8.8688413639201436</v>
      </c>
      <c r="Q28" s="111">
        <v>15.622600959571701</v>
      </c>
      <c r="R28" s="68">
        <v>8.8688413639201436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4.1106732858270083E-3</v>
      </c>
      <c r="M29" s="115">
        <v>40.58113659707859</v>
      </c>
      <c r="N29" s="115">
        <v>1727.3212392589164</v>
      </c>
      <c r="O29" s="115">
        <v>12.714084470942897</v>
      </c>
      <c r="P29" s="115">
        <v>8.3940992546979043</v>
      </c>
      <c r="Q29" s="111">
        <v>12.714084470942897</v>
      </c>
      <c r="R29" s="68">
        <v>8.3940992546979061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2.7166464412034341E-3</v>
      </c>
      <c r="M30" s="115">
        <v>54.012966997638898</v>
      </c>
      <c r="N30" s="115">
        <v>2302.9691789444232</v>
      </c>
      <c r="O30" s="115">
        <v>15.622600959571701</v>
      </c>
      <c r="P30" s="115">
        <v>8.8688413639201436</v>
      </c>
      <c r="Q30" s="111">
        <v>15.622600959571701</v>
      </c>
      <c r="R30" s="68">
        <v>8.8688413639201436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0.98618217662668783</v>
      </c>
      <c r="M31" s="115">
        <v>0.87556760898599484</v>
      </c>
      <c r="N31" s="115">
        <v>1.1556002560273684</v>
      </c>
      <c r="O31" s="115">
        <v>0.82457800101268752</v>
      </c>
      <c r="P31" s="115">
        <v>0.95435323835187391</v>
      </c>
      <c r="Q31" s="111">
        <v>0.82457800101268752</v>
      </c>
      <c r="R31" s="68">
        <v>0.95435323835187402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0.54019181162196128</v>
      </c>
      <c r="M32" s="115">
        <v>7.6446475008535373</v>
      </c>
      <c r="N32" s="115">
        <v>297.91785909662065</v>
      </c>
      <c r="O32" s="115">
        <v>3.0506067795242702</v>
      </c>
      <c r="P32" s="115">
        <v>2.8021798868431103</v>
      </c>
      <c r="Q32" s="111">
        <v>3.0506067795242702</v>
      </c>
      <c r="R32" s="68">
        <v>2.8021798868431103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0.9926842173294832</v>
      </c>
      <c r="M33" s="115">
        <v>0.86379174337599929</v>
      </c>
      <c r="N33" s="115">
        <v>0.59120396268506525</v>
      </c>
      <c r="O33" s="115">
        <v>0.84202891348669318</v>
      </c>
      <c r="P33" s="115">
        <v>0.98986879902049196</v>
      </c>
      <c r="Q33" s="111">
        <v>0.84202891348669329</v>
      </c>
      <c r="R33" s="68">
        <v>0.98986879902049196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0.54898917478862885</v>
      </c>
      <c r="M34" s="115">
        <v>1.2724072794372872</v>
      </c>
      <c r="N34" s="115">
        <v>45.006962769392324</v>
      </c>
      <c r="O34" s="115">
        <v>2.6264818013299216</v>
      </c>
      <c r="P34" s="115">
        <v>4.293816223867462</v>
      </c>
      <c r="Q34" s="111">
        <v>2.6264818013299216</v>
      </c>
      <c r="R34" s="68">
        <v>4.2938162238674629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0.32555252170779875</v>
      </c>
      <c r="M35" s="115">
        <v>1.4168894006771606</v>
      </c>
      <c r="N35" s="115">
        <v>63.694668666159522</v>
      </c>
      <c r="O35" s="115">
        <v>3.5070697558426458</v>
      </c>
      <c r="P35" s="115">
        <v>5.9361264360140398</v>
      </c>
      <c r="Q35" s="111">
        <v>3.5070697558426458</v>
      </c>
      <c r="R35" s="68">
        <v>5.9361264360140398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0.10872494371917252</v>
      </c>
      <c r="M36" s="115">
        <v>1.4797534416273186</v>
      </c>
      <c r="N36" s="115">
        <v>77.398679023571589</v>
      </c>
      <c r="O36" s="115">
        <v>4.3480965307706168</v>
      </c>
      <c r="P36" s="115">
        <v>7.5212109902332607</v>
      </c>
      <c r="Q36" s="111">
        <v>4.3480965307706168</v>
      </c>
      <c r="R36" s="68">
        <v>7.5212109902332607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0.21764316437686673</v>
      </c>
      <c r="M37" s="115">
        <v>4.1870061030713082</v>
      </c>
      <c r="N37" s="115">
        <v>182.19529938883619</v>
      </c>
      <c r="O37" s="115">
        <v>4.2704698946257391</v>
      </c>
      <c r="P37" s="115">
        <v>6.3802085202745751</v>
      </c>
      <c r="Q37" s="111">
        <v>4.27046989462574</v>
      </c>
      <c r="R37" s="68">
        <v>6.380208520274576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0.61504854839724643</v>
      </c>
      <c r="M38" s="115">
        <v>1.2546311399050396</v>
      </c>
      <c r="N38" s="115">
        <v>40.340204407202997</v>
      </c>
      <c r="O38" s="115">
        <v>2.3668074921011004</v>
      </c>
      <c r="P38" s="115">
        <v>3.7992120933966742</v>
      </c>
      <c r="Q38" s="111">
        <v>2.3668074921011004</v>
      </c>
      <c r="R38" s="68">
        <v>3.7992120933966746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1.1050818639342649E-2</v>
      </c>
      <c r="M39" s="115">
        <v>17.270316685714686</v>
      </c>
      <c r="N39" s="115">
        <v>731.5251772405777</v>
      </c>
      <c r="O39" s="115">
        <v>7.9262236070633989</v>
      </c>
      <c r="P39" s="115">
        <v>8.0858512945130627</v>
      </c>
      <c r="Q39" s="111">
        <v>7.9262236070633998</v>
      </c>
      <c r="R39" s="68">
        <v>8.0858512945130627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9.9043452877792867E-4</v>
      </c>
      <c r="M40" s="115">
        <v>99.820289263518404</v>
      </c>
      <c r="N40" s="115">
        <v>5490.2410849600683</v>
      </c>
      <c r="O40" s="115">
        <v>19.378124213621295</v>
      </c>
      <c r="P40" s="115">
        <v>12.707082571257311</v>
      </c>
      <c r="Q40" s="111">
        <v>19.378124213621295</v>
      </c>
      <c r="R40" s="68">
        <v>12.707082571257311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0.9300391302094082</v>
      </c>
      <c r="M41" s="115">
        <v>0.80105874343683015</v>
      </c>
      <c r="N41" s="115">
        <v>6.5801945593136776E-2</v>
      </c>
      <c r="O41" s="115">
        <v>0.76886357246557369</v>
      </c>
      <c r="P41" s="115">
        <v>0.89342403803245884</v>
      </c>
      <c r="Q41" s="111">
        <v>0.7688635724655738</v>
      </c>
      <c r="R41" s="68">
        <v>0.89342403803245884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0.63508722162701869</v>
      </c>
      <c r="M42" s="115">
        <v>5.747726205006626</v>
      </c>
      <c r="N42" s="115">
        <v>217.7632474044126</v>
      </c>
      <c r="O42" s="115">
        <v>2.6166047944665443</v>
      </c>
      <c r="P42" s="115">
        <v>2.4733397113105511</v>
      </c>
      <c r="Q42" s="111">
        <v>2.6166047944665443</v>
      </c>
      <c r="R42" s="68">
        <v>2.4733397113105511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8.8644598252497955E-3</v>
      </c>
      <c r="M43" s="115">
        <v>2.9644671761985459</v>
      </c>
      <c r="N43" s="115">
        <v>164.49675735637749</v>
      </c>
      <c r="O43" s="115">
        <v>4.9501223480789553</v>
      </c>
      <c r="P43" s="115">
        <v>8.3197727399340629</v>
      </c>
      <c r="Q43" s="111">
        <v>4.9501223480789553</v>
      </c>
      <c r="R43" s="68">
        <v>8.3197727399340629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0.83989955596590282</v>
      </c>
      <c r="M44" s="115">
        <v>1.4892252907204766</v>
      </c>
      <c r="N44" s="115">
        <v>32.025503789157774</v>
      </c>
      <c r="O44" s="115">
        <v>0.98633463921462783</v>
      </c>
      <c r="P44" s="115">
        <v>1.0503354569263335</v>
      </c>
      <c r="Q44" s="111">
        <v>0.98633463921462794</v>
      </c>
      <c r="R44" s="68">
        <v>1.0503354569263335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0.59686290525183439</v>
      </c>
      <c r="M45" s="115">
        <v>6.4051686800856347</v>
      </c>
      <c r="N45" s="115">
        <v>246.75202665613941</v>
      </c>
      <c r="O45" s="115">
        <v>2.8736628495247478</v>
      </c>
      <c r="P45" s="115">
        <v>2.7053184488515449</v>
      </c>
      <c r="Q45" s="111">
        <v>2.8736628495247478</v>
      </c>
      <c r="R45" s="68">
        <v>2.7053184488515454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0.61994644619312222</v>
      </c>
      <c r="M46" s="115">
        <v>5.978911200997346</v>
      </c>
      <c r="N46" s="115">
        <v>228.01724455536458</v>
      </c>
      <c r="O46" s="115">
        <v>2.7061141863641582</v>
      </c>
      <c r="P46" s="115">
        <v>2.5536743986037638</v>
      </c>
      <c r="Q46" s="111">
        <v>2.7061141863641582</v>
      </c>
      <c r="R46" s="68">
        <v>2.5536743986037638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6.8111042516493371E-4</v>
      </c>
      <c r="M47" s="115">
        <v>87.60838164111216</v>
      </c>
      <c r="N47" s="115">
        <v>3751.9680691932303</v>
      </c>
      <c r="O47" s="115">
        <v>22.628392573045868</v>
      </c>
      <c r="P47" s="115">
        <v>9.6929073202966993</v>
      </c>
      <c r="Q47" s="111">
        <v>22.628392573045868</v>
      </c>
      <c r="R47" s="68">
        <v>9.6929073202966993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0.94610627749089382</v>
      </c>
      <c r="M48" s="115">
        <v>1.0701278247490156</v>
      </c>
      <c r="N48" s="115">
        <v>10.707771686991839</v>
      </c>
      <c r="O48" s="115">
        <v>0.87681754031155024</v>
      </c>
      <c r="P48" s="115">
        <v>0.98490217307011529</v>
      </c>
      <c r="Q48" s="111">
        <v>0.87681754031155035</v>
      </c>
      <c r="R48" s="68">
        <v>0.98490217307011529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0.91951026256611923</v>
      </c>
      <c r="M49" s="115">
        <v>1.2377629041635625</v>
      </c>
      <c r="N49" s="115">
        <v>18.662012446263923</v>
      </c>
      <c r="O49" s="115">
        <v>0.92765307909422035</v>
      </c>
      <c r="P49" s="115">
        <v>1.0202881841621092</v>
      </c>
      <c r="Q49" s="111">
        <v>0.92765307909422035</v>
      </c>
      <c r="R49" s="68">
        <v>1.0202881841621092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8.7742221644687535E-2</v>
      </c>
      <c r="M50" s="115">
        <v>16.087248028635351</v>
      </c>
      <c r="N50" s="115">
        <v>675.07395267793879</v>
      </c>
      <c r="O50" s="115">
        <v>7.0598773877792782</v>
      </c>
      <c r="P50" s="115">
        <v>6.8809873812325133</v>
      </c>
      <c r="Q50" s="111">
        <v>7.0598773877792782</v>
      </c>
      <c r="R50" s="68">
        <v>6.8809873812325133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0.9303585243611292</v>
      </c>
      <c r="M51" s="115">
        <v>0.84572448700410985</v>
      </c>
      <c r="N51" s="115">
        <v>1.9110617514307839</v>
      </c>
      <c r="O51" s="115">
        <v>0.78506113429248126</v>
      </c>
      <c r="P51" s="115">
        <v>0.905901990695544</v>
      </c>
      <c r="Q51" s="111">
        <v>0.78506113429248137</v>
      </c>
      <c r="R51" s="68">
        <v>0.90590199069554411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0.81322000820134432</v>
      </c>
      <c r="M52" s="115">
        <v>1.9996110294475311</v>
      </c>
      <c r="N52" s="115">
        <v>54.314688308335072</v>
      </c>
      <c r="O52" s="115">
        <v>1.1743326720354585</v>
      </c>
      <c r="P52" s="115">
        <v>1.2071600848789807</v>
      </c>
      <c r="Q52" s="111">
        <v>1.1743326720354585</v>
      </c>
      <c r="R52" s="68">
        <v>1.207160084878981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0.46930494467026562</v>
      </c>
      <c r="M53" s="115">
        <v>8.7059903928206914</v>
      </c>
      <c r="N53" s="115">
        <v>348.12702121923377</v>
      </c>
      <c r="O53" s="115">
        <v>3.7917785385862053</v>
      </c>
      <c r="P53" s="115">
        <v>3.5513481881269007</v>
      </c>
      <c r="Q53" s="111">
        <v>3.7917785385862057</v>
      </c>
      <c r="R53" s="68">
        <v>3.5513481881269007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9.5456564143450923E-4</v>
      </c>
      <c r="M54" s="115">
        <v>80.665031201008361</v>
      </c>
      <c r="N54" s="115">
        <v>3451.2021144628666</v>
      </c>
      <c r="O54" s="115">
        <v>21.184879612973596</v>
      </c>
      <c r="P54" s="115">
        <v>9.5131628712176806</v>
      </c>
      <c r="Q54" s="111">
        <v>21.184879612973596</v>
      </c>
      <c r="R54" s="68">
        <v>9.5131628712176806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0.16676580424870133</v>
      </c>
      <c r="M55" s="115">
        <v>12.391741425558909</v>
      </c>
      <c r="N55" s="115">
        <v>515.27221621127933</v>
      </c>
      <c r="O55" s="115">
        <v>5.350253788891365</v>
      </c>
      <c r="P55" s="115">
        <v>5.1036575961050588</v>
      </c>
      <c r="Q55" s="111">
        <v>5.3502537888913659</v>
      </c>
      <c r="R55" s="68">
        <v>5.1036575961050588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1.9662479843335991E-2</v>
      </c>
      <c r="M56" s="115">
        <v>7.2432900645538778</v>
      </c>
      <c r="N56" s="115">
        <v>305.18903639766785</v>
      </c>
      <c r="O56" s="115">
        <v>3.2336982012164963</v>
      </c>
      <c r="P56" s="115">
        <v>3.2092301882751606</v>
      </c>
      <c r="Q56" s="111">
        <v>3.2336982012164963</v>
      </c>
      <c r="R56" s="68">
        <v>3.2092301882751606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3.6930663173811037E-2</v>
      </c>
      <c r="M57" s="115">
        <v>3.7055139380862672</v>
      </c>
      <c r="N57" s="115">
        <v>154.66275488083852</v>
      </c>
      <c r="O57" s="115">
        <v>1.6068922589750254</v>
      </c>
      <c r="P57" s="115">
        <v>1.5432366996034366</v>
      </c>
      <c r="Q57" s="111">
        <v>1.6068922589750254</v>
      </c>
      <c r="R57" s="68">
        <v>1.5432366996034368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7.5035554408807104E-2</v>
      </c>
      <c r="M58" s="115">
        <v>0.11060030374024263</v>
      </c>
      <c r="N58" s="115">
        <v>1.9235602991909226</v>
      </c>
      <c r="O58" s="115">
        <v>7.9397629544815579E-2</v>
      </c>
      <c r="P58" s="115">
        <v>8.6386469719229073E-2</v>
      </c>
      <c r="Q58" s="111">
        <v>7.9397629544815579E-2</v>
      </c>
      <c r="R58" s="68">
        <v>8.6386469719229073E-2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1.5362021593302024E-2</v>
      </c>
      <c r="M59" s="115">
        <v>1.438053084622406</v>
      </c>
      <c r="N59" s="115">
        <v>59.974873159320275</v>
      </c>
      <c r="O59" s="115">
        <v>0.62291145667141179</v>
      </c>
      <c r="P59" s="115">
        <v>0.59727434283385528</v>
      </c>
      <c r="Q59" s="111">
        <v>0.62291145667141179</v>
      </c>
      <c r="R59" s="68">
        <v>0.59727434283385539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5.778373166876082E-4</v>
      </c>
      <c r="M60" s="115">
        <v>2.5309663946599493E-2</v>
      </c>
      <c r="N60" s="115">
        <v>1.0425166919065525</v>
      </c>
      <c r="O60" s="115">
        <v>1.0886755266819226E-2</v>
      </c>
      <c r="P60" s="115">
        <v>1.0279117502934946E-2</v>
      </c>
      <c r="Q60" s="111">
        <v>1.0886755266819228E-2</v>
      </c>
      <c r="R60" s="68">
        <v>1.0279117502934946E-2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0.35255517210439952</v>
      </c>
      <c r="M61" s="115">
        <v>10.970984786488756</v>
      </c>
      <c r="N61" s="115">
        <v>447.84802557270905</v>
      </c>
      <c r="O61" s="115">
        <v>4.7258187293374725</v>
      </c>
      <c r="P61" s="115">
        <v>4.4403139635548099</v>
      </c>
      <c r="Q61" s="111">
        <v>4.7258187293374725</v>
      </c>
      <c r="R61" s="68">
        <v>4.4403139635548099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4.1480379475506745E-3</v>
      </c>
      <c r="M62" s="115">
        <v>41.916864620207164</v>
      </c>
      <c r="N62" s="115">
        <v>1784.2787358681551</v>
      </c>
      <c r="O62" s="115">
        <v>13.091506902295697</v>
      </c>
      <c r="P62" s="115">
        <v>8.5973221703584723</v>
      </c>
      <c r="Q62" s="111">
        <v>13.091506902295697</v>
      </c>
      <c r="R62" s="68">
        <v>8.5973221703584741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3.6946131628768145E-4</v>
      </c>
      <c r="M63" s="115">
        <v>97.975720137906904</v>
      </c>
      <c r="N63" s="115">
        <v>4203.0586811001021</v>
      </c>
      <c r="O63" s="115">
        <v>24.77331204717434</v>
      </c>
      <c r="P63" s="115">
        <v>9.9693900185202402</v>
      </c>
      <c r="Q63" s="111">
        <v>24.77331204717434</v>
      </c>
      <c r="R63" s="68">
        <v>9.9693900185202402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1.2667817626848792E-4</v>
      </c>
      <c r="M64" s="115">
        <v>110.46031960820659</v>
      </c>
      <c r="N64" s="115">
        <v>4751.7097223226947</v>
      </c>
      <c r="O64" s="115">
        <v>27.327932939070791</v>
      </c>
      <c r="P64" s="115">
        <v>10.324102001010914</v>
      </c>
      <c r="Q64" s="111">
        <v>27.327932939070791</v>
      </c>
      <c r="R64" s="68">
        <v>10.324102001010916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3.5256532309548629E-5</v>
      </c>
      <c r="M65" s="115">
        <v>119.03305401897545</v>
      </c>
      <c r="N65" s="115">
        <v>5136.3928453893495</v>
      </c>
      <c r="O65" s="115">
        <v>29.035712267316502</v>
      </c>
      <c r="P65" s="115">
        <v>10.590419567033898</v>
      </c>
      <c r="Q65" s="111">
        <v>29.035712267316502</v>
      </c>
      <c r="R65" s="68">
        <v>10.590419567033898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7.3427343465271456E-5</v>
      </c>
      <c r="M66" s="115">
        <v>114.75611889574409</v>
      </c>
      <c r="N66" s="115">
        <v>4943.1276848152138</v>
      </c>
      <c r="O66" s="115">
        <v>28.191879027852302</v>
      </c>
      <c r="P66" s="115">
        <v>10.454264325383452</v>
      </c>
      <c r="Q66" s="111">
        <v>28.191879027852302</v>
      </c>
      <c r="R66" s="68">
        <v>10.454264325383452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0.89054353875628189</v>
      </c>
      <c r="M67" s="115">
        <v>1.7459833432252658</v>
      </c>
      <c r="N67" s="115">
        <v>40.932375451017329</v>
      </c>
      <c r="O67" s="115">
        <v>1.1111301597133503</v>
      </c>
      <c r="P67" s="115">
        <v>1.1699517113016713</v>
      </c>
      <c r="Q67" s="111">
        <v>1.1111301597133505</v>
      </c>
      <c r="R67" s="68">
        <v>1.1699517113016713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0.83617943435742637</v>
      </c>
      <c r="M68" s="115">
        <v>2.4075290439815951</v>
      </c>
      <c r="N68" s="115">
        <v>70.543606416878788</v>
      </c>
      <c r="O68" s="115">
        <v>1.3469971889578662</v>
      </c>
      <c r="P68" s="115">
        <v>1.3635796437159422</v>
      </c>
      <c r="Q68" s="111">
        <v>1.3469971889578665</v>
      </c>
      <c r="R68" s="68">
        <v>1.3635796437159424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1.4876901117574781E-3</v>
      </c>
      <c r="M69" s="115">
        <v>70.144684780943393</v>
      </c>
      <c r="N69" s="115">
        <v>2996.9620549803453</v>
      </c>
      <c r="O69" s="115">
        <v>18.988998113878072</v>
      </c>
      <c r="P69" s="115">
        <v>9.2448326134154861</v>
      </c>
      <c r="Q69" s="111">
        <v>18.988998113878072</v>
      </c>
      <c r="R69" s="68">
        <v>9.2448326134154861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2.8270919927675126E-2</v>
      </c>
      <c r="M70" s="115">
        <v>16.98566672160494</v>
      </c>
      <c r="N70" s="115">
        <v>717.17365971395418</v>
      </c>
      <c r="O70" s="115">
        <v>7.6850825042095261</v>
      </c>
      <c r="P70" s="115">
        <v>7.7260298868238637</v>
      </c>
      <c r="Q70" s="111">
        <v>7.685082504209527</v>
      </c>
      <c r="R70" s="68">
        <v>7.7260298868238646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0.83438357986770595</v>
      </c>
      <c r="M71" s="115">
        <v>2.2521887840952024</v>
      </c>
      <c r="N71" s="115">
        <v>64.112524022276034</v>
      </c>
      <c r="O71" s="115">
        <v>1.2843987186735548</v>
      </c>
      <c r="P71" s="115">
        <v>1.3081918530592573</v>
      </c>
      <c r="Q71" s="111">
        <v>1.284398718673555</v>
      </c>
      <c r="R71" s="68">
        <v>1.3081918530592576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3.2928614824636285E-2</v>
      </c>
      <c r="M72" s="115">
        <v>16.80661324311134</v>
      </c>
      <c r="N72" s="115">
        <v>709.15275311130279</v>
      </c>
      <c r="O72" s="115">
        <v>7.5695500437144823</v>
      </c>
      <c r="P72" s="115">
        <v>7.5771265446486966</v>
      </c>
      <c r="Q72" s="111">
        <v>7.5695500437144831</v>
      </c>
      <c r="R72" s="68">
        <v>7.5771265446486975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0.3241837328598825</v>
      </c>
      <c r="M73" s="115">
        <v>11.30211514498038</v>
      </c>
      <c r="N73" s="115">
        <v>462.89788175319381</v>
      </c>
      <c r="O73" s="115">
        <v>4.8641001651748539</v>
      </c>
      <c r="P73" s="115">
        <v>4.5767690303260578</v>
      </c>
      <c r="Q73" s="111">
        <v>4.8641001651748548</v>
      </c>
      <c r="R73" s="68">
        <v>4.5767690303260578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2.9564539075810522E-2</v>
      </c>
      <c r="M74" s="115">
        <v>16.954036105028909</v>
      </c>
      <c r="N74" s="115">
        <v>715.70828516571851</v>
      </c>
      <c r="O74" s="115">
        <v>7.6607369081943073</v>
      </c>
      <c r="P74" s="115">
        <v>7.6920636003127942</v>
      </c>
      <c r="Q74" s="111">
        <v>7.6607369081943073</v>
      </c>
      <c r="R74" s="68">
        <v>7.6920636003127942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4.3331996089488326E-3</v>
      </c>
      <c r="M75" s="115">
        <v>9.7895743234887664</v>
      </c>
      <c r="N75" s="115">
        <v>548.4673849361053</v>
      </c>
      <c r="O75" s="115">
        <v>5.9670287766379095</v>
      </c>
      <c r="P75" s="115">
        <v>8.7063954849581915</v>
      </c>
      <c r="Q75" s="111">
        <v>5.9670287766379104</v>
      </c>
      <c r="R75" s="68">
        <v>8.7063954849581933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4.3331996107522728E-3</v>
      </c>
      <c r="M76" s="115">
        <v>9.789574327563102</v>
      </c>
      <c r="N76" s="115">
        <v>548.46738516437267</v>
      </c>
      <c r="O76" s="115">
        <v>5.9670287791213354</v>
      </c>
      <c r="P76" s="115">
        <v>8.7063954885817179</v>
      </c>
      <c r="Q76" s="111">
        <v>5.9670287791213354</v>
      </c>
      <c r="R76" s="68">
        <v>8.7063954885817179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0.12009723082169982</v>
      </c>
      <c r="M77" s="115">
        <v>15.190356212464827</v>
      </c>
      <c r="N77" s="115">
        <v>635.51336021068153</v>
      </c>
      <c r="O77" s="115">
        <v>6.6147258877080866</v>
      </c>
      <c r="P77" s="115">
        <v>6.3878650398531001</v>
      </c>
      <c r="Q77" s="111">
        <v>6.6147258877080866</v>
      </c>
      <c r="R77" s="68">
        <v>6.3878650398531001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0.63286494796541248</v>
      </c>
      <c r="M78" s="115">
        <v>5.2656658031846302</v>
      </c>
      <c r="N78" s="115">
        <v>197.6275114408817</v>
      </c>
      <c r="O78" s="115">
        <v>2.4172853373151444</v>
      </c>
      <c r="P78" s="115">
        <v>2.2906879386197168</v>
      </c>
      <c r="Q78" s="111">
        <v>2.4172853373151444</v>
      </c>
      <c r="R78" s="68">
        <v>2.2906879386197168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0.45633139240841225</v>
      </c>
      <c r="M79" s="115">
        <v>8.8510308143379923</v>
      </c>
      <c r="N79" s="115">
        <v>354.71264161539528</v>
      </c>
      <c r="O79" s="115">
        <v>3.8492185611113747</v>
      </c>
      <c r="P79" s="115">
        <v>3.6052133740224273</v>
      </c>
      <c r="Q79" s="111">
        <v>3.8492185611113747</v>
      </c>
      <c r="R79" s="68">
        <v>3.6052133740224273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2.9286792371342471E-3</v>
      </c>
      <c r="M80" s="115">
        <v>18.954570720186211</v>
      </c>
      <c r="N80" s="115">
        <v>1062.2161378591727</v>
      </c>
      <c r="O80" s="115">
        <v>7.3169358768993966</v>
      </c>
      <c r="P80" s="115">
        <v>9.1808568846962224</v>
      </c>
      <c r="Q80" s="111">
        <v>7.3169358768993966</v>
      </c>
      <c r="R80" s="68">
        <v>9.1808568846962242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0.98340578616848395</v>
      </c>
      <c r="M81" s="115">
        <v>0.88662096747708385</v>
      </c>
      <c r="N81" s="115">
        <v>1.7149838095015697</v>
      </c>
      <c r="O81" s="115">
        <v>0.82715530079767119</v>
      </c>
      <c r="P81" s="115">
        <v>0.95546719675073477</v>
      </c>
      <c r="Q81" s="111">
        <v>0.82715530079767119</v>
      </c>
      <c r="R81" s="68">
        <v>0.95546719675073477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0.81834775920398972</v>
      </c>
      <c r="M82" s="115">
        <v>2.7905599959856002</v>
      </c>
      <c r="N82" s="115">
        <v>87.208395007550791</v>
      </c>
      <c r="O82" s="115">
        <v>1.4916852200948274</v>
      </c>
      <c r="P82" s="115">
        <v>1.4876204820783703</v>
      </c>
      <c r="Q82" s="111">
        <v>1.4916852200948276</v>
      </c>
      <c r="R82" s="68">
        <v>1.4876204820783703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0.15237413166702007</v>
      </c>
      <c r="M83" s="115">
        <v>14.939139410118834</v>
      </c>
      <c r="N83" s="115">
        <v>623.37681016038027</v>
      </c>
      <c r="O83" s="115">
        <v>6.475876569331362</v>
      </c>
      <c r="P83" s="115">
        <v>6.2159913201516312</v>
      </c>
      <c r="Q83" s="111">
        <v>6.475876569331362</v>
      </c>
      <c r="R83" s="68">
        <v>6.2159913201516312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0.96506433603641084</v>
      </c>
      <c r="M84" s="115">
        <v>0.99971884298716807</v>
      </c>
      <c r="N84" s="115">
        <v>7.088604070145168</v>
      </c>
      <c r="O84" s="115">
        <v>0.85975576994637992</v>
      </c>
      <c r="P84" s="115">
        <v>0.97617179374680663</v>
      </c>
      <c r="Q84" s="111">
        <v>0.85975576994637992</v>
      </c>
      <c r="R84" s="68">
        <v>0.97617179374680674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0.99149172714576816</v>
      </c>
      <c r="M85" s="115">
        <v>0.86070462939623371</v>
      </c>
      <c r="N85" s="115">
        <v>0.34830838501092354</v>
      </c>
      <c r="O85" s="115">
        <v>0.82201475912692323</v>
      </c>
      <c r="P85" s="115">
        <v>0.95417181524947259</v>
      </c>
      <c r="Q85" s="111">
        <v>0.82201475912692334</v>
      </c>
      <c r="R85" s="68">
        <v>0.95417181524947259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0.96596384712640393</v>
      </c>
      <c r="M86" s="115">
        <v>0.99288545340480283</v>
      </c>
      <c r="N86" s="115">
        <v>6.7711805529508959</v>
      </c>
      <c r="O86" s="115">
        <v>0.85764670335335691</v>
      </c>
      <c r="P86" s="115">
        <v>0.97470856487069324</v>
      </c>
      <c r="Q86" s="111">
        <v>0.85764670335335702</v>
      </c>
      <c r="R86" s="68">
        <v>0.97470856487069324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5.3978420079059831E-4</v>
      </c>
      <c r="M87" s="115">
        <v>91.871703234366791</v>
      </c>
      <c r="N87" s="115">
        <v>3937.1302947502018</v>
      </c>
      <c r="O87" s="115">
        <v>23.512115035243042</v>
      </c>
      <c r="P87" s="115">
        <v>9.8050917217922375</v>
      </c>
      <c r="Q87" s="111">
        <v>23.512115035243042</v>
      </c>
      <c r="R87" s="68">
        <v>9.8050917217922393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0.71229135993619452</v>
      </c>
      <c r="M88" s="115">
        <v>4.4454744853834214</v>
      </c>
      <c r="N88" s="115">
        <v>160.34574542223211</v>
      </c>
      <c r="O88" s="115">
        <v>2.1140748171099122</v>
      </c>
      <c r="P88" s="115">
        <v>2.0263433142524674</v>
      </c>
      <c r="Q88" s="111">
        <v>2.1140748171099122</v>
      </c>
      <c r="R88" s="68">
        <v>2.0263433142524674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0.80156771662310067</v>
      </c>
      <c r="M89" s="115">
        <v>3.0405675087726158</v>
      </c>
      <c r="N89" s="115">
        <v>98.27543562657263</v>
      </c>
      <c r="O89" s="115">
        <v>1.5843080075348299</v>
      </c>
      <c r="P89" s="115">
        <v>1.5664951737852797</v>
      </c>
      <c r="Q89" s="111">
        <v>1.5843080075348299</v>
      </c>
      <c r="R89" s="68">
        <v>1.5664951737852797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0.92569983547504842</v>
      </c>
      <c r="M90" s="115">
        <v>1.3778823436670855</v>
      </c>
      <c r="N90" s="115">
        <v>24.291377836569456</v>
      </c>
      <c r="O90" s="115">
        <v>0.9847045597777685</v>
      </c>
      <c r="P90" s="115">
        <v>1.0701406334805232</v>
      </c>
      <c r="Q90" s="111">
        <v>0.98470455977776861</v>
      </c>
      <c r="R90" s="68">
        <v>1.0701406334805232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3.6016262284296378E-3</v>
      </c>
      <c r="M91" s="115">
        <v>45.961501532480639</v>
      </c>
      <c r="N91" s="115">
        <v>1957.5681599407892</v>
      </c>
      <c r="O91" s="115">
        <v>13.938306684616721</v>
      </c>
      <c r="P91" s="115">
        <v>8.6869484104324055</v>
      </c>
      <c r="Q91" s="111">
        <v>13.938306684616723</v>
      </c>
      <c r="R91" s="68">
        <v>8.6869484104324055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0.21620012302629432</v>
      </c>
      <c r="M92" s="115">
        <v>13.671886799128707</v>
      </c>
      <c r="N92" s="115">
        <v>567.11722160338536</v>
      </c>
      <c r="O92" s="115">
        <v>5.8926217935651373</v>
      </c>
      <c r="P92" s="115">
        <v>5.6019940214651731</v>
      </c>
      <c r="Q92" s="111">
        <v>5.8926217935651373</v>
      </c>
      <c r="R92" s="68">
        <v>5.6019940214651731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4.3773052273115808E-2</v>
      </c>
      <c r="M93" s="115">
        <v>16.893840652222664</v>
      </c>
      <c r="N93" s="115">
        <v>711.96199818448531</v>
      </c>
      <c r="O93" s="115">
        <v>7.5513971124559216</v>
      </c>
      <c r="P93" s="115">
        <v>7.5034395368513911</v>
      </c>
      <c r="Q93" s="111">
        <v>7.5513971124559225</v>
      </c>
      <c r="R93" s="68">
        <v>7.5034395368513911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0.89369678449845236</v>
      </c>
      <c r="M94" s="115">
        <v>0.97879265852405173</v>
      </c>
      <c r="N94" s="115">
        <v>11.877002537862454</v>
      </c>
      <c r="O94" s="115">
        <v>1.2472682296189082</v>
      </c>
      <c r="P94" s="115">
        <v>1.735040549362769</v>
      </c>
      <c r="Q94" s="111">
        <v>1.2472682296189084</v>
      </c>
      <c r="R94" s="68">
        <v>1.735040549362769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8.4396707698420528E-3</v>
      </c>
      <c r="M95" s="115">
        <v>23.087595446451395</v>
      </c>
      <c r="N95" s="115">
        <v>979.48001232370393</v>
      </c>
      <c r="O95" s="115">
        <v>9.1463720381775637</v>
      </c>
      <c r="P95" s="115">
        <v>8.2010659761819849</v>
      </c>
      <c r="Q95" s="111">
        <v>9.1463720381775637</v>
      </c>
      <c r="R95" s="68">
        <v>8.2010659761819849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0.98284219127508532</v>
      </c>
      <c r="M96" s="115">
        <v>0.88910460407712055</v>
      </c>
      <c r="N96" s="115">
        <v>1.8385763089145022</v>
      </c>
      <c r="O96" s="115">
        <v>0.82777009129790646</v>
      </c>
      <c r="P96" s="115">
        <v>0.95577014160854745</v>
      </c>
      <c r="Q96" s="111">
        <v>0.82777009129790646</v>
      </c>
      <c r="R96" s="68">
        <v>0.95577014160854756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0.96460410518542783</v>
      </c>
      <c r="M97" s="115">
        <v>1.0032570543756851</v>
      </c>
      <c r="N97" s="115">
        <v>7.2527682557012758</v>
      </c>
      <c r="O97" s="115">
        <v>0.86085178973336796</v>
      </c>
      <c r="P97" s="115">
        <v>0.97693559849418576</v>
      </c>
      <c r="Q97" s="111">
        <v>0.86085178973336807</v>
      </c>
      <c r="R97" s="68">
        <v>0.97693559849418588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1.9980930138772723E-2</v>
      </c>
      <c r="M98" s="115">
        <v>17.02954355548885</v>
      </c>
      <c r="N98" s="115">
        <v>719.93998162999094</v>
      </c>
      <c r="O98" s="115">
        <v>7.7825676125613379</v>
      </c>
      <c r="P98" s="115">
        <v>7.8967808997628675</v>
      </c>
      <c r="Q98" s="111">
        <v>7.7825676125613388</v>
      </c>
      <c r="R98" s="68">
        <v>7.8967808997628675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0.9931650750467117</v>
      </c>
      <c r="M99" s="115">
        <v>0.85806148672754767</v>
      </c>
      <c r="N99" s="115">
        <v>0.17912246214660116</v>
      </c>
      <c r="O99" s="115">
        <v>0.82196292127349391</v>
      </c>
      <c r="P99" s="115">
        <v>0.95472209854064138</v>
      </c>
      <c r="Q99" s="111">
        <v>0.82196292127349391</v>
      </c>
      <c r="R99" s="68">
        <v>0.95472209854064138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0.50657191394833223</v>
      </c>
      <c r="M100" s="115">
        <v>8.0467213075153339</v>
      </c>
      <c r="N100" s="115">
        <v>319.02725477670941</v>
      </c>
      <c r="O100" s="115">
        <v>3.526242719362914</v>
      </c>
      <c r="P100" s="115">
        <v>3.3039514558626522</v>
      </c>
      <c r="Q100" s="111">
        <v>3.526242719362914</v>
      </c>
      <c r="R100" s="68">
        <v>3.3039514558626522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0.99060992844263429</v>
      </c>
      <c r="M101" s="115">
        <v>0.86252773707501451</v>
      </c>
      <c r="N101" s="115">
        <v>0.4554165818813537</v>
      </c>
      <c r="O101" s="115">
        <v>0.82220004931394353</v>
      </c>
      <c r="P101" s="115">
        <v>0.95400712537133614</v>
      </c>
      <c r="Q101" s="111">
        <v>0.82220004931394353</v>
      </c>
      <c r="R101" s="68">
        <v>0.95400712537133614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0.99527394857425067</v>
      </c>
      <c r="M102" s="115">
        <v>0.85646929176374431</v>
      </c>
      <c r="N102" s="115">
        <v>3.8328584348061551E-2</v>
      </c>
      <c r="O102" s="115">
        <v>0.82252682189560056</v>
      </c>
      <c r="P102" s="115">
        <v>0.95590342308365006</v>
      </c>
      <c r="Q102" s="111">
        <v>0.82252682189560056</v>
      </c>
      <c r="R102" s="68">
        <v>0.95590342308365006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0.99328351649488533</v>
      </c>
      <c r="M103" s="115">
        <v>0.85791805894650885</v>
      </c>
      <c r="N103" s="115">
        <v>0.16896730199263052</v>
      </c>
      <c r="O103" s="115">
        <v>0.82197516211178023</v>
      </c>
      <c r="P103" s="115">
        <v>0.95477352233301449</v>
      </c>
      <c r="Q103" s="111">
        <v>0.82197516211178034</v>
      </c>
      <c r="R103" s="68">
        <v>0.95477352233301449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0.97471831190577995</v>
      </c>
      <c r="M104" s="115">
        <v>0.93265445327091945</v>
      </c>
      <c r="N104" s="115">
        <v>3.9446178340353195</v>
      </c>
      <c r="O104" s="115">
        <v>0.83963088686302134</v>
      </c>
      <c r="P104" s="115">
        <v>0.96269372862981495</v>
      </c>
      <c r="Q104" s="111">
        <v>0.83963088686302134</v>
      </c>
      <c r="R104" s="68">
        <v>0.96269372862981495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0.99496716233747795</v>
      </c>
      <c r="M105" s="115">
        <v>0.85656513713262727</v>
      </c>
      <c r="N105" s="115">
        <v>5.3165227014262906E-2</v>
      </c>
      <c r="O105" s="115">
        <v>0.82239630573145184</v>
      </c>
      <c r="P105" s="115">
        <v>0.95569479667386836</v>
      </c>
      <c r="Q105" s="111">
        <v>0.82239630573145195</v>
      </c>
      <c r="R105" s="68">
        <v>0.95569479667386847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0.90022939863900864</v>
      </c>
      <c r="M106" s="115">
        <v>1.6766491516758446</v>
      </c>
      <c r="N106" s="115">
        <v>37.687138497596472</v>
      </c>
      <c r="O106" s="115">
        <v>1.0886211445980294</v>
      </c>
      <c r="P106" s="115">
        <v>1.1528287837596891</v>
      </c>
      <c r="Q106" s="111">
        <v>1.0886211445980294</v>
      </c>
      <c r="R106" s="68">
        <v>1.1528287837596893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1.470192551513054E-2</v>
      </c>
      <c r="M107" s="115">
        <v>16.967015032794151</v>
      </c>
      <c r="N107" s="115">
        <v>718.01219947939012</v>
      </c>
      <c r="O107" s="115">
        <v>7.8237175275365125</v>
      </c>
      <c r="P107" s="115">
        <v>8.0024151208645975</v>
      </c>
      <c r="Q107" s="111">
        <v>7.8237175275365125</v>
      </c>
      <c r="R107" s="68">
        <v>8.0024151208645975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0.57765187809179497</v>
      </c>
      <c r="M108" s="115">
        <v>6.7569167690137331</v>
      </c>
      <c r="N108" s="115">
        <v>262.22386397006784</v>
      </c>
      <c r="O108" s="115">
        <v>3.0124812823836598</v>
      </c>
      <c r="P108" s="115">
        <v>2.831583355618315</v>
      </c>
      <c r="Q108" s="111">
        <v>3.0124812823836598</v>
      </c>
      <c r="R108" s="68">
        <v>2.831583355618315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7.62E-3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1.7780000000000001E-2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0.115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5.1999999999999998E-2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5.1999999999999998E-2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3.4666666666666667E-4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8.8053333333333319E-6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1.5250215255568092E-5</v>
      </c>
      <c r="J2" s="67" t="s">
        <v>231</v>
      </c>
      <c r="K2" s="68">
        <v>2.1552554770847892E-3</v>
      </c>
      <c r="L2" s="67" t="s">
        <v>231</v>
      </c>
      <c r="M2" s="68">
        <v>5.9019667738295221E-2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1.0449876837866506E-3</v>
      </c>
      <c r="J3" s="67" t="s">
        <v>231</v>
      </c>
      <c r="K3" s="68">
        <v>8.735587507411266E-2</v>
      </c>
      <c r="L3" s="67" t="s">
        <v>231</v>
      </c>
      <c r="M3" s="68">
        <v>3.7411540744715297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2.1643693085464802E-3</v>
      </c>
      <c r="J4" s="67" t="s">
        <v>231</v>
      </c>
      <c r="K4" s="68">
        <v>9.3103168620332927E-3</v>
      </c>
      <c r="L4" s="67" t="s">
        <v>231</v>
      </c>
      <c r="M4" s="68">
        <v>0.37467605594060804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1.6510104948359843E-3</v>
      </c>
      <c r="J5" s="67" t="s">
        <v>231</v>
      </c>
      <c r="K5" s="68">
        <v>2.6207650470651017E-2</v>
      </c>
      <c r="L5" s="67" t="s">
        <v>231</v>
      </c>
      <c r="M5" s="68">
        <v>1.1126113378815923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2.8165938705809832E-3</v>
      </c>
      <c r="J6" s="67" t="s">
        <v>231</v>
      </c>
      <c r="K6" s="68">
        <v>0.10086473025358135</v>
      </c>
      <c r="L6" s="67" t="s">
        <v>231</v>
      </c>
      <c r="M6" s="68">
        <v>4.3293420479042428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4.1467452823820163E-4</v>
      </c>
      <c r="J7" s="67" t="s">
        <v>231</v>
      </c>
      <c r="K7" s="68">
        <v>8.9776834375244044E-2</v>
      </c>
      <c r="L7" s="67" t="s">
        <v>231</v>
      </c>
      <c r="M7" s="68">
        <v>3.8460961295168512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8.1035089728352118E-4</v>
      </c>
      <c r="J8" s="67" t="s">
        <v>231</v>
      </c>
      <c r="K8" s="68">
        <v>7.2357291587600819E-2</v>
      </c>
      <c r="L8" s="67" t="s">
        <v>231</v>
      </c>
      <c r="M8" s="68">
        <v>3.0923516964064444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2.4935593908459902E-4</v>
      </c>
      <c r="J9" s="67" t="s">
        <v>231</v>
      </c>
      <c r="K9" s="68">
        <v>1.6533522164950531E-2</v>
      </c>
      <c r="L9" s="67" t="s">
        <v>231</v>
      </c>
      <c r="M9" s="68">
        <v>0.6950680153402623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9.9387058106867256E-4</v>
      </c>
      <c r="J10" s="67" t="s">
        <v>231</v>
      </c>
      <c r="K10" s="68">
        <v>2.8036713914762656E-2</v>
      </c>
      <c r="L10" s="67" t="s">
        <v>231</v>
      </c>
      <c r="M10" s="68">
        <v>1.1906992449801832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2.4473514729895027E-4</v>
      </c>
      <c r="J11" s="67" t="s">
        <v>231</v>
      </c>
      <c r="K11" s="68">
        <v>3.1270147362227649E-2</v>
      </c>
      <c r="L11" s="67" t="s">
        <v>231</v>
      </c>
      <c r="M11" s="68">
        <v>1.3288215251621154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5.2346736089963701E-4</v>
      </c>
      <c r="J12" s="67" t="s">
        <v>231</v>
      </c>
      <c r="K12" s="68">
        <v>1.6907641160912552E-2</v>
      </c>
      <c r="L12" s="67" t="s">
        <v>231</v>
      </c>
      <c r="M12" s="68">
        <v>0.71262053136264147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1.1595407523761616E-2</v>
      </c>
      <c r="J13" s="67" t="s">
        <v>232</v>
      </c>
      <c r="K13" s="68">
        <v>1.6580778762081506E-2</v>
      </c>
      <c r="L13" s="67" t="s">
        <v>231</v>
      </c>
      <c r="M13" s="68">
        <v>0.69724635183959893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2.3341627856025629E-3</v>
      </c>
      <c r="J14" s="67" t="s">
        <v>231</v>
      </c>
      <c r="K14" s="68">
        <v>4.271066031608925E-2</v>
      </c>
      <c r="L14" s="67" t="s">
        <v>231</v>
      </c>
      <c r="M14" s="68">
        <v>1.8182773548189455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1.1733923754345145E-3</v>
      </c>
      <c r="J15" s="67" t="s">
        <v>231</v>
      </c>
      <c r="K15" s="68">
        <v>2.9624851356678611E-2</v>
      </c>
      <c r="L15" s="67" t="s">
        <v>231</v>
      </c>
      <c r="M15" s="68">
        <v>1.2585272776589482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8.5281239447052655E-4</v>
      </c>
      <c r="J16" s="67" t="s">
        <v>231</v>
      </c>
      <c r="K16" s="68">
        <v>7.1484740752938022E-2</v>
      </c>
      <c r="L16" s="67" t="s">
        <v>231</v>
      </c>
      <c r="M16" s="68">
        <v>3.0547235196760334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6.9559181391452309E-4</v>
      </c>
      <c r="J17" s="67" t="s">
        <v>231</v>
      </c>
      <c r="K17" s="68">
        <v>2.6808756293949649E-2</v>
      </c>
      <c r="L17" s="67" t="s">
        <v>231</v>
      </c>
      <c r="M17" s="68">
        <v>1.1382705070221499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1.8735723221520912E-3</v>
      </c>
      <c r="J18" s="67" t="s">
        <v>231</v>
      </c>
      <c r="K18" s="68">
        <v>1.6237227182133739E-2</v>
      </c>
      <c r="L18" s="67" t="s">
        <v>231</v>
      </c>
      <c r="M18" s="68">
        <v>0.68169923454644554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7.1341970522109015E-3</v>
      </c>
      <c r="J19" s="67" t="s">
        <v>231</v>
      </c>
      <c r="K19" s="68">
        <v>2.9949609041148101E-2</v>
      </c>
      <c r="L19" s="67" t="s">
        <v>231</v>
      </c>
      <c r="M19" s="68">
        <v>1.2724002861717854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1.1998132880847363E-3</v>
      </c>
      <c r="J20" s="67" t="s">
        <v>231</v>
      </c>
      <c r="K20" s="68">
        <v>1.6582752070038505E-2</v>
      </c>
      <c r="L20" s="67" t="s">
        <v>231</v>
      </c>
      <c r="M20" s="68">
        <v>0.69732933236746297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3.3675826276211148E-3</v>
      </c>
      <c r="J21" s="67" t="s">
        <v>231</v>
      </c>
      <c r="K21" s="68">
        <v>3.9174670047307514E-2</v>
      </c>
      <c r="L21" s="67" t="s">
        <v>231</v>
      </c>
      <c r="M21" s="68">
        <v>1.6668775556067648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1.0348767207468852E-4</v>
      </c>
      <c r="J22" s="67" t="s">
        <v>231</v>
      </c>
      <c r="K22" s="68">
        <v>5.0538101589586602E-3</v>
      </c>
      <c r="L22" s="67" t="s">
        <v>231</v>
      </c>
      <c r="M22" s="68">
        <v>0.18724119661168373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3.3484702345338707E-5</v>
      </c>
      <c r="J23" s="67" t="s">
        <v>231</v>
      </c>
      <c r="K23" s="68">
        <v>2.8709741097038429E-3</v>
      </c>
      <c r="L23" s="67" t="s">
        <v>231</v>
      </c>
      <c r="M23" s="68">
        <v>9.0770112332957023E-2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9.9211469899343756E-5</v>
      </c>
      <c r="J24" s="67" t="s">
        <v>231</v>
      </c>
      <c r="K24" s="68">
        <v>1.3746210301845297E-2</v>
      </c>
      <c r="L24" s="67" t="s">
        <v>231</v>
      </c>
      <c r="M24" s="68">
        <v>0.5704107579832054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4.4254386856406436E-4</v>
      </c>
      <c r="J25" s="67" t="s">
        <v>231</v>
      </c>
      <c r="K25" s="68">
        <v>1.6848720786585891E-2</v>
      </c>
      <c r="L25" s="67" t="s">
        <v>231</v>
      </c>
      <c r="M25" s="68">
        <v>0.71194632721260853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8.9115884966532429E-4</v>
      </c>
      <c r="J26" s="67" t="s">
        <v>231</v>
      </c>
      <c r="K26" s="68">
        <v>3.69161116331077E-2</v>
      </c>
      <c r="L26" s="67" t="s">
        <v>231</v>
      </c>
      <c r="M26" s="68">
        <v>1.5702281071737687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5.7476089256142939E-4</v>
      </c>
      <c r="J27" s="67" t="s">
        <v>231</v>
      </c>
      <c r="K27" s="68">
        <v>8.557286842546416E-2</v>
      </c>
      <c r="L27" s="67" t="s">
        <v>231</v>
      </c>
      <c r="M27" s="68">
        <v>3.6637916259170065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3.1505075489013612E-4</v>
      </c>
      <c r="J28" s="67" t="s">
        <v>231</v>
      </c>
      <c r="K28" s="68">
        <v>5.4012966997638905E-2</v>
      </c>
      <c r="L28" s="67" t="s">
        <v>231</v>
      </c>
      <c r="M28" s="68">
        <v>2.3029691789444229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1.9475032929647945E-4</v>
      </c>
      <c r="J29" s="67" t="s">
        <v>231</v>
      </c>
      <c r="K29" s="68">
        <v>4.0581136597078592E-2</v>
      </c>
      <c r="L29" s="67" t="s">
        <v>231</v>
      </c>
      <c r="M29" s="68">
        <v>1.7273212392589163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3.1505075489013612E-4</v>
      </c>
      <c r="J30" s="67" t="s">
        <v>231</v>
      </c>
      <c r="K30" s="68">
        <v>5.4012966997638905E-2</v>
      </c>
      <c r="L30" s="67" t="s">
        <v>231</v>
      </c>
      <c r="M30" s="68">
        <v>2.3029691789444229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8.2442738149323526E-8</v>
      </c>
      <c r="J31" s="67" t="s">
        <v>231</v>
      </c>
      <c r="K31" s="68">
        <v>8.7556760898599483E-4</v>
      </c>
      <c r="L31" s="67" t="s">
        <v>231</v>
      </c>
      <c r="M31" s="68">
        <v>1.1556002560273683E-3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1.0331274114875036E-5</v>
      </c>
      <c r="J32" s="67" t="s">
        <v>231</v>
      </c>
      <c r="K32" s="68">
        <v>7.6446475008535375E-3</v>
      </c>
      <c r="L32" s="67" t="s">
        <v>231</v>
      </c>
      <c r="M32" s="68">
        <v>0.29791785909662066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8.1318323752796913E-8</v>
      </c>
      <c r="J33" s="67" t="s">
        <v>231</v>
      </c>
      <c r="K33" s="68">
        <v>8.6379174337599936E-4</v>
      </c>
      <c r="L33" s="67" t="s">
        <v>231</v>
      </c>
      <c r="M33" s="68">
        <v>5.9120396268506523E-4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1.9354311773235668E-10</v>
      </c>
      <c r="J34" s="67" t="s">
        <v>231</v>
      </c>
      <c r="K34" s="68">
        <v>1.2724072794372873E-3</v>
      </c>
      <c r="L34" s="67" t="s">
        <v>231</v>
      </c>
      <c r="M34" s="68">
        <v>4.5006962769392325E-2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1.9751098069088608E-7</v>
      </c>
      <c r="J35" s="67" t="s">
        <v>231</v>
      </c>
      <c r="K35" s="68">
        <v>1.4168894006771607E-3</v>
      </c>
      <c r="L35" s="67" t="s">
        <v>231</v>
      </c>
      <c r="M35" s="68">
        <v>6.3694668666159526E-2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1.7999115274672432E-7</v>
      </c>
      <c r="J36" s="67" t="s">
        <v>231</v>
      </c>
      <c r="K36" s="68">
        <v>1.4797534416273186E-3</v>
      </c>
      <c r="L36" s="67" t="s">
        <v>231</v>
      </c>
      <c r="M36" s="68">
        <v>7.7398679023571587E-2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2.0158331016580399E-6</v>
      </c>
      <c r="J37" s="67" t="s">
        <v>231</v>
      </c>
      <c r="K37" s="68">
        <v>4.1870061030713076E-3</v>
      </c>
      <c r="L37" s="67" t="s">
        <v>231</v>
      </c>
      <c r="M37" s="68">
        <v>0.18219529938883619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1.0530688944012551E-6</v>
      </c>
      <c r="J38" s="67" t="s">
        <v>231</v>
      </c>
      <c r="K38" s="68">
        <v>1.2546311399050398E-3</v>
      </c>
      <c r="L38" s="67" t="s">
        <v>231</v>
      </c>
      <c r="M38" s="68">
        <v>4.0340204407202998E-2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2.2302851654347469E-4</v>
      </c>
      <c r="J39" s="67" t="s">
        <v>231</v>
      </c>
      <c r="K39" s="68">
        <v>1.7270316685714687E-2</v>
      </c>
      <c r="L39" s="67" t="s">
        <v>231</v>
      </c>
      <c r="M39" s="68">
        <v>0.73152517724057764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7.9928982554412322E-10</v>
      </c>
      <c r="J40" s="67" t="s">
        <v>231</v>
      </c>
      <c r="K40" s="68">
        <v>9.9820289263518408E-2</v>
      </c>
      <c r="L40" s="67" t="s">
        <v>231</v>
      </c>
      <c r="M40" s="68">
        <v>5.4902410849600676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2.6794364407734452E-8</v>
      </c>
      <c r="J41" s="67" t="s">
        <v>231</v>
      </c>
      <c r="K41" s="68">
        <v>8.0105874343683011E-4</v>
      </c>
      <c r="L41" s="67" t="s">
        <v>231</v>
      </c>
      <c r="M41" s="68">
        <v>6.5801945593136767E-5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1.1412154553125963E-3</v>
      </c>
      <c r="J42" s="67" t="s">
        <v>231</v>
      </c>
      <c r="K42" s="68">
        <v>5.7477262050066253E-3</v>
      </c>
      <c r="L42" s="67" t="s">
        <v>231</v>
      </c>
      <c r="M42" s="68">
        <v>0.21776324740441261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4.70603562304425E-9</v>
      </c>
      <c r="J43" s="67" t="s">
        <v>231</v>
      </c>
      <c r="K43" s="68">
        <v>2.9644671761985459E-3</v>
      </c>
      <c r="L43" s="67" t="s">
        <v>231</v>
      </c>
      <c r="M43" s="68">
        <v>0.1644967573563775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1.1746215002548326E-6</v>
      </c>
      <c r="J44" s="67" t="s">
        <v>231</v>
      </c>
      <c r="K44" s="68">
        <v>1.4892252907204766E-3</v>
      </c>
      <c r="L44" s="67" t="s">
        <v>231</v>
      </c>
      <c r="M44" s="68">
        <v>3.2025503789157771E-2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1.0069340304461271E-4</v>
      </c>
      <c r="J45" s="67" t="s">
        <v>231</v>
      </c>
      <c r="K45" s="68">
        <v>6.4051686800856347E-3</v>
      </c>
      <c r="L45" s="67" t="s">
        <v>231</v>
      </c>
      <c r="M45" s="68">
        <v>0.24675202665613941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2.2555566849115316E-6</v>
      </c>
      <c r="J46" s="67" t="s">
        <v>231</v>
      </c>
      <c r="K46" s="68">
        <v>5.9789112009973463E-3</v>
      </c>
      <c r="L46" s="67" t="s">
        <v>231</v>
      </c>
      <c r="M46" s="68">
        <v>0.22801724455536457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2.6503457362024121E-3</v>
      </c>
      <c r="J47" s="142" t="s">
        <v>231</v>
      </c>
      <c r="K47" s="143">
        <v>8.7608381641112162E-2</v>
      </c>
      <c r="L47" s="142" t="s">
        <v>231</v>
      </c>
      <c r="M47" s="143">
        <v>3.7519680691932304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1.8942849475215535E-6</v>
      </c>
      <c r="J48" s="142" t="s">
        <v>231</v>
      </c>
      <c r="K48" s="143">
        <v>1.0701278247490155E-3</v>
      </c>
      <c r="L48" s="142" t="s">
        <v>231</v>
      </c>
      <c r="M48" s="143">
        <v>1.0707771686991838E-2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5.3711094774734081E-6</v>
      </c>
      <c r="J49" s="142" t="s">
        <v>231</v>
      </c>
      <c r="K49" s="143">
        <v>1.2377629041635625E-3</v>
      </c>
      <c r="L49" s="142" t="s">
        <v>231</v>
      </c>
      <c r="M49" s="143">
        <v>1.866201244626392E-2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8.2623470892134647E-6</v>
      </c>
      <c r="J50" s="142" t="s">
        <v>231</v>
      </c>
      <c r="K50" s="143">
        <v>1.6087248028635349E-2</v>
      </c>
      <c r="L50" s="142" t="s">
        <v>231</v>
      </c>
      <c r="M50" s="143">
        <v>0.67507395267793879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4.1543534600118768E-8</v>
      </c>
      <c r="J51" s="142" t="s">
        <v>231</v>
      </c>
      <c r="K51" s="143">
        <v>8.4572448700410985E-4</v>
      </c>
      <c r="L51" s="142" t="s">
        <v>231</v>
      </c>
      <c r="M51" s="143">
        <v>1.9110617514307841E-3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1.2095258623877444E-5</v>
      </c>
      <c r="J52" s="142" t="s">
        <v>231</v>
      </c>
      <c r="K52" s="143">
        <v>1.9996110294475313E-3</v>
      </c>
      <c r="L52" s="142" t="s">
        <v>231</v>
      </c>
      <c r="M52" s="143">
        <v>5.4314688308335073E-2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1.9164451432020213E-4</v>
      </c>
      <c r="J53" s="142" t="s">
        <v>231</v>
      </c>
      <c r="K53" s="143">
        <v>8.7059903928206912E-3</v>
      </c>
      <c r="L53" s="142" t="s">
        <v>231</v>
      </c>
      <c r="M53" s="143">
        <v>0.34812702121923378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9.0826655165506757E-4</v>
      </c>
      <c r="J54" s="67" t="s">
        <v>231</v>
      </c>
      <c r="K54" s="68">
        <v>8.0665031201008361E-2</v>
      </c>
      <c r="L54" s="67" t="s">
        <v>231</v>
      </c>
      <c r="M54" s="68">
        <v>3.4512021144628666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2.0880066839008257E-4</v>
      </c>
      <c r="J55" s="67" t="s">
        <v>231</v>
      </c>
      <c r="K55" s="68">
        <v>1.2391741425558909E-2</v>
      </c>
      <c r="L55" s="67" t="s">
        <v>231</v>
      </c>
      <c r="M55" s="68">
        <v>0.51527221621127928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6.1785438523791626E-5</v>
      </c>
      <c r="J56" s="67" t="s">
        <v>231</v>
      </c>
      <c r="K56" s="68">
        <v>7.2432900645538773E-3</v>
      </c>
      <c r="L56" s="67" t="s">
        <v>231</v>
      </c>
      <c r="M56" s="68">
        <v>0.30518903639766781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3.023697192743884E-5</v>
      </c>
      <c r="J57" s="67" t="s">
        <v>231</v>
      </c>
      <c r="K57" s="68">
        <v>3.7055139380862672E-3</v>
      </c>
      <c r="L57" s="67" t="s">
        <v>231</v>
      </c>
      <c r="M57" s="68">
        <v>0.1546627548808385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3.2782568205612107E-7</v>
      </c>
      <c r="J58" s="67" t="s">
        <v>231</v>
      </c>
      <c r="K58" s="68">
        <v>1.1060030374024263E-4</v>
      </c>
      <c r="L58" s="67" t="s">
        <v>231</v>
      </c>
      <c r="M58" s="68">
        <v>1.9235602991909226E-3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7.3402362432623904E-6</v>
      </c>
      <c r="J59" s="67" t="s">
        <v>231</v>
      </c>
      <c r="K59" s="68">
        <v>1.438053084622406E-3</v>
      </c>
      <c r="L59" s="67" t="s">
        <v>231</v>
      </c>
      <c r="M59" s="68">
        <v>5.997487315932027E-2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1.1533393666798316E-7</v>
      </c>
      <c r="J60" s="67" t="s">
        <v>231</v>
      </c>
      <c r="K60" s="68">
        <v>2.5309663946599493E-5</v>
      </c>
      <c r="L60" s="67" t="s">
        <v>231</v>
      </c>
      <c r="M60" s="68">
        <v>1.0425166919065525E-3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4.1748398361529007E-2</v>
      </c>
      <c r="J61" s="67" t="s">
        <v>232</v>
      </c>
      <c r="K61" s="68">
        <v>1.0970984786488757E-2</v>
      </c>
      <c r="L61" s="67" t="s">
        <v>231</v>
      </c>
      <c r="M61" s="68">
        <v>0.44784802557270903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4.0337166177206473E-5</v>
      </c>
      <c r="J62" s="67" t="s">
        <v>231</v>
      </c>
      <c r="K62" s="68">
        <v>4.1916864620207168E-2</v>
      </c>
      <c r="L62" s="67" t="s">
        <v>231</v>
      </c>
      <c r="M62" s="68">
        <v>1.7842787358681551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2.7328187025473937E-4</v>
      </c>
      <c r="J63" s="67" t="s">
        <v>231</v>
      </c>
      <c r="K63" s="68">
        <v>9.797572013790691E-2</v>
      </c>
      <c r="L63" s="67" t="s">
        <v>231</v>
      </c>
      <c r="M63" s="68">
        <v>4.2030586811001021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1.9548708633784694E-4</v>
      </c>
      <c r="J64" s="67" t="s">
        <v>231</v>
      </c>
      <c r="K64" s="68">
        <v>0.11046031960820658</v>
      </c>
      <c r="L64" s="67" t="s">
        <v>231</v>
      </c>
      <c r="M64" s="68">
        <v>4.7517097223226941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2.9662625896932957E-4</v>
      </c>
      <c r="J65" s="67" t="s">
        <v>231</v>
      </c>
      <c r="K65" s="68">
        <v>0.11903305401897545</v>
      </c>
      <c r="L65" s="67" t="s">
        <v>231</v>
      </c>
      <c r="M65" s="68">
        <v>5.1363928453893495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1.1749119320412533E-6</v>
      </c>
      <c r="J66" s="67" t="s">
        <v>231</v>
      </c>
      <c r="K66" s="68">
        <v>0.11475611889574409</v>
      </c>
      <c r="L66" s="67" t="s">
        <v>231</v>
      </c>
      <c r="M66" s="68">
        <v>4.9431276848152139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4.0839009326606822E-4</v>
      </c>
      <c r="J67" s="67" t="s">
        <v>231</v>
      </c>
      <c r="K67" s="68">
        <v>1.7459833432252657E-3</v>
      </c>
      <c r="L67" s="67" t="s">
        <v>231</v>
      </c>
      <c r="M67" s="68">
        <v>4.0932375451017335E-2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1.6716219753956687E-4</v>
      </c>
      <c r="J68" s="67" t="s">
        <v>231</v>
      </c>
      <c r="K68" s="68">
        <v>2.4075290439815951E-3</v>
      </c>
      <c r="L68" s="67" t="s">
        <v>231</v>
      </c>
      <c r="M68" s="68">
        <v>7.054360641687879E-2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2.2008675424857657E-7</v>
      </c>
      <c r="J69" s="67" t="s">
        <v>231</v>
      </c>
      <c r="K69" s="68">
        <v>7.0144684780943392E-2</v>
      </c>
      <c r="L69" s="67" t="s">
        <v>231</v>
      </c>
      <c r="M69" s="68">
        <v>2.9969620549803455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2.4419379541315876E-4</v>
      </c>
      <c r="J70" s="67" t="s">
        <v>231</v>
      </c>
      <c r="K70" s="68">
        <v>1.6985666721604939E-2</v>
      </c>
      <c r="L70" s="67" t="s">
        <v>231</v>
      </c>
      <c r="M70" s="68">
        <v>0.71717365971395419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3.1192756820137786E-4</v>
      </c>
      <c r="J71" s="67" t="s">
        <v>231</v>
      </c>
      <c r="K71" s="68">
        <v>2.2521887840952024E-3</v>
      </c>
      <c r="L71" s="67" t="s">
        <v>231</v>
      </c>
      <c r="M71" s="68">
        <v>6.4112524022276046E-2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1.48908950246045E-6</v>
      </c>
      <c r="J72" s="67" t="s">
        <v>231</v>
      </c>
      <c r="K72" s="68">
        <v>1.6806613243111338E-2</v>
      </c>
      <c r="L72" s="67" t="s">
        <v>231</v>
      </c>
      <c r="M72" s="68">
        <v>0.70915275311130277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6.0371611008572411E-3</v>
      </c>
      <c r="J73" s="67" t="s">
        <v>231</v>
      </c>
      <c r="K73" s="68">
        <v>1.1302115144980382E-2</v>
      </c>
      <c r="L73" s="67" t="s">
        <v>231</v>
      </c>
      <c r="M73" s="68">
        <v>0.4628978817531938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5.1279084452326783E-2</v>
      </c>
      <c r="J74" s="67" t="s">
        <v>232</v>
      </c>
      <c r="K74" s="68">
        <v>1.6954036105028911E-2</v>
      </c>
      <c r="L74" s="67" t="s">
        <v>231</v>
      </c>
      <c r="M74" s="68">
        <v>0.71570828516571861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2.2682323189877512E-13</v>
      </c>
      <c r="J75" s="67" t="s">
        <v>231</v>
      </c>
      <c r="K75" s="68">
        <v>9.7895743234887658E-3</v>
      </c>
      <c r="L75" s="67" t="s">
        <v>231</v>
      </c>
      <c r="M75" s="68">
        <v>0.54846738493610536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1.247863472790666E-13</v>
      </c>
      <c r="J76" s="67" t="s">
        <v>231</v>
      </c>
      <c r="K76" s="68">
        <v>9.7895743275631022E-3</v>
      </c>
      <c r="L76" s="67" t="s">
        <v>231</v>
      </c>
      <c r="M76" s="68">
        <v>0.54846738516437266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2.9630354373767037E-7</v>
      </c>
      <c r="J77" s="67" t="s">
        <v>231</v>
      </c>
      <c r="K77" s="68">
        <v>1.5190356212464827E-2</v>
      </c>
      <c r="L77" s="67" t="s">
        <v>231</v>
      </c>
      <c r="M77" s="68">
        <v>0.6355133602106815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1.0966012078042495E-3</v>
      </c>
      <c r="J78" s="67" t="s">
        <v>231</v>
      </c>
      <c r="K78" s="68">
        <v>5.26566580318463E-3</v>
      </c>
      <c r="L78" s="67" t="s">
        <v>231</v>
      </c>
      <c r="M78" s="68">
        <v>0.1976275114408817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2.0771833945044312E-5</v>
      </c>
      <c r="J79" s="67" t="s">
        <v>231</v>
      </c>
      <c r="K79" s="68">
        <v>8.8510308143379922E-3</v>
      </c>
      <c r="L79" s="67" t="s">
        <v>231</v>
      </c>
      <c r="M79" s="68">
        <v>0.35471264161539529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1.3462805303555368E-14</v>
      </c>
      <c r="J80" s="67" t="s">
        <v>231</v>
      </c>
      <c r="K80" s="68">
        <v>1.895457072018621E-2</v>
      </c>
      <c r="L80" s="67" t="s">
        <v>231</v>
      </c>
      <c r="M80" s="68">
        <v>1.0622161378591728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2.2414200576978765E-5</v>
      </c>
      <c r="J81" s="67" t="s">
        <v>231</v>
      </c>
      <c r="K81" s="68">
        <v>8.8662096747708387E-4</v>
      </c>
      <c r="L81" s="67" t="s">
        <v>231</v>
      </c>
      <c r="M81" s="68">
        <v>1.7149838095015697E-3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3.7999455032460503E-5</v>
      </c>
      <c r="J82" s="67" t="s">
        <v>231</v>
      </c>
      <c r="K82" s="68">
        <v>2.7905599959856002E-3</v>
      </c>
      <c r="L82" s="67" t="s">
        <v>231</v>
      </c>
      <c r="M82" s="68">
        <v>8.7208395007550801E-2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3.3164634825289527E-5</v>
      </c>
      <c r="J83" s="67" t="s">
        <v>231</v>
      </c>
      <c r="K83" s="68">
        <v>1.4939139410118834E-2</v>
      </c>
      <c r="L83" s="67" t="s">
        <v>231</v>
      </c>
      <c r="M83" s="68">
        <v>0.62337681016038027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6.2907050858381055E-6</v>
      </c>
      <c r="J84" s="67" t="s">
        <v>231</v>
      </c>
      <c r="K84" s="68">
        <v>9.9971884298716805E-4</v>
      </c>
      <c r="L84" s="67" t="s">
        <v>231</v>
      </c>
      <c r="M84" s="68">
        <v>7.0886040701451684E-3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3.3325266954370935E-8</v>
      </c>
      <c r="J85" s="67" t="s">
        <v>231</v>
      </c>
      <c r="K85" s="68">
        <v>8.607046293962337E-4</v>
      </c>
      <c r="L85" s="67" t="s">
        <v>231</v>
      </c>
      <c r="M85" s="68">
        <v>3.4830838501092356E-4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2.4664432331259595E-6</v>
      </c>
      <c r="J86" s="67" t="s">
        <v>231</v>
      </c>
      <c r="K86" s="68">
        <v>9.9288545340480284E-4</v>
      </c>
      <c r="L86" s="67" t="s">
        <v>231</v>
      </c>
      <c r="M86" s="68">
        <v>6.7711805529508959E-3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3.0528673787454212E-3</v>
      </c>
      <c r="J87" s="67" t="s">
        <v>231</v>
      </c>
      <c r="K87" s="68">
        <v>9.1871703234366789E-2</v>
      </c>
      <c r="L87" s="67" t="s">
        <v>231</v>
      </c>
      <c r="M87" s="68">
        <v>3.9371302947502014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1.1678285769562957E-4</v>
      </c>
      <c r="J88" s="67" t="s">
        <v>231</v>
      </c>
      <c r="K88" s="68">
        <v>4.4454744853834214E-3</v>
      </c>
      <c r="L88" s="67" t="s">
        <v>231</v>
      </c>
      <c r="M88" s="68">
        <v>0.16034574542223212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3.0826472715525075E-5</v>
      </c>
      <c r="J89" s="67" t="s">
        <v>231</v>
      </c>
      <c r="K89" s="68">
        <v>3.0405675087726161E-3</v>
      </c>
      <c r="L89" s="67" t="s">
        <v>231</v>
      </c>
      <c r="M89" s="68">
        <v>9.8275435626572635E-2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1.8886501073390603E-6</v>
      </c>
      <c r="J90" s="67" t="s">
        <v>231</v>
      </c>
      <c r="K90" s="68">
        <v>1.3778823436670854E-3</v>
      </c>
      <c r="L90" s="67" t="s">
        <v>231</v>
      </c>
      <c r="M90" s="68">
        <v>2.4291377836569455E-2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2.4421107422251164E-3</v>
      </c>
      <c r="J91" s="67" t="s">
        <v>231</v>
      </c>
      <c r="K91" s="68">
        <v>4.5961501532480645E-2</v>
      </c>
      <c r="L91" s="67" t="s">
        <v>231</v>
      </c>
      <c r="M91" s="68">
        <v>1.9575681599407893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2.2550297645613507E-2</v>
      </c>
      <c r="J92" s="67" t="s">
        <v>232</v>
      </c>
      <c r="K92" s="68">
        <v>1.3671886799128707E-2</v>
      </c>
      <c r="L92" s="67" t="s">
        <v>231</v>
      </c>
      <c r="M92" s="68">
        <v>0.5671172216033854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6.3453367377103416E-3</v>
      </c>
      <c r="J93" s="67" t="s">
        <v>231</v>
      </c>
      <c r="K93" s="68">
        <v>1.6893840652222665E-2</v>
      </c>
      <c r="L93" s="67" t="s">
        <v>231</v>
      </c>
      <c r="M93" s="68">
        <v>0.71196199818448536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6.481335040974368E-9</v>
      </c>
      <c r="J94" s="67" t="s">
        <v>231</v>
      </c>
      <c r="K94" s="68">
        <v>9.7879265852405173E-4</v>
      </c>
      <c r="L94" s="67" t="s">
        <v>231</v>
      </c>
      <c r="M94" s="68">
        <v>1.1877002537862455E-2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4.6978567621007729E-5</v>
      </c>
      <c r="J95" s="67" t="s">
        <v>231</v>
      </c>
      <c r="K95" s="68">
        <v>2.3087595446451396E-2</v>
      </c>
      <c r="L95" s="67" t="s">
        <v>231</v>
      </c>
      <c r="M95" s="68">
        <v>0.97948001232370385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9.8900855570156985E-8</v>
      </c>
      <c r="J96" s="67" t="s">
        <v>231</v>
      </c>
      <c r="K96" s="68">
        <v>8.8910460407712051E-4</v>
      </c>
      <c r="L96" s="67" t="s">
        <v>231</v>
      </c>
      <c r="M96" s="68">
        <v>1.8385763089145022E-3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3.5743517264227157E-8</v>
      </c>
      <c r="J97" s="67" t="s">
        <v>231</v>
      </c>
      <c r="K97" s="68">
        <v>1.0032570543756852E-3</v>
      </c>
      <c r="L97" s="67" t="s">
        <v>231</v>
      </c>
      <c r="M97" s="68">
        <v>7.252768255701275E-3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9.3846555042059981E-6</v>
      </c>
      <c r="J98" s="67" t="s">
        <v>231</v>
      </c>
      <c r="K98" s="68">
        <v>1.7029543555488851E-2</v>
      </c>
      <c r="L98" s="67" t="s">
        <v>231</v>
      </c>
      <c r="M98" s="68">
        <v>0.71993998162999095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4.2209310684413425E-8</v>
      </c>
      <c r="J99" s="67" t="s">
        <v>231</v>
      </c>
      <c r="K99" s="68">
        <v>8.5806148672754761E-4</v>
      </c>
      <c r="L99" s="67" t="s">
        <v>231</v>
      </c>
      <c r="M99" s="68">
        <v>1.7912246214660116E-4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6.1620180548145888E-5</v>
      </c>
      <c r="J100" s="67" t="s">
        <v>231</v>
      </c>
      <c r="K100" s="68">
        <v>8.0467213075153341E-3</v>
      </c>
      <c r="L100" s="67" t="s">
        <v>231</v>
      </c>
      <c r="M100" s="68">
        <v>0.3190272547767094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1.3203996578308729E-5</v>
      </c>
      <c r="J101" s="67" t="s">
        <v>231</v>
      </c>
      <c r="K101" s="68">
        <v>8.625277370750145E-4</v>
      </c>
      <c r="L101" s="67" t="s">
        <v>231</v>
      </c>
      <c r="M101" s="68">
        <v>4.5541658188135369E-4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6.4690635780445266E-11</v>
      </c>
      <c r="J102" s="67" t="s">
        <v>231</v>
      </c>
      <c r="K102" s="68">
        <v>8.5646929176374424E-4</v>
      </c>
      <c r="L102" s="67" t="s">
        <v>231</v>
      </c>
      <c r="M102" s="68">
        <v>3.8328584348061546E-5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9.2326028551404352E-9</v>
      </c>
      <c r="J103" s="67" t="s">
        <v>231</v>
      </c>
      <c r="K103" s="68">
        <v>8.5791805894650886E-4</v>
      </c>
      <c r="L103" s="67" t="s">
        <v>231</v>
      </c>
      <c r="M103" s="68">
        <v>1.6896730199263051E-4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4.332364242984172E-7</v>
      </c>
      <c r="J104" s="67" t="s">
        <v>231</v>
      </c>
      <c r="K104" s="68">
        <v>9.3265445327091938E-4</v>
      </c>
      <c r="L104" s="67" t="s">
        <v>231</v>
      </c>
      <c r="M104" s="68">
        <v>3.9446178340353192E-3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5.8214973261733303E-8</v>
      </c>
      <c r="J105" s="67" t="s">
        <v>231</v>
      </c>
      <c r="K105" s="68">
        <v>8.565651371326273E-4</v>
      </c>
      <c r="L105" s="67" t="s">
        <v>231</v>
      </c>
      <c r="M105" s="68">
        <v>5.3165227014262908E-5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5.5311077965531326E-7</v>
      </c>
      <c r="J106" s="67" t="s">
        <v>231</v>
      </c>
      <c r="K106" s="68">
        <v>1.6766491516758447E-3</v>
      </c>
      <c r="L106" s="67" t="s">
        <v>231</v>
      </c>
      <c r="M106" s="68">
        <v>3.7687138497596473E-2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6.6296141249706623E-5</v>
      </c>
      <c r="J107" s="67" t="s">
        <v>231</v>
      </c>
      <c r="K107" s="68">
        <v>1.6967015032794151E-2</v>
      </c>
      <c r="L107" s="67" t="s">
        <v>231</v>
      </c>
      <c r="M107" s="68">
        <v>0.7180121994793901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8.231000167118911E-5</v>
      </c>
      <c r="J108" s="67" t="s">
        <v>231</v>
      </c>
      <c r="K108" s="68">
        <v>6.7569167690137329E-3</v>
      </c>
      <c r="L108" s="67" t="s">
        <v>231</v>
      </c>
      <c r="M108" s="68">
        <v>0.26222386397006781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0.91506678623448112</v>
      </c>
      <c r="F2" s="14">
        <v>0.86532003710847971</v>
      </c>
      <c r="G2" s="14">
        <v>1.124411420213287E-6</v>
      </c>
      <c r="H2" s="14">
        <v>11.69221412597344</v>
      </c>
      <c r="I2" s="14">
        <v>31.532175204842954</v>
      </c>
      <c r="J2" s="14">
        <v>0</v>
      </c>
      <c r="K2" s="14">
        <v>1.1556417939211967</v>
      </c>
      <c r="L2" s="14">
        <v>0.86532003710847971</v>
      </c>
      <c r="M2" s="14">
        <v>0.70999509044750764</v>
      </c>
      <c r="N2" s="14">
        <v>2.1552554770847894</v>
      </c>
      <c r="O2" s="14">
        <v>396.8040858860806</v>
      </c>
      <c r="P2" s="8">
        <v>2.1552554770847894</v>
      </c>
      <c r="Q2" s="54">
        <v>0.1345717595744762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0.93107888283773088</v>
      </c>
      <c r="F3" s="14">
        <v>6.7905600547869599E-4</v>
      </c>
      <c r="G3" s="14">
        <v>4.117504496352767E-5</v>
      </c>
      <c r="H3" s="14">
        <v>71.286221287536378</v>
      </c>
      <c r="I3" s="14">
        <v>1788.3921923318837</v>
      </c>
      <c r="J3" s="14">
        <v>0</v>
      </c>
      <c r="K3" s="14">
        <v>1472.6325839575732</v>
      </c>
      <c r="L3" s="14">
        <v>6.7905600547869599E-4</v>
      </c>
      <c r="M3" s="14">
        <v>5.5716545249527008E-4</v>
      </c>
      <c r="N3" s="14">
        <v>87.35587507411266</v>
      </c>
      <c r="O3" s="14">
        <v>31877.032373294456</v>
      </c>
      <c r="P3" s="8">
        <v>87.355875074112674</v>
      </c>
      <c r="Q3" s="54">
        <v>5.7208790382607504E-2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0.82239384699076667</v>
      </c>
      <c r="F4" s="14">
        <v>0.43909241994836101</v>
      </c>
      <c r="G4" s="14">
        <v>6.0643523635078995E-14</v>
      </c>
      <c r="H4" s="14">
        <v>88.339704042863048</v>
      </c>
      <c r="I4" s="14">
        <v>195.25992165242869</v>
      </c>
      <c r="J4" s="14">
        <v>0</v>
      </c>
      <c r="K4" s="14">
        <v>2.2774248758783036</v>
      </c>
      <c r="L4" s="14">
        <v>0.43909241994836101</v>
      </c>
      <c r="M4" s="14">
        <v>0.36027533056763023</v>
      </c>
      <c r="N4" s="14">
        <v>9.310316862033293</v>
      </c>
      <c r="O4" s="14">
        <v>2954.3497466604044</v>
      </c>
      <c r="P4" s="8">
        <v>9.310316862033293</v>
      </c>
      <c r="Q4" s="54">
        <v>0.27900572238850679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0.93837286099327022</v>
      </c>
      <c r="F5" s="14">
        <v>7.4111137861101834E-3</v>
      </c>
      <c r="G5" s="14">
        <v>1.4235475194753084E-6</v>
      </c>
      <c r="H5" s="14">
        <v>205.08952594466197</v>
      </c>
      <c r="I5" s="14">
        <v>551.06223844590795</v>
      </c>
      <c r="J5" s="14">
        <v>0</v>
      </c>
      <c r="K5" s="14">
        <v>134.93248503000825</v>
      </c>
      <c r="L5" s="14">
        <v>7.4111137861101834E-3</v>
      </c>
      <c r="M5" s="14">
        <v>6.0808188615034059E-3</v>
      </c>
      <c r="N5" s="14">
        <v>26.207650470651018</v>
      </c>
      <c r="O5" s="14">
        <v>9188.1401785055405</v>
      </c>
      <c r="P5" s="8">
        <v>26.207650470651018</v>
      </c>
      <c r="Q5" s="54">
        <v>8.3907474960864897E-2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0.93796852857328405</v>
      </c>
      <c r="F6" s="14">
        <v>3.0113546059417788E-4</v>
      </c>
      <c r="G6" s="14">
        <v>1.3303024383603791E-7</v>
      </c>
      <c r="H6" s="14">
        <v>45.083943768306938</v>
      </c>
      <c r="I6" s="14">
        <v>2050.118998170416</v>
      </c>
      <c r="J6" s="14">
        <v>0</v>
      </c>
      <c r="K6" s="14">
        <v>3320.7646752291307</v>
      </c>
      <c r="L6" s="14">
        <v>3.0113546059417793E-4</v>
      </c>
      <c r="M6" s="14">
        <v>2.4708164541752299E-4</v>
      </c>
      <c r="N6" s="14">
        <v>100.86473025358134</v>
      </c>
      <c r="O6" s="14">
        <v>35755.538227592057</v>
      </c>
      <c r="P6" s="8">
        <v>100.86473025358136</v>
      </c>
      <c r="Q6" s="54">
        <v>4.3289151181449298E-2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0.9343207408583033</v>
      </c>
      <c r="F7" s="14">
        <v>6.0668063800961352E-4</v>
      </c>
      <c r="G7" s="14">
        <v>1.9771909889805692E-7</v>
      </c>
      <c r="H7" s="14">
        <v>67.084182973229403</v>
      </c>
      <c r="I7" s="14">
        <v>1836.0195682396907</v>
      </c>
      <c r="J7" s="14">
        <v>0</v>
      </c>
      <c r="K7" s="14">
        <v>1648.3136882046892</v>
      </c>
      <c r="L7" s="14">
        <v>6.0668063800961352E-4</v>
      </c>
      <c r="M7" s="14">
        <v>4.9778146348688785E-4</v>
      </c>
      <c r="N7" s="14">
        <v>89.776834375244036</v>
      </c>
      <c r="O7" s="14">
        <v>31824.990017680262</v>
      </c>
      <c r="P7" s="8">
        <v>89.77683437524405</v>
      </c>
      <c r="Q7" s="54">
        <v>5.5268452620835955E-2</v>
      </c>
    </row>
    <row r="8" spans="1:20">
      <c r="A8" s="2" t="s">
        <v>323</v>
      </c>
      <c r="B8" s="16" t="s">
        <v>324</v>
      </c>
      <c r="D8" s="14">
        <v>1</v>
      </c>
      <c r="E8" s="14">
        <v>0.93096873732104324</v>
      </c>
      <c r="F8" s="14">
        <v>1.3654282402138427E-3</v>
      </c>
      <c r="G8" s="14">
        <v>1.886763076027259E-6</v>
      </c>
      <c r="H8" s="14">
        <v>103.15466685651387</v>
      </c>
      <c r="I8" s="14">
        <v>1491.234874206112</v>
      </c>
      <c r="J8" s="14">
        <v>0</v>
      </c>
      <c r="K8" s="14">
        <v>732.37096652064838</v>
      </c>
      <c r="L8" s="14">
        <v>1.3654282402138427E-3</v>
      </c>
      <c r="M8" s="14">
        <v>1.120333871095458E-3</v>
      </c>
      <c r="N8" s="14">
        <v>72.357291587600827</v>
      </c>
      <c r="O8" s="14">
        <v>23157.227599695769</v>
      </c>
      <c r="P8" s="8">
        <v>72.357291587600827</v>
      </c>
      <c r="Q8" s="54">
        <v>7.0104525087893096E-2</v>
      </c>
    </row>
    <row r="9" spans="1:20">
      <c r="A9" s="2" t="s">
        <v>325</v>
      </c>
      <c r="B9" s="16" t="s">
        <v>326</v>
      </c>
      <c r="D9" s="14">
        <v>1</v>
      </c>
      <c r="E9" s="14">
        <v>0.8863170736330388</v>
      </c>
      <c r="F9" s="14">
        <v>6.8228732633002845E-2</v>
      </c>
      <c r="G9" s="14">
        <v>1.2898992549482271E-6</v>
      </c>
      <c r="H9" s="14">
        <v>194.41389632440601</v>
      </c>
      <c r="I9" s="14">
        <v>353.49597648300579</v>
      </c>
      <c r="J9" s="14">
        <v>0</v>
      </c>
      <c r="K9" s="14">
        <v>14.656581786135819</v>
      </c>
      <c r="L9" s="14">
        <v>6.8228732633002845E-2</v>
      </c>
      <c r="M9" s="14">
        <v>5.5981675125378834E-2</v>
      </c>
      <c r="N9" s="14">
        <v>16.533522164950533</v>
      </c>
      <c r="O9" s="14">
        <v>5031.9774709026951</v>
      </c>
      <c r="P9" s="8">
        <v>16.533522164950533</v>
      </c>
      <c r="Q9" s="54">
        <v>0.17257761984309114</v>
      </c>
    </row>
    <row r="10" spans="1:20">
      <c r="A10" s="2" t="s">
        <v>275</v>
      </c>
      <c r="B10" s="16" t="s">
        <v>276</v>
      </c>
      <c r="D10" s="14">
        <v>1</v>
      </c>
      <c r="E10" s="14">
        <v>0.93753942982080596</v>
      </c>
      <c r="F10" s="14">
        <v>6.8925841694972342E-3</v>
      </c>
      <c r="G10" s="14">
        <v>1.8290710079595985E-8</v>
      </c>
      <c r="H10" s="14">
        <v>200.91024268006387</v>
      </c>
      <c r="I10" s="14">
        <v>588.92399435762718</v>
      </c>
      <c r="J10" s="14">
        <v>0</v>
      </c>
      <c r="K10" s="14">
        <v>145.08346585384433</v>
      </c>
      <c r="L10" s="14">
        <v>6.8925841694972342E-3</v>
      </c>
      <c r="M10" s="14">
        <v>5.655365311072481E-3</v>
      </c>
      <c r="N10" s="14">
        <v>28.036713914762654</v>
      </c>
      <c r="O10" s="14">
        <v>10387.322138280417</v>
      </c>
      <c r="P10" s="8">
        <v>28.036713914762657</v>
      </c>
      <c r="Q10" s="54">
        <v>8.4383833075793307E-2</v>
      </c>
    </row>
    <row r="11" spans="1:20">
      <c r="A11" s="2" t="s">
        <v>327</v>
      </c>
      <c r="B11" s="16" t="s">
        <v>328</v>
      </c>
      <c r="D11" s="14">
        <v>1</v>
      </c>
      <c r="E11" s="14">
        <v>0.93602853118849771</v>
      </c>
      <c r="F11" s="14">
        <v>6.0876076552984996E-3</v>
      </c>
      <c r="G11" s="14">
        <v>9.5256614483995938E-7</v>
      </c>
      <c r="H11" s="14">
        <v>193.49362211845343</v>
      </c>
      <c r="I11" s="14">
        <v>655.72814579293686</v>
      </c>
      <c r="J11" s="14">
        <v>0</v>
      </c>
      <c r="K11" s="14">
        <v>164.26814220355104</v>
      </c>
      <c r="L11" s="14">
        <v>6.0876076552985004E-3</v>
      </c>
      <c r="M11" s="14">
        <v>4.9948820811724194E-3</v>
      </c>
      <c r="N11" s="14">
        <v>31.27014736222765</v>
      </c>
      <c r="O11" s="14">
        <v>11911.111831746135</v>
      </c>
      <c r="P11" s="8">
        <v>31.27014736222765</v>
      </c>
      <c r="Q11" s="54">
        <v>8.490315428659917E-2</v>
      </c>
    </row>
    <row r="12" spans="1:20">
      <c r="A12" s="2" t="s">
        <v>329</v>
      </c>
      <c r="B12" s="16" t="s">
        <v>330</v>
      </c>
      <c r="D12" s="14">
        <v>1</v>
      </c>
      <c r="E12" s="14">
        <v>0.90513235922656654</v>
      </c>
      <c r="F12" s="14">
        <v>4.2799464052679252E-2</v>
      </c>
      <c r="G12" s="14">
        <v>6.5960937309656336E-7</v>
      </c>
      <c r="H12" s="14">
        <v>206.18559990539131</v>
      </c>
      <c r="I12" s="14">
        <v>360.67455236163511</v>
      </c>
      <c r="J12" s="14">
        <v>0</v>
      </c>
      <c r="K12" s="14">
        <v>23.364778558188508</v>
      </c>
      <c r="L12" s="14">
        <v>4.2799464052679252E-2</v>
      </c>
      <c r="M12" s="14">
        <v>3.5116960255223324E-2</v>
      </c>
      <c r="N12" s="14">
        <v>16.907641160912554</v>
      </c>
      <c r="O12" s="14">
        <v>4639.4567345544037</v>
      </c>
      <c r="P12" s="8">
        <v>16.907641160912554</v>
      </c>
      <c r="Q12" s="54">
        <v>0.14233624402378717</v>
      </c>
    </row>
    <row r="13" spans="1:20">
      <c r="A13" s="2" t="s">
        <v>277</v>
      </c>
      <c r="B13" s="16" t="s">
        <v>278</v>
      </c>
      <c r="D13" s="14">
        <v>1</v>
      </c>
      <c r="E13" s="14">
        <v>0.8881318920543354</v>
      </c>
      <c r="F13" s="14">
        <v>6.5313995293817831E-2</v>
      </c>
      <c r="G13" s="14">
        <v>2.003155843582121E-6</v>
      </c>
      <c r="H13" s="14">
        <v>195.65288249379566</v>
      </c>
      <c r="I13" s="14">
        <v>354.44056598315848</v>
      </c>
      <c r="J13" s="14">
        <v>0</v>
      </c>
      <c r="K13" s="14">
        <v>15.310654255668434</v>
      </c>
      <c r="L13" s="14">
        <v>6.5313995293817831E-2</v>
      </c>
      <c r="M13" s="14">
        <v>5.359013313857753E-2</v>
      </c>
      <c r="N13" s="14">
        <v>16.580778762081508</v>
      </c>
      <c r="O13" s="14">
        <v>6747.2163016538279</v>
      </c>
      <c r="P13" s="8">
        <v>16.580778762081508</v>
      </c>
      <c r="Q13" s="54">
        <v>0.16956781397188087</v>
      </c>
    </row>
    <row r="14" spans="1:20">
      <c r="A14" s="2" t="s">
        <v>331</v>
      </c>
      <c r="B14" s="16" t="s">
        <v>332</v>
      </c>
      <c r="D14" s="14">
        <v>1</v>
      </c>
      <c r="E14" s="14">
        <v>0.93248727175676038</v>
      </c>
      <c r="F14" s="14">
        <v>4.0334820630996745E-3</v>
      </c>
      <c r="G14" s="14">
        <v>6.3385309850848679E-7</v>
      </c>
      <c r="H14" s="14">
        <v>167.67183990172603</v>
      </c>
      <c r="I14" s="14">
        <v>890.87608502605906</v>
      </c>
      <c r="J14" s="14">
        <v>0</v>
      </c>
      <c r="K14" s="14">
        <v>247.92474203579673</v>
      </c>
      <c r="L14" s="14">
        <v>4.0334820630996745E-3</v>
      </c>
      <c r="M14" s="14">
        <v>3.3094720327732827E-3</v>
      </c>
      <c r="N14" s="14">
        <v>42.710660316089253</v>
      </c>
      <c r="O14" s="14">
        <v>16268.917621001558</v>
      </c>
      <c r="P14" s="8">
        <v>42.710660316089253</v>
      </c>
      <c r="Q14" s="54">
        <v>8.4259194053493108E-2</v>
      </c>
    </row>
    <row r="15" spans="1:20">
      <c r="A15" s="2" t="s">
        <v>333</v>
      </c>
      <c r="B15" s="16" t="s">
        <v>334</v>
      </c>
      <c r="D15" s="14">
        <v>1</v>
      </c>
      <c r="E15" s="14">
        <v>0.93680023157027104</v>
      </c>
      <c r="F15" s="14">
        <v>6.4810091261811803E-3</v>
      </c>
      <c r="G15" s="14">
        <v>1.0370295236562031E-9</v>
      </c>
      <c r="H15" s="14">
        <v>197.27072151279847</v>
      </c>
      <c r="I15" s="14">
        <v>621.75574063009753</v>
      </c>
      <c r="J15" s="14">
        <v>0</v>
      </c>
      <c r="K15" s="14">
        <v>154.29695908933741</v>
      </c>
      <c r="L15" s="14">
        <v>6.4810091261811803E-3</v>
      </c>
      <c r="M15" s="14">
        <v>5.317667988031659E-3</v>
      </c>
      <c r="N15" s="14">
        <v>29.624851356678612</v>
      </c>
      <c r="O15" s="14">
        <v>11390.162849615794</v>
      </c>
      <c r="P15" s="8">
        <v>29.624851356678615</v>
      </c>
      <c r="Q15" s="54">
        <v>8.4687595787755351E-2</v>
      </c>
    </row>
    <row r="16" spans="1:20">
      <c r="A16" s="2" t="s">
        <v>335</v>
      </c>
      <c r="B16" s="16" t="s">
        <v>336</v>
      </c>
      <c r="D16" s="14">
        <v>1</v>
      </c>
      <c r="E16" s="14">
        <v>0.93068682027877614</v>
      </c>
      <c r="F16" s="14">
        <v>1.4134222014432062E-3</v>
      </c>
      <c r="G16" s="14">
        <v>4.9045638914525333E-6</v>
      </c>
      <c r="H16" s="14">
        <v>104.94745438213815</v>
      </c>
      <c r="I16" s="14">
        <v>1473.7678543798106</v>
      </c>
      <c r="J16" s="14">
        <v>0</v>
      </c>
      <c r="K16" s="14">
        <v>707.5026831890201</v>
      </c>
      <c r="L16" s="14">
        <v>1.4134222014432062E-3</v>
      </c>
      <c r="M16" s="14">
        <v>1.1597129162841508E-3</v>
      </c>
      <c r="N16" s="14">
        <v>71.484740752938023</v>
      </c>
      <c r="O16" s="14">
        <v>26686.683417886823</v>
      </c>
      <c r="P16" s="8">
        <v>71.484740752938038</v>
      </c>
      <c r="Q16" s="54">
        <v>7.0701573527152187E-2</v>
      </c>
    </row>
    <row r="17" spans="1:21">
      <c r="A17" s="2" t="s">
        <v>337</v>
      </c>
      <c r="B17" s="16" t="s">
        <v>338</v>
      </c>
      <c r="D17" s="14">
        <v>1</v>
      </c>
      <c r="E17" s="14">
        <v>0.93812949772677179</v>
      </c>
      <c r="F17" s="14">
        <v>7.2354489431761702E-3</v>
      </c>
      <c r="G17" s="14">
        <v>3.6565706664424712E-7</v>
      </c>
      <c r="H17" s="14">
        <v>203.72554264948704</v>
      </c>
      <c r="I17" s="14">
        <v>563.51133210473779</v>
      </c>
      <c r="J17" s="14">
        <v>0</v>
      </c>
      <c r="K17" s="14">
        <v>138.20842464006478</v>
      </c>
      <c r="L17" s="14">
        <v>7.2354489431761702E-3</v>
      </c>
      <c r="M17" s="14">
        <v>5.9366858578760477E-3</v>
      </c>
      <c r="N17" s="14">
        <v>26.808756293949649</v>
      </c>
      <c r="O17" s="14">
        <v>10437.185000360476</v>
      </c>
      <c r="P17" s="8">
        <v>26.808756293949649</v>
      </c>
      <c r="Q17" s="54">
        <v>8.4081926554656766E-2</v>
      </c>
    </row>
    <row r="18" spans="1:21">
      <c r="A18" s="2" t="s">
        <v>279</v>
      </c>
      <c r="B18" s="16" t="s">
        <v>280</v>
      </c>
      <c r="D18" s="14">
        <v>1</v>
      </c>
      <c r="E18" s="14">
        <v>0.87550262590859018</v>
      </c>
      <c r="F18" s="14">
        <v>8.2598622825078322E-2</v>
      </c>
      <c r="G18" s="14">
        <v>3.917610852010661E-5</v>
      </c>
      <c r="H18" s="14">
        <v>187.92856880579626</v>
      </c>
      <c r="I18" s="14">
        <v>347.41612912741959</v>
      </c>
      <c r="J18" s="14">
        <v>0</v>
      </c>
      <c r="K18" s="14">
        <v>12.106739383751362</v>
      </c>
      <c r="L18" s="14">
        <v>8.2598622825078322E-2</v>
      </c>
      <c r="M18" s="14">
        <v>6.7772170027976766E-2</v>
      </c>
      <c r="N18" s="14">
        <v>16.23722718213374</v>
      </c>
      <c r="O18" s="14">
        <v>4722.2727813799547</v>
      </c>
      <c r="P18" s="8">
        <v>16.23722718213374</v>
      </c>
      <c r="Q18" s="54">
        <v>0.18580182571498027</v>
      </c>
    </row>
    <row r="19" spans="1:21">
      <c r="A19" s="2" t="s">
        <v>339</v>
      </c>
      <c r="B19" s="16" t="s">
        <v>340</v>
      </c>
      <c r="D19" s="14">
        <v>1</v>
      </c>
      <c r="E19" s="14">
        <v>0.93665563282226638</v>
      </c>
      <c r="F19" s="14">
        <v>6.4009400266653747E-3</v>
      </c>
      <c r="G19" s="14">
        <v>3.6345633737531048E-9</v>
      </c>
      <c r="H19" s="14">
        <v>196.52769391741973</v>
      </c>
      <c r="I19" s="14">
        <v>628.46475773987197</v>
      </c>
      <c r="J19" s="14">
        <v>0</v>
      </c>
      <c r="K19" s="14">
        <v>156.22705350060258</v>
      </c>
      <c r="L19" s="14">
        <v>6.4009400266653747E-3</v>
      </c>
      <c r="M19" s="14">
        <v>5.2519712918789397E-3</v>
      </c>
      <c r="N19" s="14">
        <v>29.949609041148101</v>
      </c>
      <c r="O19" s="14">
        <v>10352.08236507284</v>
      </c>
      <c r="P19" s="8">
        <v>29.949609041148104</v>
      </c>
      <c r="Q19" s="54">
        <v>8.4738530598452225E-2</v>
      </c>
    </row>
    <row r="20" spans="1:21">
      <c r="A20" s="2" t="s">
        <v>281</v>
      </c>
      <c r="B20" s="16" t="s">
        <v>282</v>
      </c>
      <c r="D20" s="14">
        <v>1</v>
      </c>
      <c r="E20" s="14">
        <v>0.88823759020968762</v>
      </c>
      <c r="F20" s="14">
        <v>6.5321768428509883E-2</v>
      </c>
      <c r="G20" s="14">
        <v>3.032259891121468E-7</v>
      </c>
      <c r="H20" s="14">
        <v>195.67616749116368</v>
      </c>
      <c r="I20" s="14">
        <v>354.48274858502384</v>
      </c>
      <c r="J20" s="14">
        <v>0</v>
      </c>
      <c r="K20" s="14">
        <v>15.308832324318198</v>
      </c>
      <c r="L20" s="14">
        <v>6.5321768428509883E-2</v>
      </c>
      <c r="M20" s="14">
        <v>5.3596510995592359E-2</v>
      </c>
      <c r="N20" s="14">
        <v>16.582752070038506</v>
      </c>
      <c r="O20" s="14">
        <v>4829.8923679194149</v>
      </c>
      <c r="P20" s="8">
        <v>16.582752070038506</v>
      </c>
      <c r="Q20" s="54">
        <v>0.1695879945388713</v>
      </c>
    </row>
    <row r="21" spans="1:21">
      <c r="A21" s="2" t="s">
        <v>341</v>
      </c>
      <c r="B21" s="16" t="s">
        <v>342</v>
      </c>
      <c r="D21" s="14">
        <v>1</v>
      </c>
      <c r="E21" s="14">
        <v>0.93305198447917193</v>
      </c>
      <c r="F21" s="14">
        <v>4.5641898294099493E-3</v>
      </c>
      <c r="G21" s="14">
        <v>5.3104605455896727E-6</v>
      </c>
      <c r="H21" s="14">
        <v>175.51074062865393</v>
      </c>
      <c r="I21" s="14">
        <v>818.39104699878123</v>
      </c>
      <c r="J21" s="14">
        <v>0</v>
      </c>
      <c r="K21" s="14">
        <v>219.09693447813459</v>
      </c>
      <c r="L21" s="14">
        <v>4.5641898294099493E-3</v>
      </c>
      <c r="M21" s="14">
        <v>3.7449177550308633E-3</v>
      </c>
      <c r="N21" s="14">
        <v>39.174670047307515</v>
      </c>
      <c r="O21" s="14">
        <v>13134.483373461262</v>
      </c>
      <c r="P21" s="8">
        <v>39.174670047307515</v>
      </c>
      <c r="Q21" s="54">
        <v>8.479316959931206E-2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0.85312482451288563</v>
      </c>
      <c r="F22" s="14">
        <v>0.6744991518930965</v>
      </c>
      <c r="G22" s="14">
        <v>2.6081339695000925E-5</v>
      </c>
      <c r="H22" s="14">
        <v>40.860286545421857</v>
      </c>
      <c r="I22" s="14">
        <v>98.663968242412849</v>
      </c>
      <c r="J22" s="14">
        <v>0</v>
      </c>
      <c r="K22" s="14">
        <v>1.4825815528356556</v>
      </c>
      <c r="L22" s="14">
        <v>0.67449915189309662</v>
      </c>
      <c r="M22" s="14">
        <v>0.55342655412828579</v>
      </c>
      <c r="N22" s="14">
        <v>5.0538101589586608</v>
      </c>
      <c r="O22" s="14">
        <v>829.83562810101193</v>
      </c>
      <c r="P22" s="8">
        <v>5.0538101589586608</v>
      </c>
      <c r="Q22" s="54">
        <v>0.22927599069870722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0.89487135044880461</v>
      </c>
      <c r="F23" s="14">
        <v>0.81425957257794757</v>
      </c>
      <c r="G23" s="14">
        <v>1.0611367622718703E-6</v>
      </c>
      <c r="H23" s="14">
        <v>18.601281832616728</v>
      </c>
      <c r="I23" s="14">
        <v>48.261414180832041</v>
      </c>
      <c r="J23" s="14">
        <v>0</v>
      </c>
      <c r="K23" s="14">
        <v>1.2281096024870763</v>
      </c>
      <c r="L23" s="14">
        <v>0.81425957257794768</v>
      </c>
      <c r="M23" s="14">
        <v>0.66809997930020604</v>
      </c>
      <c r="N23" s="14">
        <v>2.8709741097038428</v>
      </c>
      <c r="O23" s="14">
        <v>433.97644642283291</v>
      </c>
      <c r="P23" s="8">
        <v>2.8709741097038433</v>
      </c>
      <c r="Q23" s="54">
        <v>0.16649455832502216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0.83538526284553838</v>
      </c>
      <c r="F24" s="14">
        <v>0.21244558384603027</v>
      </c>
      <c r="G24" s="14">
        <v>9.7817418108227046E-7</v>
      </c>
      <c r="H24" s="14">
        <v>145.5417885896849</v>
      </c>
      <c r="I24" s="14">
        <v>293.93065234112106</v>
      </c>
      <c r="J24" s="14">
        <v>0</v>
      </c>
      <c r="K24" s="14">
        <v>4.7070877252254348</v>
      </c>
      <c r="L24" s="14">
        <v>0.21244558384603027</v>
      </c>
      <c r="M24" s="14">
        <v>0.17431160154566783</v>
      </c>
      <c r="N24" s="14">
        <v>13.746210301845297</v>
      </c>
      <c r="O24" s="14">
        <v>2422.7695657002337</v>
      </c>
      <c r="P24" s="8">
        <v>13.746210301845297</v>
      </c>
      <c r="Q24" s="54">
        <v>0.25564945929143418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0.91571909351708058</v>
      </c>
      <c r="F25" s="14">
        <v>2.2735643663567687E-2</v>
      </c>
      <c r="G25" s="14">
        <v>1.6075916494744533E-4</v>
      </c>
      <c r="H25" s="14">
        <v>215.15292462451586</v>
      </c>
      <c r="I25" s="14">
        <v>358.10008549440573</v>
      </c>
      <c r="J25" s="14">
        <v>0</v>
      </c>
      <c r="K25" s="14">
        <v>43.98379983419742</v>
      </c>
      <c r="L25" s="14">
        <v>2.2735643663567687E-2</v>
      </c>
      <c r="M25" s="14">
        <v>1.8654595625957289E-2</v>
      </c>
      <c r="N25" s="14">
        <v>16.848720786585893</v>
      </c>
      <c r="O25" s="14">
        <v>3240.0090072604676</v>
      </c>
      <c r="P25" s="8">
        <v>16.848720786585893</v>
      </c>
      <c r="Q25" s="54">
        <v>0.10749900010226415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0.93377883112388782</v>
      </c>
      <c r="F26" s="14">
        <v>4.947465187313144E-3</v>
      </c>
      <c r="G26" s="14">
        <v>4.2637451133718263E-6</v>
      </c>
      <c r="H26" s="14">
        <v>180.61871449942078</v>
      </c>
      <c r="I26" s="14">
        <v>772.00465273710199</v>
      </c>
      <c r="J26" s="14">
        <v>0</v>
      </c>
      <c r="K26" s="14">
        <v>202.12370620905315</v>
      </c>
      <c r="L26" s="14">
        <v>4.947465187313144E-3</v>
      </c>
      <c r="M26" s="14">
        <v>4.059395186190435E-3</v>
      </c>
      <c r="N26" s="14">
        <v>36.916111633107704</v>
      </c>
      <c r="O26" s="14">
        <v>8209.0357438541596</v>
      </c>
      <c r="P26" s="8">
        <v>36.916111633107704</v>
      </c>
      <c r="Q26" s="54">
        <v>8.5000194163251372E-2</v>
      </c>
    </row>
    <row r="27" spans="1:21">
      <c r="A27" s="2" t="s">
        <v>353</v>
      </c>
      <c r="B27" s="16" t="s">
        <v>354</v>
      </c>
      <c r="D27" s="14">
        <v>1</v>
      </c>
      <c r="E27" s="14">
        <v>0.93145610220856268</v>
      </c>
      <c r="F27" s="14">
        <v>7.4753368203418552E-4</v>
      </c>
      <c r="G27" s="14">
        <v>2.8579804479729149E-5</v>
      </c>
      <c r="H27" s="14">
        <v>75.150308141787917</v>
      </c>
      <c r="I27" s="14">
        <v>1753.4279961730731</v>
      </c>
      <c r="J27" s="14">
        <v>0</v>
      </c>
      <c r="K27" s="14">
        <v>1337.7323644853086</v>
      </c>
      <c r="L27" s="14">
        <v>7.4753368203418563E-4</v>
      </c>
      <c r="M27" s="14">
        <v>6.1335138610904929E-4</v>
      </c>
      <c r="N27" s="14">
        <v>85.572868425464165</v>
      </c>
      <c r="O27" s="14">
        <v>20228.570367095472</v>
      </c>
      <c r="P27" s="8">
        <v>85.572868425464165</v>
      </c>
      <c r="Q27" s="54">
        <v>5.9004880677912423E-2</v>
      </c>
    </row>
    <row r="28" spans="1:21">
      <c r="A28" s="2" t="s">
        <v>355</v>
      </c>
      <c r="B28" s="16" t="s">
        <v>356</v>
      </c>
      <c r="D28" s="14">
        <v>1</v>
      </c>
      <c r="E28" s="14">
        <v>0.93074146251433232</v>
      </c>
      <c r="F28" s="14">
        <v>2.7163649984779082E-3</v>
      </c>
      <c r="G28" s="14">
        <v>1.5919030449467143E-6</v>
      </c>
      <c r="H28" s="14">
        <v>142.65537040740256</v>
      </c>
      <c r="I28" s="14">
        <v>1121.3606098730506</v>
      </c>
      <c r="J28" s="14">
        <v>0</v>
      </c>
      <c r="K28" s="14">
        <v>368.13903895843947</v>
      </c>
      <c r="L28" s="14">
        <v>2.7163649984779082E-3</v>
      </c>
      <c r="M28" s="14">
        <v>2.2287774812511235E-3</v>
      </c>
      <c r="N28" s="14">
        <v>54.012966997638898</v>
      </c>
      <c r="O28" s="14">
        <v>13956.950672189891</v>
      </c>
      <c r="P28" s="8">
        <v>54.012966997638905</v>
      </c>
      <c r="Q28" s="54">
        <v>8.0676174474677259E-2</v>
      </c>
    </row>
    <row r="29" spans="1:21">
      <c r="A29" s="2" t="s">
        <v>357</v>
      </c>
      <c r="B29" s="16" t="s">
        <v>358</v>
      </c>
      <c r="D29" s="14">
        <v>1</v>
      </c>
      <c r="E29" s="14">
        <v>0.91167303261200083</v>
      </c>
      <c r="F29" s="14">
        <v>4.1102961397216234E-3</v>
      </c>
      <c r="G29" s="14">
        <v>3.2359484973233839E-4</v>
      </c>
      <c r="H29" s="14">
        <v>166.48423435198646</v>
      </c>
      <c r="I29" s="14">
        <v>846.8963944913711</v>
      </c>
      <c r="J29" s="14">
        <v>0</v>
      </c>
      <c r="K29" s="14">
        <v>243.2914724406516</v>
      </c>
      <c r="L29" s="14">
        <v>4.1102961397216234E-3</v>
      </c>
      <c r="M29" s="14">
        <v>3.3724979826415921E-3</v>
      </c>
      <c r="N29" s="14">
        <v>40.58113659707859</v>
      </c>
      <c r="O29" s="14">
        <v>9592.9748801834066</v>
      </c>
      <c r="P29" s="8">
        <v>40.58113659707859</v>
      </c>
      <c r="Q29" s="54">
        <v>8.2571520884930458E-2</v>
      </c>
    </row>
    <row r="30" spans="1:21">
      <c r="A30" s="2" t="s">
        <v>359</v>
      </c>
      <c r="B30" s="16" t="s">
        <v>360</v>
      </c>
      <c r="D30" s="14">
        <v>1</v>
      </c>
      <c r="E30" s="14">
        <v>0.93074146251433232</v>
      </c>
      <c r="F30" s="14">
        <v>2.7163649984779082E-3</v>
      </c>
      <c r="G30" s="14">
        <v>1.5919030449467143E-6</v>
      </c>
      <c r="H30" s="14">
        <v>142.65537040740256</v>
      </c>
      <c r="I30" s="14">
        <v>1121.3606098730506</v>
      </c>
      <c r="J30" s="14">
        <v>0</v>
      </c>
      <c r="K30" s="14">
        <v>368.13903895843947</v>
      </c>
      <c r="L30" s="14">
        <v>2.7163649984779082E-3</v>
      </c>
      <c r="M30" s="14">
        <v>2.2287774812511235E-3</v>
      </c>
      <c r="N30" s="14">
        <v>54.012966997638898</v>
      </c>
      <c r="O30" s="14">
        <v>13956.950672189891</v>
      </c>
      <c r="P30" s="8">
        <v>54.012966997638905</v>
      </c>
      <c r="Q30" s="54">
        <v>8.0676174474677259E-2</v>
      </c>
    </row>
    <row r="31" spans="1:21">
      <c r="A31" s="2" t="s">
        <v>283</v>
      </c>
      <c r="B31" s="16" t="s">
        <v>284</v>
      </c>
      <c r="D31" s="14">
        <v>1</v>
      </c>
      <c r="E31" s="14">
        <v>0.98970462426636752</v>
      </c>
      <c r="F31" s="14">
        <v>0.99272196086573217</v>
      </c>
      <c r="G31" s="14">
        <v>2.9521343430393026E-10</v>
      </c>
      <c r="H31" s="14">
        <v>0.17294484816460193</v>
      </c>
      <c r="I31" s="14">
        <v>0.64263562918974504</v>
      </c>
      <c r="J31" s="14">
        <v>0</v>
      </c>
      <c r="K31" s="14">
        <v>1.0073313973309515</v>
      </c>
      <c r="L31" s="14">
        <v>0.99272196086573217</v>
      </c>
      <c r="M31" s="14">
        <v>0.8145283688903332</v>
      </c>
      <c r="N31" s="14">
        <v>0.87556760898599484</v>
      </c>
      <c r="O31" s="14">
        <v>170.02647398899032</v>
      </c>
      <c r="P31" s="8">
        <v>0.87556760898599484</v>
      </c>
      <c r="Q31" s="54">
        <v>1.5986919942789751E-2</v>
      </c>
    </row>
    <row r="32" spans="1:21">
      <c r="A32" s="2" t="s">
        <v>361</v>
      </c>
      <c r="B32" s="16" t="s">
        <v>362</v>
      </c>
      <c r="D32" s="14">
        <v>1</v>
      </c>
      <c r="E32" s="14">
        <v>0.83089284229568217</v>
      </c>
      <c r="F32" s="14">
        <v>0.53457645901549755</v>
      </c>
      <c r="G32" s="14">
        <v>2.9066460386199877E-10</v>
      </c>
      <c r="H32" s="14">
        <v>68.036466529789067</v>
      </c>
      <c r="I32" s="14">
        <v>155.3180850252653</v>
      </c>
      <c r="J32" s="14">
        <v>0</v>
      </c>
      <c r="K32" s="14">
        <v>1.870639799293911</v>
      </c>
      <c r="L32" s="14">
        <v>0.53457645901549755</v>
      </c>
      <c r="M32" s="14">
        <v>0.43861998462221574</v>
      </c>
      <c r="N32" s="14">
        <v>7.6446475008535373</v>
      </c>
      <c r="O32" s="14">
        <v>1957.7177784935823</v>
      </c>
      <c r="P32" s="8">
        <v>7.6446475008535382</v>
      </c>
      <c r="Q32" s="54">
        <v>0.26633118862533245</v>
      </c>
    </row>
    <row r="33" spans="1:17">
      <c r="A33" s="2" t="s">
        <v>364</v>
      </c>
      <c r="B33" s="16" t="s">
        <v>365</v>
      </c>
      <c r="D33" s="14">
        <v>1</v>
      </c>
      <c r="E33" s="14">
        <v>0.99967645886015366</v>
      </c>
      <c r="F33" s="14">
        <v>0.99936993596228596</v>
      </c>
      <c r="G33" s="14">
        <v>1.3409439185877647E-12</v>
      </c>
      <c r="H33" s="14">
        <v>1.1940603583527754</v>
      </c>
      <c r="I33" s="14">
        <v>3.3807668281430532E-3</v>
      </c>
      <c r="J33" s="14">
        <v>0</v>
      </c>
      <c r="K33" s="14">
        <v>1.0006304612686865</v>
      </c>
      <c r="L33" s="14">
        <v>0.99936993596228607</v>
      </c>
      <c r="M33" s="14">
        <v>0.81998303245705573</v>
      </c>
      <c r="N33" s="14">
        <v>0.86379174337599929</v>
      </c>
      <c r="O33" s="14">
        <v>255.81192480080219</v>
      </c>
      <c r="P33" s="8">
        <v>0.8637917433759994</v>
      </c>
      <c r="Q33" s="54">
        <v>3.8549186575839637E-5</v>
      </c>
    </row>
    <row r="34" spans="1:17">
      <c r="A34" s="2" t="s">
        <v>285</v>
      </c>
      <c r="B34" s="16" t="s">
        <v>286</v>
      </c>
      <c r="D34" s="14">
        <v>1</v>
      </c>
      <c r="E34" s="14">
        <v>0.99947680497949443</v>
      </c>
      <c r="F34" s="14">
        <v>0.54958250980545886</v>
      </c>
      <c r="G34" s="14">
        <v>3.9866458512972904E-12</v>
      </c>
      <c r="H34" s="14">
        <v>128.46739064131827</v>
      </c>
      <c r="I34" s="14">
        <v>9.768525749169002E-2</v>
      </c>
      <c r="J34" s="14">
        <v>0</v>
      </c>
      <c r="K34" s="14">
        <v>1.8195629994738731</v>
      </c>
      <c r="L34" s="14">
        <v>0.54958250980545886</v>
      </c>
      <c r="M34" s="14">
        <v>0.45093244929537901</v>
      </c>
      <c r="N34" s="14">
        <v>1.2724072794372872</v>
      </c>
      <c r="O34" s="14">
        <v>281.25290504681794</v>
      </c>
      <c r="P34" s="8">
        <v>1.2724072794372874</v>
      </c>
      <c r="Q34" s="54">
        <v>1.3134968197661836E-4</v>
      </c>
    </row>
    <row r="35" spans="1:17">
      <c r="A35" s="2" t="s">
        <v>287</v>
      </c>
      <c r="B35" s="16" t="s">
        <v>288</v>
      </c>
      <c r="D35" s="14">
        <v>1</v>
      </c>
      <c r="E35" s="14">
        <v>0.9993100827875383</v>
      </c>
      <c r="F35" s="14">
        <v>0.32539586280129923</v>
      </c>
      <c r="G35" s="14">
        <v>1.1613853981920238E-13</v>
      </c>
      <c r="H35" s="14">
        <v>191.86335164805729</v>
      </c>
      <c r="I35" s="14">
        <v>0.34401784015470321</v>
      </c>
      <c r="J35" s="14">
        <v>0</v>
      </c>
      <c r="K35" s="14">
        <v>3.073179822850554</v>
      </c>
      <c r="L35" s="14">
        <v>0.32539586280129923</v>
      </c>
      <c r="M35" s="14">
        <v>0.26698730542846605</v>
      </c>
      <c r="N35" s="14">
        <v>1.4168894006771606</v>
      </c>
      <c r="O35" s="14">
        <v>326.252953399923</v>
      </c>
      <c r="P35" s="8">
        <v>1.4168894006771608</v>
      </c>
      <c r="Q35" s="54">
        <v>3.1796620602234804E-4</v>
      </c>
    </row>
    <row r="36" spans="1:17">
      <c r="A36" s="2" t="s">
        <v>366</v>
      </c>
      <c r="B36" s="16" t="s">
        <v>305</v>
      </c>
      <c r="D36" s="14">
        <v>1</v>
      </c>
      <c r="E36" s="14">
        <v>0.99926489729697543</v>
      </c>
      <c r="F36" s="14">
        <v>0.10854233924877493</v>
      </c>
      <c r="G36" s="14">
        <v>2.0474846355256447E-10</v>
      </c>
      <c r="H36" s="14">
        <v>253.20902271355322</v>
      </c>
      <c r="I36" s="14">
        <v>0.67124733726862262</v>
      </c>
      <c r="J36" s="14">
        <v>0</v>
      </c>
      <c r="K36" s="14">
        <v>9.2129947347830594</v>
      </c>
      <c r="L36" s="14">
        <v>0.10854233924877493</v>
      </c>
      <c r="M36" s="14">
        <v>8.9058989353619833E-2</v>
      </c>
      <c r="N36" s="14">
        <v>1.4797534416273186</v>
      </c>
      <c r="O36" s="14">
        <v>305.24353993888326</v>
      </c>
      <c r="P36" s="8">
        <v>1.4797534416273186</v>
      </c>
      <c r="Q36" s="54">
        <v>3.5537148405581837E-4</v>
      </c>
    </row>
    <row r="37" spans="1:17">
      <c r="A37" s="2" t="s">
        <v>289</v>
      </c>
      <c r="B37" s="16" t="s">
        <v>290</v>
      </c>
      <c r="D37" s="14">
        <v>1</v>
      </c>
      <c r="E37" s="14">
        <v>0.96746935932122957</v>
      </c>
      <c r="F37" s="14">
        <v>0.21758949896793203</v>
      </c>
      <c r="G37" s="14">
        <v>4.8510998460568688E-17</v>
      </c>
      <c r="H37" s="14">
        <v>206.32788773930312</v>
      </c>
      <c r="I37" s="14">
        <v>65.221239563447142</v>
      </c>
      <c r="J37" s="14">
        <v>0</v>
      </c>
      <c r="K37" s="14">
        <v>4.5958100218217712</v>
      </c>
      <c r="L37" s="14">
        <v>0.21758949896793203</v>
      </c>
      <c r="M37" s="14">
        <v>0.17853218390318826</v>
      </c>
      <c r="N37" s="14">
        <v>4.1870061030713082</v>
      </c>
      <c r="O37" s="14">
        <v>1458.8366664321052</v>
      </c>
      <c r="P37" s="8">
        <v>4.1870061030713082</v>
      </c>
      <c r="Q37" s="54">
        <v>4.9726632367523511E-2</v>
      </c>
    </row>
    <row r="38" spans="1:17">
      <c r="A38" s="2" t="s">
        <v>291</v>
      </c>
      <c r="B38" s="16" t="s">
        <v>292</v>
      </c>
      <c r="D38" s="14">
        <v>1</v>
      </c>
      <c r="E38" s="14">
        <v>0.99877024861176344</v>
      </c>
      <c r="F38" s="14">
        <v>0.61603595214399209</v>
      </c>
      <c r="G38" s="14">
        <v>1.3432701171280402E-14</v>
      </c>
      <c r="H38" s="14">
        <v>109.37197601031795</v>
      </c>
      <c r="I38" s="14">
        <v>0.8460279708072872</v>
      </c>
      <c r="J38" s="14">
        <v>0</v>
      </c>
      <c r="K38" s="14">
        <v>1.6232818823636779</v>
      </c>
      <c r="L38" s="14">
        <v>0.61603595214399209</v>
      </c>
      <c r="M38" s="14">
        <v>0.50545749873414558</v>
      </c>
      <c r="N38" s="14">
        <v>1.2546311399050396</v>
      </c>
      <c r="O38" s="14">
        <v>386.84041936692086</v>
      </c>
      <c r="P38" s="8">
        <v>1.2546311399050398</v>
      </c>
      <c r="Q38" s="54">
        <v>1.2717001474064191E-3</v>
      </c>
    </row>
    <row r="39" spans="1:17">
      <c r="A39" s="2" t="s">
        <v>367</v>
      </c>
      <c r="B39" s="16" t="s">
        <v>368</v>
      </c>
      <c r="D39" s="14">
        <v>1</v>
      </c>
      <c r="E39" s="14">
        <v>0.94444833600229583</v>
      </c>
      <c r="F39" s="14">
        <v>1.1050178106687627E-2</v>
      </c>
      <c r="G39" s="14">
        <v>1.7169504650833122E-7</v>
      </c>
      <c r="H39" s="14">
        <v>225.85477563756089</v>
      </c>
      <c r="I39" s="14">
        <v>365.24682449143398</v>
      </c>
      <c r="J39" s="14">
        <v>0</v>
      </c>
      <c r="K39" s="14">
        <v>90.496278914707688</v>
      </c>
      <c r="L39" s="14">
        <v>1.1050178106687627E-2</v>
      </c>
      <c r="M39" s="14">
        <v>9.0666711365371983E-3</v>
      </c>
      <c r="N39" s="14">
        <v>17.270316685714686</v>
      </c>
      <c r="O39" s="14">
        <v>4807.0199463018253</v>
      </c>
      <c r="P39" s="8">
        <v>17.270316685714686</v>
      </c>
      <c r="Q39" s="54">
        <v>7.9284163562774568E-2</v>
      </c>
    </row>
    <row r="40" spans="1:17">
      <c r="A40" s="2" t="s">
        <v>369</v>
      </c>
      <c r="B40" s="16" t="s">
        <v>370</v>
      </c>
      <c r="D40" s="14">
        <v>1</v>
      </c>
      <c r="E40" s="14">
        <v>0.96420354993684543</v>
      </c>
      <c r="F40" s="14">
        <v>9.8833580229022136E-4</v>
      </c>
      <c r="G40" s="14">
        <v>1.0033157720937248E-14</v>
      </c>
      <c r="H40" s="14">
        <v>255.29630426491028</v>
      </c>
      <c r="I40" s="14">
        <v>171.0119740452275</v>
      </c>
      <c r="J40" s="14">
        <v>0</v>
      </c>
      <c r="K40" s="14">
        <v>1011.8018569020264</v>
      </c>
      <c r="L40" s="14">
        <v>9.8833580229022136E-4</v>
      </c>
      <c r="M40" s="14">
        <v>8.1092952577912667E-4</v>
      </c>
      <c r="N40" s="14">
        <v>99.820289263518404</v>
      </c>
      <c r="O40" s="14">
        <v>40616.875701325633</v>
      </c>
      <c r="P40" s="8">
        <v>99.820289263518404</v>
      </c>
      <c r="Q40" s="54">
        <v>1.9073329884253933E-3</v>
      </c>
    </row>
    <row r="41" spans="1:17">
      <c r="A41" s="2" t="s">
        <v>371</v>
      </c>
      <c r="B41" s="16" t="s">
        <v>372</v>
      </c>
      <c r="D41" s="14">
        <v>1</v>
      </c>
      <c r="E41" s="14">
        <v>0.93278665321538801</v>
      </c>
      <c r="F41" s="14">
        <v>0.93639424256672843</v>
      </c>
      <c r="G41" s="14">
        <v>9.2804112624566713E-4</v>
      </c>
      <c r="H41" s="14">
        <v>8.1159382633894835E-3</v>
      </c>
      <c r="I41" s="14">
        <v>3.761801762055525E-2</v>
      </c>
      <c r="J41" s="14">
        <v>0</v>
      </c>
      <c r="K41" s="14">
        <v>1.0679262585584925</v>
      </c>
      <c r="L41" s="14">
        <v>0.93639424256672854</v>
      </c>
      <c r="M41" s="14">
        <v>0.76831147602600081</v>
      </c>
      <c r="N41" s="14">
        <v>0.80105874343683015</v>
      </c>
      <c r="O41" s="14">
        <v>112.30042524240922</v>
      </c>
      <c r="P41" s="8">
        <v>0.80105874343683015</v>
      </c>
      <c r="Q41" s="54">
        <v>3.156428132838029E-3</v>
      </c>
    </row>
    <row r="42" spans="1:17">
      <c r="A42" s="2" t="s">
        <v>293</v>
      </c>
      <c r="B42" s="16" t="s">
        <v>294</v>
      </c>
      <c r="D42" s="14">
        <v>1</v>
      </c>
      <c r="E42" s="14">
        <v>0.84618996052623452</v>
      </c>
      <c r="F42" s="14">
        <v>0.63551321287247331</v>
      </c>
      <c r="G42" s="14">
        <v>2.3497035445976063E-10</v>
      </c>
      <c r="H42" s="14">
        <v>48.21526791729309</v>
      </c>
      <c r="I42" s="14">
        <v>114.50956242794517</v>
      </c>
      <c r="J42" s="14">
        <v>0</v>
      </c>
      <c r="K42" s="14">
        <v>1.5735314069711832</v>
      </c>
      <c r="L42" s="14">
        <v>0.63551321287247331</v>
      </c>
      <c r="M42" s="14">
        <v>0.52143859116186442</v>
      </c>
      <c r="N42" s="14">
        <v>5.747726205006626</v>
      </c>
      <c r="O42" s="14">
        <v>1898.8188290859889</v>
      </c>
      <c r="P42" s="8">
        <v>5.747726205006626</v>
      </c>
      <c r="Q42" s="54">
        <v>0.24290796470630141</v>
      </c>
    </row>
    <row r="43" spans="1:17">
      <c r="A43" s="2" t="s">
        <v>373</v>
      </c>
      <c r="B43" s="16" t="s">
        <v>374</v>
      </c>
      <c r="D43" s="14">
        <v>1</v>
      </c>
      <c r="E43" s="14">
        <v>0.99879442384020045</v>
      </c>
      <c r="F43" s="14">
        <v>8.8449705972300022E-3</v>
      </c>
      <c r="G43" s="14">
        <v>4.7893790831392312E-10</v>
      </c>
      <c r="H43" s="14">
        <v>281.13595607621897</v>
      </c>
      <c r="I43" s="14">
        <v>2.1978595204675124</v>
      </c>
      <c r="J43" s="14">
        <v>0</v>
      </c>
      <c r="K43" s="14">
        <v>113.0586008180934</v>
      </c>
      <c r="L43" s="14">
        <v>8.8449705972300022E-3</v>
      </c>
      <c r="M43" s="14">
        <v>7.2572983750272164E-3</v>
      </c>
      <c r="N43" s="14">
        <v>2.9644671761985459</v>
      </c>
      <c r="O43" s="14">
        <v>789.55618770872059</v>
      </c>
      <c r="P43" s="8">
        <v>2.9644671761985459</v>
      </c>
      <c r="Q43" s="54">
        <v>2.8457708756861788E-4</v>
      </c>
    </row>
    <row r="44" spans="1:17">
      <c r="A44" s="2" t="s">
        <v>375</v>
      </c>
      <c r="B44" s="16" t="s">
        <v>376</v>
      </c>
      <c r="D44" s="14">
        <v>1</v>
      </c>
      <c r="E44" s="14">
        <v>0.86740076331927074</v>
      </c>
      <c r="F44" s="14">
        <v>0.84270577535492786</v>
      </c>
      <c r="G44" s="14">
        <v>1.0421361424768211E-3</v>
      </c>
      <c r="H44" s="14">
        <v>6.0939090794492401</v>
      </c>
      <c r="I44" s="14">
        <v>17.208901194348176</v>
      </c>
      <c r="J44" s="14">
        <v>0</v>
      </c>
      <c r="K44" s="14">
        <v>1.1866537874133158</v>
      </c>
      <c r="L44" s="14">
        <v>0.84270577535492786</v>
      </c>
      <c r="M44" s="14">
        <v>0.69144008867871831</v>
      </c>
      <c r="N44" s="14">
        <v>1.4892252907204766</v>
      </c>
      <c r="O44" s="14">
        <v>222.49025843363921</v>
      </c>
      <c r="P44" s="8">
        <v>1.4892252907204766</v>
      </c>
      <c r="Q44" s="54">
        <v>9.4613507103843253E-2</v>
      </c>
    </row>
    <row r="45" spans="1:17">
      <c r="A45" s="2" t="s">
        <v>377</v>
      </c>
      <c r="B45" s="16" t="s">
        <v>378</v>
      </c>
      <c r="D45" s="14">
        <v>1</v>
      </c>
      <c r="E45" s="14">
        <v>0.83880653080076673</v>
      </c>
      <c r="F45" s="14">
        <v>0.59720127789605537</v>
      </c>
      <c r="G45" s="14">
        <v>9.0051140190259316E-6</v>
      </c>
      <c r="H45" s="14">
        <v>55.342749079906859</v>
      </c>
      <c r="I45" s="14">
        <v>129.51435264136057</v>
      </c>
      <c r="J45" s="14">
        <v>0</v>
      </c>
      <c r="K45" s="14">
        <v>1.6744773278500134</v>
      </c>
      <c r="L45" s="14">
        <v>0.59720127789605537</v>
      </c>
      <c r="M45" s="14">
        <v>0.49000364851371342</v>
      </c>
      <c r="N45" s="14">
        <v>6.4051686800856347</v>
      </c>
      <c r="O45" s="14">
        <v>1423.4846874622315</v>
      </c>
      <c r="P45" s="8">
        <v>6.4051686800856356</v>
      </c>
      <c r="Q45" s="54">
        <v>0.25334824438742143</v>
      </c>
    </row>
    <row r="46" spans="1:17">
      <c r="A46" s="2" t="s">
        <v>379</v>
      </c>
      <c r="B46" s="16" t="s">
        <v>380</v>
      </c>
      <c r="D46" s="14">
        <v>1</v>
      </c>
      <c r="E46" s="14">
        <v>0.84193941806135142</v>
      </c>
      <c r="F46" s="14">
        <v>0.62033701108701322</v>
      </c>
      <c r="G46" s="14">
        <v>2.6958528365317368E-5</v>
      </c>
      <c r="H46" s="14">
        <v>50.73033067612495</v>
      </c>
      <c r="I46" s="14">
        <v>119.81877191442577</v>
      </c>
      <c r="J46" s="14">
        <v>0</v>
      </c>
      <c r="K46" s="14">
        <v>1.6120269823135418</v>
      </c>
      <c r="L46" s="14">
        <v>0.62033701108701322</v>
      </c>
      <c r="M46" s="14">
        <v>0.50898651759689428</v>
      </c>
      <c r="N46" s="14">
        <v>5.978911200997346</v>
      </c>
      <c r="O46" s="14">
        <v>768.64882400021884</v>
      </c>
      <c r="P46" s="8">
        <v>5.9789112009973469</v>
      </c>
      <c r="Q46" s="54">
        <v>0.24656127317876902</v>
      </c>
    </row>
    <row r="47" spans="1:17">
      <c r="A47" s="2" t="s">
        <v>381</v>
      </c>
      <c r="B47" s="16" t="s">
        <v>382</v>
      </c>
      <c r="D47" s="14">
        <v>1</v>
      </c>
      <c r="E47" s="14">
        <v>0.93377021335341315</v>
      </c>
      <c r="F47" s="14">
        <v>6.8101885114418034E-4</v>
      </c>
      <c r="G47" s="14">
        <v>4.8516294251048776E-10</v>
      </c>
      <c r="H47" s="14">
        <v>71.492277709001002</v>
      </c>
      <c r="I47" s="14">
        <v>1793.5616302494973</v>
      </c>
      <c r="J47" s="14">
        <v>0</v>
      </c>
      <c r="K47" s="14">
        <v>1468.388133925954</v>
      </c>
      <c r="L47" s="14">
        <v>6.8101885114418034E-4</v>
      </c>
      <c r="M47" s="14">
        <v>5.5877596736380003E-4</v>
      </c>
      <c r="N47" s="14">
        <v>87.60838164111216</v>
      </c>
      <c r="O47" s="14">
        <v>34280.283652350779</v>
      </c>
      <c r="P47" s="8">
        <v>87.608381641112175</v>
      </c>
      <c r="Q47" s="54">
        <v>5.7374155279352579E-2</v>
      </c>
    </row>
    <row r="48" spans="1:17">
      <c r="A48" s="2" t="s">
        <v>383</v>
      </c>
      <c r="B48" s="16" t="s">
        <v>384</v>
      </c>
      <c r="D48" s="14">
        <v>1</v>
      </c>
      <c r="E48" s="14">
        <v>0.95613836163586385</v>
      </c>
      <c r="F48" s="14">
        <v>0.9510406987840947</v>
      </c>
      <c r="G48" s="14">
        <v>1.3719162182757212E-4</v>
      </c>
      <c r="H48" s="14">
        <v>1.8736958829031525</v>
      </c>
      <c r="I48" s="14">
        <v>5.8231271513224518</v>
      </c>
      <c r="J48" s="14">
        <v>0</v>
      </c>
      <c r="K48" s="14">
        <v>1.0514797119392467</v>
      </c>
      <c r="L48" s="14">
        <v>0.95104069878409481</v>
      </c>
      <c r="M48" s="14">
        <v>0.78032889335234978</v>
      </c>
      <c r="N48" s="14">
        <v>1.0701278247490156</v>
      </c>
      <c r="O48" s="14">
        <v>99.661004318875825</v>
      </c>
      <c r="P48" s="8">
        <v>1.0701278247490156</v>
      </c>
      <c r="Q48" s="54">
        <v>5.4219595504468907E-2</v>
      </c>
    </row>
    <row r="49" spans="1:17">
      <c r="A49" s="2" t="s">
        <v>385</v>
      </c>
      <c r="B49" s="16" t="s">
        <v>386</v>
      </c>
      <c r="D49" s="14">
        <v>1</v>
      </c>
      <c r="E49" s="14">
        <v>0.93574194074268624</v>
      </c>
      <c r="F49" s="14">
        <v>0.92354587894028517</v>
      </c>
      <c r="G49" s="14">
        <v>2.6066754542112706E-4</v>
      </c>
      <c r="H49" s="14">
        <v>3.3998399652607678</v>
      </c>
      <c r="I49" s="14">
        <v>10.090568744969689</v>
      </c>
      <c r="J49" s="14">
        <v>0</v>
      </c>
      <c r="K49" s="14">
        <v>1.0827832409879208</v>
      </c>
      <c r="L49" s="14">
        <v>0.92354587894028517</v>
      </c>
      <c r="M49" s="14">
        <v>0.757769393670504</v>
      </c>
      <c r="N49" s="14">
        <v>1.2377629041635625</v>
      </c>
      <c r="O49" s="14">
        <v>137.54021391065507</v>
      </c>
      <c r="P49" s="8">
        <v>1.2377629041635625</v>
      </c>
      <c r="Q49" s="54">
        <v>7.2931583900359392E-2</v>
      </c>
    </row>
    <row r="50" spans="1:17">
      <c r="A50" s="2" t="s">
        <v>387</v>
      </c>
      <c r="B50" s="16" t="s">
        <v>388</v>
      </c>
      <c r="D50" s="14">
        <v>1</v>
      </c>
      <c r="E50" s="14">
        <v>0.86984936760907072</v>
      </c>
      <c r="F50" s="14">
        <v>8.7742772132094388E-2</v>
      </c>
      <c r="G50" s="14">
        <v>8.4933659942046426E-5</v>
      </c>
      <c r="H50" s="14">
        <v>185.20442178563735</v>
      </c>
      <c r="I50" s="14">
        <v>344.27740602439349</v>
      </c>
      <c r="J50" s="14">
        <v>0</v>
      </c>
      <c r="K50" s="14">
        <v>11.396950149859942</v>
      </c>
      <c r="L50" s="14">
        <v>8.7742772132094402E-2</v>
      </c>
      <c r="M50" s="14">
        <v>7.1992944534383457E-2</v>
      </c>
      <c r="N50" s="14">
        <v>16.087248028635351</v>
      </c>
      <c r="O50" s="14">
        <v>3176.4271232540495</v>
      </c>
      <c r="P50" s="8">
        <v>16.087248028635351</v>
      </c>
      <c r="Q50" s="54">
        <v>0.18980538167209454</v>
      </c>
    </row>
    <row r="51" spans="1:17">
      <c r="A51" s="2" t="s">
        <v>295</v>
      </c>
      <c r="B51" s="16" t="s">
        <v>296</v>
      </c>
      <c r="D51" s="14">
        <v>1</v>
      </c>
      <c r="E51" s="14">
        <v>0.93418277355562496</v>
      </c>
      <c r="F51" s="14">
        <v>0.93638558728924037</v>
      </c>
      <c r="G51" s="14">
        <v>7.519746637365336E-4</v>
      </c>
      <c r="H51" s="14">
        <v>0.29728617995598788</v>
      </c>
      <c r="I51" s="14">
        <v>1.0568951166204985</v>
      </c>
      <c r="J51" s="14">
        <v>0</v>
      </c>
      <c r="K51" s="14">
        <v>1.0679361297037027</v>
      </c>
      <c r="L51" s="14">
        <v>0.93638558728924037</v>
      </c>
      <c r="M51" s="14">
        <v>0.76830437437082177</v>
      </c>
      <c r="N51" s="14">
        <v>0.84572448700410985</v>
      </c>
      <c r="O51" s="14">
        <v>49.119678205198696</v>
      </c>
      <c r="P51" s="8">
        <v>0.84572448700410985</v>
      </c>
      <c r="Q51" s="54">
        <v>2.0617304790383473E-2</v>
      </c>
    </row>
    <row r="52" spans="1:17">
      <c r="A52" s="2" t="s">
        <v>389</v>
      </c>
      <c r="B52" s="16" t="s">
        <v>390</v>
      </c>
      <c r="D52" s="14">
        <v>1</v>
      </c>
      <c r="E52" s="14">
        <v>0.86083616866486101</v>
      </c>
      <c r="F52" s="14">
        <v>0.81518708705759757</v>
      </c>
      <c r="G52" s="14">
        <v>8.608862657653385E-4</v>
      </c>
      <c r="H52" s="14">
        <v>10.742795080764466</v>
      </c>
      <c r="I52" s="14">
        <v>29.025149303387185</v>
      </c>
      <c r="J52" s="14">
        <v>0</v>
      </c>
      <c r="K52" s="14">
        <v>1.2267122674985946</v>
      </c>
      <c r="L52" s="14">
        <v>0.81518708705759768</v>
      </c>
      <c r="M52" s="14">
        <v>0.66886100493075884</v>
      </c>
      <c r="N52" s="14">
        <v>1.9996110294475311</v>
      </c>
      <c r="O52" s="14">
        <v>214.25832180530296</v>
      </c>
      <c r="P52" s="8">
        <v>1.9996110294475311</v>
      </c>
      <c r="Q52" s="54">
        <v>0.12513375078617048</v>
      </c>
    </row>
    <row r="53" spans="1:17">
      <c r="A53" s="2" t="s">
        <v>391</v>
      </c>
      <c r="B53" s="16" t="s">
        <v>392</v>
      </c>
      <c r="D53" s="14">
        <v>1</v>
      </c>
      <c r="E53" s="14">
        <v>0.8226765267578775</v>
      </c>
      <c r="F53" s="14">
        <v>0.46945906993301761</v>
      </c>
      <c r="G53" s="14">
        <v>2.7006370517101753E-5</v>
      </c>
      <c r="H53" s="14">
        <v>81.29011426761457</v>
      </c>
      <c r="I53" s="14">
        <v>181.67488953660927</v>
      </c>
      <c r="J53" s="14">
        <v>0</v>
      </c>
      <c r="K53" s="14">
        <v>2.130111151420889</v>
      </c>
      <c r="L53" s="14">
        <v>0.46945906993301767</v>
      </c>
      <c r="M53" s="14">
        <v>0.38519116688004096</v>
      </c>
      <c r="N53" s="14">
        <v>8.7059903928206914</v>
      </c>
      <c r="O53" s="14">
        <v>1410.5445634448085</v>
      </c>
      <c r="P53" s="8">
        <v>8.7059903928206914</v>
      </c>
      <c r="Q53" s="54">
        <v>0.27586392101826285</v>
      </c>
    </row>
    <row r="54" spans="1:17">
      <c r="A54" s="2" t="s">
        <v>393</v>
      </c>
      <c r="B54" s="16" t="s">
        <v>394</v>
      </c>
      <c r="D54" s="14">
        <v>1</v>
      </c>
      <c r="E54" s="14">
        <v>0.93213161110034082</v>
      </c>
      <c r="F54" s="14">
        <v>9.5444387183155912E-4</v>
      </c>
      <c r="G54" s="14">
        <v>2.2459437832801202E-6</v>
      </c>
      <c r="H54" s="14">
        <v>85.737416684376498</v>
      </c>
      <c r="I54" s="14">
        <v>1656.6377925531285</v>
      </c>
      <c r="J54" s="14">
        <v>0</v>
      </c>
      <c r="K54" s="14">
        <v>1047.7305470891856</v>
      </c>
      <c r="L54" s="14">
        <v>9.5444387183155923E-4</v>
      </c>
      <c r="M54" s="14">
        <v>7.8312119683779434E-4</v>
      </c>
      <c r="N54" s="14">
        <v>80.665031201008361</v>
      </c>
      <c r="O54" s="14">
        <v>18826.411632003339</v>
      </c>
      <c r="P54" s="8">
        <v>80.665031201008361</v>
      </c>
      <c r="Q54" s="54">
        <v>6.3595672562901134E-2</v>
      </c>
    </row>
    <row r="55" spans="1:17">
      <c r="A55" s="2" t="s">
        <v>395</v>
      </c>
      <c r="B55" s="16" t="s">
        <v>396</v>
      </c>
      <c r="D55" s="14">
        <v>1</v>
      </c>
      <c r="E55" s="14">
        <v>0.7339545410204118</v>
      </c>
      <c r="F55" s="14">
        <v>0.16677721821085256</v>
      </c>
      <c r="G55" s="14">
        <v>1.801628375627338E-3</v>
      </c>
      <c r="H55" s="14">
        <v>132.75067122407242</v>
      </c>
      <c r="I55" s="14">
        <v>265.15138284804186</v>
      </c>
      <c r="J55" s="14">
        <v>0</v>
      </c>
      <c r="K55" s="14">
        <v>5.996022782534502</v>
      </c>
      <c r="L55" s="14">
        <v>0.16677721821085256</v>
      </c>
      <c r="M55" s="14">
        <v>0.13684070754200453</v>
      </c>
      <c r="N55" s="14">
        <v>12.391741425558909</v>
      </c>
      <c r="O55" s="14">
        <v>1588.2494985138851</v>
      </c>
      <c r="P55" s="8">
        <v>12.391741425558909</v>
      </c>
      <c r="Q55" s="54">
        <v>0.2170170703863693</v>
      </c>
    </row>
    <row r="56" spans="1:17">
      <c r="A56" s="2" t="s">
        <v>397</v>
      </c>
      <c r="B56" s="16" t="s">
        <v>398</v>
      </c>
      <c r="D56" s="14">
        <v>1</v>
      </c>
      <c r="E56" s="14">
        <v>0.38750408176516576</v>
      </c>
      <c r="F56" s="14">
        <v>1.9662055967740601E-2</v>
      </c>
      <c r="G56" s="14">
        <v>8.1526240487091364E-3</v>
      </c>
      <c r="H56" s="14">
        <v>87.875726392784046</v>
      </c>
      <c r="I56" s="14">
        <v>154.57031741062721</v>
      </c>
      <c r="J56" s="14">
        <v>0</v>
      </c>
      <c r="K56" s="14">
        <v>50.859381218357484</v>
      </c>
      <c r="L56" s="14">
        <v>1.9662055967740601E-2</v>
      </c>
      <c r="M56" s="14">
        <v>1.6132716921531162E-2</v>
      </c>
      <c r="N56" s="14">
        <v>7.2432900645538778</v>
      </c>
      <c r="O56" s="14">
        <v>1314.294982213301</v>
      </c>
      <c r="P56" s="8">
        <v>7.2432900645538778</v>
      </c>
      <c r="Q56" s="54">
        <v>6.2881964164505602E-2</v>
      </c>
    </row>
    <row r="57" spans="1:17">
      <c r="A57" s="2" t="s">
        <v>399</v>
      </c>
      <c r="B57" s="16" t="s">
        <v>400</v>
      </c>
      <c r="D57" s="14">
        <v>1</v>
      </c>
      <c r="E57" s="14">
        <v>0.21010404595921531</v>
      </c>
      <c r="F57" s="14">
        <v>3.6932247868796376E-2</v>
      </c>
      <c r="G57" s="14">
        <v>1.0757571203613025E-2</v>
      </c>
      <c r="H57" s="14">
        <v>40.689817468273453</v>
      </c>
      <c r="I57" s="14">
        <v>79.349265750361255</v>
      </c>
      <c r="J57" s="14">
        <v>0</v>
      </c>
      <c r="K57" s="14">
        <v>27.076608051385037</v>
      </c>
      <c r="L57" s="14">
        <v>3.6932247868796383E-2</v>
      </c>
      <c r="M57" s="14">
        <v>3.0302909376347432E-2</v>
      </c>
      <c r="N57" s="14">
        <v>3.7055139380862672</v>
      </c>
      <c r="O57" s="14">
        <v>544.71054889868128</v>
      </c>
      <c r="P57" s="8">
        <v>3.7055139380862672</v>
      </c>
      <c r="Q57" s="54">
        <v>5.6930226596271262E-2</v>
      </c>
    </row>
    <row r="58" spans="1:17">
      <c r="A58" s="2" t="s">
        <v>297</v>
      </c>
      <c r="B58" s="16" t="s">
        <v>298</v>
      </c>
      <c r="D58" s="14">
        <v>1</v>
      </c>
      <c r="E58" s="14">
        <v>7.6690189109863541E-2</v>
      </c>
      <c r="F58" s="14">
        <v>7.5336563351445826E-2</v>
      </c>
      <c r="G58" s="14">
        <v>1.3129079940599241E-2</v>
      </c>
      <c r="H58" s="14">
        <v>0.35612774108592365</v>
      </c>
      <c r="I58" s="14">
        <v>1.0376788756586128</v>
      </c>
      <c r="J58" s="14">
        <v>0</v>
      </c>
      <c r="K58" s="14">
        <v>13.273767152544375</v>
      </c>
      <c r="L58" s="14">
        <v>7.5336563351445826E-2</v>
      </c>
      <c r="M58" s="14">
        <v>6.1813650229861301E-2</v>
      </c>
      <c r="N58" s="14">
        <v>0.11060030374024263</v>
      </c>
      <c r="O58" s="14">
        <v>9.3932837966588068</v>
      </c>
      <c r="P58" s="8">
        <v>0.11060030374024264</v>
      </c>
      <c r="Q58" s="54">
        <v>6.7773977752951737E-3</v>
      </c>
    </row>
    <row r="59" spans="1:17">
      <c r="A59" s="2" t="s">
        <v>401</v>
      </c>
      <c r="B59" s="16" t="s">
        <v>402</v>
      </c>
      <c r="D59" s="14">
        <v>1</v>
      </c>
      <c r="E59" s="14">
        <v>8.2251270412096261E-2</v>
      </c>
      <c r="F59" s="14">
        <v>1.5362763260705436E-2</v>
      </c>
      <c r="G59" s="14">
        <v>1.2900241060959499E-2</v>
      </c>
      <c r="H59" s="14">
        <v>15.702519382582128</v>
      </c>
      <c r="I59" s="14">
        <v>30.791192505287871</v>
      </c>
      <c r="J59" s="14">
        <v>0</v>
      </c>
      <c r="K59" s="14">
        <v>65.092456547695406</v>
      </c>
      <c r="L59" s="14">
        <v>1.5362763260705436E-2</v>
      </c>
      <c r="M59" s="14">
        <v>1.2605147255408811E-2</v>
      </c>
      <c r="N59" s="14">
        <v>1.438053084622406</v>
      </c>
      <c r="O59" s="14">
        <v>238.47234302293361</v>
      </c>
      <c r="P59" s="8">
        <v>1.4380530846224062</v>
      </c>
      <c r="Q59" s="54">
        <v>2.2773328402244594E-2</v>
      </c>
    </row>
    <row r="60" spans="1:17">
      <c r="A60" s="2" t="s">
        <v>299</v>
      </c>
      <c r="B60" s="16" t="s">
        <v>300</v>
      </c>
      <c r="D60" s="14">
        <v>1</v>
      </c>
      <c r="E60" s="14">
        <v>1.6912006297002049E-3</v>
      </c>
      <c r="F60" s="14">
        <v>5.7791373633495947E-4</v>
      </c>
      <c r="G60" s="14">
        <v>1.4256453600484657E-2</v>
      </c>
      <c r="H60" s="14">
        <v>0.25881117071380089</v>
      </c>
      <c r="I60" s="14">
        <v>0.53931212956720076</v>
      </c>
      <c r="J60" s="14">
        <v>0</v>
      </c>
      <c r="K60" s="14">
        <v>1730.3620542779393</v>
      </c>
      <c r="L60" s="14">
        <v>5.7791373633495958E-4</v>
      </c>
      <c r="M60" s="14">
        <v>4.7417822066283432E-4</v>
      </c>
      <c r="N60" s="14">
        <v>2.5309663946599493E-2</v>
      </c>
      <c r="O60" s="14">
        <v>2.0789357965736825</v>
      </c>
      <c r="P60" s="8">
        <v>2.5309663946599496E-2</v>
      </c>
      <c r="Q60" s="54">
        <v>5.5723731126199071E-4</v>
      </c>
    </row>
    <row r="61" spans="1:17">
      <c r="A61" s="2" t="s">
        <v>403</v>
      </c>
      <c r="B61" s="16" t="s">
        <v>404</v>
      </c>
      <c r="D61" s="14">
        <v>1</v>
      </c>
      <c r="E61" s="14">
        <v>0.8214263366294231</v>
      </c>
      <c r="F61" s="14">
        <v>0.35262302268017637</v>
      </c>
      <c r="G61" s="14">
        <v>6.1455272902000481E-46</v>
      </c>
      <c r="H61" s="14">
        <v>108.52521724543222</v>
      </c>
      <c r="I61" s="14">
        <v>232.4811978540379</v>
      </c>
      <c r="J61" s="14">
        <v>0</v>
      </c>
      <c r="K61" s="14">
        <v>2.8358897056673027</v>
      </c>
      <c r="L61" s="14">
        <v>0.35262302268017637</v>
      </c>
      <c r="M61" s="14">
        <v>0.2893271901090847</v>
      </c>
      <c r="N61" s="14">
        <v>10.970984786488756</v>
      </c>
      <c r="O61" s="14">
        <v>13193.816014079242</v>
      </c>
      <c r="P61" s="8">
        <v>10.970984786488756</v>
      </c>
      <c r="Q61" s="54">
        <v>0.27963262183135068</v>
      </c>
    </row>
    <row r="62" spans="1:17">
      <c r="A62" s="2" t="s">
        <v>405</v>
      </c>
      <c r="B62" s="16" t="s">
        <v>406</v>
      </c>
      <c r="D62" s="14">
        <v>1</v>
      </c>
      <c r="E62" s="14">
        <v>0.93270932646881521</v>
      </c>
      <c r="F62" s="14">
        <v>4.1476557163181473E-3</v>
      </c>
      <c r="G62" s="14">
        <v>1.2705483235727243E-9</v>
      </c>
      <c r="H62" s="14">
        <v>169.45824324551188</v>
      </c>
      <c r="I62" s="14">
        <v>874.62093931192749</v>
      </c>
      <c r="J62" s="14">
        <v>0</v>
      </c>
      <c r="K62" s="14">
        <v>241.10004985845231</v>
      </c>
      <c r="L62" s="14">
        <v>4.1476557163181473E-3</v>
      </c>
      <c r="M62" s="14">
        <v>3.4031515152390399E-3</v>
      </c>
      <c r="N62" s="14">
        <v>41.916864620207164</v>
      </c>
      <c r="O62" s="14">
        <v>13365.611452799258</v>
      </c>
      <c r="P62" s="8">
        <v>41.916864620207171</v>
      </c>
      <c r="Q62" s="54">
        <v>8.4415047772474841E-2</v>
      </c>
    </row>
    <row r="63" spans="1:17">
      <c r="A63" s="2" t="s">
        <v>407</v>
      </c>
      <c r="B63" s="16" t="s">
        <v>408</v>
      </c>
      <c r="D63" s="14">
        <v>1</v>
      </c>
      <c r="E63" s="14">
        <v>0.93688015594375584</v>
      </c>
      <c r="F63" s="14">
        <v>3.6940728299709666E-4</v>
      </c>
      <c r="G63" s="14">
        <v>2.9654727741081142E-7</v>
      </c>
      <c r="H63" s="14">
        <v>50.718389366160856</v>
      </c>
      <c r="I63" s="14">
        <v>1994.9068621373956</v>
      </c>
      <c r="J63" s="14">
        <v>0</v>
      </c>
      <c r="K63" s="14">
        <v>2707.0392112649802</v>
      </c>
      <c r="L63" s="14">
        <v>3.6940728299709671E-4</v>
      </c>
      <c r="M63" s="14">
        <v>3.0309867569911782E-4</v>
      </c>
      <c r="N63" s="14">
        <v>97.975720137906904</v>
      </c>
      <c r="O63" s="14">
        <v>47595.625085793799</v>
      </c>
      <c r="P63" s="8">
        <v>97.975720137906904</v>
      </c>
      <c r="Q63" s="54">
        <v>4.6614671091761616E-2</v>
      </c>
    </row>
    <row r="64" spans="1:17">
      <c r="A64" s="2" t="s">
        <v>409</v>
      </c>
      <c r="B64" s="16" t="s">
        <v>410</v>
      </c>
      <c r="D64" s="14">
        <v>1</v>
      </c>
      <c r="E64" s="14">
        <v>0.94228732428379103</v>
      </c>
      <c r="F64" s="14">
        <v>1.2665720561047376E-4</v>
      </c>
      <c r="G64" s="14">
        <v>3.6331086830565287E-8</v>
      </c>
      <c r="H64" s="14">
        <v>27.042690772842285</v>
      </c>
      <c r="I64" s="14">
        <v>2228.9846253249016</v>
      </c>
      <c r="J64" s="14">
        <v>0</v>
      </c>
      <c r="K64" s="14">
        <v>7895.3265641706712</v>
      </c>
      <c r="L64" s="14">
        <v>1.2665720561047376E-4</v>
      </c>
      <c r="M64" s="14">
        <v>1.0392223720339373E-4</v>
      </c>
      <c r="N64" s="14">
        <v>110.46031960820659</v>
      </c>
      <c r="O64" s="14">
        <v>62375.837879558181</v>
      </c>
      <c r="P64" s="8">
        <v>110.46031960820659</v>
      </c>
      <c r="Q64" s="54">
        <v>3.1067554788190448E-2</v>
      </c>
    </row>
    <row r="65" spans="1:17">
      <c r="A65" s="2" t="s">
        <v>301</v>
      </c>
      <c r="B65" s="16" t="s">
        <v>302</v>
      </c>
      <c r="D65" s="14">
        <v>1</v>
      </c>
      <c r="E65" s="14">
        <v>0.94722701395148046</v>
      </c>
      <c r="F65" s="14">
        <v>3.5249927846216716E-5</v>
      </c>
      <c r="G65" s="14">
        <v>4.4492490875585417E-9</v>
      </c>
      <c r="H65" s="14">
        <v>12.435356274135513</v>
      </c>
      <c r="I65" s="14">
        <v>2377.4719577027222</v>
      </c>
      <c r="J65" s="14">
        <v>0</v>
      </c>
      <c r="K65" s="14">
        <v>28368.852394894398</v>
      </c>
      <c r="L65" s="14">
        <v>3.5249927846216723E-5</v>
      </c>
      <c r="M65" s="14">
        <v>2.8922565797820818E-5</v>
      </c>
      <c r="N65" s="14">
        <v>119.03305401897545</v>
      </c>
      <c r="O65" s="14">
        <v>76607.292905532217</v>
      </c>
      <c r="P65" s="8">
        <v>119.03305401897545</v>
      </c>
      <c r="Q65" s="54">
        <v>1.8412612065875269E-2</v>
      </c>
    </row>
    <row r="66" spans="1:17">
      <c r="A66" s="2" t="s">
        <v>303</v>
      </c>
      <c r="B66" s="16" t="s">
        <v>304</v>
      </c>
      <c r="D66" s="14">
        <v>1</v>
      </c>
      <c r="E66" s="14">
        <v>0.9446281335904283</v>
      </c>
      <c r="F66" s="14">
        <v>7.3414497203407839E-5</v>
      </c>
      <c r="G66" s="14">
        <v>4.3144984415720346E-15</v>
      </c>
      <c r="H66" s="14">
        <v>19.462643548584417</v>
      </c>
      <c r="I66" s="14">
        <v>2305.4674742920029</v>
      </c>
      <c r="J66" s="14">
        <v>0</v>
      </c>
      <c r="K66" s="14">
        <v>13621.287866745492</v>
      </c>
      <c r="L66" s="14">
        <v>7.3414497203407839E-5</v>
      </c>
      <c r="M66" s="14">
        <v>6.0236594955396131E-5</v>
      </c>
      <c r="N66" s="14">
        <v>114.75611889574409</v>
      </c>
      <c r="O66" s="14">
        <v>74053.271084612614</v>
      </c>
      <c r="P66" s="8">
        <v>114.75611889574409</v>
      </c>
      <c r="Q66" s="54">
        <v>2.4943592307325613E-2</v>
      </c>
    </row>
    <row r="67" spans="1:17">
      <c r="A67" s="2" t="s">
        <v>411</v>
      </c>
      <c r="B67" s="16" t="s">
        <v>412</v>
      </c>
      <c r="D67" s="14">
        <v>1</v>
      </c>
      <c r="E67" s="14">
        <v>0.92585756057034851</v>
      </c>
      <c r="F67" s="14">
        <v>0.8932375033801695</v>
      </c>
      <c r="G67" s="14">
        <v>5.6714673561686657E-5</v>
      </c>
      <c r="H67" s="14">
        <v>7.8898173437920995</v>
      </c>
      <c r="I67" s="14">
        <v>21.954528765679274</v>
      </c>
      <c r="J67" s="14">
        <v>0</v>
      </c>
      <c r="K67" s="14">
        <v>1.1195230789300965</v>
      </c>
      <c r="L67" s="14">
        <v>0.89323750338016961</v>
      </c>
      <c r="M67" s="14">
        <v>0.73290137152342916</v>
      </c>
      <c r="N67" s="14">
        <v>1.7459833432252658</v>
      </c>
      <c r="O67" s="14">
        <v>523.96960130190234</v>
      </c>
      <c r="P67" s="8">
        <v>1.7459833432252658</v>
      </c>
      <c r="Q67" s="54">
        <v>0.1113074208874911</v>
      </c>
    </row>
    <row r="68" spans="1:17">
      <c r="A68" s="2" t="s">
        <v>413</v>
      </c>
      <c r="B68" s="16" t="s">
        <v>414</v>
      </c>
      <c r="D68" s="14">
        <v>1</v>
      </c>
      <c r="E68" s="14">
        <v>0.89882499600834687</v>
      </c>
      <c r="F68" s="14">
        <v>0.83791054970332324</v>
      </c>
      <c r="G68" s="14">
        <v>1.2516593447942933E-4</v>
      </c>
      <c r="H68" s="14">
        <v>14.179393611513307</v>
      </c>
      <c r="I68" s="14">
        <v>37.610995550628139</v>
      </c>
      <c r="J68" s="14">
        <v>0</v>
      </c>
      <c r="K68" s="14">
        <v>1.1934448138337288</v>
      </c>
      <c r="L68" s="14">
        <v>0.83791054970332324</v>
      </c>
      <c r="M68" s="14">
        <v>0.68750560603157673</v>
      </c>
      <c r="N68" s="14">
        <v>2.4075290439815951</v>
      </c>
      <c r="O68" s="14">
        <v>790.0306557825603</v>
      </c>
      <c r="P68" s="8">
        <v>2.4075290439815951</v>
      </c>
      <c r="Q68" s="54">
        <v>0.14652604561522029</v>
      </c>
    </row>
    <row r="69" spans="1:17">
      <c r="A69" s="2" t="s">
        <v>415</v>
      </c>
      <c r="B69" s="16" t="s">
        <v>416</v>
      </c>
      <c r="D69" s="14">
        <v>1</v>
      </c>
      <c r="E69" s="14">
        <v>0.92994355648607596</v>
      </c>
      <c r="F69" s="14">
        <v>1.4875146249118687E-3</v>
      </c>
      <c r="G69" s="14">
        <v>1.4541517557268034E-5</v>
      </c>
      <c r="H69" s="14">
        <v>107.61708997480171</v>
      </c>
      <c r="I69" s="14">
        <v>1446.8996616337772</v>
      </c>
      <c r="J69" s="14">
        <v>0</v>
      </c>
      <c r="K69" s="14">
        <v>672.26229796513587</v>
      </c>
      <c r="L69" s="14">
        <v>1.4875146249118687E-3</v>
      </c>
      <c r="M69" s="14">
        <v>1.2205057497401883E-3</v>
      </c>
      <c r="N69" s="14">
        <v>70.144684780943393</v>
      </c>
      <c r="O69" s="14">
        <v>32552.745313140207</v>
      </c>
      <c r="P69" s="8">
        <v>70.144684780943393</v>
      </c>
      <c r="Q69" s="54">
        <v>7.1554741164034472E-2</v>
      </c>
    </row>
    <row r="70" spans="1:17">
      <c r="A70" s="2" t="s">
        <v>417</v>
      </c>
      <c r="B70" s="16" t="s">
        <v>418</v>
      </c>
      <c r="D70" s="14">
        <v>1</v>
      </c>
      <c r="E70" s="14">
        <v>0.91709140329238725</v>
      </c>
      <c r="F70" s="14">
        <v>2.8269903788968511E-2</v>
      </c>
      <c r="G70" s="14">
        <v>3.8927168783453639E-5</v>
      </c>
      <c r="H70" s="14">
        <v>213.61135282118747</v>
      </c>
      <c r="I70" s="14">
        <v>361.47769244811479</v>
      </c>
      <c r="J70" s="14">
        <v>0</v>
      </c>
      <c r="K70" s="14">
        <v>35.373307509812619</v>
      </c>
      <c r="L70" s="14">
        <v>2.8269903788968511E-2</v>
      </c>
      <c r="M70" s="14">
        <v>2.3195456058848665E-2</v>
      </c>
      <c r="N70" s="14">
        <v>16.98566672160494</v>
      </c>
      <c r="O70" s="14">
        <v>5334.3486339200308</v>
      </c>
      <c r="P70" s="8">
        <v>16.98566672160494</v>
      </c>
      <c r="Q70" s="54">
        <v>0.11887252868684976</v>
      </c>
    </row>
    <row r="71" spans="1:17">
      <c r="A71" s="2" t="s">
        <v>419</v>
      </c>
      <c r="B71" s="16" t="s">
        <v>420</v>
      </c>
      <c r="D71" s="14">
        <v>1</v>
      </c>
      <c r="E71" s="14">
        <v>0.89101504822407351</v>
      </c>
      <c r="F71" s="14">
        <v>0.83622447551909207</v>
      </c>
      <c r="G71" s="14">
        <v>3.064582819156543E-4</v>
      </c>
      <c r="H71" s="14">
        <v>12.803917724814038</v>
      </c>
      <c r="I71" s="14">
        <v>34.213700203577446</v>
      </c>
      <c r="J71" s="14">
        <v>0</v>
      </c>
      <c r="K71" s="14">
        <v>1.1958511491537522</v>
      </c>
      <c r="L71" s="14">
        <v>0.83622447551909207</v>
      </c>
      <c r="M71" s="14">
        <v>0.68612218216341503</v>
      </c>
      <c r="N71" s="14">
        <v>2.2521887840952024</v>
      </c>
      <c r="O71" s="14">
        <v>482.05848734773713</v>
      </c>
      <c r="P71" s="8">
        <v>2.2521887840952024</v>
      </c>
      <c r="Q71" s="54">
        <v>0.13880338122135069</v>
      </c>
    </row>
    <row r="72" spans="1:17">
      <c r="A72" s="2" t="s">
        <v>421</v>
      </c>
      <c r="B72" s="16" t="s">
        <v>422</v>
      </c>
      <c r="D72" s="14">
        <v>1</v>
      </c>
      <c r="E72" s="14">
        <v>0.90367041015242333</v>
      </c>
      <c r="F72" s="14">
        <v>3.2927578460845375E-2</v>
      </c>
      <c r="G72" s="14">
        <v>1.6446302761455431E-4</v>
      </c>
      <c r="H72" s="14">
        <v>208.85255533479221</v>
      </c>
      <c r="I72" s="14">
        <v>358.01148914083348</v>
      </c>
      <c r="J72" s="14">
        <v>0</v>
      </c>
      <c r="K72" s="14">
        <v>30.369679361302364</v>
      </c>
      <c r="L72" s="14">
        <v>3.2927578460845375E-2</v>
      </c>
      <c r="M72" s="14">
        <v>2.7017078127123631E-2</v>
      </c>
      <c r="N72" s="14">
        <v>16.80661324311134</v>
      </c>
      <c r="O72" s="14">
        <v>6959.1143455751117</v>
      </c>
      <c r="P72" s="8">
        <v>16.80661324311134</v>
      </c>
      <c r="Q72" s="54">
        <v>0.12638541651777987</v>
      </c>
    </row>
    <row r="73" spans="1:17">
      <c r="A73" s="2" t="s">
        <v>423</v>
      </c>
      <c r="B73" s="16" t="s">
        <v>424</v>
      </c>
      <c r="D73" s="14">
        <v>1</v>
      </c>
      <c r="E73" s="14">
        <v>0.81204159595079395</v>
      </c>
      <c r="F73" s="14">
        <v>0.32423895678947667</v>
      </c>
      <c r="G73" s="14">
        <v>1.7881900792560216E-4</v>
      </c>
      <c r="H73" s="14">
        <v>113.07984211151204</v>
      </c>
      <c r="I73" s="14">
        <v>240.01719954031952</v>
      </c>
      <c r="J73" s="14">
        <v>0</v>
      </c>
      <c r="K73" s="14">
        <v>3.0841451314231945</v>
      </c>
      <c r="L73" s="14">
        <v>0.32423895678947667</v>
      </c>
      <c r="M73" s="14">
        <v>0.26603806404576563</v>
      </c>
      <c r="N73" s="14">
        <v>11.30211514498038</v>
      </c>
      <c r="O73" s="14">
        <v>4839.2266416262501</v>
      </c>
      <c r="P73" s="8">
        <v>11.302115144980382</v>
      </c>
      <c r="Q73" s="54">
        <v>0.27443681105731316</v>
      </c>
    </row>
    <row r="74" spans="1:17">
      <c r="A74" s="2" t="s">
        <v>425</v>
      </c>
      <c r="B74" s="16" t="s">
        <v>426</v>
      </c>
      <c r="D74" s="14">
        <v>1</v>
      </c>
      <c r="E74" s="14">
        <v>0.91421285824622178</v>
      </c>
      <c r="F74" s="14">
        <v>2.9563513352890994E-2</v>
      </c>
      <c r="G74" s="14">
        <v>6.0195570165925177E-5</v>
      </c>
      <c r="H74" s="14">
        <v>212.4888003931643</v>
      </c>
      <c r="I74" s="14">
        <v>360.90526313283226</v>
      </c>
      <c r="J74" s="14">
        <v>0</v>
      </c>
      <c r="K74" s="14">
        <v>33.825478997143982</v>
      </c>
      <c r="L74" s="14">
        <v>2.9563513352890997E-2</v>
      </c>
      <c r="M74" s="14">
        <v>2.4256862706047062E-2</v>
      </c>
      <c r="N74" s="14">
        <v>16.954036105028909</v>
      </c>
      <c r="O74" s="14">
        <v>8954.782789954168</v>
      </c>
      <c r="P74" s="8">
        <v>16.954036105028912</v>
      </c>
      <c r="Q74" s="54">
        <v>0.12111368425453888</v>
      </c>
    </row>
    <row r="75" spans="1:17">
      <c r="A75" s="2" t="s">
        <v>427</v>
      </c>
      <c r="B75" s="16" t="s">
        <v>428</v>
      </c>
      <c r="D75" s="14">
        <v>1</v>
      </c>
      <c r="E75" s="14">
        <v>0.99657112389499369</v>
      </c>
      <c r="F75" s="14">
        <v>4.3232939982407398E-3</v>
      </c>
      <c r="G75" s="14">
        <v>6.0987838332186365E-12</v>
      </c>
      <c r="H75" s="14">
        <v>281.91278371985061</v>
      </c>
      <c r="I75" s="14">
        <v>1.0072252267187296</v>
      </c>
      <c r="J75" s="14">
        <v>0</v>
      </c>
      <c r="K75" s="14">
        <v>231.30511142821322</v>
      </c>
      <c r="L75" s="14">
        <v>4.3232939982407407E-3</v>
      </c>
      <c r="M75" s="14">
        <v>3.5472627255565274E-3</v>
      </c>
      <c r="N75" s="14">
        <v>9.7895743234887664</v>
      </c>
      <c r="O75" s="14">
        <v>5522.2009801367785</v>
      </c>
      <c r="P75" s="8">
        <v>9.7895743234887664</v>
      </c>
      <c r="Q75" s="54">
        <v>5.6250526850945796E-5</v>
      </c>
    </row>
    <row r="76" spans="1:17">
      <c r="A76" s="2" t="s">
        <v>429</v>
      </c>
      <c r="B76" s="16" t="s">
        <v>430</v>
      </c>
      <c r="D76" s="14">
        <v>1</v>
      </c>
      <c r="E76" s="14">
        <v>0.99657112430975781</v>
      </c>
      <c r="F76" s="14">
        <v>4.3232940000400575E-3</v>
      </c>
      <c r="G76" s="14">
        <v>1.5319452365747702E-13</v>
      </c>
      <c r="H76" s="14">
        <v>281.91278383718026</v>
      </c>
      <c r="I76" s="14">
        <v>1.0072252271379281</v>
      </c>
      <c r="J76" s="14">
        <v>0</v>
      </c>
      <c r="K76" s="14">
        <v>231.30511133194608</v>
      </c>
      <c r="L76" s="14">
        <v>4.3232940000400575E-3</v>
      </c>
      <c r="M76" s="14">
        <v>3.5472627270328673E-3</v>
      </c>
      <c r="N76" s="14">
        <v>9.789574327563102</v>
      </c>
      <c r="O76" s="14">
        <v>4896.0598084441335</v>
      </c>
      <c r="P76" s="8">
        <v>9.789574327563102</v>
      </c>
      <c r="Q76" s="54">
        <v>5.6250526874356777E-5</v>
      </c>
    </row>
    <row r="77" spans="1:17">
      <c r="A77" s="2" t="s">
        <v>431</v>
      </c>
      <c r="B77" s="16" t="s">
        <v>432</v>
      </c>
      <c r="D77" s="14">
        <v>1</v>
      </c>
      <c r="E77" s="14">
        <v>0.8410648882762487</v>
      </c>
      <c r="F77" s="14">
        <v>0.12010046393304315</v>
      </c>
      <c r="G77" s="14">
        <v>3.1221457464493792E-4</v>
      </c>
      <c r="H77" s="14">
        <v>169.91224770035657</v>
      </c>
      <c r="I77" s="14">
        <v>325.29834653386177</v>
      </c>
      <c r="J77" s="14">
        <v>0</v>
      </c>
      <c r="K77" s="14">
        <v>8.326362507288124</v>
      </c>
      <c r="L77" s="14">
        <v>0.12010046393304315</v>
      </c>
      <c r="M77" s="14">
        <v>9.8542430657061905E-2</v>
      </c>
      <c r="N77" s="14">
        <v>15.190356212464827</v>
      </c>
      <c r="O77" s="14">
        <v>5530.2010827099448</v>
      </c>
      <c r="P77" s="8">
        <v>15.190356212464827</v>
      </c>
      <c r="Q77" s="54">
        <v>0.2109025621519218</v>
      </c>
    </row>
    <row r="78" spans="1:17">
      <c r="A78" s="2" t="s">
        <v>433</v>
      </c>
      <c r="B78" s="16" t="s">
        <v>434</v>
      </c>
      <c r="D78" s="14">
        <v>1</v>
      </c>
      <c r="E78" s="14">
        <v>0.82334883845269813</v>
      </c>
      <c r="F78" s="14">
        <v>0.63332612313419978</v>
      </c>
      <c r="G78" s="14">
        <v>4.4593944566408779E-4</v>
      </c>
      <c r="H78" s="14">
        <v>43.475781955725573</v>
      </c>
      <c r="I78" s="14">
        <v>104.01705958920998</v>
      </c>
      <c r="J78" s="14">
        <v>0</v>
      </c>
      <c r="K78" s="14">
        <v>1.5789653441914049</v>
      </c>
      <c r="L78" s="14">
        <v>0.63332612313419989</v>
      </c>
      <c r="M78" s="14">
        <v>0.519644084031611</v>
      </c>
      <c r="N78" s="14">
        <v>5.2656658031846302</v>
      </c>
      <c r="O78" s="14">
        <v>1390.3990553309018</v>
      </c>
      <c r="P78" s="8">
        <v>5.2656658031846302</v>
      </c>
      <c r="Q78" s="54">
        <v>0.22977595126247194</v>
      </c>
    </row>
    <row r="79" spans="1:17">
      <c r="A79" s="2" t="s">
        <v>435</v>
      </c>
      <c r="B79" s="16" t="s">
        <v>436</v>
      </c>
      <c r="D79" s="14">
        <v>1</v>
      </c>
      <c r="E79" s="14">
        <v>0.81736782853624046</v>
      </c>
      <c r="F79" s="14">
        <v>0.4564746523994524</v>
      </c>
      <c r="G79" s="14">
        <v>1.0700526681987893E-4</v>
      </c>
      <c r="H79" s="14">
        <v>83.095339506390687</v>
      </c>
      <c r="I79" s="14">
        <v>185.02645895372922</v>
      </c>
      <c r="J79" s="14">
        <v>0</v>
      </c>
      <c r="K79" s="14">
        <v>2.1907021446722497</v>
      </c>
      <c r="L79" s="14">
        <v>0.4564746523994524</v>
      </c>
      <c r="M79" s="14">
        <v>0.37453745229375068</v>
      </c>
      <c r="N79" s="14">
        <v>8.8510308143379923</v>
      </c>
      <c r="O79" s="14">
        <v>3541.3859391247747</v>
      </c>
      <c r="P79" s="8">
        <v>8.8510308143379941</v>
      </c>
      <c r="Q79" s="54">
        <v>0.27531751269983584</v>
      </c>
    </row>
    <row r="80" spans="1:17">
      <c r="A80" s="2" t="s">
        <v>437</v>
      </c>
      <c r="B80" s="16" t="s">
        <v>438</v>
      </c>
      <c r="D80" s="14">
        <v>1</v>
      </c>
      <c r="E80" s="14">
        <v>0.99338636814975123</v>
      </c>
      <c r="F80" s="14">
        <v>2.921977437931191E-3</v>
      </c>
      <c r="G80" s="14">
        <v>2.1767338382192727E-12</v>
      </c>
      <c r="H80" s="14">
        <v>281.30461569528643</v>
      </c>
      <c r="I80" s="14">
        <v>1.9305839114948362</v>
      </c>
      <c r="J80" s="14">
        <v>0</v>
      </c>
      <c r="K80" s="14">
        <v>342.23399093321427</v>
      </c>
      <c r="L80" s="14">
        <v>2.9219774379311914E-3</v>
      </c>
      <c r="M80" s="14">
        <v>2.3974824878225426E-3</v>
      </c>
      <c r="N80" s="14">
        <v>18.954570720186211</v>
      </c>
      <c r="O80" s="14">
        <v>9744.1657158333273</v>
      </c>
      <c r="P80" s="8">
        <v>18.954570720186211</v>
      </c>
      <c r="Q80" s="54">
        <v>6.834215714076289E-5</v>
      </c>
    </row>
    <row r="81" spans="1:17">
      <c r="A81" s="2" t="s">
        <v>440</v>
      </c>
      <c r="B81" s="16" t="s">
        <v>441</v>
      </c>
      <c r="D81" s="14">
        <v>1</v>
      </c>
      <c r="E81" s="14">
        <v>0.98725902887753014</v>
      </c>
      <c r="F81" s="14">
        <v>0.98982865989194213</v>
      </c>
      <c r="G81" s="14">
        <v>2.0887598555909673E-15</v>
      </c>
      <c r="H81" s="14">
        <v>0.26379103046294156</v>
      </c>
      <c r="I81" s="14">
        <v>0.94998597823664088</v>
      </c>
      <c r="J81" s="14">
        <v>0</v>
      </c>
      <c r="K81" s="14">
        <v>1.0102758593685985</v>
      </c>
      <c r="L81" s="14">
        <v>0.98982865989194213</v>
      </c>
      <c r="M81" s="14">
        <v>0.8121544154413386</v>
      </c>
      <c r="N81" s="14">
        <v>0.88662096747708385</v>
      </c>
      <c r="O81" s="14">
        <v>245.82452944269625</v>
      </c>
      <c r="P81" s="8">
        <v>0.88662096747708385</v>
      </c>
      <c r="Q81" s="54">
        <v>1.9893774699090445E-2</v>
      </c>
    </row>
    <row r="82" spans="1:17">
      <c r="A82" s="2" t="s">
        <v>442</v>
      </c>
      <c r="B82" s="16" t="s">
        <v>443</v>
      </c>
      <c r="D82" s="14">
        <v>1</v>
      </c>
      <c r="E82" s="14">
        <v>0.89689016379457864</v>
      </c>
      <c r="F82" s="14">
        <v>0.81978184050746539</v>
      </c>
      <c r="G82" s="14">
        <v>1.043726671099924E-6</v>
      </c>
      <c r="H82" s="14">
        <v>17.813870619995541</v>
      </c>
      <c r="I82" s="14">
        <v>46.389048486197822</v>
      </c>
      <c r="J82" s="14">
        <v>0</v>
      </c>
      <c r="K82" s="14">
        <v>1.2198367304415709</v>
      </c>
      <c r="L82" s="14">
        <v>0.8197818405074655</v>
      </c>
      <c r="M82" s="14">
        <v>0.67263100013637545</v>
      </c>
      <c r="N82" s="14">
        <v>2.7905599959856002</v>
      </c>
      <c r="O82" s="14">
        <v>460.97260573686128</v>
      </c>
      <c r="P82" s="8">
        <v>2.7905599959856002</v>
      </c>
      <c r="Q82" s="54">
        <v>0.16331100993040423</v>
      </c>
    </row>
    <row r="83" spans="1:17">
      <c r="A83" s="2" t="s">
        <v>444</v>
      </c>
      <c r="B83" s="16" t="s">
        <v>445</v>
      </c>
      <c r="D83" s="14">
        <v>1</v>
      </c>
      <c r="E83" s="14">
        <v>0.84944441638749912</v>
      </c>
      <c r="F83" s="14">
        <v>0.15238093790606763</v>
      </c>
      <c r="G83" s="14">
        <v>6.7170584900845691E-6</v>
      </c>
      <c r="H83" s="14">
        <v>163.73843771956467</v>
      </c>
      <c r="I83" s="14">
        <v>319.89526594012665</v>
      </c>
      <c r="J83" s="14">
        <v>0</v>
      </c>
      <c r="K83" s="14">
        <v>6.5625006233813261</v>
      </c>
      <c r="L83" s="14">
        <v>0.15238093790606763</v>
      </c>
      <c r="M83" s="14">
        <v>0.12502855955192849</v>
      </c>
      <c r="N83" s="14">
        <v>14.939139410118834</v>
      </c>
      <c r="O83" s="14">
        <v>2692.6304872798187</v>
      </c>
      <c r="P83" s="8">
        <v>14.939139410118834</v>
      </c>
      <c r="Q83" s="54">
        <v>0.23185038056963259</v>
      </c>
    </row>
    <row r="84" spans="1:17">
      <c r="A84" s="2" t="s">
        <v>446</v>
      </c>
      <c r="B84" s="16" t="s">
        <v>447</v>
      </c>
      <c r="D84" s="14">
        <v>1</v>
      </c>
      <c r="E84" s="14">
        <v>0.97247978514695554</v>
      </c>
      <c r="F84" s="14">
        <v>0.97055627042898862</v>
      </c>
      <c r="G84" s="14">
        <v>6.5318951894980304E-17</v>
      </c>
      <c r="H84" s="14">
        <v>1.2039562893053097</v>
      </c>
      <c r="I84" s="14">
        <v>3.8713986166196985</v>
      </c>
      <c r="J84" s="14">
        <v>0</v>
      </c>
      <c r="K84" s="14">
        <v>1.030336962902725</v>
      </c>
      <c r="L84" s="14">
        <v>0.97055627042898862</v>
      </c>
      <c r="M84" s="14">
        <v>0.79634141988698515</v>
      </c>
      <c r="N84" s="14">
        <v>0.99971884298716807</v>
      </c>
      <c r="O84" s="14">
        <v>388.7806608492798</v>
      </c>
      <c r="P84" s="8">
        <v>0.99971884298716818</v>
      </c>
      <c r="Q84" s="54">
        <v>4.3477833046620569E-2</v>
      </c>
    </row>
    <row r="85" spans="1:17">
      <c r="A85" s="2" t="s">
        <v>448</v>
      </c>
      <c r="B85" s="16" t="s">
        <v>449</v>
      </c>
      <c r="D85" s="14">
        <v>1</v>
      </c>
      <c r="E85" s="14">
        <v>0.99456646500895951</v>
      </c>
      <c r="F85" s="14">
        <v>0.9982146275049435</v>
      </c>
      <c r="G85" s="14">
        <v>4.4611047125776503E-10</v>
      </c>
      <c r="H85" s="14">
        <v>4.7974883587874384E-2</v>
      </c>
      <c r="I85" s="14">
        <v>0.19600678280462189</v>
      </c>
      <c r="J85" s="14">
        <v>0</v>
      </c>
      <c r="K85" s="14">
        <v>1.0017885657511543</v>
      </c>
      <c r="L85" s="14">
        <v>0.9982146275049435</v>
      </c>
      <c r="M85" s="14">
        <v>0.81903510186780615</v>
      </c>
      <c r="N85" s="14">
        <v>0.86070462939623371</v>
      </c>
      <c r="O85" s="14">
        <v>154.27269777298093</v>
      </c>
      <c r="P85" s="8">
        <v>0.86070462939623371</v>
      </c>
      <c r="Q85" s="54">
        <v>8.2162018535201341E-3</v>
      </c>
    </row>
    <row r="86" spans="1:17">
      <c r="A86" s="2" t="s">
        <v>450</v>
      </c>
      <c r="B86" s="16" t="s">
        <v>451</v>
      </c>
      <c r="D86" s="14">
        <v>1</v>
      </c>
      <c r="E86" s="14">
        <v>0.97315543988647635</v>
      </c>
      <c r="F86" s="14">
        <v>0.97150355552531231</v>
      </c>
      <c r="G86" s="14">
        <v>1.6418855550972581E-10</v>
      </c>
      <c r="H86" s="14">
        <v>1.1463425011829824</v>
      </c>
      <c r="I86" s="14">
        <v>3.6997430680571819</v>
      </c>
      <c r="J86" s="14">
        <v>0</v>
      </c>
      <c r="K86" s="14">
        <v>1.0293323110477748</v>
      </c>
      <c r="L86" s="14">
        <v>0.97150355552531231</v>
      </c>
      <c r="M86" s="14">
        <v>0.79711866730851877</v>
      </c>
      <c r="N86" s="14">
        <v>0.99288545340480283</v>
      </c>
      <c r="O86" s="14">
        <v>259.23246302945995</v>
      </c>
      <c r="P86" s="8">
        <v>0.99288545340480294</v>
      </c>
      <c r="Q86" s="54">
        <v>4.2400557327697971E-2</v>
      </c>
    </row>
    <row r="87" spans="1:17">
      <c r="A87" s="2" t="s">
        <v>452</v>
      </c>
      <c r="B87" s="16" t="s">
        <v>453</v>
      </c>
      <c r="D87" s="14">
        <v>1</v>
      </c>
      <c r="E87" s="14">
        <v>0.93492212656768936</v>
      </c>
      <c r="F87" s="14">
        <v>5.3970915811128446E-4</v>
      </c>
      <c r="G87" s="14">
        <v>5.5668340527308391E-10</v>
      </c>
      <c r="H87" s="14">
        <v>62.86078316930422</v>
      </c>
      <c r="I87" s="14">
        <v>1876.8819523917894</v>
      </c>
      <c r="J87" s="14">
        <v>0</v>
      </c>
      <c r="K87" s="14">
        <v>1852.8497895042326</v>
      </c>
      <c r="L87" s="14">
        <v>5.3970915811128446E-4</v>
      </c>
      <c r="M87" s="14">
        <v>4.4283136423030887E-4</v>
      </c>
      <c r="N87" s="14">
        <v>91.871703234366791</v>
      </c>
      <c r="O87" s="14">
        <v>38246.190056466898</v>
      </c>
      <c r="P87" s="8">
        <v>91.871703234366791</v>
      </c>
      <c r="Q87" s="54">
        <v>5.3166363749160284E-2</v>
      </c>
    </row>
    <row r="88" spans="1:17">
      <c r="A88" s="2" t="s">
        <v>454</v>
      </c>
      <c r="B88" s="16" t="s">
        <v>455</v>
      </c>
      <c r="D88" s="14">
        <v>1</v>
      </c>
      <c r="E88" s="14">
        <v>0.86371379043136709</v>
      </c>
      <c r="F88" s="14">
        <v>0.71298015339709908</v>
      </c>
      <c r="G88" s="14">
        <v>5.2466963293243016E-7</v>
      </c>
      <c r="H88" s="14">
        <v>34.487160717422611</v>
      </c>
      <c r="I88" s="14">
        <v>84.667085779188028</v>
      </c>
      <c r="J88" s="14">
        <v>0</v>
      </c>
      <c r="K88" s="14">
        <v>1.4025635850245657</v>
      </c>
      <c r="L88" s="14">
        <v>0.71298015339709908</v>
      </c>
      <c r="M88" s="14">
        <v>0.58500021586231987</v>
      </c>
      <c r="N88" s="14">
        <v>4.4454744853834214</v>
      </c>
      <c r="O88" s="14">
        <v>850.285904819287</v>
      </c>
      <c r="P88" s="8">
        <v>4.4454744853834214</v>
      </c>
      <c r="Q88" s="54">
        <v>0.21553341579636498</v>
      </c>
    </row>
    <row r="89" spans="1:17">
      <c r="A89" s="2" t="s">
        <v>456</v>
      </c>
      <c r="B89" s="16" t="s">
        <v>457</v>
      </c>
      <c r="D89" s="14">
        <v>1</v>
      </c>
      <c r="E89" s="14">
        <v>0.8908567706442051</v>
      </c>
      <c r="F89" s="14">
        <v>0.8028325600073607</v>
      </c>
      <c r="G89" s="14">
        <v>3.4663584097724268E-19</v>
      </c>
      <c r="H89" s="14">
        <v>20.26959062731796</v>
      </c>
      <c r="I89" s="14">
        <v>52.203803751635881</v>
      </c>
      <c r="J89" s="14">
        <v>0</v>
      </c>
      <c r="K89" s="14">
        <v>1.2455897403947238</v>
      </c>
      <c r="L89" s="14">
        <v>0.80283256000736081</v>
      </c>
      <c r="M89" s="14">
        <v>0.65872411548603949</v>
      </c>
      <c r="N89" s="14">
        <v>3.0405675087726158</v>
      </c>
      <c r="O89" s="14">
        <v>1193.3011244929007</v>
      </c>
      <c r="P89" s="8">
        <v>3.0405675087726163</v>
      </c>
      <c r="Q89" s="54">
        <v>0.17294266552440579</v>
      </c>
    </row>
    <row r="90" spans="1:17">
      <c r="A90" s="2" t="s">
        <v>458</v>
      </c>
      <c r="B90" s="16" t="s">
        <v>459</v>
      </c>
      <c r="D90" s="14">
        <v>1</v>
      </c>
      <c r="E90" s="14">
        <v>0.94658167581830932</v>
      </c>
      <c r="F90" s="14">
        <v>0.92937748953229404</v>
      </c>
      <c r="G90" s="14">
        <v>5.0058823321538469E-31</v>
      </c>
      <c r="H90" s="14">
        <v>4.5045576475170579</v>
      </c>
      <c r="I90" s="14">
        <v>13.101147011010264</v>
      </c>
      <c r="J90" s="14">
        <v>0</v>
      </c>
      <c r="K90" s="14">
        <v>1.0759890477907383</v>
      </c>
      <c r="L90" s="14">
        <v>0.92937748953229415</v>
      </c>
      <c r="M90" s="14">
        <v>0.76255423016124735</v>
      </c>
      <c r="N90" s="14">
        <v>1.3778823436670855</v>
      </c>
      <c r="O90" s="14">
        <v>1076.0434374633737</v>
      </c>
      <c r="P90" s="8">
        <v>1.3778823436670855</v>
      </c>
      <c r="Q90" s="54">
        <v>8.4705053284084203E-2</v>
      </c>
    </row>
    <row r="91" spans="1:17">
      <c r="A91" s="2" t="s">
        <v>460</v>
      </c>
      <c r="B91" s="16" t="s">
        <v>461</v>
      </c>
      <c r="D91" s="14">
        <v>1</v>
      </c>
      <c r="E91" s="14">
        <v>0.9318806294405898</v>
      </c>
      <c r="F91" s="14">
        <v>3.6012800283286295E-3</v>
      </c>
      <c r="G91" s="14">
        <v>5.9326042731522995E-10</v>
      </c>
      <c r="H91" s="14">
        <v>160.44156609798878</v>
      </c>
      <c r="I91" s="14">
        <v>957.35732232410442</v>
      </c>
      <c r="J91" s="14">
        <v>0</v>
      </c>
      <c r="K91" s="14">
        <v>277.67904526549813</v>
      </c>
      <c r="L91" s="14">
        <v>3.6012800283286299E-3</v>
      </c>
      <c r="M91" s="14">
        <v>2.9548502632436406E-3</v>
      </c>
      <c r="N91" s="14">
        <v>45.961501532480639</v>
      </c>
      <c r="O91" s="14">
        <v>14082.604069552068</v>
      </c>
      <c r="P91" s="8">
        <v>45.961501532480646</v>
      </c>
      <c r="Q91" s="54">
        <v>8.3497613599872372E-2</v>
      </c>
    </row>
    <row r="92" spans="1:17">
      <c r="A92" s="2" t="s">
        <v>462</v>
      </c>
      <c r="B92" s="16" t="s">
        <v>463</v>
      </c>
      <c r="D92" s="14">
        <v>1</v>
      </c>
      <c r="E92" s="14">
        <v>0.83474747787233539</v>
      </c>
      <c r="F92" s="14">
        <v>0.21621849279888772</v>
      </c>
      <c r="G92" s="14">
        <v>5.9979290390919315E-11</v>
      </c>
      <c r="H92" s="14">
        <v>144.46839092099262</v>
      </c>
      <c r="I92" s="14">
        <v>292.30080165619535</v>
      </c>
      <c r="J92" s="14">
        <v>0</v>
      </c>
      <c r="K92" s="14">
        <v>4.6249513029865321</v>
      </c>
      <c r="L92" s="14">
        <v>0.21621849279888775</v>
      </c>
      <c r="M92" s="14">
        <v>0.1774072733414874</v>
      </c>
      <c r="N92" s="14">
        <v>13.671886799128707</v>
      </c>
      <c r="O92" s="14">
        <v>4604.9649116825303</v>
      </c>
      <c r="P92" s="8">
        <v>13.671886799128707</v>
      </c>
      <c r="Q92" s="54">
        <v>0.25682068880866621</v>
      </c>
    </row>
    <row r="93" spans="1:17">
      <c r="A93" s="2" t="s">
        <v>464</v>
      </c>
      <c r="B93" s="16" t="s">
        <v>465</v>
      </c>
      <c r="D93" s="14">
        <v>1</v>
      </c>
      <c r="E93" s="14">
        <v>0.90416838730279436</v>
      </c>
      <c r="F93" s="14">
        <v>4.3772042605716141E-2</v>
      </c>
      <c r="G93" s="14">
        <v>2.4489803527624191E-6</v>
      </c>
      <c r="H93" s="14">
        <v>205.66330625754702</v>
      </c>
      <c r="I93" s="14">
        <v>360.42423392478639</v>
      </c>
      <c r="J93" s="14">
        <v>0</v>
      </c>
      <c r="K93" s="14">
        <v>22.845632519543678</v>
      </c>
      <c r="L93" s="14">
        <v>4.3772042605716141E-2</v>
      </c>
      <c r="M93" s="14">
        <v>3.59149609579901E-2</v>
      </c>
      <c r="N93" s="14">
        <v>16.893840652222664</v>
      </c>
      <c r="O93" s="14">
        <v>7857.1563489422388</v>
      </c>
      <c r="P93" s="8">
        <v>16.893840652222664</v>
      </c>
      <c r="Q93" s="54">
        <v>0.14368584423425321</v>
      </c>
    </row>
    <row r="94" spans="1:17">
      <c r="A94" s="2" t="s">
        <v>466</v>
      </c>
      <c r="B94" s="16" t="s">
        <v>467</v>
      </c>
      <c r="D94" s="14">
        <v>1</v>
      </c>
      <c r="E94" s="14">
        <v>0.99959340930019225</v>
      </c>
      <c r="F94" s="14">
        <v>0.89804782100722413</v>
      </c>
      <c r="G94" s="14">
        <v>2.0376795276679467E-20</v>
      </c>
      <c r="H94" s="14">
        <v>29.852414519756486</v>
      </c>
      <c r="I94" s="14">
        <v>3.6322821240641269E-2</v>
      </c>
      <c r="J94" s="14">
        <v>0</v>
      </c>
      <c r="K94" s="14">
        <v>1.1135264477101334</v>
      </c>
      <c r="L94" s="14">
        <v>0.89804782100722413</v>
      </c>
      <c r="M94" s="14">
        <v>0.73684823713642744</v>
      </c>
      <c r="N94" s="14">
        <v>0.97879265852405173</v>
      </c>
      <c r="O94" s="14">
        <v>323.72588388024491</v>
      </c>
      <c r="P94" s="8">
        <v>0.97879265852405184</v>
      </c>
      <c r="Q94" s="54">
        <v>1.0764145843098726E-4</v>
      </c>
    </row>
    <row r="95" spans="1:17">
      <c r="A95" s="2" t="s">
        <v>468</v>
      </c>
      <c r="B95" s="16" t="s">
        <v>469</v>
      </c>
      <c r="D95" s="14">
        <v>1</v>
      </c>
      <c r="E95" s="14">
        <v>0.94025554470910611</v>
      </c>
      <c r="F95" s="14">
        <v>8.4390892133303051E-3</v>
      </c>
      <c r="G95" s="14">
        <v>2.3939995570442834E-20</v>
      </c>
      <c r="H95" s="14">
        <v>212.32228433029397</v>
      </c>
      <c r="I95" s="14">
        <v>486.35428750910182</v>
      </c>
      <c r="J95" s="14">
        <v>0</v>
      </c>
      <c r="K95" s="14">
        <v>118.49619961599758</v>
      </c>
      <c r="L95" s="14">
        <v>8.4390892133303069E-3</v>
      </c>
      <c r="M95" s="14">
        <v>6.924272699537516E-3</v>
      </c>
      <c r="N95" s="14">
        <v>23.087595446451395</v>
      </c>
      <c r="O95" s="14">
        <v>11405.272150546991</v>
      </c>
      <c r="P95" s="8">
        <v>23.087595446451399</v>
      </c>
      <c r="Q95" s="54">
        <v>8.2785208857798304E-2</v>
      </c>
    </row>
    <row r="96" spans="1:17">
      <c r="A96" s="2" t="s">
        <v>470</v>
      </c>
      <c r="B96" s="164">
        <v>354656</v>
      </c>
      <c r="D96" s="14">
        <v>1</v>
      </c>
      <c r="E96" s="14">
        <v>0.9867701007632188</v>
      </c>
      <c r="F96" s="14">
        <v>0.98923997929935503</v>
      </c>
      <c r="G96" s="14">
        <v>4.1668718808593782E-12</v>
      </c>
      <c r="H96" s="14">
        <v>0.28417224592307572</v>
      </c>
      <c r="I96" s="14">
        <v>1.0177446555489973</v>
      </c>
      <c r="J96" s="14">
        <v>0</v>
      </c>
      <c r="K96" s="14">
        <v>1.0108770580706472</v>
      </c>
      <c r="L96" s="14">
        <v>0.98923997929935514</v>
      </c>
      <c r="M96" s="14">
        <v>0.81167140301512086</v>
      </c>
      <c r="N96" s="14">
        <v>0.88910460407712055</v>
      </c>
      <c r="O96" s="14">
        <v>175.32253687796739</v>
      </c>
      <c r="P96" s="8">
        <v>0.88910460407712055</v>
      </c>
      <c r="Q96" s="54">
        <v>2.0674681625098588E-2</v>
      </c>
    </row>
    <row r="97" spans="1:17">
      <c r="A97" s="2" t="s">
        <v>472</v>
      </c>
      <c r="B97" s="16" t="s">
        <v>473</v>
      </c>
      <c r="D97" s="14">
        <v>1</v>
      </c>
      <c r="E97" s="14">
        <v>0.97213584336828518</v>
      </c>
      <c r="F97" s="14">
        <v>0.97007162365834254</v>
      </c>
      <c r="G97" s="14">
        <v>6.5295355173779296E-12</v>
      </c>
      <c r="H97" s="14">
        <v>1.2338256679734732</v>
      </c>
      <c r="I97" s="14">
        <v>3.9601439405645356</v>
      </c>
      <c r="J97" s="14">
        <v>0</v>
      </c>
      <c r="K97" s="14">
        <v>1.0308517181739543</v>
      </c>
      <c r="L97" s="14">
        <v>0.97007162365834254</v>
      </c>
      <c r="M97" s="14">
        <v>0.79594376721167004</v>
      </c>
      <c r="N97" s="14">
        <v>1.0032570543756851</v>
      </c>
      <c r="O97" s="14">
        <v>160.70171496989727</v>
      </c>
      <c r="P97" s="8">
        <v>1.0032570543756854</v>
      </c>
      <c r="Q97" s="54">
        <v>4.4026176633275335E-2</v>
      </c>
    </row>
    <row r="98" spans="1:17">
      <c r="A98" s="2" t="s">
        <v>474</v>
      </c>
      <c r="B98" s="16" t="s">
        <v>475</v>
      </c>
      <c r="D98" s="14">
        <v>1</v>
      </c>
      <c r="E98" s="14">
        <v>0.93025045618835411</v>
      </c>
      <c r="F98" s="14">
        <v>1.99800372068723E-2</v>
      </c>
      <c r="G98" s="14">
        <v>5.6289161628591644E-22</v>
      </c>
      <c r="H98" s="14">
        <v>219.68292005654462</v>
      </c>
      <c r="I98" s="14">
        <v>361.62085060942724</v>
      </c>
      <c r="J98" s="14">
        <v>0</v>
      </c>
      <c r="K98" s="14">
        <v>50.049956846729081</v>
      </c>
      <c r="L98" s="14">
        <v>1.99800372068723E-2</v>
      </c>
      <c r="M98" s="14">
        <v>1.6393620528238721E-2</v>
      </c>
      <c r="N98" s="14">
        <v>17.02954355548885</v>
      </c>
      <c r="O98" s="14">
        <v>9050.0103316934383</v>
      </c>
      <c r="P98" s="8">
        <v>17.02954355548885</v>
      </c>
      <c r="Q98" s="54">
        <v>0.10215354993985576</v>
      </c>
    </row>
    <row r="99" spans="1:17">
      <c r="A99" s="2" t="s">
        <v>476</v>
      </c>
      <c r="B99" s="16" t="s">
        <v>477</v>
      </c>
      <c r="D99" s="14">
        <v>1</v>
      </c>
      <c r="E99" s="14">
        <v>0.99615437303994459</v>
      </c>
      <c r="F99" s="14">
        <v>0.99993104053540394</v>
      </c>
      <c r="G99" s="14">
        <v>1.9430256685821107E-9</v>
      </c>
      <c r="H99" s="14">
        <v>2.3564056221697886E-2</v>
      </c>
      <c r="I99" s="14">
        <v>0.10146288829852257</v>
      </c>
      <c r="J99" s="14">
        <v>0</v>
      </c>
      <c r="K99" s="14">
        <v>1.0000689642203318</v>
      </c>
      <c r="L99" s="14">
        <v>0.99993104053540394</v>
      </c>
      <c r="M99" s="14">
        <v>0.82044341875929894</v>
      </c>
      <c r="N99" s="14">
        <v>0.85806148672754767</v>
      </c>
      <c r="O99" s="14">
        <v>110.82722162573005</v>
      </c>
      <c r="P99" s="8">
        <v>0.85806148672754767</v>
      </c>
      <c r="Q99" s="54">
        <v>5.6768474125755038E-3</v>
      </c>
    </row>
    <row r="100" spans="1:17">
      <c r="A100" s="2" t="s">
        <v>478</v>
      </c>
      <c r="B100" s="16" t="s">
        <v>479</v>
      </c>
      <c r="D100" s="14">
        <v>1</v>
      </c>
      <c r="E100" s="14">
        <v>0.82732158142326462</v>
      </c>
      <c r="F100" s="14">
        <v>0.5067663702984464</v>
      </c>
      <c r="G100" s="14">
        <v>6.9864454828609423E-13</v>
      </c>
      <c r="H100" s="14">
        <v>73.659333828586099</v>
      </c>
      <c r="I100" s="14">
        <v>166.75733947445337</v>
      </c>
      <c r="J100" s="14">
        <v>0</v>
      </c>
      <c r="K100" s="14">
        <v>1.9732958984848914</v>
      </c>
      <c r="L100" s="14">
        <v>0.5067663702984464</v>
      </c>
      <c r="M100" s="14">
        <v>0.41580180682987528</v>
      </c>
      <c r="N100" s="14">
        <v>8.0467213075153339</v>
      </c>
      <c r="O100" s="14">
        <v>2412.4070479930974</v>
      </c>
      <c r="P100" s="8">
        <v>8.0467213075153357</v>
      </c>
      <c r="Q100" s="54">
        <v>0.27182222155929331</v>
      </c>
    </row>
    <row r="101" spans="1:17">
      <c r="A101" s="2" t="s">
        <v>480</v>
      </c>
      <c r="B101" s="16" t="s">
        <v>481</v>
      </c>
      <c r="D101" s="14">
        <v>1</v>
      </c>
      <c r="E101" s="14">
        <v>0.9937409935348881</v>
      </c>
      <c r="F101" s="14">
        <v>0.99730693584766639</v>
      </c>
      <c r="G101" s="14">
        <v>5.2449013862114214E-13</v>
      </c>
      <c r="H101" s="14">
        <v>6.3901174330078761E-2</v>
      </c>
      <c r="I101" s="14">
        <v>0.25560303728258021</v>
      </c>
      <c r="J101" s="14">
        <v>0</v>
      </c>
      <c r="K101" s="14">
        <v>1.0027003363313067</v>
      </c>
      <c r="L101" s="14">
        <v>0.99730693584766639</v>
      </c>
      <c r="M101" s="14">
        <v>0.81829034086301022</v>
      </c>
      <c r="N101" s="14">
        <v>0.86252773707501451</v>
      </c>
      <c r="O101" s="14">
        <v>205.41960586178547</v>
      </c>
      <c r="P101" s="8">
        <v>0.86252773707501462</v>
      </c>
      <c r="Q101" s="54">
        <v>9.5359949006051381E-3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0.99819870227619534</v>
      </c>
      <c r="F102" s="14">
        <v>1.002080887621869</v>
      </c>
      <c r="G102" s="14">
        <v>3.2768100483903569E-29</v>
      </c>
      <c r="H102" s="14">
        <v>4.5333868345058008E-3</v>
      </c>
      <c r="I102" s="14">
        <v>2.2043469454615737E-2</v>
      </c>
      <c r="J102" s="14">
        <v>0</v>
      </c>
      <c r="K102" s="14">
        <v>0.99792343347969892</v>
      </c>
      <c r="L102" s="14">
        <v>1.0020808876218692</v>
      </c>
      <c r="M102" s="14">
        <v>0.82220736829374363</v>
      </c>
      <c r="N102" s="14">
        <v>0.85646929176374431</v>
      </c>
      <c r="O102" s="14">
        <v>394.34415600678079</v>
      </c>
      <c r="P102" s="8">
        <v>0.85646929176374431</v>
      </c>
      <c r="Q102" s="54">
        <v>2.4070213909225535E-3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0.99626788012166978</v>
      </c>
      <c r="F103" s="14">
        <v>1.0000521997620706</v>
      </c>
      <c r="G103" s="14">
        <v>2.6204818568061601E-15</v>
      </c>
      <c r="H103" s="14">
        <v>2.2138728254225398E-2</v>
      </c>
      <c r="I103" s="14">
        <v>9.5765667531664836E-2</v>
      </c>
      <c r="J103" s="14">
        <v>0</v>
      </c>
      <c r="K103" s="14">
        <v>0.99994780296260233</v>
      </c>
      <c r="L103" s="14">
        <v>1.0000521997620706</v>
      </c>
      <c r="M103" s="14">
        <v>0.82054282990477889</v>
      </c>
      <c r="N103" s="14">
        <v>0.85791805894650885</v>
      </c>
      <c r="O103" s="14">
        <v>176.08768159877096</v>
      </c>
      <c r="P103" s="8">
        <v>0.85791805894650885</v>
      </c>
      <c r="Q103" s="54">
        <v>5.4955332550054381E-3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0.97998230615776094</v>
      </c>
      <c r="F104" s="14">
        <v>0.98071977834523638</v>
      </c>
      <c r="G104" s="14">
        <v>3.2963507859895848E-11</v>
      </c>
      <c r="H104" s="14">
        <v>0.64299105888178965</v>
      </c>
      <c r="I104" s="14">
        <v>2.1670159338310615</v>
      </c>
      <c r="J104" s="14">
        <v>0</v>
      </c>
      <c r="K104" s="14">
        <v>1.019659256477212</v>
      </c>
      <c r="L104" s="14">
        <v>0.98071977834523638</v>
      </c>
      <c r="M104" s="14">
        <v>0.80468057813226646</v>
      </c>
      <c r="N104" s="14">
        <v>0.93265445327091945</v>
      </c>
      <c r="O104" s="14">
        <v>140.98004715643216</v>
      </c>
      <c r="P104" s="8">
        <v>0.93265445327091945</v>
      </c>
      <c r="Q104" s="54">
        <v>3.1510994118922109E-2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0.99789810872827245</v>
      </c>
      <c r="F105" s="14">
        <v>1.0017691947684437</v>
      </c>
      <c r="G105" s="14">
        <v>2.6070908195131038E-18</v>
      </c>
      <c r="H105" s="14">
        <v>6.4317280441205556E-3</v>
      </c>
      <c r="I105" s="14">
        <v>3.0477886220035933E-2</v>
      </c>
      <c r="J105" s="14">
        <v>0</v>
      </c>
      <c r="K105" s="14">
        <v>0.99823392975379655</v>
      </c>
      <c r="L105" s="14">
        <v>1.0017691947684437</v>
      </c>
      <c r="M105" s="14">
        <v>0.82195162430750812</v>
      </c>
      <c r="N105" s="14">
        <v>0.85656513713262727</v>
      </c>
      <c r="O105" s="14">
        <v>290.68394493732842</v>
      </c>
      <c r="P105" s="8">
        <v>0.85656513713262739</v>
      </c>
      <c r="Q105" s="54">
        <v>2.8879179053672589E-3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0.93265659505242182</v>
      </c>
      <c r="F106" s="14">
        <v>0.90309442994028299</v>
      </c>
      <c r="G106" s="14">
        <v>1.5424874931322066E-10</v>
      </c>
      <c r="H106" s="14">
        <v>7.2176058817307585</v>
      </c>
      <c r="I106" s="14">
        <v>20.232536588253982</v>
      </c>
      <c r="J106" s="14">
        <v>0</v>
      </c>
      <c r="K106" s="14">
        <v>1.1073039173391035</v>
      </c>
      <c r="L106" s="14">
        <v>0.90309442994028311</v>
      </c>
      <c r="M106" s="14">
        <v>0.7409889797660022</v>
      </c>
      <c r="N106" s="14">
        <v>1.6766491516758446</v>
      </c>
      <c r="O106" s="14">
        <v>322.13460151148001</v>
      </c>
      <c r="P106" s="8">
        <v>1.6766491516758448</v>
      </c>
      <c r="Q106" s="54">
        <v>0.10681944924413571</v>
      </c>
    </row>
    <row r="107" spans="1:17">
      <c r="A107" s="2" t="s">
        <v>492</v>
      </c>
      <c r="B107" s="16" t="s">
        <v>493</v>
      </c>
      <c r="D107" s="14">
        <v>1</v>
      </c>
      <c r="E107" s="14">
        <v>0.93846760905568782</v>
      </c>
      <c r="F107" s="14">
        <v>1.47011674129119E-2</v>
      </c>
      <c r="G107" s="14">
        <v>2.6179437500437521E-18</v>
      </c>
      <c r="H107" s="14">
        <v>223.73391554307935</v>
      </c>
      <c r="I107" s="14">
        <v>359.57459007117853</v>
      </c>
      <c r="J107" s="14">
        <v>0</v>
      </c>
      <c r="K107" s="14">
        <v>68.021808874967931</v>
      </c>
      <c r="L107" s="14">
        <v>1.47011674129119E-2</v>
      </c>
      <c r="M107" s="14">
        <v>1.2062307862294215E-2</v>
      </c>
      <c r="N107" s="14">
        <v>16.967015032794151</v>
      </c>
      <c r="O107" s="14">
        <v>7713.2050339082216</v>
      </c>
      <c r="P107" s="8">
        <v>16.967015032794151</v>
      </c>
      <c r="Q107" s="54">
        <v>8.9040787839375871E-2</v>
      </c>
    </row>
    <row r="108" spans="1:17">
      <c r="A108" s="2" t="s">
        <v>291</v>
      </c>
      <c r="B108" s="16" t="s">
        <v>494</v>
      </c>
      <c r="D108" s="14">
        <v>1</v>
      </c>
      <c r="E108" s="14">
        <v>0.83621825175615494</v>
      </c>
      <c r="F108" s="14">
        <v>0.57795258774442471</v>
      </c>
      <c r="G108" s="14">
        <v>3.9856641498699519E-12</v>
      </c>
      <c r="H108" s="14">
        <v>59.193253689894377</v>
      </c>
      <c r="I108" s="14">
        <v>137.50844894018061</v>
      </c>
      <c r="J108" s="14">
        <v>0</v>
      </c>
      <c r="K108" s="14">
        <v>1.7302457350397886</v>
      </c>
      <c r="L108" s="14">
        <v>0.57795258774442471</v>
      </c>
      <c r="M108" s="14">
        <v>0.47421009824430049</v>
      </c>
      <c r="N108" s="14">
        <v>6.7569167690137331</v>
      </c>
      <c r="O108" s="14">
        <v>2083.3601473900039</v>
      </c>
      <c r="P108" s="8">
        <v>6.7569167690137331</v>
      </c>
      <c r="Q108" s="54">
        <v>0.25830296024254462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7.8708799414930119E-5</v>
      </c>
      <c r="E2" s="20">
        <v>0.91506678623448123</v>
      </c>
      <c r="F2" s="20">
        <v>4.1137886180824958E-2</v>
      </c>
      <c r="G2" s="20">
        <v>1.1982226577840325E-2</v>
      </c>
      <c r="H2" s="20">
        <v>0</v>
      </c>
      <c r="I2" s="20">
        <v>0.86194667347581599</v>
      </c>
      <c r="J2" s="20">
        <v>7.4715523205606045E-4</v>
      </c>
      <c r="K2" s="20">
        <v>8.4107349734047612E-2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2.8822531474469379E-3</v>
      </c>
      <c r="E3" s="20">
        <v>0.93107888283773088</v>
      </c>
      <c r="F3" s="20">
        <v>0.25081344097806801</v>
      </c>
      <c r="G3" s="20">
        <v>0.67958903308611596</v>
      </c>
      <c r="H3" s="20">
        <v>0</v>
      </c>
      <c r="I3" s="20">
        <v>6.7640877354693785E-4</v>
      </c>
      <c r="J3" s="20">
        <v>3.0283370025692393E-2</v>
      </c>
      <c r="K3" s="20">
        <v>3.5755493989129687E-2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4.2450466544555309E-12</v>
      </c>
      <c r="E4" s="20">
        <v>0.82239384699076667</v>
      </c>
      <c r="F4" s="20">
        <v>0.31081441470440946</v>
      </c>
      <c r="G4" s="20">
        <v>7.4198770227922914E-2</v>
      </c>
      <c r="H4" s="20">
        <v>0</v>
      </c>
      <c r="I4" s="20">
        <v>0.43738066205843434</v>
      </c>
      <c r="J4" s="20">
        <v>3.227576512171542E-3</v>
      </c>
      <c r="K4" s="20">
        <v>0.17437857649281674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9.9648326363271618E-5</v>
      </c>
      <c r="E5" s="20">
        <v>0.93837286099327022</v>
      </c>
      <c r="F5" s="20">
        <v>0.72158698808369881</v>
      </c>
      <c r="G5" s="20">
        <v>0.20940365060944505</v>
      </c>
      <c r="H5" s="20">
        <v>0</v>
      </c>
      <c r="I5" s="20">
        <v>7.3822223001264115E-3</v>
      </c>
      <c r="J5" s="20">
        <v>9.0853188298256858E-3</v>
      </c>
      <c r="K5" s="20">
        <v>5.2442171850540557E-2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9.3121170685226547E-6</v>
      </c>
      <c r="E6" s="20">
        <v>0.93796852857328405</v>
      </c>
      <c r="F6" s="20">
        <v>0.15862334775441114</v>
      </c>
      <c r="G6" s="20">
        <v>0.77904521930475834</v>
      </c>
      <c r="H6" s="20">
        <v>0</v>
      </c>
      <c r="I6" s="20">
        <v>2.9996151411459753E-4</v>
      </c>
      <c r="J6" s="20">
        <v>3.4966439821241535E-2</v>
      </c>
      <c r="K6" s="20">
        <v>2.7055719488405808E-2</v>
      </c>
      <c r="L6" s="20">
        <v>0</v>
      </c>
    </row>
    <row r="7" spans="1:14">
      <c r="A7" s="2" t="s">
        <v>321</v>
      </c>
      <c r="B7" s="3" t="s">
        <v>322</v>
      </c>
      <c r="D7" s="20">
        <v>1.3840336922863987E-5</v>
      </c>
      <c r="E7" s="20">
        <v>0.9343207408583033</v>
      </c>
      <c r="F7" s="20">
        <v>0.23602898937301037</v>
      </c>
      <c r="G7" s="20">
        <v>0.69768743593108251</v>
      </c>
      <c r="H7" s="20">
        <v>0</v>
      </c>
      <c r="I7" s="20">
        <v>6.0431555421039688E-4</v>
      </c>
      <c r="J7" s="20">
        <v>3.1122635916751268E-2</v>
      </c>
      <c r="K7" s="20">
        <v>3.4542782888022469E-2</v>
      </c>
      <c r="L7" s="20">
        <v>0</v>
      </c>
    </row>
    <row r="8" spans="1:14">
      <c r="A8" s="2" t="s">
        <v>323</v>
      </c>
      <c r="B8" s="3" t="s">
        <v>324</v>
      </c>
      <c r="D8" s="20">
        <v>1.3207341532190818E-4</v>
      </c>
      <c r="E8" s="20">
        <v>0.93096873732104324</v>
      </c>
      <c r="F8" s="20">
        <v>0.36293937986795843</v>
      </c>
      <c r="G8" s="20">
        <v>0.56666925219832265</v>
      </c>
      <c r="H8" s="20">
        <v>0</v>
      </c>
      <c r="I8" s="20">
        <v>1.3601052547621932E-3</v>
      </c>
      <c r="J8" s="20">
        <v>2.5083861083701621E-2</v>
      </c>
      <c r="K8" s="20">
        <v>4.381532817993318E-2</v>
      </c>
      <c r="L8" s="20">
        <v>0</v>
      </c>
    </row>
    <row r="9" spans="1:14">
      <c r="A9" s="2" t="s">
        <v>325</v>
      </c>
      <c r="B9" s="3" t="s">
        <v>326</v>
      </c>
      <c r="D9" s="20">
        <v>9.0292947846375913E-5</v>
      </c>
      <c r="E9" s="20">
        <v>0.8863170736330388</v>
      </c>
      <c r="F9" s="20">
        <v>0.68402585282779027</v>
      </c>
      <c r="G9" s="20">
        <v>0.13432847106354223</v>
      </c>
      <c r="H9" s="20">
        <v>0</v>
      </c>
      <c r="I9" s="20">
        <v>6.7962749741706338E-2</v>
      </c>
      <c r="J9" s="20">
        <v>5.7316210171828516E-3</v>
      </c>
      <c r="K9" s="20">
        <v>0.10786101240193195</v>
      </c>
      <c r="L9" s="20">
        <v>0</v>
      </c>
    </row>
    <row r="10" spans="1:14">
      <c r="A10" s="2" t="s">
        <v>275</v>
      </c>
      <c r="B10" s="3" t="s">
        <v>276</v>
      </c>
      <c r="D10" s="20">
        <v>1.2803497055717193E-6</v>
      </c>
      <c r="E10" s="20">
        <v>0.93753942982080607</v>
      </c>
      <c r="F10" s="20">
        <v>0.70688259784553686</v>
      </c>
      <c r="G10" s="20">
        <v>0.22379111785589834</v>
      </c>
      <c r="H10" s="20">
        <v>0</v>
      </c>
      <c r="I10" s="20">
        <v>6.8657141193708658E-3</v>
      </c>
      <c r="J10" s="20">
        <v>9.7193941571177209E-3</v>
      </c>
      <c r="K10" s="20">
        <v>5.2739895672370807E-2</v>
      </c>
      <c r="L10" s="20">
        <v>0</v>
      </c>
    </row>
    <row r="11" spans="1:14">
      <c r="A11" s="2" t="s">
        <v>327</v>
      </c>
      <c r="B11" s="3" t="s">
        <v>328</v>
      </c>
      <c r="D11" s="20">
        <v>6.667963013879717E-5</v>
      </c>
      <c r="E11" s="20">
        <v>0.93602853118849771</v>
      </c>
      <c r="F11" s="20">
        <v>0.68078796006156661</v>
      </c>
      <c r="G11" s="20">
        <v>0.24917669540131604</v>
      </c>
      <c r="H11" s="20">
        <v>0</v>
      </c>
      <c r="I11" s="20">
        <v>6.0638757256150843E-3</v>
      </c>
      <c r="J11" s="20">
        <v>1.0840317752238919E-2</v>
      </c>
      <c r="K11" s="20">
        <v>5.3064471429124474E-2</v>
      </c>
      <c r="L11" s="20">
        <v>0</v>
      </c>
    </row>
    <row r="12" spans="1:14">
      <c r="A12" s="2" t="s">
        <v>329</v>
      </c>
      <c r="B12" s="3" t="s">
        <v>330</v>
      </c>
      <c r="D12" s="20">
        <v>4.6172656116759452E-5</v>
      </c>
      <c r="E12" s="20">
        <v>0.90513235922656654</v>
      </c>
      <c r="F12" s="20">
        <v>0.72544341470712892</v>
      </c>
      <c r="G12" s="20">
        <v>0.13705632989742136</v>
      </c>
      <c r="H12" s="20">
        <v>0</v>
      </c>
      <c r="I12" s="20">
        <v>4.2632614622016292E-2</v>
      </c>
      <c r="J12" s="20">
        <v>5.8613156024496854E-3</v>
      </c>
      <c r="K12" s="20">
        <v>8.8960152514866983E-2</v>
      </c>
      <c r="L12" s="20">
        <v>0</v>
      </c>
    </row>
    <row r="13" spans="1:14">
      <c r="A13" s="2" t="s">
        <v>277</v>
      </c>
      <c r="B13" s="3" t="s">
        <v>278</v>
      </c>
      <c r="D13" s="20">
        <v>1.402209090507485E-4</v>
      </c>
      <c r="E13" s="20">
        <v>0.88813189205433551</v>
      </c>
      <c r="F13" s="20">
        <v>0.68838510176617085</v>
      </c>
      <c r="G13" s="20">
        <v>0.13468741507360024</v>
      </c>
      <c r="H13" s="20">
        <v>0</v>
      </c>
      <c r="I13" s="20">
        <v>6.5059375214564411E-2</v>
      </c>
      <c r="J13" s="20">
        <v>5.7480033041882568E-3</v>
      </c>
      <c r="K13" s="20">
        <v>0.10597988373242553</v>
      </c>
      <c r="L13" s="20">
        <v>0</v>
      </c>
    </row>
    <row r="14" spans="1:14">
      <c r="A14" s="2" t="s">
        <v>331</v>
      </c>
      <c r="B14" s="3" t="s">
        <v>332</v>
      </c>
      <c r="D14" s="20">
        <v>4.4369716895594085E-5</v>
      </c>
      <c r="E14" s="20">
        <v>0.93248727175676038</v>
      </c>
      <c r="F14" s="20">
        <v>0.58993660151023297</v>
      </c>
      <c r="G14" s="20">
        <v>0.33853291230990251</v>
      </c>
      <c r="H14" s="20">
        <v>0</v>
      </c>
      <c r="I14" s="20">
        <v>4.0177579366248873E-3</v>
      </c>
      <c r="J14" s="20">
        <v>1.4806362242910943E-2</v>
      </c>
      <c r="K14" s="20">
        <v>5.2661996283433196E-2</v>
      </c>
      <c r="L14" s="20">
        <v>0</v>
      </c>
    </row>
    <row r="15" spans="1:14">
      <c r="A15" s="2" t="s">
        <v>333</v>
      </c>
      <c r="B15" s="3" t="s">
        <v>334</v>
      </c>
      <c r="D15" s="20">
        <v>7.2592066655934235E-8</v>
      </c>
      <c r="E15" s="20">
        <v>0.93680023157027104</v>
      </c>
      <c r="F15" s="20">
        <v>0.69407730657063027</v>
      </c>
      <c r="G15" s="20">
        <v>0.23626718143943709</v>
      </c>
      <c r="H15" s="20">
        <v>0</v>
      </c>
      <c r="I15" s="20">
        <v>6.4557435602036759E-3</v>
      </c>
      <c r="J15" s="20">
        <v>1.0269948470315253E-2</v>
      </c>
      <c r="K15" s="20">
        <v>5.2929747367347096E-2</v>
      </c>
      <c r="L15" s="20">
        <v>0</v>
      </c>
    </row>
    <row r="16" spans="1:14">
      <c r="A16" s="2" t="s">
        <v>335</v>
      </c>
      <c r="B16" s="3" t="s">
        <v>336</v>
      </c>
      <c r="D16" s="20">
        <v>3.4331947240167748E-4</v>
      </c>
      <c r="E16" s="20">
        <v>0.93068682027877614</v>
      </c>
      <c r="F16" s="20">
        <v>0.36924712349811495</v>
      </c>
      <c r="G16" s="20">
        <v>0.56003178466432812</v>
      </c>
      <c r="H16" s="20">
        <v>0</v>
      </c>
      <c r="I16" s="20">
        <v>1.4079121163330999E-3</v>
      </c>
      <c r="J16" s="20">
        <v>2.4781376794351856E-2</v>
      </c>
      <c r="K16" s="20">
        <v>4.4188483454470115E-2</v>
      </c>
      <c r="L16" s="20">
        <v>0</v>
      </c>
    </row>
    <row r="17" spans="1:12">
      <c r="A17" s="2" t="s">
        <v>337</v>
      </c>
      <c r="B17" s="3" t="s">
        <v>338</v>
      </c>
      <c r="D17" s="20">
        <v>2.5595994665097301E-5</v>
      </c>
      <c r="E17" s="20">
        <v>0.93812949772677179</v>
      </c>
      <c r="F17" s="20">
        <v>0.7167879492579553</v>
      </c>
      <c r="G17" s="20">
        <v>0.21413430619980037</v>
      </c>
      <c r="H17" s="20">
        <v>0</v>
      </c>
      <c r="I17" s="20">
        <v>7.2072422690160924E-3</v>
      </c>
      <c r="J17" s="20">
        <v>9.293702181902546E-3</v>
      </c>
      <c r="K17" s="20">
        <v>5.2551204096660475E-2</v>
      </c>
      <c r="L17" s="20">
        <v>0</v>
      </c>
    </row>
    <row r="18" spans="1:12">
      <c r="A18" s="2" t="s">
        <v>279</v>
      </c>
      <c r="B18" s="3" t="s">
        <v>280</v>
      </c>
      <c r="D18" s="20">
        <v>2.7423275964074635E-3</v>
      </c>
      <c r="E18" s="20">
        <v>0.87550262590859029</v>
      </c>
      <c r="F18" s="20">
        <v>0.66120787648631374</v>
      </c>
      <c r="G18" s="20">
        <v>0.13201812906841948</v>
      </c>
      <c r="H18" s="20">
        <v>0</v>
      </c>
      <c r="I18" s="20">
        <v>8.2276620353857036E-2</v>
      </c>
      <c r="J18" s="20">
        <v>5.6289054231396969E-3</v>
      </c>
      <c r="K18" s="20">
        <v>0.11612614107186267</v>
      </c>
      <c r="L18" s="20">
        <v>0</v>
      </c>
    </row>
    <row r="19" spans="1:12">
      <c r="A19" s="2" t="s">
        <v>339</v>
      </c>
      <c r="B19" s="3" t="s">
        <v>340</v>
      </c>
      <c r="D19" s="20">
        <v>2.544194361627174E-7</v>
      </c>
      <c r="E19" s="20">
        <v>0.93665563282226638</v>
      </c>
      <c r="F19" s="20">
        <v>0.69146303827904965</v>
      </c>
      <c r="G19" s="20">
        <v>0.23881660794115137</v>
      </c>
      <c r="H19" s="20">
        <v>0</v>
      </c>
      <c r="I19" s="20">
        <v>6.3759866020654228E-3</v>
      </c>
      <c r="J19" s="20">
        <v>1.0382531134264676E-2</v>
      </c>
      <c r="K19" s="20">
        <v>5.2961581624032639E-2</v>
      </c>
      <c r="L19" s="20">
        <v>0</v>
      </c>
    </row>
    <row r="20" spans="1:12">
      <c r="A20" s="2" t="s">
        <v>281</v>
      </c>
      <c r="B20" s="3" t="s">
        <v>282</v>
      </c>
      <c r="D20" s="20">
        <v>2.1225819237850282E-5</v>
      </c>
      <c r="E20" s="20">
        <v>0.88823759020968773</v>
      </c>
      <c r="F20" s="20">
        <v>0.68846702770091051</v>
      </c>
      <c r="G20" s="20">
        <v>0.13470344446230909</v>
      </c>
      <c r="H20" s="20">
        <v>0</v>
      </c>
      <c r="I20" s="20">
        <v>6.5067118046468184E-2</v>
      </c>
      <c r="J20" s="20">
        <v>5.7486873842800164E-3</v>
      </c>
      <c r="K20" s="20">
        <v>0.10599249658679455</v>
      </c>
      <c r="L20" s="20">
        <v>0</v>
      </c>
    </row>
    <row r="21" spans="1:12">
      <c r="A21" s="2" t="s">
        <v>341</v>
      </c>
      <c r="B21" s="3" t="s">
        <v>342</v>
      </c>
      <c r="D21" s="20">
        <v>3.7173223819127714E-4</v>
      </c>
      <c r="E21" s="20">
        <v>0.93305198447917193</v>
      </c>
      <c r="F21" s="20">
        <v>0.61751698982785608</v>
      </c>
      <c r="G21" s="20">
        <v>0.31098859785953692</v>
      </c>
      <c r="H21" s="20">
        <v>0</v>
      </c>
      <c r="I21" s="20">
        <v>4.5463967917789777E-3</v>
      </c>
      <c r="J21" s="20">
        <v>1.3580552283066608E-2</v>
      </c>
      <c r="K21" s="20">
        <v>5.2995730999570036E-2</v>
      </c>
      <c r="L21" s="20">
        <v>0</v>
      </c>
    </row>
    <row r="22" spans="1:12">
      <c r="A22" s="2" t="s">
        <v>343</v>
      </c>
      <c r="B22" s="3" t="s">
        <v>344</v>
      </c>
      <c r="D22" s="20">
        <v>1.825693778650065E-3</v>
      </c>
      <c r="E22" s="20">
        <v>0.85312482451288574</v>
      </c>
      <c r="F22" s="20">
        <v>0.14376283218141228</v>
      </c>
      <c r="G22" s="20">
        <v>3.7492307932116893E-2</v>
      </c>
      <c r="H22" s="20">
        <v>0</v>
      </c>
      <c r="I22" s="20">
        <v>0.67186968439935657</v>
      </c>
      <c r="J22" s="20">
        <v>1.7519875217723356E-3</v>
      </c>
      <c r="K22" s="20">
        <v>0.14329749418669199</v>
      </c>
      <c r="L22" s="20">
        <v>0</v>
      </c>
    </row>
    <row r="23" spans="1:12">
      <c r="A23" s="2" t="s">
        <v>345</v>
      </c>
      <c r="B23" s="3" t="s">
        <v>346</v>
      </c>
      <c r="D23" s="20">
        <v>7.4279573359030933E-5</v>
      </c>
      <c r="E23" s="20">
        <v>0.89487135044880461</v>
      </c>
      <c r="F23" s="20">
        <v>6.5446749999878706E-2</v>
      </c>
      <c r="G23" s="20">
        <v>1.8339337388716178E-2</v>
      </c>
      <c r="H23" s="20">
        <v>0</v>
      </c>
      <c r="I23" s="20">
        <v>0.81108526306020978</v>
      </c>
      <c r="J23" s="20">
        <v>9.9527102469733233E-4</v>
      </c>
      <c r="K23" s="20">
        <v>0.10405909895313883</v>
      </c>
      <c r="L23" s="20">
        <v>0</v>
      </c>
    </row>
    <row r="24" spans="1:12">
      <c r="A24" s="2" t="s">
        <v>347</v>
      </c>
      <c r="B24" s="3" t="s">
        <v>348</v>
      </c>
      <c r="D24" s="20">
        <v>6.8472192675758951E-5</v>
      </c>
      <c r="E24" s="20">
        <v>0.83538526284553849</v>
      </c>
      <c r="F24" s="20">
        <v>0.5120742289739475</v>
      </c>
      <c r="G24" s="20">
        <v>0.11169364788962602</v>
      </c>
      <c r="H24" s="20">
        <v>0</v>
      </c>
      <c r="I24" s="20">
        <v>0.21161738598196492</v>
      </c>
      <c r="J24" s="20">
        <v>4.765352904639703E-3</v>
      </c>
      <c r="K24" s="20">
        <v>0.15978091205714634</v>
      </c>
      <c r="L24" s="20">
        <v>0</v>
      </c>
    </row>
    <row r="25" spans="1:12">
      <c r="A25" s="2" t="s">
        <v>349</v>
      </c>
      <c r="B25" s="3" t="s">
        <v>350</v>
      </c>
      <c r="D25" s="20">
        <v>1.1253141546321177E-2</v>
      </c>
      <c r="E25" s="20">
        <v>0.9157190935170807</v>
      </c>
      <c r="F25" s="20">
        <v>0.75699404999889686</v>
      </c>
      <c r="G25" s="20">
        <v>0.1360780324878742</v>
      </c>
      <c r="H25" s="20">
        <v>0</v>
      </c>
      <c r="I25" s="20">
        <v>2.2647011030309635E-2</v>
      </c>
      <c r="J25" s="20">
        <v>5.84088987268311E-3</v>
      </c>
      <c r="K25" s="20">
        <v>6.7186875063915089E-2</v>
      </c>
      <c r="L25" s="20">
        <v>0</v>
      </c>
    </row>
    <row r="26" spans="1:12">
      <c r="A26" s="2" t="s">
        <v>351</v>
      </c>
      <c r="B26" s="3" t="s">
        <v>352</v>
      </c>
      <c r="D26" s="20">
        <v>2.9846215793602796E-4</v>
      </c>
      <c r="E26" s="20">
        <v>0.93377883112388782</v>
      </c>
      <c r="F26" s="20">
        <v>0.63548888509476209</v>
      </c>
      <c r="G26" s="20">
        <v>0.29336176804009884</v>
      </c>
      <c r="H26" s="20">
        <v>0</v>
      </c>
      <c r="I26" s="20">
        <v>4.9281779890269226E-3</v>
      </c>
      <c r="J26" s="20">
        <v>1.2797585366144004E-2</v>
      </c>
      <c r="K26" s="20">
        <v>5.3125121352032102E-2</v>
      </c>
      <c r="L26" s="20">
        <v>0</v>
      </c>
    </row>
    <row r="27" spans="1:12">
      <c r="A27" s="2" t="s">
        <v>353</v>
      </c>
      <c r="B27" s="3" t="s">
        <v>354</v>
      </c>
      <c r="D27" s="20">
        <v>2.0005863135810409E-3</v>
      </c>
      <c r="E27" s="20">
        <v>0.93145610220856279</v>
      </c>
      <c r="F27" s="20">
        <v>0.26440884416606669</v>
      </c>
      <c r="G27" s="20">
        <v>0.66630263854576799</v>
      </c>
      <c r="H27" s="20">
        <v>0</v>
      </c>
      <c r="I27" s="20">
        <v>7.446194967281435E-4</v>
      </c>
      <c r="J27" s="20">
        <v>2.966526105416091E-2</v>
      </c>
      <c r="K27" s="20">
        <v>3.6878050423695262E-2</v>
      </c>
      <c r="L27" s="20">
        <v>0</v>
      </c>
    </row>
    <row r="28" spans="1:12">
      <c r="A28" s="2" t="s">
        <v>355</v>
      </c>
      <c r="B28" s="3" t="s">
        <v>356</v>
      </c>
      <c r="D28" s="20">
        <v>1.1143321314627004E-4</v>
      </c>
      <c r="E28" s="20">
        <v>0.93074146251433232</v>
      </c>
      <c r="F28" s="20">
        <v>0.50191865524140522</v>
      </c>
      <c r="G28" s="20">
        <v>0.42611703175175925</v>
      </c>
      <c r="H28" s="20">
        <v>0</v>
      </c>
      <c r="I28" s="20">
        <v>2.7057755211678421E-3</v>
      </c>
      <c r="J28" s="20">
        <v>1.8724495225848157E-2</v>
      </c>
      <c r="K28" s="20">
        <v>5.0422609046673283E-2</v>
      </c>
      <c r="L28" s="20">
        <v>0</v>
      </c>
    </row>
    <row r="29" spans="1:12">
      <c r="A29" s="2" t="s">
        <v>357</v>
      </c>
      <c r="B29" s="3" t="s">
        <v>358</v>
      </c>
      <c r="D29" s="20">
        <v>2.265163948126369E-2</v>
      </c>
      <c r="E29" s="20">
        <v>0.91167303261200094</v>
      </c>
      <c r="F29" s="20">
        <v>0.58575813014402933</v>
      </c>
      <c r="G29" s="20">
        <v>0.32182062990672106</v>
      </c>
      <c r="H29" s="20">
        <v>0</v>
      </c>
      <c r="I29" s="20">
        <v>4.0942725612505325E-3</v>
      </c>
      <c r="J29" s="20">
        <v>1.4068127353653911E-2</v>
      </c>
      <c r="K29" s="20">
        <v>5.1607200553081531E-2</v>
      </c>
      <c r="L29" s="20">
        <v>0</v>
      </c>
    </row>
    <row r="30" spans="1:12">
      <c r="A30" s="2" t="s">
        <v>359</v>
      </c>
      <c r="B30" s="3" t="s">
        <v>360</v>
      </c>
      <c r="D30" s="20">
        <v>1.1143321314627004E-4</v>
      </c>
      <c r="E30" s="20">
        <v>0.93074146251433232</v>
      </c>
      <c r="F30" s="20">
        <v>0.50191865524140522</v>
      </c>
      <c r="G30" s="20">
        <v>0.42611703175175925</v>
      </c>
      <c r="H30" s="20">
        <v>0</v>
      </c>
      <c r="I30" s="20">
        <v>2.7057755211678421E-3</v>
      </c>
      <c r="J30" s="20">
        <v>1.8724495225848157E-2</v>
      </c>
      <c r="K30" s="20">
        <v>5.0422609046673283E-2</v>
      </c>
      <c r="L30" s="20">
        <v>0</v>
      </c>
    </row>
    <row r="31" spans="1:12">
      <c r="A31" s="2" t="s">
        <v>283</v>
      </c>
      <c r="B31" s="3" t="s">
        <v>284</v>
      </c>
      <c r="D31" s="20">
        <v>2.0664940401275126E-8</v>
      </c>
      <c r="E31" s="20">
        <v>0.98970462426636752</v>
      </c>
      <c r="F31" s="20">
        <v>6.0848915378233553E-4</v>
      </c>
      <c r="G31" s="20">
        <v>2.4420153909210319E-4</v>
      </c>
      <c r="H31" s="20">
        <v>0</v>
      </c>
      <c r="I31" s="20">
        <v>0.9888519335734931</v>
      </c>
      <c r="J31" s="20">
        <v>3.0353010444847823E-4</v>
      </c>
      <c r="K31" s="20">
        <v>9.9918249642435928E-3</v>
      </c>
      <c r="L31" s="20">
        <v>0</v>
      </c>
    </row>
    <row r="32" spans="1:12">
      <c r="A32" s="2" t="s">
        <v>361</v>
      </c>
      <c r="B32" s="3" t="s">
        <v>362</v>
      </c>
      <c r="D32" s="20">
        <v>2.0346522270339916E-8</v>
      </c>
      <c r="E32" s="20">
        <v>0.83089284229568228</v>
      </c>
      <c r="F32" s="20">
        <v>0.23937950383840992</v>
      </c>
      <c r="G32" s="20">
        <v>5.9020872309600833E-2</v>
      </c>
      <c r="H32" s="20">
        <v>0</v>
      </c>
      <c r="I32" s="20">
        <v>0.53249246614767154</v>
      </c>
      <c r="J32" s="20">
        <v>2.6501444669625599E-3</v>
      </c>
      <c r="K32" s="20">
        <v>0.16645699289083277</v>
      </c>
      <c r="L32" s="20">
        <v>0</v>
      </c>
    </row>
    <row r="33" spans="1:12">
      <c r="A33" s="2" t="s">
        <v>364</v>
      </c>
      <c r="B33" s="3" t="s">
        <v>365</v>
      </c>
      <c r="D33" s="20">
        <v>9.3866074301143545E-11</v>
      </c>
      <c r="E33" s="20">
        <v>0.99967645886015377</v>
      </c>
      <c r="F33" s="20">
        <v>4.2011819648284056E-3</v>
      </c>
      <c r="G33" s="20">
        <v>1.2846913946943604E-6</v>
      </c>
      <c r="H33" s="20">
        <v>0</v>
      </c>
      <c r="I33" s="20">
        <v>0.99547399220393062</v>
      </c>
      <c r="J33" s="20">
        <v>2.9944780437034647E-4</v>
      </c>
      <c r="K33" s="20">
        <v>2.4093241609899772E-5</v>
      </c>
      <c r="L33" s="20">
        <v>0</v>
      </c>
    </row>
    <row r="34" spans="1:12">
      <c r="A34" s="2" t="s">
        <v>285</v>
      </c>
      <c r="B34" s="3" t="s">
        <v>286</v>
      </c>
      <c r="D34" s="20">
        <v>2.7906520959081036E-10</v>
      </c>
      <c r="E34" s="20">
        <v>0.99947680497949443</v>
      </c>
      <c r="F34" s="20">
        <v>0.4519996672324143</v>
      </c>
      <c r="G34" s="20">
        <v>3.7120397846842212E-5</v>
      </c>
      <c r="H34" s="20">
        <v>0</v>
      </c>
      <c r="I34" s="20">
        <v>0.54744001734923331</v>
      </c>
      <c r="J34" s="20">
        <v>4.411011902049263E-4</v>
      </c>
      <c r="K34" s="20">
        <v>8.2093551235386467E-5</v>
      </c>
      <c r="L34" s="20">
        <v>0</v>
      </c>
    </row>
    <row r="35" spans="1:12">
      <c r="A35" s="2" t="s">
        <v>287</v>
      </c>
      <c r="B35" s="3" t="s">
        <v>288</v>
      </c>
      <c r="D35" s="20">
        <v>8.1296977873441677E-12</v>
      </c>
      <c r="E35" s="20">
        <v>0.9993100827875383</v>
      </c>
      <c r="F35" s="20">
        <v>0.67505201643852486</v>
      </c>
      <c r="G35" s="20">
        <v>1.3072677925878723E-4</v>
      </c>
      <c r="H35" s="20">
        <v>0</v>
      </c>
      <c r="I35" s="20">
        <v>0.32412733956975465</v>
      </c>
      <c r="J35" s="20">
        <v>4.9118832556808241E-4</v>
      </c>
      <c r="K35" s="20">
        <v>1.987288787639675E-4</v>
      </c>
      <c r="L35" s="20">
        <v>0</v>
      </c>
    </row>
    <row r="36" spans="1:12">
      <c r="A36" s="2" t="s">
        <v>366</v>
      </c>
      <c r="B36" s="3" t="s">
        <v>305</v>
      </c>
      <c r="D36" s="20">
        <v>1.4332392448679516E-8</v>
      </c>
      <c r="E36" s="20">
        <v>0.99926489729697543</v>
      </c>
      <c r="F36" s="20">
        <v>0.8908906255153658</v>
      </c>
      <c r="G36" s="20">
        <v>2.5507398816207666E-4</v>
      </c>
      <c r="H36" s="20">
        <v>0</v>
      </c>
      <c r="I36" s="20">
        <v>0.10811919779344752</v>
      </c>
      <c r="J36" s="20">
        <v>5.1298119309747044E-4</v>
      </c>
      <c r="K36" s="20">
        <v>2.2210717753488648E-4</v>
      </c>
      <c r="L36" s="20">
        <v>0</v>
      </c>
    </row>
    <row r="37" spans="1:12">
      <c r="A37" s="2" t="s">
        <v>289</v>
      </c>
      <c r="B37" s="3" t="s">
        <v>290</v>
      </c>
      <c r="D37" s="20">
        <v>3.3957698922398096E-15</v>
      </c>
      <c r="E37" s="20">
        <v>0.96746935932122957</v>
      </c>
      <c r="F37" s="20">
        <v>0.72594404022196424</v>
      </c>
      <c r="G37" s="20">
        <v>2.4784071034109918E-2</v>
      </c>
      <c r="H37" s="20">
        <v>0</v>
      </c>
      <c r="I37" s="20">
        <v>0.21674124806515546</v>
      </c>
      <c r="J37" s="20">
        <v>1.4514954490647202E-3</v>
      </c>
      <c r="K37" s="20">
        <v>3.1079145229702194E-2</v>
      </c>
      <c r="L37" s="20">
        <v>0</v>
      </c>
    </row>
    <row r="38" spans="1:12">
      <c r="A38" s="2" t="s">
        <v>291</v>
      </c>
      <c r="B38" s="3" t="s">
        <v>292</v>
      </c>
      <c r="D38" s="20">
        <v>9.4028908198962841E-13</v>
      </c>
      <c r="E38" s="20">
        <v>0.99877024861176356</v>
      </c>
      <c r="F38" s="20">
        <v>0.38481436039470279</v>
      </c>
      <c r="G38" s="20">
        <v>3.2149062890676918E-4</v>
      </c>
      <c r="H38" s="20">
        <v>0</v>
      </c>
      <c r="I38" s="20">
        <v>0.61363439758815397</v>
      </c>
      <c r="J38" s="20">
        <v>4.3493879516708046E-4</v>
      </c>
      <c r="K38" s="20">
        <v>7.9481259212901194E-4</v>
      </c>
      <c r="L38" s="20">
        <v>0</v>
      </c>
    </row>
    <row r="39" spans="1:12">
      <c r="A39" s="2" t="s">
        <v>367</v>
      </c>
      <c r="B39" s="3" t="s">
        <v>368</v>
      </c>
      <c r="D39" s="20">
        <v>1.2018653255583188E-5</v>
      </c>
      <c r="E39" s="20">
        <v>0.94444833600229594</v>
      </c>
      <c r="F39" s="20">
        <v>0.79464744260319442</v>
      </c>
      <c r="G39" s="20">
        <v>0.13879379330674496</v>
      </c>
      <c r="H39" s="20">
        <v>0</v>
      </c>
      <c r="I39" s="20">
        <v>1.1007100092356515E-2</v>
      </c>
      <c r="J39" s="20">
        <v>5.9870431177144251E-3</v>
      </c>
      <c r="K39" s="20">
        <v>4.9552602226734105E-2</v>
      </c>
      <c r="L39" s="20">
        <v>0</v>
      </c>
    </row>
    <row r="40" spans="1:12">
      <c r="A40" s="2" t="s">
        <v>369</v>
      </c>
      <c r="B40" s="3" t="s">
        <v>370</v>
      </c>
      <c r="D40" s="20">
        <v>7.0232104046560756E-13</v>
      </c>
      <c r="E40" s="20">
        <v>0.96420354993684554</v>
      </c>
      <c r="F40" s="20">
        <v>0.89823451692566048</v>
      </c>
      <c r="G40" s="20">
        <v>6.4984550137186459E-2</v>
      </c>
      <c r="H40" s="20">
        <v>0</v>
      </c>
      <c r="I40" s="20">
        <v>9.8448287399857323E-4</v>
      </c>
      <c r="J40" s="20">
        <v>3.4604366944686382E-2</v>
      </c>
      <c r="K40" s="20">
        <v>1.1920831177658707E-3</v>
      </c>
      <c r="L40" s="20">
        <v>0</v>
      </c>
    </row>
    <row r="41" spans="1:12">
      <c r="A41" s="2" t="s">
        <v>371</v>
      </c>
      <c r="B41" s="3" t="s">
        <v>372</v>
      </c>
      <c r="D41" s="20">
        <v>6.4962878837196716E-2</v>
      </c>
      <c r="E41" s="20">
        <v>0.93278665321538812</v>
      </c>
      <c r="F41" s="20">
        <v>2.855511718590957E-5</v>
      </c>
      <c r="G41" s="20">
        <v>1.4294846695810998E-5</v>
      </c>
      <c r="H41" s="20">
        <v>0</v>
      </c>
      <c r="I41" s="20">
        <v>0.93274380325150641</v>
      </c>
      <c r="J41" s="20">
        <v>2.7770036439143448E-4</v>
      </c>
      <c r="K41" s="20">
        <v>1.972767583023768E-3</v>
      </c>
      <c r="L41" s="20">
        <v>0</v>
      </c>
    </row>
    <row r="42" spans="1:12">
      <c r="A42" s="2" t="s">
        <v>293</v>
      </c>
      <c r="B42" s="3" t="s">
        <v>294</v>
      </c>
      <c r="D42" s="20">
        <v>1.6447924812183247E-8</v>
      </c>
      <c r="E42" s="20">
        <v>0.84618996052623463</v>
      </c>
      <c r="F42" s="20">
        <v>0.16964059864020406</v>
      </c>
      <c r="G42" s="20">
        <v>4.3513633722619176E-2</v>
      </c>
      <c r="H42" s="20">
        <v>0</v>
      </c>
      <c r="I42" s="20">
        <v>0.63303572816341136</v>
      </c>
      <c r="J42" s="20">
        <v>1.9925450844022969E-3</v>
      </c>
      <c r="K42" s="20">
        <v>0.15181747794143835</v>
      </c>
      <c r="L42" s="20">
        <v>0</v>
      </c>
    </row>
    <row r="43" spans="1:12">
      <c r="A43" s="2" t="s">
        <v>373</v>
      </c>
      <c r="B43" s="3" t="s">
        <v>374</v>
      </c>
      <c r="D43" s="20">
        <v>3.352565358197463E-8</v>
      </c>
      <c r="E43" s="20">
        <v>0.99879442384020056</v>
      </c>
      <c r="F43" s="20">
        <v>0.9891487478585691</v>
      </c>
      <c r="G43" s="20">
        <v>8.351866177776549E-4</v>
      </c>
      <c r="H43" s="20">
        <v>0</v>
      </c>
      <c r="I43" s="20">
        <v>8.8104893638537608E-3</v>
      </c>
      <c r="J43" s="20">
        <v>1.027681954415496E-3</v>
      </c>
      <c r="K43" s="20">
        <v>1.7786067973038619E-4</v>
      </c>
      <c r="L43" s="20">
        <v>0</v>
      </c>
    </row>
    <row r="44" spans="1:12">
      <c r="A44" s="2" t="s">
        <v>375</v>
      </c>
      <c r="B44" s="3" t="s">
        <v>376</v>
      </c>
      <c r="D44" s="20">
        <v>7.2949529973377489E-2</v>
      </c>
      <c r="E44" s="20">
        <v>0.86740076331927085</v>
      </c>
      <c r="F44" s="20">
        <v>2.144080970513421E-2</v>
      </c>
      <c r="G44" s="20">
        <v>6.539382453852308E-3</v>
      </c>
      <c r="H44" s="20">
        <v>0</v>
      </c>
      <c r="I44" s="20">
        <v>0.83942057116028435</v>
      </c>
      <c r="J44" s="20">
        <v>5.1626476744976531E-4</v>
      </c>
      <c r="K44" s="20">
        <v>5.9133441939902026E-2</v>
      </c>
      <c r="L44" s="20">
        <v>0</v>
      </c>
    </row>
    <row r="45" spans="1:12">
      <c r="A45" s="2" t="s">
        <v>377</v>
      </c>
      <c r="B45" s="3" t="s">
        <v>378</v>
      </c>
      <c r="D45" s="20">
        <v>6.303579813318153E-4</v>
      </c>
      <c r="E45" s="20">
        <v>0.83880653080076673</v>
      </c>
      <c r="F45" s="20">
        <v>0.19471792836274432</v>
      </c>
      <c r="G45" s="20">
        <v>4.9215454003717025E-2</v>
      </c>
      <c r="H45" s="20">
        <v>0</v>
      </c>
      <c r="I45" s="20">
        <v>0.59487314843430539</v>
      </c>
      <c r="J45" s="20">
        <v>2.2204584757630204E-3</v>
      </c>
      <c r="K45" s="20">
        <v>0.15834265274213838</v>
      </c>
      <c r="L45" s="20">
        <v>0</v>
      </c>
    </row>
    <row r="46" spans="1:12">
      <c r="A46" s="2" t="s">
        <v>379</v>
      </c>
      <c r="B46" s="3" t="s">
        <v>380</v>
      </c>
      <c r="D46" s="20">
        <v>1.8870969855722163E-3</v>
      </c>
      <c r="E46" s="20">
        <v>0.84193941806135142</v>
      </c>
      <c r="F46" s="20">
        <v>0.17848959545087806</v>
      </c>
      <c r="G46" s="20">
        <v>4.55311333274818E-2</v>
      </c>
      <c r="H46" s="20">
        <v>0</v>
      </c>
      <c r="I46" s="20">
        <v>0.61791868928299154</v>
      </c>
      <c r="J46" s="20">
        <v>2.0726892163457468E-3</v>
      </c>
      <c r="K46" s="20">
        <v>0.15410079573673063</v>
      </c>
      <c r="L46" s="20">
        <v>0</v>
      </c>
    </row>
    <row r="47" spans="1:12">
      <c r="A47" s="2" t="s">
        <v>381</v>
      </c>
      <c r="B47" s="3" t="s">
        <v>382</v>
      </c>
      <c r="D47" s="20">
        <v>3.3961405975734153E-8</v>
      </c>
      <c r="E47" s="20">
        <v>0.93377021335341315</v>
      </c>
      <c r="F47" s="20">
        <v>0.25153842989134917</v>
      </c>
      <c r="G47" s="20">
        <v>0.68155341949480908</v>
      </c>
      <c r="H47" s="20">
        <v>0</v>
      </c>
      <c r="I47" s="20">
        <v>6.7836396725487989E-4</v>
      </c>
      <c r="J47" s="20">
        <v>3.0370905635585557E-2</v>
      </c>
      <c r="K47" s="20">
        <v>3.5858847049595362E-2</v>
      </c>
      <c r="L47" s="20">
        <v>0</v>
      </c>
    </row>
    <row r="48" spans="1:12">
      <c r="A48" s="2" t="s">
        <v>383</v>
      </c>
      <c r="B48" s="3" t="s">
        <v>384</v>
      </c>
      <c r="D48" s="20">
        <v>9.6034135279300503E-3</v>
      </c>
      <c r="E48" s="20">
        <v>0.95613836163586385</v>
      </c>
      <c r="F48" s="20">
        <v>6.5924115944064532E-3</v>
      </c>
      <c r="G48" s="20">
        <v>2.2127883175025319E-3</v>
      </c>
      <c r="H48" s="20">
        <v>0</v>
      </c>
      <c r="I48" s="20">
        <v>0.94733316172395488</v>
      </c>
      <c r="J48" s="20">
        <v>3.7097764591299213E-4</v>
      </c>
      <c r="K48" s="20">
        <v>3.3887247190293061E-2</v>
      </c>
      <c r="L48" s="20">
        <v>0</v>
      </c>
    </row>
    <row r="49" spans="1:12">
      <c r="A49" s="2" t="s">
        <v>385</v>
      </c>
      <c r="B49" s="3" t="s">
        <v>386</v>
      </c>
      <c r="D49" s="20">
        <v>1.8246728179478901E-2</v>
      </c>
      <c r="E49" s="20">
        <v>0.93574194074268624</v>
      </c>
      <c r="F49" s="20">
        <v>1.1961996933773488E-2</v>
      </c>
      <c r="G49" s="20">
        <v>3.8344161230884828E-3</v>
      </c>
      <c r="H49" s="20">
        <v>0</v>
      </c>
      <c r="I49" s="20">
        <v>0.91994552768582427</v>
      </c>
      <c r="J49" s="20">
        <v>4.2909114011003505E-4</v>
      </c>
      <c r="K49" s="20">
        <v>4.5582239937724617E-2</v>
      </c>
      <c r="L49" s="20">
        <v>0</v>
      </c>
    </row>
    <row r="50" spans="1:12">
      <c r="A50" s="2" t="s">
        <v>387</v>
      </c>
      <c r="B50" s="3" t="s">
        <v>388</v>
      </c>
      <c r="D50" s="20">
        <v>5.9453561959432509E-3</v>
      </c>
      <c r="E50" s="20">
        <v>0.86984936760907083</v>
      </c>
      <c r="F50" s="20">
        <v>0.6516232376105866</v>
      </c>
      <c r="G50" s="20">
        <v>0.13082541428926955</v>
      </c>
      <c r="H50" s="20">
        <v>0</v>
      </c>
      <c r="I50" s="20">
        <v>8.7400715709214635E-2</v>
      </c>
      <c r="J50" s="20">
        <v>5.576912649926922E-3</v>
      </c>
      <c r="K50" s="20">
        <v>0.1186283635450591</v>
      </c>
      <c r="L50" s="20">
        <v>0</v>
      </c>
    </row>
    <row r="51" spans="1:12">
      <c r="A51" s="2" t="s">
        <v>295</v>
      </c>
      <c r="B51" s="3" t="s">
        <v>296</v>
      </c>
      <c r="D51" s="20">
        <v>5.2638226461557365E-2</v>
      </c>
      <c r="E51" s="20">
        <v>0.93418277355562507</v>
      </c>
      <c r="F51" s="20">
        <v>1.045971695557148E-3</v>
      </c>
      <c r="G51" s="20">
        <v>4.0162014431578946E-4</v>
      </c>
      <c r="H51" s="20">
        <v>0</v>
      </c>
      <c r="I51" s="20">
        <v>0.93273518171575209</v>
      </c>
      <c r="J51" s="20">
        <v>2.9318448882809144E-4</v>
      </c>
      <c r="K51" s="20">
        <v>1.2885815493989669E-2</v>
      </c>
      <c r="L51" s="20">
        <v>0</v>
      </c>
    </row>
    <row r="52" spans="1:12">
      <c r="A52" s="2" t="s">
        <v>389</v>
      </c>
      <c r="B52" s="3" t="s">
        <v>390</v>
      </c>
      <c r="D52" s="20">
        <v>6.0262038603573716E-2</v>
      </c>
      <c r="E52" s="20">
        <v>0.86083616866486101</v>
      </c>
      <c r="F52" s="20">
        <v>3.7797450212161701E-2</v>
      </c>
      <c r="G52" s="20">
        <v>1.1029556735287131E-2</v>
      </c>
      <c r="H52" s="20">
        <v>0</v>
      </c>
      <c r="I52" s="20">
        <v>0.81200916171741222</v>
      </c>
      <c r="J52" s="20">
        <v>6.9319849020847745E-4</v>
      </c>
      <c r="K52" s="20">
        <v>7.8208594241356538E-2</v>
      </c>
      <c r="L52" s="20">
        <v>0</v>
      </c>
    </row>
    <row r="53" spans="1:12">
      <c r="A53" s="2" t="s">
        <v>391</v>
      </c>
      <c r="B53" s="3" t="s">
        <v>392</v>
      </c>
      <c r="D53" s="20">
        <v>1.8904459361971232E-3</v>
      </c>
      <c r="E53" s="20">
        <v>0.8226765267578775</v>
      </c>
      <c r="F53" s="20">
        <v>0.28601113803917516</v>
      </c>
      <c r="G53" s="20">
        <v>6.9036458023911534E-2</v>
      </c>
      <c r="H53" s="20">
        <v>0</v>
      </c>
      <c r="I53" s="20">
        <v>0.46762893069479083</v>
      </c>
      <c r="J53" s="20">
        <v>3.0180766695111732E-3</v>
      </c>
      <c r="K53" s="20">
        <v>0.17241495063641427</v>
      </c>
      <c r="L53" s="20">
        <v>0</v>
      </c>
    </row>
    <row r="54" spans="1:12">
      <c r="A54" s="2" t="s">
        <v>393</v>
      </c>
      <c r="B54" s="3" t="s">
        <v>394</v>
      </c>
      <c r="D54" s="20">
        <v>1.5721606482960843E-4</v>
      </c>
      <c r="E54" s="20">
        <v>0.93213161110034082</v>
      </c>
      <c r="F54" s="20">
        <v>0.30165852686231032</v>
      </c>
      <c r="G54" s="20">
        <v>0.62952236117018889</v>
      </c>
      <c r="H54" s="20">
        <v>0</v>
      </c>
      <c r="I54" s="20">
        <v>9.5072306784161102E-4</v>
      </c>
      <c r="J54" s="20">
        <v>2.7963877483016236E-2</v>
      </c>
      <c r="K54" s="20">
        <v>3.9747295351813205E-2</v>
      </c>
      <c r="L54" s="20">
        <v>0</v>
      </c>
    </row>
    <row r="55" spans="1:12">
      <c r="A55" s="2" t="s">
        <v>395</v>
      </c>
      <c r="B55" s="3" t="s">
        <v>396</v>
      </c>
      <c r="D55" s="20">
        <v>0.12611398629391371</v>
      </c>
      <c r="E55" s="20">
        <v>0.7339545410204118</v>
      </c>
      <c r="F55" s="20">
        <v>0.46706996163477654</v>
      </c>
      <c r="G55" s="20">
        <v>0.10075752548225594</v>
      </c>
      <c r="H55" s="20">
        <v>0</v>
      </c>
      <c r="I55" s="20">
        <v>0.16612705390337937</v>
      </c>
      <c r="J55" s="20">
        <v>4.2958036941937554E-3</v>
      </c>
      <c r="K55" s="20">
        <v>0.1356356689914808</v>
      </c>
      <c r="L55" s="20">
        <v>0</v>
      </c>
    </row>
    <row r="56" spans="1:12">
      <c r="A56" s="2" t="s">
        <v>397</v>
      </c>
      <c r="B56" s="3" t="s">
        <v>398</v>
      </c>
      <c r="D56" s="20">
        <v>0.57068368340963971</v>
      </c>
      <c r="E56" s="20">
        <v>0.38750408176516576</v>
      </c>
      <c r="F56" s="20">
        <v>0.30918195574037144</v>
      </c>
      <c r="G56" s="20">
        <v>5.8736720616038358E-2</v>
      </c>
      <c r="H56" s="20">
        <v>0</v>
      </c>
      <c r="I56" s="20">
        <v>1.958540540875596E-2</v>
      </c>
      <c r="J56" s="20">
        <v>2.5110072223786775E-3</v>
      </c>
      <c r="K56" s="20">
        <v>3.9301227602816E-2</v>
      </c>
      <c r="L56" s="20">
        <v>0</v>
      </c>
    </row>
    <row r="57" spans="1:12">
      <c r="A57" s="2" t="s">
        <v>399</v>
      </c>
      <c r="B57" s="3" t="s">
        <v>400</v>
      </c>
      <c r="D57" s="20">
        <v>0.7530299842529119</v>
      </c>
      <c r="E57" s="20">
        <v>0.21010404595921531</v>
      </c>
      <c r="F57" s="20">
        <v>0.14316305378037336</v>
      </c>
      <c r="G57" s="20">
        <v>3.0152720985137285E-2</v>
      </c>
      <c r="H57" s="20">
        <v>0</v>
      </c>
      <c r="I57" s="20">
        <v>3.6788271193704661E-2</v>
      </c>
      <c r="J57" s="20">
        <v>1.2845781652032393E-3</v>
      </c>
      <c r="K57" s="20">
        <v>3.5581391622669538E-2</v>
      </c>
      <c r="L57" s="20">
        <v>0</v>
      </c>
    </row>
    <row r="58" spans="1:12">
      <c r="A58" s="2" t="s">
        <v>297</v>
      </c>
      <c r="B58" s="3" t="s">
        <v>298</v>
      </c>
      <c r="D58" s="20">
        <v>0.91903559584194716</v>
      </c>
      <c r="E58" s="20">
        <v>7.6690189109863541E-2</v>
      </c>
      <c r="F58" s="20">
        <v>1.252999844236714E-3</v>
      </c>
      <c r="G58" s="20">
        <v>3.943179727502729E-4</v>
      </c>
      <c r="H58" s="20">
        <v>0</v>
      </c>
      <c r="I58" s="20">
        <v>7.5042871292876553E-2</v>
      </c>
      <c r="J58" s="20">
        <v>3.8341438629950779E-5</v>
      </c>
      <c r="K58" s="20">
        <v>4.235873609559483E-3</v>
      </c>
      <c r="L58" s="20">
        <v>0</v>
      </c>
    </row>
    <row r="59" spans="1:12">
      <c r="A59" s="2" t="s">
        <v>401</v>
      </c>
      <c r="B59" s="3" t="s">
        <v>402</v>
      </c>
      <c r="D59" s="20">
        <v>0.90301687426716515</v>
      </c>
      <c r="E59" s="20">
        <v>8.2251270412096261E-2</v>
      </c>
      <c r="F59" s="20">
        <v>5.5247744195676969E-2</v>
      </c>
      <c r="G59" s="20">
        <v>1.1700653152009393E-2</v>
      </c>
      <c r="H59" s="20">
        <v>0</v>
      </c>
      <c r="I59" s="20">
        <v>1.5302873064409903E-2</v>
      </c>
      <c r="J59" s="20">
        <v>4.9852506933576748E-4</v>
      </c>
      <c r="K59" s="20">
        <v>1.423333025140287E-2</v>
      </c>
      <c r="L59" s="20">
        <v>0</v>
      </c>
    </row>
    <row r="60" spans="1:12">
      <c r="A60" s="2" t="s">
        <v>299</v>
      </c>
      <c r="B60" s="3" t="s">
        <v>300</v>
      </c>
      <c r="D60" s="20">
        <v>0.99795175203392639</v>
      </c>
      <c r="E60" s="20">
        <v>1.6912006297002049E-3</v>
      </c>
      <c r="F60" s="20">
        <v>9.1060122303943721E-4</v>
      </c>
      <c r="G60" s="20">
        <v>2.0493860923553634E-4</v>
      </c>
      <c r="H60" s="20">
        <v>0</v>
      </c>
      <c r="I60" s="20">
        <v>5.7566079742523129E-4</v>
      </c>
      <c r="J60" s="20">
        <v>8.7740168348211595E-6</v>
      </c>
      <c r="K60" s="20">
        <v>3.4827331953874417E-4</v>
      </c>
      <c r="L60" s="20">
        <v>0</v>
      </c>
    </row>
    <row r="61" spans="1:12">
      <c r="A61" s="2" t="s">
        <v>403</v>
      </c>
      <c r="B61" s="3" t="s">
        <v>404</v>
      </c>
      <c r="D61" s="20">
        <v>4.3018691031400343E-44</v>
      </c>
      <c r="E61" s="20">
        <v>0.8214263366294231</v>
      </c>
      <c r="F61" s="20">
        <v>0.38183512435632877</v>
      </c>
      <c r="G61" s="20">
        <v>8.8342855184534427E-2</v>
      </c>
      <c r="H61" s="20">
        <v>0</v>
      </c>
      <c r="I61" s="20">
        <v>0.35124835708855995</v>
      </c>
      <c r="J61" s="20">
        <v>3.8032747259827693E-3</v>
      </c>
      <c r="K61" s="20">
        <v>0.17477038864459415</v>
      </c>
      <c r="L61" s="20">
        <v>0</v>
      </c>
    </row>
    <row r="62" spans="1:12">
      <c r="A62" s="2" t="s">
        <v>405</v>
      </c>
      <c r="B62" s="3" t="s">
        <v>406</v>
      </c>
      <c r="D62" s="20">
        <v>8.8938382650090714E-8</v>
      </c>
      <c r="E62" s="20">
        <v>0.93270932646881521</v>
      </c>
      <c r="F62" s="20">
        <v>0.59622188303500911</v>
      </c>
      <c r="G62" s="20">
        <v>0.33235595693853248</v>
      </c>
      <c r="H62" s="20">
        <v>0</v>
      </c>
      <c r="I62" s="20">
        <v>4.1314864952736521E-3</v>
      </c>
      <c r="J62" s="20">
        <v>1.4531179735005152E-2</v>
      </c>
      <c r="K62" s="20">
        <v>5.2759404857796767E-2</v>
      </c>
      <c r="L62" s="20">
        <v>0</v>
      </c>
    </row>
    <row r="63" spans="1:12">
      <c r="A63" s="2" t="s">
        <v>407</v>
      </c>
      <c r="B63" s="3" t="s">
        <v>408</v>
      </c>
      <c r="D63" s="20">
        <v>2.0758309418756804E-5</v>
      </c>
      <c r="E63" s="20">
        <v>0.93688015594375595</v>
      </c>
      <c r="F63" s="20">
        <v>0.1784475811459004</v>
      </c>
      <c r="G63" s="20">
        <v>0.75806460761221051</v>
      </c>
      <c r="H63" s="20">
        <v>0</v>
      </c>
      <c r="I63" s="20">
        <v>3.6796718564506082E-4</v>
      </c>
      <c r="J63" s="20">
        <v>3.3964916314474396E-2</v>
      </c>
      <c r="K63" s="20">
        <v>2.9134169432351011E-2</v>
      </c>
      <c r="L63" s="20">
        <v>0</v>
      </c>
    </row>
    <row r="64" spans="1:12">
      <c r="A64" s="2" t="s">
        <v>409</v>
      </c>
      <c r="B64" s="3" t="s">
        <v>410</v>
      </c>
      <c r="D64" s="20">
        <v>2.543176078139571E-6</v>
      </c>
      <c r="E64" s="20">
        <v>0.94228732428379114</v>
      </c>
      <c r="F64" s="20">
        <v>9.5147003215168308E-2</v>
      </c>
      <c r="G64" s="20">
        <v>0.84701415762346266</v>
      </c>
      <c r="H64" s="20">
        <v>0</v>
      </c>
      <c r="I64" s="20">
        <v>1.2616344516012189E-4</v>
      </c>
      <c r="J64" s="20">
        <v>3.8292910797511619E-2</v>
      </c>
      <c r="K64" s="20">
        <v>1.9417221742619031E-2</v>
      </c>
      <c r="L64" s="20">
        <v>0</v>
      </c>
    </row>
    <row r="65" spans="1:12">
      <c r="A65" s="2" t="s">
        <v>301</v>
      </c>
      <c r="B65" s="3" t="s">
        <v>302</v>
      </c>
      <c r="D65" s="20">
        <v>3.1144743612909795E-7</v>
      </c>
      <c r="E65" s="20">
        <v>0.94722701395148046</v>
      </c>
      <c r="F65" s="20">
        <v>4.3752557514918397E-2</v>
      </c>
      <c r="G65" s="20">
        <v>0.90343934392703451</v>
      </c>
      <c r="H65" s="20">
        <v>0</v>
      </c>
      <c r="I65" s="20">
        <v>3.5112509527501028E-5</v>
      </c>
      <c r="J65" s="20">
        <v>4.1264792059911494E-2</v>
      </c>
      <c r="K65" s="20">
        <v>1.1507882541172043E-2</v>
      </c>
      <c r="L65" s="20">
        <v>0</v>
      </c>
    </row>
    <row r="66" spans="1:12">
      <c r="A66" s="2" t="s">
        <v>303</v>
      </c>
      <c r="B66" s="3" t="s">
        <v>304</v>
      </c>
      <c r="D66" s="20">
        <v>3.0201489091004247E-13</v>
      </c>
      <c r="E66" s="20">
        <v>0.9446281335904283</v>
      </c>
      <c r="F66" s="20">
        <v>6.8477365061339432E-2</v>
      </c>
      <c r="G66" s="20">
        <v>0.87607764023096135</v>
      </c>
      <c r="H66" s="20">
        <v>0</v>
      </c>
      <c r="I66" s="20">
        <v>7.3128298127510074E-5</v>
      </c>
      <c r="J66" s="20">
        <v>3.9782121217191289E-2</v>
      </c>
      <c r="K66" s="20">
        <v>1.5589745192078506E-2</v>
      </c>
      <c r="L66" s="20">
        <v>0</v>
      </c>
    </row>
    <row r="67" spans="1:12">
      <c r="A67" s="2" t="s">
        <v>411</v>
      </c>
      <c r="B67" s="3" t="s">
        <v>412</v>
      </c>
      <c r="D67" s="20">
        <v>3.9700271493180667E-3</v>
      </c>
      <c r="E67" s="20">
        <v>0.92585756057034851</v>
      </c>
      <c r="F67" s="20">
        <v>2.775953334239813E-2</v>
      </c>
      <c r="G67" s="20">
        <v>8.3427209309581262E-3</v>
      </c>
      <c r="H67" s="20">
        <v>0</v>
      </c>
      <c r="I67" s="20">
        <v>0.88975530629699229</v>
      </c>
      <c r="J67" s="20">
        <v>6.0527422565142554E-4</v>
      </c>
      <c r="K67" s="20">
        <v>6.956713805468194E-2</v>
      </c>
      <c r="L67" s="20">
        <v>0</v>
      </c>
    </row>
    <row r="68" spans="1:12">
      <c r="A68" s="2" t="s">
        <v>413</v>
      </c>
      <c r="B68" s="3" t="s">
        <v>414</v>
      </c>
      <c r="D68" s="20">
        <v>8.7616154135600546E-3</v>
      </c>
      <c r="E68" s="20">
        <v>0.89882499600834687</v>
      </c>
      <c r="F68" s="20">
        <v>4.9888778482748426E-2</v>
      </c>
      <c r="G68" s="20">
        <v>1.4292178309238698E-2</v>
      </c>
      <c r="H68" s="20">
        <v>0</v>
      </c>
      <c r="I68" s="20">
        <v>0.83464403921635977</v>
      </c>
      <c r="J68" s="20">
        <v>8.3461006858028626E-4</v>
      </c>
      <c r="K68" s="20">
        <v>9.1578778509512668E-2</v>
      </c>
      <c r="L68" s="20">
        <v>0</v>
      </c>
    </row>
    <row r="69" spans="1:12">
      <c r="A69" s="2" t="s">
        <v>415</v>
      </c>
      <c r="B69" s="3" t="s">
        <v>416</v>
      </c>
      <c r="D69" s="20">
        <v>1.0179062290087625E-3</v>
      </c>
      <c r="E69" s="20">
        <v>0.92994355648607596</v>
      </c>
      <c r="F69" s="20">
        <v>0.37863996936734245</v>
      </c>
      <c r="G69" s="20">
        <v>0.54982187142083538</v>
      </c>
      <c r="H69" s="20">
        <v>0</v>
      </c>
      <c r="I69" s="20">
        <v>1.4817156978981123E-3</v>
      </c>
      <c r="J69" s="20">
        <v>2.4316824057393712E-2</v>
      </c>
      <c r="K69" s="20">
        <v>4.4721713227521546E-2</v>
      </c>
      <c r="L69" s="20">
        <v>0</v>
      </c>
    </row>
    <row r="70" spans="1:12">
      <c r="A70" s="2" t="s">
        <v>417</v>
      </c>
      <c r="B70" s="3" t="s">
        <v>418</v>
      </c>
      <c r="D70" s="20">
        <v>2.7249018148417553E-3</v>
      </c>
      <c r="E70" s="20">
        <v>0.91709140329238736</v>
      </c>
      <c r="F70" s="20">
        <v>0.7515701837660661</v>
      </c>
      <c r="G70" s="20">
        <v>0.13736152313028363</v>
      </c>
      <c r="H70" s="20">
        <v>0</v>
      </c>
      <c r="I70" s="20">
        <v>2.81596963960376E-2</v>
      </c>
      <c r="J70" s="20">
        <v>5.888364463489712E-3</v>
      </c>
      <c r="K70" s="20">
        <v>7.4295330429281103E-2</v>
      </c>
      <c r="L70" s="20">
        <v>0</v>
      </c>
    </row>
    <row r="71" spans="1:12">
      <c r="A71" s="2" t="s">
        <v>419</v>
      </c>
      <c r="B71" s="3" t="s">
        <v>420</v>
      </c>
      <c r="D71" s="20">
        <v>2.1452079734095804E-2</v>
      </c>
      <c r="E71" s="20">
        <v>0.89101504822407351</v>
      </c>
      <c r="F71" s="20">
        <v>4.5049304122985717E-2</v>
      </c>
      <c r="G71" s="20">
        <v>1.3001206077359431E-2</v>
      </c>
      <c r="H71" s="20">
        <v>0</v>
      </c>
      <c r="I71" s="20">
        <v>0.83296453802372838</v>
      </c>
      <c r="J71" s="20">
        <v>7.8075877848633691E-4</v>
      </c>
      <c r="K71" s="20">
        <v>8.6752113263344158E-2</v>
      </c>
      <c r="L71" s="20">
        <v>0</v>
      </c>
    </row>
    <row r="72" spans="1:12">
      <c r="A72" s="2" t="s">
        <v>421</v>
      </c>
      <c r="B72" s="3" t="s">
        <v>422</v>
      </c>
      <c r="D72" s="20">
        <v>1.1512411933018805E-2</v>
      </c>
      <c r="E72" s="20">
        <v>0.90367041015242344</v>
      </c>
      <c r="F72" s="20">
        <v>0.73482683068993304</v>
      </c>
      <c r="G72" s="20">
        <v>0.13604436587351673</v>
      </c>
      <c r="H72" s="20">
        <v>0</v>
      </c>
      <c r="I72" s="20">
        <v>3.2799213588973621E-2</v>
      </c>
      <c r="J72" s="20">
        <v>5.8262925909452652E-3</v>
      </c>
      <c r="K72" s="20">
        <v>7.8990885323612411E-2</v>
      </c>
      <c r="L72" s="20">
        <v>0</v>
      </c>
    </row>
    <row r="73" spans="1:12">
      <c r="A73" s="2" t="s">
        <v>423</v>
      </c>
      <c r="B73" s="3" t="s">
        <v>424</v>
      </c>
      <c r="D73" s="20">
        <v>1.2517330554792153E-2</v>
      </c>
      <c r="E73" s="20">
        <v>0.81204159595079406</v>
      </c>
      <c r="F73" s="20">
        <v>0.39786011648514402</v>
      </c>
      <c r="G73" s="20">
        <v>9.1206535825321441E-2</v>
      </c>
      <c r="H73" s="20">
        <v>0</v>
      </c>
      <c r="I73" s="20">
        <v>0.32297494364032858</v>
      </c>
      <c r="J73" s="20">
        <v>3.9180665835931994E-3</v>
      </c>
      <c r="K73" s="20">
        <v>0.1715230069108207</v>
      </c>
      <c r="L73" s="20">
        <v>0</v>
      </c>
    </row>
    <row r="74" spans="1:12">
      <c r="A74" s="2" t="s">
        <v>425</v>
      </c>
      <c r="B74" s="3" t="s">
        <v>426</v>
      </c>
      <c r="D74" s="20">
        <v>4.2136899116147633E-3</v>
      </c>
      <c r="E74" s="20">
        <v>0.91421285824622189</v>
      </c>
      <c r="F74" s="20">
        <v>0.74762059530330949</v>
      </c>
      <c r="G74" s="20">
        <v>0.13714399999047627</v>
      </c>
      <c r="H74" s="20">
        <v>0</v>
      </c>
      <c r="I74" s="20">
        <v>2.9448262952436088E-2</v>
      </c>
      <c r="J74" s="20">
        <v>5.8773991830766894E-3</v>
      </c>
      <c r="K74" s="20">
        <v>7.5696052659086799E-2</v>
      </c>
      <c r="L74" s="20">
        <v>0</v>
      </c>
    </row>
    <row r="75" spans="1:12">
      <c r="A75" s="2" t="s">
        <v>427</v>
      </c>
      <c r="B75" s="3" t="s">
        <v>428</v>
      </c>
      <c r="D75" s="20">
        <v>4.2691486832530462E-10</v>
      </c>
      <c r="E75" s="20">
        <v>0.99657112389499369</v>
      </c>
      <c r="F75" s="20">
        <v>0.99188193823992254</v>
      </c>
      <c r="G75" s="20">
        <v>3.8274558615311729E-4</v>
      </c>
      <c r="H75" s="20">
        <v>0</v>
      </c>
      <c r="I75" s="20">
        <v>4.3064400689179988E-3</v>
      </c>
      <c r="J75" s="20">
        <v>3.3937190988094393E-3</v>
      </c>
      <c r="K75" s="20">
        <v>3.5156579281841117E-5</v>
      </c>
      <c r="L75" s="20">
        <v>0</v>
      </c>
    </row>
    <row r="76" spans="1:12">
      <c r="A76" s="2" t="s">
        <v>429</v>
      </c>
      <c r="B76" s="3" t="s">
        <v>430</v>
      </c>
      <c r="D76" s="20">
        <v>1.0723616656023393E-11</v>
      </c>
      <c r="E76" s="20">
        <v>0.99657112430975792</v>
      </c>
      <c r="F76" s="20">
        <v>0.99188193865273522</v>
      </c>
      <c r="G76" s="20">
        <v>3.8274558631241277E-4</v>
      </c>
      <c r="H76" s="20">
        <v>0</v>
      </c>
      <c r="I76" s="20">
        <v>4.3064400707103013E-3</v>
      </c>
      <c r="J76" s="20">
        <v>3.3937191002218754E-3</v>
      </c>
      <c r="K76" s="20">
        <v>3.5156579296472988E-5</v>
      </c>
      <c r="L76" s="20">
        <v>0</v>
      </c>
    </row>
    <row r="77" spans="1:12">
      <c r="A77" s="2" t="s">
        <v>431</v>
      </c>
      <c r="B77" s="3" t="s">
        <v>432</v>
      </c>
      <c r="D77" s="20">
        <v>2.1855020225145658E-2</v>
      </c>
      <c r="E77" s="20">
        <v>0.84106488827624881</v>
      </c>
      <c r="F77" s="20">
        <v>0.59781925230893473</v>
      </c>
      <c r="G77" s="20">
        <v>0.1236133716828675</v>
      </c>
      <c r="H77" s="20">
        <v>0</v>
      </c>
      <c r="I77" s="20">
        <v>0.11963226428444658</v>
      </c>
      <c r="J77" s="20">
        <v>5.2659901536544745E-3</v>
      </c>
      <c r="K77" s="20">
        <v>0.13181410134495114</v>
      </c>
      <c r="L77" s="20">
        <v>0</v>
      </c>
    </row>
    <row r="78" spans="1:12">
      <c r="A78" s="2" t="s">
        <v>433</v>
      </c>
      <c r="B78" s="3" t="s">
        <v>434</v>
      </c>
      <c r="D78" s="20">
        <v>3.1215761196486155E-2</v>
      </c>
      <c r="E78" s="20">
        <v>0.82334883845269813</v>
      </c>
      <c r="F78" s="20">
        <v>0.15296519123302491</v>
      </c>
      <c r="G78" s="20">
        <v>3.9526482643899803E-2</v>
      </c>
      <c r="H78" s="20">
        <v>0</v>
      </c>
      <c r="I78" s="20">
        <v>0.63085716457577345</v>
      </c>
      <c r="J78" s="20">
        <v>1.8254308117706718E-3</v>
      </c>
      <c r="K78" s="20">
        <v>0.14360996953904495</v>
      </c>
      <c r="L78" s="20">
        <v>0</v>
      </c>
    </row>
    <row r="79" spans="1:12">
      <c r="A79" s="2" t="s">
        <v>435</v>
      </c>
      <c r="B79" s="3" t="s">
        <v>436</v>
      </c>
      <c r="D79" s="20">
        <v>7.4903686773915264E-3</v>
      </c>
      <c r="E79" s="20">
        <v>0.81736782853624046</v>
      </c>
      <c r="F79" s="20">
        <v>0.29236264251928501</v>
      </c>
      <c r="G79" s="20">
        <v>7.031005440241711E-2</v>
      </c>
      <c r="H79" s="20">
        <v>0</v>
      </c>
      <c r="I79" s="20">
        <v>0.45469513161453839</v>
      </c>
      <c r="J79" s="20">
        <v>3.0683573489705043E-3</v>
      </c>
      <c r="K79" s="20">
        <v>0.17207344543739739</v>
      </c>
      <c r="L79" s="20">
        <v>0</v>
      </c>
    </row>
    <row r="80" spans="1:12">
      <c r="A80" s="2" t="s">
        <v>437</v>
      </c>
      <c r="B80" s="3" t="s">
        <v>438</v>
      </c>
      <c r="D80" s="20">
        <v>1.5237136867534913E-10</v>
      </c>
      <c r="E80" s="20">
        <v>0.99338636814975123</v>
      </c>
      <c r="F80" s="20">
        <v>0.98974215986229608</v>
      </c>
      <c r="G80" s="20">
        <v>7.3362188636803783E-4</v>
      </c>
      <c r="H80" s="20">
        <v>0</v>
      </c>
      <c r="I80" s="20">
        <v>2.9105864010871602E-3</v>
      </c>
      <c r="J80" s="20">
        <v>6.570917849664553E-3</v>
      </c>
      <c r="K80" s="20">
        <v>4.2713848212976801E-5</v>
      </c>
      <c r="L80" s="20">
        <v>0</v>
      </c>
    </row>
    <row r="81" spans="1:12">
      <c r="A81" s="2" t="s">
        <v>440</v>
      </c>
      <c r="B81" s="3" t="s">
        <v>441</v>
      </c>
      <c r="D81" s="20">
        <v>1.4621318989136775E-13</v>
      </c>
      <c r="E81" s="20">
        <v>0.98725902887753014</v>
      </c>
      <c r="F81" s="20">
        <v>9.2812236158081377E-4</v>
      </c>
      <c r="G81" s="20">
        <v>3.6099467172992359E-4</v>
      </c>
      <c r="H81" s="20">
        <v>0</v>
      </c>
      <c r="I81" s="20">
        <v>0.98596991184421945</v>
      </c>
      <c r="J81" s="20">
        <v>3.0736193539205578E-4</v>
      </c>
      <c r="K81" s="20">
        <v>1.2433609186931528E-2</v>
      </c>
      <c r="L81" s="20">
        <v>0</v>
      </c>
    </row>
    <row r="82" spans="1:12">
      <c r="A82" s="2" t="s">
        <v>442</v>
      </c>
      <c r="B82" s="3" t="s">
        <v>443</v>
      </c>
      <c r="D82" s="20">
        <v>7.3060866976994694E-5</v>
      </c>
      <c r="E82" s="20">
        <v>0.89689016379457875</v>
      </c>
      <c r="F82" s="20">
        <v>6.267632238939233E-2</v>
      </c>
      <c r="G82" s="20">
        <v>1.7627838424755179E-2</v>
      </c>
      <c r="H82" s="20">
        <v>0</v>
      </c>
      <c r="I82" s="20">
        <v>0.81658600298043127</v>
      </c>
      <c r="J82" s="20">
        <v>9.6739413194167482E-4</v>
      </c>
      <c r="K82" s="20">
        <v>0.10206938120650265</v>
      </c>
      <c r="L82" s="20">
        <v>0</v>
      </c>
    </row>
    <row r="83" spans="1:12">
      <c r="A83" s="2" t="s">
        <v>444</v>
      </c>
      <c r="B83" s="3" t="s">
        <v>445</v>
      </c>
      <c r="D83" s="20">
        <v>4.701940943059199E-4</v>
      </c>
      <c r="E83" s="20">
        <v>0.84944441638749923</v>
      </c>
      <c r="F83" s="20">
        <v>0.57609731927251639</v>
      </c>
      <c r="G83" s="20">
        <v>0.12156020105724816</v>
      </c>
      <c r="H83" s="20">
        <v>0</v>
      </c>
      <c r="I83" s="20">
        <v>0.15178689605773463</v>
      </c>
      <c r="J83" s="20">
        <v>5.1789016621745301E-3</v>
      </c>
      <c r="K83" s="20">
        <v>0.14490648785602034</v>
      </c>
      <c r="L83" s="20">
        <v>0</v>
      </c>
    </row>
    <row r="84" spans="1:12">
      <c r="A84" s="2" t="s">
        <v>446</v>
      </c>
      <c r="B84" s="3" t="s">
        <v>447</v>
      </c>
      <c r="D84" s="20">
        <v>4.5723266326486223E-15</v>
      </c>
      <c r="E84" s="20">
        <v>0.97247978514695554</v>
      </c>
      <c r="F84" s="20">
        <v>4.2359998082918031E-3</v>
      </c>
      <c r="G84" s="20">
        <v>1.4711314743154856E-3</v>
      </c>
      <c r="H84" s="20">
        <v>0</v>
      </c>
      <c r="I84" s="20">
        <v>0.9667726538643483</v>
      </c>
      <c r="J84" s="20">
        <v>3.4656919890221834E-4</v>
      </c>
      <c r="K84" s="20">
        <v>2.7173645654137855E-2</v>
      </c>
      <c r="L84" s="20">
        <v>0</v>
      </c>
    </row>
    <row r="85" spans="1:12">
      <c r="A85" s="2" t="s">
        <v>448</v>
      </c>
      <c r="B85" s="3" t="s">
        <v>449</v>
      </c>
      <c r="D85" s="20">
        <v>3.1227732988043559E-8</v>
      </c>
      <c r="E85" s="20">
        <v>0.99456646500895951</v>
      </c>
      <c r="F85" s="20">
        <v>1.6879483041557728E-4</v>
      </c>
      <c r="G85" s="20">
        <v>7.4482577465756334E-5</v>
      </c>
      <c r="H85" s="20">
        <v>0</v>
      </c>
      <c r="I85" s="20">
        <v>0.99432318760107818</v>
      </c>
      <c r="J85" s="20">
        <v>2.9837760485736104E-4</v>
      </c>
      <c r="K85" s="20">
        <v>5.1351261584500832E-3</v>
      </c>
      <c r="L85" s="20">
        <v>0</v>
      </c>
    </row>
    <row r="86" spans="1:12">
      <c r="A86" s="2" t="s">
        <v>450</v>
      </c>
      <c r="B86" s="3" t="s">
        <v>451</v>
      </c>
      <c r="D86" s="20">
        <v>1.1493198885680808E-8</v>
      </c>
      <c r="E86" s="20">
        <v>0.97315543988647646</v>
      </c>
      <c r="F86" s="20">
        <v>4.0332914561622057E-3</v>
      </c>
      <c r="G86" s="20">
        <v>1.4059023658617293E-3</v>
      </c>
      <c r="H86" s="20">
        <v>0</v>
      </c>
      <c r="I86" s="20">
        <v>0.9677162460644525</v>
      </c>
      <c r="J86" s="20">
        <v>3.4420029051366506E-4</v>
      </c>
      <c r="K86" s="20">
        <v>2.6500348329811234E-2</v>
      </c>
      <c r="L86" s="20">
        <v>0</v>
      </c>
    </row>
    <row r="87" spans="1:12">
      <c r="A87" s="2" t="s">
        <v>452</v>
      </c>
      <c r="B87" s="3" t="s">
        <v>453</v>
      </c>
      <c r="D87" s="20">
        <v>3.8967838369115885E-8</v>
      </c>
      <c r="E87" s="20">
        <v>0.93492212656768947</v>
      </c>
      <c r="F87" s="20">
        <v>0.22116937950288001</v>
      </c>
      <c r="G87" s="20">
        <v>0.71321514190888013</v>
      </c>
      <c r="H87" s="20">
        <v>0</v>
      </c>
      <c r="I87" s="20">
        <v>5.3760515592930335E-4</v>
      </c>
      <c r="J87" s="20">
        <v>3.1848857121247152E-2</v>
      </c>
      <c r="K87" s="20">
        <v>3.322897734322517E-2</v>
      </c>
      <c r="L87" s="20">
        <v>0</v>
      </c>
    </row>
    <row r="88" spans="1:12">
      <c r="A88" s="2" t="s">
        <v>454</v>
      </c>
      <c r="B88" s="3" t="s">
        <v>455</v>
      </c>
      <c r="D88" s="20">
        <v>3.6726874305270116E-5</v>
      </c>
      <c r="E88" s="20">
        <v>0.86371379043136709</v>
      </c>
      <c r="F88" s="20">
        <v>0.12133962626817973</v>
      </c>
      <c r="G88" s="20">
        <v>3.2173492596091452E-2</v>
      </c>
      <c r="H88" s="20">
        <v>0</v>
      </c>
      <c r="I88" s="20">
        <v>0.71020067156709588</v>
      </c>
      <c r="J88" s="20">
        <v>1.5410978215995863E-3</v>
      </c>
      <c r="K88" s="20">
        <v>0.1347083848727281</v>
      </c>
      <c r="L88" s="20">
        <v>0</v>
      </c>
    </row>
    <row r="89" spans="1:12">
      <c r="A89" s="2" t="s">
        <v>456</v>
      </c>
      <c r="B89" s="3" t="s">
        <v>457</v>
      </c>
      <c r="D89" s="20">
        <v>2.4264508868406996E-17</v>
      </c>
      <c r="E89" s="20">
        <v>0.89085677064420521</v>
      </c>
      <c r="F89" s="20">
        <v>7.1316527663155521E-2</v>
      </c>
      <c r="G89" s="20">
        <v>1.9837445425621637E-2</v>
      </c>
      <c r="H89" s="20">
        <v>0</v>
      </c>
      <c r="I89" s="20">
        <v>0.79970279755542806</v>
      </c>
      <c r="J89" s="20">
        <v>1.0540634030411736E-3</v>
      </c>
      <c r="K89" s="20">
        <v>0.1080891659527536</v>
      </c>
      <c r="L89" s="20">
        <v>0</v>
      </c>
    </row>
    <row r="90" spans="1:12">
      <c r="A90" s="2" t="s">
        <v>458</v>
      </c>
      <c r="B90" s="3" t="s">
        <v>459</v>
      </c>
      <c r="D90" s="20">
        <v>3.5041176325076939E-29</v>
      </c>
      <c r="E90" s="20">
        <v>0.94658167581830932</v>
      </c>
      <c r="F90" s="20">
        <v>1.5848835627024022E-2</v>
      </c>
      <c r="G90" s="20">
        <v>4.9784358641839013E-3</v>
      </c>
      <c r="H90" s="20">
        <v>0</v>
      </c>
      <c r="I90" s="20">
        <v>0.92575440432710143</v>
      </c>
      <c r="J90" s="20">
        <v>4.7766587913792305E-4</v>
      </c>
      <c r="K90" s="20">
        <v>5.2940658302552623E-2</v>
      </c>
      <c r="L90" s="20">
        <v>0</v>
      </c>
    </row>
    <row r="91" spans="1:12">
      <c r="A91" s="2" t="s">
        <v>460</v>
      </c>
      <c r="B91" s="3" t="s">
        <v>461</v>
      </c>
      <c r="D91" s="20">
        <v>4.1528229912066109E-8</v>
      </c>
      <c r="E91" s="20">
        <v>0.9318806294405898</v>
      </c>
      <c r="F91" s="20">
        <v>0.56449760615916389</v>
      </c>
      <c r="G91" s="20">
        <v>0.36379578248315975</v>
      </c>
      <c r="H91" s="20">
        <v>0</v>
      </c>
      <c r="I91" s="20">
        <v>3.5872407982661938E-3</v>
      </c>
      <c r="J91" s="20">
        <v>1.5933320531259957E-2</v>
      </c>
      <c r="K91" s="20">
        <v>5.2186008499920229E-2</v>
      </c>
      <c r="L91" s="20">
        <v>0</v>
      </c>
    </row>
    <row r="92" spans="1:12">
      <c r="A92" s="2" t="s">
        <v>462</v>
      </c>
      <c r="B92" s="3" t="s">
        <v>463</v>
      </c>
      <c r="D92" s="20">
        <v>4.1985503273643529E-9</v>
      </c>
      <c r="E92" s="20">
        <v>0.83474747787233539</v>
      </c>
      <c r="F92" s="20">
        <v>0.50829758661642055</v>
      </c>
      <c r="G92" s="20">
        <v>0.11107430462935426</v>
      </c>
      <c r="H92" s="20">
        <v>0</v>
      </c>
      <c r="I92" s="20">
        <v>0.21537558662656056</v>
      </c>
      <c r="J92" s="20">
        <v>4.7395874236979517E-3</v>
      </c>
      <c r="K92" s="20">
        <v>0.16051293050541637</v>
      </c>
      <c r="L92" s="20">
        <v>0</v>
      </c>
    </row>
    <row r="93" spans="1:12">
      <c r="A93" s="2" t="s">
        <v>464</v>
      </c>
      <c r="B93" s="3" t="s">
        <v>465</v>
      </c>
      <c r="D93" s="20">
        <v>1.7142862469336938E-4</v>
      </c>
      <c r="E93" s="20">
        <v>0.90416838730279447</v>
      </c>
      <c r="F93" s="20">
        <v>0.72360577673655357</v>
      </c>
      <c r="G93" s="20">
        <v>0.13696120889141886</v>
      </c>
      <c r="H93" s="20">
        <v>0</v>
      </c>
      <c r="I93" s="20">
        <v>4.3601401674822023E-2</v>
      </c>
      <c r="J93" s="20">
        <v>5.8565314261038578E-3</v>
      </c>
      <c r="K93" s="20">
        <v>8.9803652646408244E-2</v>
      </c>
      <c r="L93" s="20">
        <v>0</v>
      </c>
    </row>
    <row r="94" spans="1:12">
      <c r="A94" s="2" t="s">
        <v>466</v>
      </c>
      <c r="B94" s="3" t="s">
        <v>467</v>
      </c>
      <c r="D94" s="20">
        <v>1.4263756693675631E-18</v>
      </c>
      <c r="E94" s="20">
        <v>0.99959340930019225</v>
      </c>
      <c r="F94" s="20">
        <v>0.10503273524631125</v>
      </c>
      <c r="G94" s="20">
        <v>1.3802672071443683E-5</v>
      </c>
      <c r="H94" s="20">
        <v>0</v>
      </c>
      <c r="I94" s="20">
        <v>0.89454687138180955</v>
      </c>
      <c r="J94" s="20">
        <v>3.3931478828833799E-4</v>
      </c>
      <c r="K94" s="20">
        <v>6.7275911519367034E-5</v>
      </c>
      <c r="L94" s="20">
        <v>0</v>
      </c>
    </row>
    <row r="95" spans="1:12">
      <c r="A95" s="2" t="s">
        <v>468</v>
      </c>
      <c r="B95" s="3" t="s">
        <v>469</v>
      </c>
      <c r="D95" s="20">
        <v>1.6757996899309987E-18</v>
      </c>
      <c r="E95" s="20">
        <v>0.94025554470910622</v>
      </c>
      <c r="F95" s="20">
        <v>0.74703472518770642</v>
      </c>
      <c r="G95" s="20">
        <v>0.18481462925345871</v>
      </c>
      <c r="H95" s="20">
        <v>0</v>
      </c>
      <c r="I95" s="20">
        <v>8.4061902679410591E-3</v>
      </c>
      <c r="J95" s="20">
        <v>8.0036997547698174E-3</v>
      </c>
      <c r="K95" s="20">
        <v>5.1740755536123943E-2</v>
      </c>
      <c r="L95" s="20">
        <v>0</v>
      </c>
    </row>
    <row r="96" spans="1:12">
      <c r="A96" s="2" t="s">
        <v>470</v>
      </c>
      <c r="B96" s="163">
        <v>354656</v>
      </c>
      <c r="D96" s="20">
        <v>2.9168103166015651E-10</v>
      </c>
      <c r="E96" s="20">
        <v>0.9867701007632188</v>
      </c>
      <c r="F96" s="20">
        <v>9.9983163005574983E-4</v>
      </c>
      <c r="G96" s="20">
        <v>3.8674296910861907E-4</v>
      </c>
      <c r="H96" s="20">
        <v>0</v>
      </c>
      <c r="I96" s="20">
        <v>0.98538352616405445</v>
      </c>
      <c r="J96" s="20">
        <v>3.0822292941340179E-4</v>
      </c>
      <c r="K96" s="20">
        <v>1.2921676015686617E-2</v>
      </c>
      <c r="L96" s="20">
        <v>0</v>
      </c>
    </row>
    <row r="97" spans="1:12">
      <c r="A97" s="2" t="s">
        <v>472</v>
      </c>
      <c r="B97" s="3" t="s">
        <v>473</v>
      </c>
      <c r="D97" s="20">
        <v>4.5706748621645519E-10</v>
      </c>
      <c r="E97" s="20">
        <v>0.97213584336828529</v>
      </c>
      <c r="F97" s="20">
        <v>4.341092230197869E-3</v>
      </c>
      <c r="G97" s="20">
        <v>1.5048546974145238E-3</v>
      </c>
      <c r="H97" s="20">
        <v>0</v>
      </c>
      <c r="I97" s="20">
        <v>0.96628989644067287</v>
      </c>
      <c r="J97" s="20">
        <v>3.4779577885023759E-4</v>
      </c>
      <c r="K97" s="20">
        <v>2.7516360395797086E-2</v>
      </c>
      <c r="L97" s="20">
        <v>0</v>
      </c>
    </row>
    <row r="98" spans="1:12">
      <c r="A98" s="2" t="s">
        <v>474</v>
      </c>
      <c r="B98" s="3" t="s">
        <v>475</v>
      </c>
      <c r="D98" s="20">
        <v>3.940241314001416E-20</v>
      </c>
      <c r="E98" s="20">
        <v>0.93025045618835422</v>
      </c>
      <c r="F98" s="20">
        <v>0.7729323859269468</v>
      </c>
      <c r="G98" s="20">
        <v>0.13741592323158239</v>
      </c>
      <c r="H98" s="20">
        <v>0</v>
      </c>
      <c r="I98" s="20">
        <v>1.990214702982503E-2</v>
      </c>
      <c r="J98" s="20">
        <v>5.9035750992361352E-3</v>
      </c>
      <c r="K98" s="20">
        <v>6.3845968712409842E-2</v>
      </c>
      <c r="L98" s="20">
        <v>0</v>
      </c>
    </row>
    <row r="99" spans="1:12">
      <c r="A99" s="2" t="s">
        <v>476</v>
      </c>
      <c r="B99" s="3" t="s">
        <v>477</v>
      </c>
      <c r="D99" s="20">
        <v>1.3601179680074777E-7</v>
      </c>
      <c r="E99" s="20">
        <v>0.99615437303994459</v>
      </c>
      <c r="F99" s="20">
        <v>8.2907775410421864E-5</v>
      </c>
      <c r="G99" s="20">
        <v>3.8555897553438581E-5</v>
      </c>
      <c r="H99" s="20">
        <v>0</v>
      </c>
      <c r="I99" s="20">
        <v>0.99603290936698075</v>
      </c>
      <c r="J99" s="20">
        <v>2.9746131539888323E-4</v>
      </c>
      <c r="K99" s="20">
        <v>3.5480296328596894E-3</v>
      </c>
      <c r="L99" s="20">
        <v>0</v>
      </c>
    </row>
    <row r="100" spans="1:12">
      <c r="A100" s="2" t="s">
        <v>478</v>
      </c>
      <c r="B100" s="3" t="s">
        <v>479</v>
      </c>
      <c r="D100" s="20">
        <v>4.8905118380026614E-11</v>
      </c>
      <c r="E100" s="20">
        <v>0.82732158142326473</v>
      </c>
      <c r="F100" s="20">
        <v>0.25916300014249743</v>
      </c>
      <c r="G100" s="20">
        <v>6.3367789000292288E-2</v>
      </c>
      <c r="H100" s="20">
        <v>0</v>
      </c>
      <c r="I100" s="20">
        <v>0.50479079228047496</v>
      </c>
      <c r="J100" s="20">
        <v>2.7895300532719833E-3</v>
      </c>
      <c r="K100" s="20">
        <v>0.16988888847455832</v>
      </c>
      <c r="L100" s="20">
        <v>0</v>
      </c>
    </row>
    <row r="101" spans="1:12">
      <c r="A101" s="2" t="s">
        <v>480</v>
      </c>
      <c r="B101" s="3" t="s">
        <v>481</v>
      </c>
      <c r="D101" s="20">
        <v>3.671430970347996E-11</v>
      </c>
      <c r="E101" s="20">
        <v>0.99374099353488821</v>
      </c>
      <c r="F101" s="20">
        <v>2.248298917629492E-4</v>
      </c>
      <c r="G101" s="20">
        <v>9.7129154167380506E-5</v>
      </c>
      <c r="H101" s="20">
        <v>0</v>
      </c>
      <c r="I101" s="20">
        <v>0.99341903448895785</v>
      </c>
      <c r="J101" s="20">
        <v>2.9900961551933839E-4</v>
      </c>
      <c r="K101" s="20">
        <v>5.9599968128782104E-3</v>
      </c>
      <c r="L101" s="20">
        <v>0</v>
      </c>
    </row>
    <row r="102" spans="1:12">
      <c r="A102" s="2" t="s">
        <v>482</v>
      </c>
      <c r="B102" s="3" t="s">
        <v>483</v>
      </c>
      <c r="D102" s="20">
        <v>2.2937670338732505E-27</v>
      </c>
      <c r="E102" s="20">
        <v>0.99819870227619545</v>
      </c>
      <c r="F102" s="20">
        <v>1.5950268238525211E-5</v>
      </c>
      <c r="G102" s="20">
        <v>8.3765183927539813E-6</v>
      </c>
      <c r="H102" s="20">
        <v>0</v>
      </c>
      <c r="I102" s="20">
        <v>0.99817437548956411</v>
      </c>
      <c r="J102" s="20">
        <v>2.9690935447809806E-4</v>
      </c>
      <c r="K102" s="20">
        <v>1.5043883693265959E-3</v>
      </c>
      <c r="L102" s="20">
        <v>0</v>
      </c>
    </row>
    <row r="103" spans="1:12">
      <c r="A103" s="2" t="s">
        <v>484</v>
      </c>
      <c r="B103" s="3" t="s">
        <v>485</v>
      </c>
      <c r="D103" s="20">
        <v>1.8343372997643126E-13</v>
      </c>
      <c r="E103" s="20">
        <v>0.99626788012166978</v>
      </c>
      <c r="F103" s="20">
        <v>7.7892901489666654E-5</v>
      </c>
      <c r="G103" s="20">
        <v>3.6390953662032646E-5</v>
      </c>
      <c r="H103" s="20">
        <v>0</v>
      </c>
      <c r="I103" s="20">
        <v>0.99615359626651812</v>
      </c>
      <c r="J103" s="20">
        <v>2.9741159376812313E-4</v>
      </c>
      <c r="K103" s="20">
        <v>3.4347082843783987E-3</v>
      </c>
      <c r="L103" s="20">
        <v>0</v>
      </c>
    </row>
    <row r="104" spans="1:12">
      <c r="A104" s="2" t="s">
        <v>486</v>
      </c>
      <c r="B104" s="3" t="s">
        <v>487</v>
      </c>
      <c r="D104" s="20">
        <v>2.3074455501927101E-9</v>
      </c>
      <c r="E104" s="20">
        <v>0.97998230615776094</v>
      </c>
      <c r="F104" s="20">
        <v>2.2622997415696891E-3</v>
      </c>
      <c r="G104" s="20">
        <v>8.2346605485580362E-4</v>
      </c>
      <c r="H104" s="20">
        <v>0</v>
      </c>
      <c r="I104" s="20">
        <v>0.97689654036133544</v>
      </c>
      <c r="J104" s="20">
        <v>3.2332021046725207E-4</v>
      </c>
      <c r="K104" s="20">
        <v>1.9694371324326318E-2</v>
      </c>
      <c r="L104" s="20">
        <v>0</v>
      </c>
    </row>
    <row r="105" spans="1:12">
      <c r="A105" s="2" t="s">
        <v>488</v>
      </c>
      <c r="B105" s="3" t="s">
        <v>489</v>
      </c>
      <c r="D105" s="20">
        <v>1.8249635736591731E-16</v>
      </c>
      <c r="E105" s="20">
        <v>0.99789810872827245</v>
      </c>
      <c r="F105" s="20">
        <v>2.2629391950433765E-5</v>
      </c>
      <c r="G105" s="20">
        <v>1.1581596763613656E-5</v>
      </c>
      <c r="H105" s="20">
        <v>0</v>
      </c>
      <c r="I105" s="20">
        <v>0.99786389773955841</v>
      </c>
      <c r="J105" s="20">
        <v>2.9694258087264416E-4</v>
      </c>
      <c r="K105" s="20">
        <v>1.8049486908545366E-3</v>
      </c>
      <c r="L105" s="20">
        <v>0</v>
      </c>
    </row>
    <row r="106" spans="1:12">
      <c r="A106" s="2" t="s">
        <v>490</v>
      </c>
      <c r="B106" s="3" t="s">
        <v>491</v>
      </c>
      <c r="D106" s="20">
        <v>1.0797412451925449E-8</v>
      </c>
      <c r="E106" s="20">
        <v>0.93265659505242182</v>
      </c>
      <c r="F106" s="20">
        <v>2.5394424534281507E-2</v>
      </c>
      <c r="G106" s="20">
        <v>7.6883639035365157E-3</v>
      </c>
      <c r="H106" s="20">
        <v>0</v>
      </c>
      <c r="I106" s="20">
        <v>0.89957380661460384</v>
      </c>
      <c r="J106" s="20">
        <v>5.8123837258095955E-4</v>
      </c>
      <c r="K106" s="20">
        <v>6.676215577758482E-2</v>
      </c>
      <c r="L106" s="20">
        <v>0</v>
      </c>
    </row>
    <row r="107" spans="1:12">
      <c r="A107" s="2" t="s">
        <v>492</v>
      </c>
      <c r="B107" s="3" t="s">
        <v>493</v>
      </c>
      <c r="D107" s="20">
        <v>1.8325606250306267E-16</v>
      </c>
      <c r="E107" s="20">
        <v>0.93846760905568782</v>
      </c>
      <c r="F107" s="20">
        <v>0.78718540844677054</v>
      </c>
      <c r="G107" s="20">
        <v>0.13663834422704788</v>
      </c>
      <c r="H107" s="20">
        <v>0</v>
      </c>
      <c r="I107" s="20">
        <v>1.4643856381869404E-2</v>
      </c>
      <c r="J107" s="20">
        <v>5.8818985447019728E-3</v>
      </c>
      <c r="K107" s="20">
        <v>5.565049239960991E-2</v>
      </c>
      <c r="L107" s="20">
        <v>0</v>
      </c>
    </row>
    <row r="108" spans="1:12">
      <c r="A108" s="2" t="s">
        <v>291</v>
      </c>
      <c r="B108" s="3" t="s">
        <v>494</v>
      </c>
      <c r="D108" s="20">
        <v>2.7899649049089669E-10</v>
      </c>
      <c r="E108" s="20">
        <v>0.83621825175615494</v>
      </c>
      <c r="F108" s="20">
        <v>0.20826554378252443</v>
      </c>
      <c r="G108" s="20">
        <v>5.2253210597268639E-2</v>
      </c>
      <c r="H108" s="20">
        <v>0</v>
      </c>
      <c r="I108" s="20">
        <v>0.57569949737636184</v>
      </c>
      <c r="J108" s="20">
        <v>2.3423978132580941E-3</v>
      </c>
      <c r="K108" s="20">
        <v>0.16143935015159039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7" width="9.140625" style="14"/>
    <col min="8" max="8" width="8.640625" style="14" bestFit="1" customWidth="1"/>
    <col min="9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1.1806319912239515E-8</v>
      </c>
      <c r="E2" s="14">
        <v>1.2929200102137237E-4</v>
      </c>
      <c r="F2" s="14">
        <v>6.1706829271237427E-6</v>
      </c>
      <c r="G2" s="14">
        <v>1.7973339866760483E-6</v>
      </c>
      <c r="H2" s="14">
        <v>0</v>
      </c>
      <c r="I2" s="14">
        <v>1.1207328480840904E-7</v>
      </c>
      <c r="J2" s="14">
        <v>1.2616102460107138E-5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4.323379721170406E-7</v>
      </c>
      <c r="E3" s="14">
        <v>1.0146131603204065E-7</v>
      </c>
      <c r="F3" s="14">
        <v>3.7622016146710196E-5</v>
      </c>
      <c r="G3" s="14">
        <v>1.0193835496291738E-4</v>
      </c>
      <c r="H3" s="14">
        <v>0</v>
      </c>
      <c r="I3" s="14">
        <v>4.5425055038538578E-6</v>
      </c>
      <c r="J3" s="14">
        <v>5.363324098369452E-6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6.3675699816832953E-16</v>
      </c>
      <c r="E4" s="14">
        <v>6.5607099308765134E-5</v>
      </c>
      <c r="F4" s="14">
        <v>4.6622162205661407E-5</v>
      </c>
      <c r="G4" s="14">
        <v>1.1129815534188434E-5</v>
      </c>
      <c r="H4" s="14">
        <v>0</v>
      </c>
      <c r="I4" s="14">
        <v>4.8413647682573115E-7</v>
      </c>
      <c r="J4" s="14">
        <v>2.6156786473922508E-5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1.4947248954490738E-8</v>
      </c>
      <c r="E5" s="14">
        <v>1.1073333450189616E-6</v>
      </c>
      <c r="F5" s="14">
        <v>1.082380482125548E-4</v>
      </c>
      <c r="G5" s="14">
        <v>3.1410547591416749E-5</v>
      </c>
      <c r="H5" s="14">
        <v>0</v>
      </c>
      <c r="I5" s="14">
        <v>1.3627978244738527E-6</v>
      </c>
      <c r="J5" s="14">
        <v>7.8663257775810817E-6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1.396817560278398E-9</v>
      </c>
      <c r="E6" s="14">
        <v>4.4994227117189624E-8</v>
      </c>
      <c r="F6" s="14">
        <v>2.3793502163161667E-5</v>
      </c>
      <c r="G6" s="14">
        <v>1.1685678289571373E-4</v>
      </c>
      <c r="H6" s="14">
        <v>0</v>
      </c>
      <c r="I6" s="14">
        <v>5.2449659731862294E-6</v>
      </c>
      <c r="J6" s="14">
        <v>4.05835792326087E-6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2.0760505384295976E-9</v>
      </c>
      <c r="E7" s="14">
        <v>9.0647333131559511E-8</v>
      </c>
      <c r="F7" s="14">
        <v>3.5404348405951552E-5</v>
      </c>
      <c r="G7" s="14">
        <v>1.0465311538966236E-4</v>
      </c>
      <c r="H7" s="14">
        <v>0</v>
      </c>
      <c r="I7" s="14">
        <v>4.6683953875126899E-6</v>
      </c>
      <c r="J7" s="14">
        <v>5.1814174332033693E-6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1.9811012298286221E-8</v>
      </c>
      <c r="E8" s="14">
        <v>2.0401578821432895E-7</v>
      </c>
      <c r="F8" s="14">
        <v>5.4440906980193756E-5</v>
      </c>
      <c r="G8" s="14">
        <v>8.5000387829748371E-5</v>
      </c>
      <c r="H8" s="14">
        <v>0</v>
      </c>
      <c r="I8" s="14">
        <v>3.7625791625552426E-6</v>
      </c>
      <c r="J8" s="14">
        <v>6.5722992269899758E-6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1.3543942176956386E-8</v>
      </c>
      <c r="E9" s="14">
        <v>1.019441246125595E-5</v>
      </c>
      <c r="F9" s="14">
        <v>1.0260387792416852E-4</v>
      </c>
      <c r="G9" s="14">
        <v>2.014927065953133E-5</v>
      </c>
      <c r="H9" s="14">
        <v>0</v>
      </c>
      <c r="I9" s="14">
        <v>8.5974315257742759E-7</v>
      </c>
      <c r="J9" s="14">
        <v>1.6179151860289791E-5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1.9205245583575786E-10</v>
      </c>
      <c r="E10" s="14">
        <v>1.0298571179056297E-6</v>
      </c>
      <c r="F10" s="14">
        <v>1.0603238967683051E-4</v>
      </c>
      <c r="G10" s="14">
        <v>3.3568667678384749E-5</v>
      </c>
      <c r="H10" s="14">
        <v>0</v>
      </c>
      <c r="I10" s="14">
        <v>1.457909123567658E-6</v>
      </c>
      <c r="J10" s="14">
        <v>7.9109843508556197E-6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1.0001944520819573E-8</v>
      </c>
      <c r="E11" s="14">
        <v>9.0958135884226254E-7</v>
      </c>
      <c r="F11" s="14">
        <v>1.0211819400923497E-4</v>
      </c>
      <c r="G11" s="14">
        <v>3.7376504310197399E-5</v>
      </c>
      <c r="H11" s="14">
        <v>0</v>
      </c>
      <c r="I11" s="14">
        <v>1.6260476628358376E-6</v>
      </c>
      <c r="J11" s="14">
        <v>7.959670714368669E-6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6.9258984175139159E-9</v>
      </c>
      <c r="E12" s="14">
        <v>6.3948921933024419E-6</v>
      </c>
      <c r="F12" s="14">
        <v>1.0881651220606932E-4</v>
      </c>
      <c r="G12" s="14">
        <v>2.0558449484613201E-5</v>
      </c>
      <c r="H12" s="14">
        <v>0</v>
      </c>
      <c r="I12" s="14">
        <v>8.7919734036745271E-7</v>
      </c>
      <c r="J12" s="14">
        <v>1.3344022877230044E-5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2.1033136357612272E-8</v>
      </c>
      <c r="E13" s="14">
        <v>9.7589062821846595E-6</v>
      </c>
      <c r="F13" s="14">
        <v>1.032577652649256E-4</v>
      </c>
      <c r="G13" s="14">
        <v>2.0203112261040036E-5</v>
      </c>
      <c r="H13" s="14">
        <v>0</v>
      </c>
      <c r="I13" s="14">
        <v>8.6220049562823838E-7</v>
      </c>
      <c r="J13" s="14">
        <v>1.5896982559863829E-5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6.6554575343391112E-9</v>
      </c>
      <c r="E14" s="14">
        <v>6.0266369049373293E-7</v>
      </c>
      <c r="F14" s="14">
        <v>8.8490490226534932E-5</v>
      </c>
      <c r="G14" s="14">
        <v>5.0779936846485367E-5</v>
      </c>
      <c r="H14" s="14">
        <v>0</v>
      </c>
      <c r="I14" s="14">
        <v>2.2209543364366408E-6</v>
      </c>
      <c r="J14" s="14">
        <v>7.8992994425149785E-6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1.0888809998390134E-11</v>
      </c>
      <c r="E15" s="14">
        <v>9.6836153403055134E-7</v>
      </c>
      <c r="F15" s="14">
        <v>1.0411159598559453E-4</v>
      </c>
      <c r="G15" s="14">
        <v>3.5440077215915559E-5</v>
      </c>
      <c r="H15" s="14">
        <v>0</v>
      </c>
      <c r="I15" s="14">
        <v>1.5404922705472877E-6</v>
      </c>
      <c r="J15" s="14">
        <v>7.9394621051020624E-6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5.1497920860251608E-8</v>
      </c>
      <c r="E16" s="14">
        <v>2.1118681744996497E-7</v>
      </c>
      <c r="F16" s="14">
        <v>5.5387068524717235E-5</v>
      </c>
      <c r="G16" s="14">
        <v>8.4004767699649203E-5</v>
      </c>
      <c r="H16" s="14">
        <v>0</v>
      </c>
      <c r="I16" s="14">
        <v>3.7172065191527774E-6</v>
      </c>
      <c r="J16" s="14">
        <v>6.6282725181705164E-6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3.8393991997645947E-9</v>
      </c>
      <c r="E17" s="14">
        <v>1.0810863403524137E-6</v>
      </c>
      <c r="F17" s="14">
        <v>1.0751819238869328E-4</v>
      </c>
      <c r="G17" s="14">
        <v>3.212014592997005E-5</v>
      </c>
      <c r="H17" s="14">
        <v>0</v>
      </c>
      <c r="I17" s="14">
        <v>1.3940553272853817E-6</v>
      </c>
      <c r="J17" s="14">
        <v>7.8826806144990694E-6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4.1134913946111943E-7</v>
      </c>
      <c r="E18" s="14">
        <v>1.2341493053078553E-5</v>
      </c>
      <c r="F18" s="14">
        <v>9.9181181472947046E-5</v>
      </c>
      <c r="G18" s="14">
        <v>1.9802719360262917E-5</v>
      </c>
      <c r="H18" s="14">
        <v>0</v>
      </c>
      <c r="I18" s="14">
        <v>8.4433581347095435E-7</v>
      </c>
      <c r="J18" s="14">
        <v>1.7418921160779397E-5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3.8162915424407602E-11</v>
      </c>
      <c r="E19" s="14">
        <v>9.5639799030981329E-7</v>
      </c>
      <c r="F19" s="14">
        <v>1.0371945574185743E-4</v>
      </c>
      <c r="G19" s="14">
        <v>3.58224911911727E-5</v>
      </c>
      <c r="H19" s="14">
        <v>0</v>
      </c>
      <c r="I19" s="14">
        <v>1.5573796701397012E-6</v>
      </c>
      <c r="J19" s="14">
        <v>7.944237243604894E-6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3.1838728856775416E-9</v>
      </c>
      <c r="E20" s="14">
        <v>9.7600677069702249E-6</v>
      </c>
      <c r="F20" s="14">
        <v>1.0327005415513654E-4</v>
      </c>
      <c r="G20" s="14">
        <v>2.0205516669346359E-5</v>
      </c>
      <c r="H20" s="14">
        <v>0</v>
      </c>
      <c r="I20" s="14">
        <v>8.623031076420022E-7</v>
      </c>
      <c r="J20" s="14">
        <v>1.5898874488019178E-5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5.575983572869156E-8</v>
      </c>
      <c r="E21" s="14">
        <v>6.8195951876684656E-7</v>
      </c>
      <c r="F21" s="14">
        <v>9.2627548474178393E-5</v>
      </c>
      <c r="G21" s="14">
        <v>4.6648289678930526E-5</v>
      </c>
      <c r="H21" s="14">
        <v>0</v>
      </c>
      <c r="I21" s="14">
        <v>2.0370828424599907E-6</v>
      </c>
      <c r="J21" s="14">
        <v>7.949359649935504E-6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2.738540667975097E-7</v>
      </c>
      <c r="E22" s="14">
        <v>1.0078045265990346E-4</v>
      </c>
      <c r="F22" s="14">
        <v>2.1564424827211836E-5</v>
      </c>
      <c r="G22" s="14">
        <v>5.6238461898175333E-6</v>
      </c>
      <c r="H22" s="14">
        <v>0</v>
      </c>
      <c r="I22" s="14">
        <v>2.6279812826585033E-7</v>
      </c>
      <c r="J22" s="14">
        <v>2.1494624128003793E-5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1.1141936003854638E-8</v>
      </c>
      <c r="E23" s="14">
        <v>1.2166278945903145E-4</v>
      </c>
      <c r="F23" s="14">
        <v>9.8170124999818043E-6</v>
      </c>
      <c r="G23" s="14">
        <v>2.7509006083074262E-6</v>
      </c>
      <c r="H23" s="14">
        <v>0</v>
      </c>
      <c r="I23" s="14">
        <v>1.4929065370459983E-7</v>
      </c>
      <c r="J23" s="14">
        <v>1.5608864842970822E-5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1.027082890136384E-8</v>
      </c>
      <c r="E24" s="14">
        <v>3.1742607897294733E-5</v>
      </c>
      <c r="F24" s="14">
        <v>7.6811134346092106E-5</v>
      </c>
      <c r="G24" s="14">
        <v>1.6754047183443898E-5</v>
      </c>
      <c r="H24" s="14">
        <v>0</v>
      </c>
      <c r="I24" s="14">
        <v>7.1480293569595538E-7</v>
      </c>
      <c r="J24" s="14">
        <v>2.3967136808571947E-5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1.6879712319481762E-6</v>
      </c>
      <c r="E25" s="14">
        <v>3.3970516545464449E-6</v>
      </c>
      <c r="F25" s="14">
        <v>1.1354910749983451E-4</v>
      </c>
      <c r="G25" s="14">
        <v>2.0411704873181126E-5</v>
      </c>
      <c r="H25" s="14">
        <v>0</v>
      </c>
      <c r="I25" s="14">
        <v>8.7613348090246635E-7</v>
      </c>
      <c r="J25" s="14">
        <v>1.0078031259587262E-5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4.4769323690404183E-8</v>
      </c>
      <c r="E26" s="14">
        <v>7.3922669835403819E-7</v>
      </c>
      <c r="F26" s="14">
        <v>9.5323332764214304E-5</v>
      </c>
      <c r="G26" s="14">
        <v>4.4004265206014817E-5</v>
      </c>
      <c r="H26" s="14">
        <v>0</v>
      </c>
      <c r="I26" s="14">
        <v>1.9196378049216004E-6</v>
      </c>
      <c r="J26" s="14">
        <v>7.9687682028048138E-6</v>
      </c>
      <c r="K26" s="14">
        <v>0</v>
      </c>
    </row>
    <row r="27" spans="1:13">
      <c r="A27" s="2" t="s">
        <v>353</v>
      </c>
      <c r="B27" s="3" t="s">
        <v>354</v>
      </c>
      <c r="D27" s="14">
        <v>3.0008794703715611E-7</v>
      </c>
      <c r="E27" s="14">
        <v>1.1169292450922151E-7</v>
      </c>
      <c r="F27" s="14">
        <v>3.9661326624909992E-5</v>
      </c>
      <c r="G27" s="14">
        <v>9.9945395781865173E-5</v>
      </c>
      <c r="H27" s="14">
        <v>0</v>
      </c>
      <c r="I27" s="14">
        <v>4.4497891581241361E-6</v>
      </c>
      <c r="J27" s="14">
        <v>5.5317075635542885E-6</v>
      </c>
      <c r="K27" s="14">
        <v>0</v>
      </c>
    </row>
    <row r="28" spans="1:13">
      <c r="A28" s="2" t="s">
        <v>355</v>
      </c>
      <c r="B28" s="3" t="s">
        <v>356</v>
      </c>
      <c r="D28" s="14">
        <v>1.6714981971940504E-8</v>
      </c>
      <c r="E28" s="14">
        <v>4.058663281751762E-7</v>
      </c>
      <c r="F28" s="14">
        <v>7.5287798286210775E-5</v>
      </c>
      <c r="G28" s="14">
        <v>6.3917554762763876E-5</v>
      </c>
      <c r="H28" s="14">
        <v>0</v>
      </c>
      <c r="I28" s="14">
        <v>2.8086742838772228E-6</v>
      </c>
      <c r="J28" s="14">
        <v>7.5633913570009904E-6</v>
      </c>
      <c r="K28" s="14">
        <v>0</v>
      </c>
    </row>
    <row r="29" spans="1:13">
      <c r="A29" s="2" t="s">
        <v>357</v>
      </c>
      <c r="B29" s="3" t="s">
        <v>358</v>
      </c>
      <c r="D29" s="14">
        <v>3.3977459221895533E-6</v>
      </c>
      <c r="E29" s="14">
        <v>6.1414088418757984E-7</v>
      </c>
      <c r="F29" s="14">
        <v>8.7863719521604375E-5</v>
      </c>
      <c r="G29" s="14">
        <v>4.8273094486008153E-5</v>
      </c>
      <c r="H29" s="14">
        <v>0</v>
      </c>
      <c r="I29" s="14">
        <v>2.1102191030480866E-6</v>
      </c>
      <c r="J29" s="14">
        <v>7.7410800829622284E-6</v>
      </c>
      <c r="K29" s="14">
        <v>0</v>
      </c>
    </row>
    <row r="30" spans="1:13">
      <c r="A30" s="2" t="s">
        <v>359</v>
      </c>
      <c r="B30" s="3" t="s">
        <v>360</v>
      </c>
      <c r="D30" s="14">
        <v>1.6714981971940504E-8</v>
      </c>
      <c r="E30" s="14">
        <v>4.058663281751762E-7</v>
      </c>
      <c r="F30" s="14">
        <v>7.5287798286210775E-5</v>
      </c>
      <c r="G30" s="14">
        <v>6.3917554762763876E-5</v>
      </c>
      <c r="H30" s="14">
        <v>0</v>
      </c>
      <c r="I30" s="14">
        <v>2.8086742838772228E-6</v>
      </c>
      <c r="J30" s="14">
        <v>7.5633913570009904E-6</v>
      </c>
      <c r="K30" s="14">
        <v>0</v>
      </c>
    </row>
    <row r="31" spans="1:13">
      <c r="A31" s="2" t="s">
        <v>283</v>
      </c>
      <c r="B31" s="3" t="s">
        <v>284</v>
      </c>
      <c r="D31" s="14">
        <v>3.0997410601912683E-12</v>
      </c>
      <c r="E31" s="14">
        <v>1.4832779003602395E-4</v>
      </c>
      <c r="F31" s="14">
        <v>9.1273373067350305E-8</v>
      </c>
      <c r="G31" s="14">
        <v>3.6630230863815474E-8</v>
      </c>
      <c r="H31" s="14">
        <v>0</v>
      </c>
      <c r="I31" s="14">
        <v>4.5529515667271723E-8</v>
      </c>
      <c r="J31" s="14">
        <v>1.4987737446365387E-6</v>
      </c>
      <c r="K31" s="14">
        <v>0</v>
      </c>
    </row>
    <row r="32" spans="1:13">
      <c r="A32" s="2" t="s">
        <v>361</v>
      </c>
      <c r="B32" s="3" t="s">
        <v>362</v>
      </c>
      <c r="D32" s="14">
        <v>3.051978340550987E-12</v>
      </c>
      <c r="E32" s="14">
        <v>7.9873869922150712E-5</v>
      </c>
      <c r="F32" s="14">
        <v>3.5906925575761479E-5</v>
      </c>
      <c r="G32" s="14">
        <v>8.8531308464401228E-6</v>
      </c>
      <c r="H32" s="14">
        <v>0</v>
      </c>
      <c r="I32" s="14">
        <v>3.9752167004438394E-7</v>
      </c>
      <c r="J32" s="14">
        <v>2.496854893362491E-5</v>
      </c>
      <c r="K32" s="14">
        <v>0</v>
      </c>
    </row>
    <row r="33" spans="1:11">
      <c r="A33" s="2" t="s">
        <v>364</v>
      </c>
      <c r="B33" s="3" t="s">
        <v>365</v>
      </c>
      <c r="D33" s="14">
        <v>1.4079911145171529E-14</v>
      </c>
      <c r="E33" s="14">
        <v>1.4932109883058955E-4</v>
      </c>
      <c r="F33" s="14">
        <v>6.3017729472426074E-7</v>
      </c>
      <c r="G33" s="14">
        <v>1.9270370920415402E-10</v>
      </c>
      <c r="H33" s="14">
        <v>0</v>
      </c>
      <c r="I33" s="14">
        <v>4.4917170655551964E-8</v>
      </c>
      <c r="J33" s="14">
        <v>3.6139862414849654E-9</v>
      </c>
      <c r="K33" s="14">
        <v>0</v>
      </c>
    </row>
    <row r="34" spans="1:11">
      <c r="A34" s="2" t="s">
        <v>285</v>
      </c>
      <c r="B34" s="3" t="s">
        <v>286</v>
      </c>
      <c r="D34" s="14">
        <v>4.185978143862155E-14</v>
      </c>
      <c r="E34" s="14">
        <v>8.211600260238498E-5</v>
      </c>
      <c r="F34" s="14">
        <v>6.7799950084862135E-5</v>
      </c>
      <c r="G34" s="14">
        <v>5.5680596770263313E-9</v>
      </c>
      <c r="H34" s="14">
        <v>0</v>
      </c>
      <c r="I34" s="14">
        <v>6.6165178530738941E-8</v>
      </c>
      <c r="J34" s="14">
        <v>1.2314032685307969E-8</v>
      </c>
      <c r="K34" s="14">
        <v>0</v>
      </c>
    </row>
    <row r="35" spans="1:11">
      <c r="A35" s="2" t="s">
        <v>287</v>
      </c>
      <c r="B35" s="3" t="s">
        <v>288</v>
      </c>
      <c r="D35" s="14">
        <v>1.219454668101625E-15</v>
      </c>
      <c r="E35" s="14">
        <v>4.861910093546319E-5</v>
      </c>
      <c r="F35" s="14">
        <v>1.0125780246577872E-4</v>
      </c>
      <c r="G35" s="14">
        <v>1.9609016888818081E-8</v>
      </c>
      <c r="H35" s="14">
        <v>0</v>
      </c>
      <c r="I35" s="14">
        <v>7.3678248835212344E-8</v>
      </c>
      <c r="J35" s="14">
        <v>2.9809331814595121E-8</v>
      </c>
      <c r="K35" s="14">
        <v>0</v>
      </c>
    </row>
    <row r="36" spans="1:11">
      <c r="A36" s="2" t="s">
        <v>366</v>
      </c>
      <c r="B36" s="3" t="s">
        <v>305</v>
      </c>
      <c r="D36" s="14">
        <v>2.1498588673019269E-12</v>
      </c>
      <c r="E36" s="14">
        <v>1.6217879669017124E-5</v>
      </c>
      <c r="F36" s="14">
        <v>1.3363359382730485E-4</v>
      </c>
      <c r="G36" s="14">
        <v>3.8261098224311489E-8</v>
      </c>
      <c r="H36" s="14">
        <v>0</v>
      </c>
      <c r="I36" s="14">
        <v>7.6947178964620554E-8</v>
      </c>
      <c r="J36" s="14">
        <v>3.3316076630232962E-8</v>
      </c>
      <c r="K36" s="14">
        <v>0</v>
      </c>
    </row>
    <row r="37" spans="1:11">
      <c r="A37" s="2" t="s">
        <v>289</v>
      </c>
      <c r="B37" s="3" t="s">
        <v>290</v>
      </c>
      <c r="D37" s="14">
        <v>5.0936548383597134E-19</v>
      </c>
      <c r="E37" s="14">
        <v>3.2511187209773312E-5</v>
      </c>
      <c r="F37" s="14">
        <v>1.0889160603329462E-4</v>
      </c>
      <c r="G37" s="14">
        <v>3.7176106551164869E-6</v>
      </c>
      <c r="H37" s="14">
        <v>0</v>
      </c>
      <c r="I37" s="14">
        <v>2.1772431735970801E-7</v>
      </c>
      <c r="J37" s="14">
        <v>4.661871784455328E-6</v>
      </c>
      <c r="K37" s="14">
        <v>0</v>
      </c>
    </row>
    <row r="38" spans="1:11">
      <c r="A38" s="2" t="s">
        <v>291</v>
      </c>
      <c r="B38" s="3" t="s">
        <v>292</v>
      </c>
      <c r="D38" s="14">
        <v>1.4104336229844425E-16</v>
      </c>
      <c r="E38" s="14">
        <v>9.2045159638223082E-5</v>
      </c>
      <c r="F38" s="14">
        <v>5.7722154059205403E-5</v>
      </c>
      <c r="G38" s="14">
        <v>4.8223594336015368E-8</v>
      </c>
      <c r="H38" s="14">
        <v>0</v>
      </c>
      <c r="I38" s="14">
        <v>6.5240819275062052E-8</v>
      </c>
      <c r="J38" s="14">
        <v>1.1922188881935178E-7</v>
      </c>
      <c r="K38" s="14">
        <v>0</v>
      </c>
    </row>
    <row r="39" spans="1:11">
      <c r="A39" s="2" t="s">
        <v>367</v>
      </c>
      <c r="B39" s="3" t="s">
        <v>368</v>
      </c>
      <c r="D39" s="14">
        <v>1.802797988337478E-9</v>
      </c>
      <c r="E39" s="14">
        <v>1.651065013853477E-6</v>
      </c>
      <c r="F39" s="14">
        <v>1.1919711639047914E-4</v>
      </c>
      <c r="G39" s="14">
        <v>2.0819068996011739E-5</v>
      </c>
      <c r="H39" s="14">
        <v>0</v>
      </c>
      <c r="I39" s="14">
        <v>8.980564676571635E-7</v>
      </c>
      <c r="J39" s="14">
        <v>7.4328903340101139E-6</v>
      </c>
      <c r="K39" s="14">
        <v>0</v>
      </c>
    </row>
    <row r="40" spans="1:11">
      <c r="A40" s="2" t="s">
        <v>369</v>
      </c>
      <c r="B40" s="3" t="s">
        <v>370</v>
      </c>
      <c r="D40" s="14">
        <v>1.0534815606984112E-16</v>
      </c>
      <c r="E40" s="14">
        <v>1.4767243109978596E-7</v>
      </c>
      <c r="F40" s="14">
        <v>1.3473517753884905E-4</v>
      </c>
      <c r="G40" s="14">
        <v>9.7476825205779678E-6</v>
      </c>
      <c r="H40" s="14">
        <v>0</v>
      </c>
      <c r="I40" s="14">
        <v>5.190655041702956E-6</v>
      </c>
      <c r="J40" s="14">
        <v>1.7881246766488055E-7</v>
      </c>
      <c r="K40" s="14">
        <v>0</v>
      </c>
    </row>
    <row r="41" spans="1:11">
      <c r="A41" s="2" t="s">
        <v>371</v>
      </c>
      <c r="B41" s="3" t="s">
        <v>372</v>
      </c>
      <c r="D41" s="14">
        <v>9.744431825579506E-6</v>
      </c>
      <c r="E41" s="14">
        <v>1.3991157048772593E-4</v>
      </c>
      <c r="F41" s="14">
        <v>4.2832675778864342E-9</v>
      </c>
      <c r="G41" s="14">
        <v>2.1442270043716491E-9</v>
      </c>
      <c r="H41" s="14">
        <v>0</v>
      </c>
      <c r="I41" s="14">
        <v>4.1655054658715165E-8</v>
      </c>
      <c r="J41" s="14">
        <v>2.9591513745356513E-7</v>
      </c>
      <c r="K41" s="14">
        <v>0</v>
      </c>
    </row>
    <row r="42" spans="1:11">
      <c r="A42" s="2" t="s">
        <v>293</v>
      </c>
      <c r="B42" s="3" t="s">
        <v>294</v>
      </c>
      <c r="D42" s="14">
        <v>2.4671887218274867E-12</v>
      </c>
      <c r="E42" s="14">
        <v>9.4955359224511683E-5</v>
      </c>
      <c r="F42" s="14">
        <v>2.5446089796030603E-5</v>
      </c>
      <c r="G42" s="14">
        <v>6.5270450583928752E-6</v>
      </c>
      <c r="H42" s="14">
        <v>0</v>
      </c>
      <c r="I42" s="14">
        <v>2.9888176266034448E-7</v>
      </c>
      <c r="J42" s="14">
        <v>2.2772621691215748E-5</v>
      </c>
      <c r="K42" s="14">
        <v>0</v>
      </c>
    </row>
    <row r="43" spans="1:11">
      <c r="A43" s="2" t="s">
        <v>373</v>
      </c>
      <c r="B43" s="3" t="s">
        <v>374</v>
      </c>
      <c r="D43" s="14">
        <v>5.0288480372961933E-12</v>
      </c>
      <c r="E43" s="14">
        <v>1.321573404578064E-6</v>
      </c>
      <c r="F43" s="14">
        <v>1.4837231217878534E-4</v>
      </c>
      <c r="G43" s="14">
        <v>1.2527799266664822E-7</v>
      </c>
      <c r="H43" s="14">
        <v>0</v>
      </c>
      <c r="I43" s="14">
        <v>1.5415229316232436E-7</v>
      </c>
      <c r="J43" s="14">
        <v>2.6679101959557922E-8</v>
      </c>
      <c r="K43" s="14">
        <v>0</v>
      </c>
    </row>
    <row r="44" spans="1:11">
      <c r="A44" s="2" t="s">
        <v>375</v>
      </c>
      <c r="B44" s="3" t="s">
        <v>376</v>
      </c>
      <c r="D44" s="14">
        <v>1.0942429496006622E-5</v>
      </c>
      <c r="E44" s="14">
        <v>1.2591308567404263E-4</v>
      </c>
      <c r="F44" s="14">
        <v>3.2161214557701308E-6</v>
      </c>
      <c r="G44" s="14">
        <v>9.8090736807784619E-7</v>
      </c>
      <c r="H44" s="14">
        <v>0</v>
      </c>
      <c r="I44" s="14">
        <v>7.7439715117464778E-8</v>
      </c>
      <c r="J44" s="14">
        <v>8.8700162909853028E-6</v>
      </c>
      <c r="K44" s="14">
        <v>0</v>
      </c>
    </row>
    <row r="45" spans="1:11">
      <c r="A45" s="2" t="s">
        <v>377</v>
      </c>
      <c r="B45" s="3" t="s">
        <v>378</v>
      </c>
      <c r="D45" s="14">
        <v>9.4553697199772284E-8</v>
      </c>
      <c r="E45" s="14">
        <v>8.9230972265145792E-5</v>
      </c>
      <c r="F45" s="14">
        <v>2.9207689254411643E-5</v>
      </c>
      <c r="G45" s="14">
        <v>7.3823181005575523E-6</v>
      </c>
      <c r="H45" s="14">
        <v>0</v>
      </c>
      <c r="I45" s="14">
        <v>3.3306877136445296E-7</v>
      </c>
      <c r="J45" s="14">
        <v>2.3751397911320752E-5</v>
      </c>
      <c r="K45" s="14">
        <v>0</v>
      </c>
    </row>
    <row r="46" spans="1:11">
      <c r="A46" s="2" t="s">
        <v>379</v>
      </c>
      <c r="B46" s="3" t="s">
        <v>380</v>
      </c>
      <c r="D46" s="14">
        <v>2.8306454783583239E-7</v>
      </c>
      <c r="E46" s="14">
        <v>9.268780339244872E-5</v>
      </c>
      <c r="F46" s="14">
        <v>2.6773439317631704E-5</v>
      </c>
      <c r="G46" s="14">
        <v>6.8296699991222693E-6</v>
      </c>
      <c r="H46" s="14">
        <v>0</v>
      </c>
      <c r="I46" s="14">
        <v>3.1090338245186195E-7</v>
      </c>
      <c r="J46" s="14">
        <v>2.3115119360509589E-5</v>
      </c>
      <c r="K46" s="14">
        <v>0</v>
      </c>
    </row>
    <row r="47" spans="1:11">
      <c r="A47" s="2" t="s">
        <v>381</v>
      </c>
      <c r="B47" s="3" t="s">
        <v>382</v>
      </c>
      <c r="D47" s="14">
        <v>5.0942108963601214E-12</v>
      </c>
      <c r="E47" s="14">
        <v>1.0175459508823197E-7</v>
      </c>
      <c r="F47" s="14">
        <v>3.7730764483702369E-5</v>
      </c>
      <c r="G47" s="14">
        <v>1.0223301292422134E-4</v>
      </c>
      <c r="H47" s="14">
        <v>0</v>
      </c>
      <c r="I47" s="14">
        <v>4.5556358453378327E-6</v>
      </c>
      <c r="J47" s="14">
        <v>5.3788270574393029E-6</v>
      </c>
      <c r="K47" s="14">
        <v>0</v>
      </c>
    </row>
    <row r="48" spans="1:11">
      <c r="A48" s="2" t="s">
        <v>383</v>
      </c>
      <c r="B48" s="3" t="s">
        <v>384</v>
      </c>
      <c r="D48" s="14">
        <v>1.4405120291895072E-6</v>
      </c>
      <c r="E48" s="14">
        <v>1.420999742585932E-4</v>
      </c>
      <c r="F48" s="14">
        <v>9.888617391609678E-7</v>
      </c>
      <c r="G48" s="14">
        <v>3.3191824762537974E-7</v>
      </c>
      <c r="H48" s="14">
        <v>0</v>
      </c>
      <c r="I48" s="14">
        <v>5.5646646886948807E-8</v>
      </c>
      <c r="J48" s="14">
        <v>5.0830870785439582E-6</v>
      </c>
      <c r="K48" s="14">
        <v>0</v>
      </c>
    </row>
    <row r="49" spans="1:11">
      <c r="A49" s="2" t="s">
        <v>385</v>
      </c>
      <c r="B49" s="3" t="s">
        <v>386</v>
      </c>
      <c r="D49" s="14">
        <v>2.7370092269218344E-6</v>
      </c>
      <c r="E49" s="14">
        <v>1.3799182915287363E-4</v>
      </c>
      <c r="F49" s="14">
        <v>1.7942995400660228E-6</v>
      </c>
      <c r="G49" s="14">
        <v>5.7516241846327224E-7</v>
      </c>
      <c r="H49" s="14">
        <v>0</v>
      </c>
      <c r="I49" s="14">
        <v>6.4363671016505248E-8</v>
      </c>
      <c r="J49" s="14">
        <v>6.8373359906586918E-6</v>
      </c>
      <c r="K49" s="14">
        <v>0</v>
      </c>
    </row>
    <row r="50" spans="1:11">
      <c r="A50" s="2" t="s">
        <v>387</v>
      </c>
      <c r="B50" s="3" t="s">
        <v>388</v>
      </c>
      <c r="D50" s="14">
        <v>8.9180342939148754E-7</v>
      </c>
      <c r="E50" s="14">
        <v>1.3110107356382193E-5</v>
      </c>
      <c r="F50" s="14">
        <v>9.7743485641587968E-5</v>
      </c>
      <c r="G50" s="14">
        <v>1.9623812143390429E-5</v>
      </c>
      <c r="H50" s="14">
        <v>0</v>
      </c>
      <c r="I50" s="14">
        <v>8.3653689748903814E-7</v>
      </c>
      <c r="J50" s="14">
        <v>1.7794254531758862E-5</v>
      </c>
      <c r="K50" s="14">
        <v>0</v>
      </c>
    </row>
    <row r="51" spans="1:11">
      <c r="A51" s="2" t="s">
        <v>295</v>
      </c>
      <c r="B51" s="3" t="s">
        <v>296</v>
      </c>
      <c r="D51" s="14">
        <v>7.8957339692336027E-6</v>
      </c>
      <c r="E51" s="14">
        <v>1.3991027725736277E-4</v>
      </c>
      <c r="F51" s="14">
        <v>1.5689575433357217E-7</v>
      </c>
      <c r="G51" s="14">
        <v>6.0243021647368411E-8</v>
      </c>
      <c r="H51" s="14">
        <v>0</v>
      </c>
      <c r="I51" s="14">
        <v>4.3977673324213703E-8</v>
      </c>
      <c r="J51" s="14">
        <v>1.9328723240984499E-6</v>
      </c>
      <c r="K51" s="14">
        <v>0</v>
      </c>
    </row>
    <row r="52" spans="1:11">
      <c r="A52" s="2" t="s">
        <v>389</v>
      </c>
      <c r="B52" s="3" t="s">
        <v>390</v>
      </c>
      <c r="D52" s="14">
        <v>9.039305790536055E-6</v>
      </c>
      <c r="E52" s="14">
        <v>1.2180137425761182E-4</v>
      </c>
      <c r="F52" s="14">
        <v>5.6696175318242546E-6</v>
      </c>
      <c r="G52" s="14">
        <v>1.6544335102930694E-6</v>
      </c>
      <c r="H52" s="14">
        <v>0</v>
      </c>
      <c r="I52" s="14">
        <v>1.039797735312716E-7</v>
      </c>
      <c r="J52" s="14">
        <v>1.173128913620348E-5</v>
      </c>
      <c r="K52" s="14">
        <v>0</v>
      </c>
    </row>
    <row r="53" spans="1:11">
      <c r="A53" s="2" t="s">
        <v>391</v>
      </c>
      <c r="B53" s="3" t="s">
        <v>392</v>
      </c>
      <c r="D53" s="14">
        <v>2.835668904295684E-7</v>
      </c>
      <c r="E53" s="14">
        <v>7.0144339604218605E-5</v>
      </c>
      <c r="F53" s="14">
        <v>4.2901670705876263E-5</v>
      </c>
      <c r="G53" s="14">
        <v>1.0355468703586729E-5</v>
      </c>
      <c r="H53" s="14">
        <v>0</v>
      </c>
      <c r="I53" s="14">
        <v>4.5271150042667593E-7</v>
      </c>
      <c r="J53" s="14">
        <v>2.5862242595462135E-5</v>
      </c>
      <c r="K53" s="14">
        <v>0</v>
      </c>
    </row>
    <row r="54" spans="1:11">
      <c r="A54" s="2" t="s">
        <v>393</v>
      </c>
      <c r="B54" s="3" t="s">
        <v>394</v>
      </c>
      <c r="D54" s="14">
        <v>2.3582409724441264E-8</v>
      </c>
      <c r="E54" s="14">
        <v>1.4260846017624165E-7</v>
      </c>
      <c r="F54" s="14">
        <v>4.5248779029346536E-5</v>
      </c>
      <c r="G54" s="14">
        <v>9.4428354175528313E-5</v>
      </c>
      <c r="H54" s="14">
        <v>0</v>
      </c>
      <c r="I54" s="14">
        <v>4.1945816224524343E-6</v>
      </c>
      <c r="J54" s="14">
        <v>5.962094302771979E-6</v>
      </c>
      <c r="K54" s="14">
        <v>0</v>
      </c>
    </row>
    <row r="55" spans="1:11">
      <c r="A55" s="2" t="s">
        <v>395</v>
      </c>
      <c r="B55" s="3" t="s">
        <v>396</v>
      </c>
      <c r="D55" s="14">
        <v>1.8917097944087054E-5</v>
      </c>
      <c r="E55" s="14">
        <v>2.4919058085506904E-5</v>
      </c>
      <c r="F55" s="14">
        <v>7.0060494245216467E-5</v>
      </c>
      <c r="G55" s="14">
        <v>1.5113628822338388E-5</v>
      </c>
      <c r="H55" s="14">
        <v>0</v>
      </c>
      <c r="I55" s="14">
        <v>6.4437055412906319E-7</v>
      </c>
      <c r="J55" s="14">
        <v>2.0345350348722116E-5</v>
      </c>
      <c r="K55" s="14">
        <v>0</v>
      </c>
    </row>
    <row r="56" spans="1:11">
      <c r="A56" s="2" t="s">
        <v>397</v>
      </c>
      <c r="B56" s="3" t="s">
        <v>398</v>
      </c>
      <c r="D56" s="14">
        <v>8.5602552511445949E-5</v>
      </c>
      <c r="E56" s="14">
        <v>2.9378108113133937E-6</v>
      </c>
      <c r="F56" s="14">
        <v>4.637729336105571E-5</v>
      </c>
      <c r="G56" s="14">
        <v>8.8105080924057532E-6</v>
      </c>
      <c r="H56" s="14">
        <v>0</v>
      </c>
      <c r="I56" s="14">
        <v>3.766510833568016E-7</v>
      </c>
      <c r="J56" s="14">
        <v>5.8951841404223988E-6</v>
      </c>
      <c r="K56" s="14">
        <v>0</v>
      </c>
    </row>
    <row r="57" spans="1:11">
      <c r="A57" s="2" t="s">
        <v>399</v>
      </c>
      <c r="B57" s="3" t="s">
        <v>400</v>
      </c>
      <c r="D57" s="14">
        <v>1.1295449763793676E-4</v>
      </c>
      <c r="E57" s="14">
        <v>5.5182406790556982E-6</v>
      </c>
      <c r="F57" s="14">
        <v>2.1474458067056001E-5</v>
      </c>
      <c r="G57" s="14">
        <v>4.522908147770592E-6</v>
      </c>
      <c r="H57" s="14">
        <v>0</v>
      </c>
      <c r="I57" s="14">
        <v>1.9268672478048587E-7</v>
      </c>
      <c r="J57" s="14">
        <v>5.3372087434004293E-6</v>
      </c>
      <c r="K57" s="14">
        <v>0</v>
      </c>
    </row>
    <row r="58" spans="1:11">
      <c r="A58" s="2" t="s">
        <v>297</v>
      </c>
      <c r="B58" s="3" t="s">
        <v>298</v>
      </c>
      <c r="D58" s="14">
        <v>1.3785533937629203E-4</v>
      </c>
      <c r="E58" s="14">
        <v>1.1256430693931481E-5</v>
      </c>
      <c r="F58" s="14">
        <v>1.8794997663550707E-7</v>
      </c>
      <c r="G58" s="14">
        <v>5.9147695912540927E-8</v>
      </c>
      <c r="H58" s="14">
        <v>0</v>
      </c>
      <c r="I58" s="14">
        <v>5.7512157944926164E-9</v>
      </c>
      <c r="J58" s="14">
        <v>6.3538104143392231E-7</v>
      </c>
      <c r="K58" s="14">
        <v>0</v>
      </c>
    </row>
    <row r="59" spans="1:11">
      <c r="A59" s="2" t="s">
        <v>401</v>
      </c>
      <c r="B59" s="3" t="s">
        <v>402</v>
      </c>
      <c r="D59" s="14">
        <v>1.3545253114007473E-4</v>
      </c>
      <c r="E59" s="14">
        <v>2.2954309596614851E-6</v>
      </c>
      <c r="F59" s="14">
        <v>8.2871616293515437E-6</v>
      </c>
      <c r="G59" s="14">
        <v>1.7550979728014088E-6</v>
      </c>
      <c r="H59" s="14">
        <v>0</v>
      </c>
      <c r="I59" s="14">
        <v>7.4778760400365105E-8</v>
      </c>
      <c r="J59" s="14">
        <v>2.13499953771043E-6</v>
      </c>
      <c r="K59" s="14">
        <v>0</v>
      </c>
    </row>
    <row r="60" spans="1:11">
      <c r="A60" s="2" t="s">
        <v>299</v>
      </c>
      <c r="B60" s="3" t="s">
        <v>300</v>
      </c>
      <c r="D60" s="14">
        <v>1.4969276280508891E-4</v>
      </c>
      <c r="E60" s="14">
        <v>8.6349119613784687E-8</v>
      </c>
      <c r="F60" s="14">
        <v>1.3659018345591555E-7</v>
      </c>
      <c r="G60" s="14">
        <v>3.0740791385330442E-8</v>
      </c>
      <c r="H60" s="14">
        <v>0</v>
      </c>
      <c r="I60" s="14">
        <v>1.3161025252231735E-9</v>
      </c>
      <c r="J60" s="14">
        <v>5.224099793081162E-8</v>
      </c>
      <c r="K60" s="14">
        <v>0</v>
      </c>
    </row>
    <row r="61" spans="1:11">
      <c r="A61" s="2" t="s">
        <v>403</v>
      </c>
      <c r="B61" s="3" t="s">
        <v>404</v>
      </c>
      <c r="D61" s="14">
        <v>6.4528036547100504E-48</v>
      </c>
      <c r="E61" s="14">
        <v>5.2687253563283982E-5</v>
      </c>
      <c r="F61" s="14">
        <v>5.7275268653449309E-5</v>
      </c>
      <c r="G61" s="14">
        <v>1.3251428277680161E-5</v>
      </c>
      <c r="H61" s="14">
        <v>0</v>
      </c>
      <c r="I61" s="14">
        <v>5.7049120889741527E-7</v>
      </c>
      <c r="J61" s="14">
        <v>2.6215558296689118E-5</v>
      </c>
      <c r="K61" s="14">
        <v>0</v>
      </c>
    </row>
    <row r="62" spans="1:11">
      <c r="A62" s="2" t="s">
        <v>405</v>
      </c>
      <c r="B62" s="3" t="s">
        <v>406</v>
      </c>
      <c r="D62" s="14">
        <v>1.3340757397513605E-11</v>
      </c>
      <c r="E62" s="14">
        <v>6.1972297429104781E-7</v>
      </c>
      <c r="F62" s="14">
        <v>8.943328245525135E-5</v>
      </c>
      <c r="G62" s="14">
        <v>4.9853393540779864E-5</v>
      </c>
      <c r="H62" s="14">
        <v>0</v>
      </c>
      <c r="I62" s="14">
        <v>2.1796769602507725E-6</v>
      </c>
      <c r="J62" s="14">
        <v>7.9139107286695132E-6</v>
      </c>
      <c r="K62" s="14">
        <v>0</v>
      </c>
    </row>
    <row r="63" spans="1:11">
      <c r="A63" s="2" t="s">
        <v>407</v>
      </c>
      <c r="B63" s="3" t="s">
        <v>408</v>
      </c>
      <c r="D63" s="14">
        <v>3.1137464128135203E-9</v>
      </c>
      <c r="E63" s="14">
        <v>5.5195077846759118E-8</v>
      </c>
      <c r="F63" s="14">
        <v>2.6767137171885056E-5</v>
      </c>
      <c r="G63" s="14">
        <v>1.1370969114183156E-4</v>
      </c>
      <c r="H63" s="14">
        <v>0</v>
      </c>
      <c r="I63" s="14">
        <v>5.0947374471711588E-6</v>
      </c>
      <c r="J63" s="14">
        <v>4.3701254148526504E-6</v>
      </c>
      <c r="K63" s="14">
        <v>0</v>
      </c>
    </row>
    <row r="64" spans="1:11">
      <c r="A64" s="2" t="s">
        <v>409</v>
      </c>
      <c r="B64" s="3" t="s">
        <v>410</v>
      </c>
      <c r="D64" s="14">
        <v>3.8147641172093556E-10</v>
      </c>
      <c r="E64" s="14">
        <v>1.8924516774018281E-8</v>
      </c>
      <c r="F64" s="14">
        <v>1.4272050482275244E-5</v>
      </c>
      <c r="G64" s="14">
        <v>1.2705212364351939E-4</v>
      </c>
      <c r="H64" s="14">
        <v>0</v>
      </c>
      <c r="I64" s="14">
        <v>5.7439366196267418E-6</v>
      </c>
      <c r="J64" s="14">
        <v>2.9125832613928539E-6</v>
      </c>
      <c r="K64" s="14">
        <v>0</v>
      </c>
    </row>
    <row r="65" spans="1:11">
      <c r="A65" s="2" t="s">
        <v>301</v>
      </c>
      <c r="B65" s="3" t="s">
        <v>302</v>
      </c>
      <c r="D65" s="14">
        <v>4.6717115419364689E-11</v>
      </c>
      <c r="E65" s="14">
        <v>5.266876429125153E-9</v>
      </c>
      <c r="F65" s="14">
        <v>6.5628836272377582E-6</v>
      </c>
      <c r="G65" s="14">
        <v>1.3551590158905516E-4</v>
      </c>
      <c r="H65" s="14">
        <v>0</v>
      </c>
      <c r="I65" s="14">
        <v>6.1897188089867229E-6</v>
      </c>
      <c r="J65" s="14">
        <v>1.7261823811758062E-6</v>
      </c>
      <c r="K65" s="14">
        <v>0</v>
      </c>
    </row>
    <row r="66" spans="1:11">
      <c r="A66" s="2" t="s">
        <v>303</v>
      </c>
      <c r="B66" s="3" t="s">
        <v>304</v>
      </c>
      <c r="D66" s="14">
        <v>4.5302233636506362E-17</v>
      </c>
      <c r="E66" s="14">
        <v>1.0969244719126508E-8</v>
      </c>
      <c r="F66" s="14">
        <v>1.0271604759200914E-5</v>
      </c>
      <c r="G66" s="14">
        <v>1.3141164603464419E-4</v>
      </c>
      <c r="H66" s="14">
        <v>0</v>
      </c>
      <c r="I66" s="14">
        <v>5.9673181825786918E-6</v>
      </c>
      <c r="J66" s="14">
        <v>2.3384617788117754E-6</v>
      </c>
      <c r="K66" s="14">
        <v>0</v>
      </c>
    </row>
    <row r="67" spans="1:11">
      <c r="A67" s="2" t="s">
        <v>411</v>
      </c>
      <c r="B67" s="3" t="s">
        <v>412</v>
      </c>
      <c r="D67" s="14">
        <v>5.9550407239770993E-7</v>
      </c>
      <c r="E67" s="14">
        <v>1.3346329594454882E-4</v>
      </c>
      <c r="F67" s="14">
        <v>4.1639300013597187E-6</v>
      </c>
      <c r="G67" s="14">
        <v>1.2514081396437188E-6</v>
      </c>
      <c r="H67" s="14">
        <v>0</v>
      </c>
      <c r="I67" s="14">
        <v>9.0791133847713818E-8</v>
      </c>
      <c r="J67" s="14">
        <v>1.0435070708202288E-5</v>
      </c>
      <c r="K67" s="14">
        <v>0</v>
      </c>
    </row>
    <row r="68" spans="1:11">
      <c r="A68" s="2" t="s">
        <v>413</v>
      </c>
      <c r="B68" s="3" t="s">
        <v>414</v>
      </c>
      <c r="D68" s="14">
        <v>1.314242312034008E-6</v>
      </c>
      <c r="E68" s="14">
        <v>1.2519660588245396E-4</v>
      </c>
      <c r="F68" s="14">
        <v>7.4833167724122631E-6</v>
      </c>
      <c r="G68" s="14">
        <v>2.1438267463858044E-6</v>
      </c>
      <c r="H68" s="14">
        <v>0</v>
      </c>
      <c r="I68" s="14">
        <v>1.2519151028704292E-7</v>
      </c>
      <c r="J68" s="14">
        <v>1.3736816776426897E-5</v>
      </c>
      <c r="K68" s="14">
        <v>0</v>
      </c>
    </row>
    <row r="69" spans="1:11">
      <c r="A69" s="2" t="s">
        <v>415</v>
      </c>
      <c r="B69" s="3" t="s">
        <v>416</v>
      </c>
      <c r="D69" s="14">
        <v>1.5268593435131437E-7</v>
      </c>
      <c r="E69" s="14">
        <v>2.2225735468471681E-7</v>
      </c>
      <c r="F69" s="14">
        <v>5.6795995405101357E-5</v>
      </c>
      <c r="G69" s="14">
        <v>8.2473280713125292E-5</v>
      </c>
      <c r="H69" s="14">
        <v>0</v>
      </c>
      <c r="I69" s="14">
        <v>3.647523608609056E-6</v>
      </c>
      <c r="J69" s="14">
        <v>6.7082569841282302E-6</v>
      </c>
      <c r="K69" s="14">
        <v>0</v>
      </c>
    </row>
    <row r="70" spans="1:11">
      <c r="A70" s="2" t="s">
        <v>417</v>
      </c>
      <c r="B70" s="3" t="s">
        <v>418</v>
      </c>
      <c r="D70" s="14">
        <v>4.0873527222626319E-7</v>
      </c>
      <c r="E70" s="14">
        <v>4.2239544594056388E-6</v>
      </c>
      <c r="F70" s="14">
        <v>1.1273552756490989E-4</v>
      </c>
      <c r="G70" s="14">
        <v>2.0604228469542541E-5</v>
      </c>
      <c r="H70" s="14">
        <v>0</v>
      </c>
      <c r="I70" s="14">
        <v>8.8325466952345669E-7</v>
      </c>
      <c r="J70" s="14">
        <v>1.1144299564392163E-5</v>
      </c>
      <c r="K70" s="14">
        <v>0</v>
      </c>
    </row>
    <row r="71" spans="1:11">
      <c r="A71" s="2" t="s">
        <v>419</v>
      </c>
      <c r="B71" s="3" t="s">
        <v>420</v>
      </c>
      <c r="D71" s="14">
        <v>3.2178119601143703E-6</v>
      </c>
      <c r="E71" s="14">
        <v>1.2494468070355924E-4</v>
      </c>
      <c r="F71" s="14">
        <v>6.7573956184478567E-6</v>
      </c>
      <c r="G71" s="14">
        <v>1.9501809116039145E-6</v>
      </c>
      <c r="H71" s="14">
        <v>0</v>
      </c>
      <c r="I71" s="14">
        <v>1.1711381677295051E-7</v>
      </c>
      <c r="J71" s="14">
        <v>1.3012816989501623E-5</v>
      </c>
      <c r="K71" s="14">
        <v>0</v>
      </c>
    </row>
    <row r="72" spans="1:11">
      <c r="A72" s="2" t="s">
        <v>421</v>
      </c>
      <c r="B72" s="3" t="s">
        <v>422</v>
      </c>
      <c r="D72" s="14">
        <v>1.7268617899528205E-6</v>
      </c>
      <c r="E72" s="14">
        <v>4.9198820383460421E-6</v>
      </c>
      <c r="F72" s="14">
        <v>1.1022402460348993E-4</v>
      </c>
      <c r="G72" s="14">
        <v>2.0406654881027506E-5</v>
      </c>
      <c r="H72" s="14">
        <v>0</v>
      </c>
      <c r="I72" s="14">
        <v>8.7394388864178953E-7</v>
      </c>
      <c r="J72" s="14">
        <v>1.1848632798541859E-5</v>
      </c>
      <c r="K72" s="14">
        <v>0</v>
      </c>
    </row>
    <row r="73" spans="1:11">
      <c r="A73" s="2" t="s">
        <v>423</v>
      </c>
      <c r="B73" s="3" t="s">
        <v>424</v>
      </c>
      <c r="D73" s="14">
        <v>1.8775995832188226E-6</v>
      </c>
      <c r="E73" s="14">
        <v>4.8446241546049279E-5</v>
      </c>
      <c r="F73" s="14">
        <v>5.9679017472771591E-5</v>
      </c>
      <c r="G73" s="14">
        <v>1.3680980373798213E-5</v>
      </c>
      <c r="H73" s="14">
        <v>0</v>
      </c>
      <c r="I73" s="14">
        <v>5.8770998753897979E-7</v>
      </c>
      <c r="J73" s="14">
        <v>2.5728451036623101E-5</v>
      </c>
      <c r="K73" s="14">
        <v>0</v>
      </c>
    </row>
    <row r="74" spans="1:11">
      <c r="A74" s="2" t="s">
        <v>425</v>
      </c>
      <c r="B74" s="3" t="s">
        <v>426</v>
      </c>
      <c r="D74" s="14">
        <v>6.3205348674221441E-7</v>
      </c>
      <c r="E74" s="14">
        <v>4.4172394428654123E-6</v>
      </c>
      <c r="F74" s="14">
        <v>1.121430892954964E-4</v>
      </c>
      <c r="G74" s="14">
        <v>2.057159999857144E-5</v>
      </c>
      <c r="H74" s="14">
        <v>0</v>
      </c>
      <c r="I74" s="14">
        <v>8.8160987746150325E-7</v>
      </c>
      <c r="J74" s="14">
        <v>1.1354407898863017E-5</v>
      </c>
      <c r="K74" s="14">
        <v>0</v>
      </c>
    </row>
    <row r="75" spans="1:11">
      <c r="A75" s="2" t="s">
        <v>427</v>
      </c>
      <c r="B75" s="3" t="s">
        <v>428</v>
      </c>
      <c r="D75" s="14">
        <v>6.4037230248795677E-14</v>
      </c>
      <c r="E75" s="14">
        <v>6.4596601033769974E-7</v>
      </c>
      <c r="F75" s="14">
        <v>1.4878229073598837E-4</v>
      </c>
      <c r="G75" s="14">
        <v>5.7411837922967581E-8</v>
      </c>
      <c r="H75" s="14">
        <v>0</v>
      </c>
      <c r="I75" s="14">
        <v>5.0905786482141577E-7</v>
      </c>
      <c r="J75" s="14">
        <v>5.2734868922761671E-9</v>
      </c>
      <c r="K75" s="14">
        <v>0</v>
      </c>
    </row>
    <row r="76" spans="1:11">
      <c r="A76" s="2" t="s">
        <v>429</v>
      </c>
      <c r="B76" s="3" t="s">
        <v>430</v>
      </c>
      <c r="D76" s="14">
        <v>1.6085424984035089E-15</v>
      </c>
      <c r="E76" s="14">
        <v>6.4596601060654503E-7</v>
      </c>
      <c r="F76" s="14">
        <v>1.4878229079791025E-4</v>
      </c>
      <c r="G76" s="14">
        <v>5.7411837946861904E-8</v>
      </c>
      <c r="H76" s="14">
        <v>0</v>
      </c>
      <c r="I76" s="14">
        <v>5.0905786503328127E-7</v>
      </c>
      <c r="J76" s="14">
        <v>5.2734868944709469E-9</v>
      </c>
      <c r="K76" s="14">
        <v>0</v>
      </c>
    </row>
    <row r="77" spans="1:11">
      <c r="A77" s="2" t="s">
        <v>431</v>
      </c>
      <c r="B77" s="3" t="s">
        <v>432</v>
      </c>
      <c r="D77" s="14">
        <v>3.2782530337718484E-6</v>
      </c>
      <c r="E77" s="14">
        <v>1.7944839642666985E-5</v>
      </c>
      <c r="F77" s="14">
        <v>8.9672887846340194E-5</v>
      </c>
      <c r="G77" s="14">
        <v>1.8542005752430121E-5</v>
      </c>
      <c r="H77" s="14">
        <v>0</v>
      </c>
      <c r="I77" s="14">
        <v>7.8989852304817096E-7</v>
      </c>
      <c r="J77" s="14">
        <v>1.9772115201742666E-5</v>
      </c>
      <c r="K77" s="14">
        <v>0</v>
      </c>
    </row>
    <row r="78" spans="1:11">
      <c r="A78" s="2" t="s">
        <v>433</v>
      </c>
      <c r="B78" s="3" t="s">
        <v>434</v>
      </c>
      <c r="D78" s="14">
        <v>4.6823641794729222E-6</v>
      </c>
      <c r="E78" s="14">
        <v>9.4628574686366003E-5</v>
      </c>
      <c r="F78" s="14">
        <v>2.2944778684953729E-5</v>
      </c>
      <c r="G78" s="14">
        <v>5.9289723965849691E-6</v>
      </c>
      <c r="H78" s="14">
        <v>0</v>
      </c>
      <c r="I78" s="14">
        <v>2.7381462176560076E-7</v>
      </c>
      <c r="J78" s="14">
        <v>2.1541495430856739E-5</v>
      </c>
      <c r="K78" s="14">
        <v>0</v>
      </c>
    </row>
    <row r="79" spans="1:11">
      <c r="A79" s="2" t="s">
        <v>435</v>
      </c>
      <c r="B79" s="3" t="s">
        <v>436</v>
      </c>
      <c r="D79" s="14">
        <v>1.1235553016087288E-6</v>
      </c>
      <c r="E79" s="14">
        <v>6.820426974218074E-5</v>
      </c>
      <c r="F79" s="14">
        <v>4.3854396377892745E-5</v>
      </c>
      <c r="G79" s="14">
        <v>1.0546508160362566E-5</v>
      </c>
      <c r="H79" s="14">
        <v>0</v>
      </c>
      <c r="I79" s="14">
        <v>4.6025360234557557E-7</v>
      </c>
      <c r="J79" s="14">
        <v>2.5811016815609605E-5</v>
      </c>
      <c r="K79" s="14">
        <v>0</v>
      </c>
    </row>
    <row r="80" spans="1:11">
      <c r="A80" s="2" t="s">
        <v>437</v>
      </c>
      <c r="B80" s="3" t="s">
        <v>438</v>
      </c>
      <c r="D80" s="14">
        <v>2.2855705301302365E-14</v>
      </c>
      <c r="E80" s="14">
        <v>4.3658796016307394E-7</v>
      </c>
      <c r="F80" s="14">
        <v>1.4846132397934437E-4</v>
      </c>
      <c r="G80" s="14">
        <v>1.1004328295520566E-7</v>
      </c>
      <c r="H80" s="14">
        <v>0</v>
      </c>
      <c r="I80" s="14">
        <v>9.8563767744968272E-7</v>
      </c>
      <c r="J80" s="14">
        <v>6.4070772319465198E-9</v>
      </c>
      <c r="K80" s="14">
        <v>0</v>
      </c>
    </row>
    <row r="81" spans="1:11">
      <c r="A81" s="2" t="s">
        <v>440</v>
      </c>
      <c r="B81" s="3" t="s">
        <v>441</v>
      </c>
      <c r="D81" s="14">
        <v>2.1931978483705162E-17</v>
      </c>
      <c r="E81" s="14">
        <v>1.4789548677663288E-4</v>
      </c>
      <c r="F81" s="14">
        <v>1.3921835423712204E-7</v>
      </c>
      <c r="G81" s="14">
        <v>5.4149200759488527E-8</v>
      </c>
      <c r="H81" s="14">
        <v>0</v>
      </c>
      <c r="I81" s="14">
        <v>4.610429030880836E-8</v>
      </c>
      <c r="J81" s="14">
        <v>1.8650413780397287E-6</v>
      </c>
      <c r="K81" s="14">
        <v>0</v>
      </c>
    </row>
    <row r="82" spans="1:11">
      <c r="A82" s="2" t="s">
        <v>442</v>
      </c>
      <c r="B82" s="3" t="s">
        <v>443</v>
      </c>
      <c r="D82" s="14">
        <v>1.0959130046549203E-8</v>
      </c>
      <c r="E82" s="14">
        <v>1.2248790044706466E-4</v>
      </c>
      <c r="F82" s="14">
        <v>9.4014483584088465E-6</v>
      </c>
      <c r="G82" s="14">
        <v>2.6441757637132762E-6</v>
      </c>
      <c r="H82" s="14">
        <v>0</v>
      </c>
      <c r="I82" s="14">
        <v>1.4510911979125121E-7</v>
      </c>
      <c r="J82" s="14">
        <v>1.5310407180975393E-5</v>
      </c>
      <c r="K82" s="14">
        <v>0</v>
      </c>
    </row>
    <row r="83" spans="1:11">
      <c r="A83" s="2" t="s">
        <v>444</v>
      </c>
      <c r="B83" s="3" t="s">
        <v>445</v>
      </c>
      <c r="D83" s="14">
        <v>7.0529114145887978E-8</v>
      </c>
      <c r="E83" s="14">
        <v>2.2768034408660189E-5</v>
      </c>
      <c r="F83" s="14">
        <v>8.6414597890877449E-5</v>
      </c>
      <c r="G83" s="14">
        <v>1.8234030158587221E-5</v>
      </c>
      <c r="H83" s="14">
        <v>0</v>
      </c>
      <c r="I83" s="14">
        <v>7.7683524932617935E-7</v>
      </c>
      <c r="J83" s="14">
        <v>2.1735973178403048E-5</v>
      </c>
      <c r="K83" s="14">
        <v>0</v>
      </c>
    </row>
    <row r="84" spans="1:11">
      <c r="A84" s="2" t="s">
        <v>446</v>
      </c>
      <c r="B84" s="3" t="s">
        <v>447</v>
      </c>
      <c r="D84" s="14">
        <v>6.858489948972933E-19</v>
      </c>
      <c r="E84" s="14">
        <v>1.4501589807965222E-4</v>
      </c>
      <c r="F84" s="14">
        <v>6.3539997124377035E-7</v>
      </c>
      <c r="G84" s="14">
        <v>2.2066972114732282E-7</v>
      </c>
      <c r="H84" s="14">
        <v>0</v>
      </c>
      <c r="I84" s="14">
        <v>5.1985379835332739E-8</v>
      </c>
      <c r="J84" s="14">
        <v>4.0760468481206778E-6</v>
      </c>
      <c r="K84" s="14">
        <v>0</v>
      </c>
    </row>
    <row r="85" spans="1:11">
      <c r="A85" s="2" t="s">
        <v>448</v>
      </c>
      <c r="B85" s="3" t="s">
        <v>449</v>
      </c>
      <c r="D85" s="14">
        <v>4.6841599482065336E-12</v>
      </c>
      <c r="E85" s="14">
        <v>1.491484781401617E-4</v>
      </c>
      <c r="F85" s="14">
        <v>2.5319224562336586E-8</v>
      </c>
      <c r="G85" s="14">
        <v>1.1172386619863449E-8</v>
      </c>
      <c r="H85" s="14">
        <v>0</v>
      </c>
      <c r="I85" s="14">
        <v>4.4756640728604148E-8</v>
      </c>
      <c r="J85" s="14">
        <v>7.7026892376751242E-7</v>
      </c>
      <c r="K85" s="14">
        <v>0</v>
      </c>
    </row>
    <row r="86" spans="1:11">
      <c r="A86" s="2" t="s">
        <v>450</v>
      </c>
      <c r="B86" s="3" t="s">
        <v>451</v>
      </c>
      <c r="D86" s="14">
        <v>1.723979832852121E-12</v>
      </c>
      <c r="E86" s="14">
        <v>1.4515743690966785E-4</v>
      </c>
      <c r="F86" s="14">
        <v>6.049937184243308E-7</v>
      </c>
      <c r="G86" s="14">
        <v>2.1088535487925936E-7</v>
      </c>
      <c r="H86" s="14">
        <v>0</v>
      </c>
      <c r="I86" s="14">
        <v>5.1630043577049749E-8</v>
      </c>
      <c r="J86" s="14">
        <v>3.975052249471684E-6</v>
      </c>
      <c r="K86" s="14">
        <v>0</v>
      </c>
    </row>
    <row r="87" spans="1:11">
      <c r="A87" s="2" t="s">
        <v>452</v>
      </c>
      <c r="B87" s="3" t="s">
        <v>453</v>
      </c>
      <c r="D87" s="14">
        <v>5.845175755367381E-12</v>
      </c>
      <c r="E87" s="14">
        <v>8.0640773389395496E-8</v>
      </c>
      <c r="F87" s="14">
        <v>3.3175406925431997E-5</v>
      </c>
      <c r="G87" s="14">
        <v>1.0698227128633199E-4</v>
      </c>
      <c r="H87" s="14">
        <v>0</v>
      </c>
      <c r="I87" s="14">
        <v>4.7773285681870726E-6</v>
      </c>
      <c r="J87" s="14">
        <v>4.9843466014837751E-6</v>
      </c>
      <c r="K87" s="14">
        <v>0</v>
      </c>
    </row>
    <row r="88" spans="1:11">
      <c r="A88" s="2" t="s">
        <v>454</v>
      </c>
      <c r="B88" s="3" t="s">
        <v>455</v>
      </c>
      <c r="D88" s="14">
        <v>5.5090311457905166E-9</v>
      </c>
      <c r="E88" s="14">
        <v>1.0653010073506437E-4</v>
      </c>
      <c r="F88" s="14">
        <v>1.8200943940226959E-5</v>
      </c>
      <c r="G88" s="14">
        <v>4.8260238894137178E-6</v>
      </c>
      <c r="H88" s="14">
        <v>0</v>
      </c>
      <c r="I88" s="14">
        <v>2.3116467323993788E-7</v>
      </c>
      <c r="J88" s="14">
        <v>2.0206257730909212E-5</v>
      </c>
      <c r="K88" s="14">
        <v>0</v>
      </c>
    </row>
    <row r="89" spans="1:11">
      <c r="A89" s="2" t="s">
        <v>456</v>
      </c>
      <c r="B89" s="3" t="s">
        <v>457</v>
      </c>
      <c r="D89" s="14">
        <v>3.6396763302610485E-21</v>
      </c>
      <c r="E89" s="14">
        <v>1.1995541963331418E-4</v>
      </c>
      <c r="F89" s="14">
        <v>1.0697479149473326E-5</v>
      </c>
      <c r="G89" s="14">
        <v>2.9756168138432453E-6</v>
      </c>
      <c r="H89" s="14">
        <v>0</v>
      </c>
      <c r="I89" s="14">
        <v>1.5810951045617603E-7</v>
      </c>
      <c r="J89" s="14">
        <v>1.6213374892913038E-5</v>
      </c>
      <c r="K89" s="14">
        <v>0</v>
      </c>
    </row>
    <row r="90" spans="1:11">
      <c r="A90" s="2" t="s">
        <v>458</v>
      </c>
      <c r="B90" s="3" t="s">
        <v>459</v>
      </c>
      <c r="D90" s="14">
        <v>5.2561764487615397E-33</v>
      </c>
      <c r="E90" s="14">
        <v>1.3886316064906521E-4</v>
      </c>
      <c r="F90" s="14">
        <v>2.3773253440536025E-6</v>
      </c>
      <c r="G90" s="14">
        <v>7.46765379627585E-7</v>
      </c>
      <c r="H90" s="14">
        <v>0</v>
      </c>
      <c r="I90" s="14">
        <v>7.1649881870688448E-8</v>
      </c>
      <c r="J90" s="14">
        <v>7.941098745382892E-6</v>
      </c>
      <c r="K90" s="14">
        <v>0</v>
      </c>
    </row>
    <row r="91" spans="1:11">
      <c r="A91" s="2" t="s">
        <v>460</v>
      </c>
      <c r="B91" s="3" t="s">
        <v>461</v>
      </c>
      <c r="D91" s="14">
        <v>6.2292344868099152E-12</v>
      </c>
      <c r="E91" s="14">
        <v>5.3808611973992894E-7</v>
      </c>
      <c r="F91" s="14">
        <v>8.467464092387457E-5</v>
      </c>
      <c r="G91" s="14">
        <v>5.4569367372473953E-5</v>
      </c>
      <c r="H91" s="14">
        <v>0</v>
      </c>
      <c r="I91" s="14">
        <v>2.389998079688993E-6</v>
      </c>
      <c r="J91" s="14">
        <v>7.8279012749880328E-6</v>
      </c>
      <c r="K91" s="14">
        <v>0</v>
      </c>
    </row>
    <row r="92" spans="1:11">
      <c r="A92" s="2" t="s">
        <v>462</v>
      </c>
      <c r="B92" s="3" t="s">
        <v>463</v>
      </c>
      <c r="D92" s="14">
        <v>6.2978254910465274E-13</v>
      </c>
      <c r="E92" s="14">
        <v>3.2306337993984077E-5</v>
      </c>
      <c r="F92" s="14">
        <v>7.6244637992463069E-5</v>
      </c>
      <c r="G92" s="14">
        <v>1.6661145694403138E-5</v>
      </c>
      <c r="H92" s="14">
        <v>0</v>
      </c>
      <c r="I92" s="14">
        <v>7.1093811355469268E-7</v>
      </c>
      <c r="J92" s="14">
        <v>2.4076939575812452E-5</v>
      </c>
      <c r="K92" s="14">
        <v>0</v>
      </c>
    </row>
    <row r="93" spans="1:11">
      <c r="A93" s="2" t="s">
        <v>464</v>
      </c>
      <c r="B93" s="3" t="s">
        <v>465</v>
      </c>
      <c r="D93" s="14">
        <v>2.5714293704005401E-8</v>
      </c>
      <c r="E93" s="14">
        <v>6.5402102512233021E-6</v>
      </c>
      <c r="F93" s="14">
        <v>1.0854086651048301E-4</v>
      </c>
      <c r="G93" s="14">
        <v>2.0544181333712825E-5</v>
      </c>
      <c r="H93" s="14">
        <v>0</v>
      </c>
      <c r="I93" s="14">
        <v>8.7847971391557849E-7</v>
      </c>
      <c r="J93" s="14">
        <v>1.3470547896961234E-5</v>
      </c>
      <c r="K93" s="14">
        <v>0</v>
      </c>
    </row>
    <row r="94" spans="1:11">
      <c r="A94" s="2" t="s">
        <v>466</v>
      </c>
      <c r="B94" s="3" t="s">
        <v>467</v>
      </c>
      <c r="D94" s="14">
        <v>2.1395635040513442E-22</v>
      </c>
      <c r="E94" s="14">
        <v>1.3418203070727141E-4</v>
      </c>
      <c r="F94" s="14">
        <v>1.5754910286946683E-5</v>
      </c>
      <c r="G94" s="14">
        <v>2.0704008107165521E-9</v>
      </c>
      <c r="H94" s="14">
        <v>0</v>
      </c>
      <c r="I94" s="14">
        <v>5.0897218243250689E-8</v>
      </c>
      <c r="J94" s="14">
        <v>1.0091386727905052E-8</v>
      </c>
      <c r="K94" s="14">
        <v>0</v>
      </c>
    </row>
    <row r="95" spans="1:11">
      <c r="A95" s="2" t="s">
        <v>468</v>
      </c>
      <c r="B95" s="3" t="s">
        <v>469</v>
      </c>
      <c r="D95" s="14">
        <v>2.5136995348964977E-22</v>
      </c>
      <c r="E95" s="14">
        <v>1.2609285401911587E-6</v>
      </c>
      <c r="F95" s="14">
        <v>1.1205520877815595E-4</v>
      </c>
      <c r="G95" s="14">
        <v>2.7722194388018801E-5</v>
      </c>
      <c r="H95" s="14">
        <v>0</v>
      </c>
      <c r="I95" s="14">
        <v>1.2005549632154725E-6</v>
      </c>
      <c r="J95" s="14">
        <v>7.761113330418591E-6</v>
      </c>
      <c r="K95" s="14">
        <v>0</v>
      </c>
    </row>
    <row r="96" spans="1:11">
      <c r="A96" s="2" t="s">
        <v>470</v>
      </c>
      <c r="B96" s="163">
        <v>354656</v>
      </c>
      <c r="D96" s="14">
        <v>4.3752154749023467E-14</v>
      </c>
      <c r="E96" s="14">
        <v>1.4780752892460815E-4</v>
      </c>
      <c r="F96" s="14">
        <v>1.4997474450836246E-7</v>
      </c>
      <c r="G96" s="14">
        <v>5.8011445366292855E-8</v>
      </c>
      <c r="H96" s="14">
        <v>0</v>
      </c>
      <c r="I96" s="14">
        <v>4.6233439412010264E-8</v>
      </c>
      <c r="J96" s="14">
        <v>1.9382514023529923E-6</v>
      </c>
      <c r="K96" s="14">
        <v>0</v>
      </c>
    </row>
    <row r="97" spans="1:11">
      <c r="A97" s="2" t="s">
        <v>472</v>
      </c>
      <c r="B97" s="3" t="s">
        <v>473</v>
      </c>
      <c r="D97" s="14">
        <v>6.8560122932468265E-14</v>
      </c>
      <c r="E97" s="14">
        <v>1.4494348446610091E-4</v>
      </c>
      <c r="F97" s="14">
        <v>6.511638345296802E-7</v>
      </c>
      <c r="G97" s="14">
        <v>2.2572820461217855E-7</v>
      </c>
      <c r="H97" s="14">
        <v>0</v>
      </c>
      <c r="I97" s="14">
        <v>5.2169366827535625E-8</v>
      </c>
      <c r="J97" s="14">
        <v>4.1274540593695624E-6</v>
      </c>
      <c r="K97" s="14">
        <v>0</v>
      </c>
    </row>
    <row r="98" spans="1:11">
      <c r="A98" s="2" t="s">
        <v>474</v>
      </c>
      <c r="B98" s="3" t="s">
        <v>475</v>
      </c>
      <c r="D98" s="14">
        <v>5.9103619710021231E-24</v>
      </c>
      <c r="E98" s="14">
        <v>2.9853220544737538E-6</v>
      </c>
      <c r="F98" s="14">
        <v>1.1593985788904199E-4</v>
      </c>
      <c r="G98" s="14">
        <v>2.0612388484737355E-5</v>
      </c>
      <c r="H98" s="14">
        <v>0</v>
      </c>
      <c r="I98" s="14">
        <v>8.8553626488542014E-7</v>
      </c>
      <c r="J98" s="14">
        <v>9.5768953068614743E-6</v>
      </c>
      <c r="K98" s="14">
        <v>0</v>
      </c>
    </row>
    <row r="99" spans="1:11">
      <c r="A99" s="2" t="s">
        <v>476</v>
      </c>
      <c r="B99" s="3" t="s">
        <v>477</v>
      </c>
      <c r="D99" s="14">
        <v>2.0401769520112162E-11</v>
      </c>
      <c r="E99" s="14">
        <v>1.4940493640504707E-4</v>
      </c>
      <c r="F99" s="14">
        <v>1.2436166311563277E-8</v>
      </c>
      <c r="G99" s="14">
        <v>5.7833846330157865E-9</v>
      </c>
      <c r="H99" s="14">
        <v>0</v>
      </c>
      <c r="I99" s="14">
        <v>4.4619197309832473E-8</v>
      </c>
      <c r="J99" s="14">
        <v>5.322044449289533E-7</v>
      </c>
      <c r="K99" s="14">
        <v>0</v>
      </c>
    </row>
    <row r="100" spans="1:11">
      <c r="A100" s="2" t="s">
        <v>478</v>
      </c>
      <c r="B100" s="3" t="s">
        <v>479</v>
      </c>
      <c r="D100" s="14">
        <v>7.33576775700399E-15</v>
      </c>
      <c r="E100" s="14">
        <v>7.5718618842071238E-5</v>
      </c>
      <c r="F100" s="14">
        <v>3.8874450021374604E-5</v>
      </c>
      <c r="G100" s="14">
        <v>9.5051683500438405E-6</v>
      </c>
      <c r="H100" s="14">
        <v>0</v>
      </c>
      <c r="I100" s="14">
        <v>4.1842950799079739E-7</v>
      </c>
      <c r="J100" s="14">
        <v>2.5483333271183741E-5</v>
      </c>
      <c r="K100" s="14">
        <v>0</v>
      </c>
    </row>
    <row r="101" spans="1:11">
      <c r="A101" s="2" t="s">
        <v>480</v>
      </c>
      <c r="B101" s="3" t="s">
        <v>481</v>
      </c>
      <c r="D101" s="14">
        <v>5.5071464555219926E-15</v>
      </c>
      <c r="E101" s="14">
        <v>1.4901285517334364E-4</v>
      </c>
      <c r="F101" s="14">
        <v>3.3724483764442374E-8</v>
      </c>
      <c r="G101" s="14">
        <v>1.4569373125107073E-8</v>
      </c>
      <c r="H101" s="14">
        <v>0</v>
      </c>
      <c r="I101" s="14">
        <v>4.4851442327900752E-8</v>
      </c>
      <c r="J101" s="14">
        <v>8.9399952193173137E-7</v>
      </c>
      <c r="K101" s="14">
        <v>0</v>
      </c>
    </row>
    <row r="102" spans="1:11">
      <c r="A102" s="2" t="s">
        <v>482</v>
      </c>
      <c r="B102" s="3" t="s">
        <v>483</v>
      </c>
      <c r="D102" s="14">
        <v>3.4406505508098748E-31</v>
      </c>
      <c r="E102" s="14">
        <v>1.4972615632343459E-4</v>
      </c>
      <c r="F102" s="14">
        <v>2.392540235778781E-9</v>
      </c>
      <c r="G102" s="14">
        <v>1.256477758913097E-9</v>
      </c>
      <c r="H102" s="14">
        <v>0</v>
      </c>
      <c r="I102" s="14">
        <v>4.4536403171714703E-8</v>
      </c>
      <c r="J102" s="14">
        <v>2.2565825539898936E-7</v>
      </c>
      <c r="K102" s="14">
        <v>0</v>
      </c>
    </row>
    <row r="103" spans="1:11">
      <c r="A103" s="2" t="s">
        <v>484</v>
      </c>
      <c r="B103" s="3" t="s">
        <v>485</v>
      </c>
      <c r="D103" s="14">
        <v>2.7515059496464686E-17</v>
      </c>
      <c r="E103" s="14">
        <v>1.4942303943997769E-4</v>
      </c>
      <c r="F103" s="14">
        <v>1.1683935223449996E-8</v>
      </c>
      <c r="G103" s="14">
        <v>5.458643049304896E-9</v>
      </c>
      <c r="H103" s="14">
        <v>0</v>
      </c>
      <c r="I103" s="14">
        <v>4.4611739065218455E-8</v>
      </c>
      <c r="J103" s="14">
        <v>5.1520624265675964E-7</v>
      </c>
      <c r="K103" s="14">
        <v>0</v>
      </c>
    </row>
    <row r="104" spans="1:11">
      <c r="A104" s="2" t="s">
        <v>486</v>
      </c>
      <c r="B104" s="3" t="s">
        <v>487</v>
      </c>
      <c r="D104" s="14">
        <v>3.4611683252890643E-13</v>
      </c>
      <c r="E104" s="14">
        <v>1.465344810542003E-4</v>
      </c>
      <c r="F104" s="14">
        <v>3.3934496123545331E-7</v>
      </c>
      <c r="G104" s="14">
        <v>1.2351990822837051E-7</v>
      </c>
      <c r="H104" s="14">
        <v>0</v>
      </c>
      <c r="I104" s="14">
        <v>4.8498031570087804E-8</v>
      </c>
      <c r="J104" s="14">
        <v>2.9541556986489471E-6</v>
      </c>
      <c r="K104" s="14">
        <v>0</v>
      </c>
    </row>
    <row r="105" spans="1:11">
      <c r="A105" s="2" t="s">
        <v>488</v>
      </c>
      <c r="B105" s="3" t="s">
        <v>489</v>
      </c>
      <c r="D105" s="14">
        <v>2.7374453604887596E-20</v>
      </c>
      <c r="E105" s="14">
        <v>1.4967958466093374E-4</v>
      </c>
      <c r="F105" s="14">
        <v>3.3944087925650642E-9</v>
      </c>
      <c r="G105" s="14">
        <v>1.7372395145420481E-9</v>
      </c>
      <c r="H105" s="14">
        <v>0</v>
      </c>
      <c r="I105" s="14">
        <v>4.454138713089661E-8</v>
      </c>
      <c r="J105" s="14">
        <v>2.7074230362818043E-7</v>
      </c>
      <c r="K105" s="14">
        <v>0</v>
      </c>
    </row>
    <row r="106" spans="1:11">
      <c r="A106" s="2" t="s">
        <v>490</v>
      </c>
      <c r="B106" s="3" t="s">
        <v>491</v>
      </c>
      <c r="D106" s="14">
        <v>1.619611867788817E-12</v>
      </c>
      <c r="E106" s="14">
        <v>1.3493607099219056E-4</v>
      </c>
      <c r="F106" s="14">
        <v>3.8091636801422251E-6</v>
      </c>
      <c r="G106" s="14">
        <v>1.1532545855304772E-6</v>
      </c>
      <c r="H106" s="14">
        <v>0</v>
      </c>
      <c r="I106" s="14">
        <v>8.7185755887143923E-8</v>
      </c>
      <c r="J106" s="14">
        <v>1.0014323366637721E-5</v>
      </c>
      <c r="K106" s="14">
        <v>0</v>
      </c>
    </row>
    <row r="107" spans="1:11">
      <c r="A107" s="2" t="s">
        <v>492</v>
      </c>
      <c r="B107" s="3" t="s">
        <v>493</v>
      </c>
      <c r="D107" s="14">
        <v>2.7488409375459396E-20</v>
      </c>
      <c r="E107" s="14">
        <v>2.1965784572804102E-6</v>
      </c>
      <c r="F107" s="14">
        <v>1.1807781126701556E-4</v>
      </c>
      <c r="G107" s="14">
        <v>2.0495751634057179E-5</v>
      </c>
      <c r="H107" s="14">
        <v>0</v>
      </c>
      <c r="I107" s="14">
        <v>8.8228478170529582E-7</v>
      </c>
      <c r="J107" s="14">
        <v>8.3475738599414861E-6</v>
      </c>
      <c r="K107" s="14">
        <v>0</v>
      </c>
    </row>
    <row r="108" spans="1:11">
      <c r="A108" s="2" t="s">
        <v>291</v>
      </c>
      <c r="B108" s="3" t="s">
        <v>494</v>
      </c>
      <c r="D108" s="14">
        <v>4.1849473573634495E-14</v>
      </c>
      <c r="E108" s="14">
        <v>8.6354924606454273E-5</v>
      </c>
      <c r="F108" s="14">
        <v>3.123983156737866E-5</v>
      </c>
      <c r="G108" s="14">
        <v>7.8379815895902949E-6</v>
      </c>
      <c r="H108" s="14">
        <v>0</v>
      </c>
      <c r="I108" s="14">
        <v>3.5135967198871405E-7</v>
      </c>
      <c r="J108" s="14">
        <v>2.4215902522738552E-5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001-AAD6-42E7-86DD-E3F428552F68}">
  <dimension ref="A1:D108"/>
  <sheetViews>
    <sheetView tabSelected="1" topLeftCell="A76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1.1207328480840904E-7</v>
      </c>
      <c r="B2">
        <f>'Mass Balance'!E2</f>
        <v>1.2929200102137237E-4</v>
      </c>
      <c r="C2">
        <f>SUM('Mass Balance'!E2:H2)</f>
        <v>1.3726001793517214E-4</v>
      </c>
      <c r="D2">
        <f>Concentrations!F2/Concentrations!E2</f>
        <v>0.94563593622416309</v>
      </c>
    </row>
    <row r="3" spans="1:4">
      <c r="A3">
        <f>'Mass Balance'!I3</f>
        <v>4.5425055038538578E-6</v>
      </c>
      <c r="B3">
        <f>'Mass Balance'!E3</f>
        <v>1.0146131603204065E-7</v>
      </c>
      <c r="C3">
        <f>SUM('Mass Balance'!E3:H3)</f>
        <v>1.3966183242565962E-4</v>
      </c>
      <c r="D3">
        <f>Concentrations!F3/Concentrations!E3</f>
        <v>7.2932166972692724E-4</v>
      </c>
    </row>
    <row r="4" spans="1:4">
      <c r="A4">
        <f>'Mass Balance'!I4</f>
        <v>4.8413647682573115E-7</v>
      </c>
      <c r="B4">
        <f>'Mass Balance'!E4</f>
        <v>6.5607099308765134E-5</v>
      </c>
      <c r="C4">
        <f>SUM('Mass Balance'!E4:H4)</f>
        <v>1.2335907704861496E-4</v>
      </c>
      <c r="D4">
        <f>Concentrations!F4/Concentrations!E4</f>
        <v>0.53391987495413606</v>
      </c>
    </row>
    <row r="5" spans="1:4">
      <c r="A5">
        <f>'Mass Balance'!I5</f>
        <v>1.3627978244738527E-6</v>
      </c>
      <c r="B5">
        <f>'Mass Balance'!E5</f>
        <v>1.1073333450189616E-6</v>
      </c>
      <c r="C5">
        <f>SUM('Mass Balance'!E5:H5)</f>
        <v>1.407559291489905E-4</v>
      </c>
      <c r="D5">
        <f>Concentrations!F5/Concentrations!E5</f>
        <v>7.8978347458445244E-3</v>
      </c>
    </row>
    <row r="6" spans="1:4">
      <c r="A6">
        <f>'Mass Balance'!I6</f>
        <v>5.2449659731862294E-6</v>
      </c>
      <c r="B6">
        <f>'Mass Balance'!E6</f>
        <v>4.4994227117189624E-8</v>
      </c>
      <c r="C6">
        <f>SUM('Mass Balance'!E6:H6)</f>
        <v>1.4069527928599259E-4</v>
      </c>
      <c r="D6">
        <f>Concentrations!F6/Concentrations!E6</f>
        <v>3.2105070844138669E-4</v>
      </c>
    </row>
    <row r="7" spans="1:4">
      <c r="A7">
        <f>'Mass Balance'!I7</f>
        <v>4.6683953875126899E-6</v>
      </c>
      <c r="B7">
        <f>'Mass Balance'!E7</f>
        <v>9.0647333131559511E-8</v>
      </c>
      <c r="C7">
        <f>SUM('Mass Balance'!E7:H7)</f>
        <v>1.4014811112874546E-4</v>
      </c>
      <c r="D7">
        <f>Concentrations!F7/Concentrations!E7</f>
        <v>6.4932802139476553E-4</v>
      </c>
    </row>
    <row r="8" spans="1:4">
      <c r="A8">
        <f>'Mass Balance'!I8</f>
        <v>3.7625791625552426E-6</v>
      </c>
      <c r="B8">
        <f>'Mass Balance'!E8</f>
        <v>2.0401578821432895E-7</v>
      </c>
      <c r="C8">
        <f>SUM('Mass Balance'!E8:H8)</f>
        <v>1.3964531059815644E-4</v>
      </c>
      <c r="D8">
        <f>Concentrations!F8/Concentrations!E8</f>
        <v>1.4666746427414959E-3</v>
      </c>
    </row>
    <row r="9" spans="1:4">
      <c r="A9">
        <f>'Mass Balance'!I9</f>
        <v>8.5974315257742759E-7</v>
      </c>
      <c r="B9">
        <f>'Mass Balance'!E9</f>
        <v>1.019441246125595E-5</v>
      </c>
      <c r="C9">
        <f>SUM('Mass Balance'!E9:H9)</f>
        <v>1.3294756104495581E-4</v>
      </c>
      <c r="D9">
        <f>Concentrations!F9/Concentrations!E9</f>
        <v>7.6980049987451254E-2</v>
      </c>
    </row>
    <row r="10" spans="1:4">
      <c r="A10">
        <f>'Mass Balance'!I10</f>
        <v>1.457909123567658E-6</v>
      </c>
      <c r="B10">
        <f>'Mass Balance'!E10</f>
        <v>1.0298571179056297E-6</v>
      </c>
      <c r="C10">
        <f>SUM('Mass Balance'!E10:H10)</f>
        <v>1.4063091447312089E-4</v>
      </c>
      <c r="D10">
        <f>Concentrations!F10/Concentrations!E10</f>
        <v>7.3517805761136139E-3</v>
      </c>
    </row>
    <row r="11" spans="1:4">
      <c r="A11">
        <f>'Mass Balance'!I11</f>
        <v>1.6260476628358376E-6</v>
      </c>
      <c r="B11">
        <f>'Mass Balance'!E11</f>
        <v>9.0958135884226254E-7</v>
      </c>
      <c r="C11">
        <f>SUM('Mass Balance'!E11:H11)</f>
        <v>1.4040427967827463E-4</v>
      </c>
      <c r="D11">
        <f>Concentrations!F11/Concentrations!E11</f>
        <v>6.5036560878853969E-3</v>
      </c>
    </row>
    <row r="12" spans="1:4">
      <c r="A12">
        <f>'Mass Balance'!I12</f>
        <v>8.7919734036745271E-7</v>
      </c>
      <c r="B12">
        <f>'Mass Balance'!E12</f>
        <v>6.3948921933024419E-6</v>
      </c>
      <c r="C12">
        <f>SUM('Mass Balance'!E12:H12)</f>
        <v>1.3576985388398494E-4</v>
      </c>
      <c r="D12">
        <f>Concentrations!F12/Concentrations!E12</f>
        <v>4.728530984048708E-2</v>
      </c>
    </row>
    <row r="13" spans="1:4">
      <c r="A13">
        <f>'Mass Balance'!I13</f>
        <v>8.6220049562823838E-7</v>
      </c>
      <c r="B13">
        <f>'Mass Balance'!E13</f>
        <v>9.7589062821846595E-6</v>
      </c>
      <c r="C13">
        <f>SUM('Mass Balance'!E13:H13)</f>
        <v>1.3321978380815029E-4</v>
      </c>
      <c r="D13">
        <f>Concentrations!F13/Concentrations!E13</f>
        <v>7.3540873690213074E-2</v>
      </c>
    </row>
    <row r="14" spans="1:4">
      <c r="A14">
        <f>'Mass Balance'!I14</f>
        <v>2.2209543364366408E-6</v>
      </c>
      <c r="B14">
        <f>'Mass Balance'!E14</f>
        <v>6.0266369049373293E-7</v>
      </c>
      <c r="C14">
        <f>SUM('Mass Balance'!E14:H14)</f>
        <v>1.3987309076351405E-4</v>
      </c>
      <c r="D14">
        <f>Concentrations!F14/Concentrations!E14</f>
        <v>4.3255089750456237E-3</v>
      </c>
    </row>
    <row r="15" spans="1:4">
      <c r="A15">
        <f>'Mass Balance'!I15</f>
        <v>1.5404922705472877E-6</v>
      </c>
      <c r="B15">
        <f>'Mass Balance'!E15</f>
        <v>9.6836153403055134E-7</v>
      </c>
      <c r="C15">
        <f>SUM('Mass Balance'!E15:H15)</f>
        <v>1.4052003473554063E-4</v>
      </c>
      <c r="D15">
        <f>Concentrations!F15/Concentrations!E15</f>
        <v>6.9182403118300557E-3</v>
      </c>
    </row>
    <row r="16" spans="1:4">
      <c r="A16">
        <f>'Mass Balance'!I16</f>
        <v>3.7172065191527774E-6</v>
      </c>
      <c r="B16">
        <f>'Mass Balance'!E16</f>
        <v>2.1118681744996497E-7</v>
      </c>
      <c r="C16">
        <f>SUM('Mass Balance'!E16:H16)</f>
        <v>1.3960302304181642E-4</v>
      </c>
      <c r="D16">
        <f>Concentrations!F16/Concentrations!E16</f>
        <v>1.5186872432767797E-3</v>
      </c>
    </row>
    <row r="17" spans="1:4">
      <c r="A17">
        <f>'Mass Balance'!I17</f>
        <v>1.3940553272853817E-6</v>
      </c>
      <c r="B17">
        <f>'Mass Balance'!E17</f>
        <v>1.0810863403524137E-6</v>
      </c>
      <c r="C17">
        <f>SUM('Mass Balance'!E17:H17)</f>
        <v>1.4071942465901575E-4</v>
      </c>
      <c r="D17">
        <f>Concentrations!F17/Concentrations!E17</f>
        <v>7.7126334484831213E-3</v>
      </c>
    </row>
    <row r="18" spans="1:4">
      <c r="A18">
        <f>'Mass Balance'!I18</f>
        <v>8.4433581347095435E-7</v>
      </c>
      <c r="B18">
        <f>'Mass Balance'!E18</f>
        <v>1.2341493053078553E-5</v>
      </c>
      <c r="C18">
        <f>SUM('Mass Balance'!E18:H18)</f>
        <v>1.3132539388628853E-4</v>
      </c>
      <c r="D18">
        <f>Concentrations!F18/Concentrations!E18</f>
        <v>9.4344231965447362E-2</v>
      </c>
    </row>
    <row r="19" spans="1:4">
      <c r="A19">
        <f>'Mass Balance'!I19</f>
        <v>1.5573796701397012E-6</v>
      </c>
      <c r="B19">
        <f>'Mass Balance'!E19</f>
        <v>9.5639799030981329E-7</v>
      </c>
      <c r="C19">
        <f>SUM('Mass Balance'!E19:H19)</f>
        <v>1.4049834492333994E-4</v>
      </c>
      <c r="D19">
        <f>Concentrations!F19/Concentrations!E19</f>
        <v>6.8338243025118017E-3</v>
      </c>
    </row>
    <row r="20" spans="1:4">
      <c r="A20">
        <f>'Mass Balance'!I20</f>
        <v>8.623031076420022E-7</v>
      </c>
      <c r="B20">
        <f>'Mass Balance'!E20</f>
        <v>9.7600677069702249E-6</v>
      </c>
      <c r="C20">
        <f>SUM('Mass Balance'!E20:H20)</f>
        <v>1.3323563853145313E-4</v>
      </c>
      <c r="D20">
        <f>Concentrations!F20/Concentrations!E20</f>
        <v>7.3540873690213074E-2</v>
      </c>
    </row>
    <row r="21" spans="1:4">
      <c r="A21">
        <f>'Mass Balance'!I21</f>
        <v>2.0370828424599907E-6</v>
      </c>
      <c r="B21">
        <f>'Mass Balance'!E21</f>
        <v>6.8195951876684656E-7</v>
      </c>
      <c r="C21">
        <f>SUM('Mass Balance'!E21:H21)</f>
        <v>1.3995779767187578E-4</v>
      </c>
      <c r="D21">
        <f>Concentrations!F21/Concentrations!E21</f>
        <v>4.8916779614992965E-3</v>
      </c>
    </row>
    <row r="22" spans="1:4">
      <c r="A22">
        <f>'Mass Balance'!I22</f>
        <v>2.6279812826585033E-7</v>
      </c>
      <c r="B22">
        <f>'Mass Balance'!E22</f>
        <v>1.0078045265990346E-4</v>
      </c>
      <c r="C22">
        <f>SUM('Mass Balance'!E22:H22)</f>
        <v>1.2796872367693284E-4</v>
      </c>
      <c r="D22">
        <f>Concentrations!F22/Concentrations!E22</f>
        <v>0.79062187913500204</v>
      </c>
    </row>
    <row r="23" spans="1:4">
      <c r="A23">
        <f>'Mass Balance'!I23</f>
        <v>1.4929065370459983E-7</v>
      </c>
      <c r="B23">
        <f>'Mass Balance'!E23</f>
        <v>1.2166278945903145E-4</v>
      </c>
      <c r="C23">
        <f>SUM('Mass Balance'!E23:H23)</f>
        <v>1.3423070256732067E-4</v>
      </c>
      <c r="D23">
        <f>Concentrations!F23/Concentrations!E23</f>
        <v>0.90991802583642012</v>
      </c>
    </row>
    <row r="24" spans="1:4">
      <c r="A24">
        <f>'Mass Balance'!I24</f>
        <v>7.1480293569595538E-7</v>
      </c>
      <c r="B24">
        <f>'Mass Balance'!E24</f>
        <v>3.1742607897294733E-5</v>
      </c>
      <c r="C24">
        <f>SUM('Mass Balance'!E24:H24)</f>
        <v>1.2530778942683075E-4</v>
      </c>
      <c r="D24">
        <f>Concentrations!F24/Concentrations!E24</f>
        <v>0.25430851284398487</v>
      </c>
    </row>
    <row r="25" spans="1:4">
      <c r="A25">
        <f>'Mass Balance'!I25</f>
        <v>8.7613348090246635E-7</v>
      </c>
      <c r="B25">
        <f>'Mass Balance'!E25</f>
        <v>3.3970516545464449E-6</v>
      </c>
      <c r="C25">
        <f>SUM('Mass Balance'!E25:H25)</f>
        <v>1.3735786402756207E-4</v>
      </c>
      <c r="D25">
        <f>Concentrations!F25/Concentrations!E25</f>
        <v>2.4828185657071927E-2</v>
      </c>
    </row>
    <row r="26" spans="1:4">
      <c r="A26">
        <f>'Mass Balance'!I26</f>
        <v>1.9196378049216004E-6</v>
      </c>
      <c r="B26">
        <f>'Mass Balance'!E26</f>
        <v>7.3922669835403819E-7</v>
      </c>
      <c r="C26">
        <f>SUM('Mass Balance'!E26:H26)</f>
        <v>1.4006682466858315E-4</v>
      </c>
      <c r="D26">
        <f>Concentrations!F26/Concentrations!E26</f>
        <v>5.2983265655727274E-3</v>
      </c>
    </row>
    <row r="27" spans="1:4">
      <c r="A27">
        <f>'Mass Balance'!I27</f>
        <v>4.4497891581241361E-6</v>
      </c>
      <c r="B27">
        <f>'Mass Balance'!E27</f>
        <v>1.1169292450922151E-7</v>
      </c>
      <c r="C27">
        <f>SUM('Mass Balance'!E27:H27)</f>
        <v>1.3971841533128439E-4</v>
      </c>
      <c r="D27">
        <f>Concentrations!F27/Concentrations!E27</f>
        <v>8.0254311530271666E-4</v>
      </c>
    </row>
    <row r="28" spans="1:4">
      <c r="A28">
        <f>'Mass Balance'!I28</f>
        <v>2.8086742838772228E-6</v>
      </c>
      <c r="B28">
        <f>'Mass Balance'!E28</f>
        <v>4.058663281751762E-7</v>
      </c>
      <c r="C28">
        <f>SUM('Mass Balance'!E28:H28)</f>
        <v>1.3961121937714984E-4</v>
      </c>
      <c r="D28">
        <f>Concentrations!F28/Concentrations!E28</f>
        <v>2.9184957454671031E-3</v>
      </c>
    </row>
    <row r="29" spans="1:4">
      <c r="A29">
        <f>'Mass Balance'!I29</f>
        <v>2.1102191030480866E-6</v>
      </c>
      <c r="B29">
        <f>'Mass Balance'!E29</f>
        <v>6.1414088418757984E-7</v>
      </c>
      <c r="C29">
        <f>SUM('Mass Balance'!E29:H29)</f>
        <v>1.3675095489180012E-4</v>
      </c>
      <c r="D29">
        <f>Concentrations!F29/Concentrations!E29</f>
        <v>4.5085200424820789E-3</v>
      </c>
    </row>
    <row r="30" spans="1:4">
      <c r="A30">
        <f>'Mass Balance'!I30</f>
        <v>2.8086742838772228E-6</v>
      </c>
      <c r="B30">
        <f>'Mass Balance'!E30</f>
        <v>4.058663281751762E-7</v>
      </c>
      <c r="C30">
        <f>SUM('Mass Balance'!E30:H30)</f>
        <v>1.3961121937714984E-4</v>
      </c>
      <c r="D30">
        <f>Concentrations!F30/Concentrations!E30</f>
        <v>2.9184957454671031E-3</v>
      </c>
    </row>
    <row r="31" spans="1:4">
      <c r="A31">
        <f>'Mass Balance'!I31</f>
        <v>4.5529515667271723E-8</v>
      </c>
      <c r="B31">
        <f>'Mass Balance'!E31</f>
        <v>1.4832779003602395E-4</v>
      </c>
      <c r="C31">
        <f>SUM('Mass Balance'!E31:H31)</f>
        <v>1.484556936399551E-4</v>
      </c>
      <c r="D31">
        <f>Concentrations!F31/Concentrations!E31</f>
        <v>1.0030487243621815</v>
      </c>
    </row>
    <row r="32" spans="1:4">
      <c r="A32">
        <f>'Mass Balance'!I32</f>
        <v>3.9752167004438394E-7</v>
      </c>
      <c r="B32">
        <f>'Mass Balance'!E32</f>
        <v>7.9873869922150712E-5</v>
      </c>
      <c r="C32">
        <f>SUM('Mass Balance'!E32:H32)</f>
        <v>1.2463392634435232E-4</v>
      </c>
      <c r="D32">
        <f>Concentrations!F32/Concentrations!E32</f>
        <v>0.64337593466145515</v>
      </c>
    </row>
    <row r="33" spans="1:4">
      <c r="A33">
        <f>'Mass Balance'!I33</f>
        <v>4.4917170655551964E-8</v>
      </c>
      <c r="B33">
        <f>'Mass Balance'!E33</f>
        <v>1.4932109883058955E-4</v>
      </c>
      <c r="C33">
        <f>SUM('Mass Balance'!E33:H33)</f>
        <v>1.49951468829023E-4</v>
      </c>
      <c r="D33">
        <f>Concentrations!F33/Concentrations!E33</f>
        <v>0.99969337789726764</v>
      </c>
    </row>
    <row r="34" spans="1:4">
      <c r="A34">
        <f>'Mass Balance'!I34</f>
        <v>6.6165178530738941E-8</v>
      </c>
      <c r="B34">
        <f>'Mass Balance'!E34</f>
        <v>8.211600260238498E-5</v>
      </c>
      <c r="C34">
        <f>SUM('Mass Balance'!E34:H34)</f>
        <v>1.4992152074692411E-4</v>
      </c>
      <c r="D34">
        <f>Concentrations!F34/Concentrations!E34</f>
        <v>0.54987019915558144</v>
      </c>
    </row>
    <row r="35" spans="1:4">
      <c r="A35">
        <f>'Mass Balance'!I35</f>
        <v>7.3678248835212344E-8</v>
      </c>
      <c r="B35">
        <f>'Mass Balance'!E35</f>
        <v>4.861910093546319E-5</v>
      </c>
      <c r="C35">
        <f>SUM('Mass Balance'!E35:H35)</f>
        <v>1.4989651241813072E-4</v>
      </c>
      <c r="D35">
        <f>Concentrations!F35/Concentrations!E35</f>
        <v>0.32562051399863751</v>
      </c>
    </row>
    <row r="36" spans="1:4">
      <c r="A36">
        <f>'Mass Balance'!I36</f>
        <v>7.6947178964620554E-8</v>
      </c>
      <c r="B36">
        <f>'Mass Balance'!E36</f>
        <v>1.6217879669017124E-5</v>
      </c>
      <c r="C36">
        <f>SUM('Mass Balance'!E36:H36)</f>
        <v>1.4988973459454627E-4</v>
      </c>
      <c r="D36">
        <f>Concentrations!F36/Concentrations!E36</f>
        <v>0.10862218771257089</v>
      </c>
    </row>
    <row r="37" spans="1:4">
      <c r="A37">
        <f>'Mass Balance'!I37</f>
        <v>2.1772431735970801E-7</v>
      </c>
      <c r="B37">
        <f>'Mass Balance'!E37</f>
        <v>3.2511187209773312E-5</v>
      </c>
      <c r="C37">
        <f>SUM('Mass Balance'!E37:H37)</f>
        <v>1.4512040389818442E-4</v>
      </c>
      <c r="D37">
        <f>Concentrations!F37/Concentrations!E37</f>
        <v>0.22490582970047904</v>
      </c>
    </row>
    <row r="38" spans="1:4">
      <c r="A38">
        <f>'Mass Balance'!I38</f>
        <v>6.5240819275062052E-8</v>
      </c>
      <c r="B38">
        <f>'Mass Balance'!E38</f>
        <v>9.2045159638223082E-5</v>
      </c>
      <c r="C38">
        <f>SUM('Mass Balance'!E38:H38)</f>
        <v>1.4981553729176449E-4</v>
      </c>
      <c r="D38">
        <f>Concentrations!F38/Concentrations!E38</f>
        <v>0.61679445598249316</v>
      </c>
    </row>
    <row r="39" spans="1:4">
      <c r="A39">
        <f>'Mass Balance'!I39</f>
        <v>8.980564676571635E-7</v>
      </c>
      <c r="B39">
        <f>'Mass Balance'!E39</f>
        <v>1.651065013853477E-6</v>
      </c>
      <c r="C39">
        <f>SUM('Mass Balance'!E39:H39)</f>
        <v>1.4166725040034436E-4</v>
      </c>
      <c r="D39">
        <f>Concentrations!F39/Concentrations!E39</f>
        <v>1.1700140373438877E-2</v>
      </c>
    </row>
    <row r="40" spans="1:4">
      <c r="A40">
        <f>'Mass Balance'!I40</f>
        <v>5.190655041702956E-6</v>
      </c>
      <c r="B40">
        <f>'Mass Balance'!E40</f>
        <v>1.4767243109978596E-7</v>
      </c>
      <c r="C40">
        <f>SUM('Mass Balance'!E40:H40)</f>
        <v>1.4463053249052683E-4</v>
      </c>
      <c r="D40">
        <f>Concentrations!F40/Concentrations!E40</f>
        <v>1.0250281720648681E-3</v>
      </c>
    </row>
    <row r="41" spans="1:4">
      <c r="A41">
        <f>'Mass Balance'!I41</f>
        <v>4.1655054658715165E-8</v>
      </c>
      <c r="B41">
        <f>'Mass Balance'!E41</f>
        <v>1.3991157048772593E-4</v>
      </c>
      <c r="C41">
        <f>SUM('Mass Balance'!E41:H41)</f>
        <v>1.3991799798230818E-4</v>
      </c>
      <c r="D41">
        <f>Concentrations!F41/Concentrations!E41</f>
        <v>1.0038675396339611</v>
      </c>
    </row>
    <row r="42" spans="1:4">
      <c r="A42">
        <f>'Mass Balance'!I42</f>
        <v>2.9888176266034448E-7</v>
      </c>
      <c r="B42">
        <f>'Mass Balance'!E42</f>
        <v>9.4955359224511683E-5</v>
      </c>
      <c r="C42">
        <f>SUM('Mass Balance'!E42:H42)</f>
        <v>1.2692849407893516E-4</v>
      </c>
      <c r="D42">
        <f>Concentrations!F42/Concentrations!E42</f>
        <v>0.75102901537292632</v>
      </c>
    </row>
    <row r="43" spans="1:4">
      <c r="A43">
        <f>'Mass Balance'!I43</f>
        <v>1.5415229316232436E-7</v>
      </c>
      <c r="B43">
        <f>'Mass Balance'!E43</f>
        <v>1.321573404578064E-6</v>
      </c>
      <c r="C43">
        <f>SUM('Mass Balance'!E43:H43)</f>
        <v>1.4981916357603004E-4</v>
      </c>
      <c r="D43">
        <f>Concentrations!F43/Concentrations!E43</f>
        <v>8.8556467538360335E-3</v>
      </c>
    </row>
    <row r="44" spans="1:4">
      <c r="A44">
        <f>'Mass Balance'!I44</f>
        <v>7.7439715117464778E-8</v>
      </c>
      <c r="B44">
        <f>'Mass Balance'!E44</f>
        <v>1.2591308567404263E-4</v>
      </c>
      <c r="C44">
        <f>SUM('Mass Balance'!E44:H44)</f>
        <v>1.3011011449789062E-4</v>
      </c>
      <c r="D44">
        <f>Concentrations!F44/Concentrations!E44</f>
        <v>0.97152989827926495</v>
      </c>
    </row>
    <row r="45" spans="1:4">
      <c r="A45">
        <f>'Mass Balance'!I45</f>
        <v>3.3306877136445296E-7</v>
      </c>
      <c r="B45">
        <f>'Mass Balance'!E45</f>
        <v>8.9230972265145792E-5</v>
      </c>
      <c r="C45">
        <f>SUM('Mass Balance'!E45:H45)</f>
        <v>1.2582097962011499E-4</v>
      </c>
      <c r="D45">
        <f>Concentrations!F45/Concentrations!E45</f>
        <v>0.71196546040949049</v>
      </c>
    </row>
    <row r="46" spans="1:4">
      <c r="A46">
        <f>'Mass Balance'!I46</f>
        <v>3.1090338245186195E-7</v>
      </c>
      <c r="B46">
        <f>'Mass Balance'!E46</f>
        <v>9.268780339244872E-5</v>
      </c>
      <c r="C46">
        <f>SUM('Mass Balance'!E46:H46)</f>
        <v>1.2629091270920269E-4</v>
      </c>
      <c r="D46">
        <f>Concentrations!F46/Concentrations!E46</f>
        <v>0.73679530590858944</v>
      </c>
    </row>
    <row r="47" spans="1:4">
      <c r="A47">
        <f>'Mass Balance'!I47</f>
        <v>4.5556358453378327E-6</v>
      </c>
      <c r="B47">
        <f>'Mass Balance'!E47</f>
        <v>1.0175459508823197E-7</v>
      </c>
      <c r="C47">
        <f>SUM('Mass Balance'!E47:H47)</f>
        <v>1.4006553200301194E-4</v>
      </c>
      <c r="D47">
        <f>Concentrations!F47/Concentrations!E47</f>
        <v>7.2932166972692724E-4</v>
      </c>
    </row>
    <row r="48" spans="1:4">
      <c r="A48">
        <f>'Mass Balance'!I48</f>
        <v>5.5646646886948807E-8</v>
      </c>
      <c r="B48">
        <f>'Mass Balance'!E48</f>
        <v>1.420999742585932E-4</v>
      </c>
      <c r="C48">
        <f>SUM('Mass Balance'!E48:H48)</f>
        <v>1.4342075424537954E-4</v>
      </c>
      <c r="D48">
        <f>Concentrations!F48/Concentrations!E48</f>
        <v>0.99466848831057508</v>
      </c>
    </row>
    <row r="49" spans="1:4">
      <c r="A49">
        <f>'Mass Balance'!I49</f>
        <v>6.4363671016505248E-8</v>
      </c>
      <c r="B49">
        <f>'Mass Balance'!E49</f>
        <v>1.3799182915287363E-4</v>
      </c>
      <c r="C49">
        <f>SUM('Mass Balance'!E49:H49)</f>
        <v>1.4036129111140292E-4</v>
      </c>
      <c r="D49">
        <f>Concentrations!F49/Concentrations!E49</f>
        <v>0.98696642602903828</v>
      </c>
    </row>
    <row r="50" spans="1:4">
      <c r="A50">
        <f>'Mass Balance'!I50</f>
        <v>8.3653689748903814E-7</v>
      </c>
      <c r="B50">
        <f>'Mass Balance'!E50</f>
        <v>1.3110107356382193E-5</v>
      </c>
      <c r="C50">
        <f>SUM('Mass Balance'!E50:H50)</f>
        <v>1.3047740514136058E-4</v>
      </c>
      <c r="D50">
        <f>Concentrations!F50/Concentrations!E50</f>
        <v>0.10087122598395439</v>
      </c>
    </row>
    <row r="51" spans="1:4">
      <c r="A51">
        <f>'Mass Balance'!I51</f>
        <v>4.3977673324213703E-8</v>
      </c>
      <c r="B51">
        <f>'Mass Balance'!E51</f>
        <v>1.3991027725736277E-4</v>
      </c>
      <c r="C51">
        <f>SUM('Mass Balance'!E51:H51)</f>
        <v>1.4012741603334372E-4</v>
      </c>
      <c r="D51">
        <f>Concentrations!F51/Concentrations!E51</f>
        <v>1.002358011511207</v>
      </c>
    </row>
    <row r="52" spans="1:4">
      <c r="A52">
        <f>'Mass Balance'!I52</f>
        <v>1.039797735312716E-7</v>
      </c>
      <c r="B52">
        <f>'Mass Balance'!E52</f>
        <v>1.2180137425761182E-4</v>
      </c>
      <c r="C52">
        <f>SUM('Mass Balance'!E52:H52)</f>
        <v>1.2912542529972914E-4</v>
      </c>
      <c r="D52">
        <f>Concentrations!F52/Concentrations!E52</f>
        <v>0.94697123184535303</v>
      </c>
    </row>
    <row r="53" spans="1:4">
      <c r="A53">
        <f>'Mass Balance'!I53</f>
        <v>4.5271150042667593E-7</v>
      </c>
      <c r="B53">
        <f>'Mass Balance'!E53</f>
        <v>7.0144339604218605E-5</v>
      </c>
      <c r="C53">
        <f>SUM('Mass Balance'!E53:H53)</f>
        <v>1.2340147901368159E-4</v>
      </c>
      <c r="D53">
        <f>Concentrations!F53/Concentrations!E53</f>
        <v>0.57064843187288905</v>
      </c>
    </row>
    <row r="54" spans="1:4">
      <c r="A54">
        <f>'Mass Balance'!I54</f>
        <v>4.1945816224524343E-6</v>
      </c>
      <c r="B54">
        <f>'Mass Balance'!E54</f>
        <v>1.4260846017624165E-7</v>
      </c>
      <c r="C54">
        <f>SUM('Mass Balance'!E54:H54)</f>
        <v>1.3981974166505108E-4</v>
      </c>
      <c r="D54">
        <f>Concentrations!F54/Concentrations!E54</f>
        <v>1.0239368137133335E-3</v>
      </c>
    </row>
    <row r="55" spans="1:4">
      <c r="A55">
        <f>'Mass Balance'!I55</f>
        <v>6.4437055412906319E-7</v>
      </c>
      <c r="B55">
        <f>'Mass Balance'!E55</f>
        <v>2.4919058085506904E-5</v>
      </c>
      <c r="C55">
        <f>SUM('Mass Balance'!E55:H55)</f>
        <v>1.1009318115306175E-4</v>
      </c>
      <c r="D55">
        <f>Concentrations!F55/Concentrations!E55</f>
        <v>0.22723099168919014</v>
      </c>
    </row>
    <row r="56" spans="1:4">
      <c r="A56">
        <f>'Mass Balance'!I56</f>
        <v>3.766510833568016E-7</v>
      </c>
      <c r="B56">
        <f>'Mass Balance'!E56</f>
        <v>2.9378108113133937E-6</v>
      </c>
      <c r="C56">
        <f>SUM('Mass Balance'!E56:H56)</f>
        <v>5.812561226477486E-5</v>
      </c>
      <c r="D56">
        <f>Concentrations!F56/Concentrations!E56</f>
        <v>5.0740255117250999E-2</v>
      </c>
    </row>
    <row r="57" spans="1:4">
      <c r="A57">
        <f>'Mass Balance'!I57</f>
        <v>1.9268672478048587E-7</v>
      </c>
      <c r="B57">
        <f>'Mass Balance'!E57</f>
        <v>5.5182406790556982E-6</v>
      </c>
      <c r="C57">
        <f>SUM('Mass Balance'!E57:H57)</f>
        <v>3.1515606893882289E-5</v>
      </c>
      <c r="D57">
        <f>Concentrations!F57/Concentrations!E57</f>
        <v>0.17578075519766784</v>
      </c>
    </row>
    <row r="58" spans="1:4">
      <c r="A58">
        <f>'Mass Balance'!I58</f>
        <v>5.7512157944926164E-9</v>
      </c>
      <c r="B58">
        <f>'Mass Balance'!E58</f>
        <v>1.1256430693931481E-5</v>
      </c>
      <c r="C58">
        <f>SUM('Mass Balance'!E58:H58)</f>
        <v>1.1503528366479529E-5</v>
      </c>
      <c r="D58">
        <f>Concentrations!F58/Concentrations!E58</f>
        <v>0.98234942729794861</v>
      </c>
    </row>
    <row r="59" spans="1:4">
      <c r="A59">
        <f>'Mass Balance'!I59</f>
        <v>7.4778760400365105E-8</v>
      </c>
      <c r="B59">
        <f>'Mass Balance'!E59</f>
        <v>2.2954309596614851E-6</v>
      </c>
      <c r="C59">
        <f>SUM('Mass Balance'!E59:H59)</f>
        <v>1.2337690561814438E-5</v>
      </c>
      <c r="D59">
        <f>Concentrations!F59/Concentrations!E59</f>
        <v>0.18677843130853472</v>
      </c>
    </row>
    <row r="60" spans="1:4">
      <c r="A60">
        <f>'Mass Balance'!I60</f>
        <v>1.3161025252231735E-9</v>
      </c>
      <c r="B60">
        <f>'Mass Balance'!E60</f>
        <v>8.6349119613784687E-8</v>
      </c>
      <c r="C60">
        <f>SUM('Mass Balance'!E60:H60)</f>
        <v>2.5368009445503071E-7</v>
      </c>
      <c r="D60">
        <f>Concentrations!F60/Concentrations!E60</f>
        <v>0.34171802338874774</v>
      </c>
    </row>
    <row r="61" spans="1:4">
      <c r="A61">
        <f>'Mass Balance'!I61</f>
        <v>5.7049120889741527E-7</v>
      </c>
      <c r="B61">
        <f>'Mass Balance'!E61</f>
        <v>5.2687253563283982E-5</v>
      </c>
      <c r="C61">
        <f>SUM('Mass Balance'!E61:H61)</f>
        <v>1.2321395049441346E-4</v>
      </c>
      <c r="D61">
        <f>Concentrations!F61/Concentrations!E61</f>
        <v>0.42928136943734024</v>
      </c>
    </row>
    <row r="62" spans="1:4">
      <c r="A62">
        <f>'Mass Balance'!I62</f>
        <v>2.1796769602507725E-6</v>
      </c>
      <c r="B62">
        <f>'Mass Balance'!E62</f>
        <v>6.1972297429104781E-7</v>
      </c>
      <c r="C62">
        <f>SUM('Mass Balance'!E62:H62)</f>
        <v>1.3990639897032225E-4</v>
      </c>
      <c r="D62">
        <f>Concentrations!F62/Concentrations!E62</f>
        <v>4.4468899351751282E-3</v>
      </c>
    </row>
    <row r="63" spans="1:4">
      <c r="A63">
        <f>'Mass Balance'!I63</f>
        <v>5.0947374471711588E-6</v>
      </c>
      <c r="B63">
        <f>'Mass Balance'!E63</f>
        <v>5.5195077846759118E-8</v>
      </c>
      <c r="C63">
        <f>SUM('Mass Balance'!E63:H63)</f>
        <v>1.4053202339156336E-4</v>
      </c>
      <c r="D63">
        <f>Concentrations!F63/Concentrations!E63</f>
        <v>3.9429513012256975E-4</v>
      </c>
    </row>
    <row r="64" spans="1:4">
      <c r="A64">
        <f>'Mass Balance'!I64</f>
        <v>5.7439366196267418E-6</v>
      </c>
      <c r="B64">
        <f>'Mass Balance'!E64</f>
        <v>1.8924516774018281E-8</v>
      </c>
      <c r="C64">
        <f>SUM('Mass Balance'!E64:H64)</f>
        <v>1.4134309864256866E-4</v>
      </c>
      <c r="D64">
        <f>Concentrations!F64/Concentrations!E64</f>
        <v>1.3441463378141346E-4</v>
      </c>
    </row>
    <row r="65" spans="1:4">
      <c r="A65">
        <f>'Mass Balance'!I65</f>
        <v>6.1897188089867229E-6</v>
      </c>
      <c r="B65">
        <f>'Mass Balance'!E65</f>
        <v>5.266876429125153E-9</v>
      </c>
      <c r="C65">
        <f>SUM('Mass Balance'!E65:H65)</f>
        <v>1.4208405209272204E-4</v>
      </c>
      <c r="D65">
        <f>Concentrations!F65/Concentrations!E65</f>
        <v>3.7213811818105847E-5</v>
      </c>
    </row>
    <row r="66" spans="1:4">
      <c r="A66">
        <f>'Mass Balance'!I66</f>
        <v>5.9673181825786918E-6</v>
      </c>
      <c r="B66">
        <f>'Mass Balance'!E66</f>
        <v>1.0969244719126508E-8</v>
      </c>
      <c r="C66">
        <f>SUM('Mass Balance'!E66:H66)</f>
        <v>1.4169422003856424E-4</v>
      </c>
      <c r="D66">
        <f>Concentrations!F66/Concentrations!E66</f>
        <v>7.7717881346988217E-5</v>
      </c>
    </row>
    <row r="67" spans="1:4">
      <c r="A67">
        <f>'Mass Balance'!I67</f>
        <v>9.0791133847713818E-8</v>
      </c>
      <c r="B67">
        <f>'Mass Balance'!E67</f>
        <v>1.3346329594454882E-4</v>
      </c>
      <c r="C67">
        <f>SUM('Mass Balance'!E67:H67)</f>
        <v>1.3887863408555226E-4</v>
      </c>
      <c r="D67">
        <f>Concentrations!F67/Concentrations!E67</f>
        <v>0.96476773687511463</v>
      </c>
    </row>
    <row r="68" spans="1:4">
      <c r="A68">
        <f>'Mass Balance'!I68</f>
        <v>1.2519151028704292E-7</v>
      </c>
      <c r="B68">
        <f>'Mass Balance'!E68</f>
        <v>1.2519660588245396E-4</v>
      </c>
      <c r="C68">
        <f>SUM('Mass Balance'!E68:H68)</f>
        <v>1.3482374940125202E-4</v>
      </c>
      <c r="D68">
        <f>Concentrations!F68/Concentrations!E68</f>
        <v>0.93222880251935281</v>
      </c>
    </row>
    <row r="69" spans="1:4">
      <c r="A69">
        <f>'Mass Balance'!I69</f>
        <v>3.647523608609056E-6</v>
      </c>
      <c r="B69">
        <f>'Mass Balance'!E69</f>
        <v>2.2225735468471681E-7</v>
      </c>
      <c r="C69">
        <f>SUM('Mass Balance'!E69:H69)</f>
        <v>1.3949153347291135E-4</v>
      </c>
      <c r="D69">
        <f>Concentrations!F69/Concentrations!E69</f>
        <v>1.5995751726402131E-3</v>
      </c>
    </row>
    <row r="70" spans="1:4">
      <c r="A70">
        <f>'Mass Balance'!I70</f>
        <v>8.8325466952345669E-7</v>
      </c>
      <c r="B70">
        <f>'Mass Balance'!E70</f>
        <v>4.2239544594056388E-6</v>
      </c>
      <c r="C70">
        <f>SUM('Mass Balance'!E70:H70)</f>
        <v>1.3756371049385808E-4</v>
      </c>
      <c r="D70">
        <f>Concentrations!F70/Concentrations!E70</f>
        <v>3.0825612024579729E-2</v>
      </c>
    </row>
    <row r="71" spans="1:4">
      <c r="A71">
        <f>'Mass Balance'!I71</f>
        <v>1.1711381677295051E-7</v>
      </c>
      <c r="B71">
        <f>'Mass Balance'!E71</f>
        <v>1.2494468070355924E-4</v>
      </c>
      <c r="C71">
        <f>SUM('Mass Balance'!E71:H71)</f>
        <v>1.3365225723361101E-4</v>
      </c>
      <c r="D71">
        <f>Concentrations!F71/Concentrations!E71</f>
        <v>0.93850769095966757</v>
      </c>
    </row>
    <row r="72" spans="1:4">
      <c r="A72">
        <f>'Mass Balance'!I72</f>
        <v>8.7394388864178953E-7</v>
      </c>
      <c r="B72">
        <f>'Mass Balance'!E72</f>
        <v>4.9198820383460421E-6</v>
      </c>
      <c r="C72">
        <f>SUM('Mass Balance'!E72:H72)</f>
        <v>1.3555056152286349E-4</v>
      </c>
      <c r="D72">
        <f>Concentrations!F72/Concentrations!E72</f>
        <v>3.6437597259925146E-2</v>
      </c>
    </row>
    <row r="73" spans="1:4">
      <c r="A73">
        <f>'Mass Balance'!I73</f>
        <v>5.8770998753897979E-7</v>
      </c>
      <c r="B73">
        <f>'Mass Balance'!E73</f>
        <v>4.8446241546049279E-5</v>
      </c>
      <c r="C73">
        <f>SUM('Mass Balance'!E73:H73)</f>
        <v>1.2180623939261908E-4</v>
      </c>
      <c r="D73">
        <f>Concentrations!F73/Concentrations!E73</f>
        <v>0.39928860591166576</v>
      </c>
    </row>
    <row r="74" spans="1:4">
      <c r="A74">
        <f>'Mass Balance'!I74</f>
        <v>8.8160987746150325E-7</v>
      </c>
      <c r="B74">
        <f>'Mass Balance'!E74</f>
        <v>4.4172394428654123E-6</v>
      </c>
      <c r="C74">
        <f>SUM('Mass Balance'!E74:H74)</f>
        <v>1.3713192873693325E-4</v>
      </c>
      <c r="D74">
        <f>Concentrations!F74/Concentrations!E74</f>
        <v>3.2337669598745414E-2</v>
      </c>
    </row>
    <row r="75" spans="1:4">
      <c r="A75">
        <f>'Mass Balance'!I75</f>
        <v>5.0905786482141577E-7</v>
      </c>
      <c r="B75">
        <f>'Mass Balance'!E75</f>
        <v>6.4596601033769974E-7</v>
      </c>
      <c r="C75">
        <f>SUM('Mass Balance'!E75:H75)</f>
        <v>1.4948566858424906E-4</v>
      </c>
      <c r="D75">
        <f>Concentrations!F75/Concentrations!E75</f>
        <v>4.3381690424097365E-3</v>
      </c>
    </row>
    <row r="76" spans="1:4">
      <c r="A76">
        <f>'Mass Balance'!I76</f>
        <v>5.0905786503328127E-7</v>
      </c>
      <c r="B76">
        <f>'Mass Balance'!E76</f>
        <v>6.4596601060654503E-7</v>
      </c>
      <c r="C76">
        <f>SUM('Mass Balance'!E76:H76)</f>
        <v>1.4948566864646365E-4</v>
      </c>
      <c r="D76">
        <f>Concentrations!F76/Concentrations!E76</f>
        <v>4.3381690424097374E-3</v>
      </c>
    </row>
    <row r="77" spans="1:4">
      <c r="A77">
        <f>'Mass Balance'!I77</f>
        <v>7.8989852304817096E-7</v>
      </c>
      <c r="B77">
        <f>'Mass Balance'!E77</f>
        <v>1.7944839642666985E-5</v>
      </c>
      <c r="C77">
        <f>SUM('Mass Balance'!E77:H77)</f>
        <v>1.261597332414373E-4</v>
      </c>
      <c r="D77">
        <f>Concentrations!F77/Concentrations!E77</f>
        <v>0.14279571719987913</v>
      </c>
    </row>
    <row r="78" spans="1:4">
      <c r="A78">
        <f>'Mass Balance'!I78</f>
        <v>2.7381462176560076E-7</v>
      </c>
      <c r="B78">
        <f>'Mass Balance'!E78</f>
        <v>9.4628574686366003E-5</v>
      </c>
      <c r="C78">
        <f>SUM('Mass Balance'!E78:H78)</f>
        <v>1.235023257679047E-4</v>
      </c>
      <c r="D78">
        <f>Concentrations!F78/Concentrations!E78</f>
        <v>0.76920752608869414</v>
      </c>
    </row>
    <row r="79" spans="1:4">
      <c r="A79">
        <f>'Mass Balance'!I79</f>
        <v>4.6025360234557557E-7</v>
      </c>
      <c r="B79">
        <f>'Mass Balance'!E79</f>
        <v>6.820426974218074E-5</v>
      </c>
      <c r="C79">
        <f>SUM('Mass Balance'!E79:H79)</f>
        <v>1.2260517428043605E-4</v>
      </c>
      <c r="D79">
        <f>Concentrations!F79/Concentrations!E79</f>
        <v>0.5584690716502958</v>
      </c>
    </row>
    <row r="80" spans="1:4">
      <c r="A80">
        <f>'Mass Balance'!I80</f>
        <v>9.8563767744968272E-7</v>
      </c>
      <c r="B80">
        <f>'Mass Balance'!E80</f>
        <v>4.3658796016307394E-7</v>
      </c>
      <c r="C80">
        <f>SUM('Mass Balance'!E80:H80)</f>
        <v>1.4900795522246264E-4</v>
      </c>
      <c r="D80">
        <f>Concentrations!F80/Concentrations!E80</f>
        <v>2.9414309795428037E-3</v>
      </c>
    </row>
    <row r="81" spans="1:4">
      <c r="A81">
        <f>'Mass Balance'!I81</f>
        <v>4.610429030880836E-8</v>
      </c>
      <c r="B81">
        <f>'Mass Balance'!E81</f>
        <v>1.4789548677663288E-4</v>
      </c>
      <c r="C81">
        <f>SUM('Mass Balance'!E81:H81)</f>
        <v>1.4808885433162947E-4</v>
      </c>
      <c r="D81">
        <f>Concentrations!F81/Concentrations!E81</f>
        <v>1.0026027931264743</v>
      </c>
    </row>
    <row r="82" spans="1:4">
      <c r="A82">
        <f>'Mass Balance'!I82</f>
        <v>1.4510911979125121E-7</v>
      </c>
      <c r="B82">
        <f>'Mass Balance'!E82</f>
        <v>1.2248790044706466E-4</v>
      </c>
      <c r="C82">
        <f>SUM('Mass Balance'!E82:H82)</f>
        <v>1.345335245691868E-4</v>
      </c>
      <c r="D82">
        <f>Concentrations!F82/Concentrations!E82</f>
        <v>0.91402701646221429</v>
      </c>
    </row>
    <row r="83" spans="1:4">
      <c r="A83">
        <f>'Mass Balance'!I83</f>
        <v>7.7683524932617935E-7</v>
      </c>
      <c r="B83">
        <f>'Mass Balance'!E83</f>
        <v>2.2768034408660189E-5</v>
      </c>
      <c r="C83">
        <f>SUM('Mass Balance'!E83:H83)</f>
        <v>1.2741666245812486E-4</v>
      </c>
      <c r="D83">
        <f>Concentrations!F83/Concentrations!E83</f>
        <v>0.17938894525213356</v>
      </c>
    </row>
    <row r="84" spans="1:4">
      <c r="A84">
        <f>'Mass Balance'!I84</f>
        <v>5.1985379835332739E-8</v>
      </c>
      <c r="B84">
        <f>'Mass Balance'!E84</f>
        <v>1.4501589807965222E-4</v>
      </c>
      <c r="C84">
        <f>SUM('Mass Balance'!E84:H84)</f>
        <v>1.458719677720433E-4</v>
      </c>
      <c r="D84">
        <f>Concentrations!F84/Concentrations!E84</f>
        <v>0.99802205172041059</v>
      </c>
    </row>
    <row r="85" spans="1:4">
      <c r="A85">
        <f>'Mass Balance'!I85</f>
        <v>4.4756640728604148E-8</v>
      </c>
      <c r="B85">
        <f>'Mass Balance'!E85</f>
        <v>1.491484781401617E-4</v>
      </c>
      <c r="C85">
        <f>SUM('Mass Balance'!E85:H85)</f>
        <v>1.4918496975134388E-4</v>
      </c>
      <c r="D85">
        <f>Concentrations!F85/Concentrations!E85</f>
        <v>1.0036680932087843</v>
      </c>
    </row>
    <row r="86" spans="1:4">
      <c r="A86">
        <f>'Mass Balance'!I86</f>
        <v>5.1630043577049749E-8</v>
      </c>
      <c r="B86">
        <f>'Mass Balance'!E86</f>
        <v>1.4515743690966785E-4</v>
      </c>
      <c r="C86">
        <f>SUM('Mass Balance'!E86:H86)</f>
        <v>1.4597331598297143E-4</v>
      </c>
      <c r="D86">
        <f>Concentrations!F86/Concentrations!E86</f>
        <v>0.9983025482944875</v>
      </c>
    </row>
    <row r="87" spans="1:4">
      <c r="A87">
        <f>'Mass Balance'!I87</f>
        <v>4.7773285681870726E-6</v>
      </c>
      <c r="B87">
        <f>'Mass Balance'!E87</f>
        <v>8.0640773389395496E-8</v>
      </c>
      <c r="C87">
        <f>SUM('Mass Balance'!E87:H87)</f>
        <v>1.4023831898515339E-4</v>
      </c>
      <c r="D87">
        <f>Concentrations!F87/Concentrations!E87</f>
        <v>5.7727712584221204E-4</v>
      </c>
    </row>
    <row r="88" spans="1:4">
      <c r="A88">
        <f>'Mass Balance'!I88</f>
        <v>2.3116467323993788E-7</v>
      </c>
      <c r="B88">
        <f>'Mass Balance'!E88</f>
        <v>1.0653010073506437E-4</v>
      </c>
      <c r="C88">
        <f>SUM('Mass Balance'!E88:H88)</f>
        <v>1.2955706856470503E-4</v>
      </c>
      <c r="D88">
        <f>Concentrations!F88/Concentrations!E88</f>
        <v>0.82548196091787918</v>
      </c>
    </row>
    <row r="89" spans="1:4">
      <c r="A89">
        <f>'Mass Balance'!I89</f>
        <v>1.5810951045617603E-7</v>
      </c>
      <c r="B89">
        <f>'Mass Balance'!E89</f>
        <v>1.1995541963331418E-4</v>
      </c>
      <c r="C89">
        <f>SUM('Mass Balance'!E89:H89)</f>
        <v>1.3362851559663077E-4</v>
      </c>
      <c r="D89">
        <f>Concentrations!F89/Concentrations!E89</f>
        <v>0.90119151188221713</v>
      </c>
    </row>
    <row r="90" spans="1:4">
      <c r="A90">
        <f>'Mass Balance'!I90</f>
        <v>7.1649881870688448E-8</v>
      </c>
      <c r="B90">
        <f>'Mass Balance'!E90</f>
        <v>1.3886316064906521E-4</v>
      </c>
      <c r="C90">
        <f>SUM('Mass Balance'!E90:H90)</f>
        <v>1.419872513727464E-4</v>
      </c>
      <c r="D90">
        <f>Concentrations!F90/Concentrations!E90</f>
        <v>0.98182493204176757</v>
      </c>
    </row>
    <row r="91" spans="1:4">
      <c r="A91">
        <f>'Mass Balance'!I91</f>
        <v>2.389998079688993E-6</v>
      </c>
      <c r="B91">
        <f>'Mass Balance'!E91</f>
        <v>5.3808611973992894E-7</v>
      </c>
      <c r="C91">
        <f>SUM('Mass Balance'!E91:H91)</f>
        <v>1.3978209441608847E-4</v>
      </c>
      <c r="D91">
        <f>Concentrations!F91/Concentrations!E91</f>
        <v>3.8645293340741362E-3</v>
      </c>
    </row>
    <row r="92" spans="1:4">
      <c r="A92">
        <f>'Mass Balance'!I92</f>
        <v>7.1093811355469268E-7</v>
      </c>
      <c r="B92">
        <f>'Mass Balance'!E92</f>
        <v>3.2306337993984077E-5</v>
      </c>
      <c r="C92">
        <f>SUM('Mass Balance'!E92:H92)</f>
        <v>1.2521212168085027E-4</v>
      </c>
      <c r="D92">
        <f>Concentrations!F92/Concentrations!E92</f>
        <v>0.25902263682185783</v>
      </c>
    </row>
    <row r="93" spans="1:4">
      <c r="A93">
        <f>'Mass Balance'!I93</f>
        <v>8.7847971391557849E-7</v>
      </c>
      <c r="B93">
        <f>'Mass Balance'!E93</f>
        <v>6.5402102512233021E-6</v>
      </c>
      <c r="C93">
        <f>SUM('Mass Balance'!E93:H93)</f>
        <v>1.3562525809541914E-4</v>
      </c>
      <c r="D93">
        <f>Concentrations!F93/Concentrations!E93</f>
        <v>4.8411383565722305E-2</v>
      </c>
    </row>
    <row r="94" spans="1:4">
      <c r="A94">
        <f>'Mass Balance'!I94</f>
        <v>5.0897218243250689E-8</v>
      </c>
      <c r="B94">
        <f>'Mass Balance'!E94</f>
        <v>1.3418203070727141E-4</v>
      </c>
      <c r="C94">
        <f>SUM('Mass Balance'!E94:H94)</f>
        <v>1.4993901139502883E-4</v>
      </c>
      <c r="D94">
        <f>Concentrations!F94/Concentrations!E94</f>
        <v>0.89841310742128699</v>
      </c>
    </row>
    <row r="95" spans="1:4">
      <c r="A95">
        <f>'Mass Balance'!I95</f>
        <v>1.2005549632154725E-6</v>
      </c>
      <c r="B95">
        <f>'Mass Balance'!E95</f>
        <v>1.2609285401911587E-6</v>
      </c>
      <c r="C95">
        <f>SUM('Mass Balance'!E95:H95)</f>
        <v>1.4103833170636589E-4</v>
      </c>
      <c r="D95">
        <f>Concentrations!F95/Concentrations!E95</f>
        <v>8.9753144885108549E-3</v>
      </c>
    </row>
    <row r="96" spans="1:4">
      <c r="A96">
        <f>'Mass Balance'!I96</f>
        <v>4.6233439412010264E-8</v>
      </c>
      <c r="B96">
        <f>'Mass Balance'!E96</f>
        <v>1.4780752892460815E-4</v>
      </c>
      <c r="C96">
        <f>SUM('Mass Balance'!E96:H96)</f>
        <v>1.4801551511448279E-4</v>
      </c>
      <c r="D96">
        <f>Concentrations!F96/Concentrations!E96</f>
        <v>1.0025029928797253</v>
      </c>
    </row>
    <row r="97" spans="1:4">
      <c r="A97">
        <f>'Mass Balance'!I97</f>
        <v>5.2169366827535625E-8</v>
      </c>
      <c r="B97">
        <f>'Mass Balance'!E97</f>
        <v>1.4494348446610091E-4</v>
      </c>
      <c r="C97">
        <f>SUM('Mass Balance'!E97:H97)</f>
        <v>1.4582037650524279E-4</v>
      </c>
      <c r="D97">
        <f>Concentrations!F97/Concentrations!E97</f>
        <v>0.99787661392795635</v>
      </c>
    </row>
    <row r="98" spans="1:4">
      <c r="A98">
        <f>'Mass Balance'!I98</f>
        <v>8.8553626488542014E-7</v>
      </c>
      <c r="B98">
        <f>'Mass Balance'!E98</f>
        <v>2.9853220544737538E-6</v>
      </c>
      <c r="C98">
        <f>SUM('Mass Balance'!E98:H98)</f>
        <v>1.3953756842825311E-4</v>
      </c>
      <c r="D98">
        <f>Concentrations!F98/Concentrations!E98</f>
        <v>2.147812674958453E-2</v>
      </c>
    </row>
    <row r="99" spans="1:4">
      <c r="A99">
        <f>'Mass Balance'!I99</f>
        <v>4.4619197309832473E-8</v>
      </c>
      <c r="B99">
        <f>'Mass Balance'!E99</f>
        <v>1.4940493640504707E-4</v>
      </c>
      <c r="C99">
        <f>SUM('Mass Balance'!E99:H99)</f>
        <v>1.4942315595599165E-4</v>
      </c>
      <c r="D99">
        <f>Concentrations!F99/Concentrations!E99</f>
        <v>1.0037912472179731</v>
      </c>
    </row>
    <row r="100" spans="1:4">
      <c r="A100">
        <f>'Mass Balance'!I100</f>
        <v>4.1842950799079739E-7</v>
      </c>
      <c r="B100">
        <f>'Mass Balance'!E100</f>
        <v>7.5718618842071238E-5</v>
      </c>
      <c r="C100">
        <f>SUM('Mass Balance'!E100:H100)</f>
        <v>1.2409823721348969E-4</v>
      </c>
      <c r="D100">
        <f>Concentrations!F100/Concentrations!E100</f>
        <v>0.6125385601891854</v>
      </c>
    </row>
    <row r="101" spans="1:4">
      <c r="A101">
        <f>'Mass Balance'!I101</f>
        <v>4.4851442327900752E-8</v>
      </c>
      <c r="B101">
        <f>'Mass Balance'!E101</f>
        <v>1.4901285517334364E-4</v>
      </c>
      <c r="C101">
        <f>SUM('Mass Balance'!E101:H101)</f>
        <v>1.4906114903023317E-4</v>
      </c>
      <c r="D101">
        <f>Concentrations!F101/Concentrations!E101</f>
        <v>1.0035884021450032</v>
      </c>
    </row>
    <row r="102" spans="1:4">
      <c r="A102">
        <f>'Mass Balance'!I102</f>
        <v>4.4536403171714703E-8</v>
      </c>
      <c r="B102">
        <f>'Mass Balance'!E102</f>
        <v>1.4972615632343459E-4</v>
      </c>
      <c r="C102">
        <f>SUM('Mass Balance'!E102:H102)</f>
        <v>1.4972980534142929E-4</v>
      </c>
      <c r="D102">
        <f>Concentrations!F102/Concentrations!E102</f>
        <v>1.0038891909364549</v>
      </c>
    </row>
    <row r="103" spans="1:4">
      <c r="A103">
        <f>'Mass Balance'!I103</f>
        <v>4.4611739065218455E-8</v>
      </c>
      <c r="B103">
        <f>'Mass Balance'!E103</f>
        <v>1.4942303943997769E-4</v>
      </c>
      <c r="C103">
        <f>SUM('Mass Balance'!E103:H103)</f>
        <v>1.4944018201825047E-4</v>
      </c>
      <c r="D103">
        <f>Concentrations!F103/Concentrations!E103</f>
        <v>1.0037984960831405</v>
      </c>
    </row>
    <row r="104" spans="1:4">
      <c r="A104">
        <f>'Mass Balance'!I104</f>
        <v>4.8498031570087804E-8</v>
      </c>
      <c r="B104">
        <f>'Mass Balance'!E104</f>
        <v>1.465344810542003E-4</v>
      </c>
      <c r="C104">
        <f>SUM('Mass Balance'!E104:H104)</f>
        <v>1.4699734592366415E-4</v>
      </c>
      <c r="D104">
        <f>Concentrations!F104/Concentrations!E104</f>
        <v>1.0007525362272782</v>
      </c>
    </row>
    <row r="105" spans="1:4">
      <c r="A105">
        <f>'Mass Balance'!I105</f>
        <v>4.454138713089661E-8</v>
      </c>
      <c r="B105">
        <f>'Mass Balance'!E105</f>
        <v>1.4967958466093374E-4</v>
      </c>
      <c r="C105">
        <f>SUM('Mass Balance'!E105:H105)</f>
        <v>1.4968471630924084E-4</v>
      </c>
      <c r="D105">
        <f>Concentrations!F105/Concentrations!E105</f>
        <v>1.0038792397804066</v>
      </c>
    </row>
    <row r="106" spans="1:4">
      <c r="A106">
        <f>'Mass Balance'!I106</f>
        <v>8.7185755887143923E-8</v>
      </c>
      <c r="B106">
        <f>'Mass Balance'!E106</f>
        <v>1.3493607099219056E-4</v>
      </c>
      <c r="C106">
        <f>SUM('Mass Balance'!E106:H106)</f>
        <v>1.3989848925786326E-4</v>
      </c>
      <c r="D106">
        <f>Concentrations!F106/Concentrations!E106</f>
        <v>0.96830326910358977</v>
      </c>
    </row>
    <row r="107" spans="1:4">
      <c r="A107">
        <f>'Mass Balance'!I107</f>
        <v>8.8228478170529582E-7</v>
      </c>
      <c r="B107">
        <f>'Mass Balance'!E107</f>
        <v>2.1965784572804102E-6</v>
      </c>
      <c r="C107">
        <f>SUM('Mass Balance'!E107:H107)</f>
        <v>1.4077014135835316E-4</v>
      </c>
      <c r="D107">
        <f>Concentrations!F107/Concentrations!E107</f>
        <v>1.5665077058658022E-2</v>
      </c>
    </row>
    <row r="108" spans="1:4">
      <c r="A108">
        <f>'Mass Balance'!I108</f>
        <v>3.5135967198871405E-7</v>
      </c>
      <c r="B108">
        <f>'Mass Balance'!E108</f>
        <v>8.6354924606454273E-5</v>
      </c>
      <c r="C108">
        <f>SUM('Mass Balance'!E108:H108)</f>
        <v>1.2543273776342324E-4</v>
      </c>
      <c r="D108">
        <f>Concentrations!F108/Concentrations!E108</f>
        <v>0.69115041023160817</v>
      </c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IVIVE</vt:lpstr>
      <vt:lpstr>Input System Parameters</vt:lpstr>
      <vt:lpstr>QA-QC</vt:lpstr>
      <vt:lpstr>Concentrations</vt:lpstr>
      <vt:lpstr>Mass Fractions</vt:lpstr>
      <vt:lpstr>Mass Balance</vt:lpstr>
      <vt:lpstr>工作表1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2024-10-28T23:18:42Z</dcterms:modified>
</cp:coreProperties>
</file>