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C6554BBD-3A40-4693-BBC9-0E8172E1237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<sst xmlns="http://schemas.openxmlformats.org/spreadsheetml/2006/main" count="2915" uniqueCount="495">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</sst>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5.8000000000000003E-2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5.8000000000000003E-2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3.8666666666666667E-4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1.3146666666666669E-5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1.5246436584719039E-5</v>
      </c>
      <c r="J2" s="67" t="s">
        <v>231</v>
      </c>
      <c r="K2" s="68">
        <v>2.5726249160698423E-3</v>
      </c>
      <c r="L2" s="67" t="s">
        <v>231</v>
      </c>
      <c r="M2" s="68">
        <v>5.9005043951400028E-2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1.0315017673317123E-3</v>
      </c>
      <c r="J3" s="67" t="s">
        <v>231</v>
      </c>
      <c r="K3" s="68">
        <v>0.11068419385857967</v>
      </c>
      <c r="L3" s="67" t="s">
        <v>231</v>
      </c>
      <c r="M3" s="68">
        <v>3.692873226691054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2.1614628168980204E-3</v>
      </c>
      <c r="J4" s="67" t="s">
        <v>231</v>
      </c>
      <c r="K4" s="68">
        <v>1.1808940929543153E-2</v>
      </c>
      <c r="L4" s="67" t="s">
        <v>231</v>
      </c>
      <c r="M4" s="68">
        <v>0.37417291037151817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1.6445844633139095E-3</v>
      </c>
      <c r="J5" s="67" t="s">
        <v>231</v>
      </c>
      <c r="K5" s="68">
        <v>3.3471046630428575E-2</v>
      </c>
      <c r="L5" s="67" t="s">
        <v>231</v>
      </c>
      <c r="M5" s="68">
        <v>1.1082808532775226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2.774667424063109E-3</v>
      </c>
      <c r="J6" s="67" t="s">
        <v>231</v>
      </c>
      <c r="K6" s="68">
        <v>0.12758136221819646</v>
      </c>
      <c r="L6" s="67" t="s">
        <v>231</v>
      </c>
      <c r="M6" s="68">
        <v>4.2648975677379921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4.0917590055066292E-4</v>
      </c>
      <c r="J7" s="67" t="s">
        <v>231</v>
      </c>
      <c r="K7" s="68">
        <v>0.11371564983177257</v>
      </c>
      <c r="L7" s="67" t="s">
        <v>231</v>
      </c>
      <c r="M7" s="68">
        <v>3.7950964919057641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8.0167713323130304E-4</v>
      </c>
      <c r="J8" s="67" t="s">
        <v>231</v>
      </c>
      <c r="K8" s="68">
        <v>9.1859700976855252E-2</v>
      </c>
      <c r="L8" s="67" t="s">
        <v>231</v>
      </c>
      <c r="M8" s="68">
        <v>3.0592520489931809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2.4874578741292634E-4</v>
      </c>
      <c r="J9" s="67" t="s">
        <v>231</v>
      </c>
      <c r="K9" s="68">
        <v>2.1115103735725255E-2</v>
      </c>
      <c r="L9" s="67" t="s">
        <v>231</v>
      </c>
      <c r="M9" s="68">
        <v>0.69336724609833855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9.8973272588860932E-4</v>
      </c>
      <c r="J10" s="67" t="s">
        <v>231</v>
      </c>
      <c r="K10" s="68">
        <v>3.5799059293411255E-2</v>
      </c>
      <c r="L10" s="67" t="s">
        <v>231</v>
      </c>
      <c r="M10" s="68">
        <v>1.185741918410117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2.4359895353594897E-4</v>
      </c>
      <c r="J11" s="67" t="s">
        <v>231</v>
      </c>
      <c r="K11" s="68">
        <v>3.9911729473549942E-2</v>
      </c>
      <c r="L11" s="67" t="s">
        <v>231</v>
      </c>
      <c r="M11" s="68">
        <v>1.3226524123653058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5.2215573973125797E-4</v>
      </c>
      <c r="J12" s="67" t="s">
        <v>231</v>
      </c>
      <c r="K12" s="68">
        <v>2.1600698365548905E-2</v>
      </c>
      <c r="L12" s="67" t="s">
        <v>231</v>
      </c>
      <c r="M12" s="68">
        <v>0.7108349602959938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1.1566949347435924E-2</v>
      </c>
      <c r="J13" s="67" t="s">
        <v>232</v>
      </c>
      <c r="K13" s="68">
        <v>2.1176273034931921E-2</v>
      </c>
      <c r="L13" s="67" t="s">
        <v>231</v>
      </c>
      <c r="M13" s="68">
        <v>0.69553512611661883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2.3193750600648847E-3</v>
      </c>
      <c r="J14" s="67" t="s">
        <v>231</v>
      </c>
      <c r="K14" s="68">
        <v>5.4434232956445554E-2</v>
      </c>
      <c r="L14" s="67" t="s">
        <v>231</v>
      </c>
      <c r="M14" s="68">
        <v>1.8067579412457844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1.1682308996025495E-3</v>
      </c>
      <c r="J15" s="67" t="s">
        <v>231</v>
      </c>
      <c r="K15" s="68">
        <v>3.7819492582187468E-2</v>
      </c>
      <c r="L15" s="67" t="s">
        <v>231</v>
      </c>
      <c r="M15" s="68">
        <v>1.252991313506207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8.4379347483124801E-4</v>
      </c>
      <c r="J16" s="67" t="s">
        <v>231</v>
      </c>
      <c r="K16" s="68">
        <v>9.0762423661737951E-2</v>
      </c>
      <c r="L16" s="67" t="s">
        <v>231</v>
      </c>
      <c r="M16" s="68">
        <v>3.0224182833511355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6.928224423490214E-4</v>
      </c>
      <c r="J17" s="67" t="s">
        <v>231</v>
      </c>
      <c r="K17" s="68">
        <v>3.4236253657891541E-2</v>
      </c>
      <c r="L17" s="67" t="s">
        <v>231</v>
      </c>
      <c r="M17" s="68">
        <v>1.1337386912173373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1.869073209953736E-3</v>
      </c>
      <c r="J18" s="67" t="s">
        <v>231</v>
      </c>
      <c r="K18" s="68">
        <v>2.0732957038699162E-2</v>
      </c>
      <c r="L18" s="67" t="s">
        <v>231</v>
      </c>
      <c r="M18" s="68">
        <v>0.6800622327048329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7.1024720702181849E-3</v>
      </c>
      <c r="J19" s="67" t="s">
        <v>231</v>
      </c>
      <c r="K19" s="68">
        <v>3.8232543400670636E-2</v>
      </c>
      <c r="L19" s="67" t="s">
        <v>231</v>
      </c>
      <c r="M19" s="68">
        <v>1.2667420634074145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1.1968682814807556E-3</v>
      </c>
      <c r="J20" s="67" t="s">
        <v>231</v>
      </c>
      <c r="K20" s="68">
        <v>2.1178787074801218E-2</v>
      </c>
      <c r="L20" s="67" t="s">
        <v>231</v>
      </c>
      <c r="M20" s="68">
        <v>0.6956176998081588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3.3480082901171659E-3</v>
      </c>
      <c r="J21" s="67" t="s">
        <v>231</v>
      </c>
      <c r="K21" s="68">
        <v>4.9950497846743991E-2</v>
      </c>
      <c r="L21" s="67" t="s">
        <v>231</v>
      </c>
      <c r="M21" s="68">
        <v>1.6571886993976883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1.0341598240807832E-4</v>
      </c>
      <c r="J22" s="67" t="s">
        <v>231</v>
      </c>
      <c r="K22" s="68">
        <v>6.319422807387412E-3</v>
      </c>
      <c r="L22" s="67" t="s">
        <v>231</v>
      </c>
      <c r="M22" s="68">
        <v>0.18711148783872864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3.3472717101617867E-5</v>
      </c>
      <c r="J23" s="67" t="s">
        <v>231</v>
      </c>
      <c r="K23" s="68">
        <v>3.4987414733647134E-3</v>
      </c>
      <c r="L23" s="67" t="s">
        <v>231</v>
      </c>
      <c r="M23" s="68">
        <v>9.0737622812588611E-2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9.9011102071228237E-5</v>
      </c>
      <c r="J24" s="67" t="s">
        <v>231</v>
      </c>
      <c r="K24" s="68">
        <v>1.7522410975303167E-2</v>
      </c>
      <c r="L24" s="67" t="s">
        <v>231</v>
      </c>
      <c r="M24" s="68">
        <v>0.5692587544414095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4.4143741619384147E-4</v>
      </c>
      <c r="J25" s="67" t="s">
        <v>231</v>
      </c>
      <c r="K25" s="68">
        <v>2.15340411015453E-2</v>
      </c>
      <c r="L25" s="67" t="s">
        <v>231</v>
      </c>
      <c r="M25" s="68">
        <v>0.71016631226454952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8.8627666970600492E-4</v>
      </c>
      <c r="J26" s="67" t="s">
        <v>231</v>
      </c>
      <c r="K26" s="68">
        <v>4.7084318155715114E-2</v>
      </c>
      <c r="L26" s="67" t="s">
        <v>231</v>
      </c>
      <c r="M26" s="68">
        <v>1.561625672041937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5.6749374252710401E-4</v>
      </c>
      <c r="J27" s="67" t="s">
        <v>231</v>
      </c>
      <c r="K27" s="68">
        <v>0.10844989553822676</v>
      </c>
      <c r="L27" s="67" t="s">
        <v>231</v>
      </c>
      <c r="M27" s="68">
        <v>3.6174674521873218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3.1252917119194948E-4</v>
      </c>
      <c r="J28" s="67" t="s">
        <v>231</v>
      </c>
      <c r="K28" s="68">
        <v>6.8737156732330079E-2</v>
      </c>
      <c r="L28" s="67" t="s">
        <v>231</v>
      </c>
      <c r="M28" s="68">
        <v>2.2845368170188736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1.9357775348723729E-4</v>
      </c>
      <c r="J29" s="67" t="s">
        <v>231</v>
      </c>
      <c r="K29" s="68">
        <v>5.1735368652675286E-2</v>
      </c>
      <c r="L29" s="67" t="s">
        <v>231</v>
      </c>
      <c r="M29" s="68">
        <v>1.7169211793090213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3.1252917119194948E-4</v>
      </c>
      <c r="J30" s="67" t="s">
        <v>231</v>
      </c>
      <c r="K30" s="68">
        <v>6.8737156732330079E-2</v>
      </c>
      <c r="L30" s="67" t="s">
        <v>231</v>
      </c>
      <c r="M30" s="68">
        <v>2.2845368170188736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8.2438773376274056E-8</v>
      </c>
      <c r="J31" s="67" t="s">
        <v>231</v>
      </c>
      <c r="K31" s="68">
        <v>9.0932778042985467E-4</v>
      </c>
      <c r="L31" s="67" t="s">
        <v>231</v>
      </c>
      <c r="M31" s="68">
        <v>1.1555446817845191E-3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1.0320120268985908E-5</v>
      </c>
      <c r="J32" s="67" t="s">
        <v>231</v>
      </c>
      <c r="K32" s="68">
        <v>9.6385419975152341E-3</v>
      </c>
      <c r="L32" s="67" t="s">
        <v>231</v>
      </c>
      <c r="M32" s="68">
        <v>0.29759622114073692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8.1314579018523491E-8</v>
      </c>
      <c r="J33" s="67" t="s">
        <v>231</v>
      </c>
      <c r="K33" s="68">
        <v>8.9349395134200092E-4</v>
      </c>
      <c r="L33" s="67" t="s">
        <v>231</v>
      </c>
      <c r="M33" s="68">
        <v>5.911767375574498E-4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1.9351204532445479E-10</v>
      </c>
      <c r="J34" s="67" t="s">
        <v>231</v>
      </c>
      <c r="K34" s="68">
        <v>1.5557987548962808E-3</v>
      </c>
      <c r="L34" s="67" t="s">
        <v>231</v>
      </c>
      <c r="M34" s="68">
        <v>4.4999737120028083E-2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1.9747002350174916E-7</v>
      </c>
      <c r="J35" s="67" t="s">
        <v>231</v>
      </c>
      <c r="K35" s="68">
        <v>1.8063442579601028E-3</v>
      </c>
      <c r="L35" s="67" t="s">
        <v>231</v>
      </c>
      <c r="M35" s="68">
        <v>6.3681460516504002E-2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1.7994804110558089E-7</v>
      </c>
      <c r="J36" s="67" t="s">
        <v>231</v>
      </c>
      <c r="K36" s="68">
        <v>1.9458083111319599E-3</v>
      </c>
      <c r="L36" s="67" t="s">
        <v>231</v>
      </c>
      <c r="M36" s="68">
        <v>7.7380140423067512E-2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2.0145743076218317E-6</v>
      </c>
      <c r="J37" s="67" t="s">
        <v>231</v>
      </c>
      <c r="K37" s="68">
        <v>5.3664893738278293E-3</v>
      </c>
      <c r="L37" s="67" t="s">
        <v>231</v>
      </c>
      <c r="M37" s="68">
        <v>0.18208152689640753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1.0529108167550767E-6</v>
      </c>
      <c r="J38" s="67" t="s">
        <v>231</v>
      </c>
      <c r="K38" s="68">
        <v>1.5128919983580858E-3</v>
      </c>
      <c r="L38" s="67" t="s">
        <v>231</v>
      </c>
      <c r="M38" s="68">
        <v>4.0334148882637651E-2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2.224563133166481E-4</v>
      </c>
      <c r="J39" s="67" t="s">
        <v>231</v>
      </c>
      <c r="K39" s="68">
        <v>2.2079194129875586E-2</v>
      </c>
      <c r="L39" s="67" t="s">
        <v>231</v>
      </c>
      <c r="M39" s="68">
        <v>0.72964837209740951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7.8610316071660892E-10</v>
      </c>
      <c r="J40" s="67" t="s">
        <v>231</v>
      </c>
      <c r="K40" s="68">
        <v>0.13068476248803321</v>
      </c>
      <c r="L40" s="67" t="s">
        <v>231</v>
      </c>
      <c r="M40" s="68">
        <v>5.3996632160871201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2.6793246921259834E-8</v>
      </c>
      <c r="J41" s="67" t="s">
        <v>231</v>
      </c>
      <c r="K41" s="68">
        <v>8.2602105829859222E-4</v>
      </c>
      <c r="L41" s="67" t="s">
        <v>231</v>
      </c>
      <c r="M41" s="68">
        <v>6.5799201255443773E-5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1.1403039105669075E-3</v>
      </c>
      <c r="J42" s="67" t="s">
        <v>231</v>
      </c>
      <c r="K42" s="68">
        <v>7.2147480458137443E-3</v>
      </c>
      <c r="L42" s="67" t="s">
        <v>231</v>
      </c>
      <c r="M42" s="68">
        <v>0.21758930922030237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4.7036832503820121E-9</v>
      </c>
      <c r="J43" s="67" t="s">
        <v>231</v>
      </c>
      <c r="K43" s="68">
        <v>3.9492185290481412E-3</v>
      </c>
      <c r="L43" s="67" t="s">
        <v>231</v>
      </c>
      <c r="M43" s="68">
        <v>0.16441453152851995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1.1744440326284351E-6</v>
      </c>
      <c r="J44" s="67" t="s">
        <v>231</v>
      </c>
      <c r="K44" s="68">
        <v>1.7257027086402007E-3</v>
      </c>
      <c r="L44" s="67" t="s">
        <v>231</v>
      </c>
      <c r="M44" s="68">
        <v>3.2020665217634588E-2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1.0060284799008697E-4</v>
      </c>
      <c r="J45" s="67" t="s">
        <v>231</v>
      </c>
      <c r="K45" s="68">
        <v>8.0632144521647232E-3</v>
      </c>
      <c r="L45" s="67" t="s">
        <v>231</v>
      </c>
      <c r="M45" s="68">
        <v>0.24653011893872639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2.2536749787568551E-6</v>
      </c>
      <c r="J46" s="67" t="s">
        <v>231</v>
      </c>
      <c r="K46" s="68">
        <v>7.5134834754711013E-3</v>
      </c>
      <c r="L46" s="67" t="s">
        <v>231</v>
      </c>
      <c r="M46" s="68">
        <v>0.22782702036134528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2.6160445481085552E-3</v>
      </c>
      <c r="J47" s="142" t="s">
        <v>231</v>
      </c>
      <c r="K47" s="143">
        <v>0.1109999914179802</v>
      </c>
      <c r="L47" s="142" t="s">
        <v>231</v>
      </c>
      <c r="M47" s="143">
        <v>3.7034095129620157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1.8941329758293106E-6</v>
      </c>
      <c r="J48" s="142" t="s">
        <v>231</v>
      </c>
      <c r="K48" s="143">
        <v>1.1668300854745556E-3</v>
      </c>
      <c r="L48" s="142" t="s">
        <v>231</v>
      </c>
      <c r="M48" s="143">
        <v>1.0706912640845927E-2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5.370533382530112E-6</v>
      </c>
      <c r="J49" s="142" t="s">
        <v>231</v>
      </c>
      <c r="K49" s="143">
        <v>1.3869910513764506E-3</v>
      </c>
      <c r="L49" s="142" t="s">
        <v>231</v>
      </c>
      <c r="M49" s="143">
        <v>1.8660010794454902E-2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8.2426945434952247E-6</v>
      </c>
      <c r="J50" s="142" t="s">
        <v>231</v>
      </c>
      <c r="K50" s="143">
        <v>2.0540210017511985E-2</v>
      </c>
      <c r="L50" s="142" t="s">
        <v>231</v>
      </c>
      <c r="M50" s="143">
        <v>0.67346824408509642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4.1541528527520722E-8</v>
      </c>
      <c r="J51" s="142" t="s">
        <v>231</v>
      </c>
      <c r="K51" s="143">
        <v>8.8308303697504E-4</v>
      </c>
      <c r="L51" s="142" t="s">
        <v>231</v>
      </c>
      <c r="M51" s="143">
        <v>1.9109694692345379E-3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1.2092490368598995E-5</v>
      </c>
      <c r="J52" s="142" t="s">
        <v>231</v>
      </c>
      <c r="K52" s="143">
        <v>2.3842524518480758E-3</v>
      </c>
      <c r="L52" s="142" t="s">
        <v>231</v>
      </c>
      <c r="M52" s="143">
        <v>5.4302257245281149E-2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1.9140480391105833E-4</v>
      </c>
      <c r="J53" s="142" t="s">
        <v>231</v>
      </c>
      <c r="K53" s="143">
        <v>1.1030454842477772E-2</v>
      </c>
      <c r="L53" s="142" t="s">
        <v>231</v>
      </c>
      <c r="M53" s="143">
        <v>0.34769158130598354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8.9743670987855746E-4</v>
      </c>
      <c r="J54" s="67" t="s">
        <v>231</v>
      </c>
      <c r="K54" s="68">
        <v>0.10229504625630345</v>
      </c>
      <c r="L54" s="67" t="s">
        <v>231</v>
      </c>
      <c r="M54" s="68">
        <v>3.4100512289983711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2.08419968932259E-4</v>
      </c>
      <c r="J55" s="67" t="s">
        <v>231</v>
      </c>
      <c r="K55" s="68">
        <v>1.5804927735027015E-2</v>
      </c>
      <c r="L55" s="67" t="s">
        <v>231</v>
      </c>
      <c r="M55" s="68">
        <v>0.51433273716240613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6.1719032993251018E-5</v>
      </c>
      <c r="J56" s="67" t="s">
        <v>231</v>
      </c>
      <c r="K56" s="68">
        <v>9.2665987257088446E-3</v>
      </c>
      <c r="L56" s="67" t="s">
        <v>231</v>
      </c>
      <c r="M56" s="68">
        <v>0.30486102642701174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3.0220427706560997E-5</v>
      </c>
      <c r="J57" s="67" t="s">
        <v>231</v>
      </c>
      <c r="K57" s="68">
        <v>4.7354155494372125E-3</v>
      </c>
      <c r="L57" s="67" t="s">
        <v>231</v>
      </c>
      <c r="M57" s="68">
        <v>0.15457813083897132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3.2782234650174089E-7</v>
      </c>
      <c r="J58" s="67" t="s">
        <v>231</v>
      </c>
      <c r="K58" s="68">
        <v>1.254719717701765E-4</v>
      </c>
      <c r="L58" s="67" t="s">
        <v>231</v>
      </c>
      <c r="M58" s="68">
        <v>1.9235407273869647E-3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7.3386778243533971E-6</v>
      </c>
      <c r="J59" s="67" t="s">
        <v>231</v>
      </c>
      <c r="K59" s="68">
        <v>1.8380975317548211E-3</v>
      </c>
      <c r="L59" s="67" t="s">
        <v>231</v>
      </c>
      <c r="M59" s="68">
        <v>5.9962139784903105E-2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1.1533350888593662E-7</v>
      </c>
      <c r="J60" s="67" t="s">
        <v>231</v>
      </c>
      <c r="K60" s="68">
        <v>3.2283770114424172E-5</v>
      </c>
      <c r="L60" s="67" t="s">
        <v>231</v>
      </c>
      <c r="M60" s="68">
        <v>1.0425128251355315E-3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4.1681758697650437E-2</v>
      </c>
      <c r="J61" s="67" t="s">
        <v>232</v>
      </c>
      <c r="K61" s="68">
        <v>1.3948512177432879E-2</v>
      </c>
      <c r="L61" s="67" t="s">
        <v>231</v>
      </c>
      <c r="M61" s="68">
        <v>0.44713316121708979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4.0086348853755374E-5</v>
      </c>
      <c r="J62" s="67" t="s">
        <v>231</v>
      </c>
      <c r="K62" s="68">
        <v>5.3428047399109793E-2</v>
      </c>
      <c r="L62" s="67" t="s">
        <v>231</v>
      </c>
      <c r="M62" s="68">
        <v>1.7731840542324868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2.6932967417197585E-4</v>
      </c>
      <c r="J63" s="67" t="s">
        <v>231</v>
      </c>
      <c r="K63" s="68">
        <v>0.12397162069844052</v>
      </c>
      <c r="L63" s="67" t="s">
        <v>231</v>
      </c>
      <c r="M63" s="68">
        <v>4.1422741437300061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1.9230183482784704E-4</v>
      </c>
      <c r="J64" s="67" t="s">
        <v>231</v>
      </c>
      <c r="K64" s="68">
        <v>0.13955920331355351</v>
      </c>
      <c r="L64" s="67" t="s">
        <v>231</v>
      </c>
      <c r="M64" s="68">
        <v>4.6742857305304586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2.914176521910126E-4</v>
      </c>
      <c r="J65" s="67" t="s">
        <v>231</v>
      </c>
      <c r="K65" s="68">
        <v>0.15025783558856842</v>
      </c>
      <c r="L65" s="67" t="s">
        <v>231</v>
      </c>
      <c r="M65" s="68">
        <v>5.0462003901308279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1.1550247354125129E-6</v>
      </c>
      <c r="J66" s="67" t="s">
        <v>231</v>
      </c>
      <c r="K66" s="68">
        <v>0.14491885306391136</v>
      </c>
      <c r="L66" s="67" t="s">
        <v>231</v>
      </c>
      <c r="M66" s="68">
        <v>4.8594576244915437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4.0831457477388198E-4</v>
      </c>
      <c r="J67" s="67" t="s">
        <v>231</v>
      </c>
      <c r="K67" s="68">
        <v>2.0433099355274928E-3</v>
      </c>
      <c r="L67" s="67" t="s">
        <v>231</v>
      </c>
      <c r="M67" s="68">
        <v>4.0924806336764478E-2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1.6711415921353415E-4</v>
      </c>
      <c r="J68" s="67" t="s">
        <v>231</v>
      </c>
      <c r="K68" s="68">
        <v>2.9010666143829055E-3</v>
      </c>
      <c r="L68" s="67" t="s">
        <v>231</v>
      </c>
      <c r="M68" s="68">
        <v>7.0523333910208888E-2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2.1780256783098432E-7</v>
      </c>
      <c r="J69" s="67" t="s">
        <v>231</v>
      </c>
      <c r="K69" s="68">
        <v>8.9076783623131262E-2</v>
      </c>
      <c r="L69" s="67" t="s">
        <v>231</v>
      </c>
      <c r="M69" s="68">
        <v>2.9658578658918295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2.4357855183802183E-4</v>
      </c>
      <c r="J70" s="67" t="s">
        <v>231</v>
      </c>
      <c r="K70" s="68">
        <v>2.1706080435650293E-2</v>
      </c>
      <c r="L70" s="67" t="s">
        <v>231</v>
      </c>
      <c r="M70" s="68">
        <v>0.71536674858564353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3.1184505663864689E-4</v>
      </c>
      <c r="J71" s="67" t="s">
        <v>231</v>
      </c>
      <c r="K71" s="68">
        <v>2.7027770623678201E-3</v>
      </c>
      <c r="L71" s="67" t="s">
        <v>231</v>
      </c>
      <c r="M71" s="68">
        <v>6.4095564878272809E-2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1.4853784468616605E-6</v>
      </c>
      <c r="J72" s="67" t="s">
        <v>231</v>
      </c>
      <c r="K72" s="68">
        <v>2.1475698482641248E-2</v>
      </c>
      <c r="L72" s="67" t="s">
        <v>231</v>
      </c>
      <c r="M72" s="68">
        <v>0.70738542798377879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6.0272135126469856E-3</v>
      </c>
      <c r="J73" s="67" t="s">
        <v>231</v>
      </c>
      <c r="K73" s="68">
        <v>1.437759525415507E-2</v>
      </c>
      <c r="L73" s="67" t="s">
        <v>231</v>
      </c>
      <c r="M73" s="68">
        <v>0.46213515280921613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5.11501392967924E-2</v>
      </c>
      <c r="J74" s="67" t="s">
        <v>232</v>
      </c>
      <c r="K74" s="68">
        <v>2.1665162134222718E-2</v>
      </c>
      <c r="L74" s="67" t="s">
        <v>231</v>
      </c>
      <c r="M74" s="68">
        <v>0.71390858228229959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2.2644729422625738E-13</v>
      </c>
      <c r="J75" s="67" t="s">
        <v>231</v>
      </c>
      <c r="K75" s="68">
        <v>1.3048701916923897E-2</v>
      </c>
      <c r="L75" s="67" t="s">
        <v>231</v>
      </c>
      <c r="M75" s="68">
        <v>0.54755835304189093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1.2457952592049204E-13</v>
      </c>
      <c r="J76" s="67" t="s">
        <v>231</v>
      </c>
      <c r="K76" s="68">
        <v>1.3048701922345652E-2</v>
      </c>
      <c r="L76" s="67" t="s">
        <v>231</v>
      </c>
      <c r="M76" s="68">
        <v>0.54755835326940216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2.9563913795534004E-7</v>
      </c>
      <c r="J77" s="67" t="s">
        <v>231</v>
      </c>
      <c r="K77" s="68">
        <v>1.9387491762367329E-2</v>
      </c>
      <c r="L77" s="67" t="s">
        <v>231</v>
      </c>
      <c r="M77" s="68">
        <v>0.63408833928131325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1.0958033850684786E-3</v>
      </c>
      <c r="J78" s="67" t="s">
        <v>231</v>
      </c>
      <c r="K78" s="68">
        <v>6.5990795608789265E-3</v>
      </c>
      <c r="L78" s="67" t="s">
        <v>231</v>
      </c>
      <c r="M78" s="68">
        <v>0.19748372925213409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2.0745383303204371E-5</v>
      </c>
      <c r="J79" s="67" t="s">
        <v>231</v>
      </c>
      <c r="K79" s="68">
        <v>1.121855159905554E-2</v>
      </c>
      <c r="L79" s="67" t="s">
        <v>231</v>
      </c>
      <c r="M79" s="68">
        <v>0.35426095414936359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1.3419661633508169E-14</v>
      </c>
      <c r="J80" s="67" t="s">
        <v>231</v>
      </c>
      <c r="K80" s="68">
        <v>2.5227199331962886E-2</v>
      </c>
      <c r="L80" s="67" t="s">
        <v>231</v>
      </c>
      <c r="M80" s="68">
        <v>1.0588120997306183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2.2413080830100717E-5</v>
      </c>
      <c r="J81" s="67" t="s">
        <v>231</v>
      </c>
      <c r="K81" s="68">
        <v>9.2406106019100312E-4</v>
      </c>
      <c r="L81" s="67" t="s">
        <v>231</v>
      </c>
      <c r="M81" s="68">
        <v>1.7148981340049131E-3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3.79863235088741E-5</v>
      </c>
      <c r="J82" s="67" t="s">
        <v>231</v>
      </c>
      <c r="K82" s="68">
        <v>3.3947358473901167E-3</v>
      </c>
      <c r="L82" s="67" t="s">
        <v>231</v>
      </c>
      <c r="M82" s="68">
        <v>8.7178258283353155E-2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3.3091609505770411E-5</v>
      </c>
      <c r="J83" s="67" t="s">
        <v>231</v>
      </c>
      <c r="K83" s="68">
        <v>1.9058797089135278E-2</v>
      </c>
      <c r="L83" s="67" t="s">
        <v>231</v>
      </c>
      <c r="M83" s="68">
        <v>0.62200419469265156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6.2902758904955212E-6</v>
      </c>
      <c r="J84" s="67" t="s">
        <v>231</v>
      </c>
      <c r="K84" s="68">
        <v>1.0726873945942452E-3</v>
      </c>
      <c r="L84" s="67" t="s">
        <v>231</v>
      </c>
      <c r="M84" s="68">
        <v>7.0881204366238359E-3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3.3323752192503949E-8</v>
      </c>
      <c r="J85" s="67" t="s">
        <v>231</v>
      </c>
      <c r="K85" s="68">
        <v>8.8918421869422441E-4</v>
      </c>
      <c r="L85" s="67" t="s">
        <v>231</v>
      </c>
      <c r="M85" s="68">
        <v>3.4829255305193909E-4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2.466277635772305E-6</v>
      </c>
      <c r="J86" s="67" t="s">
        <v>231</v>
      </c>
      <c r="K86" s="68">
        <v>1.0637517020207459E-3</v>
      </c>
      <c r="L86" s="67" t="s">
        <v>231</v>
      </c>
      <c r="M86" s="68">
        <v>6.7707259349140299E-3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3.0114484647038951E-3</v>
      </c>
      <c r="J87" s="67" t="s">
        <v>231</v>
      </c>
      <c r="K87" s="68">
        <v>0.11633786305689413</v>
      </c>
      <c r="L87" s="67" t="s">
        <v>231</v>
      </c>
      <c r="M87" s="68">
        <v>3.8837143938879897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1.1671285216668328E-4</v>
      </c>
      <c r="J88" s="67" t="s">
        <v>231</v>
      </c>
      <c r="K88" s="68">
        <v>5.5335113648215944E-3</v>
      </c>
      <c r="L88" s="67" t="s">
        <v>231</v>
      </c>
      <c r="M88" s="68">
        <v>0.16024962610348906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3.0814635856880041E-5</v>
      </c>
      <c r="J89" s="67" t="s">
        <v>231</v>
      </c>
      <c r="K89" s="68">
        <v>3.7180402166118471E-3</v>
      </c>
      <c r="L89" s="67" t="s">
        <v>231</v>
      </c>
      <c r="M89" s="68">
        <v>9.8237699475228771E-2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1.8884093074489077E-6</v>
      </c>
      <c r="J90" s="67" t="s">
        <v>231</v>
      </c>
      <c r="K90" s="68">
        <v>1.5649225599239983E-3</v>
      </c>
      <c r="L90" s="67" t="s">
        <v>231</v>
      </c>
      <c r="M90" s="68">
        <v>2.4288280724461729E-2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2.42546625103702E-3</v>
      </c>
      <c r="J91" s="67" t="s">
        <v>231</v>
      </c>
      <c r="K91" s="68">
        <v>5.8552608618330657E-2</v>
      </c>
      <c r="L91" s="67" t="s">
        <v>231</v>
      </c>
      <c r="M91" s="68">
        <v>1.944226125353715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2.2505010961537373E-2</v>
      </c>
      <c r="J92" s="67" t="s">
        <v>232</v>
      </c>
      <c r="K92" s="68">
        <v>1.7426693023301285E-2</v>
      </c>
      <c r="L92" s="67" t="s">
        <v>231</v>
      </c>
      <c r="M92" s="68">
        <v>0.56597830721509201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6.3294514607973853E-3</v>
      </c>
      <c r="J93" s="67" t="s">
        <v>231</v>
      </c>
      <c r="K93" s="68">
        <v>2.1582741549237412E-2</v>
      </c>
      <c r="L93" s="67" t="s">
        <v>231</v>
      </c>
      <c r="M93" s="68">
        <v>0.71017963202171763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6.4808442204529905E-9</v>
      </c>
      <c r="J94" s="67" t="s">
        <v>231</v>
      </c>
      <c r="K94" s="68">
        <v>1.0733208575744173E-3</v>
      </c>
      <c r="L94" s="67" t="s">
        <v>231</v>
      </c>
      <c r="M94" s="68">
        <v>1.1876103112583376E-2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4.6817462256936582E-5</v>
      </c>
      <c r="J95" s="67" t="s">
        <v>231</v>
      </c>
      <c r="K95" s="68">
        <v>2.9497215197035638E-2</v>
      </c>
      <c r="L95" s="67" t="s">
        <v>231</v>
      </c>
      <c r="M95" s="68">
        <v>0.97612104477793193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9.8895873799690294E-8</v>
      </c>
      <c r="J96" s="67" t="s">
        <v>231</v>
      </c>
      <c r="K96" s="68">
        <v>9.2735886841919591E-4</v>
      </c>
      <c r="L96" s="67" t="s">
        <v>231</v>
      </c>
      <c r="M96" s="68">
        <v>1.8384836973278412E-3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3.5741058497846428E-8</v>
      </c>
      <c r="J97" s="67" t="s">
        <v>231</v>
      </c>
      <c r="K97" s="68">
        <v>1.0773129572865011E-3</v>
      </c>
      <c r="L97" s="67" t="s">
        <v>231</v>
      </c>
      <c r="M97" s="68">
        <v>7.2522693438951845E-3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9.3609349528246638E-6</v>
      </c>
      <c r="J98" s="67" t="s">
        <v>231</v>
      </c>
      <c r="K98" s="68">
        <v>2.1766143672343783E-2</v>
      </c>
      <c r="L98" s="67" t="s">
        <v>231</v>
      </c>
      <c r="M98" s="68">
        <v>0.71812026930085138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4.2207414421003944E-8</v>
      </c>
      <c r="J99" s="67" t="s">
        <v>231</v>
      </c>
      <c r="K99" s="68">
        <v>8.8544790982994113E-4</v>
      </c>
      <c r="L99" s="67" t="s">
        <v>231</v>
      </c>
      <c r="M99" s="68">
        <v>1.7911441502701362E-4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6.1549316174691507E-5</v>
      </c>
      <c r="J100" s="67" t="s">
        <v>231</v>
      </c>
      <c r="K100" s="68">
        <v>1.0180192139095875E-2</v>
      </c>
      <c r="L100" s="67" t="s">
        <v>231</v>
      </c>
      <c r="M100" s="68">
        <v>0.31866036739787479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1.3203391885679688E-5</v>
      </c>
      <c r="J101" s="67" t="s">
        <v>231</v>
      </c>
      <c r="K101" s="68">
        <v>8.9170371702326345E-4</v>
      </c>
      <c r="L101" s="67" t="s">
        <v>231</v>
      </c>
      <c r="M101" s="68">
        <v>4.5539572554073186E-4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6.4687755976165587E-11</v>
      </c>
      <c r="J102" s="67" t="s">
        <v>231</v>
      </c>
      <c r="K102" s="68">
        <v>8.8296386022786687E-4</v>
      </c>
      <c r="L102" s="67" t="s">
        <v>231</v>
      </c>
      <c r="M102" s="68">
        <v>3.8326878091508222E-5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9.2321883639761305E-9</v>
      </c>
      <c r="J103" s="67" t="s">
        <v>231</v>
      </c>
      <c r="K103" s="68">
        <v>8.8523931008054025E-4</v>
      </c>
      <c r="L103" s="67" t="s">
        <v>231</v>
      </c>
      <c r="M103" s="68">
        <v>1.6895971632531319E-4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4.3321151614312183E-7</v>
      </c>
      <c r="J104" s="67" t="s">
        <v>231</v>
      </c>
      <c r="K104" s="68">
        <v>9.8481423540243266E-4</v>
      </c>
      <c r="L104" s="67" t="s">
        <v>231</v>
      </c>
      <c r="M104" s="68">
        <v>3.9443910452703857E-3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5.8212379440295909E-8</v>
      </c>
      <c r="J105" s="67" t="s">
        <v>231</v>
      </c>
      <c r="K105" s="68">
        <v>8.8315154989685905E-4</v>
      </c>
      <c r="L105" s="67" t="s">
        <v>231</v>
      </c>
      <c r="M105" s="68">
        <v>5.3162858188893291E-5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5.5301462171756198E-7</v>
      </c>
      <c r="J106" s="67" t="s">
        <v>231</v>
      </c>
      <c r="K106" s="68">
        <v>1.9525516898292086E-3</v>
      </c>
      <c r="L106" s="67" t="s">
        <v>231</v>
      </c>
      <c r="M106" s="68">
        <v>3.7680586613867265E-2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6.612910458698041E-5</v>
      </c>
      <c r="J107" s="67" t="s">
        <v>231</v>
      </c>
      <c r="K107" s="68">
        <v>2.1689565793334541E-2</v>
      </c>
      <c r="L107" s="67" t="s">
        <v>231</v>
      </c>
      <c r="M107" s="68">
        <v>0.71620312945907005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8.223155866511053E-5</v>
      </c>
      <c r="J108" s="67" t="s">
        <v>231</v>
      </c>
      <c r="K108" s="68">
        <v>8.51685670362071E-3</v>
      </c>
      <c r="L108" s="67" t="s">
        <v>231</v>
      </c>
      <c r="M108" s="68">
        <v>0.2619739596116944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313</v>
      </c>
      <c r="B2" s="16" t="s">
        <v>314</v>
      </c>
      <c r="D2" s="14">
        <v>1</v>
      </c>
      <c r="E2" s="14">
        <v>0.91484005263550361</v>
      </c>
      <c r="F2" s="14">
        <v>0.86510562966933691</v>
      </c>
      <c r="G2" s="14">
        <v>1.1241328155782246E-6</v>
      </c>
      <c r="H2" s="14">
        <v>11.689317050231342</v>
      </c>
      <c r="I2" s="14">
        <v>31.524362219304258</v>
      </c>
      <c r="J2" s="14">
        <v>0</v>
      </c>
      <c r="K2" s="14">
        <v>1.1559282077290638</v>
      </c>
      <c r="L2" s="14">
        <v>0.86510562966933702</v>
      </c>
      <c r="M2" s="14">
        <v>0.70981916914369103</v>
      </c>
      <c r="N2" s="14">
        <v>2.5726249160698424</v>
      </c>
      <c r="O2" s="14">
        <v>473.64597329761875</v>
      </c>
      <c r="P2" s="14">
        <v>2.5726249160698424</v>
      </c>
      <c r="Q2" s="8">
        <v>0.13453841562644084</v>
      </c>
      <c r="R2" s="54">
        <v>0.50650979836539356</v>
      </c>
      <c r="T2" s="102"/>
    </row>
    <row r="3" spans="1:21">
      <c r="A3" s="2" t="s">
        <v>315</v>
      </c>
      <c r="B3" s="16" t="s">
        <v>316</v>
      </c>
      <c r="D3" s="14">
        <v>1</v>
      </c>
      <c r="E3" s="14">
        <v>0.9190629976538911</v>
      </c>
      <c r="F3" s="14">
        <v>6.7029256003317095E-4</v>
      </c>
      <c r="G3" s="14">
        <v>4.0643667201835471E-5</v>
      </c>
      <c r="H3" s="14">
        <v>70.366248698779785</v>
      </c>
      <c r="I3" s="14">
        <v>1765.3123914225978</v>
      </c>
      <c r="J3" s="14">
        <v>0</v>
      </c>
      <c r="K3" s="14">
        <v>1491.8858713731099</v>
      </c>
      <c r="L3" s="14">
        <v>6.7029256003317105E-4</v>
      </c>
      <c r="M3" s="14">
        <v>5.4997504550721677E-4</v>
      </c>
      <c r="N3" s="14">
        <v>110.68419385857966</v>
      </c>
      <c r="O3" s="14">
        <v>40389.769180934309</v>
      </c>
      <c r="P3" s="14">
        <v>110.68419385857966</v>
      </c>
      <c r="Q3" s="8">
        <v>5.6470491759993843E-2</v>
      </c>
      <c r="R3" s="54">
        <v>0.64739271114032104</v>
      </c>
      <c r="T3" s="109"/>
      <c r="U3" s="22"/>
    </row>
    <row r="4" spans="1:21">
      <c r="A4" s="2" t="s">
        <v>317</v>
      </c>
      <c r="B4" s="16" t="s">
        <v>318</v>
      </c>
      <c r="D4" s="14">
        <v>1</v>
      </c>
      <c r="E4" s="14">
        <v>0.82128946945289227</v>
      </c>
      <c r="F4" s="14">
        <v>0.43850277083143696</v>
      </c>
      <c r="G4" s="14">
        <v>6.0562086565036214E-14</v>
      </c>
      <c r="H4" s="14">
        <v>88.221074282676511</v>
      </c>
      <c r="I4" s="14">
        <v>194.99771070288293</v>
      </c>
      <c r="J4" s="14">
        <v>0</v>
      </c>
      <c r="K4" s="14">
        <v>2.2804873002373931</v>
      </c>
      <c r="L4" s="14">
        <v>0.43850277083143696</v>
      </c>
      <c r="M4" s="14">
        <v>0.35979152346719406</v>
      </c>
      <c r="N4" s="14">
        <v>11.808940929543153</v>
      </c>
      <c r="O4" s="14">
        <v>3747.2131357626331</v>
      </c>
      <c r="P4" s="14">
        <v>11.808940929543153</v>
      </c>
      <c r="Q4" s="8">
        <v>0.27863105074684535</v>
      </c>
      <c r="R4" s="54">
        <v>0.64337253004729089</v>
      </c>
      <c r="T4" s="102"/>
    </row>
    <row r="5" spans="1:21">
      <c r="A5" s="2" t="s">
        <v>307</v>
      </c>
      <c r="B5" s="16" t="s">
        <v>308</v>
      </c>
      <c r="D5" s="14">
        <v>1</v>
      </c>
      <c r="E5" s="14">
        <v>0.9347205440618741</v>
      </c>
      <c r="F5" s="14">
        <v>7.3822683905465664E-3</v>
      </c>
      <c r="G5" s="14">
        <v>1.4180068150025433E-6</v>
      </c>
      <c r="H5" s="14">
        <v>204.29128040794981</v>
      </c>
      <c r="I5" s="14">
        <v>548.9174045239223</v>
      </c>
      <c r="J5" s="14">
        <v>0</v>
      </c>
      <c r="K5" s="14">
        <v>135.45971876077542</v>
      </c>
      <c r="L5" s="14">
        <v>7.3822683905465664E-3</v>
      </c>
      <c r="M5" s="14">
        <v>6.057151214443458E-3</v>
      </c>
      <c r="N5" s="14">
        <v>33.471046630428575</v>
      </c>
      <c r="O5" s="14">
        <v>11734.614238161954</v>
      </c>
      <c r="P5" s="14">
        <v>33.471046630428575</v>
      </c>
      <c r="Q5" s="8">
        <v>8.3580891889029368E-2</v>
      </c>
      <c r="R5" s="54">
        <v>0.64768696881783161</v>
      </c>
      <c r="T5" s="102"/>
    </row>
    <row r="6" spans="1:21">
      <c r="A6" s="2" t="s">
        <v>319</v>
      </c>
      <c r="B6" s="16" t="s">
        <v>320</v>
      </c>
      <c r="D6" s="14">
        <v>1</v>
      </c>
      <c r="E6" s="14">
        <v>0.92400638523432799</v>
      </c>
      <c r="F6" s="14">
        <v>2.9665290458384588E-4</v>
      </c>
      <c r="G6" s="14">
        <v>1.31050020325042E-7</v>
      </c>
      <c r="H6" s="14">
        <v>44.412846107774548</v>
      </c>
      <c r="I6" s="14">
        <v>2019.6019238311403</v>
      </c>
      <c r="J6" s="14">
        <v>0</v>
      </c>
      <c r="K6" s="14">
        <v>3370.9428916694133</v>
      </c>
      <c r="L6" s="14">
        <v>2.9665290458384588E-4</v>
      </c>
      <c r="M6" s="14">
        <v>2.4340370821104555E-4</v>
      </c>
      <c r="N6" s="14">
        <v>127.58136221819647</v>
      </c>
      <c r="O6" s="14">
        <v>45226.317092728466</v>
      </c>
      <c r="P6" s="14">
        <v>127.58136221819647</v>
      </c>
      <c r="Q6" s="8">
        <v>4.2644769930474405E-2</v>
      </c>
      <c r="R6" s="54">
        <v>1.5942858720155918E-2</v>
      </c>
      <c r="T6" s="102"/>
    </row>
    <row r="7" spans="1:21">
      <c r="A7" s="2" t="s">
        <v>321</v>
      </c>
      <c r="B7" s="16" t="s">
        <v>322</v>
      </c>
      <c r="D7" s="14">
        <v>1</v>
      </c>
      <c r="E7" s="14">
        <v>0.92193154995103355</v>
      </c>
      <c r="F7" s="14">
        <v>5.9863598919111393E-4</v>
      </c>
      <c r="G7" s="14">
        <v>1.9509732293275929E-7</v>
      </c>
      <c r="H7" s="14">
        <v>66.194639678974738</v>
      </c>
      <c r="I7" s="14">
        <v>1811.673756415468</v>
      </c>
      <c r="J7" s="14">
        <v>0</v>
      </c>
      <c r="K7" s="14">
        <v>1670.464218750388</v>
      </c>
      <c r="L7" s="14">
        <v>5.9863598919111403E-4</v>
      </c>
      <c r="M7" s="14">
        <v>4.9118082913130899E-4</v>
      </c>
      <c r="N7" s="14">
        <v>113.71564983177257</v>
      </c>
      <c r="O7" s="14">
        <v>40311.060708865058</v>
      </c>
      <c r="P7" s="14">
        <v>113.71564983177258</v>
      </c>
      <c r="Q7" s="8">
        <v>5.4535587148921129E-2</v>
      </c>
      <c r="R7" s="54">
        <v>0.44539944042321422</v>
      </c>
    </row>
    <row r="8" spans="1:21">
      <c r="A8" s="2" t="s">
        <v>323</v>
      </c>
      <c r="B8" s="16" t="s">
        <v>324</v>
      </c>
      <c r="D8" s="14">
        <v>1</v>
      </c>
      <c r="E8" s="14">
        <v>0.92100391443433649</v>
      </c>
      <c r="F8" s="14">
        <v>1.3508130871664997E-3</v>
      </c>
      <c r="G8" s="14">
        <v>1.8665677041226209E-6</v>
      </c>
      <c r="H8" s="14">
        <v>102.05052882915074</v>
      </c>
      <c r="I8" s="14">
        <v>1475.2731229590131</v>
      </c>
      <c r="J8" s="14">
        <v>0</v>
      </c>
      <c r="K8" s="14">
        <v>740.29487091928138</v>
      </c>
      <c r="L8" s="14">
        <v>1.3508130871664999E-3</v>
      </c>
      <c r="M8" s="14">
        <v>1.1083421380201131E-3</v>
      </c>
      <c r="N8" s="14">
        <v>91.859700976855251</v>
      </c>
      <c r="O8" s="14">
        <v>29398.778700632756</v>
      </c>
      <c r="P8" s="14">
        <v>91.859700976855251</v>
      </c>
      <c r="Q8" s="8">
        <v>6.9354146317852125E-2</v>
      </c>
      <c r="R8" s="54">
        <v>0.5631338766446663</v>
      </c>
    </row>
    <row r="9" spans="1:21">
      <c r="A9" s="2" t="s">
        <v>325</v>
      </c>
      <c r="B9" s="16" t="s">
        <v>326</v>
      </c>
      <c r="D9" s="14">
        <v>1</v>
      </c>
      <c r="E9" s="14">
        <v>0.88414833505759316</v>
      </c>
      <c r="F9" s="14">
        <v>6.8061783029055314E-2</v>
      </c>
      <c r="G9" s="14">
        <v>1.2867429868858531E-6</v>
      </c>
      <c r="H9" s="14">
        <v>193.93818291539637</v>
      </c>
      <c r="I9" s="14">
        <v>352.63100345780947</v>
      </c>
      <c r="J9" s="14">
        <v>0</v>
      </c>
      <c r="K9" s="14">
        <v>14.692533100008614</v>
      </c>
      <c r="L9" s="14">
        <v>6.8061783029055328E-2</v>
      </c>
      <c r="M9" s="14">
        <v>5.5844692975339894E-2</v>
      </c>
      <c r="N9" s="14">
        <v>21.115103735725253</v>
      </c>
      <c r="O9" s="14">
        <v>6426.3818219679815</v>
      </c>
      <c r="P9" s="14">
        <v>21.115103735725256</v>
      </c>
      <c r="Q9" s="8">
        <v>0.17215533784881776</v>
      </c>
      <c r="R9" s="54">
        <v>0.60961518703604822</v>
      </c>
    </row>
    <row r="10" spans="1:21">
      <c r="A10" s="2" t="s">
        <v>275</v>
      </c>
      <c r="B10" s="16" t="s">
        <v>276</v>
      </c>
      <c r="D10" s="14">
        <v>1</v>
      </c>
      <c r="E10" s="14">
        <v>0.93363610230503813</v>
      </c>
      <c r="F10" s="14">
        <v>6.863887762084602E-3</v>
      </c>
      <c r="G10" s="14">
        <v>1.8214559008328223E-8</v>
      </c>
      <c r="H10" s="14">
        <v>200.07377815013729</v>
      </c>
      <c r="I10" s="14">
        <v>586.47208336726862</v>
      </c>
      <c r="J10" s="14">
        <v>0</v>
      </c>
      <c r="K10" s="14">
        <v>145.69002796401995</v>
      </c>
      <c r="L10" s="14">
        <v>6.863887762084602E-3</v>
      </c>
      <c r="M10" s="14">
        <v>5.6318199087904159E-3</v>
      </c>
      <c r="N10" s="14">
        <v>35.799059293411254</v>
      </c>
      <c r="O10" s="14">
        <v>13263.193477615936</v>
      </c>
      <c r="P10" s="14">
        <v>35.799059293411254</v>
      </c>
      <c r="Q10" s="8">
        <v>8.403251159847297E-2</v>
      </c>
      <c r="R10" s="54">
        <v>0.40817610710510821</v>
      </c>
    </row>
    <row r="11" spans="1:21">
      <c r="A11" s="2" t="s">
        <v>327</v>
      </c>
      <c r="B11" s="16" t="s">
        <v>328</v>
      </c>
      <c r="D11" s="14">
        <v>1</v>
      </c>
      <c r="E11" s="14">
        <v>0.93168297726677796</v>
      </c>
      <c r="F11" s="14">
        <v>6.0593456670802728E-3</v>
      </c>
      <c r="G11" s="14">
        <v>9.4814381431425312E-7</v>
      </c>
      <c r="H11" s="14">
        <v>192.59531940608102</v>
      </c>
      <c r="I11" s="14">
        <v>652.68389882760721</v>
      </c>
      <c r="J11" s="14">
        <v>0</v>
      </c>
      <c r="K11" s="14">
        <v>165.03432135137706</v>
      </c>
      <c r="L11" s="14">
        <v>6.0593456670802737E-3</v>
      </c>
      <c r="M11" s="14">
        <v>4.9716931198393642E-3</v>
      </c>
      <c r="N11" s="14">
        <v>39.91172947354994</v>
      </c>
      <c r="O11" s="14">
        <v>15202.77687376991</v>
      </c>
      <c r="P11" s="14">
        <v>39.911729473549947</v>
      </c>
      <c r="Q11" s="8">
        <v>8.4508987631648991E-2</v>
      </c>
      <c r="R11" s="54">
        <v>0.29944633252750819</v>
      </c>
    </row>
    <row r="12" spans="1:21">
      <c r="A12" s="2" t="s">
        <v>329</v>
      </c>
      <c r="B12" s="16" t="s">
        <v>330</v>
      </c>
      <c r="D12" s="14">
        <v>1</v>
      </c>
      <c r="E12" s="14">
        <v>0.90286442267268829</v>
      </c>
      <c r="F12" s="14">
        <v>4.269222397003055E-2</v>
      </c>
      <c r="G12" s="14">
        <v>6.5795662895005576E-7</v>
      </c>
      <c r="H12" s="14">
        <v>205.66897285726728</v>
      </c>
      <c r="I12" s="14">
        <v>359.77083149361357</v>
      </c>
      <c r="J12" s="14">
        <v>0</v>
      </c>
      <c r="K12" s="14">
        <v>23.423469358307226</v>
      </c>
      <c r="L12" s="14">
        <v>4.2692223970030557E-2</v>
      </c>
      <c r="M12" s="14">
        <v>3.5028969767410073E-2</v>
      </c>
      <c r="N12" s="14">
        <v>21.600698365548904</v>
      </c>
      <c r="O12" s="14">
        <v>5927.2316315066191</v>
      </c>
      <c r="P12" s="14">
        <v>21.600698365548908</v>
      </c>
      <c r="Q12" s="8">
        <v>0.1419796005257698</v>
      </c>
      <c r="R12" s="54">
        <v>2.0575519549267521E-2</v>
      </c>
    </row>
    <row r="13" spans="1:21">
      <c r="A13" s="2" t="s">
        <v>277</v>
      </c>
      <c r="B13" s="16" t="s">
        <v>278</v>
      </c>
      <c r="D13" s="14">
        <v>1</v>
      </c>
      <c r="E13" s="14">
        <v>0.88595218306758694</v>
      </c>
      <c r="F13" s="14">
        <v>6.5153697590541931E-2</v>
      </c>
      <c r="G13" s="14">
        <v>1.9982395728872202E-6</v>
      </c>
      <c r="H13" s="14">
        <v>195.17269891963247</v>
      </c>
      <c r="I13" s="14">
        <v>353.57067571814986</v>
      </c>
      <c r="J13" s="14">
        <v>0</v>
      </c>
      <c r="K13" s="14">
        <v>15.348323072690279</v>
      </c>
      <c r="L13" s="14">
        <v>6.5153697590541945E-2</v>
      </c>
      <c r="M13" s="14">
        <v>5.3458608873039659E-2</v>
      </c>
      <c r="N13" s="14">
        <v>21.176273034931921</v>
      </c>
      <c r="O13" s="14">
        <v>8617.2607861048473</v>
      </c>
      <c r="P13" s="14">
        <v>21.176273034931924</v>
      </c>
      <c r="Q13" s="8">
        <v>0.16915165000875276</v>
      </c>
      <c r="R13" s="54">
        <v>6.7855953736643071E-3</v>
      </c>
    </row>
    <row r="14" spans="1:21">
      <c r="A14" s="2" t="s">
        <v>331</v>
      </c>
      <c r="B14" s="16" t="s">
        <v>332</v>
      </c>
      <c r="D14" s="14">
        <v>1</v>
      </c>
      <c r="E14" s="14">
        <v>0.92657964357968037</v>
      </c>
      <c r="F14" s="14">
        <v>4.007928564398482E-3</v>
      </c>
      <c r="G14" s="14">
        <v>6.2983742072038828E-7</v>
      </c>
      <c r="H14" s="14">
        <v>166.60958102065825</v>
      </c>
      <c r="I14" s="14">
        <v>885.23207805503466</v>
      </c>
      <c r="J14" s="14">
        <v>0</v>
      </c>
      <c r="K14" s="14">
        <v>249.50544500288069</v>
      </c>
      <c r="L14" s="14">
        <v>4.007928564398482E-3</v>
      </c>
      <c r="M14" s="14">
        <v>3.2885053870889548E-3</v>
      </c>
      <c r="N14" s="14">
        <v>54.434232956445548</v>
      </c>
      <c r="O14" s="14">
        <v>20734.543675439676</v>
      </c>
      <c r="P14" s="14">
        <v>54.434232956445555</v>
      </c>
      <c r="Q14" s="8">
        <v>8.3725383025669967E-2</v>
      </c>
      <c r="R14" s="54">
        <v>5.5779412875837182E-4</v>
      </c>
    </row>
    <row r="15" spans="1:21">
      <c r="A15" s="2" t="s">
        <v>333</v>
      </c>
      <c r="B15" s="16" t="s">
        <v>334</v>
      </c>
      <c r="D15" s="14">
        <v>1</v>
      </c>
      <c r="E15" s="14">
        <v>0.93267946868152407</v>
      </c>
      <c r="F15" s="14">
        <v>6.4525006982487582E-3</v>
      </c>
      <c r="G15" s="14">
        <v>1.032467875791904E-9</v>
      </c>
      <c r="H15" s="14">
        <v>196.40297421636188</v>
      </c>
      <c r="I15" s="14">
        <v>619.02078402407778</v>
      </c>
      <c r="J15" s="14">
        <v>0</v>
      </c>
      <c r="K15" s="14">
        <v>154.97867365925356</v>
      </c>
      <c r="L15" s="14">
        <v>6.4525006982487582E-3</v>
      </c>
      <c r="M15" s="14">
        <v>5.2942768229131063E-3</v>
      </c>
      <c r="N15" s="14">
        <v>37.819492582187465</v>
      </c>
      <c r="O15" s="14">
        <v>14540.838507999439</v>
      </c>
      <c r="P15" s="14">
        <v>37.819492582187472</v>
      </c>
      <c r="Q15" s="8">
        <v>8.4315075062312728E-2</v>
      </c>
      <c r="R15" s="54">
        <v>0.64526076538009502</v>
      </c>
    </row>
    <row r="16" spans="1:21">
      <c r="A16" s="2" t="s">
        <v>335</v>
      </c>
      <c r="B16" s="16" t="s">
        <v>336</v>
      </c>
      <c r="D16" s="14">
        <v>1</v>
      </c>
      <c r="E16" s="14">
        <v>0.92084433945198041</v>
      </c>
      <c r="F16" s="14">
        <v>1.3984745513693551E-3</v>
      </c>
      <c r="G16" s="14">
        <v>4.852695663587271E-6</v>
      </c>
      <c r="H16" s="14">
        <v>103.83758231231793</v>
      </c>
      <c r="I16" s="14">
        <v>1458.1820187003752</v>
      </c>
      <c r="J16" s="14">
        <v>0</v>
      </c>
      <c r="K16" s="14">
        <v>715.0648533581267</v>
      </c>
      <c r="L16" s="14">
        <v>1.3984745513693551E-3</v>
      </c>
      <c r="M16" s="14">
        <v>1.1474483693985559E-3</v>
      </c>
      <c r="N16" s="14">
        <v>90.762423661737941</v>
      </c>
      <c r="O16" s="14">
        <v>33883.428001400011</v>
      </c>
      <c r="P16" s="14">
        <v>90.762423661737955</v>
      </c>
      <c r="Q16" s="8">
        <v>6.995386885711416E-2</v>
      </c>
      <c r="R16" s="54">
        <v>0.19112754422111536</v>
      </c>
    </row>
    <row r="17" spans="1:22">
      <c r="A17" s="2" t="s">
        <v>337</v>
      </c>
      <c r="B17" s="16" t="s">
        <v>338</v>
      </c>
      <c r="D17" s="14">
        <v>1</v>
      </c>
      <c r="E17" s="14">
        <v>0.93439450673954005</v>
      </c>
      <c r="F17" s="14">
        <v>7.2066423267582646E-3</v>
      </c>
      <c r="G17" s="14">
        <v>3.6420126992146723E-7</v>
      </c>
      <c r="H17" s="14">
        <v>202.91444666805961</v>
      </c>
      <c r="I17" s="14">
        <v>561.26781481665103</v>
      </c>
      <c r="J17" s="14">
        <v>0</v>
      </c>
      <c r="K17" s="14">
        <v>138.76087568367308</v>
      </c>
      <c r="L17" s="14">
        <v>7.2066423267582646E-3</v>
      </c>
      <c r="M17" s="14">
        <v>5.9130500291051562E-3</v>
      </c>
      <c r="N17" s="14">
        <v>34.236253657891538</v>
      </c>
      <c r="O17" s="14">
        <v>13328.858274090335</v>
      </c>
      <c r="P17" s="14">
        <v>34.236253657891545</v>
      </c>
      <c r="Q17" s="8">
        <v>8.37471697448222E-2</v>
      </c>
      <c r="R17" s="54">
        <v>0.11132121106806854</v>
      </c>
    </row>
    <row r="18" spans="1:22">
      <c r="A18" s="2" t="s">
        <v>279</v>
      </c>
      <c r="B18" s="16" t="s">
        <v>280</v>
      </c>
      <c r="D18" s="14">
        <v>1</v>
      </c>
      <c r="E18" s="14">
        <v>0.87340023333086836</v>
      </c>
      <c r="F18" s="14">
        <v>8.2400274212043295E-2</v>
      </c>
      <c r="G18" s="14">
        <v>3.9082032777396848E-5</v>
      </c>
      <c r="H18" s="14">
        <v>187.47728560400213</v>
      </c>
      <c r="I18" s="14">
        <v>346.58185968076856</v>
      </c>
      <c r="J18" s="14">
        <v>0</v>
      </c>
      <c r="K18" s="14">
        <v>12.135881944114256</v>
      </c>
      <c r="L18" s="14">
        <v>8.2400274212043309E-2</v>
      </c>
      <c r="M18" s="14">
        <v>6.7609424990981534E-2</v>
      </c>
      <c r="N18" s="14">
        <v>20.732957038699162</v>
      </c>
      <c r="O18" s="14">
        <v>6029.7658955648767</v>
      </c>
      <c r="P18" s="14">
        <v>20.732957038699162</v>
      </c>
      <c r="Q18" s="8">
        <v>0.18535564957826689</v>
      </c>
      <c r="R18" s="54">
        <v>0.14925670744053277</v>
      </c>
    </row>
    <row r="19" spans="1:22">
      <c r="A19" s="2" t="s">
        <v>339</v>
      </c>
      <c r="B19" s="16" t="s">
        <v>340</v>
      </c>
      <c r="D19" s="14">
        <v>1</v>
      </c>
      <c r="E19" s="14">
        <v>0.9324904292447378</v>
      </c>
      <c r="F19" s="14">
        <v>6.3724757572323504E-3</v>
      </c>
      <c r="G19" s="14">
        <v>3.6184008740716636E-9</v>
      </c>
      <c r="H19" s="14">
        <v>195.65375708823331</v>
      </c>
      <c r="I19" s="14">
        <v>625.67004475725605</v>
      </c>
      <c r="J19" s="14">
        <v>0</v>
      </c>
      <c r="K19" s="14">
        <v>156.92488101897669</v>
      </c>
      <c r="L19" s="14">
        <v>6.3724757572323504E-3</v>
      </c>
      <c r="M19" s="14">
        <v>5.228616358809144E-3</v>
      </c>
      <c r="N19" s="14">
        <v>38.232543400670636</v>
      </c>
      <c r="O19" s="14">
        <v>13215.078626441804</v>
      </c>
      <c r="P19" s="14">
        <v>38.232543400670636</v>
      </c>
      <c r="Q19" s="8">
        <v>8.4361707763639715E-2</v>
      </c>
      <c r="R19" s="54">
        <v>2.2322475832670069E-3</v>
      </c>
    </row>
    <row r="20" spans="1:22">
      <c r="A20" s="2" t="s">
        <v>281</v>
      </c>
      <c r="B20" s="16" t="s">
        <v>282</v>
      </c>
      <c r="D20" s="14">
        <v>1</v>
      </c>
      <c r="E20" s="14">
        <v>0.8860573630067976</v>
      </c>
      <c r="F20" s="14">
        <v>6.5161432615166159E-2</v>
      </c>
      <c r="G20" s="14">
        <v>3.0248170452278422E-7</v>
      </c>
      <c r="H20" s="14">
        <v>195.195869755486</v>
      </c>
      <c r="I20" s="14">
        <v>353.61265150746385</v>
      </c>
      <c r="J20" s="14">
        <v>0</v>
      </c>
      <c r="K20" s="14">
        <v>15.346501141340044</v>
      </c>
      <c r="L20" s="14">
        <v>6.5161432615166173E-2</v>
      </c>
      <c r="M20" s="14">
        <v>5.346495546074384E-2</v>
      </c>
      <c r="N20" s="14">
        <v>21.178787074801217</v>
      </c>
      <c r="O20" s="14">
        <v>6168.5335234066024</v>
      </c>
      <c r="P20" s="14">
        <v>21.178787074801217</v>
      </c>
      <c r="Q20" s="8">
        <v>0.16917173163460719</v>
      </c>
      <c r="R20" s="54">
        <v>0.44746106725120954</v>
      </c>
    </row>
    <row r="21" spans="1:22">
      <c r="A21" s="2" t="s">
        <v>341</v>
      </c>
      <c r="B21" s="16" t="s">
        <v>342</v>
      </c>
      <c r="D21" s="14">
        <v>1</v>
      </c>
      <c r="E21" s="14">
        <v>0.92762854681705686</v>
      </c>
      <c r="F21" s="14">
        <v>4.5376601189226155E-3</v>
      </c>
      <c r="G21" s="14">
        <v>5.2795930781760498E-6</v>
      </c>
      <c r="H21" s="14">
        <v>174.4905707167251</v>
      </c>
      <c r="I21" s="14">
        <v>813.63408500688479</v>
      </c>
      <c r="J21" s="14">
        <v>0</v>
      </c>
      <c r="K21" s="14">
        <v>220.37789825418471</v>
      </c>
      <c r="L21" s="14">
        <v>4.5376601189226163E-3</v>
      </c>
      <c r="M21" s="14">
        <v>3.7231501275760063E-3</v>
      </c>
      <c r="N21" s="14">
        <v>49.950497846743986</v>
      </c>
      <c r="O21" s="14">
        <v>16747.402918056323</v>
      </c>
      <c r="P21" s="14">
        <v>49.950497846743993</v>
      </c>
      <c r="Q21" s="8">
        <v>8.4300302666767343E-2</v>
      </c>
      <c r="R21" s="54">
        <v>2.2630962769670464E-2</v>
      </c>
      <c r="U21" s="22"/>
    </row>
    <row r="22" spans="1:22">
      <c r="A22" s="2" t="s">
        <v>343</v>
      </c>
      <c r="B22" s="16" t="s">
        <v>344</v>
      </c>
      <c r="D22" s="14">
        <v>1</v>
      </c>
      <c r="E22" s="14">
        <v>0.85253383398212879</v>
      </c>
      <c r="F22" s="14">
        <v>0.67403190184911854</v>
      </c>
      <c r="G22" s="14">
        <v>2.606327220435206E-5</v>
      </c>
      <c r="H22" s="14">
        <v>40.831981141876547</v>
      </c>
      <c r="I22" s="14">
        <v>98.59562013052728</v>
      </c>
      <c r="J22" s="14">
        <v>0</v>
      </c>
      <c r="K22" s="14">
        <v>1.4836093028484711</v>
      </c>
      <c r="L22" s="14">
        <v>0.67403190184911865</v>
      </c>
      <c r="M22" s="14">
        <v>0.55304317546720183</v>
      </c>
      <c r="N22" s="14">
        <v>6.3194228073874124</v>
      </c>
      <c r="O22" s="14">
        <v>1037.6492249730129</v>
      </c>
      <c r="P22" s="14">
        <v>6.3194228073874124</v>
      </c>
      <c r="Q22" s="8">
        <v>0.22911716289820311</v>
      </c>
      <c r="U22" s="22"/>
      <c r="V22" s="22"/>
    </row>
    <row r="23" spans="1:22">
      <c r="A23" s="2" t="s">
        <v>345</v>
      </c>
      <c r="B23" s="16" t="s">
        <v>346</v>
      </c>
      <c r="D23" s="14">
        <v>1</v>
      </c>
      <c r="E23" s="14">
        <v>0.89455104743033009</v>
      </c>
      <c r="F23" s="14">
        <v>0.81396812308770783</v>
      </c>
      <c r="G23" s="14">
        <v>1.0607569475557109E-6</v>
      </c>
      <c r="H23" s="14">
        <v>18.594623840140496</v>
      </c>
      <c r="I23" s="14">
        <v>48.244139880308047</v>
      </c>
      <c r="J23" s="14">
        <v>0</v>
      </c>
      <c r="K23" s="14">
        <v>1.2285493395080369</v>
      </c>
      <c r="L23" s="14">
        <v>0.81396812308770794</v>
      </c>
      <c r="M23" s="14">
        <v>0.66786084499346432</v>
      </c>
      <c r="N23" s="14">
        <v>3.4987414733647135</v>
      </c>
      <c r="O23" s="14">
        <v>528.86976111381011</v>
      </c>
      <c r="P23" s="14">
        <v>3.4987414733647135</v>
      </c>
      <c r="Q23" s="8">
        <v>0.16643496460849036</v>
      </c>
      <c r="U23" s="22"/>
      <c r="V23" s="22"/>
    </row>
    <row r="24" spans="1:22">
      <c r="A24" s="2" t="s">
        <v>347</v>
      </c>
      <c r="B24" s="16" t="s">
        <v>348</v>
      </c>
      <c r="D24" s="14">
        <v>1</v>
      </c>
      <c r="E24" s="14">
        <v>0.83369811587628273</v>
      </c>
      <c r="F24" s="14">
        <v>0.21201652800932963</v>
      </c>
      <c r="G24" s="14">
        <v>9.761986571193558E-7</v>
      </c>
      <c r="H24" s="14">
        <v>145.24785188952967</v>
      </c>
      <c r="I24" s="14">
        <v>293.33702897795627</v>
      </c>
      <c r="J24" s="14">
        <v>0</v>
      </c>
      <c r="K24" s="14">
        <v>4.7166134140070231</v>
      </c>
      <c r="L24" s="14">
        <v>0.21201652800932966</v>
      </c>
      <c r="M24" s="14">
        <v>0.17395956123165499</v>
      </c>
      <c r="N24" s="14">
        <v>17.522410975303167</v>
      </c>
      <c r="O24" s="14">
        <v>3088.3249343971829</v>
      </c>
      <c r="P24" s="14">
        <v>17.522410975303167</v>
      </c>
      <c r="Q24" s="8">
        <v>0.25513314875829618</v>
      </c>
      <c r="U24" s="22"/>
      <c r="V24" s="22"/>
    </row>
    <row r="25" spans="1:22">
      <c r="A25" s="2" t="s">
        <v>349</v>
      </c>
      <c r="B25" s="16" t="s">
        <v>350</v>
      </c>
      <c r="D25" s="14">
        <v>1</v>
      </c>
      <c r="E25" s="14">
        <v>0.91342960396937112</v>
      </c>
      <c r="F25" s="14">
        <v>2.2678799792017229E-2</v>
      </c>
      <c r="G25" s="14">
        <v>1.6035723336116372E-4</v>
      </c>
      <c r="H25" s="14">
        <v>214.61499724528539</v>
      </c>
      <c r="I25" s="14">
        <v>357.20476027013376</v>
      </c>
      <c r="J25" s="14">
        <v>0</v>
      </c>
      <c r="K25" s="14">
        <v>44.09404418094438</v>
      </c>
      <c r="L25" s="14">
        <v>2.2678799792017233E-2</v>
      </c>
      <c r="M25" s="14">
        <v>1.8607955229350139E-2</v>
      </c>
      <c r="N25" s="14">
        <v>21.534041101545302</v>
      </c>
      <c r="O25" s="14">
        <v>4140.9961038271613</v>
      </c>
      <c r="P25" s="14">
        <v>21.534041101545302</v>
      </c>
      <c r="Q25" s="8">
        <v>0.10723023008439976</v>
      </c>
      <c r="U25" s="22"/>
      <c r="V25" s="22"/>
    </row>
    <row r="26" spans="1:22">
      <c r="A26" s="2" t="s">
        <v>351</v>
      </c>
      <c r="B26" s="16" t="s">
        <v>352</v>
      </c>
      <c r="D26" s="14">
        <v>1</v>
      </c>
      <c r="E26" s="14">
        <v>0.92866315921257614</v>
      </c>
      <c r="F26" s="14">
        <v>4.9203606869246868E-3</v>
      </c>
      <c r="G26" s="14">
        <v>4.2403863474773207E-6</v>
      </c>
      <c r="H26" s="14">
        <v>179.62920172227865</v>
      </c>
      <c r="I26" s="14">
        <v>767.77525452654731</v>
      </c>
      <c r="J26" s="14">
        <v>0</v>
      </c>
      <c r="K26" s="14">
        <v>203.23713313485109</v>
      </c>
      <c r="L26" s="14">
        <v>4.9203606869246868E-3</v>
      </c>
      <c r="M26" s="14">
        <v>4.0371559436217057E-3</v>
      </c>
      <c r="N26" s="14">
        <v>47.084318155715117</v>
      </c>
      <c r="O26" s="14">
        <v>10470.13982828637</v>
      </c>
      <c r="P26" s="14">
        <v>47.084318155715117</v>
      </c>
      <c r="Q26" s="8">
        <v>8.4534523823291297E-2</v>
      </c>
    </row>
    <row r="27" spans="1:22">
      <c r="A27" s="2" t="s">
        <v>353</v>
      </c>
      <c r="B27" s="16" t="s">
        <v>354</v>
      </c>
      <c r="D27" s="14">
        <v>1</v>
      </c>
      <c r="E27" s="14">
        <v>0.91967897656772224</v>
      </c>
      <c r="F27" s="14">
        <v>7.3808203093307396E-4</v>
      </c>
      <c r="G27" s="14">
        <v>2.8218447731568556E-5</v>
      </c>
      <c r="H27" s="14">
        <v>74.200124210591198</v>
      </c>
      <c r="I27" s="14">
        <v>1731.2580390874589</v>
      </c>
      <c r="J27" s="14">
        <v>0</v>
      </c>
      <c r="K27" s="14">
        <v>1354.8629530186674</v>
      </c>
      <c r="L27" s="14">
        <v>7.3808203093307396E-4</v>
      </c>
      <c r="M27" s="14">
        <v>6.0559630638058715E-4</v>
      </c>
      <c r="N27" s="14">
        <v>108.44989553822677</v>
      </c>
      <c r="O27" s="14">
        <v>25636.470806281424</v>
      </c>
      <c r="P27" s="14">
        <v>108.44989553822677</v>
      </c>
      <c r="Q27" s="8">
        <v>5.8258835972725687E-2</v>
      </c>
    </row>
    <row r="28" spans="1:22">
      <c r="A28" s="2" t="s">
        <v>355</v>
      </c>
      <c r="B28" s="16" t="s">
        <v>356</v>
      </c>
      <c r="D28" s="14">
        <v>1</v>
      </c>
      <c r="E28" s="14">
        <v>0.92329205170456941</v>
      </c>
      <c r="F28" s="14">
        <v>2.6946239247233783E-3</v>
      </c>
      <c r="G28" s="14">
        <v>1.5791618700568745E-6</v>
      </c>
      <c r="H28" s="14">
        <v>141.51359419866586</v>
      </c>
      <c r="I28" s="14">
        <v>1112.3855333504421</v>
      </c>
      <c r="J28" s="14">
        <v>0</v>
      </c>
      <c r="K28" s="14">
        <v>371.10930056878232</v>
      </c>
      <c r="L28" s="14">
        <v>2.6946239247233783E-3</v>
      </c>
      <c r="M28" s="14">
        <v>2.2109389302355322E-3</v>
      </c>
      <c r="N28" s="14">
        <v>68.737156732330078</v>
      </c>
      <c r="O28" s="14">
        <v>17761.681299634092</v>
      </c>
      <c r="P28" s="14">
        <v>68.737156732330078</v>
      </c>
      <c r="Q28" s="8">
        <v>8.0030463511507693E-2</v>
      </c>
    </row>
    <row r="29" spans="1:22">
      <c r="A29" s="2" t="s">
        <v>357</v>
      </c>
      <c r="B29" s="16" t="s">
        <v>358</v>
      </c>
      <c r="D29" s="14">
        <v>1</v>
      </c>
      <c r="E29" s="14">
        <v>0.90618392382414414</v>
      </c>
      <c r="F29" s="14">
        <v>4.0855483827362069E-3</v>
      </c>
      <c r="G29" s="14">
        <v>3.2164651160031986E-4</v>
      </c>
      <c r="H29" s="14">
        <v>165.48184638927265</v>
      </c>
      <c r="I29" s="14">
        <v>841.79730054527954</v>
      </c>
      <c r="J29" s="14">
        <v>0</v>
      </c>
      <c r="K29" s="14">
        <v>244.76518359825948</v>
      </c>
      <c r="L29" s="14">
        <v>4.0855483827362078E-3</v>
      </c>
      <c r="M29" s="14">
        <v>3.3521924480350582E-3</v>
      </c>
      <c r="N29" s="14">
        <v>51.735368652675284</v>
      </c>
      <c r="O29" s="14">
        <v>12229.72379580591</v>
      </c>
      <c r="P29" s="14">
        <v>51.735368652675291</v>
      </c>
      <c r="Q29" s="8">
        <v>8.2074364509011788E-2</v>
      </c>
    </row>
    <row r="30" spans="1:22">
      <c r="A30" s="2" t="s">
        <v>359</v>
      </c>
      <c r="B30" s="16" t="s">
        <v>360</v>
      </c>
      <c r="D30" s="14">
        <v>1</v>
      </c>
      <c r="E30" s="14">
        <v>0.92329205170456941</v>
      </c>
      <c r="F30" s="14">
        <v>2.6946239247233783E-3</v>
      </c>
      <c r="G30" s="14">
        <v>1.5791618700568745E-6</v>
      </c>
      <c r="H30" s="14">
        <v>141.51359419866586</v>
      </c>
      <c r="I30" s="14">
        <v>1112.3855333504421</v>
      </c>
      <c r="J30" s="14">
        <v>0</v>
      </c>
      <c r="K30" s="14">
        <v>371.10930056878232</v>
      </c>
      <c r="L30" s="14">
        <v>2.6946239247233783E-3</v>
      </c>
      <c r="M30" s="14">
        <v>2.2109389302355322E-3</v>
      </c>
      <c r="N30" s="14">
        <v>68.737156732330078</v>
      </c>
      <c r="O30" s="14">
        <v>17761.681299634092</v>
      </c>
      <c r="P30" s="14">
        <v>68.737156732330078</v>
      </c>
      <c r="Q30" s="8">
        <v>8.0030463511507693E-2</v>
      </c>
    </row>
    <row r="31" spans="1:22">
      <c r="A31" s="2" t="s">
        <v>283</v>
      </c>
      <c r="B31" s="16" t="s">
        <v>284</v>
      </c>
      <c r="D31" s="14">
        <v>1</v>
      </c>
      <c r="E31" s="14">
        <v>0.9896570281492405</v>
      </c>
      <c r="F31" s="14">
        <v>0.99267421964116331</v>
      </c>
      <c r="G31" s="14">
        <v>2.9519923712544687E-10</v>
      </c>
      <c r="H31" s="14">
        <v>0.17293653103336104</v>
      </c>
      <c r="I31" s="14">
        <v>0.64260472404903246</v>
      </c>
      <c r="J31" s="14">
        <v>0</v>
      </c>
      <c r="K31" s="14">
        <v>1.0073798434711891</v>
      </c>
      <c r="L31" s="14">
        <v>0.99267421964116331</v>
      </c>
      <c r="M31" s="14">
        <v>0.81448919721557456</v>
      </c>
      <c r="N31" s="14">
        <v>0.90932778042985474</v>
      </c>
      <c r="O31" s="14">
        <v>176.58236168167349</v>
      </c>
      <c r="P31" s="14">
        <v>0.90932778042985474</v>
      </c>
      <c r="Q31" s="8">
        <v>1.5986151112074565E-2</v>
      </c>
    </row>
    <row r="32" spans="1:22">
      <c r="A32" s="2" t="s">
        <v>361</v>
      </c>
      <c r="B32" s="16" t="s">
        <v>362</v>
      </c>
      <c r="D32" s="14">
        <v>1</v>
      </c>
      <c r="E32" s="14">
        <v>0.8299957941087599</v>
      </c>
      <c r="F32" s="14">
        <v>0.53399931979979998</v>
      </c>
      <c r="G32" s="14">
        <v>2.9035079666253311E-10</v>
      </c>
      <c r="H32" s="14">
        <v>67.963013027919288</v>
      </c>
      <c r="I32" s="14">
        <v>155.15040057851618</v>
      </c>
      <c r="J32" s="14">
        <v>0</v>
      </c>
      <c r="K32" s="14">
        <v>1.8726615613946975</v>
      </c>
      <c r="L32" s="14">
        <v>0.53399931979980009</v>
      </c>
      <c r="M32" s="14">
        <v>0.43814644189573593</v>
      </c>
      <c r="N32" s="14">
        <v>9.6385419975152349</v>
      </c>
      <c r="O32" s="14">
        <v>2468.3342201436762</v>
      </c>
      <c r="P32" s="14">
        <v>9.6385419975152349</v>
      </c>
      <c r="Q32" s="8">
        <v>0.26604365225756554</v>
      </c>
    </row>
    <row r="33" spans="1:17">
      <c r="A33" s="2" t="s">
        <v>364</v>
      </c>
      <c r="B33" s="16" t="s">
        <v>365</v>
      </c>
      <c r="D33" s="14">
        <v>1</v>
      </c>
      <c r="E33" s="14">
        <v>0.99963042344617736</v>
      </c>
      <c r="F33" s="14">
        <v>0.99932391466378501</v>
      </c>
      <c r="G33" s="14">
        <v>1.3408821677004008E-12</v>
      </c>
      <c r="H33" s="14">
        <v>1.1940053714993566</v>
      </c>
      <c r="I33" s="14">
        <v>3.3806111427719392E-3</v>
      </c>
      <c r="J33" s="14">
        <v>0</v>
      </c>
      <c r="K33" s="14">
        <v>1.0006765427368385</v>
      </c>
      <c r="L33" s="14">
        <v>0.99932391466378512</v>
      </c>
      <c r="M33" s="14">
        <v>0.81994527198163569</v>
      </c>
      <c r="N33" s="14">
        <v>0.89349395134200094</v>
      </c>
      <c r="O33" s="14">
        <v>264.60823368993357</v>
      </c>
      <c r="P33" s="14">
        <v>0.89349395134200105</v>
      </c>
      <c r="Q33" s="8">
        <v>3.854741137372625E-5</v>
      </c>
    </row>
    <row r="34" spans="1:17">
      <c r="A34" s="2" t="s">
        <v>285</v>
      </c>
      <c r="B34" s="16" t="s">
        <v>286</v>
      </c>
      <c r="D34" s="14">
        <v>1</v>
      </c>
      <c r="E34" s="14">
        <v>0.99931634383090551</v>
      </c>
      <c r="F34" s="14">
        <v>0.54949427700172748</v>
      </c>
      <c r="G34" s="14">
        <v>3.9860058146609931E-12</v>
      </c>
      <c r="H34" s="14">
        <v>128.44676582545878</v>
      </c>
      <c r="I34" s="14">
        <v>9.7669574597860742E-2</v>
      </c>
      <c r="J34" s="14">
        <v>0</v>
      </c>
      <c r="K34" s="14">
        <v>1.8198551683857778</v>
      </c>
      <c r="L34" s="14">
        <v>0.54949427700172748</v>
      </c>
      <c r="M34" s="14">
        <v>0.45086005427991743</v>
      </c>
      <c r="N34" s="14">
        <v>1.5557987548962808</v>
      </c>
      <c r="O34" s="14">
        <v>343.8937567822739</v>
      </c>
      <c r="P34" s="14">
        <v>1.5557987548962808</v>
      </c>
      <c r="Q34" s="8">
        <v>1.3132859442287851E-4</v>
      </c>
    </row>
    <row r="35" spans="1:17">
      <c r="A35" s="2" t="s">
        <v>287</v>
      </c>
      <c r="B35" s="16" t="s">
        <v>288</v>
      </c>
      <c r="D35" s="14">
        <v>1</v>
      </c>
      <c r="E35" s="14">
        <v>0.99910285920977049</v>
      </c>
      <c r="F35" s="14">
        <v>0.32532838655339386</v>
      </c>
      <c r="G35" s="14">
        <v>1.1611445656000928E-13</v>
      </c>
      <c r="H35" s="14">
        <v>191.82356558879917</v>
      </c>
      <c r="I35" s="14">
        <v>0.34394650232985713</v>
      </c>
      <c r="J35" s="14">
        <v>0</v>
      </c>
      <c r="K35" s="14">
        <v>3.0738172300125335</v>
      </c>
      <c r="L35" s="14">
        <v>0.32532838655339391</v>
      </c>
      <c r="M35" s="14">
        <v>0.26693194116705971</v>
      </c>
      <c r="N35" s="14">
        <v>1.8063442579601028</v>
      </c>
      <c r="O35" s="14">
        <v>415.92882883789326</v>
      </c>
      <c r="P35" s="14">
        <v>1.806344257960103</v>
      </c>
      <c r="Q35" s="8">
        <v>3.1790027043743192E-4</v>
      </c>
    </row>
    <row r="36" spans="1:17">
      <c r="A36" s="2" t="s">
        <v>366</v>
      </c>
      <c r="B36" s="16" t="s">
        <v>305</v>
      </c>
      <c r="D36" s="14">
        <v>1</v>
      </c>
      <c r="E36" s="14">
        <v>0.99902555247917679</v>
      </c>
      <c r="F36" s="14">
        <v>0.10851634109104799</v>
      </c>
      <c r="G36" s="14">
        <v>2.0469942201829655E-10</v>
      </c>
      <c r="H36" s="14">
        <v>253.14837386301289</v>
      </c>
      <c r="I36" s="14">
        <v>0.67108655950882057</v>
      </c>
      <c r="J36" s="14">
        <v>0</v>
      </c>
      <c r="K36" s="14">
        <v>9.2152019681623276</v>
      </c>
      <c r="L36" s="14">
        <v>0.10851634109104799</v>
      </c>
      <c r="M36" s="14">
        <v>8.9037657865204886E-2</v>
      </c>
      <c r="N36" s="14">
        <v>1.94580831113196</v>
      </c>
      <c r="O36" s="14">
        <v>401.38133842030072</v>
      </c>
      <c r="P36" s="14">
        <v>1.94580831113196</v>
      </c>
      <c r="Q36" s="8">
        <v>3.5528636516158707E-4</v>
      </c>
    </row>
    <row r="37" spans="1:17">
      <c r="A37" s="2" t="s">
        <v>289</v>
      </c>
      <c r="B37" s="16" t="s">
        <v>290</v>
      </c>
      <c r="D37" s="14">
        <v>1</v>
      </c>
      <c r="E37" s="14">
        <v>0.96686521969343686</v>
      </c>
      <c r="F37" s="14">
        <v>0.2174536244436884</v>
      </c>
      <c r="G37" s="14">
        <v>4.848070559778037E-17</v>
      </c>
      <c r="H37" s="14">
        <v>206.1990455676094</v>
      </c>
      <c r="I37" s="14">
        <v>65.180511932112466</v>
      </c>
      <c r="J37" s="14">
        <v>0</v>
      </c>
      <c r="K37" s="14">
        <v>4.5986816846962197</v>
      </c>
      <c r="L37" s="14">
        <v>0.2174536244436884</v>
      </c>
      <c r="M37" s="14">
        <v>0.17842069885604633</v>
      </c>
      <c r="N37" s="14">
        <v>5.3664893738278296</v>
      </c>
      <c r="O37" s="14">
        <v>1869.7922276290924</v>
      </c>
      <c r="P37" s="14">
        <v>5.3664893738278296</v>
      </c>
      <c r="Q37" s="8">
        <v>4.9695580397887004E-2</v>
      </c>
    </row>
    <row r="38" spans="1:17">
      <c r="A38" s="2" t="s">
        <v>291</v>
      </c>
      <c r="B38" s="16" t="s">
        <v>292</v>
      </c>
      <c r="D38" s="14">
        <v>1</v>
      </c>
      <c r="E38" s="14">
        <v>0.99862032181132998</v>
      </c>
      <c r="F38" s="14">
        <v>0.61594347812468153</v>
      </c>
      <c r="G38" s="14">
        <v>1.343068476969997E-14</v>
      </c>
      <c r="H38" s="14">
        <v>109.35555802986337</v>
      </c>
      <c r="I38" s="14">
        <v>0.84590097236403494</v>
      </c>
      <c r="J38" s="14">
        <v>0</v>
      </c>
      <c r="K38" s="14">
        <v>1.6235255920634593</v>
      </c>
      <c r="L38" s="14">
        <v>0.61594347812468153</v>
      </c>
      <c r="M38" s="14">
        <v>0.50538162380130125</v>
      </c>
      <c r="N38" s="14">
        <v>1.512891998358086</v>
      </c>
      <c r="O38" s="14">
        <v>466.46998985374859</v>
      </c>
      <c r="P38" s="14">
        <v>1.512891998358086</v>
      </c>
      <c r="Q38" s="8">
        <v>1.2715092507167387E-3</v>
      </c>
    </row>
    <row r="39" spans="1:17">
      <c r="A39" s="2" t="s">
        <v>367</v>
      </c>
      <c r="B39" s="16" t="s">
        <v>368</v>
      </c>
      <c r="D39" s="14">
        <v>1</v>
      </c>
      <c r="E39" s="14">
        <v>0.94202525399553305</v>
      </c>
      <c r="F39" s="14">
        <v>1.1021827707072147E-2</v>
      </c>
      <c r="G39" s="14">
        <v>1.7125454472333614E-7</v>
      </c>
      <c r="H39" s="14">
        <v>225.27532134437499</v>
      </c>
      <c r="I39" s="14">
        <v>364.30974516722381</v>
      </c>
      <c r="J39" s="14">
        <v>0</v>
      </c>
      <c r="K39" s="14">
        <v>90.72905388988714</v>
      </c>
      <c r="L39" s="14">
        <v>1.1021827707072147E-2</v>
      </c>
      <c r="M39" s="14">
        <v>9.0434096336526968E-3</v>
      </c>
      <c r="N39" s="14">
        <v>22.079194129875585</v>
      </c>
      <c r="O39" s="14">
        <v>6145.5228941095702</v>
      </c>
      <c r="P39" s="14">
        <v>22.079194129875589</v>
      </c>
      <c r="Q39" s="8">
        <v>7.9080751663121729E-2</v>
      </c>
    </row>
    <row r="40" spans="1:17">
      <c r="A40" s="2" t="s">
        <v>369</v>
      </c>
      <c r="B40" s="16" t="s">
        <v>370</v>
      </c>
      <c r="D40" s="14">
        <v>1</v>
      </c>
      <c r="E40" s="14">
        <v>0.9482961423455365</v>
      </c>
      <c r="F40" s="14">
        <v>9.7203026136461119E-4</v>
      </c>
      <c r="G40" s="14">
        <v>9.8676309197703235E-15</v>
      </c>
      <c r="H40" s="14">
        <v>251.08443181457264</v>
      </c>
      <c r="I40" s="14">
        <v>168.19062250144819</v>
      </c>
      <c r="J40" s="14">
        <v>0</v>
      </c>
      <c r="K40" s="14">
        <v>1028.7745554301187</v>
      </c>
      <c r="L40" s="14">
        <v>9.7203026136461119E-4</v>
      </c>
      <c r="M40" s="14">
        <v>7.9755082944966353E-4</v>
      </c>
      <c r="N40" s="14">
        <v>130.68476248803321</v>
      </c>
      <c r="O40" s="14">
        <v>53175.629856380714</v>
      </c>
      <c r="P40" s="14">
        <v>130.68476248803321</v>
      </c>
      <c r="Q40" s="8">
        <v>1.8758658534400265E-3</v>
      </c>
    </row>
    <row r="41" spans="1:17">
      <c r="A41" s="2" t="s">
        <v>371</v>
      </c>
      <c r="B41" s="16" t="s">
        <v>372</v>
      </c>
      <c r="D41" s="14">
        <v>1</v>
      </c>
      <c r="E41" s="14">
        <v>0.93274775039042046</v>
      </c>
      <c r="F41" s="14">
        <v>0.93635518928354344</v>
      </c>
      <c r="G41" s="14">
        <v>9.2800242133777374E-4</v>
      </c>
      <c r="H41" s="14">
        <v>8.1155997798524181E-3</v>
      </c>
      <c r="I41" s="14">
        <v>3.7616448722511873E-2</v>
      </c>
      <c r="J41" s="14">
        <v>0</v>
      </c>
      <c r="K41" s="14">
        <v>1.0679707993770555</v>
      </c>
      <c r="L41" s="14">
        <v>0.93635518928354344</v>
      </c>
      <c r="M41" s="14">
        <v>0.76827943280714739</v>
      </c>
      <c r="N41" s="14">
        <v>0.82602105829859218</v>
      </c>
      <c r="O41" s="14">
        <v>115.79989216287964</v>
      </c>
      <c r="P41" s="14">
        <v>0.82602105829859218</v>
      </c>
      <c r="Q41" s="8">
        <v>3.1562964907623716E-3</v>
      </c>
    </row>
    <row r="42" spans="1:17">
      <c r="A42" s="2" t="s">
        <v>293</v>
      </c>
      <c r="B42" s="16" t="s">
        <v>294</v>
      </c>
      <c r="D42" s="14">
        <v>1</v>
      </c>
      <c r="E42" s="14">
        <v>0.84551406711033184</v>
      </c>
      <c r="F42" s="14">
        <v>0.63500559730583095</v>
      </c>
      <c r="G42" s="14">
        <v>2.3478267211546421E-10</v>
      </c>
      <c r="H42" s="14">
        <v>48.176756018486095</v>
      </c>
      <c r="I42" s="14">
        <v>114.41809802525384</v>
      </c>
      <c r="J42" s="14">
        <v>0</v>
      </c>
      <c r="K42" s="14">
        <v>1.574789268382434</v>
      </c>
      <c r="L42" s="14">
        <v>0.63500559730583095</v>
      </c>
      <c r="M42" s="14">
        <v>0.52102209258943433</v>
      </c>
      <c r="N42" s="14">
        <v>7.2147480458137441</v>
      </c>
      <c r="O42" s="14">
        <v>2383.4641644150283</v>
      </c>
      <c r="P42" s="14">
        <v>7.2147480458137441</v>
      </c>
      <c r="Q42" s="8">
        <v>0.24271394220346626</v>
      </c>
    </row>
    <row r="43" spans="1:17">
      <c r="A43" s="2" t="s">
        <v>373</v>
      </c>
      <c r="B43" s="16" t="s">
        <v>374</v>
      </c>
      <c r="D43" s="14">
        <v>1</v>
      </c>
      <c r="E43" s="14">
        <v>0.99829516355276582</v>
      </c>
      <c r="F43" s="14">
        <v>8.8405493244862639E-3</v>
      </c>
      <c r="G43" s="14">
        <v>4.7869850501724803E-10</v>
      </c>
      <c r="H43" s="14">
        <v>280.99542663904094</v>
      </c>
      <c r="I43" s="14">
        <v>2.1967608920113078</v>
      </c>
      <c r="J43" s="14">
        <v>0</v>
      </c>
      <c r="K43" s="14">
        <v>113.11514288260716</v>
      </c>
      <c r="L43" s="14">
        <v>8.8405493244862639E-3</v>
      </c>
      <c r="M43" s="14">
        <v>7.2536707207409793E-3</v>
      </c>
      <c r="N43" s="14">
        <v>3.949218529048141</v>
      </c>
      <c r="O43" s="14">
        <v>1051.8348630266819</v>
      </c>
      <c r="P43" s="14">
        <v>3.9492185290481414</v>
      </c>
      <c r="Q43" s="8">
        <v>2.8443483803743759E-4</v>
      </c>
    </row>
    <row r="44" spans="1:17">
      <c r="A44" s="2" t="s">
        <v>375</v>
      </c>
      <c r="B44" s="16" t="s">
        <v>376</v>
      </c>
      <c r="D44" s="14">
        <v>1</v>
      </c>
      <c r="E44" s="14">
        <v>0.86726971212144377</v>
      </c>
      <c r="F44" s="14">
        <v>0.84257845519803365</v>
      </c>
      <c r="G44" s="14">
        <v>1.0419786913936011E-3</v>
      </c>
      <c r="H44" s="14">
        <v>6.0929883815226509</v>
      </c>
      <c r="I44" s="14">
        <v>17.206301188433752</v>
      </c>
      <c r="J44" s="14">
        <v>0</v>
      </c>
      <c r="K44" s="14">
        <v>1.1868331000286105</v>
      </c>
      <c r="L44" s="14">
        <v>0.84257845519803365</v>
      </c>
      <c r="M44" s="14">
        <v>0.69133562248998659</v>
      </c>
      <c r="N44" s="14">
        <v>1.7257027086402008</v>
      </c>
      <c r="O44" s="14">
        <v>257.819984670846</v>
      </c>
      <c r="P44" s="14">
        <v>1.7257027086402008</v>
      </c>
      <c r="Q44" s="8">
        <v>9.4599212427194448E-2</v>
      </c>
    </row>
    <row r="45" spans="1:17">
      <c r="A45" s="2" t="s">
        <v>377</v>
      </c>
      <c r="B45" s="16" t="s">
        <v>378</v>
      </c>
      <c r="D45" s="14">
        <v>1</v>
      </c>
      <c r="E45" s="14">
        <v>0.83805217978236335</v>
      </c>
      <c r="F45" s="14">
        <v>0.59666420602592751</v>
      </c>
      <c r="G45" s="14">
        <v>8.9970155878840029E-6</v>
      </c>
      <c r="H45" s="14">
        <v>55.292978533783653</v>
      </c>
      <c r="I45" s="14">
        <v>129.39787848406047</v>
      </c>
      <c r="J45" s="14">
        <v>0</v>
      </c>
      <c r="K45" s="14">
        <v>1.6759845653562564</v>
      </c>
      <c r="L45" s="14">
        <v>0.59666420602592751</v>
      </c>
      <c r="M45" s="14">
        <v>0.48956298104427354</v>
      </c>
      <c r="N45" s="14">
        <v>8.0632144521647238</v>
      </c>
      <c r="O45" s="14">
        <v>1791.9687798490882</v>
      </c>
      <c r="P45" s="14">
        <v>8.0632144521647238</v>
      </c>
      <c r="Q45" s="8">
        <v>0.25312040459463647</v>
      </c>
    </row>
    <row r="46" spans="1:17">
      <c r="A46" s="2" t="s">
        <v>379</v>
      </c>
      <c r="B46" s="16" t="s">
        <v>380</v>
      </c>
      <c r="D46" s="14">
        <v>1</v>
      </c>
      <c r="E46" s="14">
        <v>0.84123702711927106</v>
      </c>
      <c r="F46" s="14">
        <v>0.61981949273797565</v>
      </c>
      <c r="G46" s="14">
        <v>2.6936038117528259E-5</v>
      </c>
      <c r="H46" s="14">
        <v>50.688008718046653</v>
      </c>
      <c r="I46" s="14">
        <v>119.71881267949925</v>
      </c>
      <c r="J46" s="14">
        <v>0</v>
      </c>
      <c r="K46" s="14">
        <v>1.6133729444077729</v>
      </c>
      <c r="L46" s="14">
        <v>0.61981949273797565</v>
      </c>
      <c r="M46" s="14">
        <v>0.50856189379150907</v>
      </c>
      <c r="N46" s="14">
        <v>7.5134834754711015</v>
      </c>
      <c r="O46" s="14">
        <v>965.93343560656479</v>
      </c>
      <c r="P46" s="14">
        <v>7.5134834754711015</v>
      </c>
      <c r="Q46" s="8">
        <v>0.24635557856317858</v>
      </c>
    </row>
    <row r="47" spans="1:17">
      <c r="A47" s="2" t="s">
        <v>381</v>
      </c>
      <c r="B47" s="16" t="s">
        <v>382</v>
      </c>
      <c r="D47" s="14">
        <v>1</v>
      </c>
      <c r="E47" s="14">
        <v>0.92168521354106014</v>
      </c>
      <c r="F47" s="14">
        <v>6.7220499890238543E-4</v>
      </c>
      <c r="G47" s="14">
        <v>4.7888388800076687E-10</v>
      </c>
      <c r="H47" s="14">
        <v>70.567013494805124</v>
      </c>
      <c r="I47" s="14">
        <v>1770.3490757526395</v>
      </c>
      <c r="J47" s="14">
        <v>0</v>
      </c>
      <c r="K47" s="14">
        <v>1487.6414213414907</v>
      </c>
      <c r="L47" s="14">
        <v>6.7220499890238553E-4</v>
      </c>
      <c r="M47" s="14">
        <v>5.5154420159940726E-4</v>
      </c>
      <c r="N47" s="14">
        <v>110.9999914179802</v>
      </c>
      <c r="O47" s="14">
        <v>43433.186641941473</v>
      </c>
      <c r="P47" s="14">
        <v>110.9999914179802</v>
      </c>
      <c r="Q47" s="8">
        <v>5.6631610008718136E-2</v>
      </c>
    </row>
    <row r="48" spans="1:17">
      <c r="A48" s="2" t="s">
        <v>383</v>
      </c>
      <c r="B48" s="16" t="s">
        <v>384</v>
      </c>
      <c r="D48" s="14">
        <v>1</v>
      </c>
      <c r="E48" s="14">
        <v>0.95606165408189914</v>
      </c>
      <c r="F48" s="14">
        <v>0.95096440019735073</v>
      </c>
      <c r="G48" s="14">
        <v>1.3718061543544619E-4</v>
      </c>
      <c r="H48" s="14">
        <v>1.8735455629977729</v>
      </c>
      <c r="I48" s="14">
        <v>5.8226599827011256</v>
      </c>
      <c r="J48" s="14">
        <v>0</v>
      </c>
      <c r="K48" s="14">
        <v>1.0515640751562023</v>
      </c>
      <c r="L48" s="14">
        <v>0.95096440019735085</v>
      </c>
      <c r="M48" s="14">
        <v>0.7802662903619263</v>
      </c>
      <c r="N48" s="14">
        <v>1.1668300854745557</v>
      </c>
      <c r="O48" s="14">
        <v>108.66688586024536</v>
      </c>
      <c r="P48" s="14">
        <v>1.1668300854745557</v>
      </c>
      <c r="Q48" s="8">
        <v>5.4215245660644014E-2</v>
      </c>
    </row>
    <row r="49" spans="1:17">
      <c r="A49" s="2" t="s">
        <v>385</v>
      </c>
      <c r="B49" s="16" t="s">
        <v>386</v>
      </c>
      <c r="D49" s="14">
        <v>1</v>
      </c>
      <c r="E49" s="14">
        <v>0.93564157484946575</v>
      </c>
      <c r="F49" s="14">
        <v>0.92344682117335808</v>
      </c>
      <c r="G49" s="14">
        <v>2.6063958671810147E-4</v>
      </c>
      <c r="H49" s="14">
        <v>3.3994753049200659</v>
      </c>
      <c r="I49" s="14">
        <v>10.089486449839914</v>
      </c>
      <c r="J49" s="14">
        <v>0</v>
      </c>
      <c r="K49" s="14">
        <v>1.0828993907081419</v>
      </c>
      <c r="L49" s="14">
        <v>0.92344682117335808</v>
      </c>
      <c r="M49" s="14">
        <v>0.75768811677274028</v>
      </c>
      <c r="N49" s="14">
        <v>1.3869910513764505</v>
      </c>
      <c r="O49" s="14">
        <v>154.1224456289512</v>
      </c>
      <c r="P49" s="14">
        <v>1.3869910513764505</v>
      </c>
      <c r="Q49" s="8">
        <v>7.2923761397975517E-2</v>
      </c>
    </row>
    <row r="50" spans="1:17">
      <c r="A50" s="2" t="s">
        <v>387</v>
      </c>
      <c r="B50" s="16" t="s">
        <v>388</v>
      </c>
      <c r="D50" s="14">
        <v>1</v>
      </c>
      <c r="E50" s="14">
        <v>0.86778037265154384</v>
      </c>
      <c r="F50" s="14">
        <v>8.7534070074174034E-2</v>
      </c>
      <c r="G50" s="14">
        <v>8.4731639545540982E-5</v>
      </c>
      <c r="H50" s="14">
        <v>184.76390066893021</v>
      </c>
      <c r="I50" s="14">
        <v>343.45851916469178</v>
      </c>
      <c r="J50" s="14">
        <v>0</v>
      </c>
      <c r="K50" s="14">
        <v>11.424123191719824</v>
      </c>
      <c r="L50" s="14">
        <v>8.7534070074174047E-2</v>
      </c>
      <c r="M50" s="14">
        <v>7.1821704495859798E-2</v>
      </c>
      <c r="N50" s="14">
        <v>20.540210017511985</v>
      </c>
      <c r="O50" s="14">
        <v>4055.6644679577407</v>
      </c>
      <c r="P50" s="14">
        <v>20.540210017511985</v>
      </c>
      <c r="Q50" s="8">
        <v>0.18935391686426187</v>
      </c>
    </row>
    <row r="51" spans="1:17">
      <c r="A51" s="2" t="s">
        <v>295</v>
      </c>
      <c r="B51" s="16" t="s">
        <v>296</v>
      </c>
      <c r="D51" s="14">
        <v>1</v>
      </c>
      <c r="E51" s="14">
        <v>0.93413766332411396</v>
      </c>
      <c r="F51" s="14">
        <v>0.93634037068728415</v>
      </c>
      <c r="G51" s="14">
        <v>7.5193835205092797E-4</v>
      </c>
      <c r="H51" s="14">
        <v>0.2972718244692647</v>
      </c>
      <c r="I51" s="14">
        <v>1.0568440808010175</v>
      </c>
      <c r="J51" s="14">
        <v>0</v>
      </c>
      <c r="K51" s="14">
        <v>1.0679877011668191</v>
      </c>
      <c r="L51" s="14">
        <v>0.93634037068728426</v>
      </c>
      <c r="M51" s="14">
        <v>0.76826727414891671</v>
      </c>
      <c r="N51" s="14">
        <v>0.88308303697503998</v>
      </c>
      <c r="O51" s="14">
        <v>51.289462787510324</v>
      </c>
      <c r="P51" s="14">
        <v>0.88308303697504009</v>
      </c>
      <c r="Q51" s="8">
        <v>2.0616309212838524E-2</v>
      </c>
    </row>
    <row r="52" spans="1:17">
      <c r="A52" s="2" t="s">
        <v>389</v>
      </c>
      <c r="B52" s="16" t="s">
        <v>390</v>
      </c>
      <c r="D52" s="14">
        <v>1</v>
      </c>
      <c r="E52" s="14">
        <v>0.86063914813459452</v>
      </c>
      <c r="F52" s="14">
        <v>0.8150005142833523</v>
      </c>
      <c r="G52" s="14">
        <v>8.6068923376929297E-4</v>
      </c>
      <c r="H52" s="14">
        <v>10.740336365319644</v>
      </c>
      <c r="I52" s="14">
        <v>29.018506285220685</v>
      </c>
      <c r="J52" s="14">
        <v>0</v>
      </c>
      <c r="K52" s="14">
        <v>1.226993090770405</v>
      </c>
      <c r="L52" s="14">
        <v>0.8150005142833523</v>
      </c>
      <c r="M52" s="14">
        <v>0.66870792196949058</v>
      </c>
      <c r="N52" s="14">
        <v>2.3842524518480759</v>
      </c>
      <c r="O52" s="14">
        <v>255.47265021552133</v>
      </c>
      <c r="P52" s="14">
        <v>2.3842524518480759</v>
      </c>
      <c r="Q52" s="8">
        <v>0.12510511128561097</v>
      </c>
    </row>
    <row r="53" spans="1:17">
      <c r="A53" s="2" t="s">
        <v>391</v>
      </c>
      <c r="B53" s="16" t="s">
        <v>392</v>
      </c>
      <c r="D53" s="14">
        <v>1</v>
      </c>
      <c r="E53" s="14">
        <v>0.82164751673104897</v>
      </c>
      <c r="F53" s="14">
        <v>0.46887186697482652</v>
      </c>
      <c r="G53" s="14">
        <v>2.6972590744437206E-5</v>
      </c>
      <c r="H53" s="14">
        <v>81.188435977372038</v>
      </c>
      <c r="I53" s="14">
        <v>181.44764920960873</v>
      </c>
      <c r="J53" s="14">
        <v>0</v>
      </c>
      <c r="K53" s="14">
        <v>2.132778847346986</v>
      </c>
      <c r="L53" s="14">
        <v>0.46887186697482658</v>
      </c>
      <c r="M53" s="14">
        <v>0.38470936685284518</v>
      </c>
      <c r="N53" s="14">
        <v>11.030454842477772</v>
      </c>
      <c r="O53" s="14">
        <v>1787.1542935782486</v>
      </c>
      <c r="P53" s="14">
        <v>11.030454842477772</v>
      </c>
      <c r="Q53" s="8">
        <v>0.27551886833773148</v>
      </c>
    </row>
    <row r="54" spans="1:17">
      <c r="A54" s="2" t="s">
        <v>393</v>
      </c>
      <c r="B54" s="16" t="s">
        <v>394</v>
      </c>
      <c r="D54" s="14">
        <v>1</v>
      </c>
      <c r="E54" s="14">
        <v>0.92101721098871603</v>
      </c>
      <c r="F54" s="14">
        <v>9.4306342839492702E-4</v>
      </c>
      <c r="G54" s="14">
        <v>2.2191639621279073E-6</v>
      </c>
      <c r="H54" s="14">
        <v>84.715114745230395</v>
      </c>
      <c r="I54" s="14">
        <v>1636.8846428399254</v>
      </c>
      <c r="J54" s="14">
        <v>0</v>
      </c>
      <c r="K54" s="14">
        <v>1060.3740638124179</v>
      </c>
      <c r="L54" s="14">
        <v>9.4306342839492702E-4</v>
      </c>
      <c r="M54" s="14">
        <v>7.7378354299803759E-4</v>
      </c>
      <c r="N54" s="14">
        <v>102.29504625630345</v>
      </c>
      <c r="O54" s="14">
        <v>23874.640845758662</v>
      </c>
      <c r="P54" s="14">
        <v>102.29504625630346</v>
      </c>
      <c r="Q54" s="8">
        <v>6.2837380770396009E-2</v>
      </c>
    </row>
    <row r="55" spans="1:17">
      <c r="A55" s="2" t="s">
        <v>395</v>
      </c>
      <c r="B55" s="16" t="s">
        <v>396</v>
      </c>
      <c r="D55" s="14">
        <v>1</v>
      </c>
      <c r="E55" s="14">
        <v>0.73261634561142197</v>
      </c>
      <c r="F55" s="14">
        <v>0.16647313874099387</v>
      </c>
      <c r="G55" s="14">
        <v>1.798343525290942E-3</v>
      </c>
      <c r="H55" s="14">
        <v>132.50863124905518</v>
      </c>
      <c r="I55" s="14">
        <v>264.66794096794774</v>
      </c>
      <c r="J55" s="14">
        <v>0</v>
      </c>
      <c r="K55" s="14">
        <v>6.0069751045893547</v>
      </c>
      <c r="L55" s="14">
        <v>0.1664731387409939</v>
      </c>
      <c r="M55" s="14">
        <v>0.13659121033698549</v>
      </c>
      <c r="N55" s="14">
        <v>15.804927735027015</v>
      </c>
      <c r="O55" s="14">
        <v>2025.7175877984123</v>
      </c>
      <c r="P55" s="14">
        <v>15.804927735027016</v>
      </c>
      <c r="Q55" s="8">
        <v>0.21662139023040256</v>
      </c>
    </row>
    <row r="56" spans="1:17">
      <c r="A56" s="2" t="s">
        <v>397</v>
      </c>
      <c r="B56" s="16" t="s">
        <v>398</v>
      </c>
      <c r="D56" s="14">
        <v>1</v>
      </c>
      <c r="E56" s="14">
        <v>0.38708760152724764</v>
      </c>
      <c r="F56" s="14">
        <v>1.9640923654217341E-2</v>
      </c>
      <c r="G56" s="14">
        <v>8.1438618008690712E-3</v>
      </c>
      <c r="H56" s="14">
        <v>87.781279636846463</v>
      </c>
      <c r="I56" s="14">
        <v>154.40418888295594</v>
      </c>
      <c r="J56" s="14">
        <v>0</v>
      </c>
      <c r="K56" s="14">
        <v>50.914102493610471</v>
      </c>
      <c r="L56" s="14">
        <v>1.9640923654217341E-2</v>
      </c>
      <c r="M56" s="14">
        <v>1.6115377858285328E-2</v>
      </c>
      <c r="N56" s="14">
        <v>9.266598725708846</v>
      </c>
      <c r="O56" s="14">
        <v>1681.4243387798699</v>
      </c>
      <c r="P56" s="14">
        <v>9.266598725708846</v>
      </c>
      <c r="Q56" s="8">
        <v>6.2814380114095861E-2</v>
      </c>
    </row>
    <row r="57" spans="1:17">
      <c r="A57" s="2" t="s">
        <v>399</v>
      </c>
      <c r="B57" s="16" t="s">
        <v>400</v>
      </c>
      <c r="D57" s="14">
        <v>1</v>
      </c>
      <c r="E57" s="14">
        <v>0.20998908710182643</v>
      </c>
      <c r="F57" s="14">
        <v>3.6912040314027901E-2</v>
      </c>
      <c r="G57" s="14">
        <v>1.0751685176581984E-2</v>
      </c>
      <c r="H57" s="14">
        <v>40.667553951632648</v>
      </c>
      <c r="I57" s="14">
        <v>79.305849637722091</v>
      </c>
      <c r="J57" s="14">
        <v>0</v>
      </c>
      <c r="K57" s="14">
        <v>27.091431183227336</v>
      </c>
      <c r="L57" s="14">
        <v>3.6912040314027901E-2</v>
      </c>
      <c r="M57" s="14">
        <v>3.0286329077659897E-2</v>
      </c>
      <c r="N57" s="14">
        <v>4.7354155494372119</v>
      </c>
      <c r="O57" s="14">
        <v>696.1060857672702</v>
      </c>
      <c r="P57" s="14">
        <v>4.7354155494372128</v>
      </c>
      <c r="Q57" s="8">
        <v>5.6899077106643312E-2</v>
      </c>
    </row>
    <row r="58" spans="1:17">
      <c r="A58" s="2" t="s">
        <v>297</v>
      </c>
      <c r="B58" s="16" t="s">
        <v>298</v>
      </c>
      <c r="D58" s="14">
        <v>1</v>
      </c>
      <c r="E58" s="14">
        <v>7.668940880401745E-2</v>
      </c>
      <c r="F58" s="14">
        <v>7.5335796818444808E-2</v>
      </c>
      <c r="G58" s="14">
        <v>1.3128946355091757E-2</v>
      </c>
      <c r="H58" s="14">
        <v>0.35612411756430312</v>
      </c>
      <c r="I58" s="14">
        <v>1.0376683175037507</v>
      </c>
      <c r="J58" s="14">
        <v>0</v>
      </c>
      <c r="K58" s="14">
        <v>13.273902211586687</v>
      </c>
      <c r="L58" s="14">
        <v>7.5335796818444822E-2</v>
      </c>
      <c r="M58" s="14">
        <v>6.1813021289533969E-2</v>
      </c>
      <c r="N58" s="14">
        <v>0.12547197177017649</v>
      </c>
      <c r="O58" s="14">
        <v>10.65633456244109</v>
      </c>
      <c r="P58" s="14">
        <v>0.12547197177017649</v>
      </c>
      <c r="Q58" s="8">
        <v>6.777328816759973E-3</v>
      </c>
    </row>
    <row r="59" spans="1:17">
      <c r="A59" s="2" t="s">
        <v>401</v>
      </c>
      <c r="B59" s="16" t="s">
        <v>402</v>
      </c>
      <c r="D59" s="14">
        <v>1</v>
      </c>
      <c r="E59" s="14">
        <v>8.2233807495256689E-2</v>
      </c>
      <c r="F59" s="14">
        <v>1.5359501564492067E-2</v>
      </c>
      <c r="G59" s="14">
        <v>1.2897502187313786E-2</v>
      </c>
      <c r="H59" s="14">
        <v>15.699185552128496</v>
      </c>
      <c r="I59" s="14">
        <v>30.784655171196647</v>
      </c>
      <c r="J59" s="14">
        <v>0</v>
      </c>
      <c r="K59" s="14">
        <v>65.106279380301586</v>
      </c>
      <c r="L59" s="14">
        <v>1.5359501564492069E-2</v>
      </c>
      <c r="M59" s="14">
        <v>1.2602471033665743E-2</v>
      </c>
      <c r="N59" s="14">
        <v>1.8380975317548209</v>
      </c>
      <c r="O59" s="14">
        <v>304.81171369090197</v>
      </c>
      <c r="P59" s="14">
        <v>1.8380975317548212</v>
      </c>
      <c r="Q59" s="8">
        <v>2.2768493355465911E-2</v>
      </c>
    </row>
    <row r="60" spans="1:17">
      <c r="A60" s="2" t="s">
        <v>299</v>
      </c>
      <c r="B60" s="16" t="s">
        <v>300</v>
      </c>
      <c r="D60" s="14">
        <v>1</v>
      </c>
      <c r="E60" s="14">
        <v>1.6911943569127895E-3</v>
      </c>
      <c r="F60" s="14">
        <v>5.7791159281044273E-4</v>
      </c>
      <c r="G60" s="14">
        <v>1.4256400722250602E-2</v>
      </c>
      <c r="H60" s="14">
        <v>0.25881021076414973</v>
      </c>
      <c r="I60" s="14">
        <v>0.53931012921888022</v>
      </c>
      <c r="J60" s="14">
        <v>0</v>
      </c>
      <c r="K60" s="14">
        <v>1730.3684723417614</v>
      </c>
      <c r="L60" s="14">
        <v>5.7791159281044284E-4</v>
      </c>
      <c r="M60" s="14">
        <v>4.741764619009683E-4</v>
      </c>
      <c r="N60" s="14">
        <v>3.2283770114424168E-2</v>
      </c>
      <c r="O60" s="14">
        <v>2.6517888771988014</v>
      </c>
      <c r="P60" s="14">
        <v>3.2283770114424175E-2</v>
      </c>
      <c r="Q60" s="8">
        <v>5.5723524442785404E-4</v>
      </c>
    </row>
    <row r="61" spans="1:17">
      <c r="A61" s="2" t="s">
        <v>403</v>
      </c>
      <c r="B61" s="16" t="s">
        <v>404</v>
      </c>
      <c r="D61" s="14">
        <v>1</v>
      </c>
      <c r="E61" s="14">
        <v>0.82011515878494712</v>
      </c>
      <c r="F61" s="14">
        <v>0.35206015845952382</v>
      </c>
      <c r="G61" s="14">
        <v>6.1357176714111045E-46</v>
      </c>
      <c r="H61" s="14">
        <v>108.35198703101878</v>
      </c>
      <c r="I61" s="14">
        <v>232.11010651901421</v>
      </c>
      <c r="J61" s="14">
        <v>0</v>
      </c>
      <c r="K61" s="14">
        <v>2.8404236491161199</v>
      </c>
      <c r="L61" s="14">
        <v>0.35206015845952382</v>
      </c>
      <c r="M61" s="14">
        <v>0.2888653600160393</v>
      </c>
      <c r="N61" s="14">
        <v>13.948512177432878</v>
      </c>
      <c r="O61" s="14">
        <v>16774.620229702552</v>
      </c>
      <c r="P61" s="14">
        <v>13.94851217743288</v>
      </c>
      <c r="Q61" s="8">
        <v>0.27918626641031263</v>
      </c>
    </row>
    <row r="62" spans="1:17">
      <c r="A62" s="2" t="s">
        <v>405</v>
      </c>
      <c r="B62" s="16" t="s">
        <v>406</v>
      </c>
      <c r="D62" s="14">
        <v>1</v>
      </c>
      <c r="E62" s="14">
        <v>0.92690972081989442</v>
      </c>
      <c r="F62" s="14">
        <v>4.1218655083299768E-3</v>
      </c>
      <c r="G62" s="14">
        <v>1.2626480281371499E-9</v>
      </c>
      <c r="H62" s="14">
        <v>168.40454842667305</v>
      </c>
      <c r="I62" s="14">
        <v>869.182528441199</v>
      </c>
      <c r="J62" s="14">
        <v>0</v>
      </c>
      <c r="K62" s="14">
        <v>242.60859505946422</v>
      </c>
      <c r="L62" s="14">
        <v>4.1218655083299768E-3</v>
      </c>
      <c r="M62" s="14">
        <v>3.3819906495847459E-3</v>
      </c>
      <c r="N62" s="14">
        <v>53.428047399109794</v>
      </c>
      <c r="O62" s="14">
        <v>17036.067193680148</v>
      </c>
      <c r="P62" s="14">
        <v>53.428047399109794</v>
      </c>
      <c r="Q62" s="8">
        <v>8.3890153280673563E-2</v>
      </c>
    </row>
    <row r="63" spans="1:17">
      <c r="A63" s="2" t="s">
        <v>407</v>
      </c>
      <c r="B63" s="16" t="s">
        <v>408</v>
      </c>
      <c r="D63" s="14">
        <v>1</v>
      </c>
      <c r="E63" s="14">
        <v>0.92333101681173702</v>
      </c>
      <c r="F63" s="14">
        <v>3.6406492341998852E-4</v>
      </c>
      <c r="G63" s="14">
        <v>2.922586175482135E-7</v>
      </c>
      <c r="H63" s="14">
        <v>49.984901192978462</v>
      </c>
      <c r="I63" s="14">
        <v>1966.0565652674707</v>
      </c>
      <c r="J63" s="14">
        <v>0</v>
      </c>
      <c r="K63" s="14">
        <v>2746.7628317666604</v>
      </c>
      <c r="L63" s="14">
        <v>3.6406492341998852E-4</v>
      </c>
      <c r="M63" s="14">
        <v>2.9871526966610061E-4</v>
      </c>
      <c r="N63" s="14">
        <v>123.97162069844052</v>
      </c>
      <c r="O63" s="14">
        <v>60224.173619095418</v>
      </c>
      <c r="P63" s="14">
        <v>123.97162069844052</v>
      </c>
      <c r="Q63" s="8">
        <v>4.5940530797286758E-2</v>
      </c>
    </row>
    <row r="64" spans="1:17">
      <c r="A64" s="2" t="s">
        <v>409</v>
      </c>
      <c r="B64" s="16" t="s">
        <v>410</v>
      </c>
      <c r="D64" s="14">
        <v>1</v>
      </c>
      <c r="E64" s="14">
        <v>0.92693376728544519</v>
      </c>
      <c r="F64" s="14">
        <v>1.2459346286929903E-4</v>
      </c>
      <c r="G64" s="14">
        <v>3.573911090338308E-8</v>
      </c>
      <c r="H64" s="14">
        <v>26.602059254759343</v>
      </c>
      <c r="I64" s="14">
        <v>2192.665721725753</v>
      </c>
      <c r="J64" s="14">
        <v>0</v>
      </c>
      <c r="K64" s="14">
        <v>8026.1032719591349</v>
      </c>
      <c r="L64" s="14">
        <v>1.2459346286929903E-4</v>
      </c>
      <c r="M64" s="14">
        <v>1.0222893628425985E-4</v>
      </c>
      <c r="N64" s="14">
        <v>139.5592033135535</v>
      </c>
      <c r="O64" s="14">
        <v>78807.686519130541</v>
      </c>
      <c r="P64" s="14">
        <v>139.5592033135535</v>
      </c>
      <c r="Q64" s="8">
        <v>3.0561342446214741E-2</v>
      </c>
    </row>
    <row r="65" spans="1:17">
      <c r="A65" s="2" t="s">
        <v>301</v>
      </c>
      <c r="B65" s="16" t="s">
        <v>302</v>
      </c>
      <c r="D65" s="14">
        <v>1</v>
      </c>
      <c r="E65" s="14">
        <v>0.93059418763793811</v>
      </c>
      <c r="F65" s="14">
        <v>3.463095697778132E-5</v>
      </c>
      <c r="G65" s="14">
        <v>4.3711225284453972E-9</v>
      </c>
      <c r="H65" s="14">
        <v>12.216997720158178</v>
      </c>
      <c r="I65" s="14">
        <v>2335.7247550202064</v>
      </c>
      <c r="J65" s="14">
        <v>0</v>
      </c>
      <c r="K65" s="14">
        <v>28875.898539032125</v>
      </c>
      <c r="L65" s="14">
        <v>3.463095697778132E-5</v>
      </c>
      <c r="M65" s="14">
        <v>2.8414700200269574E-5</v>
      </c>
      <c r="N65" s="14">
        <v>150.25783558856841</v>
      </c>
      <c r="O65" s="14">
        <v>96702.937828090871</v>
      </c>
      <c r="P65" s="14">
        <v>150.25783558856841</v>
      </c>
      <c r="Q65" s="8">
        <v>1.8089295929447999E-2</v>
      </c>
    </row>
    <row r="66" spans="1:17">
      <c r="A66" s="2" t="s">
        <v>303</v>
      </c>
      <c r="B66" s="16" t="s">
        <v>304</v>
      </c>
      <c r="D66" s="14">
        <v>1</v>
      </c>
      <c r="E66" s="14">
        <v>0.92863884543917519</v>
      </c>
      <c r="F66" s="14">
        <v>7.2171843604045951E-5</v>
      </c>
      <c r="G66" s="14">
        <v>4.2414689007852062E-15</v>
      </c>
      <c r="H66" s="14">
        <v>19.133208287429714</v>
      </c>
      <c r="I66" s="14">
        <v>2266.4438813468246</v>
      </c>
      <c r="J66" s="14">
        <v>0</v>
      </c>
      <c r="K66" s="14">
        <v>13855.818974034633</v>
      </c>
      <c r="L66" s="14">
        <v>7.2171843604045951E-5</v>
      </c>
      <c r="M66" s="14">
        <v>5.9216997677119701E-5</v>
      </c>
      <c r="N66" s="14">
        <v>144.91885306391134</v>
      </c>
      <c r="O66" s="14">
        <v>93517.58507067262</v>
      </c>
      <c r="P66" s="14">
        <v>144.91885306391137</v>
      </c>
      <c r="Q66" s="8">
        <v>2.4521383534638209E-2</v>
      </c>
    </row>
    <row r="67" spans="1:17">
      <c r="A67" s="2" t="s">
        <v>411</v>
      </c>
      <c r="B67" s="16" t="s">
        <v>412</v>
      </c>
      <c r="D67" s="14">
        <v>1</v>
      </c>
      <c r="E67" s="14">
        <v>0.92568635326609117</v>
      </c>
      <c r="F67" s="14">
        <v>0.89307232809670467</v>
      </c>
      <c r="G67" s="14">
        <v>5.6704186023661527E-5</v>
      </c>
      <c r="H67" s="14">
        <v>7.8883583781627848</v>
      </c>
      <c r="I67" s="14">
        <v>21.950468988186181</v>
      </c>
      <c r="J67" s="14">
        <v>0</v>
      </c>
      <c r="K67" s="14">
        <v>1.1197301366745704</v>
      </c>
      <c r="L67" s="14">
        <v>0.89307232809670467</v>
      </c>
      <c r="M67" s="14">
        <v>0.7327658452033462</v>
      </c>
      <c r="N67" s="14">
        <v>2.0433099355274931</v>
      </c>
      <c r="O67" s="14">
        <v>613.19731165180065</v>
      </c>
      <c r="P67" s="14">
        <v>2.0433099355274931</v>
      </c>
      <c r="Q67" s="8">
        <v>0.11128683819282449</v>
      </c>
    </row>
    <row r="68" spans="1:17">
      <c r="A68" s="2" t="s">
        <v>413</v>
      </c>
      <c r="B68" s="16" t="s">
        <v>414</v>
      </c>
      <c r="D68" s="14">
        <v>1</v>
      </c>
      <c r="E68" s="14">
        <v>0.89856669569380132</v>
      </c>
      <c r="F68" s="14">
        <v>0.83766975471040406</v>
      </c>
      <c r="G68" s="14">
        <v>1.2512996485198236E-4</v>
      </c>
      <c r="H68" s="14">
        <v>14.175318800681181</v>
      </c>
      <c r="I68" s="14">
        <v>37.600187070641226</v>
      </c>
      <c r="J68" s="14">
        <v>0</v>
      </c>
      <c r="K68" s="14">
        <v>1.1937878792648018</v>
      </c>
      <c r="L68" s="14">
        <v>0.83766975471040406</v>
      </c>
      <c r="M68" s="14">
        <v>0.68730803373988658</v>
      </c>
      <c r="N68" s="14">
        <v>2.9010666143829056</v>
      </c>
      <c r="O68" s="14">
        <v>951.98500950975051</v>
      </c>
      <c r="P68" s="14">
        <v>2.901066614382906</v>
      </c>
      <c r="Q68" s="8">
        <v>0.14648393761439743</v>
      </c>
    </row>
    <row r="69" spans="1:17">
      <c r="A69" s="2" t="s">
        <v>415</v>
      </c>
      <c r="B69" s="16" t="s">
        <v>416</v>
      </c>
      <c r="D69" s="14">
        <v>1</v>
      </c>
      <c r="E69" s="14">
        <v>0.92029206951628872</v>
      </c>
      <c r="F69" s="14">
        <v>1.4720763459759364E-3</v>
      </c>
      <c r="G69" s="14">
        <v>1.4390597357599971E-5</v>
      </c>
      <c r="H69" s="14">
        <v>106.50017816400003</v>
      </c>
      <c r="I69" s="14">
        <v>1431.8829080540054</v>
      </c>
      <c r="J69" s="14">
        <v>0</v>
      </c>
      <c r="K69" s="14">
        <v>679.31259321814196</v>
      </c>
      <c r="L69" s="14">
        <v>1.4720763459759364E-3</v>
      </c>
      <c r="M69" s="14">
        <v>1.2078386418732559E-3</v>
      </c>
      <c r="N69" s="14">
        <v>89.076783623131263</v>
      </c>
      <c r="O69" s="14">
        <v>41338.753743822759</v>
      </c>
      <c r="P69" s="14">
        <v>89.076783623131277</v>
      </c>
      <c r="Q69" s="8">
        <v>7.081210506837643E-2</v>
      </c>
    </row>
    <row r="70" spans="1:17">
      <c r="A70" s="2" t="s">
        <v>417</v>
      </c>
      <c r="B70" s="16" t="s">
        <v>418</v>
      </c>
      <c r="D70" s="14">
        <v>1</v>
      </c>
      <c r="E70" s="14">
        <v>0.91478080161336295</v>
      </c>
      <c r="F70" s="14">
        <v>2.8198678078067564E-2</v>
      </c>
      <c r="G70" s="14">
        <v>3.8829092210902851E-5</v>
      </c>
      <c r="H70" s="14">
        <v>213.07316137296829</v>
      </c>
      <c r="I70" s="14">
        <v>360.5669533875348</v>
      </c>
      <c r="J70" s="14">
        <v>0</v>
      </c>
      <c r="K70" s="14">
        <v>35.462655278787068</v>
      </c>
      <c r="L70" s="14">
        <v>2.8198678078067568E-2</v>
      </c>
      <c r="M70" s="14">
        <v>2.3137015363054438E-2</v>
      </c>
      <c r="N70" s="14">
        <v>21.706080435650293</v>
      </c>
      <c r="O70" s="14">
        <v>6816.7945608159744</v>
      </c>
      <c r="P70" s="14">
        <v>21.706080435650293</v>
      </c>
      <c r="Q70" s="8">
        <v>0.11857303066147559</v>
      </c>
    </row>
    <row r="71" spans="1:17">
      <c r="A71" s="2" t="s">
        <v>419</v>
      </c>
      <c r="B71" s="16" t="s">
        <v>420</v>
      </c>
      <c r="D71" s="14">
        <v>1</v>
      </c>
      <c r="E71" s="14">
        <v>0.89077935554557863</v>
      </c>
      <c r="F71" s="14">
        <v>0.83600327612762171</v>
      </c>
      <c r="G71" s="14">
        <v>3.0637721709698973E-4</v>
      </c>
      <c r="H71" s="14">
        <v>12.800530812696442</v>
      </c>
      <c r="I71" s="14">
        <v>34.204649942688725</v>
      </c>
      <c r="J71" s="14">
        <v>0</v>
      </c>
      <c r="K71" s="14">
        <v>1.1961675612469047</v>
      </c>
      <c r="L71" s="14">
        <v>0.83600327612762171</v>
      </c>
      <c r="M71" s="14">
        <v>0.68594068806271358</v>
      </c>
      <c r="N71" s="14">
        <v>2.70277706236782</v>
      </c>
      <c r="O71" s="14">
        <v>578.50240242920813</v>
      </c>
      <c r="P71" s="14">
        <v>2.70277706236782</v>
      </c>
      <c r="Q71" s="8">
        <v>0.13876666473629309</v>
      </c>
    </row>
    <row r="72" spans="1:17">
      <c r="A72" s="2" t="s">
        <v>421</v>
      </c>
      <c r="B72" s="16" t="s">
        <v>422</v>
      </c>
      <c r="D72" s="14">
        <v>1</v>
      </c>
      <c r="E72" s="14">
        <v>0.90141831507720116</v>
      </c>
      <c r="F72" s="14">
        <v>3.2845517527503365E-2</v>
      </c>
      <c r="G72" s="14">
        <v>1.640531587393696E-4</v>
      </c>
      <c r="H72" s="14">
        <v>208.33206046627294</v>
      </c>
      <c r="I72" s="14">
        <v>357.11926571234801</v>
      </c>
      <c r="J72" s="14">
        <v>0</v>
      </c>
      <c r="K72" s="14">
        <v>30.445554683759962</v>
      </c>
      <c r="L72" s="14">
        <v>3.2845517527503365E-2</v>
      </c>
      <c r="M72" s="14">
        <v>2.6949747131316513E-2</v>
      </c>
      <c r="N72" s="14">
        <v>21.475698482641246</v>
      </c>
      <c r="O72" s="14">
        <v>8892.4424707072612</v>
      </c>
      <c r="P72" s="14">
        <v>21.475698482641249</v>
      </c>
      <c r="Q72" s="8">
        <v>0.12607044330307474</v>
      </c>
    </row>
    <row r="73" spans="1:17">
      <c r="A73" s="2" t="s">
        <v>423</v>
      </c>
      <c r="B73" s="16" t="s">
        <v>424</v>
      </c>
      <c r="D73" s="14">
        <v>1</v>
      </c>
      <c r="E73" s="14">
        <v>0.81070357377925217</v>
      </c>
      <c r="F73" s="14">
        <v>0.32370469978192279</v>
      </c>
      <c r="G73" s="14">
        <v>1.7852436317034498E-4</v>
      </c>
      <c r="H73" s="14">
        <v>112.89351749876545</v>
      </c>
      <c r="I73" s="14">
        <v>239.62171692448098</v>
      </c>
      <c r="J73" s="14">
        <v>0</v>
      </c>
      <c r="K73" s="14">
        <v>3.0892353452813373</v>
      </c>
      <c r="L73" s="14">
        <v>0.32370469978192284</v>
      </c>
      <c r="M73" s="14">
        <v>0.26559970617106771</v>
      </c>
      <c r="N73" s="14">
        <v>14.377595254155072</v>
      </c>
      <c r="O73" s="14">
        <v>6156.0549599715769</v>
      </c>
      <c r="P73" s="14">
        <v>14.377595254155072</v>
      </c>
      <c r="Q73" s="8">
        <v>0.27398461434754734</v>
      </c>
    </row>
    <row r="74" spans="1:17">
      <c r="A74" s="2" t="s">
        <v>425</v>
      </c>
      <c r="B74" s="16" t="s">
        <v>426</v>
      </c>
      <c r="D74" s="14">
        <v>1</v>
      </c>
      <c r="E74" s="14">
        <v>0.91191400052563043</v>
      </c>
      <c r="F74" s="14">
        <v>2.9489173651467984E-2</v>
      </c>
      <c r="G74" s="14">
        <v>6.0044203829329557E-5</v>
      </c>
      <c r="H74" s="14">
        <v>211.95448115348515</v>
      </c>
      <c r="I74" s="14">
        <v>359.9977394165868</v>
      </c>
      <c r="J74" s="14">
        <v>0</v>
      </c>
      <c r="K74" s="14">
        <v>33.910750155937976</v>
      </c>
      <c r="L74" s="14">
        <v>2.9489173651467984E-2</v>
      </c>
      <c r="M74" s="14">
        <v>2.4195866981029483E-2</v>
      </c>
      <c r="N74" s="14">
        <v>21.665162134222719</v>
      </c>
      <c r="O74" s="14">
        <v>11443.105336053753</v>
      </c>
      <c r="P74" s="14">
        <v>21.665162134222719</v>
      </c>
      <c r="Q74" s="8">
        <v>0.1208091346897341</v>
      </c>
    </row>
    <row r="75" spans="1:17">
      <c r="A75" s="2" t="s">
        <v>427</v>
      </c>
      <c r="B75" s="16" t="s">
        <v>428</v>
      </c>
      <c r="D75" s="14">
        <v>1</v>
      </c>
      <c r="E75" s="14">
        <v>0.99491940318861283</v>
      </c>
      <c r="F75" s="14">
        <v>4.3161285546056112E-3</v>
      </c>
      <c r="G75" s="14">
        <v>6.088675686093424E-12</v>
      </c>
      <c r="H75" s="14">
        <v>281.44554041819481</v>
      </c>
      <c r="I75" s="14">
        <v>1.0055558478624986</v>
      </c>
      <c r="J75" s="14">
        <v>0</v>
      </c>
      <c r="K75" s="14">
        <v>231.6891138316374</v>
      </c>
      <c r="L75" s="14">
        <v>4.3161285546056112E-3</v>
      </c>
      <c r="M75" s="14">
        <v>3.5413834790539041E-3</v>
      </c>
      <c r="N75" s="14">
        <v>13.048701916923898</v>
      </c>
      <c r="O75" s="14">
        <v>7360.642264317602</v>
      </c>
      <c r="P75" s="14">
        <v>13.048701916923898</v>
      </c>
      <c r="Q75" s="8">
        <v>5.6157297017452908E-5</v>
      </c>
    </row>
    <row r="76" spans="1:17">
      <c r="A76" s="2" t="s">
        <v>429</v>
      </c>
      <c r="B76" s="16" t="s">
        <v>430</v>
      </c>
      <c r="D76" s="14">
        <v>1</v>
      </c>
      <c r="E76" s="14">
        <v>0.99491940360200304</v>
      </c>
      <c r="F76" s="14">
        <v>4.3161285563989684E-3</v>
      </c>
      <c r="G76" s="14">
        <v>1.5294061848115061E-13</v>
      </c>
      <c r="H76" s="14">
        <v>281.44554053513576</v>
      </c>
      <c r="I76" s="14">
        <v>1.0055558482803084</v>
      </c>
      <c r="J76" s="14">
        <v>0</v>
      </c>
      <c r="K76" s="14">
        <v>231.68911373537026</v>
      </c>
      <c r="L76" s="14">
        <v>4.3161285563989684E-3</v>
      </c>
      <c r="M76" s="14">
        <v>3.5413834805253538E-3</v>
      </c>
      <c r="N76" s="14">
        <v>13.048701922345652</v>
      </c>
      <c r="O76" s="14">
        <v>6526.0472924227306</v>
      </c>
      <c r="P76" s="14">
        <v>13.048701922345654</v>
      </c>
      <c r="Q76" s="8">
        <v>5.6157297040786341E-5</v>
      </c>
    </row>
    <row r="77" spans="1:17">
      <c r="A77" s="2" t="s">
        <v>431</v>
      </c>
      <c r="B77" s="16" t="s">
        <v>432</v>
      </c>
      <c r="D77" s="14">
        <v>1</v>
      </c>
      <c r="E77" s="14">
        <v>0.83917895614045046</v>
      </c>
      <c r="F77" s="14">
        <v>0.11983116090112154</v>
      </c>
      <c r="G77" s="14">
        <v>3.1151449132461976E-4</v>
      </c>
      <c r="H77" s="14">
        <v>169.53125097504974</v>
      </c>
      <c r="I77" s="14">
        <v>324.56892527992312</v>
      </c>
      <c r="J77" s="14">
        <v>0</v>
      </c>
      <c r="K77" s="14">
        <v>8.3450747908980709</v>
      </c>
      <c r="L77" s="14">
        <v>0.11983116090112154</v>
      </c>
      <c r="M77" s="14">
        <v>9.8321467519370223E-2</v>
      </c>
      <c r="N77" s="14">
        <v>19.387491762367329</v>
      </c>
      <c r="O77" s="14">
        <v>7058.2102510074492</v>
      </c>
      <c r="P77" s="14">
        <v>19.387491762367329</v>
      </c>
      <c r="Q77" s="8">
        <v>0.21042965224327057</v>
      </c>
    </row>
    <row r="78" spans="1:17">
      <c r="A78" s="2" t="s">
        <v>433</v>
      </c>
      <c r="B78" s="16" t="s">
        <v>434</v>
      </c>
      <c r="D78" s="14">
        <v>1</v>
      </c>
      <c r="E78" s="14">
        <v>0.82274981811776382</v>
      </c>
      <c r="F78" s="14">
        <v>0.63286535218428819</v>
      </c>
      <c r="G78" s="14">
        <v>4.4561500627263363E-4</v>
      </c>
      <c r="H78" s="14">
        <v>43.444151526128337</v>
      </c>
      <c r="I78" s="14">
        <v>103.94138287605509</v>
      </c>
      <c r="J78" s="14">
        <v>0</v>
      </c>
      <c r="K78" s="14">
        <v>1.5801149431685166</v>
      </c>
      <c r="L78" s="14">
        <v>0.6328653521842883</v>
      </c>
      <c r="M78" s="14">
        <v>0.51926602146720846</v>
      </c>
      <c r="N78" s="14">
        <v>6.599079560878927</v>
      </c>
      <c r="O78" s="14">
        <v>1742.4869580500806</v>
      </c>
      <c r="P78" s="14">
        <v>6.599079560878927</v>
      </c>
      <c r="Q78" s="8">
        <v>0.22960877975404576</v>
      </c>
    </row>
    <row r="79" spans="1:17">
      <c r="A79" s="2" t="s">
        <v>435</v>
      </c>
      <c r="B79" s="16" t="s">
        <v>436</v>
      </c>
      <c r="D79" s="14">
        <v>1</v>
      </c>
      <c r="E79" s="14">
        <v>0.81632700066609176</v>
      </c>
      <c r="F79" s="14">
        <v>0.45589338222506265</v>
      </c>
      <c r="G79" s="14">
        <v>1.068690074026735E-4</v>
      </c>
      <c r="H79" s="14">
        <v>82.989526747167446</v>
      </c>
      <c r="I79" s="14">
        <v>184.79084814489809</v>
      </c>
      <c r="J79" s="14">
        <v>0</v>
      </c>
      <c r="K79" s="14">
        <v>2.1934953192769227</v>
      </c>
      <c r="L79" s="14">
        <v>0.4558933822250627</v>
      </c>
      <c r="M79" s="14">
        <v>0.37406052011566393</v>
      </c>
      <c r="N79" s="14">
        <v>11.218551599055539</v>
      </c>
      <c r="O79" s="14">
        <v>4488.654680298112</v>
      </c>
      <c r="P79" s="14">
        <v>11.218551599055541</v>
      </c>
      <c r="Q79" s="8">
        <v>0.27496692618253776</v>
      </c>
    </row>
    <row r="80" spans="1:17">
      <c r="A80" s="2" t="s">
        <v>437</v>
      </c>
      <c r="B80" s="16" t="s">
        <v>438</v>
      </c>
      <c r="D80" s="14">
        <v>1</v>
      </c>
      <c r="E80" s="14">
        <v>0.99020290580810089</v>
      </c>
      <c r="F80" s="14">
        <v>2.912613503177253E-3</v>
      </c>
      <c r="G80" s="14">
        <v>2.169758153406249E-12</v>
      </c>
      <c r="H80" s="14">
        <v>280.4031309565072</v>
      </c>
      <c r="I80" s="14">
        <v>1.9243970527088765</v>
      </c>
      <c r="J80" s="14">
        <v>0</v>
      </c>
      <c r="K80" s="14">
        <v>343.33425938908141</v>
      </c>
      <c r="L80" s="14">
        <v>2.912613503177253E-3</v>
      </c>
      <c r="M80" s="14">
        <v>2.3897993793569362E-3</v>
      </c>
      <c r="N80" s="14">
        <v>25.227199331962886</v>
      </c>
      <c r="O80" s="14">
        <v>12968.798632575481</v>
      </c>
      <c r="P80" s="14">
        <v>25.227199331962886</v>
      </c>
      <c r="Q80" s="8">
        <v>6.8123143984774053E-5</v>
      </c>
    </row>
    <row r="81" spans="1:17">
      <c r="A81" s="2" t="s">
        <v>440</v>
      </c>
      <c r="B81" s="16" t="s">
        <v>441</v>
      </c>
      <c r="D81" s="14">
        <v>1</v>
      </c>
      <c r="E81" s="14">
        <v>0.98720970834916189</v>
      </c>
      <c r="F81" s="14">
        <v>0.98977921099244159</v>
      </c>
      <c r="G81" s="14">
        <v>2.0886555073533732E-15</v>
      </c>
      <c r="H81" s="14">
        <v>0.26377785224666733</v>
      </c>
      <c r="I81" s="14">
        <v>0.94993851975916066</v>
      </c>
      <c r="J81" s="14">
        <v>0</v>
      </c>
      <c r="K81" s="14">
        <v>1.0103263322709213</v>
      </c>
      <c r="L81" s="14">
        <v>0.9897792109924417</v>
      </c>
      <c r="M81" s="14">
        <v>0.81211384261929842</v>
      </c>
      <c r="N81" s="14">
        <v>0.92406106019100309</v>
      </c>
      <c r="O81" s="14">
        <v>256.20516954855754</v>
      </c>
      <c r="P81" s="14">
        <v>0.9240610601910032</v>
      </c>
      <c r="Q81" s="8">
        <v>1.9892780865202176E-2</v>
      </c>
    </row>
    <row r="82" spans="1:17">
      <c r="A82" s="2" t="s">
        <v>442</v>
      </c>
      <c r="B82" s="16" t="s">
        <v>443</v>
      </c>
      <c r="D82" s="14">
        <v>1</v>
      </c>
      <c r="E82" s="14">
        <v>0.89658022423543959</v>
      </c>
      <c r="F82" s="14">
        <v>0.81949854737694205</v>
      </c>
      <c r="G82" s="14">
        <v>1.0433659890483628E-6</v>
      </c>
      <c r="H82" s="14">
        <v>17.807714656389962</v>
      </c>
      <c r="I82" s="14">
        <v>46.373017759340634</v>
      </c>
      <c r="J82" s="14">
        <v>0</v>
      </c>
      <c r="K82" s="14">
        <v>1.2202584168096557</v>
      </c>
      <c r="L82" s="14">
        <v>0.81949854737694205</v>
      </c>
      <c r="M82" s="14">
        <v>0.67239855812278093</v>
      </c>
      <c r="N82" s="14">
        <v>3.3947358473901166</v>
      </c>
      <c r="O82" s="14">
        <v>560.77641463037332</v>
      </c>
      <c r="P82" s="14">
        <v>3.394735847390117</v>
      </c>
      <c r="Q82" s="8">
        <v>0.16325457432160437</v>
      </c>
    </row>
    <row r="83" spans="1:17">
      <c r="A83" s="2" t="s">
        <v>444</v>
      </c>
      <c r="B83" s="16" t="s">
        <v>445</v>
      </c>
      <c r="D83" s="14">
        <v>1</v>
      </c>
      <c r="E83" s="14">
        <v>0.84757402190713771</v>
      </c>
      <c r="F83" s="14">
        <v>0.15204540981303016</v>
      </c>
      <c r="G83" s="14">
        <v>6.7022681766964965E-6</v>
      </c>
      <c r="H83" s="14">
        <v>163.37790150998416</v>
      </c>
      <c r="I83" s="14">
        <v>319.19088749209033</v>
      </c>
      <c r="J83" s="14">
        <v>0</v>
      </c>
      <c r="K83" s="14">
        <v>6.5769825029883986</v>
      </c>
      <c r="L83" s="14">
        <v>0.15204540981303016</v>
      </c>
      <c r="M83" s="14">
        <v>0.12475325875159127</v>
      </c>
      <c r="N83" s="14">
        <v>19.058797089135279</v>
      </c>
      <c r="O83" s="14">
        <v>3435.1575873457427</v>
      </c>
      <c r="P83" s="14">
        <v>19.058797089135279</v>
      </c>
      <c r="Q83" s="8">
        <v>0.23133986844697788</v>
      </c>
    </row>
    <row r="84" spans="1:17">
      <c r="A84" s="2" t="s">
        <v>446</v>
      </c>
      <c r="B84" s="16" t="s">
        <v>447</v>
      </c>
      <c r="D84" s="14">
        <v>1</v>
      </c>
      <c r="E84" s="14">
        <v>0.97241343586037354</v>
      </c>
      <c r="F84" s="14">
        <v>0.9704900523778639</v>
      </c>
      <c r="G84" s="14">
        <v>6.5314495385009925E-17</v>
      </c>
      <c r="H84" s="14">
        <v>1.2038741470931105</v>
      </c>
      <c r="I84" s="14">
        <v>3.8711344830714123</v>
      </c>
      <c r="J84" s="14">
        <v>0</v>
      </c>
      <c r="K84" s="14">
        <v>1.0304072644019706</v>
      </c>
      <c r="L84" s="14">
        <v>0.97049005237786401</v>
      </c>
      <c r="M84" s="14">
        <v>0.79628708797603742</v>
      </c>
      <c r="N84" s="14">
        <v>1.0726873945942452</v>
      </c>
      <c r="O84" s="14">
        <v>417.157400883756</v>
      </c>
      <c r="P84" s="14">
        <v>1.0726873945942452</v>
      </c>
      <c r="Q84" s="8">
        <v>4.3474866688605902E-2</v>
      </c>
    </row>
    <row r="85" spans="1:17">
      <c r="A85" s="2" t="s">
        <v>448</v>
      </c>
      <c r="B85" s="16" t="s">
        <v>449</v>
      </c>
      <c r="D85" s="14">
        <v>1</v>
      </c>
      <c r="E85" s="14">
        <v>0.99452125812862335</v>
      </c>
      <c r="F85" s="14">
        <v>0.99816925480155649</v>
      </c>
      <c r="G85" s="14">
        <v>4.4609019381688967E-10</v>
      </c>
      <c r="H85" s="14">
        <v>4.7972702944450538E-2</v>
      </c>
      <c r="I85" s="14">
        <v>0.19599787354064901</v>
      </c>
      <c r="J85" s="14">
        <v>0</v>
      </c>
      <c r="K85" s="14">
        <v>1.0018341029736559</v>
      </c>
      <c r="L85" s="14">
        <v>0.99816925480155649</v>
      </c>
      <c r="M85" s="14">
        <v>0.81899787356467713</v>
      </c>
      <c r="N85" s="14">
        <v>0.88918421869422437</v>
      </c>
      <c r="O85" s="14">
        <v>159.37737935875279</v>
      </c>
      <c r="P85" s="14">
        <v>0.88918421869422448</v>
      </c>
      <c r="Q85" s="8">
        <v>8.2158283954687338E-3</v>
      </c>
    </row>
    <row r="86" spans="1:17">
      <c r="A86" s="2" t="s">
        <v>450</v>
      </c>
      <c r="B86" s="16" t="s">
        <v>451</v>
      </c>
      <c r="D86" s="14">
        <v>1</v>
      </c>
      <c r="E86" s="14">
        <v>0.97309010209018121</v>
      </c>
      <c r="F86" s="14">
        <v>0.97143832863677082</v>
      </c>
      <c r="G86" s="14">
        <v>1.6417753186647807E-10</v>
      </c>
      <c r="H86" s="14">
        <v>1.146265535582466</v>
      </c>
      <c r="I86" s="14">
        <v>3.6994946667751072</v>
      </c>
      <c r="J86" s="14">
        <v>0</v>
      </c>
      <c r="K86" s="14">
        <v>1.0294014252076198</v>
      </c>
      <c r="L86" s="14">
        <v>0.97143832863677082</v>
      </c>
      <c r="M86" s="14">
        <v>0.79706514864647049</v>
      </c>
      <c r="N86" s="14">
        <v>1.0637517020207459</v>
      </c>
      <c r="O86" s="14">
        <v>277.73493188059655</v>
      </c>
      <c r="P86" s="14">
        <v>1.0637517020207461</v>
      </c>
      <c r="Q86" s="8">
        <v>4.2397710548176495E-2</v>
      </c>
    </row>
    <row r="87" spans="1:17">
      <c r="A87" s="2" t="s">
        <v>452</v>
      </c>
      <c r="B87" s="16" t="s">
        <v>453</v>
      </c>
      <c r="D87" s="14">
        <v>1</v>
      </c>
      <c r="E87" s="14">
        <v>0.92223783524687164</v>
      </c>
      <c r="F87" s="14">
        <v>5.3238680687425744E-4</v>
      </c>
      <c r="G87" s="14">
        <v>5.4913076074228037E-10</v>
      </c>
      <c r="H87" s="14">
        <v>62.007937286512416</v>
      </c>
      <c r="I87" s="14">
        <v>1851.4178877575262</v>
      </c>
      <c r="J87" s="14">
        <v>0</v>
      </c>
      <c r="K87" s="14">
        <v>1878.3335482544865</v>
      </c>
      <c r="L87" s="14">
        <v>5.3238680687425744E-4</v>
      </c>
      <c r="M87" s="14">
        <v>4.3682337504032825E-4</v>
      </c>
      <c r="N87" s="14">
        <v>116.33786305689414</v>
      </c>
      <c r="O87" s="14">
        <v>48431.452390585029</v>
      </c>
      <c r="P87" s="14">
        <v>116.33786305689414</v>
      </c>
      <c r="Q87" s="8">
        <v>5.2445044157828434E-2</v>
      </c>
    </row>
    <row r="88" spans="1:17">
      <c r="A88" s="2" t="s">
        <v>454</v>
      </c>
      <c r="B88" s="16" t="s">
        <v>455</v>
      </c>
      <c r="D88" s="14">
        <v>1</v>
      </c>
      <c r="E88" s="14">
        <v>0.86319603686761248</v>
      </c>
      <c r="F88" s="14">
        <v>0.71255275717001876</v>
      </c>
      <c r="G88" s="14">
        <v>5.2435511951924395E-7</v>
      </c>
      <c r="H88" s="14">
        <v>34.466487375670937</v>
      </c>
      <c r="I88" s="14">
        <v>84.616332062064913</v>
      </c>
      <c r="J88" s="14">
        <v>0</v>
      </c>
      <c r="K88" s="14">
        <v>1.4034048566054382</v>
      </c>
      <c r="L88" s="14">
        <v>0.71255275717001887</v>
      </c>
      <c r="M88" s="14">
        <v>0.5846495372580004</v>
      </c>
      <c r="N88" s="14">
        <v>5.533511364821595</v>
      </c>
      <c r="O88" s="14">
        <v>1058.3947187494264</v>
      </c>
      <c r="P88" s="14">
        <v>5.533511364821595</v>
      </c>
      <c r="Q88" s="8">
        <v>0.21540421420739761</v>
      </c>
    </row>
    <row r="89" spans="1:17">
      <c r="A89" s="2" t="s">
        <v>456</v>
      </c>
      <c r="B89" s="16" t="s">
        <v>457</v>
      </c>
      <c r="D89" s="14">
        <v>1</v>
      </c>
      <c r="E89" s="14">
        <v>0.89051469629257896</v>
      </c>
      <c r="F89" s="14">
        <v>0.80252428550524257</v>
      </c>
      <c r="G89" s="14">
        <v>3.4650273851401848E-19</v>
      </c>
      <c r="H89" s="14">
        <v>20.261807437808656</v>
      </c>
      <c r="I89" s="14">
        <v>52.183758349379076</v>
      </c>
      <c r="J89" s="14">
        <v>0</v>
      </c>
      <c r="K89" s="14">
        <v>1.2460682100983811</v>
      </c>
      <c r="L89" s="14">
        <v>0.80252428550524268</v>
      </c>
      <c r="M89" s="14">
        <v>0.65847117625705154</v>
      </c>
      <c r="N89" s="14">
        <v>3.7180402166118469</v>
      </c>
      <c r="O89" s="14">
        <v>1459.1820634114854</v>
      </c>
      <c r="P89" s="14">
        <v>3.7180402166118474</v>
      </c>
      <c r="Q89" s="8">
        <v>0.17287625838452966</v>
      </c>
    </row>
    <row r="90" spans="1:17">
      <c r="A90" s="2" t="s">
        <v>458</v>
      </c>
      <c r="B90" s="16" t="s">
        <v>459</v>
      </c>
      <c r="D90" s="14">
        <v>1</v>
      </c>
      <c r="E90" s="14">
        <v>0.94646098815749191</v>
      </c>
      <c r="F90" s="14">
        <v>0.92925899537791368</v>
      </c>
      <c r="G90" s="14">
        <v>5.0052440901041345E-31</v>
      </c>
      <c r="H90" s="14">
        <v>4.5039833235687032</v>
      </c>
      <c r="I90" s="14">
        <v>13.09947663556652</v>
      </c>
      <c r="J90" s="14">
        <v>0</v>
      </c>
      <c r="K90" s="14">
        <v>1.0761262521793691</v>
      </c>
      <c r="L90" s="14">
        <v>0.92925899537791368</v>
      </c>
      <c r="M90" s="14">
        <v>0.76245700570757824</v>
      </c>
      <c r="N90" s="14">
        <v>1.5649225599239982</v>
      </c>
      <c r="O90" s="14">
        <v>1222.1106239470473</v>
      </c>
      <c r="P90" s="14">
        <v>1.5649225599239982</v>
      </c>
      <c r="Q90" s="8">
        <v>8.4694253524273261E-2</v>
      </c>
    </row>
    <row r="91" spans="1:17">
      <c r="A91" s="2" t="s">
        <v>460</v>
      </c>
      <c r="B91" s="16" t="s">
        <v>461</v>
      </c>
      <c r="D91" s="14">
        <v>1</v>
      </c>
      <c r="E91" s="14">
        <v>0.92552928809603252</v>
      </c>
      <c r="F91" s="14">
        <v>3.5767350833918704E-3</v>
      </c>
      <c r="G91" s="14">
        <v>5.8921699153487808E-10</v>
      </c>
      <c r="H91" s="14">
        <v>159.34805785245803</v>
      </c>
      <c r="I91" s="14">
        <v>950.83234160158224</v>
      </c>
      <c r="J91" s="14">
        <v>0</v>
      </c>
      <c r="K91" s="14">
        <v>279.58458669286887</v>
      </c>
      <c r="L91" s="14">
        <v>3.5767350833918704E-3</v>
      </c>
      <c r="M91" s="14">
        <v>2.9347111359230298E-3</v>
      </c>
      <c r="N91" s="14">
        <v>58.552608618330659</v>
      </c>
      <c r="O91" s="14">
        <v>17940.519280656514</v>
      </c>
      <c r="P91" s="14">
        <v>58.552608618330659</v>
      </c>
      <c r="Q91" s="8">
        <v>8.2928525855504198E-2</v>
      </c>
    </row>
    <row r="92" spans="1:17">
      <c r="A92" s="2" t="s">
        <v>462</v>
      </c>
      <c r="B92" s="16" t="s">
        <v>463</v>
      </c>
      <c r="D92" s="14">
        <v>1</v>
      </c>
      <c r="E92" s="14">
        <v>0.83307109444237626</v>
      </c>
      <c r="F92" s="14">
        <v>0.21578427154253524</v>
      </c>
      <c r="G92" s="14">
        <v>5.9858836851115485E-11</v>
      </c>
      <c r="H92" s="14">
        <v>144.17826196210066</v>
      </c>
      <c r="I92" s="14">
        <v>291.7137879383352</v>
      </c>
      <c r="J92" s="14">
        <v>0</v>
      </c>
      <c r="K92" s="14">
        <v>4.6342580617738891</v>
      </c>
      <c r="L92" s="14">
        <v>0.21578427154253524</v>
      </c>
      <c r="M92" s="14">
        <v>0.17705099480065017</v>
      </c>
      <c r="N92" s="14">
        <v>17.426693023301286</v>
      </c>
      <c r="O92" s="14">
        <v>5869.6587441083384</v>
      </c>
      <c r="P92" s="14">
        <v>17.426693023301286</v>
      </c>
      <c r="Q92" s="8">
        <v>0.25630492810425909</v>
      </c>
    </row>
    <row r="93" spans="1:17">
      <c r="A93" s="2" t="s">
        <v>464</v>
      </c>
      <c r="B93" s="16" t="s">
        <v>465</v>
      </c>
      <c r="D93" s="14">
        <v>1</v>
      </c>
      <c r="E93" s="14">
        <v>0.90190484073277755</v>
      </c>
      <c r="F93" s="14">
        <v>4.3662461184496189E-2</v>
      </c>
      <c r="G93" s="14">
        <v>2.4428494360489177E-6</v>
      </c>
      <c r="H93" s="14">
        <v>205.14843703849999</v>
      </c>
      <c r="I93" s="14">
        <v>359.52192739659085</v>
      </c>
      <c r="J93" s="14">
        <v>0</v>
      </c>
      <c r="K93" s="14">
        <v>22.902969115151102</v>
      </c>
      <c r="L93" s="14">
        <v>4.3662461184496189E-2</v>
      </c>
      <c r="M93" s="14">
        <v>3.5825049401879125E-2</v>
      </c>
      <c r="N93" s="14">
        <v>21.582741549237412</v>
      </c>
      <c r="O93" s="14">
        <v>10037.917267134828</v>
      </c>
      <c r="P93" s="14">
        <v>21.582741549237412</v>
      </c>
      <c r="Q93" s="8">
        <v>0.14332613291892329</v>
      </c>
    </row>
    <row r="94" spans="1:17">
      <c r="A94" s="2" t="s">
        <v>466</v>
      </c>
      <c r="B94" s="16" t="s">
        <v>467</v>
      </c>
      <c r="D94" s="14">
        <v>1</v>
      </c>
      <c r="E94" s="14">
        <v>0.99951771178490922</v>
      </c>
      <c r="F94" s="14">
        <v>0.8979798133672946</v>
      </c>
      <c r="G94" s="14">
        <v>2.0375252176497406E-20</v>
      </c>
      <c r="H94" s="14">
        <v>29.85015384698362</v>
      </c>
      <c r="I94" s="14">
        <v>3.6320070574930183E-2</v>
      </c>
      <c r="J94" s="14">
        <v>0</v>
      </c>
      <c r="K94" s="14">
        <v>1.1136107795676879</v>
      </c>
      <c r="L94" s="14">
        <v>0.89797981336729471</v>
      </c>
      <c r="M94" s="14">
        <v>0.73679243686786522</v>
      </c>
      <c r="N94" s="14">
        <v>1.0733208575744173</v>
      </c>
      <c r="O94" s="14">
        <v>354.99014043416275</v>
      </c>
      <c r="P94" s="14">
        <v>1.0733208575744173</v>
      </c>
      <c r="Q94" s="8">
        <v>1.0763330692571636E-4</v>
      </c>
    </row>
    <row r="95" spans="1:17">
      <c r="A95" s="2" t="s">
        <v>468</v>
      </c>
      <c r="B95" s="16" t="s">
        <v>469</v>
      </c>
      <c r="D95" s="14">
        <v>1</v>
      </c>
      <c r="E95" s="14">
        <v>0.93703109110140315</v>
      </c>
      <c r="F95" s="14">
        <v>8.4101487281475588E-3</v>
      </c>
      <c r="G95" s="14">
        <v>2.3857897245663068E-20</v>
      </c>
      <c r="H95" s="14">
        <v>211.59415955660134</v>
      </c>
      <c r="I95" s="14">
        <v>484.68641450818723</v>
      </c>
      <c r="J95" s="14">
        <v>0</v>
      </c>
      <c r="K95" s="14">
        <v>118.90396143092497</v>
      </c>
      <c r="L95" s="14">
        <v>8.4101487281475588E-3</v>
      </c>
      <c r="M95" s="14">
        <v>6.9005270314450723E-3</v>
      </c>
      <c r="N95" s="14">
        <v>29.49721519703564</v>
      </c>
      <c r="O95" s="14">
        <v>14571.624307335605</v>
      </c>
      <c r="P95" s="14">
        <v>29.49721519703564</v>
      </c>
      <c r="Q95" s="8">
        <v>8.2501310435855402E-2</v>
      </c>
    </row>
    <row r="96" spans="1:17">
      <c r="A96" s="2" t="s">
        <v>470</v>
      </c>
      <c r="B96" s="164">
        <v>354656</v>
      </c>
      <c r="D96" s="14">
        <v>1</v>
      </c>
      <c r="E96" s="14">
        <v>0.98672039581256854</v>
      </c>
      <c r="F96" s="14">
        <v>0.98919014993756715</v>
      </c>
      <c r="G96" s="14">
        <v>4.16666198986142E-12</v>
      </c>
      <c r="H96" s="14">
        <v>0.284157931780958</v>
      </c>
      <c r="I96" s="14">
        <v>1.0176933903679388</v>
      </c>
      <c r="J96" s="14">
        <v>0</v>
      </c>
      <c r="K96" s="14">
        <v>1.0109279798864912</v>
      </c>
      <c r="L96" s="14">
        <v>0.98919014993756715</v>
      </c>
      <c r="M96" s="14">
        <v>0.81163051802377384</v>
      </c>
      <c r="N96" s="14">
        <v>0.9273588684191959</v>
      </c>
      <c r="O96" s="14">
        <v>182.86589526358125</v>
      </c>
      <c r="P96" s="14">
        <v>0.92735886841919601</v>
      </c>
      <c r="Q96" s="8">
        <v>2.0673640213295486E-2</v>
      </c>
    </row>
    <row r="97" spans="1:17">
      <c r="A97" s="2" t="s">
        <v>472</v>
      </c>
      <c r="B97" s="16" t="s">
        <v>473</v>
      </c>
      <c r="D97" s="14">
        <v>1</v>
      </c>
      <c r="E97" s="14">
        <v>0.97206897096422062</v>
      </c>
      <c r="F97" s="14">
        <v>0.97000489325020944</v>
      </c>
      <c r="G97" s="14">
        <v>6.5290863561414104E-12</v>
      </c>
      <c r="H97" s="14">
        <v>1.233740794147272</v>
      </c>
      <c r="I97" s="14">
        <v>3.9598715256057062</v>
      </c>
      <c r="J97" s="14">
        <v>0</v>
      </c>
      <c r="K97" s="14">
        <v>1.0309226344717557</v>
      </c>
      <c r="L97" s="14">
        <v>0.97000489325020944</v>
      </c>
      <c r="M97" s="14">
        <v>0.79588901491179687</v>
      </c>
      <c r="N97" s="14">
        <v>1.0773129572865012</v>
      </c>
      <c r="O97" s="14">
        <v>172.56398949815176</v>
      </c>
      <c r="P97" s="14">
        <v>1.0773129572865012</v>
      </c>
      <c r="Q97" s="8">
        <v>4.4023148109748181E-2</v>
      </c>
    </row>
    <row r="98" spans="1:17">
      <c r="A98" s="2" t="s">
        <v>474</v>
      </c>
      <c r="B98" s="16" t="s">
        <v>475</v>
      </c>
      <c r="D98" s="14">
        <v>1</v>
      </c>
      <c r="E98" s="14">
        <v>0.92789916543147577</v>
      </c>
      <c r="F98" s="14">
        <v>1.9929535885970941E-2</v>
      </c>
      <c r="G98" s="14">
        <v>5.6146885766678024E-22</v>
      </c>
      <c r="H98" s="14">
        <v>219.1276519393007</v>
      </c>
      <c r="I98" s="14">
        <v>360.70682174991299</v>
      </c>
      <c r="J98" s="14">
        <v>0</v>
      </c>
      <c r="K98" s="14">
        <v>50.17678312839854</v>
      </c>
      <c r="L98" s="14">
        <v>1.9929535885970941E-2</v>
      </c>
      <c r="M98" s="14">
        <v>1.6352184194439158E-2</v>
      </c>
      <c r="N98" s="14">
        <v>21.76614367234378</v>
      </c>
      <c r="O98" s="14">
        <v>11567.181731793655</v>
      </c>
      <c r="P98" s="14">
        <v>21.766143672343784</v>
      </c>
      <c r="Q98" s="8">
        <v>0.10189534775768209</v>
      </c>
    </row>
    <row r="99" spans="1:17">
      <c r="A99" s="2" t="s">
        <v>476</v>
      </c>
      <c r="B99" s="16" t="s">
        <v>477</v>
      </c>
      <c r="D99" s="14">
        <v>1</v>
      </c>
      <c r="E99" s="14">
        <v>0.99610962056573538</v>
      </c>
      <c r="F99" s="14">
        <v>0.99988611839350139</v>
      </c>
      <c r="G99" s="14">
        <v>1.9429383776877731E-9</v>
      </c>
      <c r="H99" s="14">
        <v>2.3562997600818567E-2</v>
      </c>
      <c r="I99" s="14">
        <v>0.10145833005392248</v>
      </c>
      <c r="J99" s="14">
        <v>0</v>
      </c>
      <c r="K99" s="14">
        <v>1.0001138945769958</v>
      </c>
      <c r="L99" s="14">
        <v>0.9998861183935015</v>
      </c>
      <c r="M99" s="14">
        <v>0.82040656014186797</v>
      </c>
      <c r="N99" s="14">
        <v>0.88544790982994115</v>
      </c>
      <c r="O99" s="14">
        <v>114.3644520336352</v>
      </c>
      <c r="P99" s="14">
        <v>0.88544790982994115</v>
      </c>
      <c r="Q99" s="8">
        <v>5.6765923788434881E-3</v>
      </c>
    </row>
    <row r="100" spans="1:17">
      <c r="A100" s="2" t="s">
        <v>478</v>
      </c>
      <c r="B100" s="16" t="s">
        <v>479</v>
      </c>
      <c r="D100" s="14">
        <v>1</v>
      </c>
      <c r="E100" s="14">
        <v>0.82637014595210356</v>
      </c>
      <c r="F100" s="14">
        <v>0.5061835793848285</v>
      </c>
      <c r="G100" s="14">
        <v>6.9784109383754827E-13</v>
      </c>
      <c r="H100" s="14">
        <v>73.574624201084248</v>
      </c>
      <c r="I100" s="14">
        <v>166.56556537908952</v>
      </c>
      <c r="J100" s="14">
        <v>0</v>
      </c>
      <c r="K100" s="14">
        <v>1.9755678388763875</v>
      </c>
      <c r="L100" s="14">
        <v>0.5061835793848285</v>
      </c>
      <c r="M100" s="14">
        <v>0.41532362688525182</v>
      </c>
      <c r="N100" s="14">
        <v>10.180192139095876</v>
      </c>
      <c r="O100" s="14">
        <v>3052.0216033009438</v>
      </c>
      <c r="P100" s="14">
        <v>10.180192139095876</v>
      </c>
      <c r="Q100" s="8">
        <v>0.27150962086175512</v>
      </c>
    </row>
    <row r="101" spans="1:17">
      <c r="A101" s="2" t="s">
        <v>480</v>
      </c>
      <c r="B101" s="16" t="s">
        <v>481</v>
      </c>
      <c r="D101" s="14">
        <v>1</v>
      </c>
      <c r="E101" s="14">
        <v>0.99369548399159169</v>
      </c>
      <c r="F101" s="14">
        <v>0.99726126299782714</v>
      </c>
      <c r="G101" s="14">
        <v>5.2446611897535175E-13</v>
      </c>
      <c r="H101" s="14">
        <v>6.3898247900275845E-2</v>
      </c>
      <c r="I101" s="14">
        <v>0.25559133163939196</v>
      </c>
      <c r="J101" s="14">
        <v>0</v>
      </c>
      <c r="K101" s="14">
        <v>1.0027462582813456</v>
      </c>
      <c r="L101" s="14">
        <v>0.99726126299782714</v>
      </c>
      <c r="M101" s="14">
        <v>0.81825286628971716</v>
      </c>
      <c r="N101" s="14">
        <v>0.89170371702326345</v>
      </c>
      <c r="O101" s="14">
        <v>212.36815724626041</v>
      </c>
      <c r="P101" s="14">
        <v>0.89170371702326345</v>
      </c>
      <c r="Q101" s="8">
        <v>9.5355581884481178E-3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0.9981542659082403</v>
      </c>
      <c r="F102" s="14">
        <v>1.0020362784323946</v>
      </c>
      <c r="G102" s="14">
        <v>3.2766641760938926E-29</v>
      </c>
      <c r="H102" s="14">
        <v>4.5331850237390657E-3</v>
      </c>
      <c r="I102" s="14">
        <v>2.2042488155283799E-2</v>
      </c>
      <c r="J102" s="14">
        <v>0</v>
      </c>
      <c r="K102" s="14">
        <v>0.99796785957133183</v>
      </c>
      <c r="L102" s="14">
        <v>1.0020362784323946</v>
      </c>
      <c r="M102" s="14">
        <v>0.82217076645377984</v>
      </c>
      <c r="N102" s="14">
        <v>0.88296386022786688</v>
      </c>
      <c r="O102" s="14">
        <v>406.5430501647167</v>
      </c>
      <c r="P102" s="14">
        <v>0.88296386022786688</v>
      </c>
      <c r="Q102" s="8">
        <v>2.4069142386211545E-3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0.99622315338100209</v>
      </c>
      <c r="F103" s="14">
        <v>1.0000073031270535</v>
      </c>
      <c r="G103" s="14">
        <v>2.6203642121296904E-15</v>
      </c>
      <c r="H103" s="14">
        <v>2.2137734351704703E-2</v>
      </c>
      <c r="I103" s="14">
        <v>9.5761368199866609E-2</v>
      </c>
      <c r="J103" s="14">
        <v>0</v>
      </c>
      <c r="K103" s="14">
        <v>0.99999269692628168</v>
      </c>
      <c r="L103" s="14">
        <v>1.0000073031270535</v>
      </c>
      <c r="M103" s="14">
        <v>0.82050599221574749</v>
      </c>
      <c r="N103" s="14">
        <v>0.88523931008054024</v>
      </c>
      <c r="O103" s="14">
        <v>181.69536839403088</v>
      </c>
      <c r="P103" s="14">
        <v>0.88523931008054024</v>
      </c>
      <c r="Q103" s="8">
        <v>5.4952865369332898E-3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0.97992596382341535</v>
      </c>
      <c r="F104" s="14">
        <v>0.98066339361124322</v>
      </c>
      <c r="G104" s="14">
        <v>3.2961612681820314E-11</v>
      </c>
      <c r="H104" s="14">
        <v>0.64295409125799374</v>
      </c>
      <c r="I104" s="14">
        <v>2.1668913451160323</v>
      </c>
      <c r="J104" s="14">
        <v>0</v>
      </c>
      <c r="K104" s="14">
        <v>1.0197178833376768</v>
      </c>
      <c r="L104" s="14">
        <v>0.98066339361124322</v>
      </c>
      <c r="M104" s="14">
        <v>0.80463431445802513</v>
      </c>
      <c r="N104" s="14">
        <v>0.98481423540243274</v>
      </c>
      <c r="O104" s="14">
        <v>148.86451982343172</v>
      </c>
      <c r="P104" s="14">
        <v>0.98481423540243274</v>
      </c>
      <c r="Q104" s="8">
        <v>3.1509182450532747E-2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0.99785364646432662</v>
      </c>
      <c r="F105" s="14">
        <v>1.0017245600247149</v>
      </c>
      <c r="G105" s="14">
        <v>2.6069746581944941E-18</v>
      </c>
      <c r="H105" s="14">
        <v>6.4314414725884289E-3</v>
      </c>
      <c r="I105" s="14">
        <v>3.0476528249908749E-2</v>
      </c>
      <c r="J105" s="14">
        <v>0</v>
      </c>
      <c r="K105" s="14">
        <v>0.9982784089623673</v>
      </c>
      <c r="L105" s="14">
        <v>1.0017245600247151</v>
      </c>
      <c r="M105" s="14">
        <v>0.82191500150027863</v>
      </c>
      <c r="N105" s="14">
        <v>0.88315154989685896</v>
      </c>
      <c r="O105" s="14">
        <v>299.7063099729981</v>
      </c>
      <c r="P105" s="14">
        <v>0.88315154989685907</v>
      </c>
      <c r="Q105" s="8">
        <v>2.8877892315407037E-3</v>
      </c>
    </row>
    <row r="106" spans="1:17">
      <c r="A106" s="2" t="s">
        <v>490</v>
      </c>
      <c r="B106" s="16" t="s">
        <v>491</v>
      </c>
      <c r="D106" s="14">
        <v>1</v>
      </c>
      <c r="E106" s="14">
        <v>0.93249445332944514</v>
      </c>
      <c r="F106" s="14">
        <v>0.90293742757986661</v>
      </c>
      <c r="G106" s="14">
        <v>1.5422193327169655E-10</v>
      </c>
      <c r="H106" s="14">
        <v>7.2163511057932501</v>
      </c>
      <c r="I106" s="14">
        <v>20.229019175349801</v>
      </c>
      <c r="J106" s="14">
        <v>0</v>
      </c>
      <c r="K106" s="14">
        <v>1.1074964548543405</v>
      </c>
      <c r="L106" s="14">
        <v>0.90293742757986661</v>
      </c>
      <c r="M106" s="14">
        <v>0.74086015932928051</v>
      </c>
      <c r="N106" s="14">
        <v>1.9525516898292086</v>
      </c>
      <c r="O106" s="14">
        <v>375.14375616688585</v>
      </c>
      <c r="P106" s="14">
        <v>1.9525516898292086</v>
      </c>
      <c r="Q106" s="8">
        <v>0.10680087875459032</v>
      </c>
    </row>
    <row r="107" spans="1:17">
      <c r="A107" s="2" t="s">
        <v>492</v>
      </c>
      <c r="B107" s="16" t="s">
        <v>493</v>
      </c>
      <c r="D107" s="14">
        <v>1</v>
      </c>
      <c r="E107" s="14">
        <v>0.93610308987646629</v>
      </c>
      <c r="F107" s="14">
        <v>1.4664127037762719E-2</v>
      </c>
      <c r="G107" s="14">
        <v>2.6113477011792308E-18</v>
      </c>
      <c r="H107" s="14">
        <v>223.17020601358772</v>
      </c>
      <c r="I107" s="14">
        <v>358.668622719317</v>
      </c>
      <c r="J107" s="14">
        <v>0</v>
      </c>
      <c r="K107" s="14">
        <v>68.193626352582953</v>
      </c>
      <c r="L107" s="14">
        <v>1.4664127037762721E-2</v>
      </c>
      <c r="M107" s="14">
        <v>1.2031916234484312E-2</v>
      </c>
      <c r="N107" s="14">
        <v>21.689565793334541</v>
      </c>
      <c r="O107" s="14">
        <v>9860.0766096498828</v>
      </c>
      <c r="P107" s="14">
        <v>21.689565793334545</v>
      </c>
      <c r="Q107" s="8">
        <v>8.8816444826843935E-2</v>
      </c>
    </row>
    <row r="108" spans="1:17">
      <c r="A108" s="2" t="s">
        <v>291</v>
      </c>
      <c r="B108" s="16" t="s">
        <v>494</v>
      </c>
      <c r="D108" s="14">
        <v>1</v>
      </c>
      <c r="E108" s="14">
        <v>0.83542131976643674</v>
      </c>
      <c r="F108" s="14">
        <v>0.57740178787280438</v>
      </c>
      <c r="G108" s="14">
        <v>3.9818657356944257E-12</v>
      </c>
      <c r="H108" s="14">
        <v>59.136841386836039</v>
      </c>
      <c r="I108" s="14">
        <v>137.37740075797839</v>
      </c>
      <c r="J108" s="14">
        <v>0</v>
      </c>
      <c r="K108" s="14">
        <v>1.7318962653096073</v>
      </c>
      <c r="L108" s="14">
        <v>0.57740178787280438</v>
      </c>
      <c r="M108" s="14">
        <v>0.47375816694963596</v>
      </c>
      <c r="N108" s="14">
        <v>8.5168567036207108</v>
      </c>
      <c r="O108" s="14">
        <v>2626.0024274273737</v>
      </c>
      <c r="P108" s="14">
        <v>8.5168567036207108</v>
      </c>
      <c r="Q108" s="8">
        <v>0.25805679258042552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7.8689297090475747E-5</v>
      </c>
      <c r="E2" s="20">
        <v>0.91484005263550361</v>
      </c>
      <c r="F2" s="20">
        <v>4.1127693109533958E-2</v>
      </c>
      <c r="G2" s="20">
        <v>1.1979257643335621E-2</v>
      </c>
      <c r="H2" s="20">
        <v>0</v>
      </c>
      <c r="I2" s="20">
        <v>0.86173310188263408</v>
      </c>
      <c r="J2" s="20">
        <v>9.9474830088033925E-4</v>
      </c>
      <c r="K2" s="20">
        <v>8.4086509766525513E-2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2.8450567041284837E-3</v>
      </c>
      <c r="E3" s="20">
        <v>0.91906299765389121</v>
      </c>
      <c r="F3" s="20">
        <v>0.24757660942178686</v>
      </c>
      <c r="G3" s="20">
        <v>0.67081870874058724</v>
      </c>
      <c r="H3" s="20">
        <v>0</v>
      </c>
      <c r="I3" s="20">
        <v>6.6767949151713766E-4</v>
      </c>
      <c r="J3" s="20">
        <v>4.2797888291984144E-2</v>
      </c>
      <c r="K3" s="20">
        <v>3.5294057349996147E-2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4.2393460595525356E-12</v>
      </c>
      <c r="E4" s="20">
        <v>0.82128946945289238</v>
      </c>
      <c r="F4" s="20">
        <v>0.31039702775616912</v>
      </c>
      <c r="G4" s="20">
        <v>7.4099130067095523E-2</v>
      </c>
      <c r="H4" s="20">
        <v>0</v>
      </c>
      <c r="I4" s="20">
        <v>0.4367933116296277</v>
      </c>
      <c r="J4" s="20">
        <v>4.5661238260900202E-3</v>
      </c>
      <c r="K4" s="20">
        <v>0.17414440671677833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9.9260477050178055E-5</v>
      </c>
      <c r="E5" s="20">
        <v>0.93472054406187421</v>
      </c>
      <c r="F5" s="20">
        <v>0.71877844098733079</v>
      </c>
      <c r="G5" s="20">
        <v>0.20858861371909052</v>
      </c>
      <c r="H5" s="20">
        <v>0</v>
      </c>
      <c r="I5" s="20">
        <v>7.3534893554528594E-3</v>
      </c>
      <c r="J5" s="20">
        <v>1.2942138030432386E-2</v>
      </c>
      <c r="K5" s="20">
        <v>5.2238057430643352E-2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9.1735014227529418E-6</v>
      </c>
      <c r="E6" s="20">
        <v>0.9240063852343281</v>
      </c>
      <c r="F6" s="20">
        <v>0.15626215774559402</v>
      </c>
      <c r="G6" s="20">
        <v>0.76744873105583344</v>
      </c>
      <c r="H6" s="20">
        <v>0</v>
      </c>
      <c r="I6" s="20">
        <v>2.954964329006162E-4</v>
      </c>
      <c r="J6" s="20">
        <v>4.9331460057702649E-2</v>
      </c>
      <c r="K6" s="20">
        <v>2.6652981206546501E-2</v>
      </c>
      <c r="L6" s="20">
        <v>0</v>
      </c>
    </row>
    <row r="7" spans="1:14">
      <c r="A7" s="2" t="s">
        <v>321</v>
      </c>
      <c r="B7" s="3" t="s">
        <v>322</v>
      </c>
      <c r="D7" s="20">
        <v>1.3656812605293155E-5</v>
      </c>
      <c r="E7" s="20">
        <v>0.92193154995103366</v>
      </c>
      <c r="F7" s="20">
        <v>0.23289922024650481</v>
      </c>
      <c r="G7" s="20">
        <v>0.68843602743787802</v>
      </c>
      <c r="H7" s="20">
        <v>0</v>
      </c>
      <c r="I7" s="20">
        <v>5.9630226665085141E-4</v>
      </c>
      <c r="J7" s="20">
        <v>4.3970051268285404E-2</v>
      </c>
      <c r="K7" s="20">
        <v>3.4084741968075698E-2</v>
      </c>
      <c r="L7" s="20">
        <v>0</v>
      </c>
    </row>
    <row r="8" spans="1:14">
      <c r="A8" s="2" t="s">
        <v>323</v>
      </c>
      <c r="B8" s="3" t="s">
        <v>324</v>
      </c>
      <c r="D8" s="20">
        <v>1.3065973928858349E-4</v>
      </c>
      <c r="E8" s="20">
        <v>0.92100391443433649</v>
      </c>
      <c r="F8" s="20">
        <v>0.35905458063248402</v>
      </c>
      <c r="G8" s="20">
        <v>0.56060378672442501</v>
      </c>
      <c r="H8" s="20">
        <v>0</v>
      </c>
      <c r="I8" s="20">
        <v>1.3455470774274899E-3</v>
      </c>
      <c r="J8" s="20">
        <v>3.5519084377717371E-2</v>
      </c>
      <c r="K8" s="20">
        <v>4.334634144865758E-2</v>
      </c>
      <c r="L8" s="20">
        <v>0</v>
      </c>
    </row>
    <row r="9" spans="1:14">
      <c r="A9" s="2" t="s">
        <v>325</v>
      </c>
      <c r="B9" s="3" t="s">
        <v>326</v>
      </c>
      <c r="D9" s="20">
        <v>9.0072009082009736E-5</v>
      </c>
      <c r="E9" s="20">
        <v>0.88414833505759316</v>
      </c>
      <c r="F9" s="20">
        <v>0.68235210276953073</v>
      </c>
      <c r="G9" s="20">
        <v>0.13399978131396761</v>
      </c>
      <c r="H9" s="20">
        <v>0</v>
      </c>
      <c r="I9" s="20">
        <v>6.7796450974094855E-2</v>
      </c>
      <c r="J9" s="20">
        <v>8.1645067778137667E-3</v>
      </c>
      <c r="K9" s="20">
        <v>0.10759708615551108</v>
      </c>
      <c r="L9" s="20">
        <v>0</v>
      </c>
    </row>
    <row r="10" spans="1:14">
      <c r="A10" s="2" t="s">
        <v>275</v>
      </c>
      <c r="B10" s="3" t="s">
        <v>276</v>
      </c>
      <c r="D10" s="20">
        <v>1.2750191305829759E-6</v>
      </c>
      <c r="E10" s="20">
        <v>0.93363610230503813</v>
      </c>
      <c r="F10" s="20">
        <v>0.70393958104344312</v>
      </c>
      <c r="G10" s="20">
        <v>0.22285939167956212</v>
      </c>
      <c r="H10" s="20">
        <v>0</v>
      </c>
      <c r="I10" s="20">
        <v>6.8371295820328915E-3</v>
      </c>
      <c r="J10" s="20">
        <v>1.3842302926785689E-2</v>
      </c>
      <c r="K10" s="20">
        <v>5.2520319749045599E-2</v>
      </c>
      <c r="L10" s="20">
        <v>0</v>
      </c>
    </row>
    <row r="11" spans="1:14">
      <c r="A11" s="2" t="s">
        <v>327</v>
      </c>
      <c r="B11" s="3" t="s">
        <v>328</v>
      </c>
      <c r="D11" s="20">
        <v>6.637006700199773E-5</v>
      </c>
      <c r="E11" s="20">
        <v>0.93168297726677807</v>
      </c>
      <c r="F11" s="20">
        <v>0.67762737179835553</v>
      </c>
      <c r="G11" s="20">
        <v>0.24801988155449081</v>
      </c>
      <c r="H11" s="20">
        <v>0</v>
      </c>
      <c r="I11" s="20">
        <v>6.0357239139317278E-3</v>
      </c>
      <c r="J11" s="20">
        <v>1.5432535396439314E-2</v>
      </c>
      <c r="K11" s="20">
        <v>5.2818117269780605E-2</v>
      </c>
      <c r="L11" s="20">
        <v>0</v>
      </c>
    </row>
    <row r="12" spans="1:14">
      <c r="A12" s="2" t="s">
        <v>329</v>
      </c>
      <c r="B12" s="3" t="s">
        <v>330</v>
      </c>
      <c r="D12" s="20">
        <v>4.6056964026503916E-5</v>
      </c>
      <c r="E12" s="20">
        <v>0.9028644226726884</v>
      </c>
      <c r="F12" s="20">
        <v>0.7236257141010094</v>
      </c>
      <c r="G12" s="20">
        <v>0.13671291596757318</v>
      </c>
      <c r="H12" s="20">
        <v>0</v>
      </c>
      <c r="I12" s="20">
        <v>4.2525792604105793E-2</v>
      </c>
      <c r="J12" s="20">
        <v>8.3522700346789127E-3</v>
      </c>
      <c r="K12" s="20">
        <v>8.8737250328606104E-2</v>
      </c>
      <c r="L12" s="20">
        <v>0</v>
      </c>
    </row>
    <row r="13" spans="1:14">
      <c r="A13" s="2" t="s">
        <v>277</v>
      </c>
      <c r="B13" s="3" t="s">
        <v>278</v>
      </c>
      <c r="D13" s="20">
        <v>1.3987677010210544E-4</v>
      </c>
      <c r="E13" s="20">
        <v>0.88595218306758694</v>
      </c>
      <c r="F13" s="20">
        <v>0.68669562387883498</v>
      </c>
      <c r="G13" s="20">
        <v>0.13435685677289697</v>
      </c>
      <c r="H13" s="20">
        <v>0</v>
      </c>
      <c r="I13" s="20">
        <v>6.4899702415854965E-2</v>
      </c>
      <c r="J13" s="20">
        <v>8.1881589068403451E-3</v>
      </c>
      <c r="K13" s="20">
        <v>0.10571978125547048</v>
      </c>
      <c r="L13" s="20">
        <v>0</v>
      </c>
    </row>
    <row r="14" spans="1:14">
      <c r="A14" s="2" t="s">
        <v>331</v>
      </c>
      <c r="B14" s="3" t="s">
        <v>332</v>
      </c>
      <c r="D14" s="20">
        <v>4.4088619450427187E-5</v>
      </c>
      <c r="E14" s="20">
        <v>0.92657964357968048</v>
      </c>
      <c r="F14" s="20">
        <v>0.58619914986308419</v>
      </c>
      <c r="G14" s="20">
        <v>0.33638818966091322</v>
      </c>
      <c r="H14" s="20">
        <v>0</v>
      </c>
      <c r="I14" s="20">
        <v>3.9923040556830314E-3</v>
      </c>
      <c r="J14" s="20">
        <v>2.1047903409825618E-2</v>
      </c>
      <c r="K14" s="20">
        <v>5.2328364391043734E-2</v>
      </c>
      <c r="L14" s="20">
        <v>0</v>
      </c>
    </row>
    <row r="15" spans="1:14">
      <c r="A15" s="2" t="s">
        <v>333</v>
      </c>
      <c r="B15" s="3" t="s">
        <v>334</v>
      </c>
      <c r="D15" s="20">
        <v>7.2272751305433303E-8</v>
      </c>
      <c r="E15" s="20">
        <v>0.93267946868152407</v>
      </c>
      <c r="F15" s="20">
        <v>0.69102422448284773</v>
      </c>
      <c r="G15" s="20">
        <v>0.23522789792914961</v>
      </c>
      <c r="H15" s="20">
        <v>0</v>
      </c>
      <c r="I15" s="20">
        <v>6.4273462695267052E-3</v>
      </c>
      <c r="J15" s="20">
        <v>1.4623537131779156E-2</v>
      </c>
      <c r="K15" s="20">
        <v>5.2696921913945455E-2</v>
      </c>
      <c r="L15" s="20">
        <v>0</v>
      </c>
    </row>
    <row r="16" spans="1:14">
      <c r="A16" s="2" t="s">
        <v>335</v>
      </c>
      <c r="B16" s="3" t="s">
        <v>336</v>
      </c>
      <c r="D16" s="20">
        <v>3.3968869645110907E-4</v>
      </c>
      <c r="E16" s="20">
        <v>0.92084433945198041</v>
      </c>
      <c r="F16" s="20">
        <v>0.36534214960765948</v>
      </c>
      <c r="G16" s="20">
        <v>0.55410916710614266</v>
      </c>
      <c r="H16" s="20">
        <v>0</v>
      </c>
      <c r="I16" s="20">
        <v>1.393022738178297E-3</v>
      </c>
      <c r="J16" s="20">
        <v>3.5094803815872017E-2</v>
      </c>
      <c r="K16" s="20">
        <v>4.3721168035696346E-2</v>
      </c>
      <c r="L16" s="20">
        <v>0</v>
      </c>
    </row>
    <row r="17" spans="1:12">
      <c r="A17" s="2" t="s">
        <v>337</v>
      </c>
      <c r="B17" s="3" t="s">
        <v>338</v>
      </c>
      <c r="D17" s="20">
        <v>2.5494088894502711E-5</v>
      </c>
      <c r="E17" s="20">
        <v>0.93439450673954016</v>
      </c>
      <c r="F17" s="20">
        <v>0.7139341891569011</v>
      </c>
      <c r="G17" s="20">
        <v>0.21328176963032744</v>
      </c>
      <c r="H17" s="20">
        <v>0</v>
      </c>
      <c r="I17" s="20">
        <v>7.178547952311631E-3</v>
      </c>
      <c r="J17" s="20">
        <v>1.3238018081051399E-2</v>
      </c>
      <c r="K17" s="20">
        <v>5.234198109051387E-2</v>
      </c>
      <c r="L17" s="20">
        <v>0</v>
      </c>
    </row>
    <row r="18" spans="1:12">
      <c r="A18" s="2" t="s">
        <v>279</v>
      </c>
      <c r="B18" s="3" t="s">
        <v>280</v>
      </c>
      <c r="D18" s="20">
        <v>2.7357422944177803E-3</v>
      </c>
      <c r="E18" s="20">
        <v>0.87340023333086836</v>
      </c>
      <c r="F18" s="20">
        <v>0.65962008166912123</v>
      </c>
      <c r="G18" s="20">
        <v>0.13170110667869209</v>
      </c>
      <c r="H18" s="20">
        <v>0</v>
      </c>
      <c r="I18" s="20">
        <v>8.2079044983055072E-2</v>
      </c>
      <c r="J18" s="20">
        <v>8.0167433882970124E-3</v>
      </c>
      <c r="K18" s="20">
        <v>0.11584728098641678</v>
      </c>
      <c r="L18" s="20">
        <v>0</v>
      </c>
    </row>
    <row r="19" spans="1:12">
      <c r="A19" s="2" t="s">
        <v>339</v>
      </c>
      <c r="B19" s="3" t="s">
        <v>340</v>
      </c>
      <c r="D19" s="20">
        <v>2.5328806118501653E-7</v>
      </c>
      <c r="E19" s="20">
        <v>0.93249042924473791</v>
      </c>
      <c r="F19" s="20">
        <v>0.6883881789392402</v>
      </c>
      <c r="G19" s="20">
        <v>0.23775461700775732</v>
      </c>
      <c r="H19" s="20">
        <v>0</v>
      </c>
      <c r="I19" s="20">
        <v>6.3476332977403568E-3</v>
      </c>
      <c r="J19" s="20">
        <v>1.4783250114925983E-2</v>
      </c>
      <c r="K19" s="20">
        <v>5.2726067352274815E-2</v>
      </c>
      <c r="L19" s="20">
        <v>0</v>
      </c>
    </row>
    <row r="20" spans="1:12">
      <c r="A20" s="2" t="s">
        <v>281</v>
      </c>
      <c r="B20" s="3" t="s">
        <v>282</v>
      </c>
      <c r="D20" s="20">
        <v>2.11737193165949E-5</v>
      </c>
      <c r="E20" s="20">
        <v>0.8860573630067976</v>
      </c>
      <c r="F20" s="20">
        <v>0.68677714814770208</v>
      </c>
      <c r="G20" s="20">
        <v>0.13437280757283629</v>
      </c>
      <c r="H20" s="20">
        <v>0</v>
      </c>
      <c r="I20" s="20">
        <v>6.4907407286259197E-2</v>
      </c>
      <c r="J20" s="20">
        <v>8.1891310022564733E-3</v>
      </c>
      <c r="K20" s="20">
        <v>0.10573233227162949</v>
      </c>
      <c r="L20" s="20">
        <v>0</v>
      </c>
    </row>
    <row r="21" spans="1:12">
      <c r="A21" s="2" t="s">
        <v>341</v>
      </c>
      <c r="B21" s="3" t="s">
        <v>342</v>
      </c>
      <c r="D21" s="20">
        <v>3.6957151547232359E-4</v>
      </c>
      <c r="E21" s="20">
        <v>0.92762854681705698</v>
      </c>
      <c r="F21" s="20">
        <v>0.61392762400972567</v>
      </c>
      <c r="G21" s="20">
        <v>0.30918095230261627</v>
      </c>
      <c r="H21" s="20">
        <v>0</v>
      </c>
      <c r="I21" s="20">
        <v>4.5199705047150084E-3</v>
      </c>
      <c r="J21" s="20">
        <v>1.9314192500741012E-2</v>
      </c>
      <c r="K21" s="20">
        <v>5.2687689166729591E-2</v>
      </c>
      <c r="L21" s="20">
        <v>0</v>
      </c>
    </row>
    <row r="22" spans="1:12">
      <c r="A22" s="2" t="s">
        <v>343</v>
      </c>
      <c r="B22" s="3" t="s">
        <v>344</v>
      </c>
      <c r="D22" s="20">
        <v>1.8244290543046446E-3</v>
      </c>
      <c r="E22" s="20">
        <v>0.8525338339821289</v>
      </c>
      <c r="F22" s="20">
        <v>0.14366324244957848</v>
      </c>
      <c r="G22" s="20">
        <v>3.746633564960037E-2</v>
      </c>
      <c r="H22" s="20">
        <v>0</v>
      </c>
      <c r="I22" s="20">
        <v>0.67140425588295005</v>
      </c>
      <c r="J22" s="20">
        <v>2.4435101521897997E-3</v>
      </c>
      <c r="K22" s="20">
        <v>0.14319822681137692</v>
      </c>
      <c r="L22" s="20">
        <v>0</v>
      </c>
    </row>
    <row r="23" spans="1:12">
      <c r="A23" s="2" t="s">
        <v>345</v>
      </c>
      <c r="B23" s="3" t="s">
        <v>346</v>
      </c>
      <c r="D23" s="20">
        <v>7.4252986328899773E-5</v>
      </c>
      <c r="E23" s="20">
        <v>0.8945510474303302</v>
      </c>
      <c r="F23" s="20">
        <v>6.5423324519150339E-2</v>
      </c>
      <c r="G23" s="20">
        <v>1.8332773154517062E-2</v>
      </c>
      <c r="H23" s="20">
        <v>0</v>
      </c>
      <c r="I23" s="20">
        <v>0.81079494975666278</v>
      </c>
      <c r="J23" s="20">
        <v>1.3528467030343562E-3</v>
      </c>
      <c r="K23" s="20">
        <v>0.10402185288030646</v>
      </c>
      <c r="L23" s="20">
        <v>0</v>
      </c>
    </row>
    <row r="24" spans="1:12">
      <c r="A24" s="2" t="s">
        <v>347</v>
      </c>
      <c r="B24" s="3" t="s">
        <v>348</v>
      </c>
      <c r="D24" s="20">
        <v>6.8333905998354923E-5</v>
      </c>
      <c r="E24" s="20">
        <v>0.83369811587628273</v>
      </c>
      <c r="F24" s="20">
        <v>0.51104004208812126</v>
      </c>
      <c r="G24" s="20">
        <v>0.11146807101162341</v>
      </c>
      <c r="H24" s="20">
        <v>0</v>
      </c>
      <c r="I24" s="20">
        <v>0.2111900027765381</v>
      </c>
      <c r="J24" s="20">
        <v>6.7753322437838917E-3</v>
      </c>
      <c r="K24" s="20">
        <v>0.15945821797393511</v>
      </c>
      <c r="L24" s="20">
        <v>0</v>
      </c>
    </row>
    <row r="25" spans="1:12">
      <c r="A25" s="2" t="s">
        <v>349</v>
      </c>
      <c r="B25" s="3" t="s">
        <v>350</v>
      </c>
      <c r="D25" s="20">
        <v>1.1225006335281463E-2</v>
      </c>
      <c r="E25" s="20">
        <v>0.91342960396937123</v>
      </c>
      <c r="F25" s="20">
        <v>0.75510140630781231</v>
      </c>
      <c r="G25" s="20">
        <v>0.13573780890265086</v>
      </c>
      <c r="H25" s="20">
        <v>0</v>
      </c>
      <c r="I25" s="20">
        <v>2.2590388758908033E-2</v>
      </c>
      <c r="J25" s="20">
        <v>8.3264958925975182E-3</v>
      </c>
      <c r="K25" s="20">
        <v>6.7018893802749849E-2</v>
      </c>
      <c r="L25" s="20">
        <v>0</v>
      </c>
    </row>
    <row r="26" spans="1:12">
      <c r="A26" s="2" t="s">
        <v>351</v>
      </c>
      <c r="B26" s="3" t="s">
        <v>352</v>
      </c>
      <c r="D26" s="20">
        <v>2.968270443234125E-4</v>
      </c>
      <c r="E26" s="20">
        <v>0.92866315921257625</v>
      </c>
      <c r="F26" s="20">
        <v>0.63200738333966544</v>
      </c>
      <c r="G26" s="20">
        <v>0.29175459672008802</v>
      </c>
      <c r="H26" s="20">
        <v>0</v>
      </c>
      <c r="I26" s="20">
        <v>4.9011791528227799E-3</v>
      </c>
      <c r="J26" s="20">
        <v>1.8205936353543183E-2</v>
      </c>
      <c r="K26" s="20">
        <v>5.283407738955706E-2</v>
      </c>
      <c r="L26" s="20">
        <v>0</v>
      </c>
    </row>
    <row r="27" spans="1:12">
      <c r="A27" s="2" t="s">
        <v>353</v>
      </c>
      <c r="B27" s="3" t="s">
        <v>354</v>
      </c>
      <c r="D27" s="20">
        <v>1.9752913412097992E-3</v>
      </c>
      <c r="E27" s="20">
        <v>0.91967897656772224</v>
      </c>
      <c r="F27" s="20">
        <v>0.26106571702254411</v>
      </c>
      <c r="G27" s="20">
        <v>0.65787805485323447</v>
      </c>
      <c r="H27" s="20">
        <v>0</v>
      </c>
      <c r="I27" s="20">
        <v>7.3520469194368447E-4</v>
      </c>
      <c r="J27" s="20">
        <v>4.1933959608114357E-2</v>
      </c>
      <c r="K27" s="20">
        <v>3.6411772482953554E-2</v>
      </c>
      <c r="L27" s="20">
        <v>0</v>
      </c>
    </row>
    <row r="28" spans="1:12">
      <c r="A28" s="2" t="s">
        <v>355</v>
      </c>
      <c r="B28" s="3" t="s">
        <v>356</v>
      </c>
      <c r="D28" s="20">
        <v>1.1054133090398124E-4</v>
      </c>
      <c r="E28" s="20">
        <v>0.92329205170456941</v>
      </c>
      <c r="F28" s="20">
        <v>0.49790142982858604</v>
      </c>
      <c r="G28" s="20">
        <v>0.42270650267316812</v>
      </c>
      <c r="H28" s="20">
        <v>0</v>
      </c>
      <c r="I28" s="20">
        <v>2.6841192028152368E-3</v>
      </c>
      <c r="J28" s="20">
        <v>2.6578367269834306E-2</v>
      </c>
      <c r="K28" s="20">
        <v>5.0019039694692305E-2</v>
      </c>
      <c r="L28" s="20">
        <v>0</v>
      </c>
    </row>
    <row r="29" spans="1:12">
      <c r="A29" s="2" t="s">
        <v>357</v>
      </c>
      <c r="B29" s="3" t="s">
        <v>358</v>
      </c>
      <c r="D29" s="20">
        <v>2.2515255812022395E-2</v>
      </c>
      <c r="E29" s="20">
        <v>0.90618392382414426</v>
      </c>
      <c r="F29" s="20">
        <v>0.58223132833601698</v>
      </c>
      <c r="G29" s="20">
        <v>0.31988297420720629</v>
      </c>
      <c r="H29" s="20">
        <v>0</v>
      </c>
      <c r="I29" s="20">
        <v>4.0696212809209487E-3</v>
      </c>
      <c r="J29" s="20">
        <v>2.0004342545701118E-2</v>
      </c>
      <c r="K29" s="20">
        <v>5.1296477818132361E-2</v>
      </c>
      <c r="L29" s="20">
        <v>0</v>
      </c>
    </row>
    <row r="30" spans="1:12">
      <c r="A30" s="2" t="s">
        <v>359</v>
      </c>
      <c r="B30" s="3" t="s">
        <v>360</v>
      </c>
      <c r="D30" s="20">
        <v>1.1054133090398124E-4</v>
      </c>
      <c r="E30" s="20">
        <v>0.92329205170456941</v>
      </c>
      <c r="F30" s="20">
        <v>0.49790142982858604</v>
      </c>
      <c r="G30" s="20">
        <v>0.42270650267316812</v>
      </c>
      <c r="H30" s="20">
        <v>0</v>
      </c>
      <c r="I30" s="20">
        <v>2.6841192028152368E-3</v>
      </c>
      <c r="J30" s="20">
        <v>2.6578367269834306E-2</v>
      </c>
      <c r="K30" s="20">
        <v>5.0019039694692305E-2</v>
      </c>
      <c r="L30" s="20">
        <v>0</v>
      </c>
    </row>
    <row r="31" spans="1:12">
      <c r="A31" s="2" t="s">
        <v>283</v>
      </c>
      <c r="B31" s="3" t="s">
        <v>284</v>
      </c>
      <c r="D31" s="20">
        <v>2.0663946598781283E-8</v>
      </c>
      <c r="E31" s="20">
        <v>0.98965702814924061</v>
      </c>
      <c r="F31" s="20">
        <v>6.0845989078777752E-4</v>
      </c>
      <c r="G31" s="20">
        <v>2.4418979513863242E-4</v>
      </c>
      <c r="H31" s="20">
        <v>0</v>
      </c>
      <c r="I31" s="20">
        <v>0.98880437846331415</v>
      </c>
      <c r="J31" s="20">
        <v>3.5160674176621054E-4</v>
      </c>
      <c r="K31" s="20">
        <v>9.991344445046603E-3</v>
      </c>
      <c r="L31" s="20">
        <v>0</v>
      </c>
    </row>
    <row r="32" spans="1:12">
      <c r="A32" s="2" t="s">
        <v>361</v>
      </c>
      <c r="B32" s="3" t="s">
        <v>362</v>
      </c>
      <c r="D32" s="20">
        <v>2.0324555766377321E-8</v>
      </c>
      <c r="E32" s="20">
        <v>0.8299957941087599</v>
      </c>
      <c r="F32" s="20">
        <v>0.2391210650374313</v>
      </c>
      <c r="G32" s="20">
        <v>5.8957152219836162E-2</v>
      </c>
      <c r="H32" s="20">
        <v>0</v>
      </c>
      <c r="I32" s="20">
        <v>0.53191757685149244</v>
      </c>
      <c r="J32" s="20">
        <v>3.7269029057058916E-3</v>
      </c>
      <c r="K32" s="20">
        <v>0.16627728266097846</v>
      </c>
      <c r="L32" s="20">
        <v>0</v>
      </c>
    </row>
    <row r="33" spans="1:12">
      <c r="A33" s="2" t="s">
        <v>364</v>
      </c>
      <c r="B33" s="3" t="s">
        <v>365</v>
      </c>
      <c r="D33" s="20">
        <v>9.3861751739028074E-11</v>
      </c>
      <c r="E33" s="20">
        <v>0.99963042344617747</v>
      </c>
      <c r="F33" s="20">
        <v>4.2009884990833373E-3</v>
      </c>
      <c r="G33" s="20">
        <v>1.2846322342533372E-6</v>
      </c>
      <c r="H33" s="20">
        <v>0</v>
      </c>
      <c r="I33" s="20">
        <v>0.99542815031485987</v>
      </c>
      <c r="J33" s="20">
        <v>3.4548432785224043E-4</v>
      </c>
      <c r="K33" s="20">
        <v>2.4092132108578904E-5</v>
      </c>
      <c r="L33" s="20">
        <v>0</v>
      </c>
    </row>
    <row r="34" spans="1:12">
      <c r="A34" s="2" t="s">
        <v>285</v>
      </c>
      <c r="B34" s="3" t="s">
        <v>286</v>
      </c>
      <c r="D34" s="20">
        <v>2.7902040702626962E-10</v>
      </c>
      <c r="E34" s="20">
        <v>0.99931634383090551</v>
      </c>
      <c r="F34" s="20">
        <v>0.45192710088029431</v>
      </c>
      <c r="G34" s="20">
        <v>3.7114438347187091E-5</v>
      </c>
      <c r="H34" s="20">
        <v>0</v>
      </c>
      <c r="I34" s="20">
        <v>0.547352128512264</v>
      </c>
      <c r="J34" s="20">
        <v>6.0157551855989535E-4</v>
      </c>
      <c r="K34" s="20">
        <v>8.2080371514299061E-5</v>
      </c>
      <c r="L34" s="20">
        <v>0</v>
      </c>
    </row>
    <row r="35" spans="1:12">
      <c r="A35" s="2" t="s">
        <v>287</v>
      </c>
      <c r="B35" s="3" t="s">
        <v>288</v>
      </c>
      <c r="D35" s="20">
        <v>8.1280119592006505E-12</v>
      </c>
      <c r="E35" s="20">
        <v>0.99910285920977049</v>
      </c>
      <c r="F35" s="20">
        <v>0.67491203316763104</v>
      </c>
      <c r="G35" s="20">
        <v>1.3069967088534575E-4</v>
      </c>
      <c r="H35" s="20">
        <v>0</v>
      </c>
      <c r="I35" s="20">
        <v>0.32406012637125414</v>
      </c>
      <c r="J35" s="20">
        <v>6.9845311307790655E-4</v>
      </c>
      <c r="K35" s="20">
        <v>1.9868766902339491E-4</v>
      </c>
      <c r="L35" s="20">
        <v>0</v>
      </c>
    </row>
    <row r="36" spans="1:12">
      <c r="A36" s="2" t="s">
        <v>366</v>
      </c>
      <c r="B36" s="3" t="s">
        <v>305</v>
      </c>
      <c r="D36" s="20">
        <v>1.4328959541280762E-8</v>
      </c>
      <c r="E36" s="20">
        <v>0.99902555247917679</v>
      </c>
      <c r="F36" s="20">
        <v>0.89067723859962478</v>
      </c>
      <c r="G36" s="20">
        <v>2.5501289261335188E-4</v>
      </c>
      <c r="H36" s="20">
        <v>0</v>
      </c>
      <c r="I36" s="20">
        <v>0.10809330098693866</v>
      </c>
      <c r="J36" s="20">
        <v>7.5237921363769137E-4</v>
      </c>
      <c r="K36" s="20">
        <v>2.2205397822599188E-4</v>
      </c>
      <c r="L36" s="20">
        <v>0</v>
      </c>
    </row>
    <row r="37" spans="1:12">
      <c r="A37" s="2" t="s">
        <v>289</v>
      </c>
      <c r="B37" s="3" t="s">
        <v>290</v>
      </c>
      <c r="D37" s="20">
        <v>3.3936493918446265E-15</v>
      </c>
      <c r="E37" s="20">
        <v>0.96686521969343686</v>
      </c>
      <c r="F37" s="20">
        <v>0.72549072192507702</v>
      </c>
      <c r="G37" s="20">
        <v>2.4768594534202739E-2</v>
      </c>
      <c r="H37" s="20">
        <v>0</v>
      </c>
      <c r="I37" s="20">
        <v>0.21660590323415713</v>
      </c>
      <c r="J37" s="20">
        <v>2.0750425578800946E-3</v>
      </c>
      <c r="K37" s="20">
        <v>3.1059737748679376E-2</v>
      </c>
      <c r="L37" s="20">
        <v>0</v>
      </c>
    </row>
    <row r="38" spans="1:12">
      <c r="A38" s="2" t="s">
        <v>291</v>
      </c>
      <c r="B38" s="3" t="s">
        <v>292</v>
      </c>
      <c r="D38" s="20">
        <v>9.401479338789981E-13</v>
      </c>
      <c r="E38" s="20">
        <v>0.99862032181132998</v>
      </c>
      <c r="F38" s="20">
        <v>0.38475659537227141</v>
      </c>
      <c r="G38" s="20">
        <v>3.2144236949833331E-4</v>
      </c>
      <c r="H38" s="20">
        <v>0</v>
      </c>
      <c r="I38" s="20">
        <v>0.61354228406956024</v>
      </c>
      <c r="J38" s="20">
        <v>5.849849060317933E-4</v>
      </c>
      <c r="K38" s="20">
        <v>7.9469328169796147E-4</v>
      </c>
      <c r="L38" s="20">
        <v>0</v>
      </c>
    </row>
    <row r="39" spans="1:12">
      <c r="A39" s="2" t="s">
        <v>367</v>
      </c>
      <c r="B39" s="3" t="s">
        <v>368</v>
      </c>
      <c r="D39" s="20">
        <v>1.1987818130633533E-5</v>
      </c>
      <c r="E39" s="20">
        <v>0.94202525399553316</v>
      </c>
      <c r="F39" s="20">
        <v>0.79260869061804917</v>
      </c>
      <c r="G39" s="20">
        <v>0.13843770316354509</v>
      </c>
      <c r="H39" s="20">
        <v>0</v>
      </c>
      <c r="I39" s="20">
        <v>1.0978860213938898E-2</v>
      </c>
      <c r="J39" s="20">
        <v>8.5372883968852301E-3</v>
      </c>
      <c r="K39" s="20">
        <v>4.9425469789451074E-2</v>
      </c>
      <c r="L39" s="20">
        <v>0</v>
      </c>
    </row>
    <row r="40" spans="1:12">
      <c r="A40" s="2" t="s">
        <v>369</v>
      </c>
      <c r="B40" s="3" t="s">
        <v>370</v>
      </c>
      <c r="D40" s="20">
        <v>6.9073416438392283E-13</v>
      </c>
      <c r="E40" s="20">
        <v>0.94829614234553661</v>
      </c>
      <c r="F40" s="20">
        <v>0.88341546489639255</v>
      </c>
      <c r="G40" s="20">
        <v>6.3912436550550331E-2</v>
      </c>
      <c r="H40" s="20">
        <v>0</v>
      </c>
      <c r="I40" s="20">
        <v>9.6824089859370746E-4</v>
      </c>
      <c r="J40" s="20">
        <v>5.0531441495372857E-2</v>
      </c>
      <c r="K40" s="20">
        <v>1.1724161584000165E-3</v>
      </c>
      <c r="L40" s="20">
        <v>0</v>
      </c>
    </row>
    <row r="41" spans="1:12">
      <c r="A41" s="2" t="s">
        <v>371</v>
      </c>
      <c r="B41" s="3" t="s">
        <v>372</v>
      </c>
      <c r="D41" s="20">
        <v>6.4960169493644165E-2</v>
      </c>
      <c r="E41" s="20">
        <v>0.93274775039042057</v>
      </c>
      <c r="F41" s="20">
        <v>2.8553926265432752E-5</v>
      </c>
      <c r="G41" s="20">
        <v>1.4294250514554514E-5</v>
      </c>
      <c r="H41" s="20">
        <v>0</v>
      </c>
      <c r="I41" s="20">
        <v>0.93270490221364055</v>
      </c>
      <c r="J41" s="20">
        <v>3.1939480920878903E-4</v>
      </c>
      <c r="K41" s="20">
        <v>1.972685306726482E-3</v>
      </c>
      <c r="L41" s="20">
        <v>0</v>
      </c>
    </row>
    <row r="42" spans="1:12">
      <c r="A42" s="2" t="s">
        <v>293</v>
      </c>
      <c r="B42" s="3" t="s">
        <v>294</v>
      </c>
      <c r="D42" s="20">
        <v>1.64347870480825E-8</v>
      </c>
      <c r="E42" s="20">
        <v>0.84551406711033195</v>
      </c>
      <c r="F42" s="20">
        <v>0.16950509837544153</v>
      </c>
      <c r="G42" s="20">
        <v>4.3478877249596468E-2</v>
      </c>
      <c r="H42" s="20">
        <v>0</v>
      </c>
      <c r="I42" s="20">
        <v>0.63253009148529393</v>
      </c>
      <c r="J42" s="20">
        <v>2.7897025777146485E-3</v>
      </c>
      <c r="K42" s="20">
        <v>0.15169621387716639</v>
      </c>
      <c r="L42" s="20">
        <v>0</v>
      </c>
    </row>
    <row r="43" spans="1:12">
      <c r="A43" s="2" t="s">
        <v>373</v>
      </c>
      <c r="B43" s="3" t="s">
        <v>374</v>
      </c>
      <c r="D43" s="20">
        <v>3.3508895351207364E-8</v>
      </c>
      <c r="E43" s="20">
        <v>0.99829516355276582</v>
      </c>
      <c r="F43" s="20">
        <v>0.98865430908680185</v>
      </c>
      <c r="G43" s="20">
        <v>8.3476913896429706E-4</v>
      </c>
      <c r="H43" s="20">
        <v>0</v>
      </c>
      <c r="I43" s="20">
        <v>8.806085326999686E-3</v>
      </c>
      <c r="J43" s="20">
        <v>1.5270311645652814E-3</v>
      </c>
      <c r="K43" s="20">
        <v>1.7777177377339851E-4</v>
      </c>
      <c r="L43" s="20">
        <v>0</v>
      </c>
    </row>
    <row r="44" spans="1:12">
      <c r="A44" s="2" t="s">
        <v>375</v>
      </c>
      <c r="B44" s="3" t="s">
        <v>376</v>
      </c>
      <c r="D44" s="20">
        <v>7.2938508397552101E-2</v>
      </c>
      <c r="E44" s="20">
        <v>0.86726971212144377</v>
      </c>
      <c r="F44" s="20">
        <v>2.1437570321549301E-2</v>
      </c>
      <c r="G44" s="20">
        <v>6.5383944516048268E-3</v>
      </c>
      <c r="H44" s="20">
        <v>0</v>
      </c>
      <c r="I44" s="20">
        <v>0.83929374734828965</v>
      </c>
      <c r="J44" s="20">
        <v>6.6727171400754448E-4</v>
      </c>
      <c r="K44" s="20">
        <v>5.9124507766996529E-2</v>
      </c>
      <c r="L44" s="20">
        <v>0</v>
      </c>
    </row>
    <row r="45" spans="1:12">
      <c r="A45" s="2" t="s">
        <v>377</v>
      </c>
      <c r="B45" s="3" t="s">
        <v>378</v>
      </c>
      <c r="D45" s="20">
        <v>6.2979109115188041E-4</v>
      </c>
      <c r="E45" s="20">
        <v>0.83805217978236346</v>
      </c>
      <c r="F45" s="20">
        <v>0.19454281567326445</v>
      </c>
      <c r="G45" s="20">
        <v>4.9171193823942985E-2</v>
      </c>
      <c r="H45" s="20">
        <v>0</v>
      </c>
      <c r="I45" s="20">
        <v>0.59433817028515601</v>
      </c>
      <c r="J45" s="20">
        <v>3.117776254837027E-3</v>
      </c>
      <c r="K45" s="20">
        <v>0.1582002528716478</v>
      </c>
      <c r="L45" s="20">
        <v>0</v>
      </c>
    </row>
    <row r="46" spans="1:12">
      <c r="A46" s="2" t="s">
        <v>379</v>
      </c>
      <c r="B46" s="3" t="s">
        <v>380</v>
      </c>
      <c r="D46" s="20">
        <v>1.8855226682269785E-3</v>
      </c>
      <c r="E46" s="20">
        <v>0.84123702711927106</v>
      </c>
      <c r="F46" s="20">
        <v>0.1783406898735754</v>
      </c>
      <c r="G46" s="20">
        <v>4.5493148818209726E-2</v>
      </c>
      <c r="H46" s="20">
        <v>0</v>
      </c>
      <c r="I46" s="20">
        <v>0.61740318842748598</v>
      </c>
      <c r="J46" s="20">
        <v>2.905213610515493E-3</v>
      </c>
      <c r="K46" s="20">
        <v>0.15397223660198658</v>
      </c>
      <c r="L46" s="20">
        <v>0</v>
      </c>
    </row>
    <row r="47" spans="1:12">
      <c r="A47" s="2" t="s">
        <v>381</v>
      </c>
      <c r="B47" s="3" t="s">
        <v>382</v>
      </c>
      <c r="D47" s="20">
        <v>3.3521872160053684E-8</v>
      </c>
      <c r="E47" s="20">
        <v>0.92168521354106014</v>
      </c>
      <c r="F47" s="20">
        <v>0.24828298028012236</v>
      </c>
      <c r="G47" s="20">
        <v>0.67273264878600314</v>
      </c>
      <c r="H47" s="20">
        <v>0</v>
      </c>
      <c r="I47" s="20">
        <v>6.6958447493466438E-4</v>
      </c>
      <c r="J47" s="20">
        <v>4.2919996681619013E-2</v>
      </c>
      <c r="K47" s="20">
        <v>3.5394756255448835E-2</v>
      </c>
      <c r="L47" s="20">
        <v>0</v>
      </c>
    </row>
    <row r="48" spans="1:12">
      <c r="A48" s="2" t="s">
        <v>383</v>
      </c>
      <c r="B48" s="3" t="s">
        <v>384</v>
      </c>
      <c r="D48" s="20">
        <v>9.6026430804812355E-3</v>
      </c>
      <c r="E48" s="20">
        <v>0.95606165408189914</v>
      </c>
      <c r="F48" s="20">
        <v>6.5918827088513651E-3</v>
      </c>
      <c r="G48" s="20">
        <v>2.2126107934264281E-3</v>
      </c>
      <c r="H48" s="20">
        <v>0</v>
      </c>
      <c r="I48" s="20">
        <v>0.94725716057962139</v>
      </c>
      <c r="J48" s="20">
        <v>4.5117429971682833E-4</v>
      </c>
      <c r="K48" s="20">
        <v>3.3884528537902511E-2</v>
      </c>
      <c r="L48" s="20">
        <v>0</v>
      </c>
    </row>
    <row r="49" spans="1:12">
      <c r="A49" s="2" t="s">
        <v>385</v>
      </c>
      <c r="B49" s="3" t="s">
        <v>386</v>
      </c>
      <c r="D49" s="20">
        <v>1.8244771070267108E-2</v>
      </c>
      <c r="E49" s="20">
        <v>0.93564157484946586</v>
      </c>
      <c r="F49" s="20">
        <v>1.1960713912830762E-2</v>
      </c>
      <c r="G49" s="20">
        <v>3.8340048509391675E-3</v>
      </c>
      <c r="H49" s="20">
        <v>0</v>
      </c>
      <c r="I49" s="20">
        <v>0.91984685608569594</v>
      </c>
      <c r="J49" s="20">
        <v>5.3630320653222764E-4</v>
      </c>
      <c r="K49" s="20">
        <v>4.5577350873734698E-2</v>
      </c>
      <c r="L49" s="20">
        <v>0</v>
      </c>
    </row>
    <row r="50" spans="1:12">
      <c r="A50" s="2" t="s">
        <v>387</v>
      </c>
      <c r="B50" s="3" t="s">
        <v>388</v>
      </c>
      <c r="D50" s="20">
        <v>5.9312147681878698E-3</v>
      </c>
      <c r="E50" s="20">
        <v>0.86778037265154395</v>
      </c>
      <c r="F50" s="20">
        <v>0.65007330811356412</v>
      </c>
      <c r="G50" s="20">
        <v>0.13051423728258291</v>
      </c>
      <c r="H50" s="20">
        <v>0</v>
      </c>
      <c r="I50" s="20">
        <v>8.7192827255396885E-2</v>
      </c>
      <c r="J50" s="20">
        <v>7.9422145401046359E-3</v>
      </c>
      <c r="K50" s="20">
        <v>0.11834619804016366</v>
      </c>
      <c r="L50" s="20">
        <v>0</v>
      </c>
    </row>
    <row r="51" spans="1:12">
      <c r="A51" s="2" t="s">
        <v>295</v>
      </c>
      <c r="B51" s="3" t="s">
        <v>296</v>
      </c>
      <c r="D51" s="20">
        <v>5.2635684643564967E-2</v>
      </c>
      <c r="E51" s="20">
        <v>0.93413766332411396</v>
      </c>
      <c r="F51" s="20">
        <v>1.045921187212661E-3</v>
      </c>
      <c r="G51" s="20">
        <v>4.0160075070438668E-4</v>
      </c>
      <c r="H51" s="20">
        <v>0</v>
      </c>
      <c r="I51" s="20">
        <v>0.93269014138619688</v>
      </c>
      <c r="J51" s="20">
        <v>3.4145877429701555E-4</v>
      </c>
      <c r="K51" s="20">
        <v>1.2885193258024077E-2</v>
      </c>
      <c r="L51" s="20">
        <v>0</v>
      </c>
    </row>
    <row r="52" spans="1:12">
      <c r="A52" s="2" t="s">
        <v>389</v>
      </c>
      <c r="B52" s="3" t="s">
        <v>390</v>
      </c>
      <c r="D52" s="20">
        <v>6.0248246363850524E-2</v>
      </c>
      <c r="E52" s="20">
        <v>0.86063914813459463</v>
      </c>
      <c r="F52" s="20">
        <v>3.778879946774065E-2</v>
      </c>
      <c r="G52" s="20">
        <v>1.1027032388383862E-2</v>
      </c>
      <c r="H52" s="20">
        <v>0</v>
      </c>
      <c r="I52" s="20">
        <v>0.81182331627847015</v>
      </c>
      <c r="J52" s="20">
        <v>9.21910948047923E-4</v>
      </c>
      <c r="K52" s="20">
        <v>7.8190694553506856E-2</v>
      </c>
      <c r="L52" s="20">
        <v>0</v>
      </c>
    </row>
    <row r="53" spans="1:12">
      <c r="A53" s="2" t="s">
        <v>391</v>
      </c>
      <c r="B53" s="3" t="s">
        <v>392</v>
      </c>
      <c r="D53" s="20">
        <v>1.888081352110605E-3</v>
      </c>
      <c r="E53" s="20">
        <v>0.82164751673104908</v>
      </c>
      <c r="F53" s="20">
        <v>0.28565339314278582</v>
      </c>
      <c r="G53" s="20">
        <v>6.8950106699651334E-2</v>
      </c>
      <c r="H53" s="20">
        <v>0</v>
      </c>
      <c r="I53" s="20">
        <v>0.46704401688861191</v>
      </c>
      <c r="J53" s="20">
        <v>4.2651092057580725E-3</v>
      </c>
      <c r="K53" s="20">
        <v>0.17219929271108217</v>
      </c>
      <c r="L53" s="20">
        <v>0</v>
      </c>
    </row>
    <row r="54" spans="1:12">
      <c r="A54" s="2" t="s">
        <v>393</v>
      </c>
      <c r="B54" s="3" t="s">
        <v>394</v>
      </c>
      <c r="D54" s="20">
        <v>1.5534147734895355E-4</v>
      </c>
      <c r="E54" s="20">
        <v>0.92101721098871603</v>
      </c>
      <c r="F54" s="20">
        <v>0.29806165971961868</v>
      </c>
      <c r="G54" s="20">
        <v>0.62201616427917172</v>
      </c>
      <c r="H54" s="20">
        <v>0</v>
      </c>
      <c r="I54" s="20">
        <v>9.3938698992567231E-4</v>
      </c>
      <c r="J54" s="20">
        <v>3.9554084552437349E-2</v>
      </c>
      <c r="K54" s="20">
        <v>3.92733629814975E-2</v>
      </c>
      <c r="L54" s="20">
        <v>0</v>
      </c>
    </row>
    <row r="55" spans="1:12">
      <c r="A55" s="2" t="s">
        <v>395</v>
      </c>
      <c r="B55" s="3" t="s">
        <v>396</v>
      </c>
      <c r="D55" s="20">
        <v>0.12588404677036596</v>
      </c>
      <c r="E55" s="20">
        <v>0.73261634561142208</v>
      </c>
      <c r="F55" s="20">
        <v>0.46621836818667589</v>
      </c>
      <c r="G55" s="20">
        <v>0.10057381756782015</v>
      </c>
      <c r="H55" s="20">
        <v>0</v>
      </c>
      <c r="I55" s="20">
        <v>0.165824159856926</v>
      </c>
      <c r="J55" s="20">
        <v>6.1112387242104474E-3</v>
      </c>
      <c r="K55" s="20">
        <v>0.13538836889400158</v>
      </c>
      <c r="L55" s="20">
        <v>0</v>
      </c>
    </row>
    <row r="56" spans="1:12">
      <c r="A56" s="2" t="s">
        <v>397</v>
      </c>
      <c r="B56" s="3" t="s">
        <v>398</v>
      </c>
      <c r="D56" s="20">
        <v>0.57007032606083508</v>
      </c>
      <c r="E56" s="20">
        <v>0.38708760152724764</v>
      </c>
      <c r="F56" s="20">
        <v>0.30884965427428063</v>
      </c>
      <c r="G56" s="20">
        <v>5.8673591775523268E-2</v>
      </c>
      <c r="H56" s="20">
        <v>0</v>
      </c>
      <c r="I56" s="20">
        <v>1.9564355477443739E-2</v>
      </c>
      <c r="J56" s="20">
        <v>3.5830848406074212E-3</v>
      </c>
      <c r="K56" s="20">
        <v>3.9258987571309911E-2</v>
      </c>
      <c r="L56" s="20">
        <v>0</v>
      </c>
    </row>
    <row r="57" spans="1:12">
      <c r="A57" s="2" t="s">
        <v>399</v>
      </c>
      <c r="B57" s="3" t="s">
        <v>400</v>
      </c>
      <c r="D57" s="20">
        <v>0.75261796236073908</v>
      </c>
      <c r="E57" s="20">
        <v>0.20998908710182643</v>
      </c>
      <c r="F57" s="20">
        <v>0.14308472182342433</v>
      </c>
      <c r="G57" s="20">
        <v>3.0136222862334399E-2</v>
      </c>
      <c r="H57" s="20">
        <v>0</v>
      </c>
      <c r="I57" s="20">
        <v>3.6768142416067698E-2</v>
      </c>
      <c r="J57" s="20">
        <v>1.8310273457823891E-3</v>
      </c>
      <c r="K57" s="20">
        <v>3.5561923191652065E-2</v>
      </c>
      <c r="L57" s="20">
        <v>0</v>
      </c>
    </row>
    <row r="58" spans="1:12">
      <c r="A58" s="2" t="s">
        <v>297</v>
      </c>
      <c r="B58" s="3" t="s">
        <v>298</v>
      </c>
      <c r="D58" s="20">
        <v>0.91902624485642315</v>
      </c>
      <c r="E58" s="20">
        <v>7.6689408804017464E-2</v>
      </c>
      <c r="F58" s="20">
        <v>1.2529870952382443E-3</v>
      </c>
      <c r="G58" s="20">
        <v>3.943139606514253E-4</v>
      </c>
      <c r="H58" s="20">
        <v>0</v>
      </c>
      <c r="I58" s="20">
        <v>7.5042107748127793E-2</v>
      </c>
      <c r="J58" s="20">
        <v>4.8515829084468253E-5</v>
      </c>
      <c r="K58" s="20">
        <v>4.2358305104749829E-3</v>
      </c>
      <c r="L58" s="20">
        <v>0</v>
      </c>
    </row>
    <row r="59" spans="1:12">
      <c r="A59" s="2" t="s">
        <v>401</v>
      </c>
      <c r="B59" s="3" t="s">
        <v>402</v>
      </c>
      <c r="D59" s="20">
        <v>0.90282515311196521</v>
      </c>
      <c r="E59" s="20">
        <v>8.2233807495256689E-2</v>
      </c>
      <c r="F59" s="20">
        <v>5.523601444660891E-2</v>
      </c>
      <c r="G59" s="20">
        <v>1.1698168965054729E-2</v>
      </c>
      <c r="H59" s="20">
        <v>0</v>
      </c>
      <c r="I59" s="20">
        <v>1.5299624083593052E-2</v>
      </c>
      <c r="J59" s="20">
        <v>7.1073104561186426E-4</v>
      </c>
      <c r="K59" s="20">
        <v>1.4230308347166192E-2</v>
      </c>
      <c r="L59" s="20">
        <v>0</v>
      </c>
    </row>
    <row r="60" spans="1:12">
      <c r="A60" s="2" t="s">
        <v>299</v>
      </c>
      <c r="B60" s="3" t="s">
        <v>300</v>
      </c>
      <c r="D60" s="20">
        <v>0.99794805055754243</v>
      </c>
      <c r="E60" s="20">
        <v>1.6911943569127897E-3</v>
      </c>
      <c r="F60" s="20">
        <v>9.1059784555258452E-4</v>
      </c>
      <c r="G60" s="20">
        <v>2.0493784910317452E-4</v>
      </c>
      <c r="H60" s="20">
        <v>0</v>
      </c>
      <c r="I60" s="20">
        <v>5.7565866225703062E-4</v>
      </c>
      <c r="J60" s="20">
        <v>1.2483057777577348E-5</v>
      </c>
      <c r="K60" s="20">
        <v>3.4827202776740876E-4</v>
      </c>
      <c r="L60" s="20">
        <v>0</v>
      </c>
    </row>
    <row r="61" spans="1:12">
      <c r="A61" s="2" t="s">
        <v>403</v>
      </c>
      <c r="B61" s="3" t="s">
        <v>404</v>
      </c>
      <c r="D61" s="20">
        <v>4.2950023699877744E-44</v>
      </c>
      <c r="E61" s="20">
        <v>0.82011515878494723</v>
      </c>
      <c r="F61" s="20">
        <v>0.38122563116993657</v>
      </c>
      <c r="G61" s="20">
        <v>8.8201840477225416E-2</v>
      </c>
      <c r="H61" s="20">
        <v>0</v>
      </c>
      <c r="I61" s="20">
        <v>0.3506876871377852</v>
      </c>
      <c r="J61" s="20">
        <v>5.3934247086073811E-3</v>
      </c>
      <c r="K61" s="20">
        <v>0.17449141650644537</v>
      </c>
      <c r="L61" s="20">
        <v>0</v>
      </c>
    </row>
    <row r="62" spans="1:12">
      <c r="A62" s="2" t="s">
        <v>405</v>
      </c>
      <c r="B62" s="3" t="s">
        <v>406</v>
      </c>
      <c r="D62" s="20">
        <v>8.8385361969600514E-8</v>
      </c>
      <c r="E62" s="20">
        <v>0.92690972081989453</v>
      </c>
      <c r="F62" s="20">
        <v>0.59251456318440654</v>
      </c>
      <c r="G62" s="20">
        <v>0.3302893608076557</v>
      </c>
      <c r="H62" s="20">
        <v>0</v>
      </c>
      <c r="I62" s="20">
        <v>4.1057968278323028E-3</v>
      </c>
      <c r="J62" s="20">
        <v>2.0658844994322457E-2</v>
      </c>
      <c r="K62" s="20">
        <v>5.243134580042097E-2</v>
      </c>
      <c r="L62" s="20">
        <v>0</v>
      </c>
    </row>
    <row r="63" spans="1:12">
      <c r="A63" s="2" t="s">
        <v>407</v>
      </c>
      <c r="B63" s="3" t="s">
        <v>408</v>
      </c>
      <c r="D63" s="20">
        <v>2.0458103228374951E-5</v>
      </c>
      <c r="E63" s="20">
        <v>0.92333101681173702</v>
      </c>
      <c r="F63" s="20">
        <v>0.17586687635737547</v>
      </c>
      <c r="G63" s="20">
        <v>0.74710149480163901</v>
      </c>
      <c r="H63" s="20">
        <v>0</v>
      </c>
      <c r="I63" s="20">
        <v>3.6264565272252803E-4</v>
      </c>
      <c r="J63" s="20">
        <v>4.7935693336730346E-2</v>
      </c>
      <c r="K63" s="20">
        <v>2.8712831748304218E-2</v>
      </c>
      <c r="L63" s="20">
        <v>0</v>
      </c>
    </row>
    <row r="64" spans="1:12">
      <c r="A64" s="2" t="s">
        <v>409</v>
      </c>
      <c r="B64" s="3" t="s">
        <v>410</v>
      </c>
      <c r="D64" s="20">
        <v>2.501737763236816E-6</v>
      </c>
      <c r="E64" s="20">
        <v>0.9269337672854453</v>
      </c>
      <c r="F64" s="20">
        <v>9.3596685281945285E-2</v>
      </c>
      <c r="G64" s="20">
        <v>0.83321297425578633</v>
      </c>
      <c r="H64" s="20">
        <v>0</v>
      </c>
      <c r="I64" s="20">
        <v>1.2410774771364933E-4</v>
      </c>
      <c r="J64" s="20">
        <v>5.3962891947907363E-2</v>
      </c>
      <c r="K64" s="20">
        <v>1.9100839028884209E-2</v>
      </c>
      <c r="L64" s="20">
        <v>0</v>
      </c>
    </row>
    <row r="65" spans="1:12">
      <c r="A65" s="2" t="s">
        <v>301</v>
      </c>
      <c r="B65" s="3" t="s">
        <v>302</v>
      </c>
      <c r="D65" s="20">
        <v>3.0597857699117785E-7</v>
      </c>
      <c r="E65" s="20">
        <v>0.93059418763793822</v>
      </c>
      <c r="F65" s="20">
        <v>4.298428477860454E-2</v>
      </c>
      <c r="G65" s="20">
        <v>0.88757540690767855</v>
      </c>
      <c r="H65" s="20">
        <v>0</v>
      </c>
      <c r="I65" s="20">
        <v>3.4495951655099139E-5</v>
      </c>
      <c r="J65" s="20">
        <v>5.8099696427579797E-2</v>
      </c>
      <c r="K65" s="20">
        <v>1.1305809955904998E-2</v>
      </c>
      <c r="L65" s="20">
        <v>0</v>
      </c>
    </row>
    <row r="66" spans="1:12">
      <c r="A66" s="2" t="s">
        <v>303</v>
      </c>
      <c r="B66" s="3" t="s">
        <v>304</v>
      </c>
      <c r="D66" s="20">
        <v>2.969028230549645E-13</v>
      </c>
      <c r="E66" s="20">
        <v>0.92863884543917519</v>
      </c>
      <c r="F66" s="20">
        <v>6.7318280038492717E-2</v>
      </c>
      <c r="G66" s="20">
        <v>0.86124867491179358</v>
      </c>
      <c r="H66" s="20">
        <v>0</v>
      </c>
      <c r="I66" s="20">
        <v>7.1890488888939929E-5</v>
      </c>
      <c r="J66" s="20">
        <v>5.6035289851379073E-2</v>
      </c>
      <c r="K66" s="20">
        <v>1.532586470914888E-2</v>
      </c>
      <c r="L66" s="20">
        <v>0</v>
      </c>
    </row>
    <row r="67" spans="1:12">
      <c r="A67" s="2" t="s">
        <v>411</v>
      </c>
      <c r="B67" s="3" t="s">
        <v>412</v>
      </c>
      <c r="D67" s="20">
        <v>3.9692930216563083E-3</v>
      </c>
      <c r="E67" s="20">
        <v>0.92568635326609128</v>
      </c>
      <c r="F67" s="20">
        <v>2.7754400117727947E-2</v>
      </c>
      <c r="G67" s="20">
        <v>8.341178215510751E-3</v>
      </c>
      <c r="H67" s="20">
        <v>0</v>
      </c>
      <c r="I67" s="20">
        <v>0.88959077493285255</v>
      </c>
      <c r="J67" s="20">
        <v>7.9007984173729744E-4</v>
      </c>
      <c r="K67" s="20">
        <v>6.9554273870515299E-2</v>
      </c>
      <c r="L67" s="20">
        <v>0</v>
      </c>
    </row>
    <row r="68" spans="1:12">
      <c r="A68" s="2" t="s">
        <v>413</v>
      </c>
      <c r="B68" s="3" t="s">
        <v>414</v>
      </c>
      <c r="D68" s="20">
        <v>8.7590975396387664E-3</v>
      </c>
      <c r="E68" s="20">
        <v>0.89856669569380143</v>
      </c>
      <c r="F68" s="20">
        <v>4.9874441668316678E-2</v>
      </c>
      <c r="G68" s="20">
        <v>1.4288071086843669E-2</v>
      </c>
      <c r="H68" s="20">
        <v>0</v>
      </c>
      <c r="I68" s="20">
        <v>0.83440418293864105</v>
      </c>
      <c r="J68" s="20">
        <v>1.1217457575613905E-3</v>
      </c>
      <c r="K68" s="20">
        <v>9.1552461008998373E-2</v>
      </c>
      <c r="L68" s="20">
        <v>0</v>
      </c>
    </row>
    <row r="69" spans="1:12">
      <c r="A69" s="2" t="s">
        <v>415</v>
      </c>
      <c r="B69" s="3" t="s">
        <v>416</v>
      </c>
      <c r="D69" s="20">
        <v>1.0073418150319982E-3</v>
      </c>
      <c r="E69" s="20">
        <v>0.92029206951628872</v>
      </c>
      <c r="F69" s="20">
        <v>0.37471022685221778</v>
      </c>
      <c r="G69" s="20">
        <v>0.5441155050605222</v>
      </c>
      <c r="H69" s="20">
        <v>0</v>
      </c>
      <c r="I69" s="20">
        <v>1.4663376035487837E-3</v>
      </c>
      <c r="J69" s="20">
        <v>3.4443023000944102E-2</v>
      </c>
      <c r="K69" s="20">
        <v>4.4257565667735262E-2</v>
      </c>
      <c r="L69" s="20">
        <v>0</v>
      </c>
    </row>
    <row r="70" spans="1:12">
      <c r="A70" s="2" t="s">
        <v>417</v>
      </c>
      <c r="B70" s="3" t="s">
        <v>418</v>
      </c>
      <c r="D70" s="20">
        <v>2.7180364547632003E-3</v>
      </c>
      <c r="E70" s="20">
        <v>0.91478080161336306</v>
      </c>
      <c r="F70" s="20">
        <v>0.74967661097465177</v>
      </c>
      <c r="G70" s="20">
        <v>0.13701544228726326</v>
      </c>
      <c r="H70" s="20">
        <v>0</v>
      </c>
      <c r="I70" s="20">
        <v>2.8088748351448027E-2</v>
      </c>
      <c r="J70" s="20">
        <v>8.3930177684514475E-3</v>
      </c>
      <c r="K70" s="20">
        <v>7.4108144163422235E-2</v>
      </c>
      <c r="L70" s="20">
        <v>0</v>
      </c>
    </row>
    <row r="71" spans="1:12">
      <c r="A71" s="2" t="s">
        <v>419</v>
      </c>
      <c r="B71" s="3" t="s">
        <v>420</v>
      </c>
      <c r="D71" s="20">
        <v>2.1446405196789288E-2</v>
      </c>
      <c r="E71" s="20">
        <v>0.89077935554557863</v>
      </c>
      <c r="F71" s="20">
        <v>4.5037387611391172E-2</v>
      </c>
      <c r="G71" s="20">
        <v>1.2997766978221718E-2</v>
      </c>
      <c r="H71" s="20">
        <v>0</v>
      </c>
      <c r="I71" s="20">
        <v>0.8327442009559658</v>
      </c>
      <c r="J71" s="20">
        <v>1.0450737974488907E-3</v>
      </c>
      <c r="K71" s="20">
        <v>8.672916546018318E-2</v>
      </c>
      <c r="L71" s="20">
        <v>0</v>
      </c>
    </row>
    <row r="72" spans="1:12">
      <c r="A72" s="2" t="s">
        <v>421</v>
      </c>
      <c r="B72" s="3" t="s">
        <v>422</v>
      </c>
      <c r="D72" s="20">
        <v>1.1483721111755874E-2</v>
      </c>
      <c r="E72" s="20">
        <v>0.90141831507720127</v>
      </c>
      <c r="F72" s="20">
        <v>0.73299552154453484</v>
      </c>
      <c r="G72" s="20">
        <v>0.13570532097069227</v>
      </c>
      <c r="H72" s="20">
        <v>0</v>
      </c>
      <c r="I72" s="20">
        <v>3.2717472561974145E-2</v>
      </c>
      <c r="J72" s="20">
        <v>8.3039367466212835E-3</v>
      </c>
      <c r="K72" s="20">
        <v>7.8794027064421693E-2</v>
      </c>
      <c r="L72" s="20">
        <v>0</v>
      </c>
    </row>
    <row r="73" spans="1:12">
      <c r="A73" s="2" t="s">
        <v>423</v>
      </c>
      <c r="B73" s="3" t="s">
        <v>424</v>
      </c>
      <c r="D73" s="20">
        <v>1.2496705421924152E-2</v>
      </c>
      <c r="E73" s="20">
        <v>0.81070357377925217</v>
      </c>
      <c r="F73" s="20">
        <v>0.39720455196765642</v>
      </c>
      <c r="G73" s="20">
        <v>9.1056252431302789E-2</v>
      </c>
      <c r="H73" s="20">
        <v>0</v>
      </c>
      <c r="I73" s="20">
        <v>0.32244276938029298</v>
      </c>
      <c r="J73" s="20">
        <v>5.5593368316066288E-3</v>
      </c>
      <c r="K73" s="20">
        <v>0.17124038396721708</v>
      </c>
      <c r="L73" s="20">
        <v>0</v>
      </c>
    </row>
    <row r="74" spans="1:12">
      <c r="A74" s="2" t="s">
        <v>425</v>
      </c>
      <c r="B74" s="3" t="s">
        <v>426</v>
      </c>
      <c r="D74" s="20">
        <v>4.2030942680530703E-3</v>
      </c>
      <c r="E74" s="20">
        <v>0.91191400052563054</v>
      </c>
      <c r="F74" s="20">
        <v>0.74574064649042238</v>
      </c>
      <c r="G74" s="20">
        <v>0.13679914097830301</v>
      </c>
      <c r="H74" s="20">
        <v>0</v>
      </c>
      <c r="I74" s="20">
        <v>2.9374213056905102E-2</v>
      </c>
      <c r="J74" s="20">
        <v>8.3771960252327863E-3</v>
      </c>
      <c r="K74" s="20">
        <v>7.5505709181083805E-2</v>
      </c>
      <c r="L74" s="20">
        <v>0</v>
      </c>
    </row>
    <row r="75" spans="1:12">
      <c r="A75" s="2" t="s">
        <v>427</v>
      </c>
      <c r="B75" s="3" t="s">
        <v>428</v>
      </c>
      <c r="D75" s="20">
        <v>4.2620729802653978E-10</v>
      </c>
      <c r="E75" s="20">
        <v>0.99491940318861283</v>
      </c>
      <c r="F75" s="20">
        <v>0.99023798940737673</v>
      </c>
      <c r="G75" s="20">
        <v>3.8211122218774956E-4</v>
      </c>
      <c r="H75" s="20">
        <v>0</v>
      </c>
      <c r="I75" s="20">
        <v>4.2993025590483368E-3</v>
      </c>
      <c r="J75" s="20">
        <v>5.0454980745439082E-3</v>
      </c>
      <c r="K75" s="20">
        <v>3.5098310635908064E-5</v>
      </c>
      <c r="L75" s="20">
        <v>0</v>
      </c>
    </row>
    <row r="76" spans="1:12">
      <c r="A76" s="2" t="s">
        <v>429</v>
      </c>
      <c r="B76" s="3" t="s">
        <v>430</v>
      </c>
      <c r="D76" s="20">
        <v>1.0705843293680544E-11</v>
      </c>
      <c r="E76" s="20">
        <v>0.99491940360200315</v>
      </c>
      <c r="F76" s="20">
        <v>0.99023798981882194</v>
      </c>
      <c r="G76" s="20">
        <v>3.8211122234651726E-4</v>
      </c>
      <c r="H76" s="20">
        <v>0</v>
      </c>
      <c r="I76" s="20">
        <v>4.2993025608347021E-3</v>
      </c>
      <c r="J76" s="20">
        <v>5.0454980766403198E-3</v>
      </c>
      <c r="K76" s="20">
        <v>3.5098310650491464E-5</v>
      </c>
      <c r="L76" s="20">
        <v>0</v>
      </c>
    </row>
    <row r="77" spans="1:12">
      <c r="A77" s="2" t="s">
        <v>431</v>
      </c>
      <c r="B77" s="3" t="s">
        <v>432</v>
      </c>
      <c r="D77" s="20">
        <v>2.1806014392723391E-2</v>
      </c>
      <c r="E77" s="20">
        <v>0.83917895614045046</v>
      </c>
      <c r="F77" s="20">
        <v>0.59647875343061507</v>
      </c>
      <c r="G77" s="20">
        <v>0.12333619160637081</v>
      </c>
      <c r="H77" s="20">
        <v>0</v>
      </c>
      <c r="I77" s="20">
        <v>0.1193640111034646</v>
      </c>
      <c r="J77" s="20">
        <v>7.4964968147820344E-3</v>
      </c>
      <c r="K77" s="20">
        <v>0.13151853265204408</v>
      </c>
      <c r="L77" s="20">
        <v>0</v>
      </c>
    </row>
    <row r="78" spans="1:12">
      <c r="A78" s="2" t="s">
        <v>433</v>
      </c>
      <c r="B78" s="3" t="s">
        <v>434</v>
      </c>
      <c r="D78" s="20">
        <v>3.1193050439084366E-2</v>
      </c>
      <c r="E78" s="20">
        <v>0.82274981811776393</v>
      </c>
      <c r="F78" s="20">
        <v>0.15285390272952995</v>
      </c>
      <c r="G78" s="20">
        <v>3.9497725492900947E-2</v>
      </c>
      <c r="H78" s="20">
        <v>0</v>
      </c>
      <c r="I78" s="20">
        <v>0.63039818989533303</v>
      </c>
      <c r="J78" s="20">
        <v>2.5516440968731857E-3</v>
      </c>
      <c r="K78" s="20">
        <v>0.14350548734627858</v>
      </c>
      <c r="L78" s="20">
        <v>0</v>
      </c>
    </row>
    <row r="79" spans="1:12">
      <c r="A79" s="2" t="s">
        <v>435</v>
      </c>
      <c r="B79" s="3" t="s">
        <v>436</v>
      </c>
      <c r="D79" s="20">
        <v>7.4808305181871459E-3</v>
      </c>
      <c r="E79" s="20">
        <v>0.81632700066609176</v>
      </c>
      <c r="F79" s="20">
        <v>0.29199035090723402</v>
      </c>
      <c r="G79" s="20">
        <v>7.0220522295061288E-2</v>
      </c>
      <c r="H79" s="20">
        <v>0</v>
      </c>
      <c r="I79" s="20">
        <v>0.45411612746379648</v>
      </c>
      <c r="J79" s="20">
        <v>4.3378399516348096E-3</v>
      </c>
      <c r="K79" s="20">
        <v>0.17185432886408608</v>
      </c>
      <c r="L79" s="20">
        <v>0</v>
      </c>
    </row>
    <row r="80" spans="1:12">
      <c r="A80" s="2" t="s">
        <v>437</v>
      </c>
      <c r="B80" s="3" t="s">
        <v>438</v>
      </c>
      <c r="D80" s="20">
        <v>1.5188307073843747E-10</v>
      </c>
      <c r="E80" s="20">
        <v>0.99020290580810089</v>
      </c>
      <c r="F80" s="20">
        <v>0.98657037595737507</v>
      </c>
      <c r="G80" s="20">
        <v>7.3127088002937317E-4</v>
      </c>
      <c r="H80" s="20">
        <v>0</v>
      </c>
      <c r="I80" s="20">
        <v>2.9012589706964671E-3</v>
      </c>
      <c r="J80" s="20">
        <v>9.7545170750256531E-3</v>
      </c>
      <c r="K80" s="20">
        <v>4.2576964990483775E-5</v>
      </c>
      <c r="L80" s="20">
        <v>0</v>
      </c>
    </row>
    <row r="81" spans="1:12">
      <c r="A81" s="2" t="s">
        <v>440</v>
      </c>
      <c r="B81" s="3" t="s">
        <v>441</v>
      </c>
      <c r="D81" s="20">
        <v>1.4620588551473618E-13</v>
      </c>
      <c r="E81" s="20">
        <v>0.987209708349162</v>
      </c>
      <c r="F81" s="20">
        <v>9.2807599534467451E-4</v>
      </c>
      <c r="G81" s="20">
        <v>3.6097663750848111E-4</v>
      </c>
      <c r="H81" s="20">
        <v>0</v>
      </c>
      <c r="I81" s="20">
        <v>0.98592065571630882</v>
      </c>
      <c r="J81" s="20">
        <v>3.5730360994052127E-4</v>
      </c>
      <c r="K81" s="20">
        <v>1.2432988040751358E-2</v>
      </c>
      <c r="L81" s="20">
        <v>0</v>
      </c>
    </row>
    <row r="82" spans="1:12">
      <c r="A82" s="2" t="s">
        <v>442</v>
      </c>
      <c r="B82" s="3" t="s">
        <v>443</v>
      </c>
      <c r="D82" s="20">
        <v>7.3035619233385415E-5</v>
      </c>
      <c r="E82" s="20">
        <v>0.8965802242354397</v>
      </c>
      <c r="F82" s="20">
        <v>6.2654663247042455E-2</v>
      </c>
      <c r="G82" s="20">
        <v>1.7621746748549445E-2</v>
      </c>
      <c r="H82" s="20">
        <v>0</v>
      </c>
      <c r="I82" s="20">
        <v>0.81630381423984777</v>
      </c>
      <c r="J82" s="20">
        <v>1.3126311943241788E-3</v>
      </c>
      <c r="K82" s="20">
        <v>0.10203410895100271</v>
      </c>
      <c r="L82" s="20">
        <v>0</v>
      </c>
    </row>
    <row r="83" spans="1:12">
      <c r="A83" s="2" t="s">
        <v>444</v>
      </c>
      <c r="B83" s="3" t="s">
        <v>445</v>
      </c>
      <c r="D83" s="20">
        <v>4.6915877236875485E-4</v>
      </c>
      <c r="E83" s="20">
        <v>0.84757402190713771</v>
      </c>
      <c r="F83" s="20">
        <v>0.57482880867272834</v>
      </c>
      <c r="G83" s="20">
        <v>0.12129253724699435</v>
      </c>
      <c r="H83" s="20">
        <v>0</v>
      </c>
      <c r="I83" s="20">
        <v>0.15145267598741505</v>
      </c>
      <c r="J83" s="20">
        <v>7.3694015411323094E-3</v>
      </c>
      <c r="K83" s="20">
        <v>0.14458741777936118</v>
      </c>
      <c r="L83" s="20">
        <v>0</v>
      </c>
    </row>
    <row r="84" spans="1:12">
      <c r="A84" s="2" t="s">
        <v>446</v>
      </c>
      <c r="B84" s="3" t="s">
        <v>447</v>
      </c>
      <c r="D84" s="20">
        <v>4.5720146769506959E-15</v>
      </c>
      <c r="E84" s="20">
        <v>0.97241343586037354</v>
      </c>
      <c r="F84" s="20">
        <v>4.2357107991324002E-3</v>
      </c>
      <c r="G84" s="20">
        <v>1.4710311035671369E-3</v>
      </c>
      <c r="H84" s="20">
        <v>0</v>
      </c>
      <c r="I84" s="20">
        <v>0.96670669395767406</v>
      </c>
      <c r="J84" s="20">
        <v>4.1477245924310822E-4</v>
      </c>
      <c r="K84" s="20">
        <v>2.7171791680378685E-2</v>
      </c>
      <c r="L84" s="20">
        <v>0</v>
      </c>
    </row>
    <row r="85" spans="1:12">
      <c r="A85" s="2" t="s">
        <v>448</v>
      </c>
      <c r="B85" s="3" t="s">
        <v>449</v>
      </c>
      <c r="D85" s="20">
        <v>3.1226313567182283E-8</v>
      </c>
      <c r="E85" s="20">
        <v>0.99452125812862335</v>
      </c>
      <c r="F85" s="20">
        <v>1.6878715803975481E-4</v>
      </c>
      <c r="G85" s="20">
        <v>7.4479191945446641E-5</v>
      </c>
      <c r="H85" s="20">
        <v>0</v>
      </c>
      <c r="I85" s="20">
        <v>0.99427799177863818</v>
      </c>
      <c r="J85" s="20">
        <v>3.4381789789510018E-4</v>
      </c>
      <c r="K85" s="20">
        <v>5.134892747167958E-3</v>
      </c>
      <c r="L85" s="20">
        <v>0</v>
      </c>
    </row>
    <row r="86" spans="1:12">
      <c r="A86" s="2" t="s">
        <v>450</v>
      </c>
      <c r="B86" s="3" t="s">
        <v>451</v>
      </c>
      <c r="D86" s="20">
        <v>1.1492427230653467E-8</v>
      </c>
      <c r="E86" s="20">
        <v>0.97309010209018121</v>
      </c>
      <c r="F86" s="20">
        <v>4.0330206603933485E-3</v>
      </c>
      <c r="G86" s="20">
        <v>1.4058079733745411E-3</v>
      </c>
      <c r="H86" s="20">
        <v>0</v>
      </c>
      <c r="I86" s="20">
        <v>0.96765127345641333</v>
      </c>
      <c r="J86" s="20">
        <v>4.1131732478135526E-4</v>
      </c>
      <c r="K86" s="20">
        <v>2.6498569092610304E-2</v>
      </c>
      <c r="L86" s="20">
        <v>0</v>
      </c>
    </row>
    <row r="87" spans="1:12">
      <c r="A87" s="2" t="s">
        <v>452</v>
      </c>
      <c r="B87" s="3" t="s">
        <v>453</v>
      </c>
      <c r="D87" s="20">
        <v>3.8439153251959642E-8</v>
      </c>
      <c r="E87" s="20">
        <v>0.92223783524687175</v>
      </c>
      <c r="F87" s="20">
        <v>0.21816872654886532</v>
      </c>
      <c r="G87" s="20">
        <v>0.70353879734786007</v>
      </c>
      <c r="H87" s="20">
        <v>0</v>
      </c>
      <c r="I87" s="20">
        <v>5.303113501463389E-4</v>
      </c>
      <c r="J87" s="20">
        <v>4.4983973715332408E-2</v>
      </c>
      <c r="K87" s="20">
        <v>3.2778152598642772E-2</v>
      </c>
      <c r="L87" s="20">
        <v>0</v>
      </c>
    </row>
    <row r="88" spans="1:12">
      <c r="A88" s="2" t="s">
        <v>454</v>
      </c>
      <c r="B88" s="3" t="s">
        <v>455</v>
      </c>
      <c r="D88" s="20">
        <v>3.6704858366347083E-5</v>
      </c>
      <c r="E88" s="20">
        <v>0.86319603686761259</v>
      </c>
      <c r="F88" s="20">
        <v>0.12126688918256062</v>
      </c>
      <c r="G88" s="20">
        <v>3.2154206183584673E-2</v>
      </c>
      <c r="H88" s="20">
        <v>0</v>
      </c>
      <c r="I88" s="20">
        <v>0.70977494150146725</v>
      </c>
      <c r="J88" s="20">
        <v>2.1396243943976839E-3</v>
      </c>
      <c r="K88" s="20">
        <v>0.13462763387962348</v>
      </c>
      <c r="L88" s="20">
        <v>0</v>
      </c>
    </row>
    <row r="89" spans="1:12">
      <c r="A89" s="2" t="s">
        <v>456</v>
      </c>
      <c r="B89" s="3" t="s">
        <v>457</v>
      </c>
      <c r="D89" s="20">
        <v>2.4255191695981297E-17</v>
      </c>
      <c r="E89" s="20">
        <v>0.89051469629257896</v>
      </c>
      <c r="F89" s="20">
        <v>7.128914328918598E-2</v>
      </c>
      <c r="G89" s="20">
        <v>1.982982817276405E-2</v>
      </c>
      <c r="H89" s="20">
        <v>0</v>
      </c>
      <c r="I89" s="20">
        <v>0.79939572483062893</v>
      </c>
      <c r="J89" s="20">
        <v>1.4376422170899144E-3</v>
      </c>
      <c r="K89" s="20">
        <v>0.10804766149033103</v>
      </c>
      <c r="L89" s="20">
        <v>0</v>
      </c>
    </row>
    <row r="90" spans="1:12">
      <c r="A90" s="2" t="s">
        <v>458</v>
      </c>
      <c r="B90" s="3" t="s">
        <v>459</v>
      </c>
      <c r="D90" s="20">
        <v>3.5036708630728947E-29</v>
      </c>
      <c r="E90" s="20">
        <v>0.94646098815749202</v>
      </c>
      <c r="F90" s="20">
        <v>1.5846814925644128E-2</v>
      </c>
      <c r="G90" s="20">
        <v>4.9778011215152783E-3</v>
      </c>
      <c r="H90" s="20">
        <v>0</v>
      </c>
      <c r="I90" s="20">
        <v>0.92563637211033256</v>
      </c>
      <c r="J90" s="20">
        <v>6.0510338983727938E-4</v>
      </c>
      <c r="K90" s="20">
        <v>5.2933908452670791E-2</v>
      </c>
      <c r="L90" s="20">
        <v>0</v>
      </c>
    </row>
    <row r="91" spans="1:12">
      <c r="A91" s="2" t="s">
        <v>460</v>
      </c>
      <c r="B91" s="3" t="s">
        <v>461</v>
      </c>
      <c r="D91" s="20">
        <v>4.1245189407441476E-8</v>
      </c>
      <c r="E91" s="20">
        <v>0.92552928809603263</v>
      </c>
      <c r="F91" s="20">
        <v>0.56065020674808852</v>
      </c>
      <c r="G91" s="20">
        <v>0.36131628980860131</v>
      </c>
      <c r="H91" s="20">
        <v>0</v>
      </c>
      <c r="I91" s="20">
        <v>3.5627915393427762E-3</v>
      </c>
      <c r="J91" s="20">
        <v>2.2640341999087859E-2</v>
      </c>
      <c r="K91" s="20">
        <v>5.1830328659690117E-2</v>
      </c>
      <c r="L91" s="20">
        <v>0</v>
      </c>
    </row>
    <row r="92" spans="1:12">
      <c r="A92" s="2" t="s">
        <v>462</v>
      </c>
      <c r="B92" s="3" t="s">
        <v>463</v>
      </c>
      <c r="D92" s="20">
        <v>4.1901185795780848E-9</v>
      </c>
      <c r="E92" s="20">
        <v>0.83307109444237626</v>
      </c>
      <c r="F92" s="20">
        <v>0.50727679688745497</v>
      </c>
      <c r="G92" s="20">
        <v>0.11085123941656741</v>
      </c>
      <c r="H92" s="20">
        <v>0</v>
      </c>
      <c r="I92" s="20">
        <v>0.21494305813835385</v>
      </c>
      <c r="J92" s="20">
        <v>6.7383213023431655E-3</v>
      </c>
      <c r="K92" s="20">
        <v>0.1601905800651619</v>
      </c>
      <c r="L92" s="20">
        <v>0</v>
      </c>
    </row>
    <row r="93" spans="1:12">
      <c r="A93" s="2" t="s">
        <v>464</v>
      </c>
      <c r="B93" s="3" t="s">
        <v>465</v>
      </c>
      <c r="D93" s="20">
        <v>1.7099946052342429E-4</v>
      </c>
      <c r="E93" s="20">
        <v>0.90190484073277766</v>
      </c>
      <c r="F93" s="20">
        <v>0.72179426087625853</v>
      </c>
      <c r="G93" s="20">
        <v>0.13661833241070453</v>
      </c>
      <c r="H93" s="20">
        <v>0</v>
      </c>
      <c r="I93" s="20">
        <v>4.349224744581455E-2</v>
      </c>
      <c r="J93" s="20">
        <v>8.3453267323718005E-3</v>
      </c>
      <c r="K93" s="20">
        <v>8.9578833074327055E-2</v>
      </c>
      <c r="L93" s="20">
        <v>0</v>
      </c>
    </row>
    <row r="94" spans="1:12">
      <c r="A94" s="2" t="s">
        <v>466</v>
      </c>
      <c r="B94" s="3" t="s">
        <v>467</v>
      </c>
      <c r="D94" s="20">
        <v>1.4262676523548185E-18</v>
      </c>
      <c r="E94" s="20">
        <v>0.99951771178490934</v>
      </c>
      <c r="F94" s="20">
        <v>0.10502478129522719</v>
      </c>
      <c r="G94" s="20">
        <v>1.3801626818473473E-5</v>
      </c>
      <c r="H94" s="20">
        <v>0</v>
      </c>
      <c r="I94" s="20">
        <v>0.89447912886286363</v>
      </c>
      <c r="J94" s="20">
        <v>4.1501739826210808E-4</v>
      </c>
      <c r="K94" s="20">
        <v>6.7270816828572715E-5</v>
      </c>
      <c r="L94" s="20">
        <v>0</v>
      </c>
    </row>
    <row r="95" spans="1:12">
      <c r="A95" s="2" t="s">
        <v>468</v>
      </c>
      <c r="B95" s="3" t="s">
        <v>469</v>
      </c>
      <c r="D95" s="20">
        <v>1.670052807196415E-18</v>
      </c>
      <c r="E95" s="20">
        <v>0.93703109110140326</v>
      </c>
      <c r="F95" s="20">
        <v>0.74447289098394631</v>
      </c>
      <c r="G95" s="20">
        <v>0.18418083751311118</v>
      </c>
      <c r="H95" s="20">
        <v>0</v>
      </c>
      <c r="I95" s="20">
        <v>8.3773626043457481E-3</v>
      </c>
      <c r="J95" s="20">
        <v>1.1405589876187117E-2</v>
      </c>
      <c r="K95" s="20">
        <v>5.1563319022409626E-2</v>
      </c>
      <c r="L95" s="20">
        <v>0</v>
      </c>
    </row>
    <row r="96" spans="1:12">
      <c r="A96" s="2" t="s">
        <v>470</v>
      </c>
      <c r="B96" s="163">
        <v>354656</v>
      </c>
      <c r="D96" s="20">
        <v>2.9166633929029947E-10</v>
      </c>
      <c r="E96" s="20">
        <v>0.98672039581256854</v>
      </c>
      <c r="F96" s="20">
        <v>9.9978126717812288E-4</v>
      </c>
      <c r="G96" s="20">
        <v>3.8672348833981683E-4</v>
      </c>
      <c r="H96" s="20">
        <v>0</v>
      </c>
      <c r="I96" s="20">
        <v>0.9853338910570506</v>
      </c>
      <c r="J96" s="20">
        <v>3.585787624554225E-4</v>
      </c>
      <c r="K96" s="20">
        <v>1.2921025133309677E-2</v>
      </c>
      <c r="L96" s="20">
        <v>0</v>
      </c>
    </row>
    <row r="97" spans="1:12">
      <c r="A97" s="2" t="s">
        <v>472</v>
      </c>
      <c r="B97" s="3" t="s">
        <v>473</v>
      </c>
      <c r="D97" s="20">
        <v>4.5703604492989889E-10</v>
      </c>
      <c r="E97" s="20">
        <v>0.97206897096422062</v>
      </c>
      <c r="F97" s="20">
        <v>4.3407936101277625E-3</v>
      </c>
      <c r="G97" s="20">
        <v>1.5047511797301688E-3</v>
      </c>
      <c r="H97" s="20">
        <v>0</v>
      </c>
      <c r="I97" s="20">
        <v>0.96622342617436274</v>
      </c>
      <c r="J97" s="20">
        <v>4.1656101015078058E-4</v>
      </c>
      <c r="K97" s="20">
        <v>2.7514467568592611E-2</v>
      </c>
      <c r="L97" s="20">
        <v>0</v>
      </c>
    </row>
    <row r="98" spans="1:12">
      <c r="A98" s="2" t="s">
        <v>474</v>
      </c>
      <c r="B98" s="3" t="s">
        <v>475</v>
      </c>
      <c r="D98" s="20">
        <v>3.9302820036674627E-20</v>
      </c>
      <c r="E98" s="20">
        <v>0.92789916543147577</v>
      </c>
      <c r="F98" s="20">
        <v>0.77097873058323574</v>
      </c>
      <c r="G98" s="20">
        <v>0.13706859226496695</v>
      </c>
      <c r="H98" s="20">
        <v>0</v>
      </c>
      <c r="I98" s="20">
        <v>1.985184258327307E-2</v>
      </c>
      <c r="J98" s="20">
        <v>8.4162422199729314E-3</v>
      </c>
      <c r="K98" s="20">
        <v>6.3684592348551297E-2</v>
      </c>
      <c r="L98" s="20">
        <v>0</v>
      </c>
    </row>
    <row r="99" spans="1:12">
      <c r="A99" s="2" t="s">
        <v>476</v>
      </c>
      <c r="B99" s="3" t="s">
        <v>477</v>
      </c>
      <c r="D99" s="20">
        <v>1.3600568643814416E-7</v>
      </c>
      <c r="E99" s="20">
        <v>0.99610962056573549</v>
      </c>
      <c r="F99" s="20">
        <v>8.2904050758720067E-5</v>
      </c>
      <c r="G99" s="20">
        <v>3.8554165420490549E-5</v>
      </c>
      <c r="H99" s="20">
        <v>0</v>
      </c>
      <c r="I99" s="20">
        <v>0.99598816234955623</v>
      </c>
      <c r="J99" s="20">
        <v>3.4237319180091069E-4</v>
      </c>
      <c r="K99" s="20">
        <v>3.5478702367771797E-3</v>
      </c>
      <c r="L99" s="20">
        <v>0</v>
      </c>
    </row>
    <row r="100" spans="1:12">
      <c r="A100" s="2" t="s">
        <v>478</v>
      </c>
      <c r="B100" s="3" t="s">
        <v>479</v>
      </c>
      <c r="D100" s="20">
        <v>4.8848876568628396E-11</v>
      </c>
      <c r="E100" s="20">
        <v>0.82637014595210367</v>
      </c>
      <c r="F100" s="20">
        <v>0.25886495778909491</v>
      </c>
      <c r="G100" s="20">
        <v>6.3294914844054029E-2</v>
      </c>
      <c r="H100" s="20">
        <v>0</v>
      </c>
      <c r="I100" s="20">
        <v>0.50421027331895474</v>
      </c>
      <c r="J100" s="20">
        <v>3.9363409604504067E-3</v>
      </c>
      <c r="K100" s="20">
        <v>0.16969351303859695</v>
      </c>
      <c r="L100" s="20">
        <v>0</v>
      </c>
    </row>
    <row r="101" spans="1:12">
      <c r="A101" s="2" t="s">
        <v>480</v>
      </c>
      <c r="B101" s="3" t="s">
        <v>481</v>
      </c>
      <c r="D101" s="20">
        <v>3.6712628328274633E-11</v>
      </c>
      <c r="E101" s="20">
        <v>0.99369548399159169</v>
      </c>
      <c r="F101" s="20">
        <v>2.2481959541233057E-4</v>
      </c>
      <c r="G101" s="20">
        <v>9.7124706022968957E-5</v>
      </c>
      <c r="H101" s="20">
        <v>0</v>
      </c>
      <c r="I101" s="20">
        <v>0.9933735396901564</v>
      </c>
      <c r="J101" s="20">
        <v>3.4479210391566195E-4</v>
      </c>
      <c r="K101" s="20">
        <v>5.9597238677800727E-3</v>
      </c>
      <c r="L101" s="20">
        <v>0</v>
      </c>
    </row>
    <row r="102" spans="1:12">
      <c r="A102" s="2" t="s">
        <v>482</v>
      </c>
      <c r="B102" s="3" t="s">
        <v>483</v>
      </c>
      <c r="D102" s="20">
        <v>2.2936649232657256E-27</v>
      </c>
      <c r="E102" s="20">
        <v>0.9981542659082403</v>
      </c>
      <c r="F102" s="20">
        <v>1.5949558187523529E-5</v>
      </c>
      <c r="G102" s="20">
        <v>8.3761454990078454E-6</v>
      </c>
      <c r="H102" s="20">
        <v>0</v>
      </c>
      <c r="I102" s="20">
        <v>0.99812994020455381</v>
      </c>
      <c r="J102" s="20">
        <v>3.4141269262144195E-4</v>
      </c>
      <c r="K102" s="20">
        <v>1.5043213991382217E-3</v>
      </c>
      <c r="L102" s="20">
        <v>0</v>
      </c>
    </row>
    <row r="103" spans="1:12">
      <c r="A103" s="2" t="s">
        <v>484</v>
      </c>
      <c r="B103" s="3" t="s">
        <v>485</v>
      </c>
      <c r="D103" s="20">
        <v>1.8342549484907838E-13</v>
      </c>
      <c r="E103" s="20">
        <v>0.99622315338100209</v>
      </c>
      <c r="F103" s="20">
        <v>7.7889404543037848E-5</v>
      </c>
      <c r="G103" s="20">
        <v>3.6389319915949316E-5</v>
      </c>
      <c r="H103" s="20">
        <v>0</v>
      </c>
      <c r="I103" s="20">
        <v>0.99610887465654308</v>
      </c>
      <c r="J103" s="20">
        <v>3.422925332311423E-4</v>
      </c>
      <c r="K103" s="20">
        <v>3.4345540855833059E-3</v>
      </c>
      <c r="L103" s="20">
        <v>0</v>
      </c>
    </row>
    <row r="104" spans="1:12">
      <c r="A104" s="2" t="s">
        <v>486</v>
      </c>
      <c r="B104" s="3" t="s">
        <v>487</v>
      </c>
      <c r="D104" s="20">
        <v>2.3073128877274224E-9</v>
      </c>
      <c r="E104" s="20">
        <v>0.97992596382341535</v>
      </c>
      <c r="F104" s="20">
        <v>2.2621696746821258E-3</v>
      </c>
      <c r="G104" s="20">
        <v>8.2341871114409242E-4</v>
      </c>
      <c r="H104" s="20">
        <v>0</v>
      </c>
      <c r="I104" s="20">
        <v>0.97684037543758917</v>
      </c>
      <c r="J104" s="20">
        <v>3.8079483768894073E-4</v>
      </c>
      <c r="K104" s="20">
        <v>1.9693239031582967E-2</v>
      </c>
      <c r="L104" s="20">
        <v>0</v>
      </c>
    </row>
    <row r="105" spans="1:12">
      <c r="A105" s="2" t="s">
        <v>488</v>
      </c>
      <c r="B105" s="3" t="s">
        <v>489</v>
      </c>
      <c r="D105" s="20">
        <v>1.8248822607361463E-16</v>
      </c>
      <c r="E105" s="20">
        <v>0.99785364646432673</v>
      </c>
      <c r="F105" s="20">
        <v>2.2628383677155132E-5</v>
      </c>
      <c r="G105" s="20">
        <v>1.1581080734965327E-5</v>
      </c>
      <c r="H105" s="20">
        <v>0</v>
      </c>
      <c r="I105" s="20">
        <v>0.9978194369999146</v>
      </c>
      <c r="J105" s="20">
        <v>3.4148526596011888E-4</v>
      </c>
      <c r="K105" s="20">
        <v>1.8048682697129398E-3</v>
      </c>
      <c r="L105" s="20">
        <v>0</v>
      </c>
    </row>
    <row r="106" spans="1:12">
      <c r="A106" s="2" t="s">
        <v>490</v>
      </c>
      <c r="B106" s="3" t="s">
        <v>491</v>
      </c>
      <c r="D106" s="20">
        <v>1.0795535329018762E-8</v>
      </c>
      <c r="E106" s="20">
        <v>0.93249445332944525</v>
      </c>
      <c r="F106" s="20">
        <v>2.5390009730622973E-2</v>
      </c>
      <c r="G106" s="20">
        <v>7.6870272866329248E-3</v>
      </c>
      <c r="H106" s="20">
        <v>0</v>
      </c>
      <c r="I106" s="20">
        <v>0.8994174163121893</v>
      </c>
      <c r="J106" s="20">
        <v>7.5498665340062747E-4</v>
      </c>
      <c r="K106" s="20">
        <v>6.6750549221618952E-2</v>
      </c>
      <c r="L106" s="20">
        <v>0</v>
      </c>
    </row>
    <row r="107" spans="1:12">
      <c r="A107" s="2" t="s">
        <v>492</v>
      </c>
      <c r="B107" s="3" t="s">
        <v>493</v>
      </c>
      <c r="D107" s="20">
        <v>1.827943390825462E-16</v>
      </c>
      <c r="E107" s="20">
        <v>0.93610308987646629</v>
      </c>
      <c r="F107" s="20">
        <v>0.7852020528382071</v>
      </c>
      <c r="G107" s="20">
        <v>0.13629407663334051</v>
      </c>
      <c r="H107" s="20">
        <v>0</v>
      </c>
      <c r="I107" s="20">
        <v>1.4606960404918705E-2</v>
      </c>
      <c r="J107" s="20">
        <v>8.3866321067560257E-3</v>
      </c>
      <c r="K107" s="20">
        <v>5.5510278016777458E-2</v>
      </c>
      <c r="L107" s="20">
        <v>0</v>
      </c>
    </row>
    <row r="108" spans="1:12">
      <c r="A108" s="2" t="s">
        <v>291</v>
      </c>
      <c r="B108" s="3" t="s">
        <v>494</v>
      </c>
      <c r="D108" s="20">
        <v>2.7873060149860985E-10</v>
      </c>
      <c r="E108" s="20">
        <v>0.83542131976643685</v>
      </c>
      <c r="F108" s="20">
        <v>0.20806706273544395</v>
      </c>
      <c r="G108" s="20">
        <v>5.2203412288031797E-2</v>
      </c>
      <c r="H108" s="20">
        <v>0</v>
      </c>
      <c r="I108" s="20">
        <v>0.57515084474296108</v>
      </c>
      <c r="J108" s="20">
        <v>3.2931845920666754E-3</v>
      </c>
      <c r="K108" s="20">
        <v>0.16128549536276593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1.1803394563571359E-8</v>
      </c>
      <c r="E2" s="14">
        <v>1.2925996528239509E-4</v>
      </c>
      <c r="F2" s="14">
        <v>6.1691539664300931E-6</v>
      </c>
      <c r="G2" s="14">
        <v>1.7968886465003428E-6</v>
      </c>
      <c r="H2" s="14">
        <v>0</v>
      </c>
      <c r="I2" s="14">
        <v>1.4921224513205086E-7</v>
      </c>
      <c r="J2" s="14">
        <v>1.2612976464978823E-5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4.2675850561927248E-7</v>
      </c>
      <c r="E3" s="14">
        <v>1.0015192372757063E-7</v>
      </c>
      <c r="F3" s="14">
        <v>3.713649141326802E-5</v>
      </c>
      <c r="G3" s="14">
        <v>1.0062280631108806E-4</v>
      </c>
      <c r="H3" s="14">
        <v>0</v>
      </c>
      <c r="I3" s="14">
        <v>6.4196832437976204E-6</v>
      </c>
      <c r="J3" s="14">
        <v>5.2941086024994211E-6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6.3590190893288023E-16</v>
      </c>
      <c r="E4" s="14">
        <v>6.5518996744444148E-5</v>
      </c>
      <c r="F4" s="14">
        <v>4.6559554163425359E-5</v>
      </c>
      <c r="G4" s="14">
        <v>1.1114869510064326E-5</v>
      </c>
      <c r="H4" s="14">
        <v>0</v>
      </c>
      <c r="I4" s="14">
        <v>6.8491857391350283E-7</v>
      </c>
      <c r="J4" s="14">
        <v>2.6121661007516744E-5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1.4889071557526707E-8</v>
      </c>
      <c r="E5" s="14">
        <v>1.1030234033179287E-6</v>
      </c>
      <c r="F5" s="14">
        <v>1.0781676614809959E-4</v>
      </c>
      <c r="G5" s="14">
        <v>3.1288292057863573E-5</v>
      </c>
      <c r="H5" s="14">
        <v>0</v>
      </c>
      <c r="I5" s="14">
        <v>1.9413207045648576E-6</v>
      </c>
      <c r="J5" s="14">
        <v>7.8357086145965021E-6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1.376025213412941E-9</v>
      </c>
      <c r="E6" s="14">
        <v>4.4324464935092421E-8</v>
      </c>
      <c r="F6" s="14">
        <v>2.3439323661839097E-5</v>
      </c>
      <c r="G6" s="14">
        <v>1.1511730965837499E-4</v>
      </c>
      <c r="H6" s="14">
        <v>0</v>
      </c>
      <c r="I6" s="14">
        <v>7.399719008655396E-6</v>
      </c>
      <c r="J6" s="14">
        <v>3.9979471809819745E-6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2.0485218907939728E-9</v>
      </c>
      <c r="E7" s="14">
        <v>8.9445339997627693E-8</v>
      </c>
      <c r="F7" s="14">
        <v>3.4934883036975716E-5</v>
      </c>
      <c r="G7" s="14">
        <v>1.0326540411568168E-4</v>
      </c>
      <c r="H7" s="14">
        <v>0</v>
      </c>
      <c r="I7" s="14">
        <v>6.5955076902428091E-6</v>
      </c>
      <c r="J7" s="14">
        <v>5.1127112952113535E-6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1.959896089328752E-8</v>
      </c>
      <c r="E8" s="14">
        <v>2.0183206161412346E-7</v>
      </c>
      <c r="F8" s="14">
        <v>5.3858187094872593E-5</v>
      </c>
      <c r="G8" s="14">
        <v>8.4090568008663748E-5</v>
      </c>
      <c r="H8" s="14">
        <v>0</v>
      </c>
      <c r="I8" s="14">
        <v>5.3278626566576045E-6</v>
      </c>
      <c r="J8" s="14">
        <v>6.5019512172986352E-6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1.3510801362301458E-8</v>
      </c>
      <c r="E9" s="14">
        <v>1.0169467646114226E-5</v>
      </c>
      <c r="F9" s="14">
        <v>1.0235281541542958E-4</v>
      </c>
      <c r="G9" s="14">
        <v>2.0099967197095138E-5</v>
      </c>
      <c r="H9" s="14">
        <v>0</v>
      </c>
      <c r="I9" s="14">
        <v>1.2246760166720649E-6</v>
      </c>
      <c r="J9" s="14">
        <v>1.6139562923326658E-5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1.9125286958744636E-10</v>
      </c>
      <c r="E10" s="14">
        <v>1.0255694373049335E-6</v>
      </c>
      <c r="F10" s="14">
        <v>1.0559093715651645E-4</v>
      </c>
      <c r="G10" s="14">
        <v>3.3428908751934312E-5</v>
      </c>
      <c r="H10" s="14">
        <v>0</v>
      </c>
      <c r="I10" s="14">
        <v>2.076345439017853E-6</v>
      </c>
      <c r="J10" s="14">
        <v>7.8780479623568371E-6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9.9555100502996579E-9</v>
      </c>
      <c r="E11" s="14">
        <v>9.0535858708975898E-7</v>
      </c>
      <c r="F11" s="14">
        <v>1.0164410576975331E-4</v>
      </c>
      <c r="G11" s="14">
        <v>3.7202982233173615E-5</v>
      </c>
      <c r="H11" s="14">
        <v>0</v>
      </c>
      <c r="I11" s="14">
        <v>2.3148803094658966E-6</v>
      </c>
      <c r="J11" s="14">
        <v>7.9227175904670887E-6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6.908544603975586E-9</v>
      </c>
      <c r="E12" s="14">
        <v>6.3788688906158671E-6</v>
      </c>
      <c r="F12" s="14">
        <v>1.0854385711515139E-4</v>
      </c>
      <c r="G12" s="14">
        <v>2.0506937395135974E-5</v>
      </c>
      <c r="H12" s="14">
        <v>0</v>
      </c>
      <c r="I12" s="14">
        <v>1.2528405052018365E-6</v>
      </c>
      <c r="J12" s="14">
        <v>1.3310587549290914E-5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2.0981515515315813E-8</v>
      </c>
      <c r="E13" s="14">
        <v>9.734955362378243E-6</v>
      </c>
      <c r="F13" s="14">
        <v>1.0300434358182523E-4</v>
      </c>
      <c r="G13" s="14">
        <v>2.0153528515934544E-5</v>
      </c>
      <c r="H13" s="14">
        <v>0</v>
      </c>
      <c r="I13" s="14">
        <v>1.2282238360260516E-6</v>
      </c>
      <c r="J13" s="14">
        <v>1.585796718832057E-5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6.613292917564077E-9</v>
      </c>
      <c r="E14" s="14">
        <v>5.9884560835245459E-7</v>
      </c>
      <c r="F14" s="14">
        <v>8.792987247946261E-5</v>
      </c>
      <c r="G14" s="14">
        <v>5.0458228449136978E-5</v>
      </c>
      <c r="H14" s="14">
        <v>0</v>
      </c>
      <c r="I14" s="14">
        <v>3.1571855114738422E-6</v>
      </c>
      <c r="J14" s="14">
        <v>7.849254658656559E-6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1.0840912695814993E-11</v>
      </c>
      <c r="E15" s="14">
        <v>9.6410194042900552E-7</v>
      </c>
      <c r="F15" s="14">
        <v>1.0365363367242714E-4</v>
      </c>
      <c r="G15" s="14">
        <v>3.5284184689372434E-5</v>
      </c>
      <c r="H15" s="14">
        <v>0</v>
      </c>
      <c r="I15" s="14">
        <v>2.1935305697668732E-6</v>
      </c>
      <c r="J15" s="14">
        <v>7.9045382870918166E-6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5.0953304467666356E-8</v>
      </c>
      <c r="E16" s="14">
        <v>2.0895341072674448E-7</v>
      </c>
      <c r="F16" s="14">
        <v>5.4801322441148908E-5</v>
      </c>
      <c r="G16" s="14">
        <v>8.311637506592139E-5</v>
      </c>
      <c r="H16" s="14">
        <v>0</v>
      </c>
      <c r="I16" s="14">
        <v>5.2642205723808015E-6</v>
      </c>
      <c r="J16" s="14">
        <v>6.558175205354451E-6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3.824113334175406E-9</v>
      </c>
      <c r="E17" s="14">
        <v>1.0767821928467445E-6</v>
      </c>
      <c r="F17" s="14">
        <v>1.0709012837353514E-4</v>
      </c>
      <c r="G17" s="14">
        <v>3.1992265444549108E-5</v>
      </c>
      <c r="H17" s="14">
        <v>0</v>
      </c>
      <c r="I17" s="14">
        <v>1.9857027121577095E-6</v>
      </c>
      <c r="J17" s="14">
        <v>7.851297163577079E-6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4.1036134416266694E-7</v>
      </c>
      <c r="E18" s="14">
        <v>1.2311856747458259E-5</v>
      </c>
      <c r="F18" s="14">
        <v>9.8943012250368178E-5</v>
      </c>
      <c r="G18" s="14">
        <v>1.9755166001803808E-5</v>
      </c>
      <c r="H18" s="14">
        <v>0</v>
      </c>
      <c r="I18" s="14">
        <v>1.2025115082445515E-6</v>
      </c>
      <c r="J18" s="14">
        <v>1.7377092147962515E-5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3.7993209177752474E-11</v>
      </c>
      <c r="E19" s="14">
        <v>9.5214499466105332E-7</v>
      </c>
      <c r="F19" s="14">
        <v>1.0325822684088601E-4</v>
      </c>
      <c r="G19" s="14">
        <v>3.5663192551163592E-5</v>
      </c>
      <c r="H19" s="14">
        <v>0</v>
      </c>
      <c r="I19" s="14">
        <v>2.217487517238897E-6</v>
      </c>
      <c r="J19" s="14">
        <v>7.9089101028412217E-6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3.1760578974892347E-9</v>
      </c>
      <c r="E20" s="14">
        <v>9.7361110929388791E-6</v>
      </c>
      <c r="F20" s="14">
        <v>1.030165722221553E-4</v>
      </c>
      <c r="G20" s="14">
        <v>2.0155921135925442E-5</v>
      </c>
      <c r="H20" s="14">
        <v>0</v>
      </c>
      <c r="I20" s="14">
        <v>1.2283696503384707E-6</v>
      </c>
      <c r="J20" s="14">
        <v>1.585984984074442E-5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5.5435727320848526E-8</v>
      </c>
      <c r="E21" s="14">
        <v>6.7799557570725117E-7</v>
      </c>
      <c r="F21" s="14">
        <v>9.2089143601458841E-5</v>
      </c>
      <c r="G21" s="14">
        <v>4.6377142845392429E-5</v>
      </c>
      <c r="H21" s="14">
        <v>0</v>
      </c>
      <c r="I21" s="14">
        <v>2.8971288751111515E-6</v>
      </c>
      <c r="J21" s="14">
        <v>7.9031533750094367E-6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2.7366435814569661E-7</v>
      </c>
      <c r="E22" s="14">
        <v>1.0071063838244248E-4</v>
      </c>
      <c r="F22" s="14">
        <v>2.1549486367436769E-5</v>
      </c>
      <c r="G22" s="14">
        <v>5.6199503474400548E-6</v>
      </c>
      <c r="H22" s="14">
        <v>0</v>
      </c>
      <c r="I22" s="14">
        <v>3.6652652282846993E-7</v>
      </c>
      <c r="J22" s="14">
        <v>2.1479734021706537E-5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1.1137947949334964E-8</v>
      </c>
      <c r="E23" s="14">
        <v>1.2161924246349939E-4</v>
      </c>
      <c r="F23" s="14">
        <v>9.8134986778725476E-6</v>
      </c>
      <c r="G23" s="14">
        <v>2.7499159731775588E-6</v>
      </c>
      <c r="H23" s="14">
        <v>0</v>
      </c>
      <c r="I23" s="14">
        <v>2.0292700545515339E-7</v>
      </c>
      <c r="J23" s="14">
        <v>1.5603277932045969E-5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1.0250085899753236E-8</v>
      </c>
      <c r="E24" s="14">
        <v>3.1678500416480711E-5</v>
      </c>
      <c r="F24" s="14">
        <v>7.665600631321817E-5</v>
      </c>
      <c r="G24" s="14">
        <v>1.6720210651743508E-5</v>
      </c>
      <c r="H24" s="14">
        <v>0</v>
      </c>
      <c r="I24" s="14">
        <v>1.0162998365675836E-6</v>
      </c>
      <c r="J24" s="14">
        <v>2.3918732696090263E-5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1.6837509502922192E-6</v>
      </c>
      <c r="E25" s="14">
        <v>3.388558313836204E-6</v>
      </c>
      <c r="F25" s="14">
        <v>1.1326521094617182E-4</v>
      </c>
      <c r="G25" s="14">
        <v>2.0360671335397624E-5</v>
      </c>
      <c r="H25" s="14">
        <v>0</v>
      </c>
      <c r="I25" s="14">
        <v>1.2489743838896277E-6</v>
      </c>
      <c r="J25" s="14">
        <v>1.0052834070412476E-5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4.4524056648511864E-8</v>
      </c>
      <c r="E26" s="14">
        <v>7.3517687292341693E-7</v>
      </c>
      <c r="F26" s="14">
        <v>9.4801107500949795E-5</v>
      </c>
      <c r="G26" s="14">
        <v>4.3763189508013199E-5</v>
      </c>
      <c r="H26" s="14">
        <v>0</v>
      </c>
      <c r="I26" s="14">
        <v>2.730890453031477E-6</v>
      </c>
      <c r="J26" s="14">
        <v>7.9251116084335575E-6</v>
      </c>
      <c r="K26" s="14">
        <v>0</v>
      </c>
    </row>
    <row r="27" spans="1:14">
      <c r="A27" s="2" t="s">
        <v>353</v>
      </c>
      <c r="B27" s="3" t="s">
        <v>354</v>
      </c>
      <c r="D27" s="14">
        <v>2.9629370118146987E-7</v>
      </c>
      <c r="E27" s="14">
        <v>1.1028070379155265E-7</v>
      </c>
      <c r="F27" s="14">
        <v>3.9159857553381613E-5</v>
      </c>
      <c r="G27" s="14">
        <v>9.8681708227985155E-5</v>
      </c>
      <c r="H27" s="14">
        <v>0</v>
      </c>
      <c r="I27" s="14">
        <v>6.2900939412171522E-6</v>
      </c>
      <c r="J27" s="14">
        <v>5.4617658724430319E-6</v>
      </c>
      <c r="K27" s="14">
        <v>0</v>
      </c>
    </row>
    <row r="28" spans="1:14">
      <c r="A28" s="2" t="s">
        <v>355</v>
      </c>
      <c r="B28" s="3" t="s">
        <v>356</v>
      </c>
      <c r="D28" s="14">
        <v>1.6581199635597184E-8</v>
      </c>
      <c r="E28" s="14">
        <v>4.026178804222855E-7</v>
      </c>
      <c r="F28" s="14">
        <v>7.4685214474287892E-5</v>
      </c>
      <c r="G28" s="14">
        <v>6.3405975400975206E-5</v>
      </c>
      <c r="H28" s="14">
        <v>0</v>
      </c>
      <c r="I28" s="14">
        <v>3.9867550904751449E-6</v>
      </c>
      <c r="J28" s="14">
        <v>7.5028559542038443E-6</v>
      </c>
      <c r="K28" s="14">
        <v>0</v>
      </c>
    </row>
    <row r="29" spans="1:14">
      <c r="A29" s="2" t="s">
        <v>357</v>
      </c>
      <c r="B29" s="3" t="s">
        <v>358</v>
      </c>
      <c r="D29" s="14">
        <v>3.3772883718033583E-6</v>
      </c>
      <c r="E29" s="14">
        <v>6.1044319213814217E-7</v>
      </c>
      <c r="F29" s="14">
        <v>8.7334699250402522E-5</v>
      </c>
      <c r="G29" s="14">
        <v>4.7982446131080933E-5</v>
      </c>
      <c r="H29" s="14">
        <v>0</v>
      </c>
      <c r="I29" s="14">
        <v>3.0006513818551671E-6</v>
      </c>
      <c r="J29" s="14">
        <v>7.694471672719853E-6</v>
      </c>
      <c r="K29" s="14">
        <v>0</v>
      </c>
    </row>
    <row r="30" spans="1:14">
      <c r="A30" s="2" t="s">
        <v>359</v>
      </c>
      <c r="B30" s="3" t="s">
        <v>360</v>
      </c>
      <c r="D30" s="14">
        <v>1.6581199635597184E-8</v>
      </c>
      <c r="E30" s="14">
        <v>4.026178804222855E-7</v>
      </c>
      <c r="F30" s="14">
        <v>7.4685214474287892E-5</v>
      </c>
      <c r="G30" s="14">
        <v>6.3405975400975206E-5</v>
      </c>
      <c r="H30" s="14">
        <v>0</v>
      </c>
      <c r="I30" s="14">
        <v>3.9867550904751449E-6</v>
      </c>
      <c r="J30" s="14">
        <v>7.5028559542038443E-6</v>
      </c>
      <c r="K30" s="14">
        <v>0</v>
      </c>
    </row>
    <row r="31" spans="1:14">
      <c r="A31" s="2" t="s">
        <v>283</v>
      </c>
      <c r="B31" s="3" t="s">
        <v>284</v>
      </c>
      <c r="D31" s="14">
        <v>3.0995919898171923E-12</v>
      </c>
      <c r="E31" s="14">
        <v>1.4832065676949709E-4</v>
      </c>
      <c r="F31" s="14">
        <v>9.1268983618166616E-8</v>
      </c>
      <c r="G31" s="14">
        <v>3.6628469270794854E-8</v>
      </c>
      <c r="H31" s="14">
        <v>0</v>
      </c>
      <c r="I31" s="14">
        <v>5.2741011264931573E-8</v>
      </c>
      <c r="J31" s="14">
        <v>1.4987016667569902E-6</v>
      </c>
      <c r="K31" s="14">
        <v>0</v>
      </c>
    </row>
    <row r="32" spans="1:14">
      <c r="A32" s="2" t="s">
        <v>361</v>
      </c>
      <c r="B32" s="3" t="s">
        <v>362</v>
      </c>
      <c r="D32" s="14">
        <v>3.0486833649565978E-12</v>
      </c>
      <c r="E32" s="14">
        <v>7.9787636527723854E-5</v>
      </c>
      <c r="F32" s="14">
        <v>3.5868159755614692E-5</v>
      </c>
      <c r="G32" s="14">
        <v>8.843572832975422E-6</v>
      </c>
      <c r="H32" s="14">
        <v>0</v>
      </c>
      <c r="I32" s="14">
        <v>5.5903543585588367E-7</v>
      </c>
      <c r="J32" s="14">
        <v>2.4941592399146763E-5</v>
      </c>
      <c r="K32" s="14">
        <v>0</v>
      </c>
    </row>
    <row r="33" spans="1:11">
      <c r="A33" s="2" t="s">
        <v>364</v>
      </c>
      <c r="B33" s="3" t="s">
        <v>365</v>
      </c>
      <c r="D33" s="14">
        <v>1.4079262760854207E-14</v>
      </c>
      <c r="E33" s="14">
        <v>1.4931422254722896E-4</v>
      </c>
      <c r="F33" s="14">
        <v>6.3014827486250051E-7</v>
      </c>
      <c r="G33" s="14">
        <v>1.9269483513800055E-10</v>
      </c>
      <c r="H33" s="14">
        <v>0</v>
      </c>
      <c r="I33" s="14">
        <v>5.182264917783606E-8</v>
      </c>
      <c r="J33" s="14">
        <v>3.6138198162868349E-9</v>
      </c>
      <c r="K33" s="14">
        <v>0</v>
      </c>
    </row>
    <row r="34" spans="1:11">
      <c r="A34" s="2" t="s">
        <v>285</v>
      </c>
      <c r="B34" s="3" t="s">
        <v>286</v>
      </c>
      <c r="D34" s="14">
        <v>4.1853061053940432E-14</v>
      </c>
      <c r="E34" s="14">
        <v>8.2102819276839588E-5</v>
      </c>
      <c r="F34" s="14">
        <v>6.7789065132044138E-5</v>
      </c>
      <c r="G34" s="14">
        <v>5.5671657520780624E-9</v>
      </c>
      <c r="H34" s="14">
        <v>0</v>
      </c>
      <c r="I34" s="14">
        <v>9.0236327783984298E-8</v>
      </c>
      <c r="J34" s="14">
        <v>1.2312055727144857E-8</v>
      </c>
      <c r="K34" s="14">
        <v>0</v>
      </c>
    </row>
    <row r="35" spans="1:11">
      <c r="A35" s="2" t="s">
        <v>287</v>
      </c>
      <c r="B35" s="3" t="s">
        <v>288</v>
      </c>
      <c r="D35" s="14">
        <v>1.2192017938800974E-15</v>
      </c>
      <c r="E35" s="14">
        <v>4.8609018955688115E-5</v>
      </c>
      <c r="F35" s="14">
        <v>1.0123680497514465E-4</v>
      </c>
      <c r="G35" s="14">
        <v>1.9604950632801857E-8</v>
      </c>
      <c r="H35" s="14">
        <v>0</v>
      </c>
      <c r="I35" s="14">
        <v>1.0476796696168597E-7</v>
      </c>
      <c r="J35" s="14">
        <v>2.9803150353509234E-8</v>
      </c>
      <c r="K35" s="14">
        <v>0</v>
      </c>
    </row>
    <row r="36" spans="1:11">
      <c r="A36" s="2" t="s">
        <v>366</v>
      </c>
      <c r="B36" s="3" t="s">
        <v>305</v>
      </c>
      <c r="D36" s="14">
        <v>2.1493439311921138E-12</v>
      </c>
      <c r="E36" s="14">
        <v>1.6213995148040797E-5</v>
      </c>
      <c r="F36" s="14">
        <v>1.3360158578994369E-4</v>
      </c>
      <c r="G36" s="14">
        <v>3.8251933892002779E-8</v>
      </c>
      <c r="H36" s="14">
        <v>0</v>
      </c>
      <c r="I36" s="14">
        <v>1.1285688204565368E-7</v>
      </c>
      <c r="J36" s="14">
        <v>3.330809673389878E-8</v>
      </c>
      <c r="K36" s="14">
        <v>0</v>
      </c>
    </row>
    <row r="37" spans="1:11">
      <c r="A37" s="2" t="s">
        <v>289</v>
      </c>
      <c r="B37" s="3" t="s">
        <v>290</v>
      </c>
      <c r="D37" s="14">
        <v>5.090474087766939E-19</v>
      </c>
      <c r="E37" s="14">
        <v>3.2490885485123562E-5</v>
      </c>
      <c r="F37" s="14">
        <v>1.0882360828876154E-4</v>
      </c>
      <c r="G37" s="14">
        <v>3.71528918013041E-6</v>
      </c>
      <c r="H37" s="14">
        <v>0</v>
      </c>
      <c r="I37" s="14">
        <v>3.112563836820141E-7</v>
      </c>
      <c r="J37" s="14">
        <v>4.658960662301905E-6</v>
      </c>
      <c r="K37" s="14">
        <v>0</v>
      </c>
    </row>
    <row r="38" spans="1:11">
      <c r="A38" s="2" t="s">
        <v>291</v>
      </c>
      <c r="B38" s="3" t="s">
        <v>292</v>
      </c>
      <c r="D38" s="14">
        <v>1.4102219008184969E-16</v>
      </c>
      <c r="E38" s="14">
        <v>9.2031342610434028E-5</v>
      </c>
      <c r="F38" s="14">
        <v>5.7713489305840699E-5</v>
      </c>
      <c r="G38" s="14">
        <v>4.8216355424749989E-8</v>
      </c>
      <c r="H38" s="14">
        <v>0</v>
      </c>
      <c r="I38" s="14">
        <v>8.774773590476898E-8</v>
      </c>
      <c r="J38" s="14">
        <v>1.192039922546942E-7</v>
      </c>
      <c r="K38" s="14">
        <v>0</v>
      </c>
    </row>
    <row r="39" spans="1:11">
      <c r="A39" s="2" t="s">
        <v>367</v>
      </c>
      <c r="B39" s="3" t="s">
        <v>368</v>
      </c>
      <c r="D39" s="14">
        <v>1.7981727195950297E-9</v>
      </c>
      <c r="E39" s="14">
        <v>1.6468290320908345E-6</v>
      </c>
      <c r="F39" s="14">
        <v>1.1889130359270735E-4</v>
      </c>
      <c r="G39" s="14">
        <v>2.0765655474531757E-5</v>
      </c>
      <c r="H39" s="14">
        <v>0</v>
      </c>
      <c r="I39" s="14">
        <v>1.2805932595327842E-6</v>
      </c>
      <c r="J39" s="14">
        <v>7.4138204684176594E-6</v>
      </c>
      <c r="K39" s="14">
        <v>0</v>
      </c>
    </row>
    <row r="40" spans="1:11">
      <c r="A40" s="2" t="s">
        <v>369</v>
      </c>
      <c r="B40" s="3" t="s">
        <v>370</v>
      </c>
      <c r="D40" s="14">
        <v>1.036101246575884E-16</v>
      </c>
      <c r="E40" s="14">
        <v>1.4523613478905608E-7</v>
      </c>
      <c r="F40" s="14">
        <v>1.3251231973445885E-4</v>
      </c>
      <c r="G40" s="14">
        <v>9.5868654825825482E-6</v>
      </c>
      <c r="H40" s="14">
        <v>0</v>
      </c>
      <c r="I40" s="14">
        <v>7.5797162243059271E-6</v>
      </c>
      <c r="J40" s="14">
        <v>1.7586242376000245E-7</v>
      </c>
      <c r="K40" s="14">
        <v>0</v>
      </c>
    </row>
    <row r="41" spans="1:11">
      <c r="A41" s="2" t="s">
        <v>371</v>
      </c>
      <c r="B41" s="3" t="s">
        <v>372</v>
      </c>
      <c r="D41" s="14">
        <v>9.7440254240466234E-6</v>
      </c>
      <c r="E41" s="14">
        <v>1.3990573533204605E-4</v>
      </c>
      <c r="F41" s="14">
        <v>4.2830889398149123E-9</v>
      </c>
      <c r="G41" s="14">
        <v>2.1441375771831766E-9</v>
      </c>
      <c r="H41" s="14">
        <v>0</v>
      </c>
      <c r="I41" s="14">
        <v>4.7909221381318348E-8</v>
      </c>
      <c r="J41" s="14">
        <v>2.9590279600897228E-7</v>
      </c>
      <c r="K41" s="14">
        <v>0</v>
      </c>
    </row>
    <row r="42" spans="1:11">
      <c r="A42" s="2" t="s">
        <v>293</v>
      </c>
      <c r="B42" s="3" t="s">
        <v>294</v>
      </c>
      <c r="D42" s="14">
        <v>2.4652180572123747E-12</v>
      </c>
      <c r="E42" s="14">
        <v>9.4879513722794079E-5</v>
      </c>
      <c r="F42" s="14">
        <v>2.5425764756316225E-5</v>
      </c>
      <c r="G42" s="14">
        <v>6.521831587439469E-6</v>
      </c>
      <c r="H42" s="14">
        <v>0</v>
      </c>
      <c r="I42" s="14">
        <v>4.1845538665719719E-7</v>
      </c>
      <c r="J42" s="14">
        <v>2.2754432081574956E-5</v>
      </c>
      <c r="K42" s="14">
        <v>0</v>
      </c>
    </row>
    <row r="43" spans="1:11">
      <c r="A43" s="2" t="s">
        <v>373</v>
      </c>
      <c r="B43" s="3" t="s">
        <v>374</v>
      </c>
      <c r="D43" s="14">
        <v>5.0263343026811037E-12</v>
      </c>
      <c r="E43" s="14">
        <v>1.3209127990499526E-6</v>
      </c>
      <c r="F43" s="14">
        <v>1.4829814636302025E-4</v>
      </c>
      <c r="G43" s="14">
        <v>1.2521537084464454E-7</v>
      </c>
      <c r="H43" s="14">
        <v>0</v>
      </c>
      <c r="I43" s="14">
        <v>2.2905467468479217E-7</v>
      </c>
      <c r="J43" s="14">
        <v>2.6665766066009771E-8</v>
      </c>
      <c r="K43" s="14">
        <v>0</v>
      </c>
    </row>
    <row r="44" spans="1:11">
      <c r="A44" s="2" t="s">
        <v>375</v>
      </c>
      <c r="B44" s="3" t="s">
        <v>376</v>
      </c>
      <c r="D44" s="14">
        <v>1.0940776259632813E-5</v>
      </c>
      <c r="E44" s="14">
        <v>1.2589406210224342E-4</v>
      </c>
      <c r="F44" s="14">
        <v>3.2156355482323945E-6</v>
      </c>
      <c r="G44" s="14">
        <v>9.8075916774072375E-7</v>
      </c>
      <c r="H44" s="14">
        <v>0</v>
      </c>
      <c r="I44" s="14">
        <v>1.0009075710113166E-7</v>
      </c>
      <c r="J44" s="14">
        <v>8.868676165049477E-6</v>
      </c>
      <c r="K44" s="14">
        <v>0</v>
      </c>
    </row>
    <row r="45" spans="1:11">
      <c r="A45" s="2" t="s">
        <v>377</v>
      </c>
      <c r="B45" s="3" t="s">
        <v>378</v>
      </c>
      <c r="D45" s="14">
        <v>9.4468663672782036E-8</v>
      </c>
      <c r="E45" s="14">
        <v>8.9150725542773388E-5</v>
      </c>
      <c r="F45" s="14">
        <v>2.9181422350989662E-5</v>
      </c>
      <c r="G45" s="14">
        <v>7.375679073591446E-6</v>
      </c>
      <c r="H45" s="14">
        <v>0</v>
      </c>
      <c r="I45" s="14">
        <v>4.6766643822555397E-7</v>
      </c>
      <c r="J45" s="14">
        <v>2.3730037930747164E-5</v>
      </c>
      <c r="K45" s="14">
        <v>0</v>
      </c>
    </row>
    <row r="46" spans="1:11">
      <c r="A46" s="2" t="s">
        <v>379</v>
      </c>
      <c r="B46" s="3" t="s">
        <v>380</v>
      </c>
      <c r="D46" s="14">
        <v>2.8282840023404671E-7</v>
      </c>
      <c r="E46" s="14">
        <v>9.2610478264122881E-5</v>
      </c>
      <c r="F46" s="14">
        <v>2.6751103481036306E-5</v>
      </c>
      <c r="G46" s="14">
        <v>6.8239723227314574E-6</v>
      </c>
      <c r="H46" s="14">
        <v>0</v>
      </c>
      <c r="I46" s="14">
        <v>4.3578204157732389E-7</v>
      </c>
      <c r="J46" s="14">
        <v>2.3095835490297987E-5</v>
      </c>
      <c r="K46" s="14">
        <v>0</v>
      </c>
    </row>
    <row r="47" spans="1:11">
      <c r="A47" s="2" t="s">
        <v>381</v>
      </c>
      <c r="B47" s="3" t="s">
        <v>382</v>
      </c>
      <c r="D47" s="14">
        <v>5.0282808240080518E-12</v>
      </c>
      <c r="E47" s="14">
        <v>1.0043767124019964E-7</v>
      </c>
      <c r="F47" s="14">
        <v>3.7242447042018346E-5</v>
      </c>
      <c r="G47" s="14">
        <v>1.0090989731790045E-4</v>
      </c>
      <c r="H47" s="14">
        <v>0</v>
      </c>
      <c r="I47" s="14">
        <v>6.4379995022428512E-6</v>
      </c>
      <c r="J47" s="14">
        <v>5.3092134383173237E-6</v>
      </c>
      <c r="K47" s="14">
        <v>0</v>
      </c>
    </row>
    <row r="48" spans="1:11">
      <c r="A48" s="2" t="s">
        <v>383</v>
      </c>
      <c r="B48" s="3" t="s">
        <v>384</v>
      </c>
      <c r="D48" s="14">
        <v>1.4403964620721851E-6</v>
      </c>
      <c r="E48" s="14">
        <v>1.420885740869432E-4</v>
      </c>
      <c r="F48" s="14">
        <v>9.8878240632770464E-7</v>
      </c>
      <c r="G48" s="14">
        <v>3.3189161901396417E-7</v>
      </c>
      <c r="H48" s="14">
        <v>0</v>
      </c>
      <c r="I48" s="14">
        <v>6.7676144957524236E-8</v>
      </c>
      <c r="J48" s="14">
        <v>5.0826792806853757E-6</v>
      </c>
      <c r="K48" s="14">
        <v>0</v>
      </c>
    </row>
    <row r="49" spans="1:11">
      <c r="A49" s="2" t="s">
        <v>385</v>
      </c>
      <c r="B49" s="3" t="s">
        <v>386</v>
      </c>
      <c r="D49" s="14">
        <v>2.7367156605400657E-6</v>
      </c>
      <c r="E49" s="14">
        <v>1.3797702841285436E-4</v>
      </c>
      <c r="F49" s="14">
        <v>1.7941070869246139E-6</v>
      </c>
      <c r="G49" s="14">
        <v>5.7510072764087508E-7</v>
      </c>
      <c r="H49" s="14">
        <v>0</v>
      </c>
      <c r="I49" s="14">
        <v>8.0445480979834145E-8</v>
      </c>
      <c r="J49" s="14">
        <v>6.8366026310602035E-6</v>
      </c>
      <c r="K49" s="14">
        <v>0</v>
      </c>
    </row>
    <row r="50" spans="1:11">
      <c r="A50" s="2" t="s">
        <v>387</v>
      </c>
      <c r="B50" s="3" t="s">
        <v>388</v>
      </c>
      <c r="D50" s="14">
        <v>8.896822152281804E-7</v>
      </c>
      <c r="E50" s="14">
        <v>1.3078924088309531E-5</v>
      </c>
      <c r="F50" s="14">
        <v>9.7510996217034599E-5</v>
      </c>
      <c r="G50" s="14">
        <v>1.9577135592387435E-5</v>
      </c>
      <c r="H50" s="14">
        <v>0</v>
      </c>
      <c r="I50" s="14">
        <v>1.1913321810156952E-6</v>
      </c>
      <c r="J50" s="14">
        <v>1.7751929706024545E-5</v>
      </c>
      <c r="K50" s="14">
        <v>0</v>
      </c>
    </row>
    <row r="51" spans="1:11">
      <c r="A51" s="2" t="s">
        <v>295</v>
      </c>
      <c r="B51" s="3" t="s">
        <v>296</v>
      </c>
      <c r="D51" s="14">
        <v>7.8953526965347448E-6</v>
      </c>
      <c r="E51" s="14">
        <v>1.3990352120792952E-4</v>
      </c>
      <c r="F51" s="14">
        <v>1.5688817808189912E-7</v>
      </c>
      <c r="G51" s="14">
        <v>6.024011260565799E-8</v>
      </c>
      <c r="H51" s="14">
        <v>0</v>
      </c>
      <c r="I51" s="14">
        <v>5.1218816144552325E-8</v>
      </c>
      <c r="J51" s="14">
        <v>1.9327789887036112E-6</v>
      </c>
      <c r="K51" s="14">
        <v>0</v>
      </c>
    </row>
    <row r="52" spans="1:11">
      <c r="A52" s="2" t="s">
        <v>389</v>
      </c>
      <c r="B52" s="3" t="s">
        <v>390</v>
      </c>
      <c r="D52" s="14">
        <v>9.037236954577577E-6</v>
      </c>
      <c r="E52" s="14">
        <v>1.2177349744177049E-4</v>
      </c>
      <c r="F52" s="14">
        <v>5.6683199201610962E-6</v>
      </c>
      <c r="G52" s="14">
        <v>1.654054858257579E-6</v>
      </c>
      <c r="H52" s="14">
        <v>0</v>
      </c>
      <c r="I52" s="14">
        <v>1.3828664220718841E-7</v>
      </c>
      <c r="J52" s="14">
        <v>1.1728604183026026E-5</v>
      </c>
      <c r="K52" s="14">
        <v>0</v>
      </c>
    </row>
    <row r="53" spans="1:11">
      <c r="A53" s="2" t="s">
        <v>391</v>
      </c>
      <c r="B53" s="3" t="s">
        <v>392</v>
      </c>
      <c r="D53" s="14">
        <v>2.8321220281659069E-7</v>
      </c>
      <c r="E53" s="14">
        <v>7.0056602533291769E-5</v>
      </c>
      <c r="F53" s="14">
        <v>4.2848008971417868E-5</v>
      </c>
      <c r="G53" s="14">
        <v>1.0342516004947699E-5</v>
      </c>
      <c r="H53" s="14">
        <v>0</v>
      </c>
      <c r="I53" s="14">
        <v>6.3976638086371072E-7</v>
      </c>
      <c r="J53" s="14">
        <v>2.5829893906662321E-5</v>
      </c>
      <c r="K53" s="14">
        <v>0</v>
      </c>
    </row>
    <row r="54" spans="1:11">
      <c r="A54" s="2" t="s">
        <v>393</v>
      </c>
      <c r="B54" s="3" t="s">
        <v>394</v>
      </c>
      <c r="D54" s="14">
        <v>2.3301221602343028E-8</v>
      </c>
      <c r="E54" s="14">
        <v>1.4090804848885082E-7</v>
      </c>
      <c r="F54" s="14">
        <v>4.4709248957942798E-5</v>
      </c>
      <c r="G54" s="14">
        <v>9.3302424641875749E-5</v>
      </c>
      <c r="H54" s="14">
        <v>0</v>
      </c>
      <c r="I54" s="14">
        <v>5.9331126828656008E-6</v>
      </c>
      <c r="J54" s="14">
        <v>5.8910044472246244E-6</v>
      </c>
      <c r="K54" s="14">
        <v>0</v>
      </c>
    </row>
    <row r="55" spans="1:11">
      <c r="A55" s="2" t="s">
        <v>395</v>
      </c>
      <c r="B55" s="3" t="s">
        <v>396</v>
      </c>
      <c r="D55" s="14">
        <v>1.8882607015554893E-5</v>
      </c>
      <c r="E55" s="14">
        <v>2.4873623978538893E-5</v>
      </c>
      <c r="F55" s="14">
        <v>6.9932755228001374E-5</v>
      </c>
      <c r="G55" s="14">
        <v>1.508607263517302E-5</v>
      </c>
      <c r="H55" s="14">
        <v>0</v>
      </c>
      <c r="I55" s="14">
        <v>9.1668580863156685E-7</v>
      </c>
      <c r="J55" s="14">
        <v>2.0308255334100234E-5</v>
      </c>
      <c r="K55" s="14">
        <v>0</v>
      </c>
    </row>
    <row r="56" spans="1:11">
      <c r="A56" s="2" t="s">
        <v>397</v>
      </c>
      <c r="B56" s="3" t="s">
        <v>398</v>
      </c>
      <c r="D56" s="14">
        <v>8.5510548909125252E-5</v>
      </c>
      <c r="E56" s="14">
        <v>2.9346533216165604E-6</v>
      </c>
      <c r="F56" s="14">
        <v>4.6327448141142087E-5</v>
      </c>
      <c r="G56" s="14">
        <v>8.8010387663284882E-6</v>
      </c>
      <c r="H56" s="14">
        <v>0</v>
      </c>
      <c r="I56" s="14">
        <v>5.3746272609111315E-7</v>
      </c>
      <c r="J56" s="14">
        <v>5.8888481356964856E-6</v>
      </c>
      <c r="K56" s="14">
        <v>0</v>
      </c>
    </row>
    <row r="57" spans="1:11">
      <c r="A57" s="2" t="s">
        <v>399</v>
      </c>
      <c r="B57" s="3" t="s">
        <v>400</v>
      </c>
      <c r="D57" s="14">
        <v>1.1289269435411085E-4</v>
      </c>
      <c r="E57" s="14">
        <v>5.5152213624101532E-6</v>
      </c>
      <c r="F57" s="14">
        <v>2.1462708273513646E-5</v>
      </c>
      <c r="G57" s="14">
        <v>4.5204334293501592E-6</v>
      </c>
      <c r="H57" s="14">
        <v>0</v>
      </c>
      <c r="I57" s="14">
        <v>2.7465410186735828E-7</v>
      </c>
      <c r="J57" s="14">
        <v>5.3342884787478088E-6</v>
      </c>
      <c r="K57" s="14">
        <v>0</v>
      </c>
    </row>
    <row r="58" spans="1:11">
      <c r="A58" s="2" t="s">
        <v>297</v>
      </c>
      <c r="B58" s="3" t="s">
        <v>298</v>
      </c>
      <c r="D58" s="14">
        <v>1.3785393672846344E-4</v>
      </c>
      <c r="E58" s="14">
        <v>1.1256316162219167E-5</v>
      </c>
      <c r="F58" s="14">
        <v>1.8794806428573662E-7</v>
      </c>
      <c r="G58" s="14">
        <v>5.9147094097713791E-8</v>
      </c>
      <c r="H58" s="14">
        <v>0</v>
      </c>
      <c r="I58" s="14">
        <v>7.2773743626702371E-9</v>
      </c>
      <c r="J58" s="14">
        <v>6.3537457657124726E-7</v>
      </c>
      <c r="K58" s="14">
        <v>0</v>
      </c>
    </row>
    <row r="59" spans="1:11">
      <c r="A59" s="2" t="s">
        <v>401</v>
      </c>
      <c r="B59" s="3" t="s">
        <v>402</v>
      </c>
      <c r="D59" s="14">
        <v>1.3542377296679476E-4</v>
      </c>
      <c r="E59" s="14">
        <v>2.2949436125389574E-6</v>
      </c>
      <c r="F59" s="14">
        <v>8.2854021669913351E-6</v>
      </c>
      <c r="G59" s="14">
        <v>1.754725344758209E-6</v>
      </c>
      <c r="H59" s="14">
        <v>0</v>
      </c>
      <c r="I59" s="14">
        <v>1.0660965684177962E-7</v>
      </c>
      <c r="J59" s="14">
        <v>2.1345462520749282E-6</v>
      </c>
      <c r="K59" s="14">
        <v>0</v>
      </c>
    </row>
    <row r="60" spans="1:11">
      <c r="A60" s="2" t="s">
        <v>299</v>
      </c>
      <c r="B60" s="3" t="s">
        <v>300</v>
      </c>
      <c r="D60" s="14">
        <v>1.4969220758363134E-4</v>
      </c>
      <c r="E60" s="14">
        <v>8.6348799338554582E-8</v>
      </c>
      <c r="F60" s="14">
        <v>1.3658967683288765E-7</v>
      </c>
      <c r="G60" s="14">
        <v>3.0740677365476171E-8</v>
      </c>
      <c r="H60" s="14">
        <v>0</v>
      </c>
      <c r="I60" s="14">
        <v>1.8724586666366018E-9</v>
      </c>
      <c r="J60" s="14">
        <v>5.22408041651113E-8</v>
      </c>
      <c r="K60" s="14">
        <v>0</v>
      </c>
    </row>
    <row r="61" spans="1:11">
      <c r="A61" s="2" t="s">
        <v>403</v>
      </c>
      <c r="B61" s="3" t="s">
        <v>404</v>
      </c>
      <c r="D61" s="14">
        <v>6.4425035549816608E-48</v>
      </c>
      <c r="E61" s="14">
        <v>5.2603153070667772E-5</v>
      </c>
      <c r="F61" s="14">
        <v>5.7183844675490473E-5</v>
      </c>
      <c r="G61" s="14">
        <v>1.323027607158381E-5</v>
      </c>
      <c r="H61" s="14">
        <v>0</v>
      </c>
      <c r="I61" s="14">
        <v>8.0901370629110697E-7</v>
      </c>
      <c r="J61" s="14">
        <v>2.6173712475966799E-5</v>
      </c>
      <c r="K61" s="14">
        <v>0</v>
      </c>
    </row>
    <row r="62" spans="1:11">
      <c r="A62" s="2" t="s">
        <v>405</v>
      </c>
      <c r="B62" s="3" t="s">
        <v>406</v>
      </c>
      <c r="D62" s="14">
        <v>1.3257804295440074E-11</v>
      </c>
      <c r="E62" s="14">
        <v>6.1586952417484538E-7</v>
      </c>
      <c r="F62" s="14">
        <v>8.8877184477660967E-5</v>
      </c>
      <c r="G62" s="14">
        <v>4.9543404121148346E-5</v>
      </c>
      <c r="H62" s="14">
        <v>0</v>
      </c>
      <c r="I62" s="14">
        <v>3.0988267491483682E-6</v>
      </c>
      <c r="J62" s="14">
        <v>7.8647018700631434E-6</v>
      </c>
      <c r="K62" s="14">
        <v>0</v>
      </c>
    </row>
    <row r="63" spans="1:11">
      <c r="A63" s="2" t="s">
        <v>407</v>
      </c>
      <c r="B63" s="3" t="s">
        <v>408</v>
      </c>
      <c r="D63" s="14">
        <v>3.068715484256242E-9</v>
      </c>
      <c r="E63" s="14">
        <v>5.4396847908379197E-8</v>
      </c>
      <c r="F63" s="14">
        <v>2.6380031453606316E-5</v>
      </c>
      <c r="G63" s="14">
        <v>1.1206522422024584E-4</v>
      </c>
      <c r="H63" s="14">
        <v>0</v>
      </c>
      <c r="I63" s="14">
        <v>7.1903540005095503E-6</v>
      </c>
      <c r="J63" s="14">
        <v>4.306924762245632E-6</v>
      </c>
      <c r="K63" s="14">
        <v>0</v>
      </c>
    </row>
    <row r="64" spans="1:11">
      <c r="A64" s="2" t="s">
        <v>409</v>
      </c>
      <c r="B64" s="3" t="s">
        <v>410</v>
      </c>
      <c r="D64" s="14">
        <v>3.7526066448552237E-10</v>
      </c>
      <c r="E64" s="14">
        <v>1.8616162157047397E-8</v>
      </c>
      <c r="F64" s="14">
        <v>1.4039502792291792E-5</v>
      </c>
      <c r="G64" s="14">
        <v>1.2498194613836793E-4</v>
      </c>
      <c r="H64" s="14">
        <v>0</v>
      </c>
      <c r="I64" s="14">
        <v>8.0944337921861022E-6</v>
      </c>
      <c r="J64" s="14">
        <v>2.865125854332631E-6</v>
      </c>
      <c r="K64" s="14">
        <v>0</v>
      </c>
    </row>
    <row r="65" spans="1:11">
      <c r="A65" s="2" t="s">
        <v>301</v>
      </c>
      <c r="B65" s="3" t="s">
        <v>302</v>
      </c>
      <c r="D65" s="14">
        <v>4.5896786548676672E-11</v>
      </c>
      <c r="E65" s="14">
        <v>5.1743927482648704E-9</v>
      </c>
      <c r="F65" s="14">
        <v>6.4476427167906793E-6</v>
      </c>
      <c r="G65" s="14">
        <v>1.3313631103615176E-4</v>
      </c>
      <c r="H65" s="14">
        <v>0</v>
      </c>
      <c r="I65" s="14">
        <v>8.7149544641369682E-6</v>
      </c>
      <c r="J65" s="14">
        <v>1.6958714933857494E-6</v>
      </c>
      <c r="K65" s="14">
        <v>0</v>
      </c>
    </row>
    <row r="66" spans="1:11">
      <c r="A66" s="2" t="s">
        <v>303</v>
      </c>
      <c r="B66" s="3" t="s">
        <v>304</v>
      </c>
      <c r="D66" s="14">
        <v>4.4535423458244666E-17</v>
      </c>
      <c r="E66" s="14">
        <v>1.0783573333340987E-8</v>
      </c>
      <c r="F66" s="14">
        <v>1.0097742005773907E-5</v>
      </c>
      <c r="G66" s="14">
        <v>1.2918730123676902E-4</v>
      </c>
      <c r="H66" s="14">
        <v>0</v>
      </c>
      <c r="I66" s="14">
        <v>8.4052934777068598E-6</v>
      </c>
      <c r="J66" s="14">
        <v>2.2988797063723315E-6</v>
      </c>
      <c r="K66" s="14">
        <v>0</v>
      </c>
    </row>
    <row r="67" spans="1:11">
      <c r="A67" s="2" t="s">
        <v>411</v>
      </c>
      <c r="B67" s="3" t="s">
        <v>412</v>
      </c>
      <c r="D67" s="14">
        <v>5.9539395324844612E-7</v>
      </c>
      <c r="E67" s="14">
        <v>1.3343861623992787E-4</v>
      </c>
      <c r="F67" s="14">
        <v>4.1631600176591919E-6</v>
      </c>
      <c r="G67" s="14">
        <v>1.2511767323266124E-6</v>
      </c>
      <c r="H67" s="14">
        <v>0</v>
      </c>
      <c r="I67" s="14">
        <v>1.185119762605946E-7</v>
      </c>
      <c r="J67" s="14">
        <v>1.0433141080577293E-5</v>
      </c>
      <c r="K67" s="14">
        <v>0</v>
      </c>
    </row>
    <row r="68" spans="1:11">
      <c r="A68" s="2" t="s">
        <v>413</v>
      </c>
      <c r="B68" s="3" t="s">
        <v>414</v>
      </c>
      <c r="D68" s="14">
        <v>1.3138646309458146E-6</v>
      </c>
      <c r="E68" s="14">
        <v>1.2516062744079612E-4</v>
      </c>
      <c r="F68" s="14">
        <v>7.4811662502475003E-6</v>
      </c>
      <c r="G68" s="14">
        <v>2.1432106630265497E-6</v>
      </c>
      <c r="H68" s="14">
        <v>0</v>
      </c>
      <c r="I68" s="14">
        <v>1.6826186363420857E-7</v>
      </c>
      <c r="J68" s="14">
        <v>1.3732869151349755E-5</v>
      </c>
      <c r="K68" s="14">
        <v>0</v>
      </c>
    </row>
    <row r="69" spans="1:11">
      <c r="A69" s="2" t="s">
        <v>415</v>
      </c>
      <c r="B69" s="3" t="s">
        <v>416</v>
      </c>
      <c r="D69" s="14">
        <v>1.5110127225479972E-7</v>
      </c>
      <c r="E69" s="14">
        <v>2.1995064053231754E-7</v>
      </c>
      <c r="F69" s="14">
        <v>5.620653402783266E-5</v>
      </c>
      <c r="G69" s="14">
        <v>8.161732575907831E-5</v>
      </c>
      <c r="H69" s="14">
        <v>0</v>
      </c>
      <c r="I69" s="14">
        <v>5.1664534501416137E-6</v>
      </c>
      <c r="J69" s="14">
        <v>6.6386348501602886E-6</v>
      </c>
      <c r="K69" s="14">
        <v>0</v>
      </c>
    </row>
    <row r="70" spans="1:11">
      <c r="A70" s="2" t="s">
        <v>417</v>
      </c>
      <c r="B70" s="3" t="s">
        <v>418</v>
      </c>
      <c r="D70" s="14">
        <v>4.0770546821447998E-7</v>
      </c>
      <c r="E70" s="14">
        <v>4.2133122527172039E-6</v>
      </c>
      <c r="F70" s="14">
        <v>1.1245149164619775E-4</v>
      </c>
      <c r="G70" s="14">
        <v>2.0552316343089486E-5</v>
      </c>
      <c r="H70" s="14">
        <v>0</v>
      </c>
      <c r="I70" s="14">
        <v>1.2589526652677169E-6</v>
      </c>
      <c r="J70" s="14">
        <v>1.1116221624513334E-5</v>
      </c>
      <c r="K70" s="14">
        <v>0</v>
      </c>
    </row>
    <row r="71" spans="1:11">
      <c r="A71" s="2" t="s">
        <v>419</v>
      </c>
      <c r="B71" s="3" t="s">
        <v>420</v>
      </c>
      <c r="D71" s="14">
        <v>3.2169607795183926E-6</v>
      </c>
      <c r="E71" s="14">
        <v>1.2491163014339483E-4</v>
      </c>
      <c r="F71" s="14">
        <v>6.7556081417086743E-6</v>
      </c>
      <c r="G71" s="14">
        <v>1.9496650467332576E-6</v>
      </c>
      <c r="H71" s="14">
        <v>0</v>
      </c>
      <c r="I71" s="14">
        <v>1.5676106961733357E-7</v>
      </c>
      <c r="J71" s="14">
        <v>1.3009374819027473E-5</v>
      </c>
      <c r="K71" s="14">
        <v>0</v>
      </c>
    </row>
    <row r="72" spans="1:11">
      <c r="A72" s="2" t="s">
        <v>421</v>
      </c>
      <c r="B72" s="3" t="s">
        <v>422</v>
      </c>
      <c r="D72" s="14">
        <v>1.7225581667633807E-6</v>
      </c>
      <c r="E72" s="14">
        <v>4.9076208842961212E-6</v>
      </c>
      <c r="F72" s="14">
        <v>1.099493282316802E-4</v>
      </c>
      <c r="G72" s="14">
        <v>2.0355798145603836E-5</v>
      </c>
      <c r="H72" s="14">
        <v>0</v>
      </c>
      <c r="I72" s="14">
        <v>1.2455905119931925E-6</v>
      </c>
      <c r="J72" s="14">
        <v>1.1819104059663252E-5</v>
      </c>
      <c r="K72" s="14">
        <v>0</v>
      </c>
    </row>
    <row r="73" spans="1:11">
      <c r="A73" s="2" t="s">
        <v>423</v>
      </c>
      <c r="B73" s="3" t="s">
        <v>424</v>
      </c>
      <c r="D73" s="14">
        <v>1.8745058132886225E-6</v>
      </c>
      <c r="E73" s="14">
        <v>4.8366415407043939E-5</v>
      </c>
      <c r="F73" s="14">
        <v>5.9580682795148453E-5</v>
      </c>
      <c r="G73" s="14">
        <v>1.3658437864695415E-5</v>
      </c>
      <c r="H73" s="14">
        <v>0</v>
      </c>
      <c r="I73" s="14">
        <v>8.3390052474099413E-7</v>
      </c>
      <c r="J73" s="14">
        <v>2.5686057595082557E-5</v>
      </c>
      <c r="K73" s="14">
        <v>0</v>
      </c>
    </row>
    <row r="74" spans="1:11">
      <c r="A74" s="2" t="s">
        <v>425</v>
      </c>
      <c r="B74" s="3" t="s">
        <v>426</v>
      </c>
      <c r="D74" s="14">
        <v>6.3046414020796044E-7</v>
      </c>
      <c r="E74" s="14">
        <v>4.4061319585357646E-6</v>
      </c>
      <c r="F74" s="14">
        <v>1.1186109697356333E-4</v>
      </c>
      <c r="G74" s="14">
        <v>2.0519871146745447E-5</v>
      </c>
      <c r="H74" s="14">
        <v>0</v>
      </c>
      <c r="I74" s="14">
        <v>1.2565794037849178E-6</v>
      </c>
      <c r="J74" s="14">
        <v>1.1325856377162569E-5</v>
      </c>
      <c r="K74" s="14">
        <v>0</v>
      </c>
    </row>
    <row r="75" spans="1:11">
      <c r="A75" s="2" t="s">
        <v>427</v>
      </c>
      <c r="B75" s="3" t="s">
        <v>428</v>
      </c>
      <c r="D75" s="14">
        <v>6.3931094703980952E-14</v>
      </c>
      <c r="E75" s="14">
        <v>6.4489538385725043E-7</v>
      </c>
      <c r="F75" s="14">
        <v>1.485356984111065E-4</v>
      </c>
      <c r="G75" s="14">
        <v>5.7316683328162426E-8</v>
      </c>
      <c r="H75" s="14">
        <v>0</v>
      </c>
      <c r="I75" s="14">
        <v>7.5682471118158604E-7</v>
      </c>
      <c r="J75" s="14">
        <v>5.2647465953862088E-9</v>
      </c>
      <c r="K75" s="14">
        <v>0</v>
      </c>
    </row>
    <row r="76" spans="1:11">
      <c r="A76" s="2" t="s">
        <v>429</v>
      </c>
      <c r="B76" s="3" t="s">
        <v>430</v>
      </c>
      <c r="D76" s="14">
        <v>1.6058764940520813E-15</v>
      </c>
      <c r="E76" s="14">
        <v>6.4489538412520528E-7</v>
      </c>
      <c r="F76" s="14">
        <v>1.4853569847282327E-4</v>
      </c>
      <c r="G76" s="14">
        <v>5.7316683351977584E-8</v>
      </c>
      <c r="H76" s="14">
        <v>0</v>
      </c>
      <c r="I76" s="14">
        <v>7.5682471149604786E-7</v>
      </c>
      <c r="J76" s="14">
        <v>5.2647465975737186E-9</v>
      </c>
      <c r="K76" s="14">
        <v>0</v>
      </c>
    </row>
    <row r="77" spans="1:11">
      <c r="A77" s="2" t="s">
        <v>431</v>
      </c>
      <c r="B77" s="3" t="s">
        <v>432</v>
      </c>
      <c r="D77" s="14">
        <v>3.2709021589085079E-6</v>
      </c>
      <c r="E77" s="14">
        <v>1.790460166551969E-5</v>
      </c>
      <c r="F77" s="14">
        <v>8.9471813014592252E-5</v>
      </c>
      <c r="G77" s="14">
        <v>1.850042874095562E-5</v>
      </c>
      <c r="H77" s="14">
        <v>0</v>
      </c>
      <c r="I77" s="14">
        <v>1.1244745222173049E-6</v>
      </c>
      <c r="J77" s="14">
        <v>1.972777989780661E-5</v>
      </c>
      <c r="K77" s="14">
        <v>0</v>
      </c>
    </row>
    <row r="78" spans="1:11">
      <c r="A78" s="2" t="s">
        <v>433</v>
      </c>
      <c r="B78" s="3" t="s">
        <v>434</v>
      </c>
      <c r="D78" s="14">
        <v>4.6789575658626536E-6</v>
      </c>
      <c r="E78" s="14">
        <v>9.4559728484299929E-5</v>
      </c>
      <c r="F78" s="14">
        <v>2.292808540942949E-5</v>
      </c>
      <c r="G78" s="14">
        <v>5.9246588239351409E-6</v>
      </c>
      <c r="H78" s="14">
        <v>0</v>
      </c>
      <c r="I78" s="14">
        <v>3.8274661453097781E-7</v>
      </c>
      <c r="J78" s="14">
        <v>2.1525823101941783E-5</v>
      </c>
      <c r="K78" s="14">
        <v>0</v>
      </c>
    </row>
    <row r="79" spans="1:11">
      <c r="A79" s="2" t="s">
        <v>435</v>
      </c>
      <c r="B79" s="3" t="s">
        <v>436</v>
      </c>
      <c r="D79" s="14">
        <v>1.1221245777280715E-6</v>
      </c>
      <c r="E79" s="14">
        <v>6.8117419119569452E-5</v>
      </c>
      <c r="F79" s="14">
        <v>4.379855263608509E-5</v>
      </c>
      <c r="G79" s="14">
        <v>1.0533078344259191E-5</v>
      </c>
      <c r="H79" s="14">
        <v>0</v>
      </c>
      <c r="I79" s="14">
        <v>6.506759927452213E-7</v>
      </c>
      <c r="J79" s="14">
        <v>2.5778149329612911E-5</v>
      </c>
      <c r="K79" s="14">
        <v>0</v>
      </c>
    </row>
    <row r="80" spans="1:11">
      <c r="A80" s="2" t="s">
        <v>437</v>
      </c>
      <c r="B80" s="3" t="s">
        <v>438</v>
      </c>
      <c r="D80" s="14">
        <v>2.2782460610765617E-14</v>
      </c>
      <c r="E80" s="14">
        <v>4.3518884560446999E-7</v>
      </c>
      <c r="F80" s="14">
        <v>1.4798555639360624E-4</v>
      </c>
      <c r="G80" s="14">
        <v>1.0969063200440596E-7</v>
      </c>
      <c r="H80" s="14">
        <v>0</v>
      </c>
      <c r="I80" s="14">
        <v>1.4631775612538476E-6</v>
      </c>
      <c r="J80" s="14">
        <v>6.386544748572565E-9</v>
      </c>
      <c r="K80" s="14">
        <v>0</v>
      </c>
    </row>
    <row r="81" spans="1:11">
      <c r="A81" s="2" t="s">
        <v>440</v>
      </c>
      <c r="B81" s="3" t="s">
        <v>441</v>
      </c>
      <c r="D81" s="14">
        <v>2.193088282721042E-17</v>
      </c>
      <c r="E81" s="14">
        <v>1.4788809835744628E-4</v>
      </c>
      <c r="F81" s="14">
        <v>1.3921139930170115E-7</v>
      </c>
      <c r="G81" s="14">
        <v>5.4146495626272156E-8</v>
      </c>
      <c r="H81" s="14">
        <v>0</v>
      </c>
      <c r="I81" s="14">
        <v>5.3595541491078185E-8</v>
      </c>
      <c r="J81" s="14">
        <v>1.8649482061127033E-6</v>
      </c>
      <c r="K81" s="14">
        <v>0</v>
      </c>
    </row>
    <row r="82" spans="1:11">
      <c r="A82" s="2" t="s">
        <v>442</v>
      </c>
      <c r="B82" s="3" t="s">
        <v>443</v>
      </c>
      <c r="D82" s="14">
        <v>1.0955342885007811E-8</v>
      </c>
      <c r="E82" s="14">
        <v>1.2244557213597716E-4</v>
      </c>
      <c r="F82" s="14">
        <v>9.3981994870563654E-6</v>
      </c>
      <c r="G82" s="14">
        <v>2.643262012282416E-6</v>
      </c>
      <c r="H82" s="14">
        <v>0</v>
      </c>
      <c r="I82" s="14">
        <v>1.9689467914862677E-7</v>
      </c>
      <c r="J82" s="14">
        <v>1.5305116342650405E-5</v>
      </c>
      <c r="K82" s="14">
        <v>0</v>
      </c>
    </row>
    <row r="83" spans="1:11">
      <c r="A83" s="2" t="s">
        <v>444</v>
      </c>
      <c r="B83" s="3" t="s">
        <v>445</v>
      </c>
      <c r="D83" s="14">
        <v>7.037381585531322E-8</v>
      </c>
      <c r="E83" s="14">
        <v>2.2717901398112256E-5</v>
      </c>
      <c r="F83" s="14">
        <v>8.6224321300909238E-5</v>
      </c>
      <c r="G83" s="14">
        <v>1.8193880587049148E-5</v>
      </c>
      <c r="H83" s="14">
        <v>0</v>
      </c>
      <c r="I83" s="14">
        <v>1.1054102311698462E-6</v>
      </c>
      <c r="J83" s="14">
        <v>2.168811266690417E-5</v>
      </c>
      <c r="K83" s="14">
        <v>0</v>
      </c>
    </row>
    <row r="84" spans="1:11">
      <c r="A84" s="2" t="s">
        <v>446</v>
      </c>
      <c r="B84" s="3" t="s">
        <v>447</v>
      </c>
      <c r="D84" s="14">
        <v>6.858022015426042E-19</v>
      </c>
      <c r="E84" s="14">
        <v>1.4500600409365108E-4</v>
      </c>
      <c r="F84" s="14">
        <v>6.3535661986986002E-7</v>
      </c>
      <c r="G84" s="14">
        <v>2.2065466553507052E-7</v>
      </c>
      <c r="H84" s="14">
        <v>0</v>
      </c>
      <c r="I84" s="14">
        <v>6.2215868886466226E-8</v>
      </c>
      <c r="J84" s="14">
        <v>4.0757687520568022E-6</v>
      </c>
      <c r="K84" s="14">
        <v>0</v>
      </c>
    </row>
    <row r="85" spans="1:11">
      <c r="A85" s="2" t="s">
        <v>448</v>
      </c>
      <c r="B85" s="3" t="s">
        <v>449</v>
      </c>
      <c r="D85" s="14">
        <v>4.6839470350773418E-12</v>
      </c>
      <c r="E85" s="14">
        <v>1.4914169876679572E-4</v>
      </c>
      <c r="F85" s="14">
        <v>2.5318073705963215E-8</v>
      </c>
      <c r="G85" s="14">
        <v>1.1171878791816993E-8</v>
      </c>
      <c r="H85" s="14">
        <v>0</v>
      </c>
      <c r="I85" s="14">
        <v>5.1572684684265025E-8</v>
      </c>
      <c r="J85" s="14">
        <v>7.7023391207519359E-7</v>
      </c>
      <c r="K85" s="14">
        <v>0</v>
      </c>
    </row>
    <row r="86" spans="1:11">
      <c r="A86" s="2" t="s">
        <v>450</v>
      </c>
      <c r="B86" s="3" t="s">
        <v>451</v>
      </c>
      <c r="D86" s="14">
        <v>1.7238640845980198E-12</v>
      </c>
      <c r="E86" s="14">
        <v>1.4514769101846197E-4</v>
      </c>
      <c r="F86" s="14">
        <v>6.0495309905900224E-7</v>
      </c>
      <c r="G86" s="14">
        <v>2.1087119600618115E-7</v>
      </c>
      <c r="H86" s="14">
        <v>0</v>
      </c>
      <c r="I86" s="14">
        <v>6.1697598717203269E-8</v>
      </c>
      <c r="J86" s="14">
        <v>3.9747853638915454E-6</v>
      </c>
      <c r="K86" s="14">
        <v>0</v>
      </c>
    </row>
    <row r="87" spans="1:11">
      <c r="A87" s="2" t="s">
        <v>452</v>
      </c>
      <c r="B87" s="3" t="s">
        <v>453</v>
      </c>
      <c r="D87" s="14">
        <v>5.7658729877939448E-12</v>
      </c>
      <c r="E87" s="14">
        <v>7.9546702521950816E-8</v>
      </c>
      <c r="F87" s="14">
        <v>3.2725308982329796E-5</v>
      </c>
      <c r="G87" s="14">
        <v>1.0553081960217899E-4</v>
      </c>
      <c r="H87" s="14">
        <v>0</v>
      </c>
      <c r="I87" s="14">
        <v>6.7475960572998598E-6</v>
      </c>
      <c r="J87" s="14">
        <v>4.9167228897964145E-6</v>
      </c>
      <c r="K87" s="14">
        <v>0</v>
      </c>
    </row>
    <row r="88" spans="1:11">
      <c r="A88" s="2" t="s">
        <v>454</v>
      </c>
      <c r="B88" s="3" t="s">
        <v>455</v>
      </c>
      <c r="D88" s="14">
        <v>5.5057287549520617E-9</v>
      </c>
      <c r="E88" s="14">
        <v>1.0646624122522006E-4</v>
      </c>
      <c r="F88" s="14">
        <v>1.8190033377384092E-5</v>
      </c>
      <c r="G88" s="14">
        <v>4.8231309275377004E-6</v>
      </c>
      <c r="H88" s="14">
        <v>0</v>
      </c>
      <c r="I88" s="14">
        <v>3.2094365915965253E-7</v>
      </c>
      <c r="J88" s="14">
        <v>2.0194145081943519E-5</v>
      </c>
      <c r="K88" s="14">
        <v>0</v>
      </c>
    </row>
    <row r="89" spans="1:11">
      <c r="A89" s="2" t="s">
        <v>456</v>
      </c>
      <c r="B89" s="3" t="s">
        <v>457</v>
      </c>
      <c r="D89" s="14">
        <v>3.6382787543971937E-21</v>
      </c>
      <c r="E89" s="14">
        <v>1.1990935872459432E-4</v>
      </c>
      <c r="F89" s="14">
        <v>1.0693371493377895E-5</v>
      </c>
      <c r="G89" s="14">
        <v>2.9744742259146072E-6</v>
      </c>
      <c r="H89" s="14">
        <v>0</v>
      </c>
      <c r="I89" s="14">
        <v>2.1564633256348712E-7</v>
      </c>
      <c r="J89" s="14">
        <v>1.620714922354965E-5</v>
      </c>
      <c r="K89" s="14">
        <v>0</v>
      </c>
    </row>
    <row r="90" spans="1:11">
      <c r="A90" s="2" t="s">
        <v>458</v>
      </c>
      <c r="B90" s="3" t="s">
        <v>459</v>
      </c>
      <c r="D90" s="14">
        <v>5.2555062946093413E-33</v>
      </c>
      <c r="E90" s="14">
        <v>1.3884545581654986E-4</v>
      </c>
      <c r="F90" s="14">
        <v>2.377022238846619E-6</v>
      </c>
      <c r="G90" s="14">
        <v>7.4667016822729163E-7</v>
      </c>
      <c r="H90" s="14">
        <v>0</v>
      </c>
      <c r="I90" s="14">
        <v>9.0765508475591896E-8</v>
      </c>
      <c r="J90" s="14">
        <v>7.9400862679006161E-6</v>
      </c>
      <c r="K90" s="14">
        <v>0</v>
      </c>
    </row>
    <row r="91" spans="1:11">
      <c r="A91" s="2" t="s">
        <v>460</v>
      </c>
      <c r="B91" s="3" t="s">
        <v>461</v>
      </c>
      <c r="D91" s="14">
        <v>6.1867784111162209E-12</v>
      </c>
      <c r="E91" s="14">
        <v>5.3441873090141626E-7</v>
      </c>
      <c r="F91" s="14">
        <v>8.4097531012213264E-5</v>
      </c>
      <c r="G91" s="14">
        <v>5.419744347129019E-5</v>
      </c>
      <c r="H91" s="14">
        <v>0</v>
      </c>
      <c r="I91" s="14">
        <v>3.3960512998631783E-6</v>
      </c>
      <c r="J91" s="14">
        <v>7.7745492989535166E-6</v>
      </c>
      <c r="K91" s="14">
        <v>0</v>
      </c>
    </row>
    <row r="92" spans="1:11">
      <c r="A92" s="2" t="s">
        <v>462</v>
      </c>
      <c r="B92" s="3" t="s">
        <v>463</v>
      </c>
      <c r="D92" s="14">
        <v>6.2851778693671259E-13</v>
      </c>
      <c r="E92" s="14">
        <v>3.2241458720753072E-5</v>
      </c>
      <c r="F92" s="14">
        <v>7.6091519533118241E-5</v>
      </c>
      <c r="G92" s="14">
        <v>1.662768591248511E-5</v>
      </c>
      <c r="H92" s="14">
        <v>0</v>
      </c>
      <c r="I92" s="14">
        <v>1.0107481953514746E-6</v>
      </c>
      <c r="J92" s="14">
        <v>2.4028587009774283E-5</v>
      </c>
      <c r="K92" s="14">
        <v>0</v>
      </c>
    </row>
    <row r="93" spans="1:11">
      <c r="A93" s="2" t="s">
        <v>464</v>
      </c>
      <c r="B93" s="3" t="s">
        <v>465</v>
      </c>
      <c r="D93" s="14">
        <v>2.564991907851364E-8</v>
      </c>
      <c r="E93" s="14">
        <v>6.523837116872181E-6</v>
      </c>
      <c r="F93" s="14">
        <v>1.0826913913143875E-4</v>
      </c>
      <c r="G93" s="14">
        <v>2.0492749861605677E-5</v>
      </c>
      <c r="H93" s="14">
        <v>0</v>
      </c>
      <c r="I93" s="14">
        <v>1.25179900985577E-6</v>
      </c>
      <c r="J93" s="14">
        <v>1.3436824961149055E-5</v>
      </c>
      <c r="K93" s="14">
        <v>0</v>
      </c>
    </row>
    <row r="94" spans="1:11">
      <c r="A94" s="2" t="s">
        <v>466</v>
      </c>
      <c r="B94" s="3" t="s">
        <v>467</v>
      </c>
      <c r="D94" s="14">
        <v>2.1394014785322277E-22</v>
      </c>
      <c r="E94" s="14">
        <v>1.341718693294295E-4</v>
      </c>
      <c r="F94" s="14">
        <v>1.5753717194284077E-5</v>
      </c>
      <c r="G94" s="14">
        <v>2.0702440227710205E-9</v>
      </c>
      <c r="H94" s="14">
        <v>0</v>
      </c>
      <c r="I94" s="14">
        <v>6.2252609739316197E-8</v>
      </c>
      <c r="J94" s="14">
        <v>1.0090622524285907E-8</v>
      </c>
      <c r="K94" s="14">
        <v>0</v>
      </c>
    </row>
    <row r="95" spans="1:11">
      <c r="A95" s="2" t="s">
        <v>468</v>
      </c>
      <c r="B95" s="3" t="s">
        <v>469</v>
      </c>
      <c r="D95" s="14">
        <v>2.5050792107946221E-22</v>
      </c>
      <c r="E95" s="14">
        <v>1.2566043906518622E-6</v>
      </c>
      <c r="F95" s="14">
        <v>1.1167093364759193E-4</v>
      </c>
      <c r="G95" s="14">
        <v>2.7627125626966673E-5</v>
      </c>
      <c r="H95" s="14">
        <v>0</v>
      </c>
      <c r="I95" s="14">
        <v>1.7108384814280671E-6</v>
      </c>
      <c r="J95" s="14">
        <v>7.7344978533614425E-6</v>
      </c>
      <c r="K95" s="14">
        <v>0</v>
      </c>
    </row>
    <row r="96" spans="1:11">
      <c r="A96" s="2" t="s">
        <v>470</v>
      </c>
      <c r="B96" s="163">
        <v>354656</v>
      </c>
      <c r="D96" s="14">
        <v>4.3749950893544911E-14</v>
      </c>
      <c r="E96" s="14">
        <v>1.4780008365855758E-4</v>
      </c>
      <c r="F96" s="14">
        <v>1.499671900767184E-7</v>
      </c>
      <c r="G96" s="14">
        <v>5.8008523250972517E-8</v>
      </c>
      <c r="H96" s="14">
        <v>0</v>
      </c>
      <c r="I96" s="14">
        <v>5.3786814368313369E-8</v>
      </c>
      <c r="J96" s="14">
        <v>1.9381537699964511E-6</v>
      </c>
      <c r="K96" s="14">
        <v>0</v>
      </c>
    </row>
    <row r="97" spans="1:11">
      <c r="A97" s="2" t="s">
        <v>472</v>
      </c>
      <c r="B97" s="3" t="s">
        <v>473</v>
      </c>
      <c r="D97" s="14">
        <v>6.8555406739484821E-14</v>
      </c>
      <c r="E97" s="14">
        <v>1.449335139261544E-4</v>
      </c>
      <c r="F97" s="14">
        <v>6.5111904151916432E-7</v>
      </c>
      <c r="G97" s="14">
        <v>2.2571267695952527E-7</v>
      </c>
      <c r="H97" s="14">
        <v>0</v>
      </c>
      <c r="I97" s="14">
        <v>6.2484151522617076E-8</v>
      </c>
      <c r="J97" s="14">
        <v>4.1271701352888914E-6</v>
      </c>
      <c r="K97" s="14">
        <v>0</v>
      </c>
    </row>
    <row r="98" spans="1:11">
      <c r="A98" s="2" t="s">
        <v>474</v>
      </c>
      <c r="B98" s="3" t="s">
        <v>475</v>
      </c>
      <c r="D98" s="14">
        <v>5.8954230055011929E-24</v>
      </c>
      <c r="E98" s="14">
        <v>2.9777763874909603E-6</v>
      </c>
      <c r="F98" s="14">
        <v>1.1564680958748535E-4</v>
      </c>
      <c r="G98" s="14">
        <v>2.0560288839745039E-5</v>
      </c>
      <c r="H98" s="14">
        <v>0</v>
      </c>
      <c r="I98" s="14">
        <v>1.2624363329959395E-6</v>
      </c>
      <c r="J98" s="14">
        <v>9.5526888522826928E-6</v>
      </c>
      <c r="K98" s="14">
        <v>0</v>
      </c>
    </row>
    <row r="99" spans="1:11">
      <c r="A99" s="2" t="s">
        <v>476</v>
      </c>
      <c r="B99" s="3" t="s">
        <v>477</v>
      </c>
      <c r="D99" s="14">
        <v>2.0400852965721622E-11</v>
      </c>
      <c r="E99" s="14">
        <v>1.4939822435243341E-4</v>
      </c>
      <c r="F99" s="14">
        <v>1.2435607613808007E-8</v>
      </c>
      <c r="G99" s="14">
        <v>5.783124813073581E-9</v>
      </c>
      <c r="H99" s="14">
        <v>0</v>
      </c>
      <c r="I99" s="14">
        <v>5.1355978770136589E-8</v>
      </c>
      <c r="J99" s="14">
        <v>5.3218053551657689E-7</v>
      </c>
      <c r="K99" s="14">
        <v>0</v>
      </c>
    </row>
    <row r="100" spans="1:11">
      <c r="A100" s="2" t="s">
        <v>478</v>
      </c>
      <c r="B100" s="3" t="s">
        <v>479</v>
      </c>
      <c r="D100" s="14">
        <v>7.3273314852942582E-15</v>
      </c>
      <c r="E100" s="14">
        <v>7.5631540997843198E-5</v>
      </c>
      <c r="F100" s="14">
        <v>3.8829743668364225E-5</v>
      </c>
      <c r="G100" s="14">
        <v>9.4942372266081026E-6</v>
      </c>
      <c r="H100" s="14">
        <v>0</v>
      </c>
      <c r="I100" s="14">
        <v>5.9045114406756085E-7</v>
      </c>
      <c r="J100" s="14">
        <v>2.5454026955789537E-5</v>
      </c>
      <c r="K100" s="14">
        <v>0</v>
      </c>
    </row>
    <row r="101" spans="1:11">
      <c r="A101" s="2" t="s">
        <v>480</v>
      </c>
      <c r="B101" s="3" t="s">
        <v>481</v>
      </c>
      <c r="D101" s="14">
        <v>5.5068942492411938E-15</v>
      </c>
      <c r="E101" s="14">
        <v>1.4900603095352344E-4</v>
      </c>
      <c r="F101" s="14">
        <v>3.372293931184958E-8</v>
      </c>
      <c r="G101" s="14">
        <v>1.4568705903445341E-8</v>
      </c>
      <c r="H101" s="14">
        <v>0</v>
      </c>
      <c r="I101" s="14">
        <v>5.1718815587349281E-8</v>
      </c>
      <c r="J101" s="14">
        <v>8.9395858016701079E-7</v>
      </c>
      <c r="K101" s="14">
        <v>0</v>
      </c>
    </row>
    <row r="102" spans="1:11">
      <c r="A102" s="2" t="s">
        <v>482</v>
      </c>
      <c r="B102" s="3" t="s">
        <v>483</v>
      </c>
      <c r="D102" s="14">
        <v>3.4404973848985877E-31</v>
      </c>
      <c r="E102" s="14">
        <v>1.4971949103068305E-4</v>
      </c>
      <c r="F102" s="14">
        <v>2.3924337281285291E-9</v>
      </c>
      <c r="G102" s="14">
        <v>1.2564218248511766E-9</v>
      </c>
      <c r="H102" s="14">
        <v>0</v>
      </c>
      <c r="I102" s="14">
        <v>5.1211903893216282E-8</v>
      </c>
      <c r="J102" s="14">
        <v>2.2564820987073319E-7</v>
      </c>
      <c r="K102" s="14">
        <v>0</v>
      </c>
    </row>
    <row r="103" spans="1:11">
      <c r="A103" s="2" t="s">
        <v>484</v>
      </c>
      <c r="B103" s="3" t="s">
        <v>485</v>
      </c>
      <c r="D103" s="14">
        <v>2.7513824227361752E-17</v>
      </c>
      <c r="E103" s="14">
        <v>1.4941633119848144E-4</v>
      </c>
      <c r="F103" s="14">
        <v>1.1683410681455674E-8</v>
      </c>
      <c r="G103" s="14">
        <v>5.4583979873923963E-9</v>
      </c>
      <c r="H103" s="14">
        <v>0</v>
      </c>
      <c r="I103" s="14">
        <v>5.1343879984671339E-8</v>
      </c>
      <c r="J103" s="14">
        <v>5.1518311283749578E-7</v>
      </c>
      <c r="K103" s="14">
        <v>0</v>
      </c>
    </row>
    <row r="104" spans="1:11">
      <c r="A104" s="2" t="s">
        <v>486</v>
      </c>
      <c r="B104" s="3" t="s">
        <v>487</v>
      </c>
      <c r="D104" s="14">
        <v>3.4609693315911332E-13</v>
      </c>
      <c r="E104" s="14">
        <v>1.4652605631563836E-4</v>
      </c>
      <c r="F104" s="14">
        <v>3.3932545120231882E-7</v>
      </c>
      <c r="G104" s="14">
        <v>1.2351280667161384E-7</v>
      </c>
      <c r="H104" s="14">
        <v>0</v>
      </c>
      <c r="I104" s="14">
        <v>5.7119225653341095E-8</v>
      </c>
      <c r="J104" s="14">
        <v>2.9539858547374444E-6</v>
      </c>
      <c r="K104" s="14">
        <v>0</v>
      </c>
    </row>
    <row r="105" spans="1:11">
      <c r="A105" s="2" t="s">
        <v>488</v>
      </c>
      <c r="B105" s="3" t="s">
        <v>489</v>
      </c>
      <c r="D105" s="14">
        <v>2.737323391104219E-20</v>
      </c>
      <c r="E105" s="14">
        <v>1.4967291554998717E-4</v>
      </c>
      <c r="F105" s="14">
        <v>3.3942575515732693E-9</v>
      </c>
      <c r="G105" s="14">
        <v>1.7371621102447988E-9</v>
      </c>
      <c r="H105" s="14">
        <v>0</v>
      </c>
      <c r="I105" s="14">
        <v>5.1222789894017822E-8</v>
      </c>
      <c r="J105" s="14">
        <v>2.7073024045694088E-7</v>
      </c>
      <c r="K105" s="14">
        <v>0</v>
      </c>
    </row>
    <row r="106" spans="1:11">
      <c r="A106" s="2" t="s">
        <v>490</v>
      </c>
      <c r="B106" s="3" t="s">
        <v>491</v>
      </c>
      <c r="D106" s="14">
        <v>1.6193302993528141E-12</v>
      </c>
      <c r="E106" s="14">
        <v>1.3491261244682838E-4</v>
      </c>
      <c r="F106" s="14">
        <v>3.8085014595934456E-6</v>
      </c>
      <c r="G106" s="14">
        <v>1.1530540929949386E-6</v>
      </c>
      <c r="H106" s="14">
        <v>0</v>
      </c>
      <c r="I106" s="14">
        <v>1.1324799801009411E-7</v>
      </c>
      <c r="J106" s="14">
        <v>1.0012582383242841E-5</v>
      </c>
      <c r="K106" s="14">
        <v>0</v>
      </c>
    </row>
    <row r="107" spans="1:11">
      <c r="A107" s="2" t="s">
        <v>492</v>
      </c>
      <c r="B107" s="3" t="s">
        <v>493</v>
      </c>
      <c r="D107" s="14">
        <v>2.7419150862381927E-20</v>
      </c>
      <c r="E107" s="14">
        <v>2.1910440607378055E-6</v>
      </c>
      <c r="F107" s="14">
        <v>1.1778030792573104E-4</v>
      </c>
      <c r="G107" s="14">
        <v>2.044411149500107E-5</v>
      </c>
      <c r="H107" s="14">
        <v>0</v>
      </c>
      <c r="I107" s="14">
        <v>1.2579948160134036E-6</v>
      </c>
      <c r="J107" s="14">
        <v>8.3265417025166169E-6</v>
      </c>
      <c r="K107" s="14">
        <v>0</v>
      </c>
    </row>
    <row r="108" spans="1:11">
      <c r="A108" s="2" t="s">
        <v>291</v>
      </c>
      <c r="B108" s="3" t="s">
        <v>494</v>
      </c>
      <c r="D108" s="14">
        <v>4.1809590224791467E-14</v>
      </c>
      <c r="E108" s="14">
        <v>8.6272626711444151E-5</v>
      </c>
      <c r="F108" s="14">
        <v>3.1210059410316586E-5</v>
      </c>
      <c r="G108" s="14">
        <v>7.8305118432047674E-6</v>
      </c>
      <c r="H108" s="14">
        <v>0</v>
      </c>
      <c r="I108" s="14">
        <v>4.9397768881000121E-7</v>
      </c>
      <c r="J108" s="14">
        <v>2.4192824304414885E-5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1.4921224513205086E-7</v>
      </c>
      <c r="B2">
        <f>'Mass Balance'!E2</f>
        <v>1.2925996528239509E-4</v>
      </c>
      <c r="C2">
        <f>SUM('Mass Balance'!E2:H2)</f>
        <v>1.3722600789532551E-4</v>
      </c>
      <c r="D2">
        <f>Concentrations!F2/Concentrations!E2</f>
        <v>0.94563593622416287</v>
      </c>
    </row>
    <row r="3" spans="1:4">
      <c r="A3">
        <f>'Mass Balance'!I3</f>
        <v>6.4196832437976204E-6</v>
      </c>
      <c r="B3">
        <f>'Mass Balance'!E3</f>
        <v>1.0015192372757063E-7</v>
      </c>
      <c r="C3">
        <f>SUM('Mass Balance'!E3:H3)</f>
        <v>1.3785944964808366E-4</v>
      </c>
      <c r="D3">
        <f>Concentrations!F3/Concentrations!E3</f>
        <v>7.2932166972692735E-4</v>
      </c>
    </row>
    <row r="4" spans="1:4">
      <c r="A4">
        <f>'Mass Balance'!I4</f>
        <v>6.8491857391350283E-7</v>
      </c>
      <c r="B4">
        <f>'Mass Balance'!E4</f>
        <v>6.5518996744444148E-5</v>
      </c>
      <c r="C4">
        <f>SUM('Mass Balance'!E4:H4)</f>
        <v>1.2319342041793382E-4</v>
      </c>
      <c r="D4">
        <f>Concentrations!F4/Concentrations!E4</f>
        <v>0.53391987495413606</v>
      </c>
    </row>
    <row r="5" spans="1:4">
      <c r="A5">
        <f>'Mass Balance'!I5</f>
        <v>1.9413207045648576E-6</v>
      </c>
      <c r="B5">
        <f>'Mass Balance'!E5</f>
        <v>1.1030234033179287E-6</v>
      </c>
      <c r="C5">
        <f>SUM('Mass Balance'!E5:H5)</f>
        <v>1.4020808160928108E-4</v>
      </c>
      <c r="D5">
        <f>Concentrations!F5/Concentrations!E5</f>
        <v>7.8978347458445244E-3</v>
      </c>
    </row>
    <row r="6" spans="1:4">
      <c r="A6">
        <f>'Mass Balance'!I6</f>
        <v>7.399719008655396E-6</v>
      </c>
      <c r="B6">
        <f>'Mass Balance'!E6</f>
        <v>4.4324464935092421E-8</v>
      </c>
      <c r="C6">
        <f>SUM('Mass Balance'!E6:H6)</f>
        <v>1.3860095778514919E-4</v>
      </c>
      <c r="D6">
        <f>Concentrations!F6/Concentrations!E6</f>
        <v>3.2105070844138669E-4</v>
      </c>
    </row>
    <row r="7" spans="1:4">
      <c r="A7">
        <f>'Mass Balance'!I7</f>
        <v>6.5955076902428091E-6</v>
      </c>
      <c r="B7">
        <f>'Mass Balance'!E7</f>
        <v>8.9445339997627693E-8</v>
      </c>
      <c r="C7">
        <f>SUM('Mass Balance'!E7:H7)</f>
        <v>1.3828973249265501E-4</v>
      </c>
      <c r="D7">
        <f>Concentrations!F7/Concentrations!E7</f>
        <v>6.4932802139476542E-4</v>
      </c>
    </row>
    <row r="8" spans="1:4">
      <c r="A8">
        <f>'Mass Balance'!I8</f>
        <v>5.3278626566576045E-6</v>
      </c>
      <c r="B8">
        <f>'Mass Balance'!E8</f>
        <v>2.0183206161412346E-7</v>
      </c>
      <c r="C8">
        <f>SUM('Mass Balance'!E8:H8)</f>
        <v>1.3815058716515045E-4</v>
      </c>
      <c r="D8">
        <f>Concentrations!F8/Concentrations!E8</f>
        <v>1.4666746427414959E-3</v>
      </c>
    </row>
    <row r="9" spans="1:4">
      <c r="A9">
        <f>'Mass Balance'!I9</f>
        <v>1.2246760166720649E-6</v>
      </c>
      <c r="B9">
        <f>'Mass Balance'!E9</f>
        <v>1.0169467646114226E-5</v>
      </c>
      <c r="C9">
        <f>SUM('Mass Balance'!E9:H9)</f>
        <v>1.3262225025863894E-4</v>
      </c>
      <c r="D9">
        <f>Concentrations!F9/Concentrations!E9</f>
        <v>7.6980049987451241E-2</v>
      </c>
    </row>
    <row r="10" spans="1:4">
      <c r="A10">
        <f>'Mass Balance'!I10</f>
        <v>2.076345439017853E-6</v>
      </c>
      <c r="B10">
        <f>'Mass Balance'!E10</f>
        <v>1.0255694373049335E-6</v>
      </c>
      <c r="C10">
        <f>SUM('Mass Balance'!E10:H10)</f>
        <v>1.4004541534575569E-4</v>
      </c>
      <c r="D10">
        <f>Concentrations!F10/Concentrations!E10</f>
        <v>7.3517805761136139E-3</v>
      </c>
    </row>
    <row r="11" spans="1:4">
      <c r="A11">
        <f>'Mass Balance'!I11</f>
        <v>2.3148803094658966E-6</v>
      </c>
      <c r="B11">
        <f>'Mass Balance'!E11</f>
        <v>9.0535858708975898E-7</v>
      </c>
      <c r="C11">
        <f>SUM('Mass Balance'!E11:H11)</f>
        <v>1.3975244659001669E-4</v>
      </c>
      <c r="D11">
        <f>Concentrations!F11/Concentrations!E11</f>
        <v>6.5036560878853978E-3</v>
      </c>
    </row>
    <row r="12" spans="1:4">
      <c r="A12">
        <f>'Mass Balance'!I12</f>
        <v>1.2528405052018365E-6</v>
      </c>
      <c r="B12">
        <f>'Mass Balance'!E12</f>
        <v>6.3788688906158671E-6</v>
      </c>
      <c r="C12">
        <f>SUM('Mass Balance'!E12:H12)</f>
        <v>1.3542966340090323E-4</v>
      </c>
      <c r="D12">
        <f>Concentrations!F12/Concentrations!E12</f>
        <v>4.7285309840487073E-2</v>
      </c>
    </row>
    <row r="13" spans="1:4">
      <c r="A13">
        <f>'Mass Balance'!I13</f>
        <v>1.2282238360260516E-6</v>
      </c>
      <c r="B13">
        <f>'Mass Balance'!E13</f>
        <v>9.734955362378243E-6</v>
      </c>
      <c r="C13">
        <f>SUM('Mass Balance'!E13:H13)</f>
        <v>1.3289282746013802E-4</v>
      </c>
      <c r="D13">
        <f>Concentrations!F13/Concentrations!E13</f>
        <v>7.354087369021306E-2</v>
      </c>
    </row>
    <row r="14" spans="1:4">
      <c r="A14">
        <f>'Mass Balance'!I14</f>
        <v>3.1571855114738422E-6</v>
      </c>
      <c r="B14">
        <f>'Mass Balance'!E14</f>
        <v>5.9884560835245459E-7</v>
      </c>
      <c r="C14">
        <f>SUM('Mass Balance'!E14:H14)</f>
        <v>1.3898694653695205E-4</v>
      </c>
      <c r="D14">
        <f>Concentrations!F14/Concentrations!E14</f>
        <v>4.3255089750456228E-3</v>
      </c>
    </row>
    <row r="15" spans="1:4">
      <c r="A15">
        <f>'Mass Balance'!I15</f>
        <v>2.1935305697668732E-6</v>
      </c>
      <c r="B15">
        <f>'Mass Balance'!E15</f>
        <v>9.6410194042900552E-7</v>
      </c>
      <c r="C15">
        <f>SUM('Mass Balance'!E15:H15)</f>
        <v>1.3990192030222858E-4</v>
      </c>
      <c r="D15">
        <f>Concentrations!F15/Concentrations!E15</f>
        <v>6.9182403118300565E-3</v>
      </c>
    </row>
    <row r="16" spans="1:4">
      <c r="A16">
        <f>'Mass Balance'!I16</f>
        <v>5.2642205723808015E-6</v>
      </c>
      <c r="B16">
        <f>'Mass Balance'!E16</f>
        <v>2.0895341072674448E-7</v>
      </c>
      <c r="C16">
        <f>SUM('Mass Balance'!E16:H16)</f>
        <v>1.3812665091779704E-4</v>
      </c>
      <c r="D16">
        <f>Concentrations!F16/Concentrations!E16</f>
        <v>1.5186872432767795E-3</v>
      </c>
    </row>
    <row r="17" spans="1:4">
      <c r="A17">
        <f>'Mass Balance'!I17</f>
        <v>1.9857027121577095E-6</v>
      </c>
      <c r="B17">
        <f>'Mass Balance'!E17</f>
        <v>1.0767821928467445E-6</v>
      </c>
      <c r="C17">
        <f>SUM('Mass Balance'!E17:H17)</f>
        <v>1.4015917601093101E-4</v>
      </c>
      <c r="D17">
        <f>Concentrations!F17/Concentrations!E17</f>
        <v>7.7126334484831222E-3</v>
      </c>
    </row>
    <row r="18" spans="1:4">
      <c r="A18">
        <f>'Mass Balance'!I18</f>
        <v>1.2025115082445515E-6</v>
      </c>
      <c r="B18">
        <f>'Mass Balance'!E18</f>
        <v>1.2311856747458259E-5</v>
      </c>
      <c r="C18">
        <f>SUM('Mass Balance'!E18:H18)</f>
        <v>1.3101003499963024E-4</v>
      </c>
      <c r="D18">
        <f>Concentrations!F18/Concentrations!E18</f>
        <v>9.4344231965447362E-2</v>
      </c>
    </row>
    <row r="19" spans="1:4">
      <c r="A19">
        <f>'Mass Balance'!I19</f>
        <v>2.217487517238897E-6</v>
      </c>
      <c r="B19">
        <f>'Mass Balance'!E19</f>
        <v>9.5214499466105332E-7</v>
      </c>
      <c r="C19">
        <f>SUM('Mass Balance'!E19:H19)</f>
        <v>1.3987356438671065E-4</v>
      </c>
      <c r="D19">
        <f>Concentrations!F19/Concentrations!E19</f>
        <v>6.8338243025118017E-3</v>
      </c>
    </row>
    <row r="20" spans="1:4">
      <c r="A20">
        <f>'Mass Balance'!I20</f>
        <v>1.2283696503384707E-6</v>
      </c>
      <c r="B20">
        <f>'Mass Balance'!E20</f>
        <v>9.7361110929388791E-6</v>
      </c>
      <c r="C20">
        <f>SUM('Mass Balance'!E20:H20)</f>
        <v>1.3290860445101961E-4</v>
      </c>
      <c r="D20">
        <f>Concentrations!F20/Concentrations!E20</f>
        <v>7.354087369021306E-2</v>
      </c>
    </row>
    <row r="21" spans="1:4">
      <c r="A21">
        <f>'Mass Balance'!I21</f>
        <v>2.8971288751111515E-6</v>
      </c>
      <c r="B21">
        <f>'Mass Balance'!E21</f>
        <v>6.7799557570725117E-7</v>
      </c>
      <c r="C21">
        <f>SUM('Mass Balance'!E21:H21)</f>
        <v>1.3914428202255853E-4</v>
      </c>
      <c r="D21">
        <f>Concentrations!F21/Concentrations!E21</f>
        <v>4.8916779614992965E-3</v>
      </c>
    </row>
    <row r="22" spans="1:4">
      <c r="A22">
        <f>'Mass Balance'!I22</f>
        <v>3.6652652282846993E-7</v>
      </c>
      <c r="B22">
        <f>'Mass Balance'!E22</f>
        <v>1.0071063838244248E-4</v>
      </c>
      <c r="C22">
        <f>SUM('Mass Balance'!E22:H22)</f>
        <v>1.2788007509731932E-4</v>
      </c>
      <c r="D22">
        <f>Concentrations!F22/Concentrations!E22</f>
        <v>0.79062187913500204</v>
      </c>
    </row>
    <row r="23" spans="1:4">
      <c r="A23">
        <f>'Mass Balance'!I23</f>
        <v>2.0292700545515339E-7</v>
      </c>
      <c r="B23">
        <f>'Mass Balance'!E23</f>
        <v>1.2161924246349939E-4</v>
      </c>
      <c r="C23">
        <f>SUM('Mass Balance'!E23:H23)</f>
        <v>1.3418265711454951E-4</v>
      </c>
      <c r="D23">
        <f>Concentrations!F23/Concentrations!E23</f>
        <v>0.90991802583642023</v>
      </c>
    </row>
    <row r="24" spans="1:4">
      <c r="A24">
        <f>'Mass Balance'!I24</f>
        <v>1.0162998365675836E-6</v>
      </c>
      <c r="B24">
        <f>'Mass Balance'!E24</f>
        <v>3.1678500416480711E-5</v>
      </c>
      <c r="C24">
        <f>SUM('Mass Balance'!E24:H24)</f>
        <v>1.250547173814424E-4</v>
      </c>
      <c r="D24">
        <f>Concentrations!F24/Concentrations!E24</f>
        <v>0.25430851284398487</v>
      </c>
    </row>
    <row r="25" spans="1:4">
      <c r="A25">
        <f>'Mass Balance'!I25</f>
        <v>1.2489743838896277E-6</v>
      </c>
      <c r="B25">
        <f>'Mass Balance'!E25</f>
        <v>3.388558313836204E-6</v>
      </c>
      <c r="C25">
        <f>SUM('Mass Balance'!E25:H25)</f>
        <v>1.3701444059540565E-4</v>
      </c>
      <c r="D25">
        <f>Concentrations!F25/Concentrations!E25</f>
        <v>2.4828185657071924E-2</v>
      </c>
    </row>
    <row r="26" spans="1:4">
      <c r="A26">
        <f>'Mass Balance'!I26</f>
        <v>2.730890453031477E-6</v>
      </c>
      <c r="B26">
        <f>'Mass Balance'!E26</f>
        <v>7.3517687292341693E-7</v>
      </c>
      <c r="C26">
        <f>SUM('Mass Balance'!E26:H26)</f>
        <v>1.392994738818864E-4</v>
      </c>
      <c r="D26">
        <f>Concentrations!F26/Concentrations!E26</f>
        <v>5.2983265655727266E-3</v>
      </c>
    </row>
    <row r="27" spans="1:4">
      <c r="A27">
        <f>'Mass Balance'!I27</f>
        <v>6.2900939412171522E-6</v>
      </c>
      <c r="B27">
        <f>'Mass Balance'!E27</f>
        <v>1.1028070379155265E-7</v>
      </c>
      <c r="C27">
        <f>SUM('Mass Balance'!E27:H27)</f>
        <v>1.3795184648515832E-4</v>
      </c>
      <c r="D27">
        <f>Concentrations!F27/Concentrations!E27</f>
        <v>8.0254311530271666E-4</v>
      </c>
    </row>
    <row r="28" spans="1:4">
      <c r="A28">
        <f>'Mass Balance'!I28</f>
        <v>3.9867550904751449E-6</v>
      </c>
      <c r="B28">
        <f>'Mass Balance'!E28</f>
        <v>4.026178804222855E-7</v>
      </c>
      <c r="C28">
        <f>SUM('Mass Balance'!E28:H28)</f>
        <v>1.3849380775568537E-4</v>
      </c>
      <c r="D28">
        <f>Concentrations!F28/Concentrations!E28</f>
        <v>2.9184957454671031E-3</v>
      </c>
    </row>
    <row r="29" spans="1:4">
      <c r="A29">
        <f>'Mass Balance'!I29</f>
        <v>3.0006513818551671E-6</v>
      </c>
      <c r="B29">
        <f>'Mass Balance'!E29</f>
        <v>6.1044319213814217E-7</v>
      </c>
      <c r="C29">
        <f>SUM('Mass Balance'!E29:H29)</f>
        <v>1.3592758857362158E-4</v>
      </c>
      <c r="D29">
        <f>Concentrations!F29/Concentrations!E29</f>
        <v>4.5085200424820789E-3</v>
      </c>
    </row>
    <row r="30" spans="1:4">
      <c r="A30">
        <f>'Mass Balance'!I30</f>
        <v>3.9867550904751449E-6</v>
      </c>
      <c r="B30">
        <f>'Mass Balance'!E30</f>
        <v>4.026178804222855E-7</v>
      </c>
      <c r="C30">
        <f>SUM('Mass Balance'!E30:H30)</f>
        <v>1.3849380775568537E-4</v>
      </c>
      <c r="D30">
        <f>Concentrations!F30/Concentrations!E30</f>
        <v>2.9184957454671031E-3</v>
      </c>
    </row>
    <row r="31" spans="1:4">
      <c r="A31">
        <f>'Mass Balance'!I31</f>
        <v>5.2741011264931573E-8</v>
      </c>
      <c r="B31">
        <f>'Mass Balance'!E31</f>
        <v>1.4832065676949709E-4</v>
      </c>
      <c r="C31">
        <f>SUM('Mass Balance'!E31:H31)</f>
        <v>1.4844855422238606E-4</v>
      </c>
      <c r="D31">
        <f>Concentrations!F31/Concentrations!E31</f>
        <v>1.0030487243621815</v>
      </c>
    </row>
    <row r="32" spans="1:4">
      <c r="A32">
        <f>'Mass Balance'!I32</f>
        <v>5.5903543585588367E-7</v>
      </c>
      <c r="B32">
        <f>'Mass Balance'!E32</f>
        <v>7.9787636527723854E-5</v>
      </c>
      <c r="C32">
        <f>SUM('Mass Balance'!E32:H32)</f>
        <v>1.2449936911631396E-4</v>
      </c>
      <c r="D32">
        <f>Concentrations!F32/Concentrations!E32</f>
        <v>0.64337593466145504</v>
      </c>
    </row>
    <row r="33" spans="1:4">
      <c r="A33">
        <f>'Mass Balance'!I33</f>
        <v>5.182264917783606E-8</v>
      </c>
      <c r="B33">
        <f>'Mass Balance'!E33</f>
        <v>1.4931422254722896E-4</v>
      </c>
      <c r="C33">
        <f>SUM('Mass Balance'!E33:H33)</f>
        <v>1.4994456351692659E-4</v>
      </c>
      <c r="D33">
        <f>Concentrations!F33/Concentrations!E33</f>
        <v>0.99969337789726764</v>
      </c>
    </row>
    <row r="34" spans="1:4">
      <c r="A34">
        <f>'Mass Balance'!I34</f>
        <v>9.0236327783984298E-8</v>
      </c>
      <c r="B34">
        <f>'Mass Balance'!E34</f>
        <v>8.2102819276839588E-5</v>
      </c>
      <c r="C34">
        <f>SUM('Mass Balance'!E34:H34)</f>
        <v>1.498974515746358E-4</v>
      </c>
      <c r="D34">
        <f>Concentrations!F34/Concentrations!E34</f>
        <v>0.54987019915558144</v>
      </c>
    </row>
    <row r="35" spans="1:4">
      <c r="A35">
        <f>'Mass Balance'!I35</f>
        <v>1.0476796696168597E-7</v>
      </c>
      <c r="B35">
        <f>'Mass Balance'!E35</f>
        <v>4.8609018955688115E-5</v>
      </c>
      <c r="C35">
        <f>SUM('Mass Balance'!E35:H35)</f>
        <v>1.4986542888146555E-4</v>
      </c>
      <c r="D35">
        <f>Concentrations!F35/Concentrations!E35</f>
        <v>0.32562051399863751</v>
      </c>
    </row>
    <row r="36" spans="1:4">
      <c r="A36">
        <f>'Mass Balance'!I36</f>
        <v>1.1285688204565368E-7</v>
      </c>
      <c r="B36">
        <f>'Mass Balance'!E36</f>
        <v>1.6213995148040797E-5</v>
      </c>
      <c r="C36">
        <f>SUM('Mass Balance'!E36:H36)</f>
        <v>1.4985383287187648E-4</v>
      </c>
      <c r="D36">
        <f>Concentrations!F36/Concentrations!E36</f>
        <v>0.1086221877125709</v>
      </c>
    </row>
    <row r="37" spans="1:4">
      <c r="A37">
        <f>'Mass Balance'!I37</f>
        <v>3.112563836820141E-7</v>
      </c>
      <c r="B37">
        <f>'Mass Balance'!E37</f>
        <v>3.2490885485123562E-5</v>
      </c>
      <c r="C37">
        <f>SUM('Mass Balance'!E37:H37)</f>
        <v>1.450297829540155E-4</v>
      </c>
      <c r="D37">
        <f>Concentrations!F37/Concentrations!E37</f>
        <v>0.22490582970047909</v>
      </c>
    </row>
    <row r="38" spans="1:4">
      <c r="A38">
        <f>'Mass Balance'!I38</f>
        <v>8.774773590476898E-8</v>
      </c>
      <c r="B38">
        <f>'Mass Balance'!E38</f>
        <v>9.2031342610434028E-5</v>
      </c>
      <c r="C38">
        <f>SUM('Mass Balance'!E38:H38)</f>
        <v>1.497930482716995E-4</v>
      </c>
      <c r="D38">
        <f>Concentrations!F38/Concentrations!E38</f>
        <v>0.61679445598249316</v>
      </c>
    </row>
    <row r="39" spans="1:4">
      <c r="A39">
        <f>'Mass Balance'!I39</f>
        <v>1.2805932595327842E-6</v>
      </c>
      <c r="B39">
        <f>'Mass Balance'!E39</f>
        <v>1.6468290320908345E-6</v>
      </c>
      <c r="C39">
        <f>SUM('Mass Balance'!E39:H39)</f>
        <v>1.4130378809932995E-4</v>
      </c>
      <c r="D39">
        <f>Concentrations!F39/Concentrations!E39</f>
        <v>1.1700140373438875E-2</v>
      </c>
    </row>
    <row r="40" spans="1:4">
      <c r="A40">
        <f>'Mass Balance'!I40</f>
        <v>7.5797162243059271E-6</v>
      </c>
      <c r="B40">
        <f>'Mass Balance'!E40</f>
        <v>1.4523613478905608E-7</v>
      </c>
      <c r="C40">
        <f>SUM('Mass Balance'!E40:H40)</f>
        <v>1.4224442135183046E-4</v>
      </c>
      <c r="D40">
        <f>Concentrations!F40/Concentrations!E40</f>
        <v>1.0250281720648681E-3</v>
      </c>
    </row>
    <row r="41" spans="1:4">
      <c r="A41">
        <f>'Mass Balance'!I41</f>
        <v>4.7909221381318348E-8</v>
      </c>
      <c r="B41">
        <f>'Mass Balance'!E41</f>
        <v>1.3990573533204605E-4</v>
      </c>
      <c r="C41">
        <f>SUM('Mass Balance'!E41:H41)</f>
        <v>1.3991216255856303E-4</v>
      </c>
      <c r="D41">
        <f>Concentrations!F41/Concentrations!E41</f>
        <v>1.0038675396339611</v>
      </c>
    </row>
    <row r="42" spans="1:4">
      <c r="A42">
        <f>'Mass Balance'!I42</f>
        <v>4.1845538665719719E-7</v>
      </c>
      <c r="B42">
        <f>'Mass Balance'!E42</f>
        <v>9.4879513722794079E-5</v>
      </c>
      <c r="C42">
        <f>SUM('Mass Balance'!E42:H42)</f>
        <v>1.2682711006654977E-4</v>
      </c>
      <c r="D42">
        <f>Concentrations!F42/Concentrations!E42</f>
        <v>0.75102901537292643</v>
      </c>
    </row>
    <row r="43" spans="1:4">
      <c r="A43">
        <f>'Mass Balance'!I43</f>
        <v>2.2905467468479217E-7</v>
      </c>
      <c r="B43">
        <f>'Mass Balance'!E43</f>
        <v>1.3209127990499526E-6</v>
      </c>
      <c r="C43">
        <f>SUM('Mass Balance'!E43:H43)</f>
        <v>1.4974427453291487E-4</v>
      </c>
      <c r="D43">
        <f>Concentrations!F43/Concentrations!E43</f>
        <v>8.8556467538360353E-3</v>
      </c>
    </row>
    <row r="44" spans="1:4">
      <c r="A44">
        <f>'Mass Balance'!I44</f>
        <v>1.0009075710113166E-7</v>
      </c>
      <c r="B44">
        <f>'Mass Balance'!E44</f>
        <v>1.2589406210224342E-4</v>
      </c>
      <c r="C44">
        <f>SUM('Mass Balance'!E44:H44)</f>
        <v>1.3009045681821652E-4</v>
      </c>
      <c r="D44">
        <f>Concentrations!F44/Concentrations!E44</f>
        <v>0.97152989827926495</v>
      </c>
    </row>
    <row r="45" spans="1:4">
      <c r="A45">
        <f>'Mass Balance'!I45</f>
        <v>4.6766643822555397E-7</v>
      </c>
      <c r="B45">
        <f>'Mass Balance'!E45</f>
        <v>8.9150725542773388E-5</v>
      </c>
      <c r="C45">
        <f>SUM('Mass Balance'!E45:H45)</f>
        <v>1.2570782696735451E-4</v>
      </c>
      <c r="D45">
        <f>Concentrations!F45/Concentrations!E45</f>
        <v>0.7119654604094906</v>
      </c>
    </row>
    <row r="46" spans="1:4">
      <c r="A46">
        <f>'Mass Balance'!I46</f>
        <v>4.3578204157732389E-7</v>
      </c>
      <c r="B46">
        <f>'Mass Balance'!E46</f>
        <v>9.2610478264122881E-5</v>
      </c>
      <c r="C46">
        <f>SUM('Mass Balance'!E46:H46)</f>
        <v>1.2618555406789065E-4</v>
      </c>
      <c r="D46">
        <f>Concentrations!F46/Concentrations!E46</f>
        <v>0.73679530590858944</v>
      </c>
    </row>
    <row r="47" spans="1:4">
      <c r="A47">
        <f>'Mass Balance'!I47</f>
        <v>6.4379995022428512E-6</v>
      </c>
      <c r="B47">
        <f>'Mass Balance'!E47</f>
        <v>1.0043767124019964E-7</v>
      </c>
      <c r="C47">
        <f>SUM('Mass Balance'!E47:H47)</f>
        <v>1.3825278203115899E-4</v>
      </c>
      <c r="D47">
        <f>Concentrations!F47/Concentrations!E47</f>
        <v>7.2932166972692724E-4</v>
      </c>
    </row>
    <row r="48" spans="1:4">
      <c r="A48">
        <f>'Mass Balance'!I48</f>
        <v>6.7676144957524236E-8</v>
      </c>
      <c r="B48">
        <f>'Mass Balance'!E48</f>
        <v>1.420885740869432E-4</v>
      </c>
      <c r="C48">
        <f>SUM('Mass Balance'!E48:H48)</f>
        <v>1.4340924811228486E-4</v>
      </c>
      <c r="D48">
        <f>Concentrations!F48/Concentrations!E48</f>
        <v>0.99466848831057531</v>
      </c>
    </row>
    <row r="49" spans="1:4">
      <c r="A49">
        <f>'Mass Balance'!I49</f>
        <v>8.0445480979834145E-8</v>
      </c>
      <c r="B49">
        <f>'Mass Balance'!E49</f>
        <v>1.3797702841285436E-4</v>
      </c>
      <c r="C49">
        <f>SUM('Mass Balance'!E49:H49)</f>
        <v>1.4034623622741986E-4</v>
      </c>
      <c r="D49">
        <f>Concentrations!F49/Concentrations!E49</f>
        <v>0.98696642602903828</v>
      </c>
    </row>
    <row r="50" spans="1:4">
      <c r="A50">
        <f>'Mass Balance'!I50</f>
        <v>1.1913321810156952E-6</v>
      </c>
      <c r="B50">
        <f>'Mass Balance'!E50</f>
        <v>1.3078924088309531E-5</v>
      </c>
      <c r="C50">
        <f>SUM('Mass Balance'!E50:H50)</f>
        <v>1.3016705589773158E-4</v>
      </c>
      <c r="D50">
        <f>Concentrations!F50/Concentrations!E50</f>
        <v>0.10087122598395439</v>
      </c>
    </row>
    <row r="51" spans="1:4">
      <c r="A51">
        <f>'Mass Balance'!I51</f>
        <v>5.1218816144552325E-8</v>
      </c>
      <c r="B51">
        <f>'Mass Balance'!E51</f>
        <v>1.3990352120792952E-4</v>
      </c>
      <c r="C51">
        <f>SUM('Mass Balance'!E51:H51)</f>
        <v>1.4012064949861709E-4</v>
      </c>
      <c r="D51">
        <f>Concentrations!F51/Concentrations!E51</f>
        <v>1.002358011511207</v>
      </c>
    </row>
    <row r="52" spans="1:4">
      <c r="A52">
        <f>'Mass Balance'!I52</f>
        <v>1.3828664220718841E-7</v>
      </c>
      <c r="B52">
        <f>'Mass Balance'!E52</f>
        <v>1.2177349744177049E-4</v>
      </c>
      <c r="C52">
        <f>SUM('Mass Balance'!E52:H52)</f>
        <v>1.2909587222018916E-4</v>
      </c>
      <c r="D52">
        <f>Concentrations!F52/Concentrations!E52</f>
        <v>0.94697123184535315</v>
      </c>
    </row>
    <row r="53" spans="1:4">
      <c r="A53">
        <f>'Mass Balance'!I53</f>
        <v>6.3976638086371072E-7</v>
      </c>
      <c r="B53">
        <f>'Mass Balance'!E53</f>
        <v>7.0056602533291769E-5</v>
      </c>
      <c r="C53">
        <f>SUM('Mass Balance'!E53:H53)</f>
        <v>1.2324712750965734E-4</v>
      </c>
      <c r="D53">
        <f>Concentrations!F53/Concentrations!E53</f>
        <v>0.57064843187288916</v>
      </c>
    </row>
    <row r="54" spans="1:4">
      <c r="A54">
        <f>'Mass Balance'!I54</f>
        <v>5.9331126828656008E-6</v>
      </c>
      <c r="B54">
        <f>'Mass Balance'!E54</f>
        <v>1.4090804848885082E-7</v>
      </c>
      <c r="C54">
        <f>SUM('Mass Balance'!E54:H54)</f>
        <v>1.381525816483074E-4</v>
      </c>
      <c r="D54">
        <f>Concentrations!F54/Concentrations!E54</f>
        <v>1.0239368137133337E-3</v>
      </c>
    </row>
    <row r="55" spans="1:4">
      <c r="A55">
        <f>'Mass Balance'!I55</f>
        <v>9.1668580863156685E-7</v>
      </c>
      <c r="B55">
        <f>'Mass Balance'!E55</f>
        <v>2.4873623978538893E-5</v>
      </c>
      <c r="C55">
        <f>SUM('Mass Balance'!E55:H55)</f>
        <v>1.0989245184171328E-4</v>
      </c>
      <c r="D55">
        <f>Concentrations!F55/Concentrations!E55</f>
        <v>0.22723099168919014</v>
      </c>
    </row>
    <row r="56" spans="1:4">
      <c r="A56">
        <f>'Mass Balance'!I56</f>
        <v>5.3746272609111315E-7</v>
      </c>
      <c r="B56">
        <f>'Mass Balance'!E56</f>
        <v>2.9346533216165604E-6</v>
      </c>
      <c r="C56">
        <f>SUM('Mass Balance'!E56:H56)</f>
        <v>5.8063140229087134E-5</v>
      </c>
      <c r="D56">
        <f>Concentrations!F56/Concentrations!E56</f>
        <v>5.0740255117250999E-2</v>
      </c>
    </row>
    <row r="57" spans="1:4">
      <c r="A57">
        <f>'Mass Balance'!I57</f>
        <v>2.7465410186735828E-7</v>
      </c>
      <c r="B57">
        <f>'Mass Balance'!E57</f>
        <v>5.5152213624101532E-6</v>
      </c>
      <c r="C57">
        <f>SUM('Mass Balance'!E57:H57)</f>
        <v>3.149836306527396E-5</v>
      </c>
      <c r="D57">
        <f>Concentrations!F57/Concentrations!E57</f>
        <v>0.17578075519766784</v>
      </c>
    </row>
    <row r="58" spans="1:4">
      <c r="A58">
        <f>'Mass Balance'!I58</f>
        <v>7.2773743626702371E-9</v>
      </c>
      <c r="B58">
        <f>'Mass Balance'!E58</f>
        <v>1.1256316162219167E-5</v>
      </c>
      <c r="C58">
        <f>SUM('Mass Balance'!E58:H58)</f>
        <v>1.1503411320602618E-5</v>
      </c>
      <c r="D58">
        <f>Concentrations!F58/Concentrations!E58</f>
        <v>0.98234942729794872</v>
      </c>
    </row>
    <row r="59" spans="1:4">
      <c r="A59">
        <f>'Mass Balance'!I59</f>
        <v>1.0660965684177962E-7</v>
      </c>
      <c r="B59">
        <f>'Mass Balance'!E59</f>
        <v>2.2949436125389574E-6</v>
      </c>
      <c r="C59">
        <f>SUM('Mass Balance'!E59:H59)</f>
        <v>1.2335071124288501E-5</v>
      </c>
      <c r="D59">
        <f>Concentrations!F59/Concentrations!E59</f>
        <v>0.18677843130853469</v>
      </c>
    </row>
    <row r="60" spans="1:4">
      <c r="A60">
        <f>'Mass Balance'!I60</f>
        <v>1.8724586666366018E-9</v>
      </c>
      <c r="B60">
        <f>'Mass Balance'!E60</f>
        <v>8.6348799338554582E-8</v>
      </c>
      <c r="C60">
        <f>SUM('Mass Balance'!E60:H60)</f>
        <v>2.5367915353691839E-7</v>
      </c>
      <c r="D60">
        <f>Concentrations!F60/Concentrations!E60</f>
        <v>0.34171802338874768</v>
      </c>
    </row>
    <row r="61" spans="1:4">
      <c r="A61">
        <f>'Mass Balance'!I61</f>
        <v>8.0901370629110697E-7</v>
      </c>
      <c r="B61">
        <f>'Mass Balance'!E61</f>
        <v>5.2603153070667772E-5</v>
      </c>
      <c r="C61">
        <f>SUM('Mass Balance'!E61:H61)</f>
        <v>1.2301727381774206E-4</v>
      </c>
      <c r="D61">
        <f>Concentrations!F61/Concentrations!E61</f>
        <v>0.42928136943734024</v>
      </c>
    </row>
    <row r="62" spans="1:4">
      <c r="A62">
        <f>'Mass Balance'!I62</f>
        <v>3.0988267491483682E-6</v>
      </c>
      <c r="B62">
        <f>'Mass Balance'!E62</f>
        <v>6.1586952417484538E-7</v>
      </c>
      <c r="C62">
        <f>SUM('Mass Balance'!E62:H62)</f>
        <v>1.3903645812298417E-4</v>
      </c>
      <c r="D62">
        <f>Concentrations!F62/Concentrations!E62</f>
        <v>4.4468899351751282E-3</v>
      </c>
    </row>
    <row r="63" spans="1:4">
      <c r="A63">
        <f>'Mass Balance'!I63</f>
        <v>7.1903540005095503E-6</v>
      </c>
      <c r="B63">
        <f>'Mass Balance'!E63</f>
        <v>5.4396847908379197E-8</v>
      </c>
      <c r="C63">
        <f>SUM('Mass Balance'!E63:H63)</f>
        <v>1.3849965252176052E-4</v>
      </c>
      <c r="D63">
        <f>Concentrations!F63/Concentrations!E63</f>
        <v>3.942951301225698E-4</v>
      </c>
    </row>
    <row r="64" spans="1:4">
      <c r="A64">
        <f>'Mass Balance'!I64</f>
        <v>8.0944337921861022E-6</v>
      </c>
      <c r="B64">
        <f>'Mass Balance'!E64</f>
        <v>1.8616162157047397E-8</v>
      </c>
      <c r="C64">
        <f>SUM('Mass Balance'!E64:H64)</f>
        <v>1.3904006509281677E-4</v>
      </c>
      <c r="D64">
        <f>Concentrations!F64/Concentrations!E64</f>
        <v>1.3441463378141344E-4</v>
      </c>
    </row>
    <row r="65" spans="1:4">
      <c r="A65">
        <f>'Mass Balance'!I65</f>
        <v>8.7149544641369682E-6</v>
      </c>
      <c r="B65">
        <f>'Mass Balance'!E65</f>
        <v>5.1743927482648704E-9</v>
      </c>
      <c r="C65">
        <f>SUM('Mass Balance'!E65:H65)</f>
        <v>1.395891281456907E-4</v>
      </c>
      <c r="D65">
        <f>Concentrations!F65/Concentrations!E65</f>
        <v>3.7213811818105853E-5</v>
      </c>
    </row>
    <row r="66" spans="1:4">
      <c r="A66">
        <f>'Mass Balance'!I66</f>
        <v>8.4052934777068598E-6</v>
      </c>
      <c r="B66">
        <f>'Mass Balance'!E66</f>
        <v>1.0783573333340987E-8</v>
      </c>
      <c r="C66">
        <f>SUM('Mass Balance'!E66:H66)</f>
        <v>1.3929582681587626E-4</v>
      </c>
      <c r="D66">
        <f>Concentrations!F66/Concentrations!E66</f>
        <v>7.7717881346988217E-5</v>
      </c>
    </row>
    <row r="67" spans="1:4">
      <c r="A67">
        <f>'Mass Balance'!I67</f>
        <v>1.185119762605946E-7</v>
      </c>
      <c r="B67">
        <f>'Mass Balance'!E67</f>
        <v>1.3343861623992787E-4</v>
      </c>
      <c r="C67">
        <f>SUM('Mass Balance'!E67:H67)</f>
        <v>1.3885295298991367E-4</v>
      </c>
      <c r="D67">
        <f>Concentrations!F67/Concentrations!E67</f>
        <v>0.96476773687511463</v>
      </c>
    </row>
    <row r="68" spans="1:4">
      <c r="A68">
        <f>'Mass Balance'!I68</f>
        <v>1.6826186363420857E-7</v>
      </c>
      <c r="B68">
        <f>'Mass Balance'!E68</f>
        <v>1.2516062744079612E-4</v>
      </c>
      <c r="C68">
        <f>SUM('Mass Balance'!E68:H68)</f>
        <v>1.3478500435407017E-4</v>
      </c>
      <c r="D68">
        <f>Concentrations!F68/Concentrations!E68</f>
        <v>0.93222880251935281</v>
      </c>
    </row>
    <row r="69" spans="1:4">
      <c r="A69">
        <f>'Mass Balance'!I69</f>
        <v>5.1664534501416137E-6</v>
      </c>
      <c r="B69">
        <f>'Mass Balance'!E69</f>
        <v>2.1995064053231754E-7</v>
      </c>
      <c r="C69">
        <f>SUM('Mass Balance'!E69:H69)</f>
        <v>1.3804381042744327E-4</v>
      </c>
      <c r="D69">
        <f>Concentrations!F69/Concentrations!E69</f>
        <v>1.5995751726402129E-3</v>
      </c>
    </row>
    <row r="70" spans="1:4">
      <c r="A70">
        <f>'Mass Balance'!I70</f>
        <v>1.2589526652677169E-6</v>
      </c>
      <c r="B70">
        <f>'Mass Balance'!E70</f>
        <v>4.2133122527172039E-6</v>
      </c>
      <c r="C70">
        <f>SUM('Mass Balance'!E70:H70)</f>
        <v>1.3721712024200445E-4</v>
      </c>
      <c r="D70">
        <f>Concentrations!F70/Concentrations!E70</f>
        <v>3.0825612024579729E-2</v>
      </c>
    </row>
    <row r="71" spans="1:4">
      <c r="A71">
        <f>'Mass Balance'!I71</f>
        <v>1.5676106961733357E-7</v>
      </c>
      <c r="B71">
        <f>'Mass Balance'!E71</f>
        <v>1.2491163014339483E-4</v>
      </c>
      <c r="C71">
        <f>SUM('Mass Balance'!E71:H71)</f>
        <v>1.3361690333183677E-4</v>
      </c>
      <c r="D71">
        <f>Concentrations!F71/Concentrations!E71</f>
        <v>0.93850769095966757</v>
      </c>
    </row>
    <row r="72" spans="1:4">
      <c r="A72">
        <f>'Mass Balance'!I72</f>
        <v>1.2455905119931925E-6</v>
      </c>
      <c r="B72">
        <f>'Mass Balance'!E72</f>
        <v>4.9076208842961212E-6</v>
      </c>
      <c r="C72">
        <f>SUM('Mass Balance'!E72:H72)</f>
        <v>1.3521274726158015E-4</v>
      </c>
      <c r="D72">
        <f>Concentrations!F72/Concentrations!E72</f>
        <v>3.6437597259925146E-2</v>
      </c>
    </row>
    <row r="73" spans="1:4">
      <c r="A73">
        <f>'Mass Balance'!I73</f>
        <v>8.3390052474099413E-7</v>
      </c>
      <c r="B73">
        <f>'Mass Balance'!E73</f>
        <v>4.8366415407043939E-5</v>
      </c>
      <c r="C73">
        <f>SUM('Mass Balance'!E73:H73)</f>
        <v>1.216055360668878E-4</v>
      </c>
      <c r="D73">
        <f>Concentrations!F73/Concentrations!E73</f>
        <v>0.39928860591166565</v>
      </c>
    </row>
    <row r="74" spans="1:4">
      <c r="A74">
        <f>'Mass Balance'!I74</f>
        <v>1.2565794037849178E-6</v>
      </c>
      <c r="B74">
        <f>'Mass Balance'!E74</f>
        <v>4.4061319585357646E-6</v>
      </c>
      <c r="C74">
        <f>SUM('Mass Balance'!E74:H74)</f>
        <v>1.3678710007884452E-4</v>
      </c>
      <c r="D74">
        <f>Concentrations!F74/Concentrations!E74</f>
        <v>3.2337669598745407E-2</v>
      </c>
    </row>
    <row r="75" spans="1:4">
      <c r="A75">
        <f>'Mass Balance'!I75</f>
        <v>7.5682471118158604E-7</v>
      </c>
      <c r="B75">
        <f>'Mass Balance'!E75</f>
        <v>6.4489538385725043E-7</v>
      </c>
      <c r="C75">
        <f>SUM('Mass Balance'!E75:H75)</f>
        <v>1.4923791047829192E-4</v>
      </c>
      <c r="D75">
        <f>Concentrations!F75/Concentrations!E75</f>
        <v>4.3381690424097365E-3</v>
      </c>
    </row>
    <row r="76" spans="1:4">
      <c r="A76">
        <f>'Mass Balance'!I76</f>
        <v>7.5682471149604786E-7</v>
      </c>
      <c r="B76">
        <f>'Mass Balance'!E76</f>
        <v>6.4489538412520528E-7</v>
      </c>
      <c r="C76">
        <f>SUM('Mass Balance'!E76:H76)</f>
        <v>1.4923791054030047E-4</v>
      </c>
      <c r="D76">
        <f>Concentrations!F76/Concentrations!E76</f>
        <v>4.3381690424097374E-3</v>
      </c>
    </row>
    <row r="77" spans="1:4">
      <c r="A77">
        <f>'Mass Balance'!I77</f>
        <v>1.1244745222173049E-6</v>
      </c>
      <c r="B77">
        <f>'Mass Balance'!E77</f>
        <v>1.790460166551969E-5</v>
      </c>
      <c r="C77">
        <f>SUM('Mass Balance'!E77:H77)</f>
        <v>1.2587684342106755E-4</v>
      </c>
      <c r="D77">
        <f>Concentrations!F77/Concentrations!E77</f>
        <v>0.14279571719987913</v>
      </c>
    </row>
    <row r="78" spans="1:4">
      <c r="A78">
        <f>'Mass Balance'!I78</f>
        <v>3.8274661453097781E-7</v>
      </c>
      <c r="B78">
        <f>'Mass Balance'!E78</f>
        <v>9.4559728484299929E-5</v>
      </c>
      <c r="C78">
        <f>SUM('Mass Balance'!E78:H78)</f>
        <v>1.2341247271766456E-4</v>
      </c>
      <c r="D78">
        <f>Concentrations!F78/Concentrations!E78</f>
        <v>0.76920752608869414</v>
      </c>
    </row>
    <row r="79" spans="1:4">
      <c r="A79">
        <f>'Mass Balance'!I79</f>
        <v>6.506759927452213E-7</v>
      </c>
      <c r="B79">
        <f>'Mass Balance'!E79</f>
        <v>6.8117419119569452E-5</v>
      </c>
      <c r="C79">
        <f>SUM('Mass Balance'!E79:H79)</f>
        <v>1.2244905009991373E-4</v>
      </c>
      <c r="D79">
        <f>Concentrations!F79/Concentrations!E79</f>
        <v>0.5584690716502958</v>
      </c>
    </row>
    <row r="80" spans="1:4">
      <c r="A80">
        <f>'Mass Balance'!I80</f>
        <v>1.4631775612538476E-6</v>
      </c>
      <c r="B80">
        <f>'Mass Balance'!E80</f>
        <v>4.3518884560446999E-7</v>
      </c>
      <c r="C80">
        <f>SUM('Mass Balance'!E80:H80)</f>
        <v>1.4853043587121511E-4</v>
      </c>
      <c r="D80">
        <f>Concentrations!F80/Concentrations!E80</f>
        <v>2.9414309795428037E-3</v>
      </c>
    </row>
    <row r="81" spans="1:4">
      <c r="A81">
        <f>'Mass Balance'!I81</f>
        <v>5.3595541491078185E-8</v>
      </c>
      <c r="B81">
        <f>'Mass Balance'!E81</f>
        <v>1.4788809835744628E-4</v>
      </c>
      <c r="C81">
        <f>SUM('Mass Balance'!E81:H81)</f>
        <v>1.4808145625237425E-4</v>
      </c>
      <c r="D81">
        <f>Concentrations!F81/Concentrations!E81</f>
        <v>1.002602793126474</v>
      </c>
    </row>
    <row r="82" spans="1:4">
      <c r="A82">
        <f>'Mass Balance'!I82</f>
        <v>1.9689467914862677E-7</v>
      </c>
      <c r="B82">
        <f>'Mass Balance'!E82</f>
        <v>1.2244557213597716E-4</v>
      </c>
      <c r="C82">
        <f>SUM('Mass Balance'!E82:H82)</f>
        <v>1.3448703363531592E-4</v>
      </c>
      <c r="D82">
        <f>Concentrations!F82/Concentrations!E82</f>
        <v>0.9140270164622144</v>
      </c>
    </row>
    <row r="83" spans="1:4">
      <c r="A83">
        <f>'Mass Balance'!I83</f>
        <v>1.1054102311698462E-6</v>
      </c>
      <c r="B83">
        <f>'Mass Balance'!E83</f>
        <v>2.2717901398112256E-5</v>
      </c>
      <c r="C83">
        <f>SUM('Mass Balance'!E83:H83)</f>
        <v>1.2713610328607064E-4</v>
      </c>
      <c r="D83">
        <f>Concentrations!F83/Concentrations!E83</f>
        <v>0.17938894525213353</v>
      </c>
    </row>
    <row r="84" spans="1:4">
      <c r="A84">
        <f>'Mass Balance'!I84</f>
        <v>6.2215868886466226E-8</v>
      </c>
      <c r="B84">
        <f>'Mass Balance'!E84</f>
        <v>1.4500600409365108E-4</v>
      </c>
      <c r="C84">
        <f>SUM('Mass Balance'!E84:H84)</f>
        <v>1.4586201537905601E-4</v>
      </c>
      <c r="D84">
        <f>Concentrations!F84/Concentrations!E84</f>
        <v>0.99802205172041059</v>
      </c>
    </row>
    <row r="85" spans="1:4">
      <c r="A85">
        <f>'Mass Balance'!I85</f>
        <v>5.1572684684265025E-8</v>
      </c>
      <c r="B85">
        <f>'Mass Balance'!E85</f>
        <v>1.4914169876679572E-4</v>
      </c>
      <c r="C85">
        <f>SUM('Mass Balance'!E85:H85)</f>
        <v>1.4917818871929348E-4</v>
      </c>
      <c r="D85">
        <f>Concentrations!F85/Concentrations!E85</f>
        <v>1.0036680932087843</v>
      </c>
    </row>
    <row r="86" spans="1:4">
      <c r="A86">
        <f>'Mass Balance'!I86</f>
        <v>6.1697598717203269E-8</v>
      </c>
      <c r="B86">
        <f>'Mass Balance'!E86</f>
        <v>1.4514769101846197E-4</v>
      </c>
      <c r="C86">
        <f>SUM('Mass Balance'!E86:H86)</f>
        <v>1.4596351531352716E-4</v>
      </c>
      <c r="D86">
        <f>Concentrations!F86/Concentrations!E86</f>
        <v>0.99830254829448739</v>
      </c>
    </row>
    <row r="87" spans="1:4">
      <c r="A87">
        <f>'Mass Balance'!I87</f>
        <v>6.7475960572998598E-6</v>
      </c>
      <c r="B87">
        <f>'Mass Balance'!E87</f>
        <v>7.9546702521950816E-8</v>
      </c>
      <c r="C87">
        <f>SUM('Mass Balance'!E87:H87)</f>
        <v>1.3833567528703073E-4</v>
      </c>
      <c r="D87">
        <f>Concentrations!F87/Concentrations!E87</f>
        <v>5.7727712584221193E-4</v>
      </c>
    </row>
    <row r="88" spans="1:4">
      <c r="A88">
        <f>'Mass Balance'!I88</f>
        <v>3.2094365915965253E-7</v>
      </c>
      <c r="B88">
        <f>'Mass Balance'!E88</f>
        <v>1.0646624122522006E-4</v>
      </c>
      <c r="C88">
        <f>SUM('Mass Balance'!E88:H88)</f>
        <v>1.2947940553014185E-4</v>
      </c>
      <c r="D88">
        <f>Concentrations!F88/Concentrations!E88</f>
        <v>0.82548196091787929</v>
      </c>
    </row>
    <row r="89" spans="1:4">
      <c r="A89">
        <f>'Mass Balance'!I89</f>
        <v>2.1564633256348712E-7</v>
      </c>
      <c r="B89">
        <f>'Mass Balance'!E89</f>
        <v>1.1990935872459432E-4</v>
      </c>
      <c r="C89">
        <f>SUM('Mass Balance'!E89:H89)</f>
        <v>1.3357720444388683E-4</v>
      </c>
      <c r="D89">
        <f>Concentrations!F89/Concentrations!E89</f>
        <v>0.90119151188221702</v>
      </c>
    </row>
    <row r="90" spans="1:4">
      <c r="A90">
        <f>'Mass Balance'!I90</f>
        <v>9.0765508475591896E-8</v>
      </c>
      <c r="B90">
        <f>'Mass Balance'!E90</f>
        <v>1.3884545581654986E-4</v>
      </c>
      <c r="C90">
        <f>SUM('Mass Balance'!E90:H90)</f>
        <v>1.4196914822362376E-4</v>
      </c>
      <c r="D90">
        <f>Concentrations!F90/Concentrations!E90</f>
        <v>0.98182493204176757</v>
      </c>
    </row>
    <row r="91" spans="1:4">
      <c r="A91">
        <f>'Mass Balance'!I91</f>
        <v>3.3960512998631783E-6</v>
      </c>
      <c r="B91">
        <f>'Mass Balance'!E91</f>
        <v>5.3441873090141626E-7</v>
      </c>
      <c r="C91">
        <f>SUM('Mass Balance'!E91:H91)</f>
        <v>1.3882939321440487E-4</v>
      </c>
      <c r="D91">
        <f>Concentrations!F91/Concentrations!E91</f>
        <v>3.8645293340741366E-3</v>
      </c>
    </row>
    <row r="92" spans="1:4">
      <c r="A92">
        <f>'Mass Balance'!I92</f>
        <v>1.0107481953514746E-6</v>
      </c>
      <c r="B92">
        <f>'Mass Balance'!E92</f>
        <v>3.2241458720753072E-5</v>
      </c>
      <c r="C92">
        <f>SUM('Mass Balance'!E92:H92)</f>
        <v>1.2496066416635643E-4</v>
      </c>
      <c r="D92">
        <f>Concentrations!F92/Concentrations!E92</f>
        <v>0.25902263682185783</v>
      </c>
    </row>
    <row r="93" spans="1:4">
      <c r="A93">
        <f>'Mass Balance'!I93</f>
        <v>1.25179900985577E-6</v>
      </c>
      <c r="B93">
        <f>'Mass Balance'!E93</f>
        <v>6.523837116872181E-6</v>
      </c>
      <c r="C93">
        <f>SUM('Mass Balance'!E93:H93)</f>
        <v>1.3528572610991662E-4</v>
      </c>
      <c r="D93">
        <f>Concentrations!F93/Concentrations!E93</f>
        <v>4.8411383565722312E-2</v>
      </c>
    </row>
    <row r="94" spans="1:4">
      <c r="A94">
        <f>'Mass Balance'!I94</f>
        <v>6.2252609739316197E-8</v>
      </c>
      <c r="B94">
        <f>'Mass Balance'!E94</f>
        <v>1.341718693294295E-4</v>
      </c>
      <c r="C94">
        <f>SUM('Mass Balance'!E94:H94)</f>
        <v>1.4992765676773634E-4</v>
      </c>
      <c r="D94">
        <f>Concentrations!F94/Concentrations!E94</f>
        <v>0.89841310742128699</v>
      </c>
    </row>
    <row r="95" spans="1:4">
      <c r="A95">
        <f>'Mass Balance'!I95</f>
        <v>1.7108384814280671E-6</v>
      </c>
      <c r="B95">
        <f>'Mass Balance'!E95</f>
        <v>1.2566043906518622E-6</v>
      </c>
      <c r="C95">
        <f>SUM('Mass Balance'!E95:H95)</f>
        <v>1.4055466366521047E-4</v>
      </c>
      <c r="D95">
        <f>Concentrations!F95/Concentrations!E95</f>
        <v>8.9753144885108549E-3</v>
      </c>
    </row>
    <row r="96" spans="1:4">
      <c r="A96">
        <f>'Mass Balance'!I96</f>
        <v>5.3786814368313369E-8</v>
      </c>
      <c r="B96">
        <f>'Mass Balance'!E96</f>
        <v>1.4780008365855758E-4</v>
      </c>
      <c r="C96">
        <f>SUM('Mass Balance'!E96:H96)</f>
        <v>1.4800805937188527E-4</v>
      </c>
      <c r="D96">
        <f>Concentrations!F96/Concentrations!E96</f>
        <v>1.0025029928797253</v>
      </c>
    </row>
    <row r="97" spans="1:4">
      <c r="A97">
        <f>'Mass Balance'!I97</f>
        <v>6.2484151522617076E-8</v>
      </c>
      <c r="B97">
        <f>'Mass Balance'!E97</f>
        <v>1.449335139261544E-4</v>
      </c>
      <c r="C97">
        <f>SUM('Mass Balance'!E97:H97)</f>
        <v>1.4581034564463307E-4</v>
      </c>
      <c r="D97">
        <f>Concentrations!F97/Concentrations!E97</f>
        <v>0.99787661392795635</v>
      </c>
    </row>
    <row r="98" spans="1:4">
      <c r="A98">
        <f>'Mass Balance'!I98</f>
        <v>1.2624363329959395E-6</v>
      </c>
      <c r="B98">
        <f>'Mass Balance'!E98</f>
        <v>2.9777763874909603E-6</v>
      </c>
      <c r="C98">
        <f>SUM('Mass Balance'!E98:H98)</f>
        <v>1.3918487481472133E-4</v>
      </c>
      <c r="D98">
        <f>Concentrations!F98/Concentrations!E98</f>
        <v>2.147812674958453E-2</v>
      </c>
    </row>
    <row r="99" spans="1:4">
      <c r="A99">
        <f>'Mass Balance'!I99</f>
        <v>5.1355978770136589E-8</v>
      </c>
      <c r="B99">
        <f>'Mass Balance'!E99</f>
        <v>1.4939822435243341E-4</v>
      </c>
      <c r="C99">
        <f>SUM('Mass Balance'!E99:H99)</f>
        <v>1.4941644308486029E-4</v>
      </c>
      <c r="D99">
        <f>Concentrations!F99/Concentrations!E99</f>
        <v>1.0037912472179731</v>
      </c>
    </row>
    <row r="100" spans="1:4">
      <c r="A100">
        <f>'Mass Balance'!I100</f>
        <v>5.9045114406756085E-7</v>
      </c>
      <c r="B100">
        <f>'Mass Balance'!E100</f>
        <v>7.5631540997843198E-5</v>
      </c>
      <c r="C100">
        <f>SUM('Mass Balance'!E100:H100)</f>
        <v>1.2395552189281553E-4</v>
      </c>
      <c r="D100">
        <f>Concentrations!F100/Concentrations!E100</f>
        <v>0.6125385601891854</v>
      </c>
    </row>
    <row r="101" spans="1:4">
      <c r="A101">
        <f>'Mass Balance'!I101</f>
        <v>5.1718815587349281E-8</v>
      </c>
      <c r="B101">
        <f>'Mass Balance'!E101</f>
        <v>1.4900603095352344E-4</v>
      </c>
      <c r="C101">
        <f>SUM('Mass Balance'!E101:H101)</f>
        <v>1.4905432259873874E-4</v>
      </c>
      <c r="D101">
        <f>Concentrations!F101/Concentrations!E101</f>
        <v>1.0035884021450032</v>
      </c>
    </row>
    <row r="102" spans="1:4">
      <c r="A102">
        <f>'Mass Balance'!I102</f>
        <v>5.1211903893216282E-8</v>
      </c>
      <c r="B102">
        <f>'Mass Balance'!E102</f>
        <v>1.4971949103068305E-4</v>
      </c>
      <c r="C102">
        <f>SUM('Mass Balance'!E102:H102)</f>
        <v>1.4972313988623602E-4</v>
      </c>
      <c r="D102">
        <f>Concentrations!F102/Concentrations!E102</f>
        <v>1.0038891909364551</v>
      </c>
    </row>
    <row r="103" spans="1:4">
      <c r="A103">
        <f>'Mass Balance'!I103</f>
        <v>5.1343879984671339E-8</v>
      </c>
      <c r="B103">
        <f>'Mass Balance'!E103</f>
        <v>1.4941633119848144E-4</v>
      </c>
      <c r="C103">
        <f>SUM('Mass Balance'!E103:H103)</f>
        <v>1.494334730071503E-4</v>
      </c>
      <c r="D103">
        <f>Concentrations!F103/Concentrations!E103</f>
        <v>1.0037984960831403</v>
      </c>
    </row>
    <row r="104" spans="1:4">
      <c r="A104">
        <f>'Mass Balance'!I104</f>
        <v>5.7119225653341095E-8</v>
      </c>
      <c r="B104">
        <f>'Mass Balance'!E104</f>
        <v>1.4652605631563836E-4</v>
      </c>
      <c r="C104">
        <f>SUM('Mass Balance'!E104:H104)</f>
        <v>1.469888945735123E-4</v>
      </c>
      <c r="D104">
        <f>Concentrations!F104/Concentrations!E104</f>
        <v>1.0007525362272784</v>
      </c>
    </row>
    <row r="105" spans="1:4">
      <c r="A105">
        <f>'Mass Balance'!I105</f>
        <v>5.1222789894017822E-8</v>
      </c>
      <c r="B105">
        <f>'Mass Balance'!E105</f>
        <v>1.4967291554998717E-4</v>
      </c>
      <c r="C105">
        <f>SUM('Mass Balance'!E105:H105)</f>
        <v>1.4967804696964897E-4</v>
      </c>
      <c r="D105">
        <f>Concentrations!F105/Concentrations!E105</f>
        <v>1.0038792397804066</v>
      </c>
    </row>
    <row r="106" spans="1:4">
      <c r="A106">
        <f>'Mass Balance'!I106</f>
        <v>1.1324799801009411E-7</v>
      </c>
      <c r="B106">
        <f>'Mass Balance'!E106</f>
        <v>1.3491261244682838E-4</v>
      </c>
      <c r="C106">
        <f>SUM('Mass Balance'!E106:H106)</f>
        <v>1.3987416799941677E-4</v>
      </c>
      <c r="D106">
        <f>Concentrations!F106/Concentrations!E106</f>
        <v>0.96830326910358988</v>
      </c>
    </row>
    <row r="107" spans="1:4">
      <c r="A107">
        <f>'Mass Balance'!I107</f>
        <v>1.2579948160134036E-6</v>
      </c>
      <c r="B107">
        <f>'Mass Balance'!E107</f>
        <v>2.1910440607378055E-6</v>
      </c>
      <c r="C107">
        <f>SUM('Mass Balance'!E107:H107)</f>
        <v>1.4041546348146994E-4</v>
      </c>
      <c r="D107">
        <f>Concentrations!F107/Concentrations!E107</f>
        <v>1.5665077058658019E-2</v>
      </c>
    </row>
    <row r="108" spans="1:4">
      <c r="A108">
        <f>'Mass Balance'!I108</f>
        <v>4.9397768881000121E-7</v>
      </c>
      <c r="B108">
        <f>'Mass Balance'!E108</f>
        <v>8.6272626711444151E-5</v>
      </c>
      <c r="C108">
        <f>SUM('Mass Balance'!E108:H108)</f>
        <v>1.2531319796496549E-4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0.86242530953660357</v>
      </c>
      <c r="M2" s="115">
        <v>2.5726249160698424</v>
      </c>
      <c r="N2" s="115">
        <v>59.005043951400026</v>
      </c>
      <c r="O2" s="115">
        <v>1.2591886063849389</v>
      </c>
      <c r="P2" s="115">
        <v>1.2924028810867212</v>
      </c>
      <c r="Q2" s="111">
        <v>1.2591886063849389</v>
      </c>
      <c r="R2" s="68">
        <v>1.2924028810867212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6.6935011169289938E-4</v>
      </c>
      <c r="M3" s="115">
        <v>110.68419385857966</v>
      </c>
      <c r="N3" s="115">
        <v>3692.8732266910542</v>
      </c>
      <c r="O3" s="115">
        <v>22.271987275740369</v>
      </c>
      <c r="P3" s="115">
        <v>9.5402405542374957</v>
      </c>
      <c r="Q3" s="111">
        <v>22.271987275740369</v>
      </c>
      <c r="R3" s="68">
        <v>9.5402405542374957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0.43776661817402063</v>
      </c>
      <c r="M4" s="115">
        <v>11.808940929543153</v>
      </c>
      <c r="N4" s="115">
        <v>374.17291037151819</v>
      </c>
      <c r="O4" s="115">
        <v>4.0328466953158904</v>
      </c>
      <c r="P4" s="115">
        <v>3.7779584507393125</v>
      </c>
      <c r="Q4" s="111">
        <v>4.0328466953158904</v>
      </c>
      <c r="R4" s="68">
        <v>3.7779584507393129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7.3715858439362758E-3</v>
      </c>
      <c r="M5" s="115">
        <v>33.471046630428575</v>
      </c>
      <c r="N5" s="115">
        <v>1108.2808532775225</v>
      </c>
      <c r="O5" s="115">
        <v>9.7618473133320318</v>
      </c>
      <c r="P5" s="115">
        <v>8.2312643054753902</v>
      </c>
      <c r="Q5" s="111">
        <v>9.7618473133320318</v>
      </c>
      <c r="R5" s="68">
        <v>8.2312643054753902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2.9623892743675439E-4</v>
      </c>
      <c r="M6" s="115">
        <v>127.58136221819647</v>
      </c>
      <c r="N6" s="115">
        <v>4264.8975677379922</v>
      </c>
      <c r="O6" s="115">
        <v>24.990564350646935</v>
      </c>
      <c r="P6" s="115">
        <v>9.8995068115904132</v>
      </c>
      <c r="Q6" s="111">
        <v>24.990564350646935</v>
      </c>
      <c r="R6" s="68">
        <v>9.8995068115904132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5.9779521734901414E-4</v>
      </c>
      <c r="M7" s="115">
        <v>113.71564983177257</v>
      </c>
      <c r="N7" s="115">
        <v>3795.0964919057642</v>
      </c>
      <c r="O7" s="115">
        <v>22.77204354336147</v>
      </c>
      <c r="P7" s="115">
        <v>9.6203284734175494</v>
      </c>
      <c r="Q7" s="111">
        <v>22.77204354336147</v>
      </c>
      <c r="R7" s="68">
        <v>9.6203284734175494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1.3489005202082138E-3</v>
      </c>
      <c r="M8" s="115">
        <v>91.859700976855251</v>
      </c>
      <c r="N8" s="115">
        <v>3059.2520489931808</v>
      </c>
      <c r="O8" s="115">
        <v>19.246146624583876</v>
      </c>
      <c r="P8" s="115">
        <v>9.2061495869545951</v>
      </c>
      <c r="Q8" s="111">
        <v>19.246146624583876</v>
      </c>
      <c r="R8" s="68">
        <v>9.2061495869545951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6.796026153085219E-2</v>
      </c>
      <c r="M9" s="115">
        <v>21.115103735725253</v>
      </c>
      <c r="N9" s="115">
        <v>693.36724609833857</v>
      </c>
      <c r="O9" s="115">
        <v>7.285332171010702</v>
      </c>
      <c r="P9" s="115">
        <v>7.1516371206487204</v>
      </c>
      <c r="Q9" s="111">
        <v>7.285332171010702</v>
      </c>
      <c r="R9" s="68">
        <v>7.1516371206487204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6.8539670822585167E-3</v>
      </c>
      <c r="M10" s="115">
        <v>35.799059293411254</v>
      </c>
      <c r="N10" s="115">
        <v>1185.741918410117</v>
      </c>
      <c r="O10" s="115">
        <v>10.14136623823099</v>
      </c>
      <c r="P10" s="115">
        <v>8.2671132814097916</v>
      </c>
      <c r="Q10" s="111">
        <v>10.141366238230992</v>
      </c>
      <c r="R10" s="68">
        <v>8.2671132814097916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6.0506048539492952E-3</v>
      </c>
      <c r="M11" s="115">
        <v>39.91172947354994</v>
      </c>
      <c r="N11" s="115">
        <v>1322.6524123653057</v>
      </c>
      <c r="O11" s="115">
        <v>10.810643912188521</v>
      </c>
      <c r="P11" s="115">
        <v>8.3294570774386028</v>
      </c>
      <c r="Q11" s="111">
        <v>10.810643912188523</v>
      </c>
      <c r="R11" s="68">
        <v>8.3294570774386045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4.2629032795384665E-2</v>
      </c>
      <c r="M12" s="115">
        <v>21.600698365548904</v>
      </c>
      <c r="N12" s="115">
        <v>710.83496029599382</v>
      </c>
      <c r="O12" s="115">
        <v>7.5433026916832358</v>
      </c>
      <c r="P12" s="115">
        <v>7.4999902729982129</v>
      </c>
      <c r="Q12" s="111">
        <v>7.5433026916832366</v>
      </c>
      <c r="R12" s="68">
        <v>7.4999902729982129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6.50565934374287E-2</v>
      </c>
      <c r="M13" s="115">
        <v>21.176273034931921</v>
      </c>
      <c r="N13" s="115">
        <v>695.53512611661881</v>
      </c>
      <c r="O13" s="115">
        <v>7.3143988676982383</v>
      </c>
      <c r="P13" s="115">
        <v>7.1888180725908555</v>
      </c>
      <c r="Q13" s="111">
        <v>7.3143988676982383</v>
      </c>
      <c r="R13" s="68">
        <v>7.1888180725908564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4.0021809527302117E-3</v>
      </c>
      <c r="M14" s="115">
        <v>54.434232956445548</v>
      </c>
      <c r="N14" s="115">
        <v>1806.7579412457844</v>
      </c>
      <c r="O14" s="115">
        <v>13.17353754731683</v>
      </c>
      <c r="P14" s="115">
        <v>8.5598787562968095</v>
      </c>
      <c r="Q14" s="111">
        <v>13.17353754731683</v>
      </c>
      <c r="R14" s="68">
        <v>8.5598787562968095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6.443183718142521E-3</v>
      </c>
      <c r="M15" s="115">
        <v>37.819492582187465</v>
      </c>
      <c r="N15" s="115">
        <v>1252.9913135062068</v>
      </c>
      <c r="O15" s="115">
        <v>10.470329470530151</v>
      </c>
      <c r="P15" s="115">
        <v>8.2978616484506631</v>
      </c>
      <c r="Q15" s="111">
        <v>10.470329470530151</v>
      </c>
      <c r="R15" s="68">
        <v>8.2978616484506649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1.3964937745720313E-3</v>
      </c>
      <c r="M16" s="115">
        <v>90.762423661737941</v>
      </c>
      <c r="N16" s="115">
        <v>3022.4182833511354</v>
      </c>
      <c r="O16" s="115">
        <v>19.067677296223575</v>
      </c>
      <c r="P16" s="115">
        <v>9.1845526480767994</v>
      </c>
      <c r="Q16" s="111">
        <v>19.067677296223575</v>
      </c>
      <c r="R16" s="68">
        <v>9.1845526480768012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7.196218046356586E-3</v>
      </c>
      <c r="M17" s="115">
        <v>34.236253657891538</v>
      </c>
      <c r="N17" s="115">
        <v>1133.7386912173372</v>
      </c>
      <c r="O17" s="115">
        <v>9.886779925063081</v>
      </c>
      <c r="P17" s="115">
        <v>8.24333022779064</v>
      </c>
      <c r="Q17" s="111">
        <v>9.886779925063081</v>
      </c>
      <c r="R17" s="68">
        <v>8.24333022779064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8.2276876822436992E-2</v>
      </c>
      <c r="M18" s="115">
        <v>20.732957038699162</v>
      </c>
      <c r="N18" s="115">
        <v>680.06223270483281</v>
      </c>
      <c r="O18" s="115">
        <v>7.1198319628766162</v>
      </c>
      <c r="P18" s="115">
        <v>6.9517285812114311</v>
      </c>
      <c r="Q18" s="111">
        <v>7.1198319628766171</v>
      </c>
      <c r="R18" s="68">
        <v>6.9517285812114311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6.3632761166671622E-3</v>
      </c>
      <c r="M19" s="115">
        <v>38.232543400670636</v>
      </c>
      <c r="N19" s="115">
        <v>1266.7420634074144</v>
      </c>
      <c r="O19" s="115">
        <v>10.537574108241092</v>
      </c>
      <c r="P19" s="115">
        <v>8.304176719527625</v>
      </c>
      <c r="Q19" s="111">
        <v>10.537574108241092</v>
      </c>
      <c r="R19" s="68">
        <v>8.304176719527625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6.5064316933881178E-2</v>
      </c>
      <c r="M20" s="115">
        <v>21.178787074801217</v>
      </c>
      <c r="N20" s="115">
        <v>695.61769980815882</v>
      </c>
      <c r="O20" s="115">
        <v>7.3152672306222986</v>
      </c>
      <c r="P20" s="115">
        <v>7.1896715266060074</v>
      </c>
      <c r="Q20" s="111">
        <v>7.3152672306222994</v>
      </c>
      <c r="R20" s="68">
        <v>7.1896715266060074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4.5311418102013199E-3</v>
      </c>
      <c r="M21" s="115">
        <v>49.950497846743986</v>
      </c>
      <c r="N21" s="115">
        <v>1657.1886993976884</v>
      </c>
      <c r="O21" s="115">
        <v>12.442896243269697</v>
      </c>
      <c r="P21" s="115">
        <v>8.4849529101884205</v>
      </c>
      <c r="Q21" s="111">
        <v>12.442896243269697</v>
      </c>
      <c r="R21" s="68">
        <v>8.4849529101884205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0.67267302826326125</v>
      </c>
      <c r="M22" s="115">
        <v>6.3194228073874124</v>
      </c>
      <c r="N22" s="115">
        <v>187.11148783872864</v>
      </c>
      <c r="O22" s="115">
        <v>2.3452588681033246</v>
      </c>
      <c r="P22" s="115">
        <v>2.230468855351214</v>
      </c>
      <c r="Q22" s="111">
        <v>2.3452588681033251</v>
      </c>
      <c r="R22" s="68">
        <v>2.230468855351214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0.81184183480191752</v>
      </c>
      <c r="M23" s="115">
        <v>3.4987414733647135</v>
      </c>
      <c r="N23" s="115">
        <v>90.737622812588612</v>
      </c>
      <c r="O23" s="115">
        <v>1.5208548996606144</v>
      </c>
      <c r="P23" s="115">
        <v>1.5123169770871487</v>
      </c>
      <c r="Q23" s="111">
        <v>1.5208548996606144</v>
      </c>
      <c r="R23" s="68">
        <v>1.512316977087149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0.21168822202938456</v>
      </c>
      <c r="M24" s="115">
        <v>17.522410975303167</v>
      </c>
      <c r="N24" s="115">
        <v>569.25875444140945</v>
      </c>
      <c r="O24" s="115">
        <v>5.9140002250767951</v>
      </c>
      <c r="P24" s="115">
        <v>5.6249719015927306</v>
      </c>
      <c r="Q24" s="111">
        <v>5.914000225076796</v>
      </c>
      <c r="R24" s="68">
        <v>5.6249719015927315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2.2645492630226336E-2</v>
      </c>
      <c r="M25" s="115">
        <v>21.534041101545302</v>
      </c>
      <c r="N25" s="115">
        <v>710.16631226454945</v>
      </c>
      <c r="O25" s="115">
        <v>7.6496192467799879</v>
      </c>
      <c r="P25" s="115">
        <v>7.7331970763491293</v>
      </c>
      <c r="Q25" s="111">
        <v>7.6496192467799879</v>
      </c>
      <c r="R25" s="68">
        <v>7.7331970763491293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4.9132846002921931E-3</v>
      </c>
      <c r="M26" s="115">
        <v>47.084318155715117</v>
      </c>
      <c r="N26" s="115">
        <v>1561.6256720419369</v>
      </c>
      <c r="O26" s="115">
        <v>11.976926845698705</v>
      </c>
      <c r="P26" s="115">
        <v>8.4398272038366855</v>
      </c>
      <c r="Q26" s="111">
        <v>11.976926845698705</v>
      </c>
      <c r="R26" s="68">
        <v>8.4398272038366855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7.370433169088331E-4</v>
      </c>
      <c r="M27" s="115">
        <v>108.44989553822677</v>
      </c>
      <c r="N27" s="115">
        <v>3617.4674521873221</v>
      </c>
      <c r="O27" s="115">
        <v>21.916301279260665</v>
      </c>
      <c r="P27" s="115">
        <v>9.5034922684603718</v>
      </c>
      <c r="Q27" s="111">
        <v>21.916301279260665</v>
      </c>
      <c r="R27" s="68">
        <v>9.5034922684603735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2.6907790564442455E-3</v>
      </c>
      <c r="M28" s="115">
        <v>68.737156732330078</v>
      </c>
      <c r="N28" s="115">
        <v>2284.536817018874</v>
      </c>
      <c r="O28" s="115">
        <v>15.497561754645281</v>
      </c>
      <c r="P28" s="115">
        <v>8.7978574812982373</v>
      </c>
      <c r="Q28" s="111">
        <v>15.497561754645281</v>
      </c>
      <c r="R28" s="68">
        <v>8.7978574812982373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4.0796861581570421E-3</v>
      </c>
      <c r="M29" s="115">
        <v>51.735368652675284</v>
      </c>
      <c r="N29" s="115">
        <v>1716.9211793090215</v>
      </c>
      <c r="O29" s="115">
        <v>12.637534007890311</v>
      </c>
      <c r="P29" s="115">
        <v>8.343559069415587</v>
      </c>
      <c r="Q29" s="111">
        <v>12.637534007890311</v>
      </c>
      <c r="R29" s="68">
        <v>8.3435590694155888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2.6907790564442455E-3</v>
      </c>
      <c r="M30" s="115">
        <v>68.737156732330078</v>
      </c>
      <c r="N30" s="115">
        <v>2284.536817018874</v>
      </c>
      <c r="O30" s="115">
        <v>15.497561754645281</v>
      </c>
      <c r="P30" s="115">
        <v>8.7978574812982373</v>
      </c>
      <c r="Q30" s="111">
        <v>15.497561754645281</v>
      </c>
      <c r="R30" s="68">
        <v>8.7978574812982373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0.98612691542712749</v>
      </c>
      <c r="M31" s="115">
        <v>0.90932778042985474</v>
      </c>
      <c r="N31" s="115">
        <v>1.1555446817845192</v>
      </c>
      <c r="O31" s="115">
        <v>0.82453834603871412</v>
      </c>
      <c r="P31" s="115">
        <v>0.95430734232653514</v>
      </c>
      <c r="Q31" s="111">
        <v>0.82453834603871412</v>
      </c>
      <c r="R31" s="68">
        <v>0.95430734232653525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0.53766274760806321</v>
      </c>
      <c r="M32" s="115">
        <v>9.6385419975152349</v>
      </c>
      <c r="N32" s="115">
        <v>297.59622114073693</v>
      </c>
      <c r="O32" s="115">
        <v>3.0473132846940292</v>
      </c>
      <c r="P32" s="115">
        <v>2.7991545985520498</v>
      </c>
      <c r="Q32" s="111">
        <v>3.0473132846940292</v>
      </c>
      <c r="R32" s="68">
        <v>2.7991545985520503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0.99263484218781661</v>
      </c>
      <c r="M33" s="115">
        <v>0.89349395134200094</v>
      </c>
      <c r="N33" s="115">
        <v>0.59117673755744982</v>
      </c>
      <c r="O33" s="115">
        <v>0.8419901377915483</v>
      </c>
      <c r="P33" s="115">
        <v>0.98982321525232253</v>
      </c>
      <c r="Q33" s="111">
        <v>0.8419901377915483</v>
      </c>
      <c r="R33" s="68">
        <v>0.98982321525232253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0.54832536732143444</v>
      </c>
      <c r="M34" s="115">
        <v>1.5557987548962808</v>
      </c>
      <c r="N34" s="115">
        <v>44.99973712002808</v>
      </c>
      <c r="O34" s="115">
        <v>2.6260601324282624</v>
      </c>
      <c r="P34" s="115">
        <v>4.2931268725191583</v>
      </c>
      <c r="Q34" s="111">
        <v>2.6260601324282629</v>
      </c>
      <c r="R34" s="68">
        <v>4.2931268725191583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0.32497095831849399</v>
      </c>
      <c r="M35" s="115">
        <v>1.8063442579601028</v>
      </c>
      <c r="N35" s="115">
        <v>63.681460516504004</v>
      </c>
      <c r="O35" s="115">
        <v>3.5063425065585605</v>
      </c>
      <c r="P35" s="115">
        <v>5.9348954813991108</v>
      </c>
      <c r="Q35" s="111">
        <v>3.5063425065585605</v>
      </c>
      <c r="R35" s="68">
        <v>5.9348954813991108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0.10847683544260467</v>
      </c>
      <c r="M36" s="115">
        <v>1.94580831113196</v>
      </c>
      <c r="N36" s="115">
        <v>77.380140423067502</v>
      </c>
      <c r="O36" s="115">
        <v>4.3470550708186639</v>
      </c>
      <c r="P36" s="115">
        <v>7.5194095030811052</v>
      </c>
      <c r="Q36" s="111">
        <v>4.3470550708186639</v>
      </c>
      <c r="R36" s="68">
        <v>7.5194095030811052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0.21716786258856144</v>
      </c>
      <c r="M37" s="115">
        <v>5.3664893738278296</v>
      </c>
      <c r="N37" s="115">
        <v>182.08152689640752</v>
      </c>
      <c r="O37" s="115">
        <v>4.2678031847524176</v>
      </c>
      <c r="P37" s="115">
        <v>6.3762243767318987</v>
      </c>
      <c r="Q37" s="111">
        <v>4.2678031847524176</v>
      </c>
      <c r="R37" s="68">
        <v>6.3762243767318987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0.61440699388798659</v>
      </c>
      <c r="M38" s="115">
        <v>1.512891998358086</v>
      </c>
      <c r="N38" s="115">
        <v>40.334148882637656</v>
      </c>
      <c r="O38" s="115">
        <v>2.3664522073146079</v>
      </c>
      <c r="P38" s="115">
        <v>3.7986417883499199</v>
      </c>
      <c r="Q38" s="111">
        <v>2.3664522073146084</v>
      </c>
      <c r="R38" s="68">
        <v>3.7986417883499204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1.1005762519310128E-2</v>
      </c>
      <c r="M39" s="115">
        <v>22.079194129875585</v>
      </c>
      <c r="N39" s="115">
        <v>729.64837209740961</v>
      </c>
      <c r="O39" s="115">
        <v>7.9058880428279323</v>
      </c>
      <c r="P39" s="115">
        <v>8.0651061885774347</v>
      </c>
      <c r="Q39" s="111">
        <v>7.9058880428279323</v>
      </c>
      <c r="R39" s="68">
        <v>8.0651061885774347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9.719219663241528E-4</v>
      </c>
      <c r="M40" s="115">
        <v>130.68476248803321</v>
      </c>
      <c r="N40" s="115">
        <v>5399.6632160871195</v>
      </c>
      <c r="O40" s="115">
        <v>19.058424374058081</v>
      </c>
      <c r="P40" s="115">
        <v>12.497441420516216</v>
      </c>
      <c r="Q40" s="111">
        <v>19.058424374058085</v>
      </c>
      <c r="R40" s="68">
        <v>12.497441420516216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0.92999996770802862</v>
      </c>
      <c r="M41" s="115">
        <v>0.82602105829859218</v>
      </c>
      <c r="N41" s="115">
        <v>6.5799201255443779E-2</v>
      </c>
      <c r="O41" s="115">
        <v>0.76883150622097163</v>
      </c>
      <c r="P41" s="115">
        <v>0.89338677686576695</v>
      </c>
      <c r="Q41" s="111">
        <v>0.76883150622097163</v>
      </c>
      <c r="R41" s="68">
        <v>0.89338677686576695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0.63378210939953272</v>
      </c>
      <c r="M42" s="115">
        <v>7.2147480458137441</v>
      </c>
      <c r="N42" s="115">
        <v>217.58930922030237</v>
      </c>
      <c r="O42" s="115">
        <v>2.6145147839073317</v>
      </c>
      <c r="P42" s="115">
        <v>2.4713641335985135</v>
      </c>
      <c r="Q42" s="111">
        <v>2.6145147839073317</v>
      </c>
      <c r="R42" s="68">
        <v>2.4713641335985135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8.8400167152432683E-3</v>
      </c>
      <c r="M43" s="115">
        <v>3.949218529048141</v>
      </c>
      <c r="N43" s="115">
        <v>164.41453152851994</v>
      </c>
      <c r="O43" s="115">
        <v>4.9476479655159906</v>
      </c>
      <c r="P43" s="115">
        <v>8.315613994119726</v>
      </c>
      <c r="Q43" s="111">
        <v>4.9476479655159906</v>
      </c>
      <c r="R43" s="68">
        <v>8.315613994119726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0.83937042300742137</v>
      </c>
      <c r="M44" s="115">
        <v>1.7257027086402008</v>
      </c>
      <c r="N44" s="115">
        <v>32.020665217634587</v>
      </c>
      <c r="O44" s="115">
        <v>0.98618561889853695</v>
      </c>
      <c r="P44" s="115">
        <v>1.0501767670501294</v>
      </c>
      <c r="Q44" s="111">
        <v>0.98618561889853695</v>
      </c>
      <c r="R44" s="68">
        <v>1.0501767670501294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0.5955548707065258</v>
      </c>
      <c r="M45" s="115">
        <v>8.0632144521647238</v>
      </c>
      <c r="N45" s="115">
        <v>246.53011893872639</v>
      </c>
      <c r="O45" s="115">
        <v>2.8710785223676649</v>
      </c>
      <c r="P45" s="115">
        <v>2.7028855162835925</v>
      </c>
      <c r="Q45" s="111">
        <v>2.8710785223676654</v>
      </c>
      <c r="R45" s="68">
        <v>2.7028855162835925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0.61864171648852762</v>
      </c>
      <c r="M46" s="115">
        <v>7.5134834754711015</v>
      </c>
      <c r="N46" s="115">
        <v>227.82702036134526</v>
      </c>
      <c r="O46" s="115">
        <v>2.7038566010177991</v>
      </c>
      <c r="P46" s="115">
        <v>2.5515439866903602</v>
      </c>
      <c r="Q46" s="111">
        <v>2.7038566010177991</v>
      </c>
      <c r="R46" s="68">
        <v>2.5515439866903602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6.7125986162455795E-4</v>
      </c>
      <c r="M47" s="115">
        <v>110.9999914179802</v>
      </c>
      <c r="N47" s="115">
        <v>3703.4095129620159</v>
      </c>
      <c r="O47" s="115">
        <v>22.335532385294719</v>
      </c>
      <c r="P47" s="115">
        <v>9.5674602012177274</v>
      </c>
      <c r="Q47" s="111">
        <v>22.335532385294719</v>
      </c>
      <c r="R47" s="68">
        <v>9.5674602012177292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0.94590306265215796</v>
      </c>
      <c r="M48" s="115">
        <v>1.1668300854745557</v>
      </c>
      <c r="N48" s="115">
        <v>10.706912640845928</v>
      </c>
      <c r="O48" s="115">
        <v>0.87674719638279563</v>
      </c>
      <c r="P48" s="115">
        <v>0.9848231578986486</v>
      </c>
      <c r="Q48" s="111">
        <v>0.87674719638279575</v>
      </c>
      <c r="R48" s="68">
        <v>0.9848231578986486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0.91916943302737086</v>
      </c>
      <c r="M49" s="115">
        <v>1.3869910513764505</v>
      </c>
      <c r="N49" s="115">
        <v>18.660010794454902</v>
      </c>
      <c r="O49" s="115">
        <v>0.9275535807968498</v>
      </c>
      <c r="P49" s="115">
        <v>1.0201787500003097</v>
      </c>
      <c r="Q49" s="111">
        <v>0.9275535807968498</v>
      </c>
      <c r="R49" s="68">
        <v>1.0201787500003097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8.7402796471627436E-2</v>
      </c>
      <c r="M50" s="115">
        <v>20.540210017511985</v>
      </c>
      <c r="N50" s="115">
        <v>673.46824408509644</v>
      </c>
      <c r="O50" s="115">
        <v>7.0430849967515972</v>
      </c>
      <c r="P50" s="115">
        <v>6.8646204920621416</v>
      </c>
      <c r="Q50" s="111">
        <v>7.0430849967515972</v>
      </c>
      <c r="R50" s="68">
        <v>6.8646204920621416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0.9302991799178929</v>
      </c>
      <c r="M51" s="115">
        <v>0.88308303697503998</v>
      </c>
      <c r="N51" s="115">
        <v>1.910969469234538</v>
      </c>
      <c r="O51" s="115">
        <v>0.78502322491273169</v>
      </c>
      <c r="P51" s="115">
        <v>0.90585824609900112</v>
      </c>
      <c r="Q51" s="111">
        <v>0.7850232249127318</v>
      </c>
      <c r="R51" s="68">
        <v>0.90585824609900112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0.81245426191913506</v>
      </c>
      <c r="M52" s="115">
        <v>2.3842524518480759</v>
      </c>
      <c r="N52" s="115">
        <v>54.302257245281154</v>
      </c>
      <c r="O52" s="115">
        <v>1.1740639012121874</v>
      </c>
      <c r="P52" s="115">
        <v>1.2068838008092626</v>
      </c>
      <c r="Q52" s="111">
        <v>1.1740639012121874</v>
      </c>
      <c r="R52" s="68">
        <v>1.2068838008092626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0.4680722006551935</v>
      </c>
      <c r="M53" s="115">
        <v>11.030454842477772</v>
      </c>
      <c r="N53" s="115">
        <v>347.6915813059835</v>
      </c>
      <c r="O53" s="115">
        <v>3.7870357532886905</v>
      </c>
      <c r="P53" s="115">
        <v>3.5469061349316515</v>
      </c>
      <c r="Q53" s="111">
        <v>3.7870357532886909</v>
      </c>
      <c r="R53" s="68">
        <v>3.5469061349316515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9.4173307252658905E-4</v>
      </c>
      <c r="M54" s="115">
        <v>102.29504625630345</v>
      </c>
      <c r="N54" s="115">
        <v>3410.0512289983712</v>
      </c>
      <c r="O54" s="115">
        <v>20.932278772565187</v>
      </c>
      <c r="P54" s="115">
        <v>9.3997313587374265</v>
      </c>
      <c r="Q54" s="111">
        <v>20.932278772565187</v>
      </c>
      <c r="R54" s="68">
        <v>9.3997313587374283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0.16621684662026787</v>
      </c>
      <c r="M55" s="115">
        <v>15.804927735027015</v>
      </c>
      <c r="N55" s="115">
        <v>514.33273716240615</v>
      </c>
      <c r="O55" s="115">
        <v>5.3404988454213367</v>
      </c>
      <c r="P55" s="115">
        <v>5.0943522634414462</v>
      </c>
      <c r="Q55" s="111">
        <v>5.3404988454213367</v>
      </c>
      <c r="R55" s="68">
        <v>5.0943522634414462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1.9611823127567377E-2</v>
      </c>
      <c r="M56" s="115">
        <v>9.266598725708846</v>
      </c>
      <c r="N56" s="115">
        <v>304.86102642701178</v>
      </c>
      <c r="O56" s="115">
        <v>3.230222698739043</v>
      </c>
      <c r="P56" s="115">
        <v>3.2057809834403148</v>
      </c>
      <c r="Q56" s="111">
        <v>3.2302226987390434</v>
      </c>
      <c r="R56" s="68">
        <v>3.2057809834403153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3.6855815202629677E-2</v>
      </c>
      <c r="M57" s="115">
        <v>4.7354155494372119</v>
      </c>
      <c r="N57" s="115">
        <v>154.57813083897133</v>
      </c>
      <c r="O57" s="115">
        <v>1.6060130445972371</v>
      </c>
      <c r="P57" s="115">
        <v>1.5423923144948251</v>
      </c>
      <c r="Q57" s="111">
        <v>1.6060130445972371</v>
      </c>
      <c r="R57" s="68">
        <v>1.5423923144948251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7.5009684888269729E-2</v>
      </c>
      <c r="M58" s="115">
        <v>0.12547197177017649</v>
      </c>
      <c r="N58" s="115">
        <v>1.9235407273869647</v>
      </c>
      <c r="O58" s="115">
        <v>7.9396821691357145E-2</v>
      </c>
      <c r="P58" s="115">
        <v>8.6385590755855432E-2</v>
      </c>
      <c r="Q58" s="111">
        <v>7.9396821691357158E-2</v>
      </c>
      <c r="R58" s="68">
        <v>8.6385590755855432E-2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1.5336052909703184E-2</v>
      </c>
      <c r="M59" s="115">
        <v>1.8380975317548209</v>
      </c>
      <c r="N59" s="115">
        <v>59.962139784903101</v>
      </c>
      <c r="O59" s="115">
        <v>0.62277920520694474</v>
      </c>
      <c r="P59" s="115">
        <v>0.59714753443166213</v>
      </c>
      <c r="Q59" s="111">
        <v>0.62277920520694474</v>
      </c>
      <c r="R59" s="68">
        <v>0.59714753443166213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5.7699836049196073E-4</v>
      </c>
      <c r="M60" s="115">
        <v>3.2283770114424168E-2</v>
      </c>
      <c r="N60" s="115">
        <v>1.0425128251355316</v>
      </c>
      <c r="O60" s="115">
        <v>1.0886714887043916E-2</v>
      </c>
      <c r="P60" s="115">
        <v>1.0279079376932754E-2</v>
      </c>
      <c r="Q60" s="111">
        <v>1.0886714887043916E-2</v>
      </c>
      <c r="R60" s="68">
        <v>1.0279079376932754E-2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0.35149031186459329</v>
      </c>
      <c r="M61" s="115">
        <v>13.948512177432878</v>
      </c>
      <c r="N61" s="115">
        <v>447.13316121708982</v>
      </c>
      <c r="O61" s="115">
        <v>4.7182752789529347</v>
      </c>
      <c r="P61" s="115">
        <v>4.4332262418299138</v>
      </c>
      <c r="Q61" s="111">
        <v>4.7182752789529347</v>
      </c>
      <c r="R61" s="68">
        <v>4.4332262418299138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4.1159522846578945E-3</v>
      </c>
      <c r="M62" s="115">
        <v>53.428047399109794</v>
      </c>
      <c r="N62" s="115">
        <v>1773.1840542324869</v>
      </c>
      <c r="O62" s="115">
        <v>13.01010364489407</v>
      </c>
      <c r="P62" s="115">
        <v>8.543863845444351</v>
      </c>
      <c r="Q62" s="111">
        <v>13.01010364489407</v>
      </c>
      <c r="R62" s="68">
        <v>8.543863845444351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3.6355594051860809E-4</v>
      </c>
      <c r="M63" s="115">
        <v>123.97162069844052</v>
      </c>
      <c r="N63" s="115">
        <v>4142.2741437300065</v>
      </c>
      <c r="O63" s="115">
        <v>24.415040981703896</v>
      </c>
      <c r="P63" s="115">
        <v>9.8252129308048719</v>
      </c>
      <c r="Q63" s="111">
        <v>24.4150409817039</v>
      </c>
      <c r="R63" s="68">
        <v>9.8252129308048719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1.2442089712035183E-4</v>
      </c>
      <c r="M64" s="115">
        <v>139.5592033135535</v>
      </c>
      <c r="N64" s="115">
        <v>4674.2857305304587</v>
      </c>
      <c r="O64" s="115">
        <v>26.882653707127485</v>
      </c>
      <c r="P64" s="115">
        <v>10.155881879139129</v>
      </c>
      <c r="Q64" s="111">
        <v>26.882653707127485</v>
      </c>
      <c r="R64" s="68">
        <v>10.155881879139129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3.4583500947042932E-5</v>
      </c>
      <c r="M65" s="115">
        <v>150.25783558856841</v>
      </c>
      <c r="N65" s="115">
        <v>5046.2003901308281</v>
      </c>
      <c r="O65" s="115">
        <v>28.525859875103162</v>
      </c>
      <c r="P65" s="115">
        <v>10.404457166625587</v>
      </c>
      <c r="Q65" s="111">
        <v>28.525859875103162</v>
      </c>
      <c r="R65" s="68">
        <v>10.404457166625589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7.2072341607327831E-5</v>
      </c>
      <c r="M66" s="115">
        <v>144.91885306391134</v>
      </c>
      <c r="N66" s="115">
        <v>4859.4576244915443</v>
      </c>
      <c r="O66" s="115">
        <v>27.714687992276978</v>
      </c>
      <c r="P66" s="115">
        <v>10.277309777065502</v>
      </c>
      <c r="Q66" s="111">
        <v>27.714687992276982</v>
      </c>
      <c r="R66" s="68">
        <v>10.277309777065502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0.88988497845256864</v>
      </c>
      <c r="M67" s="115">
        <v>2.0433099355274931</v>
      </c>
      <c r="N67" s="115">
        <v>40.924806336764476</v>
      </c>
      <c r="O67" s="115">
        <v>1.1109246922554765</v>
      </c>
      <c r="P67" s="115">
        <v>1.1697353667070665</v>
      </c>
      <c r="Q67" s="111">
        <v>1.1109246922554765</v>
      </c>
      <c r="R67" s="68">
        <v>1.1697353667070667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0.83526089363102096</v>
      </c>
      <c r="M68" s="115">
        <v>2.9010666143829056</v>
      </c>
      <c r="N68" s="115">
        <v>70.523333910208891</v>
      </c>
      <c r="O68" s="115">
        <v>1.3466100949193773</v>
      </c>
      <c r="P68" s="115">
        <v>1.3631877842856375</v>
      </c>
      <c r="Q68" s="111">
        <v>1.3466100949193773</v>
      </c>
      <c r="R68" s="68">
        <v>1.3631877842856375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1.4699901709416582E-3</v>
      </c>
      <c r="M69" s="115">
        <v>89.076783623131263</v>
      </c>
      <c r="N69" s="115">
        <v>2965.8578658918295</v>
      </c>
      <c r="O69" s="115">
        <v>18.791919413147106</v>
      </c>
      <c r="P69" s="115">
        <v>9.1488844444283295</v>
      </c>
      <c r="Q69" s="111">
        <v>18.791919413147106</v>
      </c>
      <c r="R69" s="68">
        <v>9.1488844444283295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2.8157164246686031E-2</v>
      </c>
      <c r="M70" s="115">
        <v>21.706080435650293</v>
      </c>
      <c r="N70" s="115">
        <v>715.36674858564345</v>
      </c>
      <c r="O70" s="115">
        <v>7.6657200235735523</v>
      </c>
      <c r="P70" s="115">
        <v>7.7065642397088663</v>
      </c>
      <c r="Q70" s="111">
        <v>7.6657200235735523</v>
      </c>
      <c r="R70" s="68">
        <v>7.7065642397088672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0.83351863257363623</v>
      </c>
      <c r="M71" s="115">
        <v>2.70277706236782</v>
      </c>
      <c r="N71" s="115">
        <v>64.09556487827281</v>
      </c>
      <c r="O71" s="115">
        <v>1.2840589675381919</v>
      </c>
      <c r="P71" s="115">
        <v>1.3078458081271911</v>
      </c>
      <c r="Q71" s="111">
        <v>1.2840589675381919</v>
      </c>
      <c r="R71" s="68">
        <v>1.3078458081271911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3.2797066060187431E-2</v>
      </c>
      <c r="M72" s="115">
        <v>21.475698482641246</v>
      </c>
      <c r="N72" s="115">
        <v>707.38542798377887</v>
      </c>
      <c r="O72" s="115">
        <v>7.550685481830441</v>
      </c>
      <c r="P72" s="115">
        <v>7.5582431008800102</v>
      </c>
      <c r="Q72" s="111">
        <v>7.550685481830441</v>
      </c>
      <c r="R72" s="68">
        <v>7.5582431008800111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0.32318531241132958</v>
      </c>
      <c r="M73" s="115">
        <v>14.377595254155072</v>
      </c>
      <c r="N73" s="115">
        <v>462.13515280921609</v>
      </c>
      <c r="O73" s="115">
        <v>4.856085460142431</v>
      </c>
      <c r="P73" s="115">
        <v>4.5692277683178819</v>
      </c>
      <c r="Q73" s="111">
        <v>4.856085460142431</v>
      </c>
      <c r="R73" s="68">
        <v>4.5692277683178819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2.944573571370562E-2</v>
      </c>
      <c r="M74" s="115">
        <v>21.665162134222719</v>
      </c>
      <c r="N74" s="115">
        <v>713.90858228229956</v>
      </c>
      <c r="O74" s="115">
        <v>7.6414734029526441</v>
      </c>
      <c r="P74" s="115">
        <v>7.6727213217226851</v>
      </c>
      <c r="Q74" s="111">
        <v>7.641473402952645</v>
      </c>
      <c r="R74" s="68">
        <v>7.6727213217226851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4.3161010341956881E-3</v>
      </c>
      <c r="M75" s="115">
        <v>13.048701916923898</v>
      </c>
      <c r="N75" s="115">
        <v>547.55835304189088</v>
      </c>
      <c r="O75" s="115">
        <v>5.9571390008360341</v>
      </c>
      <c r="P75" s="115">
        <v>8.691965472532944</v>
      </c>
      <c r="Q75" s="111">
        <v>5.957139000836035</v>
      </c>
      <c r="R75" s="68">
        <v>8.691965472532944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4.3161010359890348E-3</v>
      </c>
      <c r="M76" s="115">
        <v>13.048701922345652</v>
      </c>
      <c r="N76" s="115">
        <v>547.55835326940223</v>
      </c>
      <c r="O76" s="115">
        <v>5.9571390033112346</v>
      </c>
      <c r="P76" s="115">
        <v>8.6919654761444676</v>
      </c>
      <c r="Q76" s="111">
        <v>5.9571390033112346</v>
      </c>
      <c r="R76" s="68">
        <v>8.6919654761444693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0.1196498598905678</v>
      </c>
      <c r="M77" s="115">
        <v>19.387491762367329</v>
      </c>
      <c r="N77" s="115">
        <v>634.08833928131332</v>
      </c>
      <c r="O77" s="115">
        <v>6.599893590824677</v>
      </c>
      <c r="P77" s="115">
        <v>6.3735414363764518</v>
      </c>
      <c r="Q77" s="111">
        <v>6.599893590824677</v>
      </c>
      <c r="R77" s="68">
        <v>6.3735414363764518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0.63162204375628284</v>
      </c>
      <c r="M78" s="115">
        <v>6.599079560878927</v>
      </c>
      <c r="N78" s="115">
        <v>197.48372925213408</v>
      </c>
      <c r="O78" s="115">
        <v>2.4155266622496501</v>
      </c>
      <c r="P78" s="115">
        <v>2.2890213683980343</v>
      </c>
      <c r="Q78" s="111">
        <v>2.4155266622496505</v>
      </c>
      <c r="R78" s="68">
        <v>2.2890213683980347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0.45512007832004164</v>
      </c>
      <c r="M79" s="115">
        <v>11.218551599055539</v>
      </c>
      <c r="N79" s="115">
        <v>354.26095414936356</v>
      </c>
      <c r="O79" s="115">
        <v>3.8443170053896707</v>
      </c>
      <c r="P79" s="115">
        <v>3.6006225320214211</v>
      </c>
      <c r="Q79" s="111">
        <v>3.8443170053896711</v>
      </c>
      <c r="R79" s="68">
        <v>3.6006225320214211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2.9125989121412607E-3</v>
      </c>
      <c r="M80" s="115">
        <v>25.227199331962886</v>
      </c>
      <c r="N80" s="115">
        <v>1058.8120997306182</v>
      </c>
      <c r="O80" s="115">
        <v>7.2934876088667222</v>
      </c>
      <c r="P80" s="115">
        <v>9.1514353896026783</v>
      </c>
      <c r="Q80" s="111">
        <v>7.2934876088667222</v>
      </c>
      <c r="R80" s="68">
        <v>9.1514353896026783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0.98334416261221536</v>
      </c>
      <c r="M81" s="115">
        <v>0.92406106019100309</v>
      </c>
      <c r="N81" s="115">
        <v>1.7148981340049132</v>
      </c>
      <c r="O81" s="115">
        <v>0.82711397857595959</v>
      </c>
      <c r="P81" s="115">
        <v>0.95541946444785986</v>
      </c>
      <c r="Q81" s="111">
        <v>0.8271139785759597</v>
      </c>
      <c r="R81" s="68">
        <v>0.95541946444785997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0.81732406899934817</v>
      </c>
      <c r="M82" s="115">
        <v>3.3947358473901166</v>
      </c>
      <c r="N82" s="115">
        <v>87.178258283353159</v>
      </c>
      <c r="O82" s="115">
        <v>1.4911697363955367</v>
      </c>
      <c r="P82" s="115">
        <v>1.4871064030361487</v>
      </c>
      <c r="Q82" s="111">
        <v>1.4911697363955367</v>
      </c>
      <c r="R82" s="68">
        <v>1.4871064030361487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0.15181364031319264</v>
      </c>
      <c r="M83" s="115">
        <v>19.058797089135279</v>
      </c>
      <c r="N83" s="115">
        <v>622.00419469265148</v>
      </c>
      <c r="O83" s="115">
        <v>6.4616173152152525</v>
      </c>
      <c r="P83" s="115">
        <v>6.2023043082284373</v>
      </c>
      <c r="Q83" s="111">
        <v>6.4616173152152534</v>
      </c>
      <c r="R83" s="68">
        <v>6.2023043082284373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0.96492298627433426</v>
      </c>
      <c r="M84" s="115">
        <v>1.0726873945942452</v>
      </c>
      <c r="N84" s="115">
        <v>7.0881204366238357</v>
      </c>
      <c r="O84" s="115">
        <v>0.85969711147055161</v>
      </c>
      <c r="P84" s="115">
        <v>0.97610519256590234</v>
      </c>
      <c r="Q84" s="111">
        <v>0.85969711147055161</v>
      </c>
      <c r="R84" s="68">
        <v>0.97610519256590234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0.99144457656008511</v>
      </c>
      <c r="M85" s="115">
        <v>0.88918421869422437</v>
      </c>
      <c r="N85" s="115">
        <v>0.34829255305193907</v>
      </c>
      <c r="O85" s="115">
        <v>0.82197739538688386</v>
      </c>
      <c r="P85" s="115">
        <v>0.9541284444617073</v>
      </c>
      <c r="Q85" s="111">
        <v>0.82197739538688386</v>
      </c>
      <c r="R85" s="68">
        <v>0.95412844446170741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0.96582780636975507</v>
      </c>
      <c r="M86" s="115">
        <v>1.0637517020207459</v>
      </c>
      <c r="N86" s="115">
        <v>6.7707259349140303</v>
      </c>
      <c r="O86" s="115">
        <v>0.85758912083025718</v>
      </c>
      <c r="P86" s="115">
        <v>0.97464312279736309</v>
      </c>
      <c r="Q86" s="111">
        <v>0.85758912083025718</v>
      </c>
      <c r="R86" s="68">
        <v>0.97464312279736309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5.3163990282440951E-4</v>
      </c>
      <c r="M87" s="115">
        <v>116.33786305689414</v>
      </c>
      <c r="N87" s="115">
        <v>3883.7143938879894</v>
      </c>
      <c r="O87" s="115">
        <v>23.193121069648829</v>
      </c>
      <c r="P87" s="115">
        <v>9.6720639152056691</v>
      </c>
      <c r="Q87" s="111">
        <v>23.193121069648832</v>
      </c>
      <c r="R87" s="68">
        <v>9.6720639152056691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0.71104114140646368</v>
      </c>
      <c r="M88" s="115">
        <v>5.533511364821595</v>
      </c>
      <c r="N88" s="115">
        <v>160.24962610348908</v>
      </c>
      <c r="O88" s="115">
        <v>2.1128075341479766</v>
      </c>
      <c r="P88" s="115">
        <v>2.0251286219736504</v>
      </c>
      <c r="Q88" s="111">
        <v>2.1128075341479766</v>
      </c>
      <c r="R88" s="68">
        <v>2.0251286219736504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0.80049134230616126</v>
      </c>
      <c r="M89" s="115">
        <v>3.7180402166118469</v>
      </c>
      <c r="N89" s="115">
        <v>98.237699475228766</v>
      </c>
      <c r="O89" s="115">
        <v>1.5836996593106123</v>
      </c>
      <c r="P89" s="115">
        <v>1.5658936653963267</v>
      </c>
      <c r="Q89" s="111">
        <v>1.5836996593106123</v>
      </c>
      <c r="R89" s="68">
        <v>1.5658936653963267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0.925264971318842</v>
      </c>
      <c r="M90" s="115">
        <v>1.5649225599239982</v>
      </c>
      <c r="N90" s="115">
        <v>24.288280724461728</v>
      </c>
      <c r="O90" s="115">
        <v>0.98457901150977234</v>
      </c>
      <c r="P90" s="115">
        <v>1.0700041922487733</v>
      </c>
      <c r="Q90" s="111">
        <v>0.98457901150977234</v>
      </c>
      <c r="R90" s="68">
        <v>1.0700041922487733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3.5716135023280689E-3</v>
      </c>
      <c r="M91" s="115">
        <v>58.552608618330659</v>
      </c>
      <c r="N91" s="115">
        <v>1944.2261253537151</v>
      </c>
      <c r="O91" s="115">
        <v>13.843308526352322</v>
      </c>
      <c r="P91" s="115">
        <v>8.6277414982441591</v>
      </c>
      <c r="Q91" s="111">
        <v>13.843308526352324</v>
      </c>
      <c r="R91" s="68">
        <v>8.6277414982441609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0.21544978753653501</v>
      </c>
      <c r="M92" s="115">
        <v>17.426693023301286</v>
      </c>
      <c r="N92" s="115">
        <v>565.97830721509206</v>
      </c>
      <c r="O92" s="115">
        <v>5.8807879230886106</v>
      </c>
      <c r="P92" s="115">
        <v>5.590743804841277</v>
      </c>
      <c r="Q92" s="111">
        <v>5.8807879230886106</v>
      </c>
      <c r="R92" s="68">
        <v>5.590743804841277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4.359781273079362E-2</v>
      </c>
      <c r="M93" s="115">
        <v>21.582741549237412</v>
      </c>
      <c r="N93" s="115">
        <v>710.17963202171768</v>
      </c>
      <c r="O93" s="115">
        <v>7.5324925153999205</v>
      </c>
      <c r="P93" s="115">
        <v>7.4846549995179927</v>
      </c>
      <c r="Q93" s="111">
        <v>7.5324925153999214</v>
      </c>
      <c r="R93" s="68">
        <v>7.4846549995179927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0.89347409428277391</v>
      </c>
      <c r="M94" s="115">
        <v>1.0733208575744173</v>
      </c>
      <c r="N94" s="115">
        <v>11.876103112583374</v>
      </c>
      <c r="O94" s="115">
        <v>1.247173776109116</v>
      </c>
      <c r="P94" s="115">
        <v>1.7349091576816313</v>
      </c>
      <c r="Q94" s="111">
        <v>1.247173776109116</v>
      </c>
      <c r="R94" s="68">
        <v>1.7349091576816313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8.3979519146926019E-3</v>
      </c>
      <c r="M95" s="115">
        <v>29.49721519703564</v>
      </c>
      <c r="N95" s="115">
        <v>976.12104477793184</v>
      </c>
      <c r="O95" s="115">
        <v>9.115006041473956</v>
      </c>
      <c r="P95" s="115">
        <v>8.1729417530144506</v>
      </c>
      <c r="Q95" s="111">
        <v>9.115006041473956</v>
      </c>
      <c r="R95" s="68">
        <v>8.1729417530144506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0.98277909129913221</v>
      </c>
      <c r="M96" s="115">
        <v>0.9273588684191959</v>
      </c>
      <c r="N96" s="115">
        <v>1.8384836973278411</v>
      </c>
      <c r="O96" s="115">
        <v>0.8277283953937582</v>
      </c>
      <c r="P96" s="115">
        <v>0.95572199816795789</v>
      </c>
      <c r="Q96" s="111">
        <v>0.8277283953937582</v>
      </c>
      <c r="R96" s="68">
        <v>0.95572199816795789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0.96445999238088997</v>
      </c>
      <c r="M97" s="115">
        <v>1.0773129572865012</v>
      </c>
      <c r="N97" s="115">
        <v>7.2522693438951844</v>
      </c>
      <c r="O97" s="115">
        <v>0.86079257246541585</v>
      </c>
      <c r="P97" s="115">
        <v>0.97686839591901786</v>
      </c>
      <c r="Q97" s="111">
        <v>0.86079257246541596</v>
      </c>
      <c r="R97" s="68">
        <v>0.97686839591901797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1.9900310993274169E-2</v>
      </c>
      <c r="M98" s="115">
        <v>21.76614367234378</v>
      </c>
      <c r="N98" s="115">
        <v>718.12026930085131</v>
      </c>
      <c r="O98" s="115">
        <v>7.7628964808027199</v>
      </c>
      <c r="P98" s="115">
        <v>7.8768210837636516</v>
      </c>
      <c r="Q98" s="111">
        <v>7.7628964808027199</v>
      </c>
      <c r="R98" s="68">
        <v>7.8768210837636525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0.99311941725340824</v>
      </c>
      <c r="M99" s="115">
        <v>0.88544790982994115</v>
      </c>
      <c r="N99" s="115">
        <v>0.17911441502701361</v>
      </c>
      <c r="O99" s="115">
        <v>0.82192599439204783</v>
      </c>
      <c r="P99" s="115">
        <v>0.95467920742130463</v>
      </c>
      <c r="Q99" s="111">
        <v>0.82192599439204794</v>
      </c>
      <c r="R99" s="68">
        <v>0.95467920742130463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0.50530226516911914</v>
      </c>
      <c r="M100" s="115">
        <v>10.180192139095876</v>
      </c>
      <c r="N100" s="115">
        <v>318.66036739787484</v>
      </c>
      <c r="O100" s="115">
        <v>3.5221874735208396</v>
      </c>
      <c r="P100" s="115">
        <v>3.3001518491792465</v>
      </c>
      <c r="Q100" s="111">
        <v>3.5221874735208401</v>
      </c>
      <c r="R100" s="68">
        <v>3.3001518491792465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0.9905617877687094</v>
      </c>
      <c r="M101" s="115">
        <v>0.89170371702326345</v>
      </c>
      <c r="N101" s="115">
        <v>0.45539572554073188</v>
      </c>
      <c r="O101" s="115">
        <v>0.82216239569093108</v>
      </c>
      <c r="P101" s="115">
        <v>0.95396343548749352</v>
      </c>
      <c r="Q101" s="111">
        <v>0.82216239569093119</v>
      </c>
      <c r="R101" s="68">
        <v>0.95396343548749363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0.9952294257271932</v>
      </c>
      <c r="M102" s="115">
        <v>0.88296386022786688</v>
      </c>
      <c r="N102" s="115">
        <v>3.8326878091508219E-2</v>
      </c>
      <c r="O102" s="115">
        <v>0.8224902058346627</v>
      </c>
      <c r="P102" s="115">
        <v>0.95586086955583971</v>
      </c>
      <c r="Q102" s="111">
        <v>0.82249020583466281</v>
      </c>
      <c r="R102" s="68">
        <v>0.95586086955583971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0.99323794488346073</v>
      </c>
      <c r="M103" s="115">
        <v>0.88523931008054024</v>
      </c>
      <c r="N103" s="115">
        <v>0.16895971632531318</v>
      </c>
      <c r="O103" s="115">
        <v>0.82193826011920912</v>
      </c>
      <c r="P103" s="115">
        <v>0.95473065845214278</v>
      </c>
      <c r="Q103" s="111">
        <v>0.82193826011920923</v>
      </c>
      <c r="R103" s="68">
        <v>0.95473065845214289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0.9746268652362029</v>
      </c>
      <c r="M104" s="115">
        <v>0.98481423540243274</v>
      </c>
      <c r="N104" s="115">
        <v>3.9443910452703861</v>
      </c>
      <c r="O104" s="115">
        <v>0.83958261378313293</v>
      </c>
      <c r="P104" s="115">
        <v>0.96263838027139059</v>
      </c>
      <c r="Q104" s="111">
        <v>0.83958261378313293</v>
      </c>
      <c r="R104" s="68">
        <v>0.96263838027139059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0.9949225292601459</v>
      </c>
      <c r="M105" s="115">
        <v>0.88315154989685896</v>
      </c>
      <c r="N105" s="115">
        <v>5.316285818889329E-2</v>
      </c>
      <c r="O105" s="115">
        <v>0.82235966311103437</v>
      </c>
      <c r="P105" s="115">
        <v>0.95565221481713414</v>
      </c>
      <c r="Q105" s="111">
        <v>0.82235966311103448</v>
      </c>
      <c r="R105" s="68">
        <v>0.95565221481713414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0.89960812172029569</v>
      </c>
      <c r="M106" s="115">
        <v>1.9525516898292086</v>
      </c>
      <c r="N106" s="115">
        <v>37.68058661386727</v>
      </c>
      <c r="O106" s="115">
        <v>1.0884318885428099</v>
      </c>
      <c r="P106" s="115">
        <v>1.1526283652495029</v>
      </c>
      <c r="Q106" s="111">
        <v>1.0884318885428099</v>
      </c>
      <c r="R106" s="68">
        <v>1.1526283652495029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1.4642690358232582E-2</v>
      </c>
      <c r="M107" s="115">
        <v>21.689565793334541</v>
      </c>
      <c r="N107" s="115">
        <v>716.20312945907006</v>
      </c>
      <c r="O107" s="115">
        <v>7.8040052540726617</v>
      </c>
      <c r="P107" s="115">
        <v>7.9822526092863688</v>
      </c>
      <c r="Q107" s="111">
        <v>7.8040052540726617</v>
      </c>
      <c r="R107" s="68">
        <v>7.9822526092863697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0.57634559470290814</v>
      </c>
      <c r="M108" s="115">
        <v>8.5168567036207108</v>
      </c>
      <c r="N108" s="115">
        <v>261.9739596116944</v>
      </c>
      <c r="O108" s="115">
        <v>3.0096103300966019</v>
      </c>
      <c r="P108" s="115">
        <v>2.8288848025158124</v>
      </c>
      <c r="Q108" s="111">
        <v>3.0096103300966019</v>
      </c>
      <c r="R108" s="68">
        <v>2.8288848025158129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2024-10-28T23:17:17Z</dcterms:modified>
</cp:coreProperties>
</file>