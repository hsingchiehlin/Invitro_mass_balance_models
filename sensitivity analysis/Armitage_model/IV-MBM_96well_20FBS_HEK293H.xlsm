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572663C6-59F6-4E2B-82E7-F5D5F4881862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P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<sst xmlns="http://schemas.openxmlformats.org/spreadsheetml/2006/main" count="3131" uniqueCount="515">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</sst>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2.7549999999999999</v>
      </c>
      <c r="K5" s="136">
        <v>2.9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1.1020000000000001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0.55100000000000005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0.27550000000000002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5.8000000000000003E-2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4.6399999999999997E-2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1.6240000000000001E-2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8.9899999999999997E-3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6.6699999999999997E-3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3.48E-3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5.8000000000000003E-2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1.0200000000000001E-2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2.3800000000000002E-2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0.08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5.8000000000000003E-2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5.8000000000000003E-2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3.8666666666666667E-4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1.3146666666666669E-5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8.2438773376274056E-8</v>
      </c>
      <c r="J2" s="67" t="s">
        <v>231</v>
      </c>
      <c r="K2" s="68">
        <v>9.0932778042985467E-4</v>
      </c>
      <c r="L2" s="67" t="s">
        <v>231</v>
      </c>
      <c r="M2" s="68">
        <v>1.1555446817845191E-3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9.5267154462440117E-6</v>
      </c>
      <c r="J3" s="67" t="s">
        <v>231</v>
      </c>
      <c r="K3" s="68">
        <v>1.0593672634432467E-2</v>
      </c>
      <c r="L3" s="67" t="s">
        <v>231</v>
      </c>
      <c r="M3" s="68">
        <v>0.29244651369874736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9.163015430159172E-15</v>
      </c>
      <c r="J4" s="67" t="s">
        <v>231</v>
      </c>
      <c r="K4" s="68">
        <v>1.0538332006204535E-3</v>
      </c>
      <c r="L4" s="67" t="s">
        <v>231</v>
      </c>
      <c r="M4" s="68">
        <v>3.0592730389154233E-3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1.2209976771058356E-10</v>
      </c>
      <c r="J5" s="67" t="s">
        <v>231</v>
      </c>
      <c r="K5" s="68">
        <v>1.5556254321607032E-3</v>
      </c>
      <c r="L5" s="67" t="s">
        <v>231</v>
      </c>
      <c r="M5" s="68">
        <v>4.499414887832439E-2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3.5094455307943516E-7</v>
      </c>
      <c r="J6" s="67" t="s">
        <v>231</v>
      </c>
      <c r="K6" s="68">
        <v>1.8154859559610555E-3</v>
      </c>
      <c r="L6" s="67" t="s">
        <v>231</v>
      </c>
      <c r="M6" s="68">
        <v>6.3974797583301976E-2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1.5849312499103694E-6</v>
      </c>
      <c r="J7" s="67" t="s">
        <v>231</v>
      </c>
      <c r="K7" s="68">
        <v>2.1678479680322907E-3</v>
      </c>
      <c r="L7" s="67" t="s">
        <v>231</v>
      </c>
      <c r="M7" s="68">
        <v>8.4504930447177842E-2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5.3116671785473145E-9</v>
      </c>
      <c r="J8" s="67" t="s">
        <v>231</v>
      </c>
      <c r="K8" s="68">
        <v>1.8794059798340193E-3</v>
      </c>
      <c r="L8" s="67" t="s">
        <v>231</v>
      </c>
      <c r="M8" s="68">
        <v>7.0273669554621748E-2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4.2022852297779412E-7</v>
      </c>
      <c r="J9" s="67" t="s">
        <v>231</v>
      </c>
      <c r="K9" s="68">
        <v>1.4885182638303342E-3</v>
      </c>
      <c r="L9" s="67" t="s">
        <v>231</v>
      </c>
      <c r="M9" s="68">
        <v>3.9546503561990097E-2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2.224563133166481E-4</v>
      </c>
      <c r="J10" s="67" t="s">
        <v>231</v>
      </c>
      <c r="K10" s="68">
        <v>2.2079194129875586E-2</v>
      </c>
      <c r="L10" s="67" t="s">
        <v>231</v>
      </c>
      <c r="M10" s="68">
        <v>0.72964837209740951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5.126479610953331E-9</v>
      </c>
      <c r="J11" s="67" t="s">
        <v>231</v>
      </c>
      <c r="K11" s="68">
        <v>0.13640425288948932</v>
      </c>
      <c r="L11" s="67" t="s">
        <v>231</v>
      </c>
      <c r="M11" s="68">
        <v>5.1650551216130909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2.450670286417067E-8</v>
      </c>
      <c r="J12" s="67" t="s">
        <v>231</v>
      </c>
      <c r="K12" s="68">
        <v>8.3113873942757975E-4</v>
      </c>
      <c r="L12" s="67" t="s">
        <v>231</v>
      </c>
      <c r="M12" s="68">
        <v>6.2786829552816649E-5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1.1403039105669075E-3</v>
      </c>
      <c r="J13" s="67" t="s">
        <v>231</v>
      </c>
      <c r="K13" s="68">
        <v>7.2147480458137443E-3</v>
      </c>
      <c r="L13" s="67" t="s">
        <v>231</v>
      </c>
      <c r="M13" s="68">
        <v>0.21758930922030237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9.3580245486353196E-9</v>
      </c>
      <c r="J14" s="67" t="s">
        <v>231</v>
      </c>
      <c r="K14" s="68">
        <v>4.0529054908921645E-3</v>
      </c>
      <c r="L14" s="67" t="s">
        <v>231</v>
      </c>
      <c r="M14" s="68">
        <v>0.16775396404985429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1.1744440326284351E-6</v>
      </c>
      <c r="J15" s="67" t="s">
        <v>231</v>
      </c>
      <c r="K15" s="68">
        <v>1.7257027086402007E-3</v>
      </c>
      <c r="L15" s="67" t="s">
        <v>231</v>
      </c>
      <c r="M15" s="68">
        <v>3.2020665217634588E-2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1.0060284799008697E-4</v>
      </c>
      <c r="J16" s="67" t="s">
        <v>231</v>
      </c>
      <c r="K16" s="68">
        <v>8.0632144521647232E-3</v>
      </c>
      <c r="L16" s="67" t="s">
        <v>231</v>
      </c>
      <c r="M16" s="68">
        <v>0.24653011893872639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2.2536749787568551E-6</v>
      </c>
      <c r="J17" s="67" t="s">
        <v>231</v>
      </c>
      <c r="K17" s="68">
        <v>7.5134834754711013E-3</v>
      </c>
      <c r="L17" s="67" t="s">
        <v>231</v>
      </c>
      <c r="M17" s="68">
        <v>0.22782702036134528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2.6160445481085552E-3</v>
      </c>
      <c r="J18" s="67" t="s">
        <v>231</v>
      </c>
      <c r="K18" s="68">
        <v>0.1109999914179802</v>
      </c>
      <c r="L18" s="67" t="s">
        <v>231</v>
      </c>
      <c r="M18" s="68">
        <v>3.7034095129620157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1.8941329758293106E-6</v>
      </c>
      <c r="J19" s="67" t="s">
        <v>231</v>
      </c>
      <c r="K19" s="68">
        <v>1.1668300854745556E-3</v>
      </c>
      <c r="L19" s="67" t="s">
        <v>231</v>
      </c>
      <c r="M19" s="68">
        <v>1.0706912640845927E-2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5.370533382530112E-6</v>
      </c>
      <c r="J20" s="67" t="s">
        <v>231</v>
      </c>
      <c r="K20" s="68">
        <v>1.3869910513764506E-3</v>
      </c>
      <c r="L20" s="67" t="s">
        <v>231</v>
      </c>
      <c r="M20" s="68">
        <v>1.8660010794454902E-2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2.0933292916398512E-6</v>
      </c>
      <c r="J21" s="67" t="s">
        <v>231</v>
      </c>
      <c r="K21" s="68">
        <v>6.6468609189809097E-3</v>
      </c>
      <c r="L21" s="67" t="s">
        <v>231</v>
      </c>
      <c r="M21" s="68">
        <v>0.22780550322588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4.1541528527520722E-8</v>
      </c>
      <c r="J22" s="67" t="s">
        <v>231</v>
      </c>
      <c r="K22" s="68">
        <v>8.8308303697504E-4</v>
      </c>
      <c r="L22" s="67" t="s">
        <v>231</v>
      </c>
      <c r="M22" s="68">
        <v>1.9109694692345379E-3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1.2092490368598995E-5</v>
      </c>
      <c r="J23" s="67" t="s">
        <v>231</v>
      </c>
      <c r="K23" s="68">
        <v>2.3842524518480758E-3</v>
      </c>
      <c r="L23" s="67" t="s">
        <v>231</v>
      </c>
      <c r="M23" s="68">
        <v>5.4302257245281149E-2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1.9140480391105833E-4</v>
      </c>
      <c r="J24" s="67" t="s">
        <v>231</v>
      </c>
      <c r="K24" s="68">
        <v>1.1030454842477772E-2</v>
      </c>
      <c r="L24" s="67" t="s">
        <v>231</v>
      </c>
      <c r="M24" s="68">
        <v>0.34769158130598354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8.9743670987855746E-4</v>
      </c>
      <c r="J25" s="67" t="s">
        <v>231</v>
      </c>
      <c r="K25" s="68">
        <v>0.10229504625630345</v>
      </c>
      <c r="L25" s="67" t="s">
        <v>231</v>
      </c>
      <c r="M25" s="68">
        <v>3.4100512289983711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2.08419968932259E-4</v>
      </c>
      <c r="J26" s="67" t="s">
        <v>231</v>
      </c>
      <c r="K26" s="68">
        <v>1.5804927735027015E-2</v>
      </c>
      <c r="L26" s="67" t="s">
        <v>231</v>
      </c>
      <c r="M26" s="68">
        <v>0.51433273716240613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6.1719032993251018E-5</v>
      </c>
      <c r="J27" s="67" t="s">
        <v>231</v>
      </c>
      <c r="K27" s="68">
        <v>9.2665987257088446E-3</v>
      </c>
      <c r="L27" s="67" t="s">
        <v>231</v>
      </c>
      <c r="M27" s="68">
        <v>0.30486102642701174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3.0220427706560997E-5</v>
      </c>
      <c r="J28" s="67" t="s">
        <v>231</v>
      </c>
      <c r="K28" s="68">
        <v>4.7354155494372125E-3</v>
      </c>
      <c r="L28" s="67" t="s">
        <v>231</v>
      </c>
      <c r="M28" s="68">
        <v>0.15457813083897132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3.2782234650174089E-7</v>
      </c>
      <c r="J29" s="67" t="s">
        <v>231</v>
      </c>
      <c r="K29" s="68">
        <v>1.254719717701765E-4</v>
      </c>
      <c r="L29" s="67" t="s">
        <v>231</v>
      </c>
      <c r="M29" s="68">
        <v>1.9235407273869647E-3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7.3386778243533971E-6</v>
      </c>
      <c r="J30" s="67" t="s">
        <v>231</v>
      </c>
      <c r="K30" s="68">
        <v>1.8380975317548211E-3</v>
      </c>
      <c r="L30" s="67" t="s">
        <v>231</v>
      </c>
      <c r="M30" s="68">
        <v>5.9962139784903105E-2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1.1533350888593662E-7</v>
      </c>
      <c r="J31" s="67" t="s">
        <v>231</v>
      </c>
      <c r="K31" s="68">
        <v>3.2283770114424172E-5</v>
      </c>
      <c r="L31" s="67" t="s">
        <v>231</v>
      </c>
      <c r="M31" s="68">
        <v>1.0425128251355315E-3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1.0341598240807832E-4</v>
      </c>
      <c r="J32" s="67" t="s">
        <v>231</v>
      </c>
      <c r="K32" s="68">
        <v>6.319422807387412E-3</v>
      </c>
      <c r="L32" s="67" t="s">
        <v>231</v>
      </c>
      <c r="M32" s="68">
        <v>0.18711148783872864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3.3472717101617867E-5</v>
      </c>
      <c r="J33" s="67" t="s">
        <v>231</v>
      </c>
      <c r="K33" s="68">
        <v>3.4987414733647134E-3</v>
      </c>
      <c r="L33" s="67" t="s">
        <v>231</v>
      </c>
      <c r="M33" s="68">
        <v>9.0737622812588611E-2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9.9011102071228237E-5</v>
      </c>
      <c r="J34" s="67" t="s">
        <v>231</v>
      </c>
      <c r="K34" s="68">
        <v>1.7522410975303167E-2</v>
      </c>
      <c r="L34" s="67" t="s">
        <v>231</v>
      </c>
      <c r="M34" s="68">
        <v>0.5692587544414095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4.4143741619384147E-4</v>
      </c>
      <c r="J35" s="67" t="s">
        <v>231</v>
      </c>
      <c r="K35" s="68">
        <v>2.15340411015453E-2</v>
      </c>
      <c r="L35" s="67" t="s">
        <v>231</v>
      </c>
      <c r="M35" s="68">
        <v>0.71016631226454952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8.8627666970600492E-4</v>
      </c>
      <c r="J36" s="67" t="s">
        <v>231</v>
      </c>
      <c r="K36" s="68">
        <v>4.7084318155715114E-2</v>
      </c>
      <c r="L36" s="67" t="s">
        <v>231</v>
      </c>
      <c r="M36" s="68">
        <v>1.561625672041937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5.6749374252710401E-4</v>
      </c>
      <c r="J37" s="67" t="s">
        <v>231</v>
      </c>
      <c r="K37" s="68">
        <v>0.10844989553822676</v>
      </c>
      <c r="L37" s="67" t="s">
        <v>231</v>
      </c>
      <c r="M37" s="68">
        <v>3.6174674521873218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3.1252917119194948E-4</v>
      </c>
      <c r="J38" s="67" t="s">
        <v>231</v>
      </c>
      <c r="K38" s="68">
        <v>6.8737156732330079E-2</v>
      </c>
      <c r="L38" s="67" t="s">
        <v>231</v>
      </c>
      <c r="M38" s="68">
        <v>2.2845368170188736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1.9357775348723729E-4</v>
      </c>
      <c r="J39" s="67" t="s">
        <v>231</v>
      </c>
      <c r="K39" s="68">
        <v>5.1735368652675286E-2</v>
      </c>
      <c r="L39" s="67" t="s">
        <v>231</v>
      </c>
      <c r="M39" s="68">
        <v>1.7169211793090213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3.1252917119194948E-4</v>
      </c>
      <c r="J40" s="67" t="s">
        <v>231</v>
      </c>
      <c r="K40" s="68">
        <v>6.8737156732330079E-2</v>
      </c>
      <c r="L40" s="67" t="s">
        <v>231</v>
      </c>
      <c r="M40" s="68">
        <v>2.2845368170188736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8.455293183469862E-9</v>
      </c>
      <c r="J41" s="67" t="s">
        <v>231</v>
      </c>
      <c r="K41" s="68">
        <v>9.734910439293087E-4</v>
      </c>
      <c r="L41" s="67" t="s">
        <v>231</v>
      </c>
      <c r="M41" s="68">
        <v>5.4763114331298907E-3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1.0315017673317123E-3</v>
      </c>
      <c r="J42" s="67" t="s">
        <v>231</v>
      </c>
      <c r="K42" s="68">
        <v>0.11068419385857967</v>
      </c>
      <c r="L42" s="67" t="s">
        <v>231</v>
      </c>
      <c r="M42" s="68">
        <v>3.692873226691054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2.1614628168980204E-3</v>
      </c>
      <c r="J43" s="67" t="s">
        <v>231</v>
      </c>
      <c r="K43" s="68">
        <v>1.1808940929543153E-2</v>
      </c>
      <c r="L43" s="67" t="s">
        <v>231</v>
      </c>
      <c r="M43" s="68">
        <v>0.37417291037151817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1.6445844633139095E-3</v>
      </c>
      <c r="J44" s="67" t="s">
        <v>231</v>
      </c>
      <c r="K44" s="68">
        <v>3.3471046630428575E-2</v>
      </c>
      <c r="L44" s="67" t="s">
        <v>231</v>
      </c>
      <c r="M44" s="68">
        <v>1.1082808532775226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2.774667424063109E-3</v>
      </c>
      <c r="J45" s="67" t="s">
        <v>231</v>
      </c>
      <c r="K45" s="68">
        <v>0.12758136221819646</v>
      </c>
      <c r="L45" s="67" t="s">
        <v>231</v>
      </c>
      <c r="M45" s="68">
        <v>4.2648975677379921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4.0917590055066292E-4</v>
      </c>
      <c r="J46" s="67" t="s">
        <v>231</v>
      </c>
      <c r="K46" s="68">
        <v>0.11371564983177257</v>
      </c>
      <c r="L46" s="67" t="s">
        <v>231</v>
      </c>
      <c r="M46" s="68">
        <v>3.7950964919057641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8.0167713323130304E-4</v>
      </c>
      <c r="J47" s="142" t="s">
        <v>231</v>
      </c>
      <c r="K47" s="143">
        <v>9.1859700976855252E-2</v>
      </c>
      <c r="L47" s="142" t="s">
        <v>231</v>
      </c>
      <c r="M47" s="143">
        <v>3.0592520489931809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2.4874578741292634E-4</v>
      </c>
      <c r="J48" s="142" t="s">
        <v>231</v>
      </c>
      <c r="K48" s="143">
        <v>2.1115103735725255E-2</v>
      </c>
      <c r="L48" s="142" t="s">
        <v>231</v>
      </c>
      <c r="M48" s="143">
        <v>0.69336724609833855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9.8973272588860932E-4</v>
      </c>
      <c r="J49" s="142" t="s">
        <v>231</v>
      </c>
      <c r="K49" s="143">
        <v>3.5799059293411255E-2</v>
      </c>
      <c r="L49" s="142" t="s">
        <v>231</v>
      </c>
      <c r="M49" s="143">
        <v>1.185741918410117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2.4359895353594897E-4</v>
      </c>
      <c r="J50" s="142" t="s">
        <v>231</v>
      </c>
      <c r="K50" s="143">
        <v>3.9911729473549942E-2</v>
      </c>
      <c r="L50" s="142" t="s">
        <v>231</v>
      </c>
      <c r="M50" s="143">
        <v>1.3226524123653058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5.2215573973125797E-4</v>
      </c>
      <c r="J51" s="142" t="s">
        <v>231</v>
      </c>
      <c r="K51" s="143">
        <v>2.1600698365548905E-2</v>
      </c>
      <c r="L51" s="142" t="s">
        <v>231</v>
      </c>
      <c r="M51" s="143">
        <v>0.7108349602959938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1.1566949347435924E-2</v>
      </c>
      <c r="J52" s="142" t="s">
        <v>232</v>
      </c>
      <c r="K52" s="143">
        <v>2.1176273034931921E-2</v>
      </c>
      <c r="L52" s="142" t="s">
        <v>231</v>
      </c>
      <c r="M52" s="143">
        <v>0.69553512611661883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2.3193750600648847E-3</v>
      </c>
      <c r="J53" s="142" t="s">
        <v>231</v>
      </c>
      <c r="K53" s="143">
        <v>5.4434232956445554E-2</v>
      </c>
      <c r="L53" s="142" t="s">
        <v>231</v>
      </c>
      <c r="M53" s="143">
        <v>1.8067579412457844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1.1682308996025495E-3</v>
      </c>
      <c r="J54" s="67" t="s">
        <v>231</v>
      </c>
      <c r="K54" s="68">
        <v>3.7819492582187468E-2</v>
      </c>
      <c r="L54" s="67" t="s">
        <v>231</v>
      </c>
      <c r="M54" s="68">
        <v>1.252991313506207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8.4379347483124801E-4</v>
      </c>
      <c r="J55" s="67" t="s">
        <v>231</v>
      </c>
      <c r="K55" s="68">
        <v>9.0762423661737951E-2</v>
      </c>
      <c r="L55" s="67" t="s">
        <v>231</v>
      </c>
      <c r="M55" s="68">
        <v>3.0224182833511355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6.928224423490214E-4</v>
      </c>
      <c r="J56" s="67" t="s">
        <v>231</v>
      </c>
      <c r="K56" s="68">
        <v>3.4236253657891541E-2</v>
      </c>
      <c r="L56" s="67" t="s">
        <v>231</v>
      </c>
      <c r="M56" s="68">
        <v>1.1337386912173373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1.869073209953736E-3</v>
      </c>
      <c r="J57" s="67" t="s">
        <v>231</v>
      </c>
      <c r="K57" s="68">
        <v>2.0732957038699162E-2</v>
      </c>
      <c r="L57" s="67" t="s">
        <v>231</v>
      </c>
      <c r="M57" s="68">
        <v>0.6800622327048329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7.1024720702181849E-3</v>
      </c>
      <c r="J58" s="67" t="s">
        <v>231</v>
      </c>
      <c r="K58" s="68">
        <v>3.8232543400670636E-2</v>
      </c>
      <c r="L58" s="67" t="s">
        <v>231</v>
      </c>
      <c r="M58" s="68">
        <v>1.2667420634074145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1.1968682814807556E-3</v>
      </c>
      <c r="J59" s="67" t="s">
        <v>231</v>
      </c>
      <c r="K59" s="68">
        <v>2.1178787074801218E-2</v>
      </c>
      <c r="L59" s="67" t="s">
        <v>231</v>
      </c>
      <c r="M59" s="68">
        <v>0.6956176998081588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3.3480082901171659E-3</v>
      </c>
      <c r="J60" s="67" t="s">
        <v>231</v>
      </c>
      <c r="K60" s="68">
        <v>4.9950497846743991E-2</v>
      </c>
      <c r="L60" s="67" t="s">
        <v>231</v>
      </c>
      <c r="M60" s="68">
        <v>1.6571886993976883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2.8225243493579092E-5</v>
      </c>
      <c r="J61" s="67" t="s">
        <v>231</v>
      </c>
      <c r="K61" s="68">
        <v>4.4685326998340047E-2</v>
      </c>
      <c r="L61" s="67" t="s">
        <v>231</v>
      </c>
      <c r="M61" s="68">
        <v>0.88891566515528919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1.5277083205418525E-4</v>
      </c>
      <c r="J62" s="67" t="s">
        <v>231</v>
      </c>
      <c r="K62" s="68">
        <v>1.712927332003716E-2</v>
      </c>
      <c r="L62" s="67" t="s">
        <v>231</v>
      </c>
      <c r="M62" s="68">
        <v>0.55579549941818163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1.7218194155475077E-6</v>
      </c>
      <c r="J63" s="67" t="s">
        <v>231</v>
      </c>
      <c r="K63" s="68">
        <v>7.0228377364505191E-3</v>
      </c>
      <c r="L63" s="67" t="s">
        <v>231</v>
      </c>
      <c r="M63" s="68">
        <v>0.11398579385048691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1.0553861591346489E-7</v>
      </c>
      <c r="J64" s="67" t="s">
        <v>231</v>
      </c>
      <c r="K64" s="68">
        <v>9.2951027718290048E-4</v>
      </c>
      <c r="L64" s="67" t="s">
        <v>231</v>
      </c>
      <c r="M64" s="68">
        <v>2.2600780641763413E-3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2.0161646175043225E-8</v>
      </c>
      <c r="J65" s="67" t="s">
        <v>231</v>
      </c>
      <c r="K65" s="68">
        <v>1.4146150510158874E-3</v>
      </c>
      <c r="L65" s="67" t="s">
        <v>231</v>
      </c>
      <c r="M65" s="68">
        <v>9.5863400902094168E-3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1.449395500362293E-7</v>
      </c>
      <c r="J66" s="67" t="s">
        <v>231</v>
      </c>
      <c r="K66" s="68">
        <v>4.9894529385815831E-2</v>
      </c>
      <c r="L66" s="67" t="s">
        <v>231</v>
      </c>
      <c r="M66" s="68">
        <v>0.88304136413250289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1.9866042704304849E-8</v>
      </c>
      <c r="J67" s="67" t="s">
        <v>231</v>
      </c>
      <c r="K67" s="68">
        <v>1.3249404499155537E-3</v>
      </c>
      <c r="L67" s="67" t="s">
        <v>231</v>
      </c>
      <c r="M67" s="68">
        <v>7.9826915336689234E-3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6.4512167570460599E-9</v>
      </c>
      <c r="J68" s="67" t="s">
        <v>231</v>
      </c>
      <c r="K68" s="68">
        <v>9.4143905259492112E-4</v>
      </c>
      <c r="L68" s="67" t="s">
        <v>231</v>
      </c>
      <c r="M68" s="68">
        <v>1.0589109512489834E-3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3.8693700496507483E-5</v>
      </c>
      <c r="J69" s="67" t="s">
        <v>231</v>
      </c>
      <c r="K69" s="68">
        <v>3.0439276222189966E-2</v>
      </c>
      <c r="L69" s="67" t="s">
        <v>231</v>
      </c>
      <c r="M69" s="68">
        <v>1.0074440134467497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2.2299325605550651E-14</v>
      </c>
      <c r="J70" s="67" t="s">
        <v>231</v>
      </c>
      <c r="K70" s="68">
        <v>9.4494344875061475E-4</v>
      </c>
      <c r="L70" s="67" t="s">
        <v>231</v>
      </c>
      <c r="M70" s="68">
        <v>3.7180851086817566E-3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1.8890377787799395E-10</v>
      </c>
      <c r="J71" s="67" t="s">
        <v>231</v>
      </c>
      <c r="K71" s="68">
        <v>9.9160608085200165E-4</v>
      </c>
      <c r="L71" s="67" t="s">
        <v>231</v>
      </c>
      <c r="M71" s="68">
        <v>6.6466266705099385E-3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2.8829378889539222E-14</v>
      </c>
      <c r="J72" s="67" t="s">
        <v>231</v>
      </c>
      <c r="K72" s="68">
        <v>1.5561932007152009E-2</v>
      </c>
      <c r="L72" s="67" t="s">
        <v>231</v>
      </c>
      <c r="M72" s="68">
        <v>0.65306849391362953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1.5683432388968521E-11</v>
      </c>
      <c r="J73" s="67" t="s">
        <v>231</v>
      </c>
      <c r="K73" s="68">
        <v>1.8574348767857233E-3</v>
      </c>
      <c r="L73" s="67" t="s">
        <v>231</v>
      </c>
      <c r="M73" s="68">
        <v>7.662437223639193E-2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1.7798020770940341E-11</v>
      </c>
      <c r="J74" s="67" t="s">
        <v>231</v>
      </c>
      <c r="K74" s="68">
        <v>9.8273844596255024E-4</v>
      </c>
      <c r="L74" s="67" t="s">
        <v>231</v>
      </c>
      <c r="M74" s="68">
        <v>6.0855093300337965E-3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9.714450627199698E-14</v>
      </c>
      <c r="J75" s="67" t="s">
        <v>231</v>
      </c>
      <c r="K75" s="68">
        <v>1.8713065985955586E-3</v>
      </c>
      <c r="L75" s="67" t="s">
        <v>231</v>
      </c>
      <c r="M75" s="68">
        <v>7.6961468274612088E-2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8.3688473647380082E-9</v>
      </c>
      <c r="J76" s="67" t="s">
        <v>231</v>
      </c>
      <c r="K76" s="68">
        <v>1.6702020116472326E-3</v>
      </c>
      <c r="L76" s="67" t="s">
        <v>231</v>
      </c>
      <c r="M76" s="68">
        <v>5.3500658960691082E-2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6.5937104548391388E-8</v>
      </c>
      <c r="J77" s="67" t="s">
        <v>231</v>
      </c>
      <c r="K77" s="68">
        <v>1.8615371604634101E-3</v>
      </c>
      <c r="L77" s="67" t="s">
        <v>231</v>
      </c>
      <c r="M77" s="68">
        <v>7.6730267151796414E-2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2.8508024607868238E-13</v>
      </c>
      <c r="J78" s="67" t="s">
        <v>231</v>
      </c>
      <c r="K78" s="68">
        <v>1.3048703628403914E-2</v>
      </c>
      <c r="L78" s="67" t="s">
        <v>231</v>
      </c>
      <c r="M78" s="68">
        <v>0.54755840718858895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1.5683634587617328E-16</v>
      </c>
      <c r="J79" s="67" t="s">
        <v>231</v>
      </c>
      <c r="K79" s="68">
        <v>1.3048695315316848E-2</v>
      </c>
      <c r="L79" s="67" t="s">
        <v>231</v>
      </c>
      <c r="M79" s="68">
        <v>0.5475581441845867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2.0681179565857563E-14</v>
      </c>
      <c r="J80" s="67" t="s">
        <v>231</v>
      </c>
      <c r="K80" s="68">
        <v>1.9052449336857107E-3</v>
      </c>
      <c r="L80" s="67" t="s">
        <v>231</v>
      </c>
      <c r="M80" s="68">
        <v>7.3790296065606012E-2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7.0080229494229949E-11</v>
      </c>
      <c r="J81" s="67" t="s">
        <v>231</v>
      </c>
      <c r="K81" s="68">
        <v>1.211217563142057E-3</v>
      </c>
      <c r="L81" s="67" t="s">
        <v>231</v>
      </c>
      <c r="M81" s="68">
        <v>2.1010205751238471E-2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1.3926035931231864E-15</v>
      </c>
      <c r="J82" s="67" t="s">
        <v>231</v>
      </c>
      <c r="K82" s="68">
        <v>1.4798885225658996E-3</v>
      </c>
      <c r="L82" s="67" t="s">
        <v>231</v>
      </c>
      <c r="M82" s="68">
        <v>3.95608107248328E-2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1.6894352423376457E-14</v>
      </c>
      <c r="J83" s="67" t="s">
        <v>231</v>
      </c>
      <c r="K83" s="68">
        <v>2.5227202324515061E-2</v>
      </c>
      <c r="L83" s="67" t="s">
        <v>231</v>
      </c>
      <c r="M83" s="68">
        <v>1.0588121914828199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4.1681758697650437E-2</v>
      </c>
      <c r="J84" s="67" t="s">
        <v>232</v>
      </c>
      <c r="K84" s="68">
        <v>1.3948512177432879E-2</v>
      </c>
      <c r="L84" s="67" t="s">
        <v>231</v>
      </c>
      <c r="M84" s="68">
        <v>0.44713316121708979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4.4444891760515276E-6</v>
      </c>
      <c r="J85" s="67" t="s">
        <v>231</v>
      </c>
      <c r="K85" s="68">
        <v>0.48521278664722811</v>
      </c>
      <c r="L85" s="67" t="s">
        <v>231</v>
      </c>
      <c r="M85" s="68">
        <v>8.6994629617770229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2.6932967417197585E-4</v>
      </c>
      <c r="J86" s="67" t="s">
        <v>231</v>
      </c>
      <c r="K86" s="68">
        <v>0.12397162069844052</v>
      </c>
      <c r="L86" s="67" t="s">
        <v>231</v>
      </c>
      <c r="M86" s="68">
        <v>4.1422741437300061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1.9230183482784704E-4</v>
      </c>
      <c r="J87" s="67" t="s">
        <v>231</v>
      </c>
      <c r="K87" s="68">
        <v>0.13955920331355351</v>
      </c>
      <c r="L87" s="67" t="s">
        <v>231</v>
      </c>
      <c r="M87" s="68">
        <v>4.6742857305304586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2.914176521910126E-4</v>
      </c>
      <c r="J88" s="67" t="s">
        <v>231</v>
      </c>
      <c r="K88" s="68">
        <v>0.15025783558856842</v>
      </c>
      <c r="L88" s="67" t="s">
        <v>231</v>
      </c>
      <c r="M88" s="68">
        <v>5.0462003901308279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3.6957045838976736E-7</v>
      </c>
      <c r="J89" s="67" t="s">
        <v>231</v>
      </c>
      <c r="K89" s="68">
        <v>1.5718040193465832</v>
      </c>
      <c r="L89" s="67" t="s">
        <v>232</v>
      </c>
      <c r="M89" s="68">
        <v>28.326810809035532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1.9380779402945887E-5</v>
      </c>
      <c r="J90" s="67" t="s">
        <v>231</v>
      </c>
      <c r="K90" s="68">
        <v>9.1887565431828032E-4</v>
      </c>
      <c r="L90" s="67" t="s">
        <v>231</v>
      </c>
      <c r="M90" s="68">
        <v>1.5024817685607677E-3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3.79863235088741E-5</v>
      </c>
      <c r="J91" s="67" t="s">
        <v>231</v>
      </c>
      <c r="K91" s="68">
        <v>3.3947358473901167E-3</v>
      </c>
      <c r="L91" s="67" t="s">
        <v>231</v>
      </c>
      <c r="M91" s="68">
        <v>8.7178258283353155E-2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3.3091609505770411E-5</v>
      </c>
      <c r="J92" s="67" t="s">
        <v>231</v>
      </c>
      <c r="K92" s="68">
        <v>1.9058797089135278E-2</v>
      </c>
      <c r="L92" s="67" t="s">
        <v>231</v>
      </c>
      <c r="M92" s="68">
        <v>0.62200419469265156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1.2895281597923515E-8</v>
      </c>
      <c r="J93" s="67" t="s">
        <v>231</v>
      </c>
      <c r="K93" s="68">
        <v>8.9411712193169504E-4</v>
      </c>
      <c r="L93" s="67" t="s">
        <v>231</v>
      </c>
      <c r="M93" s="68">
        <v>6.2172572936913459E-4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2.1139184678340658E-18</v>
      </c>
      <c r="J94" s="67" t="s">
        <v>231</v>
      </c>
      <c r="K94" s="68">
        <v>8.9157109965889189E-4</v>
      </c>
      <c r="L94" s="67" t="s">
        <v>231</v>
      </c>
      <c r="M94" s="68">
        <v>1.5144838178931798E-4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2.3521061181461101E-6</v>
      </c>
      <c r="J95" s="67" t="s">
        <v>231</v>
      </c>
      <c r="K95" s="68">
        <v>1.0688197134372354E-3</v>
      </c>
      <c r="L95" s="67" t="s">
        <v>231</v>
      </c>
      <c r="M95" s="68">
        <v>6.597258799375681E-3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3.0114484647038951E-3</v>
      </c>
      <c r="J96" s="67" t="s">
        <v>231</v>
      </c>
      <c r="K96" s="68">
        <v>0.11633786305689413</v>
      </c>
      <c r="L96" s="67" t="s">
        <v>231</v>
      </c>
      <c r="M96" s="68">
        <v>3.8837143938879897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1.1671285216668328E-4</v>
      </c>
      <c r="J97" s="67" t="s">
        <v>231</v>
      </c>
      <c r="K97" s="68">
        <v>5.5335113648215944E-3</v>
      </c>
      <c r="L97" s="67" t="s">
        <v>231</v>
      </c>
      <c r="M97" s="68">
        <v>0.16024962610348906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3.0814635856880041E-5</v>
      </c>
      <c r="J98" s="67" t="s">
        <v>231</v>
      </c>
      <c r="K98" s="68">
        <v>3.7180402166118471E-3</v>
      </c>
      <c r="L98" s="67" t="s">
        <v>231</v>
      </c>
      <c r="M98" s="68">
        <v>9.8237699475228771E-2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1.8884093074489077E-6</v>
      </c>
      <c r="J99" s="67" t="s">
        <v>231</v>
      </c>
      <c r="K99" s="68">
        <v>1.5649225599239983E-3</v>
      </c>
      <c r="L99" s="67" t="s">
        <v>231</v>
      </c>
      <c r="M99" s="68">
        <v>2.4288280724461729E-2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2.42546625103702E-3</v>
      </c>
      <c r="J100" s="67" t="s">
        <v>231</v>
      </c>
      <c r="K100" s="68">
        <v>5.8552608618330657E-2</v>
      </c>
      <c r="L100" s="67" t="s">
        <v>231</v>
      </c>
      <c r="M100" s="68">
        <v>1.944226125353715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2.2505010961537373E-2</v>
      </c>
      <c r="J101" s="67" t="s">
        <v>232</v>
      </c>
      <c r="K101" s="68">
        <v>1.7426693023301285E-2</v>
      </c>
      <c r="L101" s="67" t="s">
        <v>231</v>
      </c>
      <c r="M101" s="68">
        <v>0.56597830721509201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6.3294514607973853E-3</v>
      </c>
      <c r="J102" s="67" t="s">
        <v>231</v>
      </c>
      <c r="K102" s="68">
        <v>2.1582741549237412E-2</v>
      </c>
      <c r="L102" s="67" t="s">
        <v>231</v>
      </c>
      <c r="M102" s="68">
        <v>0.71017963202171763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1.5548756295168842E-9</v>
      </c>
      <c r="J103" s="67" t="s">
        <v>231</v>
      </c>
      <c r="K103" s="68">
        <v>1.0728299682370025E-3</v>
      </c>
      <c r="L103" s="67" t="s">
        <v>231</v>
      </c>
      <c r="M103" s="68">
        <v>1.1859919675905056E-2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2.4599959713613818E-7</v>
      </c>
      <c r="J104" s="67" t="s">
        <v>231</v>
      </c>
      <c r="K104" s="68">
        <v>2.7238610250872233E-3</v>
      </c>
      <c r="L104" s="67" t="s">
        <v>231</v>
      </c>
      <c r="M104" s="68">
        <v>0.1125442468072157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9.8895873799690294E-8</v>
      </c>
      <c r="J105" s="67" t="s">
        <v>231</v>
      </c>
      <c r="K105" s="68">
        <v>9.2735886841919591E-4</v>
      </c>
      <c r="L105" s="67" t="s">
        <v>231</v>
      </c>
      <c r="M105" s="68">
        <v>1.8384836973278412E-3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3.4415991446964538E-8</v>
      </c>
      <c r="J106" s="67" t="s">
        <v>231</v>
      </c>
      <c r="K106" s="68">
        <v>1.0816982272296683E-3</v>
      </c>
      <c r="L106" s="67" t="s">
        <v>231</v>
      </c>
      <c r="M106" s="68">
        <v>7.1036391837239086E-3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9.2032431609540404E-6</v>
      </c>
      <c r="J107" s="67" t="s">
        <v>231</v>
      </c>
      <c r="K107" s="68">
        <v>2.5871513774792829E-2</v>
      </c>
      <c r="L107" s="67" t="s">
        <v>231</v>
      </c>
      <c r="M107" s="68">
        <v>0.75441850677408517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2.6560717123728154E-10</v>
      </c>
      <c r="J108" s="67" t="s">
        <v>231</v>
      </c>
      <c r="K108" s="68">
        <v>8.8746531655228931E-4</v>
      </c>
      <c r="L108" s="67" t="s">
        <v>231</v>
      </c>
      <c r="M108" s="68">
        <v>7.8389461481813305E-5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2.7682263767640521E-6</v>
      </c>
      <c r="J109" s="67" t="s">
        <v>231</v>
      </c>
      <c r="K109" s="68">
        <v>1.5316211962275571E-2</v>
      </c>
      <c r="L109" s="67" t="s">
        <v>231</v>
      </c>
      <c r="M109" s="68">
        <v>0.26110208615182401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5.8647953705004593E-6</v>
      </c>
      <c r="J110" s="67" t="s">
        <v>231</v>
      </c>
      <c r="K110" s="68">
        <v>8.8732514036029891E-4</v>
      </c>
      <c r="L110" s="67" t="s">
        <v>231</v>
      </c>
      <c r="M110" s="68">
        <v>2.2351362333654864E-4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8.1457727862664333E-14</v>
      </c>
      <c r="J111" s="67" t="s">
        <v>231</v>
      </c>
      <c r="K111" s="68">
        <v>8.8317888973960998E-4</v>
      </c>
      <c r="L111" s="67" t="s">
        <v>231</v>
      </c>
      <c r="M111" s="68">
        <v>3.2445773788434726E-6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9.2321883639761305E-9</v>
      </c>
      <c r="J112" s="67" t="s">
        <v>231</v>
      </c>
      <c r="K112" s="68">
        <v>8.8523931008054025E-4</v>
      </c>
      <c r="L112" s="67" t="s">
        <v>231</v>
      </c>
      <c r="M112" s="68">
        <v>1.6895971632531319E-4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4.3321151614312183E-7</v>
      </c>
      <c r="J113" s="67" t="s">
        <v>231</v>
      </c>
      <c r="K113" s="68">
        <v>9.8481423540243266E-4</v>
      </c>
      <c r="L113" s="67" t="s">
        <v>231</v>
      </c>
      <c r="M113" s="68">
        <v>3.9443910452703857E-3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5.7305793606294518E-8</v>
      </c>
      <c r="J114" s="67" t="s">
        <v>231</v>
      </c>
      <c r="K114" s="68">
        <v>8.8315234654632539E-4</v>
      </c>
      <c r="L114" s="67" t="s">
        <v>231</v>
      </c>
      <c r="M114" s="68">
        <v>5.2404068004166272E-5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4.74765474882984E-11</v>
      </c>
      <c r="J115" s="67" t="s">
        <v>231</v>
      </c>
      <c r="K115" s="68">
        <v>9.398261753249599E-4</v>
      </c>
      <c r="L115" s="67" t="s">
        <v>231</v>
      </c>
      <c r="M115" s="68">
        <v>3.3986745573760606E-3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9.049072076521925E-6</v>
      </c>
      <c r="J116" s="67" t="s">
        <v>231</v>
      </c>
      <c r="K116" s="68">
        <v>0.15446300578782871</v>
      </c>
      <c r="L116" s="67" t="s">
        <v>231</v>
      </c>
      <c r="M116" s="68">
        <v>2.7724502326914364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8.223155866511053E-5</v>
      </c>
      <c r="J117" s="67" t="s">
        <v>231</v>
      </c>
      <c r="K117" s="68">
        <v>8.51685670362071E-3</v>
      </c>
      <c r="L117" s="67" t="s">
        <v>231</v>
      </c>
      <c r="M117" s="68">
        <v>0.2619739596116944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8" width="8.140625" style="14" customWidth="1"/>
    <col min="9" max="9" width="8.42578125" style="14" customWidth="1"/>
    <col min="10" max="11" width="9.140625" style="14"/>
    <col min="12" max="12" width="11.28515625" style="14" customWidth="1"/>
    <col min="13" max="13" width="12.5703125" style="14" customWidth="1"/>
    <col min="14" max="14" width="9" style="14" customWidth="1"/>
    <col min="15" max="15" width="9.140625" style="14"/>
    <col min="16" max="16" width="8.85546875" style="14" customWidth="1"/>
    <col min="17" max="17" width="8" style="8" customWidth="1"/>
    <col min="18" max="18" width="10.5703125" style="54" customWidth="1"/>
    <col min="19" max="19" width="2.85546875" customWidth="1"/>
    <col min="20" max="20" width="9.140625" style="2"/>
    <col min="21" max="21" width="24.7109375" style="2" customWidth="1"/>
    <col min="22" max="16384" width="9.140625" style="2"/>
  </cols>
  <sheetData>
    <row r="1" spans="1:21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9"/>
      <c r="H1" s="37" t="s">
        <v>257</v>
      </c>
      <c r="I1" s="39" t="s">
        <v>258</v>
      </c>
      <c r="J1" s="39" t="s">
        <v>259</v>
      </c>
      <c r="K1" s="39" t="s">
        <v>260</v>
      </c>
      <c r="L1" s="160" t="s">
        <v>262</v>
      </c>
      <c r="M1" s="160" t="s">
        <v>263</v>
      </c>
      <c r="N1" s="159" t="s">
        <v>233</v>
      </c>
      <c r="O1" s="43" t="s">
        <v>266</v>
      </c>
      <c r="P1" s="43" t="str">
        <f>"---&gt;ng/g"</f>
        <v>---&gt;ng/g</v>
      </c>
      <c r="Q1" s="113" t="s">
        <v>32</v>
      </c>
      <c r="R1" s="56" t="s">
        <v>141</v>
      </c>
      <c r="S1" s="37"/>
      <c r="T1" s="6" t="s">
        <v>17</v>
      </c>
      <c r="U1" s="102" t="s">
        <v>256</v>
      </c>
    </row>
    <row r="2" spans="1:21">
      <c r="A2" s="2" t="s">
        <v>283</v>
      </c>
      <c r="B2" s="16" t="s">
        <v>284</v>
      </c>
      <c r="D2" s="14">
        <v>1</v>
      </c>
      <c r="E2" s="14">
        <v>0.9896570281492405</v>
      </c>
      <c r="F2" s="14">
        <v>0.99267421964116331</v>
      </c>
      <c r="G2" s="14">
        <v>2.9519923712544687E-10</v>
      </c>
      <c r="H2" s="14">
        <v>0.17293653103336104</v>
      </c>
      <c r="I2" s="14">
        <v>0.64260472404903246</v>
      </c>
      <c r="J2" s="14">
        <v>0</v>
      </c>
      <c r="K2" s="14">
        <v>1.0073798434711891</v>
      </c>
      <c r="L2" s="14">
        <v>0.99267421964116331</v>
      </c>
      <c r="M2" s="14">
        <v>0.81448919721557456</v>
      </c>
      <c r="N2" s="14">
        <v>0.90932778042985474</v>
      </c>
      <c r="O2" s="14">
        <v>176.58236168167349</v>
      </c>
      <c r="P2" s="14">
        <v>0.90932778042985474</v>
      </c>
      <c r="Q2" s="8">
        <v>1.5986151112074565E-2</v>
      </c>
      <c r="R2" s="54">
        <v>0.50650979836539356</v>
      </c>
      <c r="T2" s="102"/>
    </row>
    <row r="3" spans="1:21">
      <c r="A3" s="2" t="s">
        <v>361</v>
      </c>
      <c r="B3" s="16" t="s">
        <v>362</v>
      </c>
      <c r="D3" s="14">
        <v>1</v>
      </c>
      <c r="E3" s="14">
        <v>0.84240250878683942</v>
      </c>
      <c r="F3" s="14">
        <v>0.56614151582771144</v>
      </c>
      <c r="G3" s="14">
        <v>2.6802879688397406E-10</v>
      </c>
      <c r="H3" s="14">
        <v>63.676927151846158</v>
      </c>
      <c r="I3" s="14">
        <v>143.22931198256597</v>
      </c>
      <c r="J3" s="14">
        <v>0</v>
      </c>
      <c r="K3" s="14">
        <v>1.7663428171982365</v>
      </c>
      <c r="L3" s="14">
        <v>0.56614151582771155</v>
      </c>
      <c r="M3" s="14">
        <v>0.46451911373663729</v>
      </c>
      <c r="N3" s="14">
        <v>10.593672634432467</v>
      </c>
      <c r="O3" s="14">
        <v>2712.9336249518101</v>
      </c>
      <c r="P3" s="14">
        <v>10.593672634432467</v>
      </c>
      <c r="Q3" s="8">
        <v>0.24560200378532965</v>
      </c>
      <c r="R3" s="54">
        <v>0.64739271114032104</v>
      </c>
      <c r="T3" s="109"/>
      <c r="U3" s="22"/>
    </row>
    <row r="4" spans="1:21">
      <c r="A4" s="2" t="s">
        <v>364</v>
      </c>
      <c r="B4" s="16" t="s">
        <v>365</v>
      </c>
      <c r="D4" s="14">
        <v>1</v>
      </c>
      <c r="E4" s="14">
        <v>0.99958380880680053</v>
      </c>
      <c r="F4" s="14">
        <v>1.0030720459903697</v>
      </c>
      <c r="G4" s="14">
        <v>1.5109866079322843E-19</v>
      </c>
      <c r="H4" s="14">
        <v>0.11984836888411821</v>
      </c>
      <c r="I4" s="14">
        <v>1.2220511523380695E-3</v>
      </c>
      <c r="J4" s="14">
        <v>0</v>
      </c>
      <c r="K4" s="14">
        <v>0.99693736257265897</v>
      </c>
      <c r="L4" s="14">
        <v>1.0030720459903697</v>
      </c>
      <c r="M4" s="14">
        <v>0.82302061373509838</v>
      </c>
      <c r="N4" s="14">
        <v>1.0538332006204534</v>
      </c>
      <c r="O4" s="14">
        <v>312.09270236374726</v>
      </c>
      <c r="P4" s="14">
        <v>1.0538332006204536</v>
      </c>
      <c r="Q4" s="8">
        <v>1.3934435668423652E-5</v>
      </c>
      <c r="R4" s="54">
        <v>0.64337253004729089</v>
      </c>
      <c r="T4" s="102"/>
    </row>
    <row r="5" spans="1:21">
      <c r="A5" s="2" t="s">
        <v>285</v>
      </c>
      <c r="B5" s="16" t="s">
        <v>286</v>
      </c>
      <c r="D5" s="14">
        <v>1</v>
      </c>
      <c r="E5" s="14">
        <v>0.99931916344528604</v>
      </c>
      <c r="F5" s="14">
        <v>0.54949651187518211</v>
      </c>
      <c r="G5" s="14">
        <v>2.5150392227374075E-12</v>
      </c>
      <c r="H5" s="14">
        <v>128.44728823720953</v>
      </c>
      <c r="I5" s="14">
        <v>9.4394311052790017E-2</v>
      </c>
      <c r="J5" s="14">
        <v>0</v>
      </c>
      <c r="K5" s="14">
        <v>1.8198477667991995</v>
      </c>
      <c r="L5" s="14">
        <v>0.54949651187518211</v>
      </c>
      <c r="M5" s="14">
        <v>0.45086188799358695</v>
      </c>
      <c r="N5" s="14">
        <v>1.5556254321607033</v>
      </c>
      <c r="O5" s="14">
        <v>343.85544552480184</v>
      </c>
      <c r="P5" s="14">
        <v>1.5556254321607033</v>
      </c>
      <c r="Q5" s="8">
        <v>1.2692460516102648E-4</v>
      </c>
      <c r="R5" s="54">
        <v>0.64768696881783161</v>
      </c>
      <c r="T5" s="102"/>
    </row>
    <row r="6" spans="1:21">
      <c r="A6" s="2" t="s">
        <v>287</v>
      </c>
      <c r="B6" s="16" t="s">
        <v>288</v>
      </c>
      <c r="D6" s="14">
        <v>1</v>
      </c>
      <c r="E6" s="14">
        <v>0.99900052824809504</v>
      </c>
      <c r="F6" s="14">
        <v>0.32527389642740634</v>
      </c>
      <c r="G6" s="14">
        <v>2.0635909866670469E-13</v>
      </c>
      <c r="H6" s="14">
        <v>191.79143654415276</v>
      </c>
      <c r="I6" s="14">
        <v>0.51497168835297824</v>
      </c>
      <c r="J6" s="14">
        <v>0</v>
      </c>
      <c r="K6" s="14">
        <v>3.0743321581698981</v>
      </c>
      <c r="L6" s="14">
        <v>0.32527389642740634</v>
      </c>
      <c r="M6" s="14">
        <v>0.26688723201868692</v>
      </c>
      <c r="N6" s="14">
        <v>1.8154859559610554</v>
      </c>
      <c r="O6" s="14">
        <v>418.0337962195926</v>
      </c>
      <c r="P6" s="14">
        <v>1.8154859559610554</v>
      </c>
      <c r="Q6" s="8">
        <v>4.7597413518114291E-4</v>
      </c>
      <c r="R6" s="54">
        <v>1.5942858720155918E-2</v>
      </c>
      <c r="T6" s="102"/>
    </row>
    <row r="7" spans="1:21">
      <c r="A7" s="2" t="s">
        <v>366</v>
      </c>
      <c r="B7" s="16" t="s">
        <v>305</v>
      </c>
      <c r="D7" s="14">
        <v>1</v>
      </c>
      <c r="E7" s="14">
        <v>0.99758762179232974</v>
      </c>
      <c r="F7" s="14">
        <v>0.10819141668657474</v>
      </c>
      <c r="G7" s="14">
        <v>1.8029343848485328E-9</v>
      </c>
      <c r="H7" s="14">
        <v>252.39038586052584</v>
      </c>
      <c r="I7" s="14">
        <v>4.7569602970835243</v>
      </c>
      <c r="J7" s="14">
        <v>0</v>
      </c>
      <c r="K7" s="14">
        <v>9.2428773984626833</v>
      </c>
      <c r="L7" s="14">
        <v>0.10819141668657474</v>
      </c>
      <c r="M7" s="14">
        <v>8.8771057391334576E-2</v>
      </c>
      <c r="N7" s="14">
        <v>2.1678479680322909</v>
      </c>
      <c r="O7" s="14">
        <v>447.18367884570097</v>
      </c>
      <c r="P7" s="14">
        <v>2.1678479680322909</v>
      </c>
      <c r="Q7" s="8">
        <v>2.5184279273984993E-3</v>
      </c>
      <c r="R7" s="54">
        <v>0.44539944042321422</v>
      </c>
    </row>
    <row r="8" spans="1:21">
      <c r="A8" s="2" t="s">
        <v>289</v>
      </c>
      <c r="B8" s="16" t="s">
        <v>290</v>
      </c>
      <c r="D8" s="14">
        <v>1</v>
      </c>
      <c r="E8" s="14">
        <v>0.99912659737674525</v>
      </c>
      <c r="F8" s="14">
        <v>0.23059021254868076</v>
      </c>
      <c r="G8" s="14">
        <v>1.2782520443265995E-19</v>
      </c>
      <c r="H8" s="14">
        <v>218.65573345310239</v>
      </c>
      <c r="I8" s="14">
        <v>0.30785560860172245</v>
      </c>
      <c r="J8" s="14">
        <v>0</v>
      </c>
      <c r="K8" s="14">
        <v>4.3366975074403307</v>
      </c>
      <c r="L8" s="14">
        <v>0.23059021254868078</v>
      </c>
      <c r="M8" s="14">
        <v>0.18919926939619258</v>
      </c>
      <c r="N8" s="14">
        <v>1.8794059798340192</v>
      </c>
      <c r="O8" s="14">
        <v>654.82263149376899</v>
      </c>
      <c r="P8" s="14">
        <v>1.8794059798340195</v>
      </c>
      <c r="Q8" s="8">
        <v>2.347183643500955E-4</v>
      </c>
      <c r="R8" s="54">
        <v>0.5631338766446663</v>
      </c>
    </row>
    <row r="9" spans="1:21">
      <c r="A9" s="2" t="s">
        <v>291</v>
      </c>
      <c r="B9" s="16" t="s">
        <v>292</v>
      </c>
      <c r="D9" s="14">
        <v>1</v>
      </c>
      <c r="E9" s="14">
        <v>0.9990636752753278</v>
      </c>
      <c r="F9" s="14">
        <v>0.61632531765771559</v>
      </c>
      <c r="G9" s="14">
        <v>5.3603370138652926E-15</v>
      </c>
      <c r="H9" s="14">
        <v>109.4233504113006</v>
      </c>
      <c r="I9" s="14">
        <v>0.3840109180238942</v>
      </c>
      <c r="J9" s="14">
        <v>0</v>
      </c>
      <c r="K9" s="14">
        <v>1.6225197494732209</v>
      </c>
      <c r="L9" s="14">
        <v>0.61632531765771559</v>
      </c>
      <c r="M9" s="14">
        <v>0.50569492313815567</v>
      </c>
      <c r="N9" s="14">
        <v>1.4885182638303343</v>
      </c>
      <c r="O9" s="14">
        <v>458.95483628680694</v>
      </c>
      <c r="P9" s="14">
        <v>1.4885182638303343</v>
      </c>
      <c r="Q9" s="8">
        <v>5.7722292631847132E-4</v>
      </c>
      <c r="R9" s="54">
        <v>0.60961518703604822</v>
      </c>
    </row>
    <row r="10" spans="1:21">
      <c r="A10" s="2" t="s">
        <v>367</v>
      </c>
      <c r="B10" s="16" t="s">
        <v>368</v>
      </c>
      <c r="D10" s="14">
        <v>1</v>
      </c>
      <c r="E10" s="14">
        <v>0.94202525399553305</v>
      </c>
      <c r="F10" s="14">
        <v>1.1021827707072147E-2</v>
      </c>
      <c r="G10" s="14">
        <v>1.7125454472333614E-7</v>
      </c>
      <c r="H10" s="14">
        <v>225.27532134437499</v>
      </c>
      <c r="I10" s="14">
        <v>364.30974516722381</v>
      </c>
      <c r="J10" s="14">
        <v>0</v>
      </c>
      <c r="K10" s="14">
        <v>90.72905388988714</v>
      </c>
      <c r="L10" s="14">
        <v>1.1021827707072147E-2</v>
      </c>
      <c r="M10" s="14">
        <v>9.0434096336526968E-3</v>
      </c>
      <c r="N10" s="14">
        <v>22.079194129875585</v>
      </c>
      <c r="O10" s="14">
        <v>6145.5228941095702</v>
      </c>
      <c r="P10" s="14">
        <v>22.079194129875589</v>
      </c>
      <c r="Q10" s="8">
        <v>7.9080751663121729E-2</v>
      </c>
      <c r="R10" s="54">
        <v>0.40817610710510821</v>
      </c>
    </row>
    <row r="11" spans="1:21">
      <c r="A11" s="2" t="s">
        <v>369</v>
      </c>
      <c r="B11" s="16" t="s">
        <v>370</v>
      </c>
      <c r="D11" s="14">
        <v>1</v>
      </c>
      <c r="E11" s="14">
        <v>0.93998203085426446</v>
      </c>
      <c r="F11" s="14">
        <v>5.9725043815908011E-4</v>
      </c>
      <c r="G11" s="14">
        <v>6.4350598301247165E-14</v>
      </c>
      <c r="H11" s="14">
        <v>154.27532750436325</v>
      </c>
      <c r="I11" s="14">
        <v>1043.6442011733204</v>
      </c>
      <c r="J11" s="14">
        <v>0</v>
      </c>
      <c r="K11" s="14">
        <v>1674.3394999965587</v>
      </c>
      <c r="L11" s="14">
        <v>5.9725043815908021E-4</v>
      </c>
      <c r="M11" s="14">
        <v>4.9004398450952535E-4</v>
      </c>
      <c r="N11" s="14">
        <v>136.40425288948933</v>
      </c>
      <c r="O11" s="14">
        <v>55502.8905007332</v>
      </c>
      <c r="P11" s="14">
        <v>136.40425288948933</v>
      </c>
      <c r="Q11" s="8">
        <v>1.1639986171671781E-2</v>
      </c>
      <c r="R11" s="54">
        <v>0.29944633252750819</v>
      </c>
    </row>
    <row r="12" spans="1:21">
      <c r="A12" s="2" t="s">
        <v>371</v>
      </c>
      <c r="B12" s="16" t="s">
        <v>372</v>
      </c>
      <c r="D12" s="14">
        <v>1</v>
      </c>
      <c r="E12" s="14">
        <v>0.93845778522065548</v>
      </c>
      <c r="F12" s="14">
        <v>0.94209097961087329</v>
      </c>
      <c r="G12" s="14">
        <v>8.4880640497924319E-4</v>
      </c>
      <c r="H12" s="14">
        <v>7.4972420805660437E-3</v>
      </c>
      <c r="I12" s="14">
        <v>3.4407337265843052E-2</v>
      </c>
      <c r="J12" s="14">
        <v>0</v>
      </c>
      <c r="K12" s="14">
        <v>1.061468607217793</v>
      </c>
      <c r="L12" s="14">
        <v>0.9420909796108734</v>
      </c>
      <c r="M12" s="14">
        <v>0.77298564877072162</v>
      </c>
      <c r="N12" s="14">
        <v>0.83113873942757976</v>
      </c>
      <c r="O12" s="14">
        <v>116.51733988035241</v>
      </c>
      <c r="P12" s="14">
        <v>0.83113873942757988</v>
      </c>
      <c r="Q12" s="8">
        <v>2.8870284558166013E-3</v>
      </c>
      <c r="R12" s="54">
        <v>2.0575519549267521E-2</v>
      </c>
    </row>
    <row r="13" spans="1:21">
      <c r="A13" s="2" t="s">
        <v>293</v>
      </c>
      <c r="B13" s="16" t="s">
        <v>294</v>
      </c>
      <c r="D13" s="14">
        <v>1</v>
      </c>
      <c r="E13" s="14">
        <v>0.84551406711033184</v>
      </c>
      <c r="F13" s="14">
        <v>0.63500559730583095</v>
      </c>
      <c r="G13" s="14">
        <v>2.3478267211546421E-10</v>
      </c>
      <c r="H13" s="14">
        <v>48.176756018486095</v>
      </c>
      <c r="I13" s="14">
        <v>114.41809802525384</v>
      </c>
      <c r="J13" s="14">
        <v>0</v>
      </c>
      <c r="K13" s="14">
        <v>1.574789268382434</v>
      </c>
      <c r="L13" s="14">
        <v>0.63500559730583095</v>
      </c>
      <c r="M13" s="14">
        <v>0.52102209258943433</v>
      </c>
      <c r="N13" s="14">
        <v>7.2147480458137441</v>
      </c>
      <c r="O13" s="14">
        <v>2383.4641644150283</v>
      </c>
      <c r="P13" s="14">
        <v>7.2147480458137441</v>
      </c>
      <c r="Q13" s="8">
        <v>0.24271394220346626</v>
      </c>
      <c r="R13" s="54">
        <v>6.7855953736643071E-3</v>
      </c>
    </row>
    <row r="14" spans="1:21">
      <c r="A14" s="2" t="s">
        <v>373</v>
      </c>
      <c r="B14" s="16" t="s">
        <v>374</v>
      </c>
      <c r="D14" s="14">
        <v>1</v>
      </c>
      <c r="E14" s="14">
        <v>0.99810326656431181</v>
      </c>
      <c r="F14" s="14">
        <v>8.8325320156818956E-3</v>
      </c>
      <c r="G14" s="14">
        <v>9.5237543067608065E-10</v>
      </c>
      <c r="H14" s="14">
        <v>280.74059777883195</v>
      </c>
      <c r="I14" s="14">
        <v>4.0722317536773467</v>
      </c>
      <c r="J14" s="14">
        <v>0</v>
      </c>
      <c r="K14" s="14">
        <v>113.21781774745112</v>
      </c>
      <c r="L14" s="14">
        <v>8.8325320156818956E-3</v>
      </c>
      <c r="M14" s="14">
        <v>7.2470925188669955E-3</v>
      </c>
      <c r="N14" s="14">
        <v>4.0529054908921642</v>
      </c>
      <c r="O14" s="14">
        <v>1079.450848444219</v>
      </c>
      <c r="P14" s="14">
        <v>4.0529054908921651</v>
      </c>
      <c r="Q14" s="8">
        <v>5.2726930068735243E-4</v>
      </c>
      <c r="R14" s="54">
        <v>5.5779412875837182E-4</v>
      </c>
    </row>
    <row r="15" spans="1:21">
      <c r="A15" s="2" t="s">
        <v>375</v>
      </c>
      <c r="B15" s="16" t="s">
        <v>376</v>
      </c>
      <c r="D15" s="14">
        <v>1</v>
      </c>
      <c r="E15" s="14">
        <v>0.86726971212144377</v>
      </c>
      <c r="F15" s="14">
        <v>0.84257845519803365</v>
      </c>
      <c r="G15" s="14">
        <v>1.0419786913936011E-3</v>
      </c>
      <c r="H15" s="14">
        <v>6.0929883815226509</v>
      </c>
      <c r="I15" s="14">
        <v>17.206301188433752</v>
      </c>
      <c r="J15" s="14">
        <v>0</v>
      </c>
      <c r="K15" s="14">
        <v>1.1868331000286105</v>
      </c>
      <c r="L15" s="14">
        <v>0.84257845519803365</v>
      </c>
      <c r="M15" s="14">
        <v>0.69133562248998659</v>
      </c>
      <c r="N15" s="14">
        <v>1.7257027086402008</v>
      </c>
      <c r="O15" s="14">
        <v>257.819984670846</v>
      </c>
      <c r="P15" s="14">
        <v>1.7257027086402008</v>
      </c>
      <c r="Q15" s="8">
        <v>9.4599212427194448E-2</v>
      </c>
      <c r="R15" s="54">
        <v>0.64526076538009502</v>
      </c>
    </row>
    <row r="16" spans="1:21">
      <c r="A16" s="2" t="s">
        <v>377</v>
      </c>
      <c r="B16" s="16" t="s">
        <v>378</v>
      </c>
      <c r="D16" s="14">
        <v>1</v>
      </c>
      <c r="E16" s="14">
        <v>0.83805217978236335</v>
      </c>
      <c r="F16" s="14">
        <v>0.59666420602592751</v>
      </c>
      <c r="G16" s="14">
        <v>8.9970155878840029E-6</v>
      </c>
      <c r="H16" s="14">
        <v>55.292978533783653</v>
      </c>
      <c r="I16" s="14">
        <v>129.39787848406047</v>
      </c>
      <c r="J16" s="14">
        <v>0</v>
      </c>
      <c r="K16" s="14">
        <v>1.6759845653562564</v>
      </c>
      <c r="L16" s="14">
        <v>0.59666420602592751</v>
      </c>
      <c r="M16" s="14">
        <v>0.48956298104427354</v>
      </c>
      <c r="N16" s="14">
        <v>8.0632144521647238</v>
      </c>
      <c r="O16" s="14">
        <v>1791.9687798490882</v>
      </c>
      <c r="P16" s="14">
        <v>8.0632144521647238</v>
      </c>
      <c r="Q16" s="8">
        <v>0.25312040459463647</v>
      </c>
      <c r="R16" s="54">
        <v>0.19112754422111536</v>
      </c>
    </row>
    <row r="17" spans="1:22">
      <c r="A17" s="2" t="s">
        <v>379</v>
      </c>
      <c r="B17" s="16" t="s">
        <v>380</v>
      </c>
      <c r="D17" s="14">
        <v>1</v>
      </c>
      <c r="E17" s="14">
        <v>0.84123702711927106</v>
      </c>
      <c r="F17" s="14">
        <v>0.61981949273797565</v>
      </c>
      <c r="G17" s="14">
        <v>2.6936038117528259E-5</v>
      </c>
      <c r="H17" s="14">
        <v>50.688008718046653</v>
      </c>
      <c r="I17" s="14">
        <v>119.71881267949925</v>
      </c>
      <c r="J17" s="14">
        <v>0</v>
      </c>
      <c r="K17" s="14">
        <v>1.6133729444077729</v>
      </c>
      <c r="L17" s="14">
        <v>0.61981949273797565</v>
      </c>
      <c r="M17" s="14">
        <v>0.50856189379150907</v>
      </c>
      <c r="N17" s="14">
        <v>7.5134834754711015</v>
      </c>
      <c r="O17" s="14">
        <v>965.93343560656479</v>
      </c>
      <c r="P17" s="14">
        <v>7.5134834754711015</v>
      </c>
      <c r="Q17" s="8">
        <v>0.24635557856317858</v>
      </c>
      <c r="R17" s="54">
        <v>0.11132121106806854</v>
      </c>
    </row>
    <row r="18" spans="1:22">
      <c r="A18" s="2" t="s">
        <v>381</v>
      </c>
      <c r="B18" s="16" t="s">
        <v>382</v>
      </c>
      <c r="D18" s="14">
        <v>1</v>
      </c>
      <c r="E18" s="14">
        <v>0.92168521354106014</v>
      </c>
      <c r="F18" s="14">
        <v>6.7220499890238543E-4</v>
      </c>
      <c r="G18" s="14">
        <v>4.7888388800076687E-10</v>
      </c>
      <c r="H18" s="14">
        <v>70.567013494805124</v>
      </c>
      <c r="I18" s="14">
        <v>1770.3490757526395</v>
      </c>
      <c r="J18" s="14">
        <v>0</v>
      </c>
      <c r="K18" s="14">
        <v>1487.6414213414907</v>
      </c>
      <c r="L18" s="14">
        <v>6.7220499890238553E-4</v>
      </c>
      <c r="M18" s="14">
        <v>5.5154420159940726E-4</v>
      </c>
      <c r="N18" s="14">
        <v>110.9999914179802</v>
      </c>
      <c r="O18" s="14">
        <v>43433.186641941473</v>
      </c>
      <c r="P18" s="14">
        <v>110.9999914179802</v>
      </c>
      <c r="Q18" s="8">
        <v>5.6631610008718136E-2</v>
      </c>
      <c r="R18" s="54">
        <v>0.14925670744053277</v>
      </c>
    </row>
    <row r="19" spans="1:22">
      <c r="A19" s="2" t="s">
        <v>383</v>
      </c>
      <c r="B19" s="16" t="s">
        <v>384</v>
      </c>
      <c r="D19" s="14">
        <v>1</v>
      </c>
      <c r="E19" s="14">
        <v>0.95606165408189914</v>
      </c>
      <c r="F19" s="14">
        <v>0.95096440019735073</v>
      </c>
      <c r="G19" s="14">
        <v>1.3718061543544619E-4</v>
      </c>
      <c r="H19" s="14">
        <v>1.8735455629977729</v>
      </c>
      <c r="I19" s="14">
        <v>5.8226599827011256</v>
      </c>
      <c r="J19" s="14">
        <v>0</v>
      </c>
      <c r="K19" s="14">
        <v>1.0515640751562023</v>
      </c>
      <c r="L19" s="14">
        <v>0.95096440019735085</v>
      </c>
      <c r="M19" s="14">
        <v>0.7802662903619263</v>
      </c>
      <c r="N19" s="14">
        <v>1.1668300854745557</v>
      </c>
      <c r="O19" s="14">
        <v>108.66688586024536</v>
      </c>
      <c r="P19" s="14">
        <v>1.1668300854745557</v>
      </c>
      <c r="Q19" s="8">
        <v>5.4215245660644014E-2</v>
      </c>
      <c r="R19" s="54">
        <v>2.2322475832670069E-3</v>
      </c>
    </row>
    <row r="20" spans="1:22">
      <c r="A20" s="2" t="s">
        <v>385</v>
      </c>
      <c r="B20" s="16" t="s">
        <v>386</v>
      </c>
      <c r="D20" s="14">
        <v>1</v>
      </c>
      <c r="E20" s="14">
        <v>0.93564157484946575</v>
      </c>
      <c r="F20" s="14">
        <v>0.92344682117335808</v>
      </c>
      <c r="G20" s="14">
        <v>2.6063958671810147E-4</v>
      </c>
      <c r="H20" s="14">
        <v>3.3994753049200659</v>
      </c>
      <c r="I20" s="14">
        <v>10.089486449839914</v>
      </c>
      <c r="J20" s="14">
        <v>0</v>
      </c>
      <c r="K20" s="14">
        <v>1.0828993907081419</v>
      </c>
      <c r="L20" s="14">
        <v>0.92344682117335808</v>
      </c>
      <c r="M20" s="14">
        <v>0.75768811677274028</v>
      </c>
      <c r="N20" s="14">
        <v>1.3869910513764505</v>
      </c>
      <c r="O20" s="14">
        <v>154.1224456289512</v>
      </c>
      <c r="P20" s="14">
        <v>1.3869910513764505</v>
      </c>
      <c r="Q20" s="8">
        <v>7.2923761397975517E-2</v>
      </c>
      <c r="R20" s="54">
        <v>0.44746106725120954</v>
      </c>
    </row>
    <row r="21" spans="1:22">
      <c r="A21" s="2" t="s">
        <v>387</v>
      </c>
      <c r="B21" s="16" t="s">
        <v>388</v>
      </c>
      <c r="D21" s="14">
        <v>1</v>
      </c>
      <c r="E21" s="14">
        <v>0.96583033126084505</v>
      </c>
      <c r="F21" s="14">
        <v>0.11073075483080243</v>
      </c>
      <c r="G21" s="14">
        <v>2.1518597110859106E-5</v>
      </c>
      <c r="H21" s="14">
        <v>233.72666402027909</v>
      </c>
      <c r="I21" s="14">
        <v>87.335143462434004</v>
      </c>
      <c r="J21" s="14">
        <v>0</v>
      </c>
      <c r="K21" s="14">
        <v>9.0309146860599743</v>
      </c>
      <c r="L21" s="14">
        <v>0.11073075483080243</v>
      </c>
      <c r="M21" s="14">
        <v>9.0854584338673397E-2</v>
      </c>
      <c r="N21" s="14">
        <v>6.6468609189809094</v>
      </c>
      <c r="O21" s="14">
        <v>1312.4226884527804</v>
      </c>
      <c r="P21" s="14">
        <v>6.6468609189809102</v>
      </c>
      <c r="Q21" s="8">
        <v>4.8149195817688645E-2</v>
      </c>
      <c r="R21" s="54">
        <v>2.2630962769670464E-2</v>
      </c>
      <c r="U21" s="22"/>
    </row>
    <row r="22" spans="1:22">
      <c r="A22" s="2" t="s">
        <v>295</v>
      </c>
      <c r="B22" s="16" t="s">
        <v>296</v>
      </c>
      <c r="D22" s="14">
        <v>1</v>
      </c>
      <c r="E22" s="14">
        <v>0.93413766332411396</v>
      </c>
      <c r="F22" s="14">
        <v>0.93634037068728415</v>
      </c>
      <c r="G22" s="14">
        <v>7.5193835205092797E-4</v>
      </c>
      <c r="H22" s="14">
        <v>0.2972718244692647</v>
      </c>
      <c r="I22" s="14">
        <v>1.0568440808010175</v>
      </c>
      <c r="J22" s="14">
        <v>0</v>
      </c>
      <c r="K22" s="14">
        <v>1.0679877011668191</v>
      </c>
      <c r="L22" s="14">
        <v>0.93634037068728426</v>
      </c>
      <c r="M22" s="14">
        <v>0.76826727414891671</v>
      </c>
      <c r="N22" s="14">
        <v>0.88308303697503998</v>
      </c>
      <c r="O22" s="14">
        <v>51.289462787510324</v>
      </c>
      <c r="P22" s="14">
        <v>0.88308303697504009</v>
      </c>
      <c r="Q22" s="8">
        <v>2.0616309212838524E-2</v>
      </c>
      <c r="U22" s="22"/>
      <c r="V22" s="22"/>
    </row>
    <row r="23" spans="1:22">
      <c r="A23" s="2" t="s">
        <v>389</v>
      </c>
      <c r="B23" s="16" t="s">
        <v>390</v>
      </c>
      <c r="D23" s="14">
        <v>1</v>
      </c>
      <c r="E23" s="14">
        <v>0.86063914813459452</v>
      </c>
      <c r="F23" s="14">
        <v>0.8150005142833523</v>
      </c>
      <c r="G23" s="14">
        <v>8.6068923376929297E-4</v>
      </c>
      <c r="H23" s="14">
        <v>10.740336365319644</v>
      </c>
      <c r="I23" s="14">
        <v>29.018506285220685</v>
      </c>
      <c r="J23" s="14">
        <v>0</v>
      </c>
      <c r="K23" s="14">
        <v>1.226993090770405</v>
      </c>
      <c r="L23" s="14">
        <v>0.8150005142833523</v>
      </c>
      <c r="M23" s="14">
        <v>0.66870792196949058</v>
      </c>
      <c r="N23" s="14">
        <v>2.3842524518480759</v>
      </c>
      <c r="O23" s="14">
        <v>255.47265021552133</v>
      </c>
      <c r="P23" s="14">
        <v>2.3842524518480759</v>
      </c>
      <c r="Q23" s="8">
        <v>0.12510511128561097</v>
      </c>
      <c r="U23" s="22"/>
      <c r="V23" s="22"/>
    </row>
    <row r="24" spans="1:22">
      <c r="A24" s="2" t="s">
        <v>391</v>
      </c>
      <c r="B24" s="16" t="s">
        <v>392</v>
      </c>
      <c r="D24" s="14">
        <v>1</v>
      </c>
      <c r="E24" s="14">
        <v>0.82164751673104897</v>
      </c>
      <c r="F24" s="14">
        <v>0.46887186697482652</v>
      </c>
      <c r="G24" s="14">
        <v>2.6972590744437206E-5</v>
      </c>
      <c r="H24" s="14">
        <v>81.188435977372038</v>
      </c>
      <c r="I24" s="14">
        <v>181.44764920960873</v>
      </c>
      <c r="J24" s="14">
        <v>0</v>
      </c>
      <c r="K24" s="14">
        <v>2.132778847346986</v>
      </c>
      <c r="L24" s="14">
        <v>0.46887186697482658</v>
      </c>
      <c r="M24" s="14">
        <v>0.38470936685284518</v>
      </c>
      <c r="N24" s="14">
        <v>11.030454842477772</v>
      </c>
      <c r="O24" s="14">
        <v>1787.1542935782486</v>
      </c>
      <c r="P24" s="14">
        <v>11.030454842477772</v>
      </c>
      <c r="Q24" s="8">
        <v>0.27551886833773148</v>
      </c>
      <c r="U24" s="22"/>
      <c r="V24" s="22"/>
    </row>
    <row r="25" spans="1:22">
      <c r="A25" s="2" t="s">
        <v>393</v>
      </c>
      <c r="B25" s="16" t="s">
        <v>394</v>
      </c>
      <c r="D25" s="14">
        <v>1</v>
      </c>
      <c r="E25" s="14">
        <v>0.92101721098871603</v>
      </c>
      <c r="F25" s="14">
        <v>9.4306342839492702E-4</v>
      </c>
      <c r="G25" s="14">
        <v>2.2191639621279073E-6</v>
      </c>
      <c r="H25" s="14">
        <v>84.715114745230395</v>
      </c>
      <c r="I25" s="14">
        <v>1636.8846428399254</v>
      </c>
      <c r="J25" s="14">
        <v>0</v>
      </c>
      <c r="K25" s="14">
        <v>1060.3740638124179</v>
      </c>
      <c r="L25" s="14">
        <v>9.4306342839492702E-4</v>
      </c>
      <c r="M25" s="14">
        <v>7.7378354299803759E-4</v>
      </c>
      <c r="N25" s="14">
        <v>102.29504625630345</v>
      </c>
      <c r="O25" s="14">
        <v>23874.640845758662</v>
      </c>
      <c r="P25" s="14">
        <v>102.29504625630346</v>
      </c>
      <c r="Q25" s="8">
        <v>6.2837380770396009E-2</v>
      </c>
      <c r="U25" s="22"/>
      <c r="V25" s="22"/>
    </row>
    <row r="26" spans="1:22">
      <c r="A26" s="2" t="s">
        <v>395</v>
      </c>
      <c r="B26" s="16" t="s">
        <v>396</v>
      </c>
      <c r="D26" s="14">
        <v>1</v>
      </c>
      <c r="E26" s="14">
        <v>0.73261634561142197</v>
      </c>
      <c r="F26" s="14">
        <v>0.16647313874099387</v>
      </c>
      <c r="G26" s="14">
        <v>1.798343525290942E-3</v>
      </c>
      <c r="H26" s="14">
        <v>132.50863124905518</v>
      </c>
      <c r="I26" s="14">
        <v>264.66794096794774</v>
      </c>
      <c r="J26" s="14">
        <v>0</v>
      </c>
      <c r="K26" s="14">
        <v>6.0069751045893547</v>
      </c>
      <c r="L26" s="14">
        <v>0.1664731387409939</v>
      </c>
      <c r="M26" s="14">
        <v>0.13659121033698549</v>
      </c>
      <c r="N26" s="14">
        <v>15.804927735027015</v>
      </c>
      <c r="O26" s="14">
        <v>2025.7175877984123</v>
      </c>
      <c r="P26" s="14">
        <v>15.804927735027016</v>
      </c>
      <c r="Q26" s="8">
        <v>0.21662139023040256</v>
      </c>
    </row>
    <row r="27" spans="1:22">
      <c r="A27" s="2" t="s">
        <v>397</v>
      </c>
      <c r="B27" s="16" t="s">
        <v>398</v>
      </c>
      <c r="D27" s="14">
        <v>1</v>
      </c>
      <c r="E27" s="14">
        <v>0.38708760152724764</v>
      </c>
      <c r="F27" s="14">
        <v>1.9640923654217341E-2</v>
      </c>
      <c r="G27" s="14">
        <v>8.1438618008690712E-3</v>
      </c>
      <c r="H27" s="14">
        <v>87.781279636846463</v>
      </c>
      <c r="I27" s="14">
        <v>154.40418888295594</v>
      </c>
      <c r="J27" s="14">
        <v>0</v>
      </c>
      <c r="K27" s="14">
        <v>50.914102493610471</v>
      </c>
      <c r="L27" s="14">
        <v>1.9640923654217341E-2</v>
      </c>
      <c r="M27" s="14">
        <v>1.6115377858285328E-2</v>
      </c>
      <c r="N27" s="14">
        <v>9.266598725708846</v>
      </c>
      <c r="O27" s="14">
        <v>1681.4243387798699</v>
      </c>
      <c r="P27" s="14">
        <v>9.266598725708846</v>
      </c>
      <c r="Q27" s="8">
        <v>6.2814380114095861E-2</v>
      </c>
    </row>
    <row r="28" spans="1:22">
      <c r="A28" s="2" t="s">
        <v>399</v>
      </c>
      <c r="B28" s="16" t="s">
        <v>400</v>
      </c>
      <c r="D28" s="14">
        <v>1</v>
      </c>
      <c r="E28" s="14">
        <v>0.20998908710182643</v>
      </c>
      <c r="F28" s="14">
        <v>3.6912040314027901E-2</v>
      </c>
      <c r="G28" s="14">
        <v>1.0751685176581984E-2</v>
      </c>
      <c r="H28" s="14">
        <v>40.667553951632648</v>
      </c>
      <c r="I28" s="14">
        <v>79.305849637722091</v>
      </c>
      <c r="J28" s="14">
        <v>0</v>
      </c>
      <c r="K28" s="14">
        <v>27.091431183227336</v>
      </c>
      <c r="L28" s="14">
        <v>3.6912040314027901E-2</v>
      </c>
      <c r="M28" s="14">
        <v>3.0286329077659897E-2</v>
      </c>
      <c r="N28" s="14">
        <v>4.7354155494372119</v>
      </c>
      <c r="O28" s="14">
        <v>696.1060857672702</v>
      </c>
      <c r="P28" s="14">
        <v>4.7354155494372128</v>
      </c>
      <c r="Q28" s="8">
        <v>5.6899077106643312E-2</v>
      </c>
    </row>
    <row r="29" spans="1:22">
      <c r="A29" s="2" t="s">
        <v>297</v>
      </c>
      <c r="B29" s="16" t="s">
        <v>298</v>
      </c>
      <c r="D29" s="14">
        <v>1</v>
      </c>
      <c r="E29" s="14">
        <v>7.668940880401745E-2</v>
      </c>
      <c r="F29" s="14">
        <v>7.5335796818444808E-2</v>
      </c>
      <c r="G29" s="14">
        <v>1.3128946355091757E-2</v>
      </c>
      <c r="H29" s="14">
        <v>0.35612411756430312</v>
      </c>
      <c r="I29" s="14">
        <v>1.0376683175037507</v>
      </c>
      <c r="J29" s="14">
        <v>0</v>
      </c>
      <c r="K29" s="14">
        <v>13.273902211586687</v>
      </c>
      <c r="L29" s="14">
        <v>7.5335796818444822E-2</v>
      </c>
      <c r="M29" s="14">
        <v>6.1813021289533969E-2</v>
      </c>
      <c r="N29" s="14">
        <v>0.12547197177017649</v>
      </c>
      <c r="O29" s="14">
        <v>10.65633456244109</v>
      </c>
      <c r="P29" s="14">
        <v>0.12547197177017649</v>
      </c>
      <c r="Q29" s="8">
        <v>6.777328816759973E-3</v>
      </c>
    </row>
    <row r="30" spans="1:22">
      <c r="A30" s="2" t="s">
        <v>401</v>
      </c>
      <c r="B30" s="16" t="s">
        <v>402</v>
      </c>
      <c r="D30" s="14">
        <v>1</v>
      </c>
      <c r="E30" s="14">
        <v>8.2233807495256689E-2</v>
      </c>
      <c r="F30" s="14">
        <v>1.5359501564492067E-2</v>
      </c>
      <c r="G30" s="14">
        <v>1.2897502187313786E-2</v>
      </c>
      <c r="H30" s="14">
        <v>15.699185552128496</v>
      </c>
      <c r="I30" s="14">
        <v>30.784655171196647</v>
      </c>
      <c r="J30" s="14">
        <v>0</v>
      </c>
      <c r="K30" s="14">
        <v>65.106279380301586</v>
      </c>
      <c r="L30" s="14">
        <v>1.5359501564492069E-2</v>
      </c>
      <c r="M30" s="14">
        <v>1.2602471033665743E-2</v>
      </c>
      <c r="N30" s="14">
        <v>1.8380975317548209</v>
      </c>
      <c r="O30" s="14">
        <v>304.81171369090197</v>
      </c>
      <c r="P30" s="14">
        <v>1.8380975317548212</v>
      </c>
      <c r="Q30" s="8">
        <v>2.2768493355465911E-2</v>
      </c>
    </row>
    <row r="31" spans="1:22">
      <c r="A31" s="2" t="s">
        <v>299</v>
      </c>
      <c r="B31" s="16" t="s">
        <v>300</v>
      </c>
      <c r="D31" s="14">
        <v>1</v>
      </c>
      <c r="E31" s="14">
        <v>1.6911943569127895E-3</v>
      </c>
      <c r="F31" s="14">
        <v>5.7791159281044273E-4</v>
      </c>
      <c r="G31" s="14">
        <v>1.4256400722250602E-2</v>
      </c>
      <c r="H31" s="14">
        <v>0.25881021076414973</v>
      </c>
      <c r="I31" s="14">
        <v>0.53931012921888022</v>
      </c>
      <c r="J31" s="14">
        <v>0</v>
      </c>
      <c r="K31" s="14">
        <v>1730.3684723417614</v>
      </c>
      <c r="L31" s="14">
        <v>5.7791159281044284E-4</v>
      </c>
      <c r="M31" s="14">
        <v>4.741764619009683E-4</v>
      </c>
      <c r="N31" s="14">
        <v>3.2283770114424168E-2</v>
      </c>
      <c r="O31" s="14">
        <v>2.6517888771988014</v>
      </c>
      <c r="P31" s="14">
        <v>3.2283770114424175E-2</v>
      </c>
      <c r="Q31" s="8">
        <v>5.5723524442785404E-4</v>
      </c>
    </row>
    <row r="32" spans="1:22">
      <c r="A32" s="2" t="s">
        <v>343</v>
      </c>
      <c r="B32" s="16" t="s">
        <v>344</v>
      </c>
      <c r="D32" s="14">
        <v>1</v>
      </c>
      <c r="E32" s="14">
        <v>0.85253383398212879</v>
      </c>
      <c r="F32" s="14">
        <v>0.67403190184911854</v>
      </c>
      <c r="G32" s="14">
        <v>2.606327220435206E-5</v>
      </c>
      <c r="H32" s="14">
        <v>40.831981141876547</v>
      </c>
      <c r="I32" s="14">
        <v>98.59562013052728</v>
      </c>
      <c r="J32" s="14">
        <v>0</v>
      </c>
      <c r="K32" s="14">
        <v>1.4836093028484711</v>
      </c>
      <c r="L32" s="14">
        <v>0.67403190184911865</v>
      </c>
      <c r="M32" s="14">
        <v>0.55304317546720183</v>
      </c>
      <c r="N32" s="14">
        <v>6.3194228073874124</v>
      </c>
      <c r="O32" s="14">
        <v>1037.6492249730129</v>
      </c>
      <c r="P32" s="14">
        <v>6.3194228073874124</v>
      </c>
      <c r="Q32" s="8">
        <v>0.22911716289820311</v>
      </c>
    </row>
    <row r="33" spans="1:17">
      <c r="A33" s="2" t="s">
        <v>345</v>
      </c>
      <c r="B33" s="16" t="s">
        <v>346</v>
      </c>
      <c r="D33" s="14">
        <v>1</v>
      </c>
      <c r="E33" s="14">
        <v>0.89455104743033009</v>
      </c>
      <c r="F33" s="14">
        <v>0.81396812308770783</v>
      </c>
      <c r="G33" s="14">
        <v>1.0607569475557109E-6</v>
      </c>
      <c r="H33" s="14">
        <v>18.594623840140496</v>
      </c>
      <c r="I33" s="14">
        <v>48.244139880308047</v>
      </c>
      <c r="J33" s="14">
        <v>0</v>
      </c>
      <c r="K33" s="14">
        <v>1.2285493395080369</v>
      </c>
      <c r="L33" s="14">
        <v>0.81396812308770794</v>
      </c>
      <c r="M33" s="14">
        <v>0.66786084499346432</v>
      </c>
      <c r="N33" s="14">
        <v>3.4987414733647135</v>
      </c>
      <c r="O33" s="14">
        <v>528.86976111381011</v>
      </c>
      <c r="P33" s="14">
        <v>3.4987414733647135</v>
      </c>
      <c r="Q33" s="8">
        <v>0.16643496460849036</v>
      </c>
    </row>
    <row r="34" spans="1:17">
      <c r="A34" s="2" t="s">
        <v>347</v>
      </c>
      <c r="B34" s="16" t="s">
        <v>348</v>
      </c>
      <c r="D34" s="14">
        <v>1</v>
      </c>
      <c r="E34" s="14">
        <v>0.83369811587628273</v>
      </c>
      <c r="F34" s="14">
        <v>0.21201652800932963</v>
      </c>
      <c r="G34" s="14">
        <v>9.761986571193558E-7</v>
      </c>
      <c r="H34" s="14">
        <v>145.24785188952967</v>
      </c>
      <c r="I34" s="14">
        <v>293.33702897795627</v>
      </c>
      <c r="J34" s="14">
        <v>0</v>
      </c>
      <c r="K34" s="14">
        <v>4.7166134140070231</v>
      </c>
      <c r="L34" s="14">
        <v>0.21201652800932966</v>
      </c>
      <c r="M34" s="14">
        <v>0.17395956123165499</v>
      </c>
      <c r="N34" s="14">
        <v>17.522410975303167</v>
      </c>
      <c r="O34" s="14">
        <v>3088.3249343971829</v>
      </c>
      <c r="P34" s="14">
        <v>17.522410975303167</v>
      </c>
      <c r="Q34" s="8">
        <v>0.25513314875829618</v>
      </c>
    </row>
    <row r="35" spans="1:17">
      <c r="A35" s="2" t="s">
        <v>349</v>
      </c>
      <c r="B35" s="16" t="s">
        <v>350</v>
      </c>
      <c r="D35" s="14">
        <v>1</v>
      </c>
      <c r="E35" s="14">
        <v>0.91342960396937112</v>
      </c>
      <c r="F35" s="14">
        <v>2.2678799792017229E-2</v>
      </c>
      <c r="G35" s="14">
        <v>1.6035723336116372E-4</v>
      </c>
      <c r="H35" s="14">
        <v>214.61499724528539</v>
      </c>
      <c r="I35" s="14">
        <v>357.20476027013376</v>
      </c>
      <c r="J35" s="14">
        <v>0</v>
      </c>
      <c r="K35" s="14">
        <v>44.09404418094438</v>
      </c>
      <c r="L35" s="14">
        <v>2.2678799792017233E-2</v>
      </c>
      <c r="M35" s="14">
        <v>1.8607955229350139E-2</v>
      </c>
      <c r="N35" s="14">
        <v>21.534041101545302</v>
      </c>
      <c r="O35" s="14">
        <v>4140.9961038271613</v>
      </c>
      <c r="P35" s="14">
        <v>21.534041101545302</v>
      </c>
      <c r="Q35" s="8">
        <v>0.10723023008439976</v>
      </c>
    </row>
    <row r="36" spans="1:17">
      <c r="A36" s="2" t="s">
        <v>351</v>
      </c>
      <c r="B36" s="16" t="s">
        <v>352</v>
      </c>
      <c r="D36" s="14">
        <v>1</v>
      </c>
      <c r="E36" s="14">
        <v>0.92866315921257614</v>
      </c>
      <c r="F36" s="14">
        <v>4.9203606869246868E-3</v>
      </c>
      <c r="G36" s="14">
        <v>4.2403863474773207E-6</v>
      </c>
      <c r="H36" s="14">
        <v>179.62920172227865</v>
      </c>
      <c r="I36" s="14">
        <v>767.77525452654731</v>
      </c>
      <c r="J36" s="14">
        <v>0</v>
      </c>
      <c r="K36" s="14">
        <v>203.23713313485109</v>
      </c>
      <c r="L36" s="14">
        <v>4.9203606869246868E-3</v>
      </c>
      <c r="M36" s="14">
        <v>4.0371559436217057E-3</v>
      </c>
      <c r="N36" s="14">
        <v>47.084318155715117</v>
      </c>
      <c r="O36" s="14">
        <v>10470.13982828637</v>
      </c>
      <c r="P36" s="14">
        <v>47.084318155715117</v>
      </c>
      <c r="Q36" s="8">
        <v>8.4534523823291297E-2</v>
      </c>
    </row>
    <row r="37" spans="1:17">
      <c r="A37" s="2" t="s">
        <v>353</v>
      </c>
      <c r="B37" s="16" t="s">
        <v>354</v>
      </c>
      <c r="D37" s="14">
        <v>1</v>
      </c>
      <c r="E37" s="14">
        <v>0.91967897656772224</v>
      </c>
      <c r="F37" s="14">
        <v>7.3808203093307396E-4</v>
      </c>
      <c r="G37" s="14">
        <v>2.8218447731568556E-5</v>
      </c>
      <c r="H37" s="14">
        <v>74.200124210591198</v>
      </c>
      <c r="I37" s="14">
        <v>1731.2580390874589</v>
      </c>
      <c r="J37" s="14">
        <v>0</v>
      </c>
      <c r="K37" s="14">
        <v>1354.8629530186674</v>
      </c>
      <c r="L37" s="14">
        <v>7.3808203093307396E-4</v>
      </c>
      <c r="M37" s="14">
        <v>6.0559630638058715E-4</v>
      </c>
      <c r="N37" s="14">
        <v>108.44989553822677</v>
      </c>
      <c r="O37" s="14">
        <v>25636.470806281424</v>
      </c>
      <c r="P37" s="14">
        <v>108.44989553822677</v>
      </c>
      <c r="Q37" s="8">
        <v>5.8258835972725687E-2</v>
      </c>
    </row>
    <row r="38" spans="1:17">
      <c r="A38" s="2" t="s">
        <v>355</v>
      </c>
      <c r="B38" s="16" t="s">
        <v>356</v>
      </c>
      <c r="D38" s="14">
        <v>1</v>
      </c>
      <c r="E38" s="14">
        <v>0.92329205170456941</v>
      </c>
      <c r="F38" s="14">
        <v>2.6946239247233783E-3</v>
      </c>
      <c r="G38" s="14">
        <v>1.5791618700568745E-6</v>
      </c>
      <c r="H38" s="14">
        <v>141.51359419866586</v>
      </c>
      <c r="I38" s="14">
        <v>1112.3855333504421</v>
      </c>
      <c r="J38" s="14">
        <v>0</v>
      </c>
      <c r="K38" s="14">
        <v>371.10930056878232</v>
      </c>
      <c r="L38" s="14">
        <v>2.6946239247233783E-3</v>
      </c>
      <c r="M38" s="14">
        <v>2.2109389302355322E-3</v>
      </c>
      <c r="N38" s="14">
        <v>68.737156732330078</v>
      </c>
      <c r="O38" s="14">
        <v>17761.681299634092</v>
      </c>
      <c r="P38" s="14">
        <v>68.737156732330078</v>
      </c>
      <c r="Q38" s="8">
        <v>8.0030463511507693E-2</v>
      </c>
    </row>
    <row r="39" spans="1:17">
      <c r="A39" s="2" t="s">
        <v>357</v>
      </c>
      <c r="B39" s="16" t="s">
        <v>358</v>
      </c>
      <c r="D39" s="14">
        <v>1</v>
      </c>
      <c r="E39" s="14">
        <v>0.90618392382414414</v>
      </c>
      <c r="F39" s="14">
        <v>4.0855483827362069E-3</v>
      </c>
      <c r="G39" s="14">
        <v>3.2164651160031986E-4</v>
      </c>
      <c r="H39" s="14">
        <v>165.48184638927265</v>
      </c>
      <c r="I39" s="14">
        <v>841.79730054527954</v>
      </c>
      <c r="J39" s="14">
        <v>0</v>
      </c>
      <c r="K39" s="14">
        <v>244.76518359825948</v>
      </c>
      <c r="L39" s="14">
        <v>4.0855483827362078E-3</v>
      </c>
      <c r="M39" s="14">
        <v>3.3521924480350582E-3</v>
      </c>
      <c r="N39" s="14">
        <v>51.735368652675284</v>
      </c>
      <c r="O39" s="14">
        <v>12229.72379580591</v>
      </c>
      <c r="P39" s="14">
        <v>51.735368652675291</v>
      </c>
      <c r="Q39" s="8">
        <v>8.2074364509011788E-2</v>
      </c>
    </row>
    <row r="40" spans="1:17">
      <c r="A40" s="2" t="s">
        <v>359</v>
      </c>
      <c r="B40" s="16" t="s">
        <v>360</v>
      </c>
      <c r="D40" s="14">
        <v>1</v>
      </c>
      <c r="E40" s="14">
        <v>0.92329205170456941</v>
      </c>
      <c r="F40" s="14">
        <v>2.6946239247233783E-3</v>
      </c>
      <c r="G40" s="14">
        <v>1.5791618700568745E-6</v>
      </c>
      <c r="H40" s="14">
        <v>141.51359419866586</v>
      </c>
      <c r="I40" s="14">
        <v>1112.3855333504421</v>
      </c>
      <c r="J40" s="14">
        <v>0</v>
      </c>
      <c r="K40" s="14">
        <v>371.10930056878232</v>
      </c>
      <c r="L40" s="14">
        <v>2.6946239247233783E-3</v>
      </c>
      <c r="M40" s="14">
        <v>2.2109389302355322E-3</v>
      </c>
      <c r="N40" s="14">
        <v>68.737156732330078</v>
      </c>
      <c r="O40" s="14">
        <v>17761.681299634092</v>
      </c>
      <c r="P40" s="14">
        <v>68.737156732330078</v>
      </c>
      <c r="Q40" s="8">
        <v>8.0030463511507693E-2</v>
      </c>
    </row>
    <row r="41" spans="1:17">
      <c r="A41" s="2" t="s">
        <v>313</v>
      </c>
      <c r="B41" s="16" t="s">
        <v>314</v>
      </c>
      <c r="D41" s="14">
        <v>1</v>
      </c>
      <c r="E41" s="14">
        <v>0.99954748456508336</v>
      </c>
      <c r="F41" s="14">
        <v>0.95773876472579034</v>
      </c>
      <c r="G41" s="14">
        <v>6.2341600150685307E-10</v>
      </c>
      <c r="H41" s="14">
        <v>12.940977018558748</v>
      </c>
      <c r="I41" s="14">
        <v>2.8513414744813791E-2</v>
      </c>
      <c r="J41" s="14">
        <v>0</v>
      </c>
      <c r="K41" s="14">
        <v>1.0441260569486392</v>
      </c>
      <c r="L41" s="14">
        <v>0.95773876472579034</v>
      </c>
      <c r="M41" s="14">
        <v>0.78582465645751098</v>
      </c>
      <c r="N41" s="14">
        <v>0.97349104392930874</v>
      </c>
      <c r="O41" s="14">
        <v>179.22943609782504</v>
      </c>
      <c r="P41" s="14">
        <v>0.97349104392930874</v>
      </c>
      <c r="Q41" s="8">
        <v>1.2168841409637585E-4</v>
      </c>
    </row>
    <row r="42" spans="1:17">
      <c r="A42" s="2" t="s">
        <v>315</v>
      </c>
      <c r="B42" s="16" t="s">
        <v>316</v>
      </c>
      <c r="D42" s="14">
        <v>1</v>
      </c>
      <c r="E42" s="14">
        <v>0.9190629976538911</v>
      </c>
      <c r="F42" s="14">
        <v>6.7029256003317095E-4</v>
      </c>
      <c r="G42" s="14">
        <v>4.0643667201835471E-5</v>
      </c>
      <c r="H42" s="14">
        <v>70.366248698779785</v>
      </c>
      <c r="I42" s="14">
        <v>1765.3123914225978</v>
      </c>
      <c r="J42" s="14">
        <v>0</v>
      </c>
      <c r="K42" s="14">
        <v>1491.8858713731099</v>
      </c>
      <c r="L42" s="14">
        <v>6.7029256003317105E-4</v>
      </c>
      <c r="M42" s="14">
        <v>5.4997504550721677E-4</v>
      </c>
      <c r="N42" s="14">
        <v>110.68419385857966</v>
      </c>
      <c r="O42" s="14">
        <v>40389.769180934309</v>
      </c>
      <c r="P42" s="14">
        <v>110.68419385857966</v>
      </c>
      <c r="Q42" s="8">
        <v>5.6470491759993843E-2</v>
      </c>
    </row>
    <row r="43" spans="1:17">
      <c r="A43" s="2" t="s">
        <v>317</v>
      </c>
      <c r="B43" s="16" t="s">
        <v>318</v>
      </c>
      <c r="D43" s="14">
        <v>1</v>
      </c>
      <c r="E43" s="14">
        <v>0.82128946945289227</v>
      </c>
      <c r="F43" s="14">
        <v>0.43850277083143696</v>
      </c>
      <c r="G43" s="14">
        <v>6.0562086565036214E-14</v>
      </c>
      <c r="H43" s="14">
        <v>88.221074282676511</v>
      </c>
      <c r="I43" s="14">
        <v>194.99771070288293</v>
      </c>
      <c r="J43" s="14">
        <v>0</v>
      </c>
      <c r="K43" s="14">
        <v>2.2804873002373931</v>
      </c>
      <c r="L43" s="14">
        <v>0.43850277083143696</v>
      </c>
      <c r="M43" s="14">
        <v>0.35979152346719406</v>
      </c>
      <c r="N43" s="14">
        <v>11.808940929543153</v>
      </c>
      <c r="O43" s="14">
        <v>3747.2131357626331</v>
      </c>
      <c r="P43" s="14">
        <v>11.808940929543153</v>
      </c>
      <c r="Q43" s="8">
        <v>0.27863105074684535</v>
      </c>
    </row>
    <row r="44" spans="1:17">
      <c r="A44" s="2" t="s">
        <v>307</v>
      </c>
      <c r="B44" s="16" t="s">
        <v>308</v>
      </c>
      <c r="D44" s="14">
        <v>1</v>
      </c>
      <c r="E44" s="14">
        <v>0.9347205440618741</v>
      </c>
      <c r="F44" s="14">
        <v>7.3822683905465664E-3</v>
      </c>
      <c r="G44" s="14">
        <v>1.4180068150025433E-6</v>
      </c>
      <c r="H44" s="14">
        <v>204.29128040794981</v>
      </c>
      <c r="I44" s="14">
        <v>548.9174045239223</v>
      </c>
      <c r="J44" s="14">
        <v>0</v>
      </c>
      <c r="K44" s="14">
        <v>135.45971876077542</v>
      </c>
      <c r="L44" s="14">
        <v>7.3822683905465664E-3</v>
      </c>
      <c r="M44" s="14">
        <v>6.057151214443458E-3</v>
      </c>
      <c r="N44" s="14">
        <v>33.471046630428575</v>
      </c>
      <c r="O44" s="14">
        <v>11734.614238161954</v>
      </c>
      <c r="P44" s="14">
        <v>33.471046630428575</v>
      </c>
      <c r="Q44" s="8">
        <v>8.3580891889029368E-2</v>
      </c>
    </row>
    <row r="45" spans="1:17">
      <c r="A45" s="2" t="s">
        <v>319</v>
      </c>
      <c r="B45" s="16" t="s">
        <v>320</v>
      </c>
      <c r="D45" s="14">
        <v>1</v>
      </c>
      <c r="E45" s="14">
        <v>0.92400638523432799</v>
      </c>
      <c r="F45" s="14">
        <v>2.9665290458384588E-4</v>
      </c>
      <c r="G45" s="14">
        <v>1.31050020325042E-7</v>
      </c>
      <c r="H45" s="14">
        <v>44.412846107774548</v>
      </c>
      <c r="I45" s="14">
        <v>2019.6019238311403</v>
      </c>
      <c r="J45" s="14">
        <v>0</v>
      </c>
      <c r="K45" s="14">
        <v>3370.9428916694133</v>
      </c>
      <c r="L45" s="14">
        <v>2.9665290458384588E-4</v>
      </c>
      <c r="M45" s="14">
        <v>2.4340370821104555E-4</v>
      </c>
      <c r="N45" s="14">
        <v>127.58136221819647</v>
      </c>
      <c r="O45" s="14">
        <v>45226.317092728466</v>
      </c>
      <c r="P45" s="14">
        <v>127.58136221819647</v>
      </c>
      <c r="Q45" s="8">
        <v>4.2644769930474405E-2</v>
      </c>
    </row>
    <row r="46" spans="1:17">
      <c r="A46" s="2" t="s">
        <v>321</v>
      </c>
      <c r="B46" s="16" t="s">
        <v>322</v>
      </c>
      <c r="D46" s="14">
        <v>1</v>
      </c>
      <c r="E46" s="14">
        <v>0.92193154995103355</v>
      </c>
      <c r="F46" s="14">
        <v>5.9863598919111393E-4</v>
      </c>
      <c r="G46" s="14">
        <v>1.9509732293275929E-7</v>
      </c>
      <c r="H46" s="14">
        <v>66.194639678974738</v>
      </c>
      <c r="I46" s="14">
        <v>1811.673756415468</v>
      </c>
      <c r="J46" s="14">
        <v>0</v>
      </c>
      <c r="K46" s="14">
        <v>1670.464218750388</v>
      </c>
      <c r="L46" s="14">
        <v>5.9863598919111403E-4</v>
      </c>
      <c r="M46" s="14">
        <v>4.9118082913130899E-4</v>
      </c>
      <c r="N46" s="14">
        <v>113.71564983177257</v>
      </c>
      <c r="O46" s="14">
        <v>40311.060708865058</v>
      </c>
      <c r="P46" s="14">
        <v>113.71564983177258</v>
      </c>
      <c r="Q46" s="8">
        <v>5.4535587148921129E-2</v>
      </c>
    </row>
    <row r="47" spans="1:17">
      <c r="A47" s="2" t="s">
        <v>323</v>
      </c>
      <c r="B47" s="16" t="s">
        <v>324</v>
      </c>
      <c r="D47" s="14">
        <v>1</v>
      </c>
      <c r="E47" s="14">
        <v>0.92100391443433649</v>
      </c>
      <c r="F47" s="14">
        <v>1.3508130871664997E-3</v>
      </c>
      <c r="G47" s="14">
        <v>1.8665677041226209E-6</v>
      </c>
      <c r="H47" s="14">
        <v>102.05052882915074</v>
      </c>
      <c r="I47" s="14">
        <v>1475.2731229590131</v>
      </c>
      <c r="J47" s="14">
        <v>0</v>
      </c>
      <c r="K47" s="14">
        <v>740.29487091928138</v>
      </c>
      <c r="L47" s="14">
        <v>1.3508130871664999E-3</v>
      </c>
      <c r="M47" s="14">
        <v>1.1083421380201131E-3</v>
      </c>
      <c r="N47" s="14">
        <v>91.859700976855251</v>
      </c>
      <c r="O47" s="14">
        <v>29398.778700632756</v>
      </c>
      <c r="P47" s="14">
        <v>91.859700976855251</v>
      </c>
      <c r="Q47" s="8">
        <v>6.9354146317852125E-2</v>
      </c>
    </row>
    <row r="48" spans="1:17">
      <c r="A48" s="2" t="s">
        <v>325</v>
      </c>
      <c r="B48" s="16" t="s">
        <v>326</v>
      </c>
      <c r="D48" s="14">
        <v>1</v>
      </c>
      <c r="E48" s="14">
        <v>0.88414833505759316</v>
      </c>
      <c r="F48" s="14">
        <v>6.8061783029055314E-2</v>
      </c>
      <c r="G48" s="14">
        <v>1.2867429868858531E-6</v>
      </c>
      <c r="H48" s="14">
        <v>193.93818291539637</v>
      </c>
      <c r="I48" s="14">
        <v>352.63100345780947</v>
      </c>
      <c r="J48" s="14">
        <v>0</v>
      </c>
      <c r="K48" s="14">
        <v>14.692533100008614</v>
      </c>
      <c r="L48" s="14">
        <v>6.8061783029055328E-2</v>
      </c>
      <c r="M48" s="14">
        <v>5.5844692975339894E-2</v>
      </c>
      <c r="N48" s="14">
        <v>21.115103735725253</v>
      </c>
      <c r="O48" s="14">
        <v>6426.3818219679815</v>
      </c>
      <c r="P48" s="14">
        <v>21.115103735725256</v>
      </c>
      <c r="Q48" s="8">
        <v>0.17215533784881776</v>
      </c>
    </row>
    <row r="49" spans="1:17">
      <c r="A49" s="2" t="s">
        <v>275</v>
      </c>
      <c r="B49" s="16" t="s">
        <v>276</v>
      </c>
      <c r="D49" s="14">
        <v>1</v>
      </c>
      <c r="E49" s="14">
        <v>0.93363610230503813</v>
      </c>
      <c r="F49" s="14">
        <v>6.863887762084602E-3</v>
      </c>
      <c r="G49" s="14">
        <v>1.8214559008328223E-8</v>
      </c>
      <c r="H49" s="14">
        <v>200.07377815013729</v>
      </c>
      <c r="I49" s="14">
        <v>586.47208336726862</v>
      </c>
      <c r="J49" s="14">
        <v>0</v>
      </c>
      <c r="K49" s="14">
        <v>145.69002796401995</v>
      </c>
      <c r="L49" s="14">
        <v>6.863887762084602E-3</v>
      </c>
      <c r="M49" s="14">
        <v>5.6318199087904159E-3</v>
      </c>
      <c r="N49" s="14">
        <v>35.799059293411254</v>
      </c>
      <c r="O49" s="14">
        <v>13263.193477615936</v>
      </c>
      <c r="P49" s="14">
        <v>35.799059293411254</v>
      </c>
      <c r="Q49" s="8">
        <v>8.403251159847297E-2</v>
      </c>
    </row>
    <row r="50" spans="1:17">
      <c r="A50" s="2" t="s">
        <v>327</v>
      </c>
      <c r="B50" s="16" t="s">
        <v>328</v>
      </c>
      <c r="D50" s="14">
        <v>1</v>
      </c>
      <c r="E50" s="14">
        <v>0.93168297726677796</v>
      </c>
      <c r="F50" s="14">
        <v>6.0593456670802728E-3</v>
      </c>
      <c r="G50" s="14">
        <v>9.4814381431425312E-7</v>
      </c>
      <c r="H50" s="14">
        <v>192.59531940608102</v>
      </c>
      <c r="I50" s="14">
        <v>652.68389882760721</v>
      </c>
      <c r="J50" s="14">
        <v>0</v>
      </c>
      <c r="K50" s="14">
        <v>165.03432135137706</v>
      </c>
      <c r="L50" s="14">
        <v>6.0593456670802737E-3</v>
      </c>
      <c r="M50" s="14">
        <v>4.9716931198393642E-3</v>
      </c>
      <c r="N50" s="14">
        <v>39.91172947354994</v>
      </c>
      <c r="O50" s="14">
        <v>15202.77687376991</v>
      </c>
      <c r="P50" s="14">
        <v>39.911729473549947</v>
      </c>
      <c r="Q50" s="8">
        <v>8.4508987631648991E-2</v>
      </c>
    </row>
    <row r="51" spans="1:17">
      <c r="A51" s="2" t="s">
        <v>329</v>
      </c>
      <c r="B51" s="16" t="s">
        <v>330</v>
      </c>
      <c r="D51" s="14">
        <v>1</v>
      </c>
      <c r="E51" s="14">
        <v>0.90286442267268829</v>
      </c>
      <c r="F51" s="14">
        <v>4.269222397003055E-2</v>
      </c>
      <c r="G51" s="14">
        <v>6.5795662895005576E-7</v>
      </c>
      <c r="H51" s="14">
        <v>205.66897285726728</v>
      </c>
      <c r="I51" s="14">
        <v>359.77083149361357</v>
      </c>
      <c r="J51" s="14">
        <v>0</v>
      </c>
      <c r="K51" s="14">
        <v>23.423469358307226</v>
      </c>
      <c r="L51" s="14">
        <v>4.2692223970030557E-2</v>
      </c>
      <c r="M51" s="14">
        <v>3.5028969767410073E-2</v>
      </c>
      <c r="N51" s="14">
        <v>21.600698365548904</v>
      </c>
      <c r="O51" s="14">
        <v>5927.2316315066191</v>
      </c>
      <c r="P51" s="14">
        <v>21.600698365548908</v>
      </c>
      <c r="Q51" s="8">
        <v>0.1419796005257698</v>
      </c>
    </row>
    <row r="52" spans="1:17">
      <c r="A52" s="2" t="s">
        <v>277</v>
      </c>
      <c r="B52" s="16" t="s">
        <v>278</v>
      </c>
      <c r="D52" s="14">
        <v>1</v>
      </c>
      <c r="E52" s="14">
        <v>0.88595218306758694</v>
      </c>
      <c r="F52" s="14">
        <v>6.5153697590541931E-2</v>
      </c>
      <c r="G52" s="14">
        <v>1.9982395728872202E-6</v>
      </c>
      <c r="H52" s="14">
        <v>195.17269891963247</v>
      </c>
      <c r="I52" s="14">
        <v>353.57067571814986</v>
      </c>
      <c r="J52" s="14">
        <v>0</v>
      </c>
      <c r="K52" s="14">
        <v>15.348323072690279</v>
      </c>
      <c r="L52" s="14">
        <v>6.5153697590541945E-2</v>
      </c>
      <c r="M52" s="14">
        <v>5.3458608873039659E-2</v>
      </c>
      <c r="N52" s="14">
        <v>21.176273034931921</v>
      </c>
      <c r="O52" s="14">
        <v>8617.2607861048473</v>
      </c>
      <c r="P52" s="14">
        <v>21.176273034931924</v>
      </c>
      <c r="Q52" s="8">
        <v>0.16915165000875276</v>
      </c>
    </row>
    <row r="53" spans="1:17">
      <c r="A53" s="2" t="s">
        <v>331</v>
      </c>
      <c r="B53" s="16" t="s">
        <v>332</v>
      </c>
      <c r="D53" s="14">
        <v>1</v>
      </c>
      <c r="E53" s="14">
        <v>0.92657964357968037</v>
      </c>
      <c r="F53" s="14">
        <v>4.007928564398482E-3</v>
      </c>
      <c r="G53" s="14">
        <v>6.2983742072038828E-7</v>
      </c>
      <c r="H53" s="14">
        <v>166.60958102065825</v>
      </c>
      <c r="I53" s="14">
        <v>885.23207805503466</v>
      </c>
      <c r="J53" s="14">
        <v>0</v>
      </c>
      <c r="K53" s="14">
        <v>249.50544500288069</v>
      </c>
      <c r="L53" s="14">
        <v>4.007928564398482E-3</v>
      </c>
      <c r="M53" s="14">
        <v>3.2885053870889548E-3</v>
      </c>
      <c r="N53" s="14">
        <v>54.434232956445548</v>
      </c>
      <c r="O53" s="14">
        <v>20734.543675439676</v>
      </c>
      <c r="P53" s="14">
        <v>54.434232956445555</v>
      </c>
      <c r="Q53" s="8">
        <v>8.3725383025669967E-2</v>
      </c>
    </row>
    <row r="54" spans="1:17">
      <c r="A54" s="2" t="s">
        <v>333</v>
      </c>
      <c r="B54" s="16" t="s">
        <v>334</v>
      </c>
      <c r="D54" s="14">
        <v>1</v>
      </c>
      <c r="E54" s="14">
        <v>0.93267946868152407</v>
      </c>
      <c r="F54" s="14">
        <v>6.4525006982487582E-3</v>
      </c>
      <c r="G54" s="14">
        <v>1.032467875791904E-9</v>
      </c>
      <c r="H54" s="14">
        <v>196.40297421636188</v>
      </c>
      <c r="I54" s="14">
        <v>619.02078402407778</v>
      </c>
      <c r="J54" s="14">
        <v>0</v>
      </c>
      <c r="K54" s="14">
        <v>154.97867365925356</v>
      </c>
      <c r="L54" s="14">
        <v>6.4525006982487582E-3</v>
      </c>
      <c r="M54" s="14">
        <v>5.2942768229131063E-3</v>
      </c>
      <c r="N54" s="14">
        <v>37.819492582187465</v>
      </c>
      <c r="O54" s="14">
        <v>14540.838507999439</v>
      </c>
      <c r="P54" s="14">
        <v>37.819492582187472</v>
      </c>
      <c r="Q54" s="8">
        <v>8.4315075062312728E-2</v>
      </c>
    </row>
    <row r="55" spans="1:17">
      <c r="A55" s="2" t="s">
        <v>335</v>
      </c>
      <c r="B55" s="16" t="s">
        <v>336</v>
      </c>
      <c r="D55" s="14">
        <v>1</v>
      </c>
      <c r="E55" s="14">
        <v>0.92084433945198041</v>
      </c>
      <c r="F55" s="14">
        <v>1.3984745513693551E-3</v>
      </c>
      <c r="G55" s="14">
        <v>4.852695663587271E-6</v>
      </c>
      <c r="H55" s="14">
        <v>103.83758231231793</v>
      </c>
      <c r="I55" s="14">
        <v>1458.1820187003752</v>
      </c>
      <c r="J55" s="14">
        <v>0</v>
      </c>
      <c r="K55" s="14">
        <v>715.0648533581267</v>
      </c>
      <c r="L55" s="14">
        <v>1.3984745513693551E-3</v>
      </c>
      <c r="M55" s="14">
        <v>1.1474483693985559E-3</v>
      </c>
      <c r="N55" s="14">
        <v>90.762423661737941</v>
      </c>
      <c r="O55" s="14">
        <v>33883.428001400011</v>
      </c>
      <c r="P55" s="14">
        <v>90.762423661737955</v>
      </c>
      <c r="Q55" s="8">
        <v>6.995386885711416E-2</v>
      </c>
    </row>
    <row r="56" spans="1:17">
      <c r="A56" s="2" t="s">
        <v>337</v>
      </c>
      <c r="B56" s="16" t="s">
        <v>338</v>
      </c>
      <c r="D56" s="14">
        <v>1</v>
      </c>
      <c r="E56" s="14">
        <v>0.93439450673954005</v>
      </c>
      <c r="F56" s="14">
        <v>7.2066423267582646E-3</v>
      </c>
      <c r="G56" s="14">
        <v>3.6420126992146723E-7</v>
      </c>
      <c r="H56" s="14">
        <v>202.91444666805961</v>
      </c>
      <c r="I56" s="14">
        <v>561.26781481665103</v>
      </c>
      <c r="J56" s="14">
        <v>0</v>
      </c>
      <c r="K56" s="14">
        <v>138.76087568367308</v>
      </c>
      <c r="L56" s="14">
        <v>7.2066423267582646E-3</v>
      </c>
      <c r="M56" s="14">
        <v>5.9130500291051562E-3</v>
      </c>
      <c r="N56" s="14">
        <v>34.236253657891538</v>
      </c>
      <c r="O56" s="14">
        <v>13328.858274090335</v>
      </c>
      <c r="P56" s="14">
        <v>34.236253657891545</v>
      </c>
      <c r="Q56" s="8">
        <v>8.37471697448222E-2</v>
      </c>
    </row>
    <row r="57" spans="1:17">
      <c r="A57" s="2" t="s">
        <v>279</v>
      </c>
      <c r="B57" s="16" t="s">
        <v>280</v>
      </c>
      <c r="D57" s="14">
        <v>1</v>
      </c>
      <c r="E57" s="14">
        <v>0.87340023333086836</v>
      </c>
      <c r="F57" s="14">
        <v>8.2400274212043295E-2</v>
      </c>
      <c r="G57" s="14">
        <v>3.9082032777396848E-5</v>
      </c>
      <c r="H57" s="14">
        <v>187.47728560400213</v>
      </c>
      <c r="I57" s="14">
        <v>346.58185968076856</v>
      </c>
      <c r="J57" s="14">
        <v>0</v>
      </c>
      <c r="K57" s="14">
        <v>12.135881944114256</v>
      </c>
      <c r="L57" s="14">
        <v>8.2400274212043309E-2</v>
      </c>
      <c r="M57" s="14">
        <v>6.7609424990981534E-2</v>
      </c>
      <c r="N57" s="14">
        <v>20.732957038699162</v>
      </c>
      <c r="O57" s="14">
        <v>6029.7658955648767</v>
      </c>
      <c r="P57" s="14">
        <v>20.732957038699162</v>
      </c>
      <c r="Q57" s="8">
        <v>0.18535564957826689</v>
      </c>
    </row>
    <row r="58" spans="1:17">
      <c r="A58" s="2" t="s">
        <v>339</v>
      </c>
      <c r="B58" s="16" t="s">
        <v>340</v>
      </c>
      <c r="D58" s="14">
        <v>1</v>
      </c>
      <c r="E58" s="14">
        <v>0.9324904292447378</v>
      </c>
      <c r="F58" s="14">
        <v>6.3724757572323504E-3</v>
      </c>
      <c r="G58" s="14">
        <v>3.6184008740716636E-9</v>
      </c>
      <c r="H58" s="14">
        <v>195.65375708823331</v>
      </c>
      <c r="I58" s="14">
        <v>625.67004475725605</v>
      </c>
      <c r="J58" s="14">
        <v>0</v>
      </c>
      <c r="K58" s="14">
        <v>156.92488101897669</v>
      </c>
      <c r="L58" s="14">
        <v>6.3724757572323504E-3</v>
      </c>
      <c r="M58" s="14">
        <v>5.228616358809144E-3</v>
      </c>
      <c r="N58" s="14">
        <v>38.232543400670636</v>
      </c>
      <c r="O58" s="14">
        <v>13215.078626441804</v>
      </c>
      <c r="P58" s="14">
        <v>38.232543400670636</v>
      </c>
      <c r="Q58" s="8">
        <v>8.4361707763639715E-2</v>
      </c>
    </row>
    <row r="59" spans="1:17">
      <c r="A59" s="2" t="s">
        <v>281</v>
      </c>
      <c r="B59" s="16" t="s">
        <v>282</v>
      </c>
      <c r="D59" s="14">
        <v>1</v>
      </c>
      <c r="E59" s="14">
        <v>0.8860573630067976</v>
      </c>
      <c r="F59" s="14">
        <v>6.5161432615166159E-2</v>
      </c>
      <c r="G59" s="14">
        <v>3.0248170452278422E-7</v>
      </c>
      <c r="H59" s="14">
        <v>195.195869755486</v>
      </c>
      <c r="I59" s="14">
        <v>353.61265150746385</v>
      </c>
      <c r="J59" s="14">
        <v>0</v>
      </c>
      <c r="K59" s="14">
        <v>15.346501141340044</v>
      </c>
      <c r="L59" s="14">
        <v>6.5161432615166173E-2</v>
      </c>
      <c r="M59" s="14">
        <v>5.346495546074384E-2</v>
      </c>
      <c r="N59" s="14">
        <v>21.178787074801217</v>
      </c>
      <c r="O59" s="14">
        <v>6168.5335234066024</v>
      </c>
      <c r="P59" s="14">
        <v>21.178787074801217</v>
      </c>
      <c r="Q59" s="8">
        <v>0.16917173163460719</v>
      </c>
    </row>
    <row r="60" spans="1:17">
      <c r="A60" s="2" t="s">
        <v>341</v>
      </c>
      <c r="B60" s="16" t="s">
        <v>342</v>
      </c>
      <c r="D60" s="14">
        <v>1</v>
      </c>
      <c r="E60" s="14">
        <v>0.92762854681705686</v>
      </c>
      <c r="F60" s="14">
        <v>4.5376601189226155E-3</v>
      </c>
      <c r="G60" s="14">
        <v>5.2795930781760498E-6</v>
      </c>
      <c r="H60" s="14">
        <v>174.4905707167251</v>
      </c>
      <c r="I60" s="14">
        <v>813.63408500688479</v>
      </c>
      <c r="J60" s="14">
        <v>0</v>
      </c>
      <c r="K60" s="14">
        <v>220.37789825418471</v>
      </c>
      <c r="L60" s="14">
        <v>4.5376601189226163E-3</v>
      </c>
      <c r="M60" s="14">
        <v>3.7231501275760063E-3</v>
      </c>
      <c r="N60" s="14">
        <v>49.950497846743986</v>
      </c>
      <c r="O60" s="14">
        <v>16747.402918056323</v>
      </c>
      <c r="P60" s="14">
        <v>49.950497846743993</v>
      </c>
      <c r="Q60" s="8">
        <v>8.4300302666767343E-2</v>
      </c>
    </row>
    <row r="61" spans="1:17">
      <c r="A61" s="2" t="s">
        <v>483</v>
      </c>
      <c r="B61" s="16" t="s">
        <v>484</v>
      </c>
      <c r="D61" s="14">
        <v>1</v>
      </c>
      <c r="E61" s="14">
        <v>0.89053950782251368</v>
      </c>
      <c r="F61" s="14">
        <v>0.31050267559442246</v>
      </c>
      <c r="G61" s="14">
        <v>9.4665857117976194E-16</v>
      </c>
      <c r="H61" s="14">
        <v>141.6079635987002</v>
      </c>
      <c r="I61" s="14">
        <v>218.45746508674108</v>
      </c>
      <c r="J61" s="14">
        <v>0</v>
      </c>
      <c r="K61" s="14">
        <v>3.2205841643251945</v>
      </c>
      <c r="L61" s="14">
        <v>0.31050267559442246</v>
      </c>
      <c r="M61" s="14">
        <v>0.25476744532522366</v>
      </c>
      <c r="N61" s="14">
        <v>44.685326998340045</v>
      </c>
      <c r="O61" s="14">
        <v>20821.128114876541</v>
      </c>
      <c r="P61" s="14">
        <v>44.685326998340045</v>
      </c>
      <c r="Q61" s="8">
        <v>0.14749146518089912</v>
      </c>
    </row>
    <row r="62" spans="1:17">
      <c r="A62" s="2" t="s">
        <v>485</v>
      </c>
      <c r="B62" s="16" t="s">
        <v>486</v>
      </c>
      <c r="D62" s="14">
        <v>1</v>
      </c>
      <c r="E62" s="14">
        <v>0.83110126389332561</v>
      </c>
      <c r="F62" s="14">
        <v>0.22730815960800571</v>
      </c>
      <c r="G62" s="14">
        <v>2.7767930483777975E-9</v>
      </c>
      <c r="H62" s="14">
        <v>140.90130832769165</v>
      </c>
      <c r="I62" s="14">
        <v>286.66336630154046</v>
      </c>
      <c r="J62" s="14">
        <v>0</v>
      </c>
      <c r="K62" s="14">
        <v>4.3993141369166242</v>
      </c>
      <c r="L62" s="14">
        <v>0.22730815960800571</v>
      </c>
      <c r="M62" s="14">
        <v>0.18650634495836871</v>
      </c>
      <c r="N62" s="14">
        <v>17.129273320037161</v>
      </c>
      <c r="O62" s="14">
        <v>5556.5649722868538</v>
      </c>
      <c r="P62" s="14">
        <v>17.129273320037161</v>
      </c>
      <c r="Q62" s="8">
        <v>0.2596403563425278</v>
      </c>
    </row>
    <row r="63" spans="1:17">
      <c r="A63" s="2" t="s">
        <v>487</v>
      </c>
      <c r="B63" s="16" t="s">
        <v>488</v>
      </c>
      <c r="D63" s="14">
        <v>1</v>
      </c>
      <c r="E63" s="14">
        <v>0.98003051452720003</v>
      </c>
      <c r="F63" s="14">
        <v>0.9467946631544214</v>
      </c>
      <c r="G63" s="14">
        <v>8.1269877247646729E-15</v>
      </c>
      <c r="H63" s="14">
        <v>9.2719506571012147</v>
      </c>
      <c r="I63" s="14">
        <v>11.327380251775777</v>
      </c>
      <c r="J63" s="14">
        <v>0</v>
      </c>
      <c r="K63" s="14">
        <v>1.0561952225927376</v>
      </c>
      <c r="L63" s="14">
        <v>0.9467946631544214</v>
      </c>
      <c r="M63" s="14">
        <v>0.77684502111820286</v>
      </c>
      <c r="N63" s="14">
        <v>7.0228377364505192</v>
      </c>
      <c r="O63" s="14">
        <v>3101.0042309070914</v>
      </c>
      <c r="P63" s="14">
        <v>7.0228377364505201</v>
      </c>
      <c r="Q63" s="8">
        <v>2.7606381142618871E-2</v>
      </c>
    </row>
    <row r="64" spans="1:17">
      <c r="A64" s="2" t="s">
        <v>489</v>
      </c>
      <c r="B64" s="16" t="s">
        <v>490</v>
      </c>
      <c r="D64" s="14">
        <v>1</v>
      </c>
      <c r="E64" s="14">
        <v>0.9978047428540131</v>
      </c>
      <c r="F64" s="14">
        <v>0.98932133206127915</v>
      </c>
      <c r="G64" s="14">
        <v>1.4685595843239636E-16</v>
      </c>
      <c r="H64" s="14">
        <v>3.4643149944977276</v>
      </c>
      <c r="I64" s="14">
        <v>0.39825051842363485</v>
      </c>
      <c r="J64" s="14">
        <v>0</v>
      </c>
      <c r="K64" s="14">
        <v>1.0107939327624438</v>
      </c>
      <c r="L64" s="14">
        <v>0.98932133206127915</v>
      </c>
      <c r="M64" s="14">
        <v>0.8117381529562796</v>
      </c>
      <c r="N64" s="14">
        <v>0.92951027718290058</v>
      </c>
      <c r="O64" s="14">
        <v>373.13331056953177</v>
      </c>
      <c r="P64" s="14">
        <v>0.92951027718290058</v>
      </c>
      <c r="Q64" s="8">
        <v>2.9373544087452955E-3</v>
      </c>
    </row>
    <row r="65" spans="1:17">
      <c r="A65" s="2" t="s">
        <v>491</v>
      </c>
      <c r="B65" s="16" t="s">
        <v>492</v>
      </c>
      <c r="D65" s="14">
        <v>1</v>
      </c>
      <c r="E65" s="14">
        <v>0.99863506151286918</v>
      </c>
      <c r="F65" s="14">
        <v>1.0008703435470048</v>
      </c>
      <c r="G65" s="14">
        <v>2.4454578425351801E-14</v>
      </c>
      <c r="H65" s="14">
        <v>0.45348583580612312</v>
      </c>
      <c r="I65" s="14">
        <v>0.18675354854721046</v>
      </c>
      <c r="J65" s="14">
        <v>0</v>
      </c>
      <c r="K65" s="14">
        <v>0.999130413292175</v>
      </c>
      <c r="L65" s="14">
        <v>1.0008703435470048</v>
      </c>
      <c r="M65" s="14">
        <v>0.82121411688031742</v>
      </c>
      <c r="N65" s="14">
        <v>1.4146150510158875</v>
      </c>
      <c r="O65" s="14">
        <v>392.35763054976655</v>
      </c>
      <c r="P65" s="14">
        <v>1.4146150510158875</v>
      </c>
      <c r="Q65" s="8">
        <v>1.3087263984417872E-3</v>
      </c>
    </row>
    <row r="66" spans="1:17">
      <c r="A66" s="2" t="s">
        <v>493</v>
      </c>
      <c r="B66" s="16" t="s">
        <v>494</v>
      </c>
      <c r="D66" s="14">
        <v>1</v>
      </c>
      <c r="E66" s="14">
        <v>0.9734381024212887</v>
      </c>
      <c r="F66" s="14">
        <v>0.77132117238923537</v>
      </c>
      <c r="G66" s="14">
        <v>3.1834089003246079E-13</v>
      </c>
      <c r="H66" s="14">
        <v>56.874930701164139</v>
      </c>
      <c r="I66" s="14">
        <v>13.197611346104456</v>
      </c>
      <c r="J66" s="14">
        <v>0</v>
      </c>
      <c r="K66" s="14">
        <v>1.2964767930619767</v>
      </c>
      <c r="L66" s="14">
        <v>0.77132117238923537</v>
      </c>
      <c r="M66" s="14">
        <v>0.63286902194536765</v>
      </c>
      <c r="N66" s="14">
        <v>49.894529385815829</v>
      </c>
      <c r="O66" s="14">
        <v>16186.783223346372</v>
      </c>
      <c r="P66" s="14">
        <v>49.894529385815837</v>
      </c>
      <c r="Q66" s="8">
        <v>1.163095391025879E-2</v>
      </c>
    </row>
    <row r="67" spans="1:17">
      <c r="A67" s="2" t="s">
        <v>495</v>
      </c>
      <c r="B67" s="16" t="s">
        <v>496</v>
      </c>
      <c r="D67" s="14">
        <v>1</v>
      </c>
      <c r="E67" s="14">
        <v>0.99856778559322124</v>
      </c>
      <c r="F67" s="14">
        <v>1.0010510751982833</v>
      </c>
      <c r="G67" s="14">
        <v>1.9107537688915897E-14</v>
      </c>
      <c r="H67" s="14">
        <v>0.3824599701949053</v>
      </c>
      <c r="I67" s="14">
        <v>0.19358091409757899</v>
      </c>
      <c r="J67" s="14">
        <v>0</v>
      </c>
      <c r="K67" s="14">
        <v>0.99895002840082348</v>
      </c>
      <c r="L67" s="14">
        <v>1.0010510751982833</v>
      </c>
      <c r="M67" s="14">
        <v>0.82136240720019149</v>
      </c>
      <c r="N67" s="14">
        <v>1.3249404499155537</v>
      </c>
      <c r="O67" s="14">
        <v>415.2628358125329</v>
      </c>
      <c r="P67" s="14">
        <v>1.3249404499155539</v>
      </c>
      <c r="Q67" s="8">
        <v>1.4718465570248949E-3</v>
      </c>
    </row>
    <row r="68" spans="1:17">
      <c r="A68" s="2" t="s">
        <v>497</v>
      </c>
      <c r="B68" s="16" t="s">
        <v>498</v>
      </c>
      <c r="D68" s="14">
        <v>1</v>
      </c>
      <c r="E68" s="14">
        <v>0.99926420544794936</v>
      </c>
      <c r="F68" s="14">
        <v>1.0030018783503334</v>
      </c>
      <c r="G68" s="14">
        <v>1.7284388068408554E-13</v>
      </c>
      <c r="H68" s="14">
        <v>4.5497581805080421E-2</v>
      </c>
      <c r="I68" s="14">
        <v>3.2502443036075503E-2</v>
      </c>
      <c r="J68" s="14">
        <v>0</v>
      </c>
      <c r="K68" s="14">
        <v>0.99700710595350939</v>
      </c>
      <c r="L68" s="14">
        <v>1.0030018783503336</v>
      </c>
      <c r="M68" s="14">
        <v>0.8229630411864487</v>
      </c>
      <c r="N68" s="14">
        <v>0.94143905259492111</v>
      </c>
      <c r="O68" s="14">
        <v>256.4103403647527</v>
      </c>
      <c r="P68" s="14">
        <v>0.94143905259492111</v>
      </c>
      <c r="Q68" s="8">
        <v>5.9483430338377159E-4</v>
      </c>
    </row>
    <row r="69" spans="1:17">
      <c r="A69" s="2" t="s">
        <v>499</v>
      </c>
      <c r="B69" s="16" t="s">
        <v>500</v>
      </c>
      <c r="D69" s="14">
        <v>1</v>
      </c>
      <c r="E69" s="14">
        <v>0.93648041409379823</v>
      </c>
      <c r="F69" s="14">
        <v>8.1487110935963055E-3</v>
      </c>
      <c r="G69" s="14">
        <v>9.0589822389461212E-14</v>
      </c>
      <c r="H69" s="14">
        <v>209.86543725177731</v>
      </c>
      <c r="I69" s="14">
        <v>499.92872502335729</v>
      </c>
      <c r="J69" s="14">
        <v>0</v>
      </c>
      <c r="K69" s="14">
        <v>122.71879423800577</v>
      </c>
      <c r="L69" s="14">
        <v>8.1487110935963055E-3</v>
      </c>
      <c r="M69" s="14">
        <v>6.6860174522957684E-3</v>
      </c>
      <c r="N69" s="14">
        <v>30.439276222189964</v>
      </c>
      <c r="O69" s="14">
        <v>13076.408672290587</v>
      </c>
      <c r="P69" s="14">
        <v>30.439276222189967</v>
      </c>
      <c r="Q69" s="8">
        <v>8.2799571883648351E-2</v>
      </c>
    </row>
    <row r="70" spans="1:17">
      <c r="A70" s="2" t="s">
        <v>501</v>
      </c>
      <c r="B70" s="16" t="s">
        <v>411</v>
      </c>
      <c r="D70" s="14">
        <v>1</v>
      </c>
      <c r="E70" s="14">
        <v>0.99961065447661446</v>
      </c>
      <c r="F70" s="14">
        <v>0.97315827428063206</v>
      </c>
      <c r="G70" s="14">
        <v>3.0967915069884135E-15</v>
      </c>
      <c r="H70" s="14">
        <v>8.5957441348119037</v>
      </c>
      <c r="I70" s="14">
        <v>7.5638118838791089E-3</v>
      </c>
      <c r="J70" s="14">
        <v>0</v>
      </c>
      <c r="K70" s="14">
        <v>1.0275820762446988</v>
      </c>
      <c r="L70" s="14">
        <v>0.97315827428063206</v>
      </c>
      <c r="M70" s="14">
        <v>0.79847636404725864</v>
      </c>
      <c r="N70" s="14">
        <v>0.94494344875061476</v>
      </c>
      <c r="O70" s="14">
        <v>283.57752897005952</v>
      </c>
      <c r="P70" s="14">
        <v>0.94494344875061476</v>
      </c>
      <c r="Q70" s="8">
        <v>3.8347823442644912E-5</v>
      </c>
    </row>
    <row r="71" spans="1:17">
      <c r="A71" s="2" t="s">
        <v>502</v>
      </c>
      <c r="B71" s="16" t="s">
        <v>412</v>
      </c>
      <c r="D71" s="14">
        <v>1</v>
      </c>
      <c r="E71" s="14">
        <v>0.99958373925262223</v>
      </c>
      <c r="F71" s="14">
        <v>0.94689247316090797</v>
      </c>
      <c r="G71" s="14">
        <v>1.4144536404049788E-10</v>
      </c>
      <c r="H71" s="14">
        <v>16.023621005227408</v>
      </c>
      <c r="I71" s="14">
        <v>1.3483063928089883E-2</v>
      </c>
      <c r="J71" s="14">
        <v>0</v>
      </c>
      <c r="K71" s="14">
        <v>1.0560861220723499</v>
      </c>
      <c r="L71" s="14">
        <v>0.94689247316090808</v>
      </c>
      <c r="M71" s="14">
        <v>0.77692527422852509</v>
      </c>
      <c r="N71" s="14">
        <v>0.99160608085200164</v>
      </c>
      <c r="O71" s="14">
        <v>325.39553543158434</v>
      </c>
      <c r="P71" s="14">
        <v>0.99160608085200164</v>
      </c>
      <c r="Q71" s="8">
        <v>5.2527725236649056E-5</v>
      </c>
    </row>
    <row r="72" spans="1:17">
      <c r="A72" s="2" t="s">
        <v>503</v>
      </c>
      <c r="B72" s="16" t="s">
        <v>413</v>
      </c>
      <c r="D72" s="14">
        <v>1</v>
      </c>
      <c r="E72" s="14">
        <v>0.99394575126220508</v>
      </c>
      <c r="F72" s="14">
        <v>3.8877886388425167E-3</v>
      </c>
      <c r="G72" s="14">
        <v>1.9048075869839775E-12</v>
      </c>
      <c r="H72" s="14">
        <v>281.26950333286015</v>
      </c>
      <c r="I72" s="14">
        <v>1.1960480322549705</v>
      </c>
      <c r="J72" s="14">
        <v>0</v>
      </c>
      <c r="K72" s="14">
        <v>257.21562895912024</v>
      </c>
      <c r="L72" s="14">
        <v>3.8877886388425167E-3</v>
      </c>
      <c r="M72" s="14">
        <v>3.1899305781702852E-3</v>
      </c>
      <c r="N72" s="14">
        <v>15.561932007152009</v>
      </c>
      <c r="O72" s="14">
        <v>7221.9814058791044</v>
      </c>
      <c r="P72" s="14">
        <v>15.561932007152009</v>
      </c>
      <c r="Q72" s="8">
        <v>5.914916537551777E-5</v>
      </c>
    </row>
    <row r="73" spans="1:17">
      <c r="A73" s="2" t="s">
        <v>504</v>
      </c>
      <c r="B73" s="16" t="s">
        <v>414</v>
      </c>
      <c r="D73" s="14">
        <v>1</v>
      </c>
      <c r="E73" s="14">
        <v>0.99925167986445484</v>
      </c>
      <c r="F73" s="14">
        <v>3.6226872554587307E-2</v>
      </c>
      <c r="G73" s="14">
        <v>2.5001111051012513E-12</v>
      </c>
      <c r="H73" s="14">
        <v>273.73532335422556</v>
      </c>
      <c r="I73" s="14">
        <v>0.14650647454488913</v>
      </c>
      <c r="J73" s="14">
        <v>0</v>
      </c>
      <c r="K73" s="14">
        <v>27.603818090926339</v>
      </c>
      <c r="L73" s="14">
        <v>3.6226872554587307E-2</v>
      </c>
      <c r="M73" s="14">
        <v>2.9724148931038887E-2</v>
      </c>
      <c r="N73" s="14">
        <v>1.8574348767857234</v>
      </c>
      <c r="O73" s="14">
        <v>583.32742305455645</v>
      </c>
      <c r="P73" s="14">
        <v>1.8574348767857234</v>
      </c>
      <c r="Q73" s="8">
        <v>4.8178893087977492E-5</v>
      </c>
    </row>
    <row r="74" spans="1:17">
      <c r="A74" s="2" t="s">
        <v>505</v>
      </c>
      <c r="B74" s="16" t="s">
        <v>415</v>
      </c>
      <c r="D74" s="14">
        <v>1</v>
      </c>
      <c r="E74" s="14">
        <v>0.99958876975520128</v>
      </c>
      <c r="F74" s="14">
        <v>0.95200854467902318</v>
      </c>
      <c r="G74" s="14">
        <v>1.7485953224372336E-11</v>
      </c>
      <c r="H74" s="14">
        <v>14.576754730628378</v>
      </c>
      <c r="I74" s="14">
        <v>1.2319322399750903E-2</v>
      </c>
      <c r="J74" s="14">
        <v>0</v>
      </c>
      <c r="K74" s="14">
        <v>1.0504107401022935</v>
      </c>
      <c r="L74" s="14">
        <v>0.95200854467902318</v>
      </c>
      <c r="M74" s="14">
        <v>0.78112301090913849</v>
      </c>
      <c r="N74" s="14">
        <v>0.98273844596255022</v>
      </c>
      <c r="O74" s="14">
        <v>210.34533697382423</v>
      </c>
      <c r="P74" s="14">
        <v>0.98273844596255022</v>
      </c>
      <c r="Q74" s="8">
        <v>4.9978914682328118E-5</v>
      </c>
    </row>
    <row r="75" spans="1:17">
      <c r="A75" s="2" t="s">
        <v>506</v>
      </c>
      <c r="B75" s="16" t="s">
        <v>416</v>
      </c>
      <c r="D75" s="14">
        <v>1</v>
      </c>
      <c r="E75" s="14">
        <v>0.99924390790978601</v>
      </c>
      <c r="F75" s="14">
        <v>4.2860502493829118E-2</v>
      </c>
      <c r="G75" s="14">
        <v>1.0729160061376515E-11</v>
      </c>
      <c r="H75" s="14">
        <v>271.85495828105991</v>
      </c>
      <c r="I75" s="14">
        <v>0.14738837578310665</v>
      </c>
      <c r="J75" s="14">
        <v>0</v>
      </c>
      <c r="K75" s="14">
        <v>23.331504341181628</v>
      </c>
      <c r="L75" s="14">
        <v>4.2860502493829118E-2</v>
      </c>
      <c r="M75" s="14">
        <v>3.5167042296186793E-2</v>
      </c>
      <c r="N75" s="14">
        <v>1.8713065985955586</v>
      </c>
      <c r="O75" s="14">
        <v>774.85192328046298</v>
      </c>
      <c r="P75" s="14">
        <v>1.8713065985955586</v>
      </c>
      <c r="Q75" s="8">
        <v>5.2031127011958138E-5</v>
      </c>
    </row>
    <row r="76" spans="1:17">
      <c r="A76" s="2" t="s">
        <v>507</v>
      </c>
      <c r="B76" s="16" t="s">
        <v>417</v>
      </c>
      <c r="D76" s="14">
        <v>1</v>
      </c>
      <c r="E76" s="14">
        <v>0.99927874426939467</v>
      </c>
      <c r="F76" s="14">
        <v>0.44946772286630704</v>
      </c>
      <c r="G76" s="14">
        <v>2.4788289698460181E-10</v>
      </c>
      <c r="H76" s="14">
        <v>156.75395590710346</v>
      </c>
      <c r="I76" s="14">
        <v>0.1055471325180517</v>
      </c>
      <c r="J76" s="14">
        <v>0</v>
      </c>
      <c r="K76" s="14">
        <v>2.2248538640836895</v>
      </c>
      <c r="L76" s="14">
        <v>0.44946772286630704</v>
      </c>
      <c r="M76" s="14">
        <v>0.36878826661180492</v>
      </c>
      <c r="N76" s="14">
        <v>1.6702020116472327</v>
      </c>
      <c r="O76" s="14">
        <v>715.13039532699565</v>
      </c>
      <c r="P76" s="14">
        <v>1.6702020116472327</v>
      </c>
      <c r="Q76" s="8">
        <v>1.2068309487808942E-4</v>
      </c>
    </row>
    <row r="77" spans="1:17">
      <c r="A77" s="2" t="s">
        <v>508</v>
      </c>
      <c r="B77" s="16" t="s">
        <v>418</v>
      </c>
      <c r="D77" s="14">
        <v>1</v>
      </c>
      <c r="E77" s="14">
        <v>0.99924932328865479</v>
      </c>
      <c r="F77" s="14">
        <v>3.8014220435469544E-2</v>
      </c>
      <c r="G77" s="14">
        <v>7.7402349237936517E-11</v>
      </c>
      <c r="H77" s="14">
        <v>273.22855716755777</v>
      </c>
      <c r="I77" s="14">
        <v>0.14721566261949612</v>
      </c>
      <c r="J77" s="14">
        <v>0</v>
      </c>
      <c r="K77" s="14">
        <v>26.305945210622816</v>
      </c>
      <c r="L77" s="14">
        <v>3.8014220435469544E-2</v>
      </c>
      <c r="M77" s="14">
        <v>3.1190667867302759E-2</v>
      </c>
      <c r="N77" s="14">
        <v>1.8615371604634101</v>
      </c>
      <c r="O77" s="14">
        <v>983.22669741356378</v>
      </c>
      <c r="P77" s="14">
        <v>1.8615371604634101</v>
      </c>
      <c r="Q77" s="8">
        <v>4.9403079148939987E-5</v>
      </c>
    </row>
    <row r="78" spans="1:17">
      <c r="A78" s="2" t="s">
        <v>509</v>
      </c>
      <c r="B78" s="16" t="s">
        <v>419</v>
      </c>
      <c r="D78" s="14">
        <v>1</v>
      </c>
      <c r="E78" s="14">
        <v>0.99491940127340561</v>
      </c>
      <c r="F78" s="14">
        <v>4.3161284922865334E-3</v>
      </c>
      <c r="G78" s="14">
        <v>7.6651883557084952E-12</v>
      </c>
      <c r="H78" s="14">
        <v>281.44553635450058</v>
      </c>
      <c r="I78" s="14">
        <v>1.0055885967323768</v>
      </c>
      <c r="J78" s="14">
        <v>0</v>
      </c>
      <c r="K78" s="14">
        <v>231.68911717691591</v>
      </c>
      <c r="L78" s="14">
        <v>4.3161284922865334E-3</v>
      </c>
      <c r="M78" s="14">
        <v>3.5413834279211008E-3</v>
      </c>
      <c r="N78" s="14">
        <v>13.048703628403914</v>
      </c>
      <c r="O78" s="14">
        <v>7360.6432297463643</v>
      </c>
      <c r="P78" s="14">
        <v>13.048703628403914</v>
      </c>
      <c r="Q78" s="8">
        <v>5.6159125944226723E-5</v>
      </c>
    </row>
    <row r="79" spans="1:17">
      <c r="A79" s="2" t="s">
        <v>510</v>
      </c>
      <c r="B79" s="16" t="s">
        <v>420</v>
      </c>
      <c r="D79" s="14">
        <v>1</v>
      </c>
      <c r="E79" s="14">
        <v>0.99491941057657551</v>
      </c>
      <c r="F79" s="14">
        <v>4.3161287949884117E-3</v>
      </c>
      <c r="G79" s="14">
        <v>1.925408494003592E-16</v>
      </c>
      <c r="H79" s="14">
        <v>281.44555609304467</v>
      </c>
      <c r="I79" s="14">
        <v>1.0054295271392375</v>
      </c>
      <c r="J79" s="14">
        <v>0</v>
      </c>
      <c r="K79" s="14">
        <v>231.68910092792652</v>
      </c>
      <c r="L79" s="14">
        <v>4.3161287949884117E-3</v>
      </c>
      <c r="M79" s="14">
        <v>3.5413836762879917E-3</v>
      </c>
      <c r="N79" s="14">
        <v>13.048695315316849</v>
      </c>
      <c r="O79" s="14">
        <v>6526.043988049415</v>
      </c>
      <c r="P79" s="14">
        <v>13.048695315316849</v>
      </c>
      <c r="Q79" s="8">
        <v>5.6150242381561012E-5</v>
      </c>
    </row>
    <row r="80" spans="1:17">
      <c r="A80" s="2" t="s">
        <v>511</v>
      </c>
      <c r="B80" s="16" t="s">
        <v>421</v>
      </c>
      <c r="D80" s="14">
        <v>1</v>
      </c>
      <c r="E80" s="14">
        <v>0.99920524481939577</v>
      </c>
      <c r="F80" s="14">
        <v>0.16725656242987835</v>
      </c>
      <c r="G80" s="14">
        <v>2.179172614630089E-11</v>
      </c>
      <c r="H80" s="14">
        <v>236.62638373270067</v>
      </c>
      <c r="I80" s="14">
        <v>0.14328117726244829</v>
      </c>
      <c r="J80" s="14">
        <v>0</v>
      </c>
      <c r="K80" s="14">
        <v>5.9788386504669795</v>
      </c>
      <c r="L80" s="14">
        <v>0.16725656242987835</v>
      </c>
      <c r="M80" s="14">
        <v>0.1372340094737152</v>
      </c>
      <c r="N80" s="14">
        <v>1.9052449336857107</v>
      </c>
      <c r="O80" s="14">
        <v>693.62347055761984</v>
      </c>
      <c r="P80" s="14">
        <v>1.9052449336857107</v>
      </c>
      <c r="Q80" s="8">
        <v>9.2894315986473785E-5</v>
      </c>
    </row>
    <row r="81" spans="1:17">
      <c r="A81" s="2" t="s">
        <v>512</v>
      </c>
      <c r="B81" s="16" t="s">
        <v>422</v>
      </c>
      <c r="D81" s="14">
        <v>1</v>
      </c>
      <c r="E81" s="14">
        <v>0.99947374432708747</v>
      </c>
      <c r="F81" s="14">
        <v>0.80755892122757267</v>
      </c>
      <c r="G81" s="14">
        <v>2.8498544840420751E-11</v>
      </c>
      <c r="H81" s="14">
        <v>55.436297814374811</v>
      </c>
      <c r="I81" s="14">
        <v>4.1948862978933972E-2</v>
      </c>
      <c r="J81" s="14">
        <v>0</v>
      </c>
      <c r="K81" s="14">
        <v>1.2382997372871531</v>
      </c>
      <c r="L81" s="14">
        <v>0.80755892122757267</v>
      </c>
      <c r="M81" s="14">
        <v>0.66260209486722332</v>
      </c>
      <c r="N81" s="14">
        <v>1.211217563142057</v>
      </c>
      <c r="O81" s="14">
        <v>319.82199754766015</v>
      </c>
      <c r="P81" s="14">
        <v>1.211217563142057</v>
      </c>
      <c r="Q81" s="8">
        <v>9.2665952425783648E-5</v>
      </c>
    </row>
    <row r="82" spans="1:17">
      <c r="A82" s="2" t="s">
        <v>513</v>
      </c>
      <c r="B82" s="16" t="s">
        <v>423</v>
      </c>
      <c r="D82" s="14">
        <v>1</v>
      </c>
      <c r="E82" s="14">
        <v>0.99935498729667038</v>
      </c>
      <c r="F82" s="14">
        <v>0.61061762526949115</v>
      </c>
      <c r="G82" s="14">
        <v>7.1739413790191821E-15</v>
      </c>
      <c r="H82" s="14">
        <v>111.15508520274473</v>
      </c>
      <c r="I82" s="14">
        <v>7.8268421559787513E-2</v>
      </c>
      <c r="J82" s="14">
        <v>0</v>
      </c>
      <c r="K82" s="14">
        <v>1.6376861043908748</v>
      </c>
      <c r="L82" s="14">
        <v>0.61061762526949115</v>
      </c>
      <c r="M82" s="14">
        <v>0.50101176153361748</v>
      </c>
      <c r="N82" s="14">
        <v>1.4798885225658995</v>
      </c>
      <c r="O82" s="14">
        <v>592.11819676384209</v>
      </c>
      <c r="P82" s="14">
        <v>1.4798885225658998</v>
      </c>
      <c r="Q82" s="8">
        <v>1.1646262523011197E-4</v>
      </c>
    </row>
    <row r="83" spans="1:17">
      <c r="A83" s="2" t="s">
        <v>514</v>
      </c>
      <c r="B83" s="16" t="s">
        <v>424</v>
      </c>
      <c r="D83" s="14">
        <v>1</v>
      </c>
      <c r="E83" s="14">
        <v>0.99020290322553128</v>
      </c>
      <c r="F83" s="14">
        <v>2.9126134254966948E-3</v>
      </c>
      <c r="G83" s="14">
        <v>2.7315635757618513E-12</v>
      </c>
      <c r="H83" s="14">
        <v>280.40312347804434</v>
      </c>
      <c r="I83" s="14">
        <v>1.9244597027929309</v>
      </c>
      <c r="J83" s="14">
        <v>0</v>
      </c>
      <c r="K83" s="14">
        <v>343.33426854594262</v>
      </c>
      <c r="L83" s="14">
        <v>2.9126134254966948E-3</v>
      </c>
      <c r="M83" s="14">
        <v>2.3897993156200381E-3</v>
      </c>
      <c r="N83" s="14">
        <v>25.227202324515062</v>
      </c>
      <c r="O83" s="14">
        <v>12968.800170986704</v>
      </c>
      <c r="P83" s="14">
        <v>25.227202324515066</v>
      </c>
      <c r="Q83" s="8">
        <v>6.8125361781091442E-5</v>
      </c>
    </row>
    <row r="84" spans="1:17">
      <c r="A84" s="2" t="s">
        <v>403</v>
      </c>
      <c r="B84" s="16" t="s">
        <v>404</v>
      </c>
      <c r="D84" s="14">
        <v>1</v>
      </c>
      <c r="E84" s="14">
        <v>0.82011515878494712</v>
      </c>
      <c r="F84" s="14">
        <v>0.35206015845952382</v>
      </c>
      <c r="G84" s="14">
        <v>6.1357176714111045E-46</v>
      </c>
      <c r="H84" s="14">
        <v>108.35198703101878</v>
      </c>
      <c r="I84" s="14">
        <v>232.11010651901421</v>
      </c>
      <c r="J84" s="14">
        <v>0</v>
      </c>
      <c r="K84" s="14">
        <v>2.8404236491161199</v>
      </c>
      <c r="L84" s="14">
        <v>0.35206015845952382</v>
      </c>
      <c r="M84" s="14">
        <v>0.2888653600160393</v>
      </c>
      <c r="N84" s="14">
        <v>13.948512177432878</v>
      </c>
      <c r="O84" s="14">
        <v>16774.620229702552</v>
      </c>
      <c r="P84" s="14">
        <v>13.94851217743288</v>
      </c>
      <c r="Q84" s="8">
        <v>0.27918626641031263</v>
      </c>
    </row>
    <row r="85" spans="1:17">
      <c r="A85" s="2" t="s">
        <v>405</v>
      </c>
      <c r="B85" s="16" t="s">
        <v>406</v>
      </c>
      <c r="D85" s="14">
        <v>1</v>
      </c>
      <c r="E85" s="14">
        <v>0.80638733476458535</v>
      </c>
      <c r="F85" s="14">
        <v>4.6157315476109913E-2</v>
      </c>
      <c r="G85" s="14">
        <v>1.3999343054892965E-10</v>
      </c>
      <c r="H85" s="14">
        <v>205.38648080718954</v>
      </c>
      <c r="I85" s="14">
        <v>99.416223408188799</v>
      </c>
      <c r="J85" s="14">
        <v>0</v>
      </c>
      <c r="K85" s="14">
        <v>21.665038135018481</v>
      </c>
      <c r="L85" s="14">
        <v>4.6157315476109913E-2</v>
      </c>
      <c r="M85" s="14">
        <v>3.7872077348148188E-2</v>
      </c>
      <c r="N85" s="14">
        <v>485.21278664722809</v>
      </c>
      <c r="O85" s="14">
        <v>154714.94915033516</v>
      </c>
      <c r="P85" s="14">
        <v>485.21278664722814</v>
      </c>
      <c r="Q85" s="8">
        <v>9.5952713583138428E-3</v>
      </c>
    </row>
    <row r="86" spans="1:17">
      <c r="A86" s="2" t="s">
        <v>407</v>
      </c>
      <c r="B86" s="16" t="s">
        <v>408</v>
      </c>
      <c r="D86" s="14">
        <v>1</v>
      </c>
      <c r="E86" s="14">
        <v>0.92333101681173702</v>
      </c>
      <c r="F86" s="14">
        <v>3.6406492341998852E-4</v>
      </c>
      <c r="G86" s="14">
        <v>2.922586175482135E-7</v>
      </c>
      <c r="H86" s="14">
        <v>49.984901192978462</v>
      </c>
      <c r="I86" s="14">
        <v>1966.0565652674707</v>
      </c>
      <c r="J86" s="14">
        <v>0</v>
      </c>
      <c r="K86" s="14">
        <v>2746.7628317666604</v>
      </c>
      <c r="L86" s="14">
        <v>3.6406492341998852E-4</v>
      </c>
      <c r="M86" s="14">
        <v>2.9871526966610061E-4</v>
      </c>
      <c r="N86" s="14">
        <v>123.97162069844052</v>
      </c>
      <c r="O86" s="14">
        <v>60224.173619095418</v>
      </c>
      <c r="P86" s="14">
        <v>123.97162069844052</v>
      </c>
      <c r="Q86" s="8">
        <v>4.5940530797286758E-2</v>
      </c>
    </row>
    <row r="87" spans="1:17">
      <c r="A87" s="2" t="s">
        <v>409</v>
      </c>
      <c r="B87" s="16" t="s">
        <v>410</v>
      </c>
      <c r="D87" s="14">
        <v>1</v>
      </c>
      <c r="E87" s="14">
        <v>0.92693376728544519</v>
      </c>
      <c r="F87" s="14">
        <v>1.2459346286929903E-4</v>
      </c>
      <c r="G87" s="14">
        <v>3.573911090338308E-8</v>
      </c>
      <c r="H87" s="14">
        <v>26.602059254759343</v>
      </c>
      <c r="I87" s="14">
        <v>2192.665721725753</v>
      </c>
      <c r="J87" s="14">
        <v>0</v>
      </c>
      <c r="K87" s="14">
        <v>8026.1032719591349</v>
      </c>
      <c r="L87" s="14">
        <v>1.2459346286929903E-4</v>
      </c>
      <c r="M87" s="14">
        <v>1.0222893628425985E-4</v>
      </c>
      <c r="N87" s="14">
        <v>139.5592033135535</v>
      </c>
      <c r="O87" s="14">
        <v>78807.686519130541</v>
      </c>
      <c r="P87" s="14">
        <v>139.5592033135535</v>
      </c>
      <c r="Q87" s="8">
        <v>3.0561342446214741E-2</v>
      </c>
    </row>
    <row r="88" spans="1:17">
      <c r="A88" s="2" t="s">
        <v>301</v>
      </c>
      <c r="B88" s="16" t="s">
        <v>302</v>
      </c>
      <c r="D88" s="14">
        <v>1</v>
      </c>
      <c r="E88" s="14">
        <v>0.93059418763793811</v>
      </c>
      <c r="F88" s="14">
        <v>3.463095697778132E-5</v>
      </c>
      <c r="G88" s="14">
        <v>4.3711225284453972E-9</v>
      </c>
      <c r="H88" s="14">
        <v>12.216997720158178</v>
      </c>
      <c r="I88" s="14">
        <v>2335.7247550202064</v>
      </c>
      <c r="J88" s="14">
        <v>0</v>
      </c>
      <c r="K88" s="14">
        <v>28875.898539032125</v>
      </c>
      <c r="L88" s="14">
        <v>3.463095697778132E-5</v>
      </c>
      <c r="M88" s="14">
        <v>2.8414700200269574E-5</v>
      </c>
      <c r="N88" s="14">
        <v>150.25783558856841</v>
      </c>
      <c r="O88" s="14">
        <v>96702.937828090871</v>
      </c>
      <c r="P88" s="14">
        <v>150.25783558856841</v>
      </c>
      <c r="Q88" s="8">
        <v>1.8089295929447999E-2</v>
      </c>
    </row>
    <row r="89" spans="1:17">
      <c r="A89" s="2" t="s">
        <v>303</v>
      </c>
      <c r="B89" s="16" t="s">
        <v>304</v>
      </c>
      <c r="D89" s="14">
        <v>1</v>
      </c>
      <c r="E89" s="14">
        <v>0.38727026456126112</v>
      </c>
      <c r="F89" s="14">
        <v>9.4242758285495996E-4</v>
      </c>
      <c r="G89" s="14">
        <v>1.3571324992873831E-15</v>
      </c>
      <c r="H89" s="14">
        <v>30.494151716887831</v>
      </c>
      <c r="I89" s="14">
        <v>734.31812509841302</v>
      </c>
      <c r="J89" s="14">
        <v>0</v>
      </c>
      <c r="K89" s="14">
        <v>1061.089486547743</v>
      </c>
      <c r="L89" s="14">
        <v>9.4242758285495996E-4</v>
      </c>
      <c r="M89" s="14">
        <v>7.7326183173249464E-4</v>
      </c>
      <c r="N89" s="14">
        <v>1571.8040193465831</v>
      </c>
      <c r="O89" s="14">
        <v>1014300.8517245435</v>
      </c>
      <c r="P89" s="14">
        <v>1571.8040193465831</v>
      </c>
      <c r="Q89" s="8">
        <v>7.9448233994103314E-3</v>
      </c>
    </row>
    <row r="90" spans="1:17">
      <c r="A90" s="2" t="s">
        <v>425</v>
      </c>
      <c r="B90" s="16" t="s">
        <v>426</v>
      </c>
      <c r="D90" s="14">
        <v>1</v>
      </c>
      <c r="E90" s="14">
        <v>0.98889325331849121</v>
      </c>
      <c r="F90" s="14">
        <v>0.99151672174058292</v>
      </c>
      <c r="G90" s="14">
        <v>1.8060779748939963E-15</v>
      </c>
      <c r="H90" s="14">
        <v>0.26424090183218107</v>
      </c>
      <c r="I90" s="14">
        <v>0.82146099193529187</v>
      </c>
      <c r="J90" s="14">
        <v>0</v>
      </c>
      <c r="K90" s="14">
        <v>1.0085558600005504</v>
      </c>
      <c r="L90" s="14">
        <v>0.99151672174058292</v>
      </c>
      <c r="M90" s="14">
        <v>0.81353947018814832</v>
      </c>
      <c r="N90" s="14">
        <v>0.91887565431828033</v>
      </c>
      <c r="O90" s="14">
        <v>254.7674639162864</v>
      </c>
      <c r="P90" s="14">
        <v>0.91887565431828044</v>
      </c>
      <c r="Q90" s="8">
        <v>1.7202316952073245E-2</v>
      </c>
    </row>
    <row r="91" spans="1:17">
      <c r="A91" s="2" t="s">
        <v>427</v>
      </c>
      <c r="B91" s="16" t="s">
        <v>428</v>
      </c>
      <c r="D91" s="14">
        <v>1</v>
      </c>
      <c r="E91" s="14">
        <v>0.89658022423543959</v>
      </c>
      <c r="F91" s="14">
        <v>0.81949854737694205</v>
      </c>
      <c r="G91" s="14">
        <v>1.0433659890483628E-6</v>
      </c>
      <c r="H91" s="14">
        <v>17.807714656389962</v>
      </c>
      <c r="I91" s="14">
        <v>46.373017759340634</v>
      </c>
      <c r="J91" s="14">
        <v>0</v>
      </c>
      <c r="K91" s="14">
        <v>1.2202584168096557</v>
      </c>
      <c r="L91" s="14">
        <v>0.81949854737694205</v>
      </c>
      <c r="M91" s="14">
        <v>0.67239855812278093</v>
      </c>
      <c r="N91" s="14">
        <v>3.3947358473901166</v>
      </c>
      <c r="O91" s="14">
        <v>560.77641463037332</v>
      </c>
      <c r="P91" s="14">
        <v>3.394735847390117</v>
      </c>
      <c r="Q91" s="8">
        <v>0.16325457432160437</v>
      </c>
    </row>
    <row r="92" spans="1:17">
      <c r="A92" s="2" t="s">
        <v>429</v>
      </c>
      <c r="B92" s="16" t="s">
        <v>430</v>
      </c>
      <c r="D92" s="14">
        <v>1</v>
      </c>
      <c r="E92" s="14">
        <v>0.84757402190713771</v>
      </c>
      <c r="F92" s="14">
        <v>0.15204540981303016</v>
      </c>
      <c r="G92" s="14">
        <v>6.7022681766964965E-6</v>
      </c>
      <c r="H92" s="14">
        <v>163.37790150998416</v>
      </c>
      <c r="I92" s="14">
        <v>319.19088749209033</v>
      </c>
      <c r="J92" s="14">
        <v>0</v>
      </c>
      <c r="K92" s="14">
        <v>6.5769825029883986</v>
      </c>
      <c r="L92" s="14">
        <v>0.15204540981303016</v>
      </c>
      <c r="M92" s="14">
        <v>0.12475325875159127</v>
      </c>
      <c r="N92" s="14">
        <v>19.058797089135279</v>
      </c>
      <c r="O92" s="14">
        <v>3435.1575873457427</v>
      </c>
      <c r="P92" s="14">
        <v>19.058797089135279</v>
      </c>
      <c r="Q92" s="8">
        <v>0.23133986844697788</v>
      </c>
    </row>
    <row r="93" spans="1:17">
      <c r="A93" s="2" t="s">
        <v>431</v>
      </c>
      <c r="B93" s="16" t="s">
        <v>432</v>
      </c>
      <c r="D93" s="14">
        <v>1</v>
      </c>
      <c r="E93" s="14">
        <v>0.99958974325940342</v>
      </c>
      <c r="F93" s="14">
        <v>0.9991205523840575</v>
      </c>
      <c r="G93" s="14">
        <v>1.338969585878736E-19</v>
      </c>
      <c r="H93" s="14">
        <v>1.2393897288256119</v>
      </c>
      <c r="I93" s="14">
        <v>9.1937233153239328E-3</v>
      </c>
      <c r="J93" s="14">
        <v>0</v>
      </c>
      <c r="K93" s="14">
        <v>1.0008802217248398</v>
      </c>
      <c r="L93" s="14">
        <v>0.99912055238405761</v>
      </c>
      <c r="M93" s="14">
        <v>0.81977841323111922</v>
      </c>
      <c r="N93" s="14">
        <v>0.89411712193169501</v>
      </c>
      <c r="O93" s="14">
        <v>347.7132075480169</v>
      </c>
      <c r="P93" s="14">
        <v>0.89411712193169512</v>
      </c>
      <c r="Q93" s="8">
        <v>1.0325032551917741E-4</v>
      </c>
    </row>
    <row r="94" spans="1:17">
      <c r="A94" s="2" t="s">
        <v>433</v>
      </c>
      <c r="B94" s="16" t="s">
        <v>434</v>
      </c>
      <c r="D94" s="14">
        <v>1</v>
      </c>
      <c r="E94" s="14">
        <v>0.99965362662739632</v>
      </c>
      <c r="F94" s="14">
        <v>1.0035488681724343</v>
      </c>
      <c r="G94" s="14">
        <v>2.829808280837369E-20</v>
      </c>
      <c r="H94" s="14">
        <v>4.8231250901416972E-3</v>
      </c>
      <c r="I94" s="14">
        <v>6.2314021938637525E-5</v>
      </c>
      <c r="J94" s="14">
        <v>0</v>
      </c>
      <c r="K94" s="14">
        <v>0.99646368175483335</v>
      </c>
      <c r="L94" s="14">
        <v>1.0035488681724345</v>
      </c>
      <c r="M94" s="14">
        <v>0.82341184633548237</v>
      </c>
      <c r="N94" s="14">
        <v>0.89157109965889181</v>
      </c>
      <c r="O94" s="14">
        <v>159.80520390285977</v>
      </c>
      <c r="P94" s="14">
        <v>0.89157109965889192</v>
      </c>
      <c r="Q94" s="8">
        <v>2.6120758436348187E-6</v>
      </c>
    </row>
    <row r="95" spans="1:17">
      <c r="A95" s="2" t="s">
        <v>435</v>
      </c>
      <c r="B95" s="16" t="s">
        <v>436</v>
      </c>
      <c r="D95" s="14">
        <v>1</v>
      </c>
      <c r="E95" s="14">
        <v>0.97431444208287721</v>
      </c>
      <c r="F95" s="14">
        <v>0.97290085158997608</v>
      </c>
      <c r="G95" s="14">
        <v>1.5657725292730297E-10</v>
      </c>
      <c r="H95" s="14">
        <v>1.0986803919869506</v>
      </c>
      <c r="I95" s="14">
        <v>3.528289688348806</v>
      </c>
      <c r="J95" s="14">
        <v>0</v>
      </c>
      <c r="K95" s="14">
        <v>1.0278539672010121</v>
      </c>
      <c r="L95" s="14">
        <v>0.97290085158997608</v>
      </c>
      <c r="M95" s="14">
        <v>0.79826514872957544</v>
      </c>
      <c r="N95" s="14">
        <v>1.0688197134372355</v>
      </c>
      <c r="O95" s="14">
        <v>279.05813898132777</v>
      </c>
      <c r="P95" s="14">
        <v>1.0688197134372355</v>
      </c>
      <c r="Q95" s="8">
        <v>4.0435632001364429E-2</v>
      </c>
    </row>
    <row r="96" spans="1:17">
      <c r="A96" s="2" t="s">
        <v>437</v>
      </c>
      <c r="B96" s="164" t="s">
        <v>438</v>
      </c>
      <c r="D96" s="14">
        <v>1</v>
      </c>
      <c r="E96" s="14">
        <v>0.92223783524687164</v>
      </c>
      <c r="F96" s="14">
        <v>5.3238680687425744E-4</v>
      </c>
      <c r="G96" s="14">
        <v>5.4913076074228037E-10</v>
      </c>
      <c r="H96" s="14">
        <v>62.007937286512416</v>
      </c>
      <c r="I96" s="14">
        <v>1851.4178877575262</v>
      </c>
      <c r="J96" s="14">
        <v>0</v>
      </c>
      <c r="K96" s="14">
        <v>1878.3335482544865</v>
      </c>
      <c r="L96" s="14">
        <v>5.3238680687425744E-4</v>
      </c>
      <c r="M96" s="14">
        <v>4.3682337504032825E-4</v>
      </c>
      <c r="N96" s="14">
        <v>116.33786305689414</v>
      </c>
      <c r="O96" s="14">
        <v>48431.452390585029</v>
      </c>
      <c r="P96" s="14">
        <v>116.33786305689414</v>
      </c>
      <c r="Q96" s="8">
        <v>5.2445044157828434E-2</v>
      </c>
    </row>
    <row r="97" spans="1:17">
      <c r="A97" s="2" t="s">
        <v>439</v>
      </c>
      <c r="B97" s="16" t="s">
        <v>440</v>
      </c>
      <c r="D97" s="14">
        <v>1</v>
      </c>
      <c r="E97" s="14">
        <v>0.86319603686761248</v>
      </c>
      <c r="F97" s="14">
        <v>0.71255275717001876</v>
      </c>
      <c r="G97" s="14">
        <v>5.2435511951924395E-7</v>
      </c>
      <c r="H97" s="14">
        <v>34.466487375670937</v>
      </c>
      <c r="I97" s="14">
        <v>84.616332062064913</v>
      </c>
      <c r="J97" s="14">
        <v>0</v>
      </c>
      <c r="K97" s="14">
        <v>1.4034048566054382</v>
      </c>
      <c r="L97" s="14">
        <v>0.71255275717001887</v>
      </c>
      <c r="M97" s="14">
        <v>0.5846495372580004</v>
      </c>
      <c r="N97" s="14">
        <v>5.533511364821595</v>
      </c>
      <c r="O97" s="14">
        <v>1058.3947187494264</v>
      </c>
      <c r="P97" s="14">
        <v>5.533511364821595</v>
      </c>
      <c r="Q97" s="8">
        <v>0.21540421420739761</v>
      </c>
    </row>
    <row r="98" spans="1:17">
      <c r="A98" s="2" t="s">
        <v>441</v>
      </c>
      <c r="B98" s="16" t="s">
        <v>442</v>
      </c>
      <c r="D98" s="14">
        <v>1</v>
      </c>
      <c r="E98" s="14">
        <v>0.89051469629257896</v>
      </c>
      <c r="F98" s="14">
        <v>0.80252428550524257</v>
      </c>
      <c r="G98" s="14">
        <v>3.4650273851401848E-19</v>
      </c>
      <c r="H98" s="14">
        <v>20.261807437808656</v>
      </c>
      <c r="I98" s="14">
        <v>52.183758349379076</v>
      </c>
      <c r="J98" s="14">
        <v>0</v>
      </c>
      <c r="K98" s="14">
        <v>1.2460682100983811</v>
      </c>
      <c r="L98" s="14">
        <v>0.80252428550524268</v>
      </c>
      <c r="M98" s="14">
        <v>0.65847117625705154</v>
      </c>
      <c r="N98" s="14">
        <v>3.7180402166118469</v>
      </c>
      <c r="O98" s="14">
        <v>1459.1820634114854</v>
      </c>
      <c r="P98" s="14">
        <v>3.7180402166118474</v>
      </c>
      <c r="Q98" s="8">
        <v>0.17287625838452966</v>
      </c>
    </row>
    <row r="99" spans="1:17">
      <c r="A99" s="2" t="s">
        <v>443</v>
      </c>
      <c r="B99" s="16" t="s">
        <v>444</v>
      </c>
      <c r="D99" s="14">
        <v>1</v>
      </c>
      <c r="E99" s="14">
        <v>0.94646098815749191</v>
      </c>
      <c r="F99" s="14">
        <v>0.92925899537791368</v>
      </c>
      <c r="G99" s="14">
        <v>5.0052440901041345E-31</v>
      </c>
      <c r="H99" s="14">
        <v>4.5039833235687032</v>
      </c>
      <c r="I99" s="14">
        <v>13.09947663556652</v>
      </c>
      <c r="J99" s="14">
        <v>0</v>
      </c>
      <c r="K99" s="14">
        <v>1.0761262521793691</v>
      </c>
      <c r="L99" s="14">
        <v>0.92925899537791368</v>
      </c>
      <c r="M99" s="14">
        <v>0.76245700570757824</v>
      </c>
      <c r="N99" s="14">
        <v>1.5649225599239982</v>
      </c>
      <c r="O99" s="14">
        <v>1222.1106239470473</v>
      </c>
      <c r="P99" s="14">
        <v>1.5649225599239982</v>
      </c>
      <c r="Q99" s="8">
        <v>8.4694253524273261E-2</v>
      </c>
    </row>
    <row r="100" spans="1:17">
      <c r="A100" s="2" t="s">
        <v>445</v>
      </c>
      <c r="B100" s="16" t="s">
        <v>446</v>
      </c>
      <c r="D100" s="14">
        <v>1</v>
      </c>
      <c r="E100" s="14">
        <v>0.92552928809603252</v>
      </c>
      <c r="F100" s="14">
        <v>3.5767350833918704E-3</v>
      </c>
      <c r="G100" s="14">
        <v>5.8921699153487808E-10</v>
      </c>
      <c r="H100" s="14">
        <v>159.34805785245803</v>
      </c>
      <c r="I100" s="14">
        <v>950.83234160158224</v>
      </c>
      <c r="J100" s="14">
        <v>0</v>
      </c>
      <c r="K100" s="14">
        <v>279.58458669286887</v>
      </c>
      <c r="L100" s="14">
        <v>3.5767350833918704E-3</v>
      </c>
      <c r="M100" s="14">
        <v>2.9347111359230298E-3</v>
      </c>
      <c r="N100" s="14">
        <v>58.552608618330659</v>
      </c>
      <c r="O100" s="14">
        <v>17940.519280656514</v>
      </c>
      <c r="P100" s="14">
        <v>58.552608618330659</v>
      </c>
      <c r="Q100" s="8">
        <v>8.2928525855504198E-2</v>
      </c>
    </row>
    <row r="101" spans="1:17">
      <c r="A101" s="2" t="s">
        <v>447</v>
      </c>
      <c r="B101" s="16" t="s">
        <v>448</v>
      </c>
      <c r="D101" s="14">
        <v>1</v>
      </c>
      <c r="E101" s="14">
        <v>0.83307109444237626</v>
      </c>
      <c r="F101" s="14">
        <v>0.21578427154253524</v>
      </c>
      <c r="G101" s="14">
        <v>5.9858836851115485E-11</v>
      </c>
      <c r="H101" s="14">
        <v>144.17826196210066</v>
      </c>
      <c r="I101" s="14">
        <v>291.7137879383352</v>
      </c>
      <c r="J101" s="14">
        <v>0</v>
      </c>
      <c r="K101" s="14">
        <v>4.6342580617738891</v>
      </c>
      <c r="L101" s="14">
        <v>0.21578427154253524</v>
      </c>
      <c r="M101" s="14">
        <v>0.17705099480065017</v>
      </c>
      <c r="N101" s="14">
        <v>17.426693023301286</v>
      </c>
      <c r="O101" s="14">
        <v>5869.6587441083384</v>
      </c>
      <c r="P101" s="14">
        <v>17.426693023301286</v>
      </c>
      <c r="Q101" s="8">
        <v>0.25630492810425909</v>
      </c>
    </row>
    <row r="102" spans="1:17">
      <c r="A102" s="2" t="s">
        <v>449</v>
      </c>
      <c r="B102" s="16" t="s">
        <v>450</v>
      </c>
      <c r="D102" s="14">
        <v>1</v>
      </c>
      <c r="E102" s="14">
        <v>0.90190484073277755</v>
      </c>
      <c r="F102" s="14">
        <v>4.3662461184496189E-2</v>
      </c>
      <c r="G102" s="14">
        <v>2.4428494360489177E-6</v>
      </c>
      <c r="H102" s="14">
        <v>205.14843703849999</v>
      </c>
      <c r="I102" s="14">
        <v>359.52192739659085</v>
      </c>
      <c r="J102" s="14">
        <v>0</v>
      </c>
      <c r="K102" s="14">
        <v>22.902969115151102</v>
      </c>
      <c r="L102" s="14">
        <v>4.3662461184496189E-2</v>
      </c>
      <c r="M102" s="14">
        <v>3.5825049401879125E-2</v>
      </c>
      <c r="N102" s="14">
        <v>21.582741549237412</v>
      </c>
      <c r="O102" s="14">
        <v>10037.917267134828</v>
      </c>
      <c r="P102" s="14">
        <v>21.582741549237412</v>
      </c>
      <c r="Q102" s="8">
        <v>0.14332613291892329</v>
      </c>
    </row>
    <row r="103" spans="1:17">
      <c r="A103" s="2" t="s">
        <v>451</v>
      </c>
      <c r="B103" s="16" t="s">
        <v>452</v>
      </c>
      <c r="D103" s="14">
        <v>1</v>
      </c>
      <c r="E103" s="14">
        <v>0.99953549342784653</v>
      </c>
      <c r="F103" s="14">
        <v>0.89799903147403137</v>
      </c>
      <c r="G103" s="14">
        <v>4.8884037290256412E-21</v>
      </c>
      <c r="H103" s="14">
        <v>29.8507926847773</v>
      </c>
      <c r="I103" s="14">
        <v>2.6822094718590591E-2</v>
      </c>
      <c r="J103" s="14">
        <v>0</v>
      </c>
      <c r="K103" s="14">
        <v>1.1135869471468558</v>
      </c>
      <c r="L103" s="14">
        <v>0.89799903147403148</v>
      </c>
      <c r="M103" s="14">
        <v>0.7368082053244428</v>
      </c>
      <c r="N103" s="14">
        <v>1.0728299682370026</v>
      </c>
      <c r="O103" s="14">
        <v>354.82778369470623</v>
      </c>
      <c r="P103" s="14">
        <v>1.0728299682370026</v>
      </c>
      <c r="Q103" s="8">
        <v>7.9486375096126744E-5</v>
      </c>
    </row>
    <row r="104" spans="1:17">
      <c r="A104" s="2" t="s">
        <v>453</v>
      </c>
      <c r="B104" s="16" t="s">
        <v>454</v>
      </c>
      <c r="D104" s="14">
        <v>1</v>
      </c>
      <c r="E104" s="14">
        <v>0.99865431607008892</v>
      </c>
      <c r="F104" s="14">
        <v>1.1144375272017915E-2</v>
      </c>
      <c r="G104" s="14">
        <v>1.2535991546784284E-22</v>
      </c>
      <c r="H104" s="14">
        <v>280.38561453423893</v>
      </c>
      <c r="I104" s="14">
        <v>2.749052245697218</v>
      </c>
      <c r="J104" s="14">
        <v>0</v>
      </c>
      <c r="K104" s="14">
        <v>89.731364530667832</v>
      </c>
      <c r="L104" s="14">
        <v>1.1144375272017915E-2</v>
      </c>
      <c r="M104" s="14">
        <v>9.1439599106907E-3</v>
      </c>
      <c r="N104" s="14">
        <v>2.7238610250872233</v>
      </c>
      <c r="O104" s="14">
        <v>1345.5873463930882</v>
      </c>
      <c r="P104" s="14">
        <v>2.7238610250872233</v>
      </c>
      <c r="Q104" s="8">
        <v>4.6793226700357735E-4</v>
      </c>
    </row>
    <row r="105" spans="1:17">
      <c r="A105" s="2" t="s">
        <v>455</v>
      </c>
      <c r="B105" s="164">
        <v>354656</v>
      </c>
      <c r="D105" s="14">
        <v>1</v>
      </c>
      <c r="E105" s="14">
        <v>0.98672039581256854</v>
      </c>
      <c r="F105" s="14">
        <v>0.98919014993756715</v>
      </c>
      <c r="G105" s="14">
        <v>4.16666198986142E-12</v>
      </c>
      <c r="H105" s="14">
        <v>0.284157931780958</v>
      </c>
      <c r="I105" s="14">
        <v>1.0176933903679388</v>
      </c>
      <c r="J105" s="14">
        <v>0</v>
      </c>
      <c r="K105" s="14">
        <v>1.0109279798864912</v>
      </c>
      <c r="L105" s="14">
        <v>0.98919014993756715</v>
      </c>
      <c r="M105" s="14">
        <v>0.81163051802377384</v>
      </c>
      <c r="N105" s="14">
        <v>0.9273588684191959</v>
      </c>
      <c r="O105" s="14">
        <v>182.86589526358125</v>
      </c>
      <c r="P105" s="14">
        <v>0.92735886841919601</v>
      </c>
      <c r="Q105" s="8">
        <v>2.0673640213295486E-2</v>
      </c>
    </row>
    <row r="106" spans="1:17">
      <c r="A106" s="2" t="s">
        <v>457</v>
      </c>
      <c r="B106" s="16" t="s">
        <v>458</v>
      </c>
      <c r="D106" s="14">
        <v>1</v>
      </c>
      <c r="E106" s="14">
        <v>0.97308701551597254</v>
      </c>
      <c r="F106" s="14">
        <v>0.97122776469573979</v>
      </c>
      <c r="G106" s="14">
        <v>6.28702645174863E-12</v>
      </c>
      <c r="H106" s="14">
        <v>1.192730499825454</v>
      </c>
      <c r="I106" s="14">
        <v>3.8131109145705242</v>
      </c>
      <c r="J106" s="14">
        <v>0</v>
      </c>
      <c r="K106" s="14">
        <v>1.0296246013037671</v>
      </c>
      <c r="L106" s="14">
        <v>0.97122776469573979</v>
      </c>
      <c r="M106" s="14">
        <v>0.79689238093285453</v>
      </c>
      <c r="N106" s="14">
        <v>1.0816982272296682</v>
      </c>
      <c r="O106" s="14">
        <v>173.26642203764828</v>
      </c>
      <c r="P106" s="14">
        <v>1.0816982272296685</v>
      </c>
      <c r="Q106" s="8">
        <v>4.2391563833717734E-2</v>
      </c>
    </row>
    <row r="107" spans="1:17">
      <c r="A107" s="2" t="s">
        <v>459</v>
      </c>
      <c r="B107" s="16" t="s">
        <v>460</v>
      </c>
      <c r="D107" s="14">
        <v>1</v>
      </c>
      <c r="E107" s="14">
        <v>0.92738143114593197</v>
      </c>
      <c r="F107" s="14">
        <v>2.2699217622710131E-2</v>
      </c>
      <c r="G107" s="14">
        <v>5.5201050434083296E-22</v>
      </c>
      <c r="H107" s="14">
        <v>218.85072150428638</v>
      </c>
      <c r="I107" s="14">
        <v>354.6482252961074</v>
      </c>
      <c r="J107" s="14">
        <v>0</v>
      </c>
      <c r="K107" s="14">
        <v>44.054381812680589</v>
      </c>
      <c r="L107" s="14">
        <v>2.2699217622710134E-2</v>
      </c>
      <c r="M107" s="14">
        <v>1.8624708059433663E-2</v>
      </c>
      <c r="N107" s="14">
        <v>25.871513774792827</v>
      </c>
      <c r="O107" s="14">
        <v>13748.898565338151</v>
      </c>
      <c r="P107" s="14">
        <v>25.871513774792827</v>
      </c>
      <c r="Q107" s="8">
        <v>0.10018386697783702</v>
      </c>
    </row>
    <row r="108" spans="1:17">
      <c r="A108" s="2" t="s">
        <v>461</v>
      </c>
      <c r="B108" s="16" t="s">
        <v>462</v>
      </c>
      <c r="D108" s="14">
        <v>1</v>
      </c>
      <c r="E108" s="14">
        <v>0.99963340051374527</v>
      </c>
      <c r="F108" s="14">
        <v>1.0035365423848008</v>
      </c>
      <c r="G108" s="14">
        <v>1.2226723040613286E-11</v>
      </c>
      <c r="H108" s="14">
        <v>2.4983539286004266E-3</v>
      </c>
      <c r="I108" s="14">
        <v>6.7046661821838142E-4</v>
      </c>
      <c r="J108" s="14">
        <v>0</v>
      </c>
      <c r="K108" s="14">
        <v>0.9964759206711129</v>
      </c>
      <c r="L108" s="14">
        <v>1.0035365423848011</v>
      </c>
      <c r="M108" s="14">
        <v>0.82340173302672925</v>
      </c>
      <c r="N108" s="14">
        <v>0.88746531655228933</v>
      </c>
      <c r="O108" s="14">
        <v>114.62502028589368</v>
      </c>
      <c r="P108" s="14">
        <v>0.88746531655228944</v>
      </c>
      <c r="Q108" s="8">
        <v>3.751259944082127E-5</v>
      </c>
    </row>
    <row r="109" spans="1:17">
      <c r="A109" s="2" t="s">
        <v>463</v>
      </c>
      <c r="B109" s="16" t="s">
        <v>464</v>
      </c>
      <c r="D109" s="14">
        <v>1</v>
      </c>
      <c r="E109" s="14">
        <v>0.98634955677706548</v>
      </c>
      <c r="F109" s="14">
        <v>0.9290961240140635</v>
      </c>
      <c r="G109" s="14">
        <v>3.1385923399508219E-14</v>
      </c>
      <c r="H109" s="14">
        <v>16.482732728527463</v>
      </c>
      <c r="I109" s="14">
        <v>7.5857217389667051</v>
      </c>
      <c r="J109" s="14">
        <v>0</v>
      </c>
      <c r="K109" s="14">
        <v>1.0763148980533936</v>
      </c>
      <c r="L109" s="14">
        <v>0.92909612401406361</v>
      </c>
      <c r="M109" s="14">
        <v>0.7623233697535392</v>
      </c>
      <c r="N109" s="14">
        <v>15.316211962275572</v>
      </c>
      <c r="O109" s="14">
        <v>4591.800346290217</v>
      </c>
      <c r="P109" s="14">
        <v>15.316211962275572</v>
      </c>
      <c r="Q109" s="8">
        <v>1.2365079352518944E-2</v>
      </c>
    </row>
    <row r="110" spans="1:17">
      <c r="A110" s="2" t="s">
        <v>465</v>
      </c>
      <c r="B110" s="16" t="s">
        <v>466</v>
      </c>
      <c r="D110" s="14">
        <v>1</v>
      </c>
      <c r="E110" s="14">
        <v>0.99700860599754837</v>
      </c>
      <c r="F110" s="14">
        <v>1.0006407636341539</v>
      </c>
      <c r="G110" s="14">
        <v>2.3296183989563107E-13</v>
      </c>
      <c r="H110" s="14">
        <v>6.4114785108178612E-2</v>
      </c>
      <c r="I110" s="14">
        <v>0.11357593795080603</v>
      </c>
      <c r="J110" s="14">
        <v>0</v>
      </c>
      <c r="K110" s="14">
        <v>0.999359646680966</v>
      </c>
      <c r="L110" s="14">
        <v>1.0006407636341539</v>
      </c>
      <c r="M110" s="14">
        <v>0.82102574656182326</v>
      </c>
      <c r="N110" s="14">
        <v>0.88732514036029886</v>
      </c>
      <c r="O110" s="14">
        <v>211.32535542820878</v>
      </c>
      <c r="P110" s="14">
        <v>0.88732514036029897</v>
      </c>
      <c r="Q110" s="8">
        <v>4.2372718909946374E-3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0.9996561340246336</v>
      </c>
      <c r="F111" s="14">
        <v>1.0035523957968979</v>
      </c>
      <c r="G111" s="14">
        <v>4.126122706311551E-32</v>
      </c>
      <c r="H111" s="14">
        <v>4.5400438976929596E-3</v>
      </c>
      <c r="I111" s="14">
        <v>3.4729106979943505E-5</v>
      </c>
      <c r="J111" s="14">
        <v>0</v>
      </c>
      <c r="K111" s="14">
        <v>0.99646017904817308</v>
      </c>
      <c r="L111" s="14">
        <v>1.0035523957968979</v>
      </c>
      <c r="M111" s="14">
        <v>0.82341474075135479</v>
      </c>
      <c r="N111" s="14">
        <v>0.8831788897396099</v>
      </c>
      <c r="O111" s="14">
        <v>406.64205620280859</v>
      </c>
      <c r="P111" s="14">
        <v>0.88317888973961001</v>
      </c>
      <c r="Q111" s="8">
        <v>3.7922208008348674E-6</v>
      </c>
    </row>
    <row r="112" spans="1:17">
      <c r="A112" s="2" t="s">
        <v>469</v>
      </c>
      <c r="B112" s="16" t="s">
        <v>470</v>
      </c>
      <c r="D112" s="14">
        <v>1</v>
      </c>
      <c r="E112" s="14">
        <v>0.99622315338100209</v>
      </c>
      <c r="F112" s="14">
        <v>1.0000073031270535</v>
      </c>
      <c r="G112" s="14">
        <v>2.6203642121296904E-15</v>
      </c>
      <c r="H112" s="14">
        <v>2.2137734351704703E-2</v>
      </c>
      <c r="I112" s="14">
        <v>9.5761368199866609E-2</v>
      </c>
      <c r="J112" s="14">
        <v>0</v>
      </c>
      <c r="K112" s="14">
        <v>0.99999269692628168</v>
      </c>
      <c r="L112" s="14">
        <v>1.0000073031270535</v>
      </c>
      <c r="M112" s="14">
        <v>0.82050599221574749</v>
      </c>
      <c r="N112" s="14">
        <v>0.88523931008054024</v>
      </c>
      <c r="O112" s="14">
        <v>181.69536839403088</v>
      </c>
      <c r="P112" s="14">
        <v>0.88523931008054024</v>
      </c>
      <c r="Q112" s="8">
        <v>5.4952865369332898E-3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0.97992596382341535</v>
      </c>
      <c r="F113" s="14">
        <v>0.98066339361124322</v>
      </c>
      <c r="G113" s="14">
        <v>3.2961612681820314E-11</v>
      </c>
      <c r="H113" s="14">
        <v>0.64295409125799374</v>
      </c>
      <c r="I113" s="14">
        <v>2.1668913451160323</v>
      </c>
      <c r="J113" s="14">
        <v>0</v>
      </c>
      <c r="K113" s="14">
        <v>1.0197178833376768</v>
      </c>
      <c r="L113" s="14">
        <v>0.98066339361124322</v>
      </c>
      <c r="M113" s="14">
        <v>0.80463431445802513</v>
      </c>
      <c r="N113" s="14">
        <v>0.98481423540243274</v>
      </c>
      <c r="O113" s="14">
        <v>148.86451982343172</v>
      </c>
      <c r="P113" s="14">
        <v>0.98481423540243274</v>
      </c>
      <c r="Q113" s="8">
        <v>3.1509182450532747E-2</v>
      </c>
    </row>
    <row r="114" spans="1:17">
      <c r="A114" s="2" t="s">
        <v>473</v>
      </c>
      <c r="B114" s="16" t="s">
        <v>474</v>
      </c>
      <c r="D114" s="14">
        <v>1</v>
      </c>
      <c r="E114" s="14">
        <v>0.99788174584309597</v>
      </c>
      <c r="F114" s="14">
        <v>1.0017529497405191</v>
      </c>
      <c r="G114" s="14">
        <v>2.5663742512459391E-18</v>
      </c>
      <c r="H114" s="14">
        <v>6.4316237450442564E-3</v>
      </c>
      <c r="I114" s="14">
        <v>3.0002044370303158E-2</v>
      </c>
      <c r="J114" s="14">
        <v>0</v>
      </c>
      <c r="K114" s="14">
        <v>0.9982501177151778</v>
      </c>
      <c r="L114" s="14">
        <v>1.0017529497405193</v>
      </c>
      <c r="M114" s="14">
        <v>0.82193829526209605</v>
      </c>
      <c r="N114" s="14">
        <v>0.88315234654632535</v>
      </c>
      <c r="O114" s="14">
        <v>299.70658032396096</v>
      </c>
      <c r="P114" s="14">
        <v>0.88315234654632535</v>
      </c>
      <c r="Q114" s="8">
        <v>2.8428297326493304E-3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0.99960805619498172</v>
      </c>
      <c r="F115" s="14">
        <v>0.97596595065348468</v>
      </c>
      <c r="G115" s="14">
        <v>1.3240020518752891E-14</v>
      </c>
      <c r="H115" s="14">
        <v>7.8000011430380924</v>
      </c>
      <c r="I115" s="14">
        <v>8.6504785772647634E-3</v>
      </c>
      <c r="J115" s="14">
        <v>0</v>
      </c>
      <c r="K115" s="14">
        <v>1.0246259096748433</v>
      </c>
      <c r="L115" s="14">
        <v>0.97596595065348468</v>
      </c>
      <c r="M115" s="14">
        <v>0.80078006251118417</v>
      </c>
      <c r="N115" s="14">
        <v>0.93982617532495993</v>
      </c>
      <c r="O115" s="14">
        <v>180.56880306518454</v>
      </c>
      <c r="P115" s="14">
        <v>0.93982617532495993</v>
      </c>
      <c r="Q115" s="8">
        <v>4.5670959411884561E-5</v>
      </c>
    </row>
    <row r="116" spans="1:17">
      <c r="A116" s="2" t="s">
        <v>477</v>
      </c>
      <c r="B116" s="16" t="s">
        <v>478</v>
      </c>
      <c r="D116" s="14">
        <v>1</v>
      </c>
      <c r="E116" s="14">
        <v>0.93252674695121163</v>
      </c>
      <c r="F116" s="14">
        <v>0.12861651798816856</v>
      </c>
      <c r="G116" s="14">
        <v>3.5733545331389633E-19</v>
      </c>
      <c r="H116" s="14">
        <v>223.22336654352051</v>
      </c>
      <c r="I116" s="14">
        <v>50.059301973803997</v>
      </c>
      <c r="J116" s="14">
        <v>0</v>
      </c>
      <c r="K116" s="14">
        <v>7.775051102627347</v>
      </c>
      <c r="L116" s="14">
        <v>0.12861651798816856</v>
      </c>
      <c r="M116" s="14">
        <v>0.10552985300929231</v>
      </c>
      <c r="N116" s="14">
        <v>154.46300578782871</v>
      </c>
      <c r="O116" s="14">
        <v>70218.882431146936</v>
      </c>
      <c r="P116" s="14">
        <v>154.46300578782873</v>
      </c>
      <c r="Q116" s="8">
        <v>1.23960919639911E-2</v>
      </c>
    </row>
    <row r="117" spans="1:17">
      <c r="A117" s="2" t="s">
        <v>291</v>
      </c>
      <c r="B117" s="16" t="s">
        <v>479</v>
      </c>
      <c r="D117" s="14">
        <v>1</v>
      </c>
      <c r="E117" s="14">
        <v>0.83542131976643674</v>
      </c>
      <c r="F117" s="14">
        <v>0.57740178787280438</v>
      </c>
      <c r="G117" s="14">
        <v>3.9818657356944257E-12</v>
      </c>
      <c r="H117" s="14">
        <v>59.136841386836039</v>
      </c>
      <c r="I117" s="14">
        <v>137.37740075797839</v>
      </c>
      <c r="J117" s="14">
        <v>0</v>
      </c>
      <c r="K117" s="14">
        <v>1.7318962653096073</v>
      </c>
      <c r="L117" s="14">
        <v>0.57740178787280438</v>
      </c>
      <c r="M117" s="14">
        <v>0.47375816694963596</v>
      </c>
      <c r="N117" s="14">
        <v>8.5168567036207108</v>
      </c>
      <c r="O117" s="14">
        <v>2626.0024274273737</v>
      </c>
      <c r="P117" s="14">
        <v>8.5168567036207108</v>
      </c>
      <c r="Q117" s="8">
        <v>0.25805679258042552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2.0663946598781283E-8</v>
      </c>
      <c r="E2" s="20">
        <v>0.98965702814924061</v>
      </c>
      <c r="F2" s="20">
        <v>6.0845989078777752E-4</v>
      </c>
      <c r="G2" s="20">
        <v>2.4418979513863242E-4</v>
      </c>
      <c r="H2" s="20">
        <v>0</v>
      </c>
      <c r="I2" s="20">
        <v>0.98880437846331415</v>
      </c>
      <c r="J2" s="20">
        <v>3.5160674176621054E-4</v>
      </c>
      <c r="K2" s="20">
        <v>9.991344445046603E-3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1.8762015781878185E-8</v>
      </c>
      <c r="E3" s="20">
        <v>0.84240250878683942</v>
      </c>
      <c r="F3" s="20">
        <v>0.2240409004910556</v>
      </c>
      <c r="G3" s="20">
        <v>5.4427138553375082E-2</v>
      </c>
      <c r="H3" s="20">
        <v>0</v>
      </c>
      <c r="I3" s="20">
        <v>0.56393446974240879</v>
      </c>
      <c r="J3" s="20">
        <v>4.0962200853138881E-3</v>
      </c>
      <c r="K3" s="20">
        <v>0.15350125236583101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1.0576906255525992E-17</v>
      </c>
      <c r="E4" s="20">
        <v>0.99958380880680064</v>
      </c>
      <c r="F4" s="20">
        <v>4.2167450108188158E-4</v>
      </c>
      <c r="G4" s="20">
        <v>4.6437943788846647E-7</v>
      </c>
      <c r="H4" s="20">
        <v>0</v>
      </c>
      <c r="I4" s="20">
        <v>0.99916166992628086</v>
      </c>
      <c r="J4" s="20">
        <v>4.0748217090657543E-4</v>
      </c>
      <c r="K4" s="20">
        <v>8.7090222927647826E-6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1.7605274559161858E-10</v>
      </c>
      <c r="E5" s="20">
        <v>0.99931916344528615</v>
      </c>
      <c r="F5" s="20">
        <v>0.4519289389337981</v>
      </c>
      <c r="G5" s="20">
        <v>3.5869838200060214E-5</v>
      </c>
      <c r="H5" s="20">
        <v>0</v>
      </c>
      <c r="I5" s="20">
        <v>0.54735435467328797</v>
      </c>
      <c r="J5" s="20">
        <v>6.0150850043547209E-4</v>
      </c>
      <c r="K5" s="20">
        <v>7.9327878225641537E-5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1.4445136906669331E-11</v>
      </c>
      <c r="E6" s="20">
        <v>0.99900052824809504</v>
      </c>
      <c r="F6" s="20">
        <v>0.67479899033694724</v>
      </c>
      <c r="G6" s="20">
        <v>1.956892415741318E-4</v>
      </c>
      <c r="H6" s="20">
        <v>0</v>
      </c>
      <c r="I6" s="20">
        <v>0.32400584866957371</v>
      </c>
      <c r="J6" s="20">
        <v>7.0198790297160824E-4</v>
      </c>
      <c r="K6" s="20">
        <v>2.9748383448821429E-4</v>
      </c>
      <c r="L6" s="20">
        <v>0</v>
      </c>
    </row>
    <row r="7" spans="1:14">
      <c r="A7" s="2" t="s">
        <v>366</v>
      </c>
      <c r="B7" s="3" t="s">
        <v>305</v>
      </c>
      <c r="D7" s="20">
        <v>1.2620540693939731E-7</v>
      </c>
      <c r="E7" s="20">
        <v>0.99758762179232974</v>
      </c>
      <c r="F7" s="20">
        <v>0.88801033361167425</v>
      </c>
      <c r="G7" s="20">
        <v>1.8076449128917396E-3</v>
      </c>
      <c r="H7" s="20">
        <v>0</v>
      </c>
      <c r="I7" s="20">
        <v>0.1077696432677638</v>
      </c>
      <c r="J7" s="20">
        <v>8.3823454763915265E-4</v>
      </c>
      <c r="K7" s="20">
        <v>1.5740174546240617E-3</v>
      </c>
      <c r="L7" s="20">
        <v>0</v>
      </c>
    </row>
    <row r="8" spans="1:14">
      <c r="A8" s="2" t="s">
        <v>289</v>
      </c>
      <c r="B8" s="3" t="s">
        <v>290</v>
      </c>
      <c r="D8" s="20">
        <v>8.9477643102861975E-18</v>
      </c>
      <c r="E8" s="20">
        <v>0.99912659737674525</v>
      </c>
      <c r="F8" s="20">
        <v>0.76931833258139559</v>
      </c>
      <c r="G8" s="20">
        <v>1.1698513126865456E-4</v>
      </c>
      <c r="H8" s="20">
        <v>0</v>
      </c>
      <c r="I8" s="20">
        <v>0.22969127966408101</v>
      </c>
      <c r="J8" s="20">
        <v>7.2670364553582096E-4</v>
      </c>
      <c r="K8" s="20">
        <v>1.4669897771880968E-4</v>
      </c>
      <c r="L8" s="20">
        <v>0</v>
      </c>
    </row>
    <row r="9" spans="1:14">
      <c r="A9" s="2" t="s">
        <v>291</v>
      </c>
      <c r="B9" s="3" t="s">
        <v>292</v>
      </c>
      <c r="D9" s="20">
        <v>3.752235909705706E-13</v>
      </c>
      <c r="E9" s="20">
        <v>0.99906367527532791</v>
      </c>
      <c r="F9" s="20">
        <v>0.38499511608712012</v>
      </c>
      <c r="G9" s="20">
        <v>1.4592414884907984E-4</v>
      </c>
      <c r="H9" s="20">
        <v>0</v>
      </c>
      <c r="I9" s="20">
        <v>0.61392263503935873</v>
      </c>
      <c r="J9" s="20">
        <v>5.7556039534772941E-4</v>
      </c>
      <c r="K9" s="20">
        <v>3.6076432894904451E-4</v>
      </c>
      <c r="L9" s="20">
        <v>0</v>
      </c>
    </row>
    <row r="10" spans="1:14">
      <c r="A10" s="2" t="s">
        <v>367</v>
      </c>
      <c r="B10" s="3" t="s">
        <v>368</v>
      </c>
      <c r="D10" s="20">
        <v>1.1987818130633533E-5</v>
      </c>
      <c r="E10" s="20">
        <v>0.94202525399553316</v>
      </c>
      <c r="F10" s="20">
        <v>0.79260869061804917</v>
      </c>
      <c r="G10" s="20">
        <v>0.13843770316354509</v>
      </c>
      <c r="H10" s="20">
        <v>0</v>
      </c>
      <c r="I10" s="20">
        <v>1.0978860213938898E-2</v>
      </c>
      <c r="J10" s="20">
        <v>8.5372883968852301E-3</v>
      </c>
      <c r="K10" s="20">
        <v>4.9425469789451074E-2</v>
      </c>
      <c r="L10" s="20">
        <v>0</v>
      </c>
    </row>
    <row r="11" spans="1:14">
      <c r="A11" s="2" t="s">
        <v>369</v>
      </c>
      <c r="B11" s="3" t="s">
        <v>370</v>
      </c>
      <c r="D11" s="20">
        <v>4.5045418810873025E-12</v>
      </c>
      <c r="E11" s="20">
        <v>0.93998203085426457</v>
      </c>
      <c r="F11" s="20">
        <v>0.54280231229135179</v>
      </c>
      <c r="G11" s="20">
        <v>0.39658479644586181</v>
      </c>
      <c r="H11" s="20">
        <v>0</v>
      </c>
      <c r="I11" s="20">
        <v>5.9492211705096084E-4</v>
      </c>
      <c r="J11" s="20">
        <v>5.2742977783935878E-2</v>
      </c>
      <c r="K11" s="20">
        <v>7.2749913572948636E-3</v>
      </c>
      <c r="L11" s="20">
        <v>0</v>
      </c>
    </row>
    <row r="12" spans="1:14">
      <c r="A12" s="2" t="s">
        <v>371</v>
      </c>
      <c r="B12" s="3" t="s">
        <v>372</v>
      </c>
      <c r="D12" s="20">
        <v>5.9416448348547028E-2</v>
      </c>
      <c r="E12" s="20">
        <v>0.93845778522065559</v>
      </c>
      <c r="F12" s="20">
        <v>2.6378296536263576E-5</v>
      </c>
      <c r="G12" s="20">
        <v>1.3074788161020361E-5</v>
      </c>
      <c r="H12" s="20">
        <v>0</v>
      </c>
      <c r="I12" s="20">
        <v>0.93841833213595827</v>
      </c>
      <c r="J12" s="20">
        <v>3.2137364591199757E-4</v>
      </c>
      <c r="K12" s="20">
        <v>1.8043927848853758E-3</v>
      </c>
      <c r="L12" s="20">
        <v>0</v>
      </c>
    </row>
    <row r="13" spans="1:14">
      <c r="A13" s="2" t="s">
        <v>293</v>
      </c>
      <c r="B13" s="3" t="s">
        <v>294</v>
      </c>
      <c r="D13" s="20">
        <v>1.64347870480825E-8</v>
      </c>
      <c r="E13" s="20">
        <v>0.84551406711033195</v>
      </c>
      <c r="F13" s="20">
        <v>0.16950509837544153</v>
      </c>
      <c r="G13" s="20">
        <v>4.3478877249596468E-2</v>
      </c>
      <c r="H13" s="20">
        <v>0</v>
      </c>
      <c r="I13" s="20">
        <v>0.63253009148529393</v>
      </c>
      <c r="J13" s="20">
        <v>2.7897025777146485E-3</v>
      </c>
      <c r="K13" s="20">
        <v>0.15169621387716639</v>
      </c>
      <c r="L13" s="20">
        <v>0</v>
      </c>
    </row>
    <row r="14" spans="1:14">
      <c r="A14" s="2" t="s">
        <v>373</v>
      </c>
      <c r="B14" s="3" t="s">
        <v>374</v>
      </c>
      <c r="D14" s="20">
        <v>6.6666280147325664E-8</v>
      </c>
      <c r="E14" s="20">
        <v>0.99810326656431192</v>
      </c>
      <c r="F14" s="20">
        <v>0.98775771922504252</v>
      </c>
      <c r="G14" s="20">
        <v>1.547448066397392E-3</v>
      </c>
      <c r="H14" s="20">
        <v>0</v>
      </c>
      <c r="I14" s="20">
        <v>8.7980992728719613E-3</v>
      </c>
      <c r="J14" s="20">
        <v>1.5671234564783039E-3</v>
      </c>
      <c r="K14" s="20">
        <v>3.2954331292959523E-4</v>
      </c>
      <c r="L14" s="20">
        <v>0</v>
      </c>
    </row>
    <row r="15" spans="1:14">
      <c r="A15" s="2" t="s">
        <v>375</v>
      </c>
      <c r="B15" s="3" t="s">
        <v>376</v>
      </c>
      <c r="D15" s="20">
        <v>7.2938508397552101E-2</v>
      </c>
      <c r="E15" s="20">
        <v>0.86726971212144377</v>
      </c>
      <c r="F15" s="20">
        <v>2.1437570321549301E-2</v>
      </c>
      <c r="G15" s="20">
        <v>6.5383944516048268E-3</v>
      </c>
      <c r="H15" s="20">
        <v>0</v>
      </c>
      <c r="I15" s="20">
        <v>0.83929374734828965</v>
      </c>
      <c r="J15" s="20">
        <v>6.6727171400754448E-4</v>
      </c>
      <c r="K15" s="20">
        <v>5.9124507766996529E-2</v>
      </c>
      <c r="L15" s="20">
        <v>0</v>
      </c>
    </row>
    <row r="16" spans="1:14">
      <c r="A16" s="2" t="s">
        <v>377</v>
      </c>
      <c r="B16" s="3" t="s">
        <v>378</v>
      </c>
      <c r="D16" s="20">
        <v>6.2979109115188041E-4</v>
      </c>
      <c r="E16" s="20">
        <v>0.83805217978236346</v>
      </c>
      <c r="F16" s="20">
        <v>0.19454281567326445</v>
      </c>
      <c r="G16" s="20">
        <v>4.9171193823942985E-2</v>
      </c>
      <c r="H16" s="20">
        <v>0</v>
      </c>
      <c r="I16" s="20">
        <v>0.59433817028515601</v>
      </c>
      <c r="J16" s="20">
        <v>3.117776254837027E-3</v>
      </c>
      <c r="K16" s="20">
        <v>0.1582002528716478</v>
      </c>
      <c r="L16" s="20">
        <v>0</v>
      </c>
    </row>
    <row r="17" spans="1:12">
      <c r="A17" s="2" t="s">
        <v>379</v>
      </c>
      <c r="B17" s="3" t="s">
        <v>380</v>
      </c>
      <c r="D17" s="20">
        <v>1.8855226682269785E-3</v>
      </c>
      <c r="E17" s="20">
        <v>0.84123702711927106</v>
      </c>
      <c r="F17" s="20">
        <v>0.1783406898735754</v>
      </c>
      <c r="G17" s="20">
        <v>4.5493148818209726E-2</v>
      </c>
      <c r="H17" s="20">
        <v>0</v>
      </c>
      <c r="I17" s="20">
        <v>0.61740318842748598</v>
      </c>
      <c r="J17" s="20">
        <v>2.905213610515493E-3</v>
      </c>
      <c r="K17" s="20">
        <v>0.15397223660198658</v>
      </c>
      <c r="L17" s="20">
        <v>0</v>
      </c>
    </row>
    <row r="18" spans="1:12">
      <c r="A18" s="2" t="s">
        <v>381</v>
      </c>
      <c r="B18" s="3" t="s">
        <v>382</v>
      </c>
      <c r="D18" s="20">
        <v>3.3521872160053684E-8</v>
      </c>
      <c r="E18" s="20">
        <v>0.92168521354106014</v>
      </c>
      <c r="F18" s="20">
        <v>0.24828298028012236</v>
      </c>
      <c r="G18" s="20">
        <v>0.67273264878600314</v>
      </c>
      <c r="H18" s="20">
        <v>0</v>
      </c>
      <c r="I18" s="20">
        <v>6.6958447493466438E-4</v>
      </c>
      <c r="J18" s="20">
        <v>4.2919996681619013E-2</v>
      </c>
      <c r="K18" s="20">
        <v>3.5394756255448835E-2</v>
      </c>
      <c r="L18" s="20">
        <v>0</v>
      </c>
    </row>
    <row r="19" spans="1:12">
      <c r="A19" s="2" t="s">
        <v>383</v>
      </c>
      <c r="B19" s="3" t="s">
        <v>384</v>
      </c>
      <c r="D19" s="20">
        <v>9.6026430804812355E-3</v>
      </c>
      <c r="E19" s="20">
        <v>0.95606165408189914</v>
      </c>
      <c r="F19" s="20">
        <v>6.5918827088513651E-3</v>
      </c>
      <c r="G19" s="20">
        <v>2.2126107934264281E-3</v>
      </c>
      <c r="H19" s="20">
        <v>0</v>
      </c>
      <c r="I19" s="20">
        <v>0.94725716057962139</v>
      </c>
      <c r="J19" s="20">
        <v>4.5117429971682833E-4</v>
      </c>
      <c r="K19" s="20">
        <v>3.3884528537902511E-2</v>
      </c>
      <c r="L19" s="20">
        <v>0</v>
      </c>
    </row>
    <row r="20" spans="1:12">
      <c r="A20" s="2" t="s">
        <v>385</v>
      </c>
      <c r="B20" s="3" t="s">
        <v>386</v>
      </c>
      <c r="D20" s="20">
        <v>1.8244771070267108E-2</v>
      </c>
      <c r="E20" s="20">
        <v>0.93564157484946586</v>
      </c>
      <c r="F20" s="20">
        <v>1.1960713912830762E-2</v>
      </c>
      <c r="G20" s="20">
        <v>3.8340048509391675E-3</v>
      </c>
      <c r="H20" s="20">
        <v>0</v>
      </c>
      <c r="I20" s="20">
        <v>0.91984685608569594</v>
      </c>
      <c r="J20" s="20">
        <v>5.3630320653222764E-4</v>
      </c>
      <c r="K20" s="20">
        <v>4.5577350873734698E-2</v>
      </c>
      <c r="L20" s="20">
        <v>0</v>
      </c>
    </row>
    <row r="21" spans="1:12">
      <c r="A21" s="2" t="s">
        <v>387</v>
      </c>
      <c r="B21" s="3" t="s">
        <v>388</v>
      </c>
      <c r="D21" s="20">
        <v>1.5063017977601377E-3</v>
      </c>
      <c r="E21" s="20">
        <v>0.96583033126084517</v>
      </c>
      <c r="F21" s="20">
        <v>0.82234389468895019</v>
      </c>
      <c r="G21" s="20">
        <v>3.318735451572493E-2</v>
      </c>
      <c r="H21" s="20">
        <v>0</v>
      </c>
      <c r="I21" s="20">
        <v>0.11029908205617002</v>
      </c>
      <c r="J21" s="20">
        <v>2.5701195553392855E-3</v>
      </c>
      <c r="K21" s="20">
        <v>3.00932473860554E-2</v>
      </c>
      <c r="L21" s="20">
        <v>0</v>
      </c>
    </row>
    <row r="22" spans="1:12">
      <c r="A22" s="2" t="s">
        <v>295</v>
      </c>
      <c r="B22" s="3" t="s">
        <v>296</v>
      </c>
      <c r="D22" s="20">
        <v>5.2635684643564967E-2</v>
      </c>
      <c r="E22" s="20">
        <v>0.93413766332411396</v>
      </c>
      <c r="F22" s="20">
        <v>1.045921187212661E-3</v>
      </c>
      <c r="G22" s="20">
        <v>4.0160075070438668E-4</v>
      </c>
      <c r="H22" s="20">
        <v>0</v>
      </c>
      <c r="I22" s="20">
        <v>0.93269014138619688</v>
      </c>
      <c r="J22" s="20">
        <v>3.4145877429701555E-4</v>
      </c>
      <c r="K22" s="20">
        <v>1.2885193258024077E-2</v>
      </c>
      <c r="L22" s="20">
        <v>0</v>
      </c>
    </row>
    <row r="23" spans="1:12">
      <c r="A23" s="2" t="s">
        <v>389</v>
      </c>
      <c r="B23" s="3" t="s">
        <v>390</v>
      </c>
      <c r="D23" s="20">
        <v>6.0248246363850524E-2</v>
      </c>
      <c r="E23" s="20">
        <v>0.86063914813459463</v>
      </c>
      <c r="F23" s="20">
        <v>3.778879946774065E-2</v>
      </c>
      <c r="G23" s="20">
        <v>1.1027032388383862E-2</v>
      </c>
      <c r="H23" s="20">
        <v>0</v>
      </c>
      <c r="I23" s="20">
        <v>0.81182331627847015</v>
      </c>
      <c r="J23" s="20">
        <v>9.21910948047923E-4</v>
      </c>
      <c r="K23" s="20">
        <v>7.8190694553506856E-2</v>
      </c>
      <c r="L23" s="20">
        <v>0</v>
      </c>
    </row>
    <row r="24" spans="1:12">
      <c r="A24" s="2" t="s">
        <v>391</v>
      </c>
      <c r="B24" s="3" t="s">
        <v>392</v>
      </c>
      <c r="D24" s="20">
        <v>1.888081352110605E-3</v>
      </c>
      <c r="E24" s="20">
        <v>0.82164751673104908</v>
      </c>
      <c r="F24" s="20">
        <v>0.28565339314278582</v>
      </c>
      <c r="G24" s="20">
        <v>6.8950106699651334E-2</v>
      </c>
      <c r="H24" s="20">
        <v>0</v>
      </c>
      <c r="I24" s="20">
        <v>0.46704401688861191</v>
      </c>
      <c r="J24" s="20">
        <v>4.2651092057580725E-3</v>
      </c>
      <c r="K24" s="20">
        <v>0.17219929271108217</v>
      </c>
      <c r="L24" s="20">
        <v>0</v>
      </c>
    </row>
    <row r="25" spans="1:12">
      <c r="A25" s="2" t="s">
        <v>393</v>
      </c>
      <c r="B25" s="3" t="s">
        <v>394</v>
      </c>
      <c r="D25" s="20">
        <v>1.5534147734895355E-4</v>
      </c>
      <c r="E25" s="20">
        <v>0.92101721098871603</v>
      </c>
      <c r="F25" s="20">
        <v>0.29806165971961868</v>
      </c>
      <c r="G25" s="20">
        <v>0.62201616427917172</v>
      </c>
      <c r="H25" s="20">
        <v>0</v>
      </c>
      <c r="I25" s="20">
        <v>9.3938698992567231E-4</v>
      </c>
      <c r="J25" s="20">
        <v>3.9554084552437349E-2</v>
      </c>
      <c r="K25" s="20">
        <v>3.92733629814975E-2</v>
      </c>
      <c r="L25" s="20">
        <v>0</v>
      </c>
    </row>
    <row r="26" spans="1:12">
      <c r="A26" s="2" t="s">
        <v>395</v>
      </c>
      <c r="B26" s="3" t="s">
        <v>396</v>
      </c>
      <c r="D26" s="20">
        <v>0.12588404677036596</v>
      </c>
      <c r="E26" s="20">
        <v>0.73261634561142208</v>
      </c>
      <c r="F26" s="20">
        <v>0.46621836818667589</v>
      </c>
      <c r="G26" s="20">
        <v>0.10057381756782015</v>
      </c>
      <c r="H26" s="20">
        <v>0</v>
      </c>
      <c r="I26" s="20">
        <v>0.165824159856926</v>
      </c>
      <c r="J26" s="20">
        <v>6.1112387242104474E-3</v>
      </c>
      <c r="K26" s="20">
        <v>0.13538836889400158</v>
      </c>
      <c r="L26" s="20">
        <v>0</v>
      </c>
    </row>
    <row r="27" spans="1:12">
      <c r="A27" s="2" t="s">
        <v>397</v>
      </c>
      <c r="B27" s="3" t="s">
        <v>398</v>
      </c>
      <c r="D27" s="20">
        <v>0.57007032606083508</v>
      </c>
      <c r="E27" s="20">
        <v>0.38708760152724764</v>
      </c>
      <c r="F27" s="20">
        <v>0.30884965427428063</v>
      </c>
      <c r="G27" s="20">
        <v>5.8673591775523268E-2</v>
      </c>
      <c r="H27" s="20">
        <v>0</v>
      </c>
      <c r="I27" s="20">
        <v>1.9564355477443739E-2</v>
      </c>
      <c r="J27" s="20">
        <v>3.5830848406074212E-3</v>
      </c>
      <c r="K27" s="20">
        <v>3.9258987571309911E-2</v>
      </c>
      <c r="L27" s="20">
        <v>0</v>
      </c>
    </row>
    <row r="28" spans="1:12">
      <c r="A28" s="2" t="s">
        <v>399</v>
      </c>
      <c r="B28" s="3" t="s">
        <v>400</v>
      </c>
      <c r="D28" s="20">
        <v>0.75261796236073908</v>
      </c>
      <c r="E28" s="20">
        <v>0.20998908710182643</v>
      </c>
      <c r="F28" s="20">
        <v>0.14308472182342433</v>
      </c>
      <c r="G28" s="20">
        <v>3.0136222862334399E-2</v>
      </c>
      <c r="H28" s="20">
        <v>0</v>
      </c>
      <c r="I28" s="20">
        <v>3.6768142416067698E-2</v>
      </c>
      <c r="J28" s="20">
        <v>1.8310273457823891E-3</v>
      </c>
      <c r="K28" s="20">
        <v>3.5561923191652065E-2</v>
      </c>
      <c r="L28" s="20">
        <v>0</v>
      </c>
    </row>
    <row r="29" spans="1:12">
      <c r="A29" s="2" t="s">
        <v>297</v>
      </c>
      <c r="B29" s="3" t="s">
        <v>298</v>
      </c>
      <c r="D29" s="20">
        <v>0.91902624485642315</v>
      </c>
      <c r="E29" s="20">
        <v>7.6689408804017464E-2</v>
      </c>
      <c r="F29" s="20">
        <v>1.2529870952382443E-3</v>
      </c>
      <c r="G29" s="20">
        <v>3.943139606514253E-4</v>
      </c>
      <c r="H29" s="20">
        <v>0</v>
      </c>
      <c r="I29" s="20">
        <v>7.5042107748127793E-2</v>
      </c>
      <c r="J29" s="20">
        <v>4.8515829084468253E-5</v>
      </c>
      <c r="K29" s="20">
        <v>4.2358305104749829E-3</v>
      </c>
      <c r="L29" s="20">
        <v>0</v>
      </c>
    </row>
    <row r="30" spans="1:12">
      <c r="A30" s="2" t="s">
        <v>401</v>
      </c>
      <c r="B30" s="3" t="s">
        <v>402</v>
      </c>
      <c r="D30" s="20">
        <v>0.90282515311196521</v>
      </c>
      <c r="E30" s="20">
        <v>8.2233807495256689E-2</v>
      </c>
      <c r="F30" s="20">
        <v>5.523601444660891E-2</v>
      </c>
      <c r="G30" s="20">
        <v>1.1698168965054729E-2</v>
      </c>
      <c r="H30" s="20">
        <v>0</v>
      </c>
      <c r="I30" s="20">
        <v>1.5299624083593052E-2</v>
      </c>
      <c r="J30" s="20">
        <v>7.1073104561186426E-4</v>
      </c>
      <c r="K30" s="20">
        <v>1.4230308347166192E-2</v>
      </c>
      <c r="L30" s="20">
        <v>0</v>
      </c>
    </row>
    <row r="31" spans="1:12">
      <c r="A31" s="2" t="s">
        <v>299</v>
      </c>
      <c r="B31" s="3" t="s">
        <v>300</v>
      </c>
      <c r="D31" s="20">
        <v>0.99794805055754243</v>
      </c>
      <c r="E31" s="20">
        <v>1.6911943569127897E-3</v>
      </c>
      <c r="F31" s="20">
        <v>9.1059784555258452E-4</v>
      </c>
      <c r="G31" s="20">
        <v>2.0493784910317452E-4</v>
      </c>
      <c r="H31" s="20">
        <v>0</v>
      </c>
      <c r="I31" s="20">
        <v>5.7565866225703062E-4</v>
      </c>
      <c r="J31" s="20">
        <v>1.2483057777577348E-5</v>
      </c>
      <c r="K31" s="20">
        <v>3.4827202776740876E-4</v>
      </c>
      <c r="L31" s="20">
        <v>0</v>
      </c>
    </row>
    <row r="32" spans="1:12">
      <c r="A32" s="2" t="s">
        <v>343</v>
      </c>
      <c r="B32" s="3" t="s">
        <v>344</v>
      </c>
      <c r="D32" s="20">
        <v>1.8244290543046446E-3</v>
      </c>
      <c r="E32" s="20">
        <v>0.8525338339821289</v>
      </c>
      <c r="F32" s="20">
        <v>0.14366324244957848</v>
      </c>
      <c r="G32" s="20">
        <v>3.746633564960037E-2</v>
      </c>
      <c r="H32" s="20">
        <v>0</v>
      </c>
      <c r="I32" s="20">
        <v>0.67140425588295005</v>
      </c>
      <c r="J32" s="20">
        <v>2.4435101521897997E-3</v>
      </c>
      <c r="K32" s="20">
        <v>0.14319822681137692</v>
      </c>
      <c r="L32" s="20">
        <v>0</v>
      </c>
    </row>
    <row r="33" spans="1:12">
      <c r="A33" s="2" t="s">
        <v>345</v>
      </c>
      <c r="B33" s="3" t="s">
        <v>346</v>
      </c>
      <c r="D33" s="20">
        <v>7.4252986328899773E-5</v>
      </c>
      <c r="E33" s="20">
        <v>0.8945510474303302</v>
      </c>
      <c r="F33" s="20">
        <v>6.5423324519150339E-2</v>
      </c>
      <c r="G33" s="20">
        <v>1.8332773154517062E-2</v>
      </c>
      <c r="H33" s="20">
        <v>0</v>
      </c>
      <c r="I33" s="20">
        <v>0.81079494975666278</v>
      </c>
      <c r="J33" s="20">
        <v>1.3528467030343562E-3</v>
      </c>
      <c r="K33" s="20">
        <v>0.10402185288030646</v>
      </c>
      <c r="L33" s="20">
        <v>0</v>
      </c>
    </row>
    <row r="34" spans="1:12">
      <c r="A34" s="2" t="s">
        <v>347</v>
      </c>
      <c r="B34" s="3" t="s">
        <v>348</v>
      </c>
      <c r="D34" s="20">
        <v>6.8333905998354923E-5</v>
      </c>
      <c r="E34" s="20">
        <v>0.83369811587628273</v>
      </c>
      <c r="F34" s="20">
        <v>0.51104004208812126</v>
      </c>
      <c r="G34" s="20">
        <v>0.11146807101162341</v>
      </c>
      <c r="H34" s="20">
        <v>0</v>
      </c>
      <c r="I34" s="20">
        <v>0.2111900027765381</v>
      </c>
      <c r="J34" s="20">
        <v>6.7753322437838917E-3</v>
      </c>
      <c r="K34" s="20">
        <v>0.15945821797393511</v>
      </c>
      <c r="L34" s="20">
        <v>0</v>
      </c>
    </row>
    <row r="35" spans="1:12">
      <c r="A35" s="2" t="s">
        <v>349</v>
      </c>
      <c r="B35" s="3" t="s">
        <v>350</v>
      </c>
      <c r="D35" s="20">
        <v>1.1225006335281463E-2</v>
      </c>
      <c r="E35" s="20">
        <v>0.91342960396937123</v>
      </c>
      <c r="F35" s="20">
        <v>0.75510140630781231</v>
      </c>
      <c r="G35" s="20">
        <v>0.13573780890265086</v>
      </c>
      <c r="H35" s="20">
        <v>0</v>
      </c>
      <c r="I35" s="20">
        <v>2.2590388758908033E-2</v>
      </c>
      <c r="J35" s="20">
        <v>8.3264958925975182E-3</v>
      </c>
      <c r="K35" s="20">
        <v>6.7018893802749849E-2</v>
      </c>
      <c r="L35" s="20">
        <v>0</v>
      </c>
    </row>
    <row r="36" spans="1:12">
      <c r="A36" s="2" t="s">
        <v>351</v>
      </c>
      <c r="B36" s="3" t="s">
        <v>352</v>
      </c>
      <c r="D36" s="20">
        <v>2.968270443234125E-4</v>
      </c>
      <c r="E36" s="20">
        <v>0.92866315921257625</v>
      </c>
      <c r="F36" s="20">
        <v>0.63200738333966544</v>
      </c>
      <c r="G36" s="20">
        <v>0.29175459672008802</v>
      </c>
      <c r="H36" s="20">
        <v>0</v>
      </c>
      <c r="I36" s="20">
        <v>4.9011791528227799E-3</v>
      </c>
      <c r="J36" s="20">
        <v>1.8205936353543183E-2</v>
      </c>
      <c r="K36" s="20">
        <v>5.283407738955706E-2</v>
      </c>
      <c r="L36" s="20">
        <v>0</v>
      </c>
    </row>
    <row r="37" spans="1:12">
      <c r="A37" s="2" t="s">
        <v>353</v>
      </c>
      <c r="B37" s="3" t="s">
        <v>354</v>
      </c>
      <c r="D37" s="20">
        <v>1.9752913412097992E-3</v>
      </c>
      <c r="E37" s="20">
        <v>0.91967897656772224</v>
      </c>
      <c r="F37" s="20">
        <v>0.26106571702254411</v>
      </c>
      <c r="G37" s="20">
        <v>0.65787805485323447</v>
      </c>
      <c r="H37" s="20">
        <v>0</v>
      </c>
      <c r="I37" s="20">
        <v>7.3520469194368447E-4</v>
      </c>
      <c r="J37" s="20">
        <v>4.1933959608114357E-2</v>
      </c>
      <c r="K37" s="20">
        <v>3.6411772482953554E-2</v>
      </c>
      <c r="L37" s="20">
        <v>0</v>
      </c>
    </row>
    <row r="38" spans="1:12">
      <c r="A38" s="2" t="s">
        <v>355</v>
      </c>
      <c r="B38" s="3" t="s">
        <v>356</v>
      </c>
      <c r="D38" s="20">
        <v>1.1054133090398124E-4</v>
      </c>
      <c r="E38" s="20">
        <v>0.92329205170456941</v>
      </c>
      <c r="F38" s="20">
        <v>0.49790142982858604</v>
      </c>
      <c r="G38" s="20">
        <v>0.42270650267316812</v>
      </c>
      <c r="H38" s="20">
        <v>0</v>
      </c>
      <c r="I38" s="20">
        <v>2.6841192028152368E-3</v>
      </c>
      <c r="J38" s="20">
        <v>2.6578367269834306E-2</v>
      </c>
      <c r="K38" s="20">
        <v>5.0019039694692305E-2</v>
      </c>
      <c r="L38" s="20">
        <v>0</v>
      </c>
    </row>
    <row r="39" spans="1:12">
      <c r="A39" s="2" t="s">
        <v>357</v>
      </c>
      <c r="B39" s="3" t="s">
        <v>358</v>
      </c>
      <c r="D39" s="20">
        <v>2.2515255812022395E-2</v>
      </c>
      <c r="E39" s="20">
        <v>0.90618392382414426</v>
      </c>
      <c r="F39" s="20">
        <v>0.58223132833601698</v>
      </c>
      <c r="G39" s="20">
        <v>0.31988297420720629</v>
      </c>
      <c r="H39" s="20">
        <v>0</v>
      </c>
      <c r="I39" s="20">
        <v>4.0696212809209487E-3</v>
      </c>
      <c r="J39" s="20">
        <v>2.0004342545701118E-2</v>
      </c>
      <c r="K39" s="20">
        <v>5.1296477818132361E-2</v>
      </c>
      <c r="L39" s="20">
        <v>0</v>
      </c>
    </row>
    <row r="40" spans="1:12">
      <c r="A40" s="2" t="s">
        <v>359</v>
      </c>
      <c r="B40" s="3" t="s">
        <v>360</v>
      </c>
      <c r="D40" s="20">
        <v>1.1054133090398124E-4</v>
      </c>
      <c r="E40" s="20">
        <v>0.92329205170456941</v>
      </c>
      <c r="F40" s="20">
        <v>0.49790142982858604</v>
      </c>
      <c r="G40" s="20">
        <v>0.42270650267316812</v>
      </c>
      <c r="H40" s="20">
        <v>0</v>
      </c>
      <c r="I40" s="20">
        <v>2.6841192028152368E-3</v>
      </c>
      <c r="J40" s="20">
        <v>2.6578367269834306E-2</v>
      </c>
      <c r="K40" s="20">
        <v>5.0019039694692305E-2</v>
      </c>
      <c r="L40" s="20">
        <v>0</v>
      </c>
    </row>
    <row r="41" spans="1:12">
      <c r="A41" s="2" t="s">
        <v>313</v>
      </c>
      <c r="B41" s="3" t="s">
        <v>314</v>
      </c>
      <c r="D41" s="20">
        <v>4.3639120105479719E-8</v>
      </c>
      <c r="E41" s="20">
        <v>0.99954748456508347</v>
      </c>
      <c r="F41" s="20">
        <v>4.5531533542097109E-2</v>
      </c>
      <c r="G41" s="20">
        <v>1.0835097603029243E-5</v>
      </c>
      <c r="H41" s="20">
        <v>0</v>
      </c>
      <c r="I41" s="20">
        <v>0.95400511592538328</v>
      </c>
      <c r="J41" s="20">
        <v>3.7641653698599947E-4</v>
      </c>
      <c r="K41" s="20">
        <v>7.6055258810234897E-5</v>
      </c>
      <c r="L41" s="20">
        <v>0</v>
      </c>
    </row>
    <row r="42" spans="1:12">
      <c r="A42" s="2" t="s">
        <v>315</v>
      </c>
      <c r="B42" s="3" t="s">
        <v>316</v>
      </c>
      <c r="D42" s="20">
        <v>2.8450567041284837E-3</v>
      </c>
      <c r="E42" s="20">
        <v>0.91906299765389121</v>
      </c>
      <c r="F42" s="20">
        <v>0.24757660942178686</v>
      </c>
      <c r="G42" s="20">
        <v>0.67081870874058724</v>
      </c>
      <c r="H42" s="20">
        <v>0</v>
      </c>
      <c r="I42" s="20">
        <v>6.6767949151713766E-4</v>
      </c>
      <c r="J42" s="20">
        <v>4.2797888291984144E-2</v>
      </c>
      <c r="K42" s="20">
        <v>3.5294057349996147E-2</v>
      </c>
      <c r="L42" s="20">
        <v>0</v>
      </c>
    </row>
    <row r="43" spans="1:12">
      <c r="A43" s="2" t="s">
        <v>317</v>
      </c>
      <c r="B43" s="3" t="s">
        <v>318</v>
      </c>
      <c r="D43" s="20">
        <v>4.2393460595525356E-12</v>
      </c>
      <c r="E43" s="20">
        <v>0.82128946945289238</v>
      </c>
      <c r="F43" s="20">
        <v>0.31039702775616912</v>
      </c>
      <c r="G43" s="20">
        <v>7.4099130067095523E-2</v>
      </c>
      <c r="H43" s="20">
        <v>0</v>
      </c>
      <c r="I43" s="20">
        <v>0.4367933116296277</v>
      </c>
      <c r="J43" s="20">
        <v>4.5661238260900202E-3</v>
      </c>
      <c r="K43" s="20">
        <v>0.17414440671677833</v>
      </c>
      <c r="L43" s="20">
        <v>0</v>
      </c>
    </row>
    <row r="44" spans="1:12">
      <c r="A44" s="2" t="s">
        <v>307</v>
      </c>
      <c r="B44" s="3" t="s">
        <v>308</v>
      </c>
      <c r="D44" s="20">
        <v>9.9260477050178055E-5</v>
      </c>
      <c r="E44" s="20">
        <v>0.93472054406187421</v>
      </c>
      <c r="F44" s="20">
        <v>0.71877844098733079</v>
      </c>
      <c r="G44" s="20">
        <v>0.20858861371909052</v>
      </c>
      <c r="H44" s="20">
        <v>0</v>
      </c>
      <c r="I44" s="20">
        <v>7.3534893554528594E-3</v>
      </c>
      <c r="J44" s="20">
        <v>1.2942138030432386E-2</v>
      </c>
      <c r="K44" s="20">
        <v>5.2238057430643352E-2</v>
      </c>
      <c r="L44" s="20">
        <v>0</v>
      </c>
    </row>
    <row r="45" spans="1:12">
      <c r="A45" s="2" t="s">
        <v>319</v>
      </c>
      <c r="B45" s="3" t="s">
        <v>320</v>
      </c>
      <c r="D45" s="20">
        <v>9.1735014227529418E-6</v>
      </c>
      <c r="E45" s="20">
        <v>0.9240063852343281</v>
      </c>
      <c r="F45" s="20">
        <v>0.15626215774559402</v>
      </c>
      <c r="G45" s="20">
        <v>0.76744873105583344</v>
      </c>
      <c r="H45" s="20">
        <v>0</v>
      </c>
      <c r="I45" s="20">
        <v>2.954964329006162E-4</v>
      </c>
      <c r="J45" s="20">
        <v>4.9331460057702649E-2</v>
      </c>
      <c r="K45" s="20">
        <v>2.6652981206546501E-2</v>
      </c>
      <c r="L45" s="20">
        <v>0</v>
      </c>
    </row>
    <row r="46" spans="1:12">
      <c r="A46" s="2" t="s">
        <v>321</v>
      </c>
      <c r="B46" s="3" t="s">
        <v>322</v>
      </c>
      <c r="D46" s="20">
        <v>1.3656812605293155E-5</v>
      </c>
      <c r="E46" s="20">
        <v>0.92193154995103366</v>
      </c>
      <c r="F46" s="20">
        <v>0.23289922024650481</v>
      </c>
      <c r="G46" s="20">
        <v>0.68843602743787802</v>
      </c>
      <c r="H46" s="20">
        <v>0</v>
      </c>
      <c r="I46" s="20">
        <v>5.9630226665085141E-4</v>
      </c>
      <c r="J46" s="20">
        <v>4.3970051268285404E-2</v>
      </c>
      <c r="K46" s="20">
        <v>3.4084741968075698E-2</v>
      </c>
      <c r="L46" s="20">
        <v>0</v>
      </c>
    </row>
    <row r="47" spans="1:12">
      <c r="A47" s="2" t="s">
        <v>323</v>
      </c>
      <c r="B47" s="3" t="s">
        <v>324</v>
      </c>
      <c r="D47" s="20">
        <v>1.3065973928858349E-4</v>
      </c>
      <c r="E47" s="20">
        <v>0.92100391443433649</v>
      </c>
      <c r="F47" s="20">
        <v>0.35905458063248402</v>
      </c>
      <c r="G47" s="20">
        <v>0.56060378672442501</v>
      </c>
      <c r="H47" s="20">
        <v>0</v>
      </c>
      <c r="I47" s="20">
        <v>1.3455470774274899E-3</v>
      </c>
      <c r="J47" s="20">
        <v>3.5519084377717371E-2</v>
      </c>
      <c r="K47" s="20">
        <v>4.334634144865758E-2</v>
      </c>
      <c r="L47" s="20">
        <v>0</v>
      </c>
    </row>
    <row r="48" spans="1:12">
      <c r="A48" s="2" t="s">
        <v>325</v>
      </c>
      <c r="B48" s="3" t="s">
        <v>326</v>
      </c>
      <c r="D48" s="20">
        <v>9.0072009082009736E-5</v>
      </c>
      <c r="E48" s="20">
        <v>0.88414833505759316</v>
      </c>
      <c r="F48" s="20">
        <v>0.68235210276953073</v>
      </c>
      <c r="G48" s="20">
        <v>0.13399978131396761</v>
      </c>
      <c r="H48" s="20">
        <v>0</v>
      </c>
      <c r="I48" s="20">
        <v>6.7796450974094855E-2</v>
      </c>
      <c r="J48" s="20">
        <v>8.1645067778137667E-3</v>
      </c>
      <c r="K48" s="20">
        <v>0.10759708615551108</v>
      </c>
      <c r="L48" s="20">
        <v>0</v>
      </c>
    </row>
    <row r="49" spans="1:12">
      <c r="A49" s="2" t="s">
        <v>275</v>
      </c>
      <c r="B49" s="3" t="s">
        <v>276</v>
      </c>
      <c r="D49" s="20">
        <v>1.2750191305829759E-6</v>
      </c>
      <c r="E49" s="20">
        <v>0.93363610230503813</v>
      </c>
      <c r="F49" s="20">
        <v>0.70393958104344312</v>
      </c>
      <c r="G49" s="20">
        <v>0.22285939167956212</v>
      </c>
      <c r="H49" s="20">
        <v>0</v>
      </c>
      <c r="I49" s="20">
        <v>6.8371295820328915E-3</v>
      </c>
      <c r="J49" s="20">
        <v>1.3842302926785689E-2</v>
      </c>
      <c r="K49" s="20">
        <v>5.2520319749045599E-2</v>
      </c>
      <c r="L49" s="20">
        <v>0</v>
      </c>
    </row>
    <row r="50" spans="1:12">
      <c r="A50" s="2" t="s">
        <v>327</v>
      </c>
      <c r="B50" s="3" t="s">
        <v>328</v>
      </c>
      <c r="D50" s="20">
        <v>6.637006700199773E-5</v>
      </c>
      <c r="E50" s="20">
        <v>0.93168297726677807</v>
      </c>
      <c r="F50" s="20">
        <v>0.67762737179835553</v>
      </c>
      <c r="G50" s="20">
        <v>0.24801988155449081</v>
      </c>
      <c r="H50" s="20">
        <v>0</v>
      </c>
      <c r="I50" s="20">
        <v>6.0357239139317278E-3</v>
      </c>
      <c r="J50" s="20">
        <v>1.5432535396439314E-2</v>
      </c>
      <c r="K50" s="20">
        <v>5.2818117269780605E-2</v>
      </c>
      <c r="L50" s="20">
        <v>0</v>
      </c>
    </row>
    <row r="51" spans="1:12">
      <c r="A51" s="2" t="s">
        <v>329</v>
      </c>
      <c r="B51" s="3" t="s">
        <v>330</v>
      </c>
      <c r="D51" s="20">
        <v>4.6056964026503916E-5</v>
      </c>
      <c r="E51" s="20">
        <v>0.9028644226726884</v>
      </c>
      <c r="F51" s="20">
        <v>0.7236257141010094</v>
      </c>
      <c r="G51" s="20">
        <v>0.13671291596757318</v>
      </c>
      <c r="H51" s="20">
        <v>0</v>
      </c>
      <c r="I51" s="20">
        <v>4.2525792604105793E-2</v>
      </c>
      <c r="J51" s="20">
        <v>8.3522700346789127E-3</v>
      </c>
      <c r="K51" s="20">
        <v>8.8737250328606104E-2</v>
      </c>
      <c r="L51" s="20">
        <v>0</v>
      </c>
    </row>
    <row r="52" spans="1:12">
      <c r="A52" s="2" t="s">
        <v>277</v>
      </c>
      <c r="B52" s="3" t="s">
        <v>278</v>
      </c>
      <c r="D52" s="20">
        <v>1.3987677010210544E-4</v>
      </c>
      <c r="E52" s="20">
        <v>0.88595218306758694</v>
      </c>
      <c r="F52" s="20">
        <v>0.68669562387883498</v>
      </c>
      <c r="G52" s="20">
        <v>0.13435685677289697</v>
      </c>
      <c r="H52" s="20">
        <v>0</v>
      </c>
      <c r="I52" s="20">
        <v>6.4899702415854965E-2</v>
      </c>
      <c r="J52" s="20">
        <v>8.1881589068403451E-3</v>
      </c>
      <c r="K52" s="20">
        <v>0.10571978125547048</v>
      </c>
      <c r="L52" s="20">
        <v>0</v>
      </c>
    </row>
    <row r="53" spans="1:12">
      <c r="A53" s="2" t="s">
        <v>331</v>
      </c>
      <c r="B53" s="3" t="s">
        <v>332</v>
      </c>
      <c r="D53" s="20">
        <v>4.4088619450427187E-5</v>
      </c>
      <c r="E53" s="20">
        <v>0.92657964357968048</v>
      </c>
      <c r="F53" s="20">
        <v>0.58619914986308419</v>
      </c>
      <c r="G53" s="20">
        <v>0.33638818966091322</v>
      </c>
      <c r="H53" s="20">
        <v>0</v>
      </c>
      <c r="I53" s="20">
        <v>3.9923040556830314E-3</v>
      </c>
      <c r="J53" s="20">
        <v>2.1047903409825618E-2</v>
      </c>
      <c r="K53" s="20">
        <v>5.2328364391043734E-2</v>
      </c>
      <c r="L53" s="20">
        <v>0</v>
      </c>
    </row>
    <row r="54" spans="1:12">
      <c r="A54" s="2" t="s">
        <v>333</v>
      </c>
      <c r="B54" s="3" t="s">
        <v>334</v>
      </c>
      <c r="D54" s="20">
        <v>7.2272751305433303E-8</v>
      </c>
      <c r="E54" s="20">
        <v>0.93267946868152407</v>
      </c>
      <c r="F54" s="20">
        <v>0.69102422448284773</v>
      </c>
      <c r="G54" s="20">
        <v>0.23522789792914961</v>
      </c>
      <c r="H54" s="20">
        <v>0</v>
      </c>
      <c r="I54" s="20">
        <v>6.4273462695267052E-3</v>
      </c>
      <c r="J54" s="20">
        <v>1.4623537131779156E-2</v>
      </c>
      <c r="K54" s="20">
        <v>5.2696921913945455E-2</v>
      </c>
      <c r="L54" s="20">
        <v>0</v>
      </c>
    </row>
    <row r="55" spans="1:12">
      <c r="A55" s="2" t="s">
        <v>335</v>
      </c>
      <c r="B55" s="3" t="s">
        <v>336</v>
      </c>
      <c r="D55" s="20">
        <v>3.3968869645110907E-4</v>
      </c>
      <c r="E55" s="20">
        <v>0.92084433945198041</v>
      </c>
      <c r="F55" s="20">
        <v>0.36534214960765948</v>
      </c>
      <c r="G55" s="20">
        <v>0.55410916710614266</v>
      </c>
      <c r="H55" s="20">
        <v>0</v>
      </c>
      <c r="I55" s="20">
        <v>1.393022738178297E-3</v>
      </c>
      <c r="J55" s="20">
        <v>3.5094803815872017E-2</v>
      </c>
      <c r="K55" s="20">
        <v>4.3721168035696346E-2</v>
      </c>
      <c r="L55" s="20">
        <v>0</v>
      </c>
    </row>
    <row r="56" spans="1:12">
      <c r="A56" s="2" t="s">
        <v>337</v>
      </c>
      <c r="B56" s="3" t="s">
        <v>338</v>
      </c>
      <c r="D56" s="20">
        <v>2.5494088894502711E-5</v>
      </c>
      <c r="E56" s="20">
        <v>0.93439450673954016</v>
      </c>
      <c r="F56" s="20">
        <v>0.7139341891569011</v>
      </c>
      <c r="G56" s="20">
        <v>0.21328176963032744</v>
      </c>
      <c r="H56" s="20">
        <v>0</v>
      </c>
      <c r="I56" s="20">
        <v>7.178547952311631E-3</v>
      </c>
      <c r="J56" s="20">
        <v>1.3238018081051399E-2</v>
      </c>
      <c r="K56" s="20">
        <v>5.234198109051387E-2</v>
      </c>
      <c r="L56" s="20">
        <v>0</v>
      </c>
    </row>
    <row r="57" spans="1:12">
      <c r="A57" s="2" t="s">
        <v>279</v>
      </c>
      <c r="B57" s="3" t="s">
        <v>280</v>
      </c>
      <c r="D57" s="20">
        <v>2.7357422944177803E-3</v>
      </c>
      <c r="E57" s="20">
        <v>0.87340023333086836</v>
      </c>
      <c r="F57" s="20">
        <v>0.65962008166912123</v>
      </c>
      <c r="G57" s="20">
        <v>0.13170110667869209</v>
      </c>
      <c r="H57" s="20">
        <v>0</v>
      </c>
      <c r="I57" s="20">
        <v>8.2079044983055072E-2</v>
      </c>
      <c r="J57" s="20">
        <v>8.0167433882970124E-3</v>
      </c>
      <c r="K57" s="20">
        <v>0.11584728098641678</v>
      </c>
      <c r="L57" s="20">
        <v>0</v>
      </c>
    </row>
    <row r="58" spans="1:12">
      <c r="A58" s="2" t="s">
        <v>339</v>
      </c>
      <c r="B58" s="3" t="s">
        <v>340</v>
      </c>
      <c r="D58" s="20">
        <v>2.5328806118501653E-7</v>
      </c>
      <c r="E58" s="20">
        <v>0.93249042924473791</v>
      </c>
      <c r="F58" s="20">
        <v>0.6883881789392402</v>
      </c>
      <c r="G58" s="20">
        <v>0.23775461700775732</v>
      </c>
      <c r="H58" s="20">
        <v>0</v>
      </c>
      <c r="I58" s="20">
        <v>6.3476332977403568E-3</v>
      </c>
      <c r="J58" s="20">
        <v>1.4783250114925983E-2</v>
      </c>
      <c r="K58" s="20">
        <v>5.2726067352274815E-2</v>
      </c>
      <c r="L58" s="20">
        <v>0</v>
      </c>
    </row>
    <row r="59" spans="1:12">
      <c r="A59" s="2" t="s">
        <v>281</v>
      </c>
      <c r="B59" s="3" t="s">
        <v>282</v>
      </c>
      <c r="D59" s="20">
        <v>2.11737193165949E-5</v>
      </c>
      <c r="E59" s="20">
        <v>0.8860573630067976</v>
      </c>
      <c r="F59" s="20">
        <v>0.68677714814770208</v>
      </c>
      <c r="G59" s="20">
        <v>0.13437280757283629</v>
      </c>
      <c r="H59" s="20">
        <v>0</v>
      </c>
      <c r="I59" s="20">
        <v>6.4907407286259197E-2</v>
      </c>
      <c r="J59" s="20">
        <v>8.1891310022564733E-3</v>
      </c>
      <c r="K59" s="20">
        <v>0.10573233227162949</v>
      </c>
      <c r="L59" s="20">
        <v>0</v>
      </c>
    </row>
    <row r="60" spans="1:12">
      <c r="A60" s="2" t="s">
        <v>341</v>
      </c>
      <c r="B60" s="3" t="s">
        <v>342</v>
      </c>
      <c r="D60" s="20">
        <v>3.6957151547232359E-4</v>
      </c>
      <c r="E60" s="20">
        <v>0.92762854681705698</v>
      </c>
      <c r="F60" s="20">
        <v>0.61392762400972567</v>
      </c>
      <c r="G60" s="20">
        <v>0.30918095230261627</v>
      </c>
      <c r="H60" s="20">
        <v>0</v>
      </c>
      <c r="I60" s="20">
        <v>4.5199705047150084E-3</v>
      </c>
      <c r="J60" s="20">
        <v>1.9314192500741012E-2</v>
      </c>
      <c r="K60" s="20">
        <v>5.2687689166729591E-2</v>
      </c>
      <c r="L60" s="20">
        <v>0</v>
      </c>
    </row>
    <row r="61" spans="1:12">
      <c r="A61" s="2" t="s">
        <v>483</v>
      </c>
      <c r="B61" s="3" t="s">
        <v>484</v>
      </c>
      <c r="D61" s="20">
        <v>6.6266099982583352E-14</v>
      </c>
      <c r="E61" s="20">
        <v>0.89053950782251368</v>
      </c>
      <c r="F61" s="20">
        <v>0.49823345912566686</v>
      </c>
      <c r="G61" s="20">
        <v>8.3013836732961629E-2</v>
      </c>
      <c r="H61" s="20">
        <v>0</v>
      </c>
      <c r="I61" s="20">
        <v>0.30929221196388518</v>
      </c>
      <c r="J61" s="20">
        <v>1.7278326439358154E-2</v>
      </c>
      <c r="K61" s="20">
        <v>9.2182165738061927E-2</v>
      </c>
      <c r="L61" s="20">
        <v>0</v>
      </c>
    </row>
    <row r="62" spans="1:12">
      <c r="A62" s="2" t="s">
        <v>485</v>
      </c>
      <c r="B62" s="3" t="s">
        <v>486</v>
      </c>
      <c r="D62" s="20">
        <v>1.9437551338644589E-7</v>
      </c>
      <c r="E62" s="20">
        <v>0.83110126389332573</v>
      </c>
      <c r="F62" s="20">
        <v>0.49574716322015044</v>
      </c>
      <c r="G62" s="20">
        <v>0.10893207919458539</v>
      </c>
      <c r="H62" s="20">
        <v>0</v>
      </c>
      <c r="I62" s="20">
        <v>0.22642202147858986</v>
      </c>
      <c r="J62" s="20">
        <v>6.623319017081037E-3</v>
      </c>
      <c r="K62" s="20">
        <v>0.16227522271407988</v>
      </c>
      <c r="L62" s="20">
        <v>0</v>
      </c>
    </row>
    <row r="63" spans="1:12">
      <c r="A63" s="2" t="s">
        <v>487</v>
      </c>
      <c r="B63" s="3" t="s">
        <v>488</v>
      </c>
      <c r="D63" s="20">
        <v>5.6888914073352729E-13</v>
      </c>
      <c r="E63" s="20">
        <v>0.98003051452720003</v>
      </c>
      <c r="F63" s="20">
        <v>3.2622431191944919E-2</v>
      </c>
      <c r="G63" s="20">
        <v>4.3044044956747959E-3</v>
      </c>
      <c r="H63" s="20">
        <v>0</v>
      </c>
      <c r="I63" s="20">
        <v>0.94310367883958035</v>
      </c>
      <c r="J63" s="20">
        <v>2.7154972580942013E-3</v>
      </c>
      <c r="K63" s="20">
        <v>1.725398821413679E-2</v>
      </c>
      <c r="L63" s="20">
        <v>0</v>
      </c>
    </row>
    <row r="64" spans="1:12">
      <c r="A64" s="2" t="s">
        <v>489</v>
      </c>
      <c r="B64" s="3" t="s">
        <v>490</v>
      </c>
      <c r="D64" s="20">
        <v>1.0279917090267748E-14</v>
      </c>
      <c r="E64" s="20">
        <v>0.99780474285401322</v>
      </c>
      <c r="F64" s="20">
        <v>1.2188845876640807E-2</v>
      </c>
      <c r="G64" s="20">
        <v>1.5133519700098126E-4</v>
      </c>
      <c r="H64" s="20">
        <v>0</v>
      </c>
      <c r="I64" s="20">
        <v>0.98546456178037145</v>
      </c>
      <c r="J64" s="20">
        <v>3.5941064051072161E-4</v>
      </c>
      <c r="K64" s="20">
        <v>1.8358465054658098E-3</v>
      </c>
      <c r="L64" s="20">
        <v>0</v>
      </c>
    </row>
    <row r="65" spans="1:12">
      <c r="A65" s="2" t="s">
        <v>491</v>
      </c>
      <c r="B65" s="3" t="s">
        <v>492</v>
      </c>
      <c r="D65" s="20">
        <v>1.7118204897746267E-12</v>
      </c>
      <c r="E65" s="20">
        <v>0.99863506151286918</v>
      </c>
      <c r="F65" s="20">
        <v>1.5955445647002637E-3</v>
      </c>
      <c r="G65" s="20">
        <v>7.0966348447939987E-5</v>
      </c>
      <c r="H65" s="20">
        <v>0</v>
      </c>
      <c r="I65" s="20">
        <v>0.996968550599721</v>
      </c>
      <c r="J65" s="20">
        <v>5.4698448639280996E-4</v>
      </c>
      <c r="K65" s="20">
        <v>8.1795399902611688E-4</v>
      </c>
      <c r="L65" s="20">
        <v>0</v>
      </c>
    </row>
    <row r="66" spans="1:12">
      <c r="A66" s="2" t="s">
        <v>493</v>
      </c>
      <c r="B66" s="3" t="s">
        <v>494</v>
      </c>
      <c r="D66" s="20">
        <v>2.2283862302272262E-11</v>
      </c>
      <c r="E66" s="20">
        <v>0.9734381024212887</v>
      </c>
      <c r="F66" s="20">
        <v>0.20010875617897594</v>
      </c>
      <c r="G66" s="20">
        <v>5.0150923115196942E-3</v>
      </c>
      <c r="H66" s="20">
        <v>0</v>
      </c>
      <c r="I66" s="20">
        <v>0.76831425393079311</v>
      </c>
      <c r="J66" s="20">
        <v>1.929255136251546E-2</v>
      </c>
      <c r="K66" s="20">
        <v>7.2693461939117437E-3</v>
      </c>
      <c r="L66" s="20">
        <v>0</v>
      </c>
    </row>
    <row r="67" spans="1:12">
      <c r="A67" s="2" t="s">
        <v>495</v>
      </c>
      <c r="B67" s="3" t="s">
        <v>496</v>
      </c>
      <c r="D67" s="20">
        <v>1.3375276382241131E-12</v>
      </c>
      <c r="E67" s="20">
        <v>0.99856778559322124</v>
      </c>
      <c r="F67" s="20">
        <v>1.3456471591337552E-3</v>
      </c>
      <c r="G67" s="20">
        <v>7.3560747357080038E-5</v>
      </c>
      <c r="H67" s="20">
        <v>0</v>
      </c>
      <c r="I67" s="20">
        <v>0.99714857768673038</v>
      </c>
      <c r="J67" s="20">
        <v>5.1231030730068097E-4</v>
      </c>
      <c r="K67" s="20">
        <v>9.199040981405593E-4</v>
      </c>
      <c r="L67" s="20">
        <v>0</v>
      </c>
    </row>
    <row r="68" spans="1:12">
      <c r="A68" s="2" t="s">
        <v>497</v>
      </c>
      <c r="B68" s="3" t="s">
        <v>498</v>
      </c>
      <c r="D68" s="20">
        <v>1.2099071647885989E-11</v>
      </c>
      <c r="E68" s="20">
        <v>0.99926420544794936</v>
      </c>
      <c r="F68" s="20">
        <v>1.6007869182299499E-4</v>
      </c>
      <c r="G68" s="20">
        <v>1.2350928353708694E-5</v>
      </c>
      <c r="H68" s="20">
        <v>0</v>
      </c>
      <c r="I68" s="20">
        <v>0.99909177582777264</v>
      </c>
      <c r="J68" s="20">
        <v>3.6402310033670292E-4</v>
      </c>
      <c r="K68" s="20">
        <v>3.7177143961485717E-4</v>
      </c>
      <c r="L68" s="20">
        <v>0</v>
      </c>
    </row>
    <row r="69" spans="1:12">
      <c r="A69" s="2" t="s">
        <v>499</v>
      </c>
      <c r="B69" s="3" t="s">
        <v>500</v>
      </c>
      <c r="D69" s="20">
        <v>6.3412875672622861E-12</v>
      </c>
      <c r="E69" s="20">
        <v>0.93648041409379834</v>
      </c>
      <c r="F69" s="20">
        <v>0.73839055442665347</v>
      </c>
      <c r="G69" s="20">
        <v>0.18997291550887579</v>
      </c>
      <c r="H69" s="20">
        <v>0</v>
      </c>
      <c r="I69" s="20">
        <v>8.116944158269029E-3</v>
      </c>
      <c r="J69" s="20">
        <v>1.1769853472580123E-2</v>
      </c>
      <c r="K69" s="20">
        <v>5.1749732427280211E-2</v>
      </c>
      <c r="L69" s="20">
        <v>0</v>
      </c>
    </row>
    <row r="70" spans="1:12">
      <c r="A70" s="2" t="s">
        <v>501</v>
      </c>
      <c r="B70" s="3" t="s">
        <v>411</v>
      </c>
      <c r="D70" s="20">
        <v>2.16775405489189E-13</v>
      </c>
      <c r="E70" s="20">
        <v>0.99961065447661457</v>
      </c>
      <c r="F70" s="20">
        <v>3.024326616392221E-2</v>
      </c>
      <c r="G70" s="20">
        <v>2.874248515874062E-6</v>
      </c>
      <c r="H70" s="20">
        <v>0</v>
      </c>
      <c r="I70" s="20">
        <v>0.96936451406417645</v>
      </c>
      <c r="J70" s="20">
        <v>3.6537813351690448E-4</v>
      </c>
      <c r="K70" s="20">
        <v>2.3967389651653068E-5</v>
      </c>
      <c r="L70" s="20">
        <v>0</v>
      </c>
    </row>
    <row r="71" spans="1:12">
      <c r="A71" s="2" t="s">
        <v>502</v>
      </c>
      <c r="B71" s="3" t="s">
        <v>412</v>
      </c>
      <c r="D71" s="20">
        <v>9.9011754828348543E-9</v>
      </c>
      <c r="E71" s="20">
        <v>0.99958373925262223</v>
      </c>
      <c r="F71" s="20">
        <v>5.6377508144792116E-2</v>
      </c>
      <c r="G71" s="20">
        <v>5.1235642926741561E-6</v>
      </c>
      <c r="H71" s="20">
        <v>0</v>
      </c>
      <c r="I71" s="20">
        <v>0.94320110754353748</v>
      </c>
      <c r="J71" s="20">
        <v>3.8342101792944076E-4</v>
      </c>
      <c r="K71" s="20">
        <v>3.2829828272905659E-5</v>
      </c>
      <c r="L71" s="20">
        <v>0</v>
      </c>
    </row>
    <row r="72" spans="1:12">
      <c r="A72" s="2" t="s">
        <v>503</v>
      </c>
      <c r="B72" s="3" t="s">
        <v>413</v>
      </c>
      <c r="D72" s="20">
        <v>1.3333653108887846E-10</v>
      </c>
      <c r="E72" s="20">
        <v>0.99394575126220519</v>
      </c>
      <c r="F72" s="20">
        <v>0.98961862052633542</v>
      </c>
      <c r="G72" s="20">
        <v>4.5449825225688889E-4</v>
      </c>
      <c r="H72" s="20">
        <v>0</v>
      </c>
      <c r="I72" s="20">
        <v>3.8726324836128529E-3</v>
      </c>
      <c r="J72" s="20">
        <v>6.0172803760987787E-3</v>
      </c>
      <c r="K72" s="20">
        <v>3.6968228359698598E-5</v>
      </c>
      <c r="L72" s="20">
        <v>0</v>
      </c>
    </row>
    <row r="73" spans="1:12">
      <c r="A73" s="2" t="s">
        <v>504</v>
      </c>
      <c r="B73" s="3" t="s">
        <v>414</v>
      </c>
      <c r="D73" s="20">
        <v>1.7500777735708764E-10</v>
      </c>
      <c r="E73" s="20">
        <v>0.99925167986445496</v>
      </c>
      <c r="F73" s="20">
        <v>0.96311036168950737</v>
      </c>
      <c r="G73" s="20">
        <v>5.5672460327057883E-5</v>
      </c>
      <c r="H73" s="20">
        <v>0</v>
      </c>
      <c r="I73" s="20">
        <v>3.6085645714620501E-2</v>
      </c>
      <c r="J73" s="20">
        <v>7.1820815235714645E-4</v>
      </c>
      <c r="K73" s="20">
        <v>3.011180817998593E-5</v>
      </c>
      <c r="L73" s="20">
        <v>0</v>
      </c>
    </row>
    <row r="74" spans="1:12">
      <c r="A74" s="2" t="s">
        <v>505</v>
      </c>
      <c r="B74" s="3" t="s">
        <v>415</v>
      </c>
      <c r="D74" s="20">
        <v>1.2240167257060639E-9</v>
      </c>
      <c r="E74" s="20">
        <v>0.99958876975520128</v>
      </c>
      <c r="F74" s="20">
        <v>5.1286853844242898E-2</v>
      </c>
      <c r="G74" s="20">
        <v>4.6813425119053437E-6</v>
      </c>
      <c r="H74" s="20">
        <v>0</v>
      </c>
      <c r="I74" s="20">
        <v>0.9482972345684465</v>
      </c>
      <c r="J74" s="20">
        <v>3.7999219910551951E-4</v>
      </c>
      <c r="K74" s="20">
        <v>3.123682167645507E-5</v>
      </c>
      <c r="L74" s="20">
        <v>0</v>
      </c>
    </row>
    <row r="75" spans="1:12">
      <c r="A75" s="2" t="s">
        <v>506</v>
      </c>
      <c r="B75" s="3" t="s">
        <v>416</v>
      </c>
      <c r="D75" s="20">
        <v>7.5104120429635624E-10</v>
      </c>
      <c r="E75" s="20">
        <v>0.99924390790978612</v>
      </c>
      <c r="F75" s="20">
        <v>0.95649448521608138</v>
      </c>
      <c r="G75" s="20">
        <v>5.6007582797580541E-5</v>
      </c>
      <c r="H75" s="20">
        <v>0</v>
      </c>
      <c r="I75" s="20">
        <v>4.2693415110907178E-2</v>
      </c>
      <c r="J75" s="20">
        <v>7.2357188479028282E-4</v>
      </c>
      <c r="K75" s="20">
        <v>3.2519454382473831E-5</v>
      </c>
      <c r="L75" s="20">
        <v>0</v>
      </c>
    </row>
    <row r="76" spans="1:12">
      <c r="A76" s="2" t="s">
        <v>507</v>
      </c>
      <c r="B76" s="3" t="s">
        <v>417</v>
      </c>
      <c r="D76" s="20">
        <v>1.7351802788922128E-8</v>
      </c>
      <c r="E76" s="20">
        <v>0.99927874426939478</v>
      </c>
      <c r="F76" s="20">
        <v>0.55152311846355284</v>
      </c>
      <c r="G76" s="20">
        <v>4.010791035685966E-5</v>
      </c>
      <c r="H76" s="20">
        <v>0</v>
      </c>
      <c r="I76" s="20">
        <v>0.44771551789548503</v>
      </c>
      <c r="J76" s="20">
        <v>6.4581144450359673E-4</v>
      </c>
      <c r="K76" s="20">
        <v>7.5426934298805876E-5</v>
      </c>
      <c r="L76" s="20">
        <v>0</v>
      </c>
    </row>
    <row r="77" spans="1:12">
      <c r="A77" s="2" t="s">
        <v>508</v>
      </c>
      <c r="B77" s="3" t="s">
        <v>418</v>
      </c>
      <c r="D77" s="20">
        <v>5.4181644466555578E-9</v>
      </c>
      <c r="E77" s="20">
        <v>0.99924932328865479</v>
      </c>
      <c r="F77" s="20">
        <v>0.96132735553833548</v>
      </c>
      <c r="G77" s="20">
        <v>5.5941951795408539E-5</v>
      </c>
      <c r="H77" s="20">
        <v>0</v>
      </c>
      <c r="I77" s="20">
        <v>3.7866025798523904E-2</v>
      </c>
      <c r="J77" s="20">
        <v>7.1979436871251869E-4</v>
      </c>
      <c r="K77" s="20">
        <v>3.0876924468087491E-5</v>
      </c>
      <c r="L77" s="20">
        <v>0</v>
      </c>
    </row>
    <row r="78" spans="1:12">
      <c r="A78" s="2" t="s">
        <v>509</v>
      </c>
      <c r="B78" s="3" t="s">
        <v>419</v>
      </c>
      <c r="D78" s="20">
        <v>5.3656318489959483E-10</v>
      </c>
      <c r="E78" s="20">
        <v>0.99491940127340561</v>
      </c>
      <c r="F78" s="20">
        <v>0.99023797510967515</v>
      </c>
      <c r="G78" s="20">
        <v>3.8212366675830325E-4</v>
      </c>
      <c r="H78" s="20">
        <v>0</v>
      </c>
      <c r="I78" s="20">
        <v>4.2993024969722035E-3</v>
      </c>
      <c r="J78" s="20">
        <v>5.0454987363161806E-3</v>
      </c>
      <c r="K78" s="20">
        <v>3.5099453715141694E-5</v>
      </c>
      <c r="L78" s="20">
        <v>0</v>
      </c>
    </row>
    <row r="79" spans="1:12">
      <c r="A79" s="2" t="s">
        <v>510</v>
      </c>
      <c r="B79" s="3" t="s">
        <v>420</v>
      </c>
      <c r="D79" s="20">
        <v>1.3477859458025148E-14</v>
      </c>
      <c r="E79" s="20">
        <v>0.99491941057657562</v>
      </c>
      <c r="F79" s="20">
        <v>0.99023804455776865</v>
      </c>
      <c r="G79" s="20">
        <v>3.8206322031291031E-4</v>
      </c>
      <c r="H79" s="20">
        <v>0</v>
      </c>
      <c r="I79" s="20">
        <v>4.2993027984940292E-3</v>
      </c>
      <c r="J79" s="20">
        <v>5.0454955219225162E-3</v>
      </c>
      <c r="K79" s="20">
        <v>3.5093901488475629E-5</v>
      </c>
      <c r="L79" s="20">
        <v>0</v>
      </c>
    </row>
    <row r="80" spans="1:12">
      <c r="A80" s="2" t="s">
        <v>511</v>
      </c>
      <c r="B80" s="3" t="s">
        <v>421</v>
      </c>
      <c r="D80" s="20">
        <v>1.5254208302410626E-9</v>
      </c>
      <c r="E80" s="20">
        <v>0.99920524481939588</v>
      </c>
      <c r="F80" s="20">
        <v>0.83254626852513436</v>
      </c>
      <c r="G80" s="20">
        <v>5.4446847359730363E-5</v>
      </c>
      <c r="H80" s="20">
        <v>0</v>
      </c>
      <c r="I80" s="20">
        <v>0.16660452944690174</v>
      </c>
      <c r="J80" s="20">
        <v>7.3669470769180834E-4</v>
      </c>
      <c r="K80" s="20">
        <v>5.805894749154611E-5</v>
      </c>
      <c r="L80" s="20">
        <v>0</v>
      </c>
    </row>
    <row r="81" spans="1:12">
      <c r="A81" s="2" t="s">
        <v>512</v>
      </c>
      <c r="B81" s="3" t="s">
        <v>422</v>
      </c>
      <c r="D81" s="20">
        <v>1.9948981388294532E-9</v>
      </c>
      <c r="E81" s="20">
        <v>0.99947374432708747</v>
      </c>
      <c r="F81" s="20">
        <v>0.19504707023009638</v>
      </c>
      <c r="G81" s="20">
        <v>1.5940567931994913E-5</v>
      </c>
      <c r="H81" s="20">
        <v>0</v>
      </c>
      <c r="I81" s="20">
        <v>0.80441073352905912</v>
      </c>
      <c r="J81" s="20">
        <v>4.6833745774826213E-4</v>
      </c>
      <c r="K81" s="20">
        <v>5.7916220266114781E-5</v>
      </c>
      <c r="L81" s="20">
        <v>0</v>
      </c>
    </row>
    <row r="82" spans="1:12">
      <c r="A82" s="2" t="s">
        <v>513</v>
      </c>
      <c r="B82" s="3" t="s">
        <v>423</v>
      </c>
      <c r="D82" s="20">
        <v>5.0217589653134295E-13</v>
      </c>
      <c r="E82" s="20">
        <v>0.99935498729667049</v>
      </c>
      <c r="F82" s="20">
        <v>0.39108805177733713</v>
      </c>
      <c r="G82" s="20">
        <v>2.9742000192719258E-5</v>
      </c>
      <c r="H82" s="20">
        <v>0</v>
      </c>
      <c r="I82" s="20">
        <v>0.60823719351914063</v>
      </c>
      <c r="J82" s="20">
        <v>5.7222356205881471E-4</v>
      </c>
      <c r="K82" s="20">
        <v>7.2789140768819978E-5</v>
      </c>
      <c r="L82" s="20">
        <v>0</v>
      </c>
    </row>
    <row r="83" spans="1:12">
      <c r="A83" s="2" t="s">
        <v>514</v>
      </c>
      <c r="B83" s="3" t="s">
        <v>424</v>
      </c>
      <c r="D83" s="20">
        <v>1.9120945030332965E-10</v>
      </c>
      <c r="E83" s="20">
        <v>0.99020290322553139</v>
      </c>
      <c r="F83" s="20">
        <v>0.98657034964515133</v>
      </c>
      <c r="G83" s="20">
        <v>7.3129468706131383E-4</v>
      </c>
      <c r="H83" s="20">
        <v>0</v>
      </c>
      <c r="I83" s="20">
        <v>2.9012588933187387E-3</v>
      </c>
      <c r="J83" s="20">
        <v>9.7545182321458253E-3</v>
      </c>
      <c r="K83" s="20">
        <v>4.2578351113182146E-5</v>
      </c>
      <c r="L83" s="20">
        <v>0</v>
      </c>
    </row>
    <row r="84" spans="1:12">
      <c r="A84" s="2" t="s">
        <v>403</v>
      </c>
      <c r="B84" s="3" t="s">
        <v>404</v>
      </c>
      <c r="D84" s="20">
        <v>4.2950023699877744E-44</v>
      </c>
      <c r="E84" s="20">
        <v>0.82011515878494723</v>
      </c>
      <c r="F84" s="20">
        <v>0.38122563116993657</v>
      </c>
      <c r="G84" s="20">
        <v>8.8201840477225416E-2</v>
      </c>
      <c r="H84" s="20">
        <v>0</v>
      </c>
      <c r="I84" s="20">
        <v>0.3506876871377852</v>
      </c>
      <c r="J84" s="20">
        <v>5.3934247086073811E-3</v>
      </c>
      <c r="K84" s="20">
        <v>0.17449141650644537</v>
      </c>
      <c r="L84" s="20">
        <v>0</v>
      </c>
    </row>
    <row r="85" spans="1:12">
      <c r="A85" s="2" t="s">
        <v>405</v>
      </c>
      <c r="B85" s="3" t="s">
        <v>406</v>
      </c>
      <c r="D85" s="20">
        <v>9.799540138425078E-9</v>
      </c>
      <c r="E85" s="20">
        <v>0.80638733476458546</v>
      </c>
      <c r="F85" s="20">
        <v>0.72263179407201583</v>
      </c>
      <c r="G85" s="20">
        <v>3.7778164895111752E-2</v>
      </c>
      <c r="H85" s="20">
        <v>0</v>
      </c>
      <c r="I85" s="20">
        <v>4.5977375797457851E-2</v>
      </c>
      <c r="J85" s="20">
        <v>0.18761561083692824</v>
      </c>
      <c r="K85" s="20">
        <v>5.9970445989461505E-3</v>
      </c>
      <c r="L85" s="20">
        <v>0</v>
      </c>
    </row>
    <row r="86" spans="1:12">
      <c r="A86" s="2" t="s">
        <v>407</v>
      </c>
      <c r="B86" s="3" t="s">
        <v>408</v>
      </c>
      <c r="D86" s="20">
        <v>2.0458103228374951E-5</v>
      </c>
      <c r="E86" s="20">
        <v>0.92333101681173702</v>
      </c>
      <c r="F86" s="20">
        <v>0.17586687635737547</v>
      </c>
      <c r="G86" s="20">
        <v>0.74710149480163901</v>
      </c>
      <c r="H86" s="20">
        <v>0</v>
      </c>
      <c r="I86" s="20">
        <v>3.6264565272252803E-4</v>
      </c>
      <c r="J86" s="20">
        <v>4.7935693336730346E-2</v>
      </c>
      <c r="K86" s="20">
        <v>2.8712831748304218E-2</v>
      </c>
      <c r="L86" s="20">
        <v>0</v>
      </c>
    </row>
    <row r="87" spans="1:12">
      <c r="A87" s="2" t="s">
        <v>409</v>
      </c>
      <c r="B87" s="3" t="s">
        <v>410</v>
      </c>
      <c r="D87" s="20">
        <v>2.501737763236816E-6</v>
      </c>
      <c r="E87" s="20">
        <v>0.9269337672854453</v>
      </c>
      <c r="F87" s="20">
        <v>9.3596685281945285E-2</v>
      </c>
      <c r="G87" s="20">
        <v>0.83321297425578633</v>
      </c>
      <c r="H87" s="20">
        <v>0</v>
      </c>
      <c r="I87" s="20">
        <v>1.2410774771364933E-4</v>
      </c>
      <c r="J87" s="20">
        <v>5.3962891947907363E-2</v>
      </c>
      <c r="K87" s="20">
        <v>1.9100839028884209E-2</v>
      </c>
      <c r="L87" s="20">
        <v>0</v>
      </c>
    </row>
    <row r="88" spans="1:12">
      <c r="A88" s="2" t="s">
        <v>301</v>
      </c>
      <c r="B88" s="3" t="s">
        <v>302</v>
      </c>
      <c r="D88" s="20">
        <v>3.0597857699117785E-7</v>
      </c>
      <c r="E88" s="20">
        <v>0.93059418763793822</v>
      </c>
      <c r="F88" s="20">
        <v>4.298428477860454E-2</v>
      </c>
      <c r="G88" s="20">
        <v>0.88757540690767855</v>
      </c>
      <c r="H88" s="20">
        <v>0</v>
      </c>
      <c r="I88" s="20">
        <v>3.4495951655099139E-5</v>
      </c>
      <c r="J88" s="20">
        <v>5.8099696427579797E-2</v>
      </c>
      <c r="K88" s="20">
        <v>1.1305809955904998E-2</v>
      </c>
      <c r="L88" s="20">
        <v>0</v>
      </c>
    </row>
    <row r="89" spans="1:12">
      <c r="A89" s="2" t="s">
        <v>303</v>
      </c>
      <c r="B89" s="3" t="s">
        <v>304</v>
      </c>
      <c r="D89" s="20">
        <v>9.4999274950116851E-14</v>
      </c>
      <c r="E89" s="20">
        <v>0.38727026456126112</v>
      </c>
      <c r="F89" s="20">
        <v>0.10729062340069816</v>
      </c>
      <c r="G89" s="20">
        <v>0.27904088753739703</v>
      </c>
      <c r="H89" s="20">
        <v>0</v>
      </c>
      <c r="I89" s="20">
        <v>9.3875362316595825E-4</v>
      </c>
      <c r="J89" s="20">
        <v>0.60776422081401227</v>
      </c>
      <c r="K89" s="20">
        <v>4.9655146246314567E-3</v>
      </c>
      <c r="L89" s="20">
        <v>0</v>
      </c>
    </row>
    <row r="90" spans="1:12">
      <c r="A90" s="2" t="s">
        <v>425</v>
      </c>
      <c r="B90" s="3" t="s">
        <v>426</v>
      </c>
      <c r="D90" s="20">
        <v>1.2642545824257977E-13</v>
      </c>
      <c r="E90" s="20">
        <v>0.98889325331849121</v>
      </c>
      <c r="F90" s="20">
        <v>9.2970518900634624E-4</v>
      </c>
      <c r="G90" s="20">
        <v>3.1215517693541098E-4</v>
      </c>
      <c r="H90" s="20">
        <v>0</v>
      </c>
      <c r="I90" s="20">
        <v>0.98765139295254945</v>
      </c>
      <c r="J90" s="20">
        <v>3.5529858633640183E-4</v>
      </c>
      <c r="K90" s="20">
        <v>1.0751448095045777E-2</v>
      </c>
      <c r="L90" s="20">
        <v>0</v>
      </c>
    </row>
    <row r="91" spans="1:12">
      <c r="A91" s="2" t="s">
        <v>427</v>
      </c>
      <c r="B91" s="3" t="s">
        <v>428</v>
      </c>
      <c r="D91" s="20">
        <v>7.3035619233385415E-5</v>
      </c>
      <c r="E91" s="20">
        <v>0.8965802242354397</v>
      </c>
      <c r="F91" s="20">
        <v>6.2654663247042455E-2</v>
      </c>
      <c r="G91" s="20">
        <v>1.7621746748549445E-2</v>
      </c>
      <c r="H91" s="20">
        <v>0</v>
      </c>
      <c r="I91" s="20">
        <v>0.81630381423984777</v>
      </c>
      <c r="J91" s="20">
        <v>1.3126311943241788E-3</v>
      </c>
      <c r="K91" s="20">
        <v>0.10203410895100271</v>
      </c>
      <c r="L91" s="20">
        <v>0</v>
      </c>
    </row>
    <row r="92" spans="1:12">
      <c r="A92" s="2" t="s">
        <v>429</v>
      </c>
      <c r="B92" s="3" t="s">
        <v>430</v>
      </c>
      <c r="D92" s="20">
        <v>4.6915877236875485E-4</v>
      </c>
      <c r="E92" s="20">
        <v>0.84757402190713771</v>
      </c>
      <c r="F92" s="20">
        <v>0.57482880867272834</v>
      </c>
      <c r="G92" s="20">
        <v>0.12129253724699435</v>
      </c>
      <c r="H92" s="20">
        <v>0</v>
      </c>
      <c r="I92" s="20">
        <v>0.15145267598741505</v>
      </c>
      <c r="J92" s="20">
        <v>7.3694015411323094E-3</v>
      </c>
      <c r="K92" s="20">
        <v>0.14458741777936118</v>
      </c>
      <c r="L92" s="20">
        <v>0</v>
      </c>
    </row>
    <row r="93" spans="1:12">
      <c r="A93" s="2" t="s">
        <v>431</v>
      </c>
      <c r="B93" s="3" t="s">
        <v>432</v>
      </c>
      <c r="D93" s="20">
        <v>9.3727871011511535E-18</v>
      </c>
      <c r="E93" s="20">
        <v>0.99958974325940342</v>
      </c>
      <c r="F93" s="20">
        <v>4.3606688219000331E-3</v>
      </c>
      <c r="G93" s="20">
        <v>3.4936148598230955E-6</v>
      </c>
      <c r="H93" s="20">
        <v>0</v>
      </c>
      <c r="I93" s="20">
        <v>0.99522558082264356</v>
      </c>
      <c r="J93" s="20">
        <v>3.4572528714692214E-4</v>
      </c>
      <c r="K93" s="20">
        <v>6.4531453449485869E-5</v>
      </c>
      <c r="L93" s="20">
        <v>0</v>
      </c>
    </row>
    <row r="94" spans="1:12">
      <c r="A94" s="2" t="s">
        <v>433</v>
      </c>
      <c r="B94" s="3" t="s">
        <v>434</v>
      </c>
      <c r="D94" s="20">
        <v>1.980865796586159E-18</v>
      </c>
      <c r="E94" s="20">
        <v>0.99965362662739643</v>
      </c>
      <c r="F94" s="20">
        <v>1.6969683317154555E-5</v>
      </c>
      <c r="G94" s="20">
        <v>2.3679328336682264E-8</v>
      </c>
      <c r="H94" s="20">
        <v>0</v>
      </c>
      <c r="I94" s="20">
        <v>0.99963663326475094</v>
      </c>
      <c r="J94" s="20">
        <v>3.4474082520143828E-4</v>
      </c>
      <c r="K94" s="20">
        <v>1.6325474022717617E-6</v>
      </c>
      <c r="L94" s="20">
        <v>0</v>
      </c>
    </row>
    <row r="95" spans="1:12">
      <c r="A95" s="2" t="s">
        <v>435</v>
      </c>
      <c r="B95" s="3" t="s">
        <v>436</v>
      </c>
      <c r="D95" s="20">
        <v>1.0960407704911212E-8</v>
      </c>
      <c r="E95" s="20">
        <v>0.97431444208287732</v>
      </c>
      <c r="F95" s="20">
        <v>3.8655970911668875E-3</v>
      </c>
      <c r="G95" s="20">
        <v>1.3407500815725466E-3</v>
      </c>
      <c r="H95" s="20">
        <v>0</v>
      </c>
      <c r="I95" s="20">
        <v>0.96910809491013783</v>
      </c>
      <c r="J95" s="20">
        <v>4.1327695586239782E-4</v>
      </c>
      <c r="K95" s="20">
        <v>2.5272270000852762E-2</v>
      </c>
      <c r="L95" s="20">
        <v>0</v>
      </c>
    </row>
    <row r="96" spans="1:12">
      <c r="A96" s="2" t="s">
        <v>437</v>
      </c>
      <c r="B96" s="163" t="s">
        <v>438</v>
      </c>
      <c r="D96" s="20">
        <v>3.8439153251959642E-8</v>
      </c>
      <c r="E96" s="20">
        <v>0.92223783524687175</v>
      </c>
      <c r="F96" s="20">
        <v>0.21816872654886532</v>
      </c>
      <c r="G96" s="20">
        <v>0.70353879734786007</v>
      </c>
      <c r="H96" s="20">
        <v>0</v>
      </c>
      <c r="I96" s="20">
        <v>5.303113501463389E-4</v>
      </c>
      <c r="J96" s="20">
        <v>4.4983973715332408E-2</v>
      </c>
      <c r="K96" s="20">
        <v>3.2778152598642772E-2</v>
      </c>
      <c r="L96" s="20">
        <v>0</v>
      </c>
    </row>
    <row r="97" spans="1:12">
      <c r="A97" s="2" t="s">
        <v>439</v>
      </c>
      <c r="B97" s="3" t="s">
        <v>440</v>
      </c>
      <c r="D97" s="20">
        <v>3.6704858366347083E-5</v>
      </c>
      <c r="E97" s="20">
        <v>0.86319603686761259</v>
      </c>
      <c r="F97" s="20">
        <v>0.12126688918256062</v>
      </c>
      <c r="G97" s="20">
        <v>3.2154206183584673E-2</v>
      </c>
      <c r="H97" s="20">
        <v>0</v>
      </c>
      <c r="I97" s="20">
        <v>0.70977494150146725</v>
      </c>
      <c r="J97" s="20">
        <v>2.1396243943976839E-3</v>
      </c>
      <c r="K97" s="20">
        <v>0.13462763387962348</v>
      </c>
      <c r="L97" s="20">
        <v>0</v>
      </c>
    </row>
    <row r="98" spans="1:12">
      <c r="A98" s="2" t="s">
        <v>441</v>
      </c>
      <c r="B98" s="3" t="s">
        <v>442</v>
      </c>
      <c r="D98" s="20">
        <v>2.4255191695981297E-17</v>
      </c>
      <c r="E98" s="20">
        <v>0.89051469629257896</v>
      </c>
      <c r="F98" s="20">
        <v>7.128914328918598E-2</v>
      </c>
      <c r="G98" s="20">
        <v>1.982982817276405E-2</v>
      </c>
      <c r="H98" s="20">
        <v>0</v>
      </c>
      <c r="I98" s="20">
        <v>0.79939572483062893</v>
      </c>
      <c r="J98" s="20">
        <v>1.4376422170899144E-3</v>
      </c>
      <c r="K98" s="20">
        <v>0.10804766149033103</v>
      </c>
      <c r="L98" s="20">
        <v>0</v>
      </c>
    </row>
    <row r="99" spans="1:12">
      <c r="A99" s="2" t="s">
        <v>443</v>
      </c>
      <c r="B99" s="3" t="s">
        <v>444</v>
      </c>
      <c r="D99" s="20">
        <v>3.5036708630728947E-29</v>
      </c>
      <c r="E99" s="20">
        <v>0.94646098815749202</v>
      </c>
      <c r="F99" s="20">
        <v>1.5846814925644128E-2</v>
      </c>
      <c r="G99" s="20">
        <v>4.9778011215152783E-3</v>
      </c>
      <c r="H99" s="20">
        <v>0</v>
      </c>
      <c r="I99" s="20">
        <v>0.92563637211033256</v>
      </c>
      <c r="J99" s="20">
        <v>6.0510338983727938E-4</v>
      </c>
      <c r="K99" s="20">
        <v>5.2933908452670791E-2</v>
      </c>
      <c r="L99" s="20">
        <v>0</v>
      </c>
    </row>
    <row r="100" spans="1:12">
      <c r="A100" s="2" t="s">
        <v>445</v>
      </c>
      <c r="B100" s="3" t="s">
        <v>446</v>
      </c>
      <c r="D100" s="20">
        <v>4.1245189407441476E-8</v>
      </c>
      <c r="E100" s="20">
        <v>0.92552928809603263</v>
      </c>
      <c r="F100" s="20">
        <v>0.56065020674808852</v>
      </c>
      <c r="G100" s="20">
        <v>0.36131628980860131</v>
      </c>
      <c r="H100" s="20">
        <v>0</v>
      </c>
      <c r="I100" s="20">
        <v>3.5627915393427762E-3</v>
      </c>
      <c r="J100" s="20">
        <v>2.2640341999087859E-2</v>
      </c>
      <c r="K100" s="20">
        <v>5.1830328659690117E-2</v>
      </c>
      <c r="L100" s="20">
        <v>0</v>
      </c>
    </row>
    <row r="101" spans="1:12">
      <c r="A101" s="2" t="s">
        <v>447</v>
      </c>
      <c r="B101" s="3" t="s">
        <v>448</v>
      </c>
      <c r="D101" s="20">
        <v>4.1901185795780848E-9</v>
      </c>
      <c r="E101" s="20">
        <v>0.83307109444237626</v>
      </c>
      <c r="F101" s="20">
        <v>0.50727679688745497</v>
      </c>
      <c r="G101" s="20">
        <v>0.11085123941656741</v>
      </c>
      <c r="H101" s="20">
        <v>0</v>
      </c>
      <c r="I101" s="20">
        <v>0.21494305813835385</v>
      </c>
      <c r="J101" s="20">
        <v>6.7383213023431655E-3</v>
      </c>
      <c r="K101" s="20">
        <v>0.1601905800651619</v>
      </c>
      <c r="L101" s="20">
        <v>0</v>
      </c>
    </row>
    <row r="102" spans="1:12">
      <c r="A102" s="2" t="s">
        <v>449</v>
      </c>
      <c r="B102" s="3" t="s">
        <v>450</v>
      </c>
      <c r="D102" s="20">
        <v>1.7099946052342429E-4</v>
      </c>
      <c r="E102" s="20">
        <v>0.90190484073277766</v>
      </c>
      <c r="F102" s="20">
        <v>0.72179426087625853</v>
      </c>
      <c r="G102" s="20">
        <v>0.13661833241070453</v>
      </c>
      <c r="H102" s="20">
        <v>0</v>
      </c>
      <c r="I102" s="20">
        <v>4.349224744581455E-2</v>
      </c>
      <c r="J102" s="20">
        <v>8.3453267323718005E-3</v>
      </c>
      <c r="K102" s="20">
        <v>8.9578833074327055E-2</v>
      </c>
      <c r="L102" s="20">
        <v>0</v>
      </c>
    </row>
    <row r="103" spans="1:12">
      <c r="A103" s="2" t="s">
        <v>451</v>
      </c>
      <c r="B103" s="3" t="s">
        <v>452</v>
      </c>
      <c r="D103" s="20">
        <v>3.4218826103179495E-19</v>
      </c>
      <c r="E103" s="20">
        <v>0.99953549342784664</v>
      </c>
      <c r="F103" s="20">
        <v>0.10502702898212046</v>
      </c>
      <c r="G103" s="20">
        <v>1.0192395993064426E-5</v>
      </c>
      <c r="H103" s="20">
        <v>0</v>
      </c>
      <c r="I103" s="20">
        <v>0.89449827204973309</v>
      </c>
      <c r="J103" s="20">
        <v>4.1482758771830777E-4</v>
      </c>
      <c r="K103" s="20">
        <v>4.9678984435079211E-5</v>
      </c>
      <c r="L103" s="20">
        <v>0</v>
      </c>
    </row>
    <row r="104" spans="1:12">
      <c r="A104" s="2" t="s">
        <v>453</v>
      </c>
      <c r="B104" s="3" t="s">
        <v>454</v>
      </c>
      <c r="D104" s="20">
        <v>8.7751940827490011E-21</v>
      </c>
      <c r="E104" s="20">
        <v>0.99865431607008892</v>
      </c>
      <c r="F104" s="20">
        <v>0.98650874617726647</v>
      </c>
      <c r="G104" s="20">
        <v>1.0446398533649429E-3</v>
      </c>
      <c r="H104" s="20">
        <v>0</v>
      </c>
      <c r="I104" s="20">
        <v>1.1100930039457481E-2</v>
      </c>
      <c r="J104" s="20">
        <v>1.0532262630337265E-3</v>
      </c>
      <c r="K104" s="20">
        <v>2.9245766687723582E-4</v>
      </c>
      <c r="L104" s="20">
        <v>0</v>
      </c>
    </row>
    <row r="105" spans="1:12">
      <c r="A105" s="2" t="s">
        <v>455</v>
      </c>
      <c r="B105" s="163">
        <v>354656</v>
      </c>
      <c r="D105" s="20">
        <v>2.9166633929029947E-10</v>
      </c>
      <c r="E105" s="20">
        <v>0.98672039581256854</v>
      </c>
      <c r="F105" s="20">
        <v>9.9978126717812288E-4</v>
      </c>
      <c r="G105" s="20">
        <v>3.8672348833981683E-4</v>
      </c>
      <c r="H105" s="20">
        <v>0</v>
      </c>
      <c r="I105" s="20">
        <v>0.9853338910570506</v>
      </c>
      <c r="J105" s="20">
        <v>3.585787624554225E-4</v>
      </c>
      <c r="K105" s="20">
        <v>1.2921025133309677E-2</v>
      </c>
      <c r="L105" s="20">
        <v>0</v>
      </c>
    </row>
    <row r="106" spans="1:12">
      <c r="A106" s="2" t="s">
        <v>457</v>
      </c>
      <c r="B106" s="3" t="s">
        <v>458</v>
      </c>
      <c r="D106" s="20">
        <v>4.4009185162240424E-10</v>
      </c>
      <c r="E106" s="20">
        <v>0.97308701551597254</v>
      </c>
      <c r="F106" s="20">
        <v>4.1965029905858776E-3</v>
      </c>
      <c r="G106" s="20">
        <v>1.4489821475367993E-3</v>
      </c>
      <c r="H106" s="20">
        <v>0</v>
      </c>
      <c r="I106" s="20">
        <v>0.96744153037784986</v>
      </c>
      <c r="J106" s="20">
        <v>4.1825664786213849E-4</v>
      </c>
      <c r="K106" s="20">
        <v>2.6494727396073579E-2</v>
      </c>
      <c r="L106" s="20">
        <v>0</v>
      </c>
    </row>
    <row r="107" spans="1:12">
      <c r="A107" s="2" t="s">
        <v>459</v>
      </c>
      <c r="B107" s="3" t="s">
        <v>460</v>
      </c>
      <c r="D107" s="20">
        <v>3.8640735303858316E-20</v>
      </c>
      <c r="E107" s="20">
        <v>0.92738143114593197</v>
      </c>
      <c r="F107" s="20">
        <v>0.77000437854068138</v>
      </c>
      <c r="G107" s="20">
        <v>0.13476632561252083</v>
      </c>
      <c r="H107" s="20">
        <v>0</v>
      </c>
      <c r="I107" s="20">
        <v>2.2610726992729757E-2</v>
      </c>
      <c r="J107" s="20">
        <v>1.0003651992919896E-2</v>
      </c>
      <c r="K107" s="20">
        <v>6.2614916861148132E-2</v>
      </c>
      <c r="L107" s="20">
        <v>0</v>
      </c>
    </row>
    <row r="108" spans="1:12">
      <c r="A108" s="2" t="s">
        <v>461</v>
      </c>
      <c r="B108" s="3" t="s">
        <v>462</v>
      </c>
      <c r="D108" s="20">
        <v>8.5587061284293021E-10</v>
      </c>
      <c r="E108" s="20">
        <v>0.99963340051374538</v>
      </c>
      <c r="F108" s="20">
        <v>8.7902084623877434E-6</v>
      </c>
      <c r="G108" s="20">
        <v>2.5477731492298497E-7</v>
      </c>
      <c r="H108" s="20">
        <v>0</v>
      </c>
      <c r="I108" s="20">
        <v>0.99962435552796802</v>
      </c>
      <c r="J108" s="20">
        <v>3.4315325573355197E-4</v>
      </c>
      <c r="K108" s="20">
        <v>2.344537465051329E-5</v>
      </c>
      <c r="L108" s="20">
        <v>0</v>
      </c>
    </row>
    <row r="109" spans="1:12">
      <c r="A109" s="2" t="s">
        <v>463</v>
      </c>
      <c r="B109" s="3" t="s">
        <v>464</v>
      </c>
      <c r="D109" s="20">
        <v>2.1970146379655759E-12</v>
      </c>
      <c r="E109" s="20">
        <v>0.98634955677706548</v>
      </c>
      <c r="F109" s="20">
        <v>5.799284683205104E-2</v>
      </c>
      <c r="G109" s="20">
        <v>2.8825742608073485E-3</v>
      </c>
      <c r="H109" s="20">
        <v>0</v>
      </c>
      <c r="I109" s="20">
        <v>0.92547413568420711</v>
      </c>
      <c r="J109" s="20">
        <v>5.9222686254132226E-3</v>
      </c>
      <c r="K109" s="20">
        <v>7.7281745953243393E-3</v>
      </c>
      <c r="L109" s="20">
        <v>0</v>
      </c>
    </row>
    <row r="110" spans="1:12">
      <c r="A110" s="2" t="s">
        <v>465</v>
      </c>
      <c r="B110" s="3" t="s">
        <v>466</v>
      </c>
      <c r="D110" s="20">
        <v>1.6307328792694182E-11</v>
      </c>
      <c r="E110" s="20">
        <v>0.99700860599754848</v>
      </c>
      <c r="F110" s="20">
        <v>2.2558145992461568E-4</v>
      </c>
      <c r="G110" s="20">
        <v>4.3158856421306298E-5</v>
      </c>
      <c r="H110" s="20">
        <v>0</v>
      </c>
      <c r="I110" s="20">
        <v>0.99673986568120254</v>
      </c>
      <c r="J110" s="20">
        <v>3.4309905427264901E-4</v>
      </c>
      <c r="K110" s="20">
        <v>2.6482949318716482E-3</v>
      </c>
      <c r="L110" s="20">
        <v>0</v>
      </c>
    </row>
    <row r="111" spans="1:12">
      <c r="A111" s="2" t="s">
        <v>467</v>
      </c>
      <c r="B111" s="3" t="s">
        <v>468</v>
      </c>
      <c r="D111" s="20">
        <v>2.8882858944180868E-30</v>
      </c>
      <c r="E111" s="20">
        <v>0.99965613402463371</v>
      </c>
      <c r="F111" s="20">
        <v>1.5973690449642912E-5</v>
      </c>
      <c r="G111" s="20">
        <v>1.3197060652378536E-8</v>
      </c>
      <c r="H111" s="20">
        <v>0</v>
      </c>
      <c r="I111" s="20">
        <v>0.99964014713712346</v>
      </c>
      <c r="J111" s="20">
        <v>3.4149583736598258E-4</v>
      </c>
      <c r="K111" s="20">
        <v>2.370138000521792E-6</v>
      </c>
      <c r="L111" s="20">
        <v>0</v>
      </c>
    </row>
    <row r="112" spans="1:12">
      <c r="A112" s="2" t="s">
        <v>469</v>
      </c>
      <c r="B112" s="3" t="s">
        <v>470</v>
      </c>
      <c r="D112" s="20">
        <v>1.8342549484907838E-13</v>
      </c>
      <c r="E112" s="20">
        <v>0.99622315338100209</v>
      </c>
      <c r="F112" s="20">
        <v>7.7889404543037848E-5</v>
      </c>
      <c r="G112" s="20">
        <v>3.6389319915949316E-5</v>
      </c>
      <c r="H112" s="20">
        <v>0</v>
      </c>
      <c r="I112" s="20">
        <v>0.99610887465654308</v>
      </c>
      <c r="J112" s="20">
        <v>3.422925332311423E-4</v>
      </c>
      <c r="K112" s="20">
        <v>3.4345540855833059E-3</v>
      </c>
      <c r="L112" s="20">
        <v>0</v>
      </c>
    </row>
    <row r="113" spans="1:12">
      <c r="A113" s="2" t="s">
        <v>471</v>
      </c>
      <c r="B113" s="3" t="s">
        <v>472</v>
      </c>
      <c r="D113" s="20">
        <v>2.3073128877274224E-9</v>
      </c>
      <c r="E113" s="20">
        <v>0.97992596382341535</v>
      </c>
      <c r="F113" s="20">
        <v>2.2621696746821258E-3</v>
      </c>
      <c r="G113" s="20">
        <v>8.2341871114409242E-4</v>
      </c>
      <c r="H113" s="20">
        <v>0</v>
      </c>
      <c r="I113" s="20">
        <v>0.97684037543758917</v>
      </c>
      <c r="J113" s="20">
        <v>3.8079483768894073E-4</v>
      </c>
      <c r="K113" s="20">
        <v>1.9693239031582967E-2</v>
      </c>
      <c r="L113" s="20">
        <v>0</v>
      </c>
    </row>
    <row r="114" spans="1:12">
      <c r="A114" s="2" t="s">
        <v>473</v>
      </c>
      <c r="B114" s="3" t="s">
        <v>474</v>
      </c>
      <c r="D114" s="20">
        <v>1.7964619758721579E-16</v>
      </c>
      <c r="E114" s="20">
        <v>0.99788174584309608</v>
      </c>
      <c r="F114" s="20">
        <v>2.2629024984563714E-5</v>
      </c>
      <c r="G114" s="20">
        <v>1.1400776860715201E-5</v>
      </c>
      <c r="H114" s="20">
        <v>0</v>
      </c>
      <c r="I114" s="20">
        <v>0.99784771604125078</v>
      </c>
      <c r="J114" s="20">
        <v>3.4148557399791256E-4</v>
      </c>
      <c r="K114" s="20">
        <v>1.7767685829058316E-3</v>
      </c>
      <c r="L114" s="20">
        <v>0</v>
      </c>
    </row>
    <row r="115" spans="1:12">
      <c r="A115" s="2" t="s">
        <v>475</v>
      </c>
      <c r="B115" s="3" t="s">
        <v>476</v>
      </c>
      <c r="D115" s="20">
        <v>9.2680143631270266E-13</v>
      </c>
      <c r="E115" s="20">
        <v>0.99960805619498172</v>
      </c>
      <c r="F115" s="20">
        <v>2.7443524021665229E-2</v>
      </c>
      <c r="G115" s="20">
        <v>3.2871818593606111E-6</v>
      </c>
      <c r="H115" s="20">
        <v>0</v>
      </c>
      <c r="I115" s="20">
        <v>0.97216124499145717</v>
      </c>
      <c r="J115" s="20">
        <v>3.6339945445898459E-4</v>
      </c>
      <c r="K115" s="20">
        <v>2.8544349632427847E-5</v>
      </c>
      <c r="L115" s="20">
        <v>0</v>
      </c>
    </row>
    <row r="116" spans="1:12">
      <c r="A116" s="2" t="s">
        <v>477</v>
      </c>
      <c r="B116" s="3" t="s">
        <v>478</v>
      </c>
      <c r="D116" s="20">
        <v>2.5013481731972748E-17</v>
      </c>
      <c r="E116" s="20">
        <v>0.93252674695121174</v>
      </c>
      <c r="F116" s="20">
        <v>0.78538909284672276</v>
      </c>
      <c r="G116" s="20">
        <v>1.9022534750045523E-2</v>
      </c>
      <c r="H116" s="20">
        <v>0</v>
      </c>
      <c r="I116" s="20">
        <v>0.1281151193544435</v>
      </c>
      <c r="J116" s="20">
        <v>5.9725695571293785E-2</v>
      </c>
      <c r="K116" s="20">
        <v>7.7475574774944368E-3</v>
      </c>
      <c r="L116" s="20">
        <v>0</v>
      </c>
    </row>
    <row r="117" spans="1:12">
      <c r="A117" s="2" t="s">
        <v>291</v>
      </c>
      <c r="B117" s="3" t="s">
        <v>479</v>
      </c>
      <c r="D117" s="20">
        <v>2.7873060149860985E-10</v>
      </c>
      <c r="E117" s="20">
        <v>0.83542131976643685</v>
      </c>
      <c r="F117" s="20">
        <v>0.20806706273544395</v>
      </c>
      <c r="G117" s="20">
        <v>5.2203412288031797E-2</v>
      </c>
      <c r="H117" s="20">
        <v>0</v>
      </c>
      <c r="I117" s="20">
        <v>0.57515084474296108</v>
      </c>
      <c r="J117" s="20">
        <v>3.2931845920666754E-3</v>
      </c>
      <c r="K117" s="20">
        <v>0.16128549536276593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35"/>
      <c r="J1" s="47" t="s">
        <v>25</v>
      </c>
      <c r="K1" s="34" t="s">
        <v>73</v>
      </c>
      <c r="L1" s="46" t="s">
        <v>11</v>
      </c>
      <c r="N1" s="6" t="s">
        <v>17</v>
      </c>
      <c r="O1" s="102" t="s">
        <v>216</v>
      </c>
    </row>
    <row r="2" spans="1:24">
      <c r="A2" s="2" t="s">
        <v>283</v>
      </c>
      <c r="B2" s="3" t="s">
        <v>284</v>
      </c>
      <c r="D2" s="14">
        <v>3.0995919898171923E-12</v>
      </c>
      <c r="E2" s="14">
        <v>1.4832065676949709E-4</v>
      </c>
      <c r="F2" s="14">
        <v>9.1268983618166616E-8</v>
      </c>
      <c r="G2" s="14">
        <v>3.6628469270794854E-8</v>
      </c>
      <c r="H2" s="14">
        <v>0</v>
      </c>
      <c r="I2" s="14">
        <v>5.2741011264931573E-8</v>
      </c>
      <c r="J2" s="14">
        <v>1.4987016667569902E-6</v>
      </c>
      <c r="K2" s="14">
        <v>0</v>
      </c>
      <c r="M2" s="21"/>
      <c r="N2" s="102"/>
    </row>
    <row r="3" spans="1:24">
      <c r="A3" s="2" t="s">
        <v>361</v>
      </c>
      <c r="B3" s="3" t="s">
        <v>362</v>
      </c>
      <c r="D3" s="14">
        <v>2.8143023672817275E-12</v>
      </c>
      <c r="E3" s="14">
        <v>8.4590170461361296E-5</v>
      </c>
      <c r="F3" s="14">
        <v>3.360613507365833E-5</v>
      </c>
      <c r="G3" s="14">
        <v>8.1640707830062603E-6</v>
      </c>
      <c r="H3" s="14">
        <v>0</v>
      </c>
      <c r="I3" s="14">
        <v>6.1443301279708309E-7</v>
      </c>
      <c r="J3" s="14">
        <v>2.3025187854874648E-5</v>
      </c>
      <c r="K3" s="14">
        <v>0</v>
      </c>
      <c r="M3" s="21"/>
      <c r="N3" s="102"/>
    </row>
    <row r="4" spans="1:24">
      <c r="A4" s="2" t="s">
        <v>364</v>
      </c>
      <c r="B4" s="3" t="s">
        <v>365</v>
      </c>
      <c r="D4" s="14">
        <v>1.5865359383288986E-21</v>
      </c>
      <c r="E4" s="14">
        <v>1.498742504889421E-4</v>
      </c>
      <c r="F4" s="14">
        <v>6.3251175162282223E-8</v>
      </c>
      <c r="G4" s="14">
        <v>6.9656915683269957E-11</v>
      </c>
      <c r="H4" s="14">
        <v>0</v>
      </c>
      <c r="I4" s="14">
        <v>6.1122325635986295E-8</v>
      </c>
      <c r="J4" s="14">
        <v>1.3063533439147172E-9</v>
      </c>
      <c r="K4" s="14">
        <v>0</v>
      </c>
      <c r="M4" s="21"/>
    </row>
    <row r="5" spans="1:24">
      <c r="A5" s="2" t="s">
        <v>285</v>
      </c>
      <c r="B5" s="3" t="s">
        <v>286</v>
      </c>
      <c r="D5" s="14">
        <v>2.6407911838742781E-14</v>
      </c>
      <c r="E5" s="14">
        <v>8.2103153200993175E-5</v>
      </c>
      <c r="F5" s="14">
        <v>6.7789340840069707E-5</v>
      </c>
      <c r="G5" s="14">
        <v>5.380475730009031E-9</v>
      </c>
      <c r="H5" s="14">
        <v>0</v>
      </c>
      <c r="I5" s="14">
        <v>9.0226275065320794E-8</v>
      </c>
      <c r="J5" s="14">
        <v>1.189918173384623E-8</v>
      </c>
      <c r="K5" s="14">
        <v>0</v>
      </c>
      <c r="M5" s="21"/>
    </row>
    <row r="6" spans="1:24">
      <c r="A6" s="2" t="s">
        <v>287</v>
      </c>
      <c r="B6" s="3" t="s">
        <v>288</v>
      </c>
      <c r="D6" s="14">
        <v>2.1667705360003993E-15</v>
      </c>
      <c r="E6" s="14">
        <v>4.8600877300436049E-5</v>
      </c>
      <c r="F6" s="14">
        <v>1.0121984855054207E-4</v>
      </c>
      <c r="G6" s="14">
        <v>2.9353386236119763E-8</v>
      </c>
      <c r="H6" s="14">
        <v>0</v>
      </c>
      <c r="I6" s="14">
        <v>1.0529818544574122E-7</v>
      </c>
      <c r="J6" s="14">
        <v>4.4622575173232136E-8</v>
      </c>
      <c r="K6" s="14">
        <v>0</v>
      </c>
      <c r="M6" s="21"/>
      <c r="N6" s="12"/>
    </row>
    <row r="7" spans="1:24">
      <c r="A7" s="2" t="s">
        <v>366</v>
      </c>
      <c r="B7" s="3" t="s">
        <v>305</v>
      </c>
      <c r="D7" s="14">
        <v>1.8930811040909593E-11</v>
      </c>
      <c r="E7" s="14">
        <v>1.6165446490164565E-5</v>
      </c>
      <c r="F7" s="14">
        <v>1.3320155004175111E-4</v>
      </c>
      <c r="G7" s="14">
        <v>2.7114673693376087E-7</v>
      </c>
      <c r="H7" s="14">
        <v>0</v>
      </c>
      <c r="I7" s="14">
        <v>1.2573518214587287E-7</v>
      </c>
      <c r="J7" s="14">
        <v>2.3610261819360923E-7</v>
      </c>
      <c r="K7" s="14">
        <v>0</v>
      </c>
      <c r="M7" s="21"/>
      <c r="N7" s="12"/>
    </row>
    <row r="8" spans="1:24">
      <c r="A8" s="2" t="s">
        <v>289</v>
      </c>
      <c r="B8" s="3" t="s">
        <v>290</v>
      </c>
      <c r="D8" s="14">
        <v>1.3421646465429294E-21</v>
      </c>
      <c r="E8" s="14">
        <v>3.4453691949612141E-5</v>
      </c>
      <c r="F8" s="14">
        <v>1.1539774988720933E-4</v>
      </c>
      <c r="G8" s="14">
        <v>1.7547769690298181E-8</v>
      </c>
      <c r="H8" s="14">
        <v>0</v>
      </c>
      <c r="I8" s="14">
        <v>1.0900554683037313E-7</v>
      </c>
      <c r="J8" s="14">
        <v>2.2004846657821448E-8</v>
      </c>
      <c r="K8" s="14">
        <v>0</v>
      </c>
      <c r="M8" s="21"/>
      <c r="N8" s="12"/>
    </row>
    <row r="9" spans="1:24">
      <c r="A9" s="2" t="s">
        <v>291</v>
      </c>
      <c r="B9" s="3" t="s">
        <v>292</v>
      </c>
      <c r="D9" s="14">
        <v>5.6283538645585585E-17</v>
      </c>
      <c r="E9" s="14">
        <v>9.2088395255903789E-5</v>
      </c>
      <c r="F9" s="14">
        <v>5.7749267413068006E-5</v>
      </c>
      <c r="G9" s="14">
        <v>2.1888622327361972E-8</v>
      </c>
      <c r="H9" s="14">
        <v>0</v>
      </c>
      <c r="I9" s="14">
        <v>8.6334059302159389E-8</v>
      </c>
      <c r="J9" s="14">
        <v>5.4114649342356671E-8</v>
      </c>
      <c r="K9" s="14">
        <v>0</v>
      </c>
      <c r="M9" s="21"/>
      <c r="N9" s="12"/>
    </row>
    <row r="10" spans="1:24">
      <c r="A10" s="2" t="s">
        <v>367</v>
      </c>
      <c r="B10" s="3" t="s">
        <v>368</v>
      </c>
      <c r="D10" s="14">
        <v>1.7981727195950297E-9</v>
      </c>
      <c r="E10" s="14">
        <v>1.6468290320908345E-6</v>
      </c>
      <c r="F10" s="14">
        <v>1.1889130359270735E-4</v>
      </c>
      <c r="G10" s="14">
        <v>2.0765655474531757E-5</v>
      </c>
      <c r="H10" s="14">
        <v>0</v>
      </c>
      <c r="I10" s="14">
        <v>1.2805932595327842E-6</v>
      </c>
      <c r="J10" s="14">
        <v>7.4138204684176594E-6</v>
      </c>
      <c r="K10" s="14">
        <v>0</v>
      </c>
      <c r="M10" s="21"/>
      <c r="N10" s="12"/>
    </row>
    <row r="11" spans="1:24">
      <c r="A11" s="2" t="s">
        <v>369</v>
      </c>
      <c r="B11" s="3" t="s">
        <v>370</v>
      </c>
      <c r="D11" s="14">
        <v>6.7568128216309519E-16</v>
      </c>
      <c r="E11" s="14">
        <v>8.9238317557644108E-8</v>
      </c>
      <c r="F11" s="14">
        <v>8.1420346843702755E-5</v>
      </c>
      <c r="G11" s="14">
        <v>5.9487719466879263E-5</v>
      </c>
      <c r="H11" s="14">
        <v>0</v>
      </c>
      <c r="I11" s="14">
        <v>7.9114466675903804E-6</v>
      </c>
      <c r="J11" s="14">
        <v>1.0912487035942294E-6</v>
      </c>
      <c r="K11" s="14">
        <v>0</v>
      </c>
      <c r="M11" s="21"/>
      <c r="N11" s="12"/>
    </row>
    <row r="12" spans="1:24">
      <c r="A12" s="2" t="s">
        <v>371</v>
      </c>
      <c r="B12" s="3" t="s">
        <v>372</v>
      </c>
      <c r="D12" s="14">
        <v>8.9124672522820527E-6</v>
      </c>
      <c r="E12" s="14">
        <v>1.4076274982039371E-4</v>
      </c>
      <c r="F12" s="14">
        <v>3.9567444804395359E-9</v>
      </c>
      <c r="G12" s="14">
        <v>1.9612182241530541E-9</v>
      </c>
      <c r="H12" s="14">
        <v>0</v>
      </c>
      <c r="I12" s="14">
        <v>4.8206046886799632E-8</v>
      </c>
      <c r="J12" s="14">
        <v>2.7065891773280632E-7</v>
      </c>
      <c r="K12" s="14">
        <v>0</v>
      </c>
      <c r="M12" s="21"/>
      <c r="N12" s="12"/>
    </row>
    <row r="13" spans="1:24">
      <c r="A13" s="2" t="s">
        <v>293</v>
      </c>
      <c r="B13" s="3" t="s">
        <v>294</v>
      </c>
      <c r="D13" s="14">
        <v>2.4652180572123747E-12</v>
      </c>
      <c r="E13" s="14">
        <v>9.4879513722794079E-5</v>
      </c>
      <c r="F13" s="14">
        <v>2.5425764756316225E-5</v>
      </c>
      <c r="G13" s="14">
        <v>6.521831587439469E-6</v>
      </c>
      <c r="H13" s="14">
        <v>0</v>
      </c>
      <c r="I13" s="14">
        <v>4.1845538665719719E-7</v>
      </c>
      <c r="J13" s="14">
        <v>2.2754432081574956E-5</v>
      </c>
      <c r="K13" s="14">
        <v>0</v>
      </c>
      <c r="M13" s="21"/>
      <c r="N13" s="12"/>
    </row>
    <row r="14" spans="1:24">
      <c r="A14" s="2" t="s">
        <v>373</v>
      </c>
      <c r="B14" s="3" t="s">
        <v>374</v>
      </c>
      <c r="D14" s="14">
        <v>9.9999420220988472E-12</v>
      </c>
      <c r="E14" s="14">
        <v>1.319714890930794E-6</v>
      </c>
      <c r="F14" s="14">
        <v>1.4816365788375635E-4</v>
      </c>
      <c r="G14" s="14">
        <v>2.3211720995960876E-7</v>
      </c>
      <c r="H14" s="14">
        <v>0</v>
      </c>
      <c r="I14" s="14">
        <v>2.3506851847174555E-7</v>
      </c>
      <c r="J14" s="14">
        <v>4.9431496939439272E-8</v>
      </c>
      <c r="K14" s="14">
        <v>0</v>
      </c>
      <c r="M14" s="21"/>
      <c r="N14" s="12"/>
    </row>
    <row r="15" spans="1:24">
      <c r="A15" s="2" t="s">
        <v>375</v>
      </c>
      <c r="B15" s="3" t="s">
        <v>376</v>
      </c>
      <c r="D15" s="14">
        <v>1.0940776259632813E-5</v>
      </c>
      <c r="E15" s="14">
        <v>1.2589406210224342E-4</v>
      </c>
      <c r="F15" s="14">
        <v>3.2156355482323945E-6</v>
      </c>
      <c r="G15" s="14">
        <v>9.8075916774072375E-7</v>
      </c>
      <c r="H15" s="14">
        <v>0</v>
      </c>
      <c r="I15" s="14">
        <v>1.0009075710113166E-7</v>
      </c>
      <c r="J15" s="14">
        <v>8.868676165049477E-6</v>
      </c>
      <c r="K15" s="14">
        <v>0</v>
      </c>
      <c r="M15" s="21"/>
      <c r="N15" s="12"/>
    </row>
    <row r="16" spans="1:24">
      <c r="A16" s="2" t="s">
        <v>377</v>
      </c>
      <c r="B16" s="3" t="s">
        <v>378</v>
      </c>
      <c r="D16" s="14">
        <v>9.4468663672782036E-8</v>
      </c>
      <c r="E16" s="14">
        <v>8.9150725542773388E-5</v>
      </c>
      <c r="F16" s="14">
        <v>2.9181422350989662E-5</v>
      </c>
      <c r="G16" s="14">
        <v>7.375679073591446E-6</v>
      </c>
      <c r="H16" s="14">
        <v>0</v>
      </c>
      <c r="I16" s="14">
        <v>4.6766643822555397E-7</v>
      </c>
      <c r="J16" s="14">
        <v>2.3730037930747164E-5</v>
      </c>
      <c r="K16" s="14">
        <v>0</v>
      </c>
      <c r="M16" s="21"/>
      <c r="N16" s="12"/>
      <c r="V16" s="22"/>
      <c r="X16" s="22"/>
    </row>
    <row r="17" spans="1:14">
      <c r="A17" s="2" t="s">
        <v>379</v>
      </c>
      <c r="B17" s="3" t="s">
        <v>380</v>
      </c>
      <c r="D17" s="14">
        <v>2.8282840023404671E-7</v>
      </c>
      <c r="E17" s="14">
        <v>9.2610478264122881E-5</v>
      </c>
      <c r="F17" s="14">
        <v>2.6751103481036306E-5</v>
      </c>
      <c r="G17" s="14">
        <v>6.8239723227314574E-6</v>
      </c>
      <c r="H17" s="14">
        <v>0</v>
      </c>
      <c r="I17" s="14">
        <v>4.3578204157732389E-7</v>
      </c>
      <c r="J17" s="14">
        <v>2.3095835490297987E-5</v>
      </c>
      <c r="K17" s="14">
        <v>0</v>
      </c>
      <c r="M17" s="21"/>
      <c r="N17" s="12"/>
    </row>
    <row r="18" spans="1:14">
      <c r="A18" s="2" t="s">
        <v>381</v>
      </c>
      <c r="B18" s="3" t="s">
        <v>382</v>
      </c>
      <c r="D18" s="14">
        <v>5.0282808240080518E-12</v>
      </c>
      <c r="E18" s="14">
        <v>1.0043767124019964E-7</v>
      </c>
      <c r="F18" s="14">
        <v>3.7242447042018346E-5</v>
      </c>
      <c r="G18" s="14">
        <v>1.0090989731790045E-4</v>
      </c>
      <c r="H18" s="14">
        <v>0</v>
      </c>
      <c r="I18" s="14">
        <v>6.4379995022428512E-6</v>
      </c>
      <c r="J18" s="14">
        <v>5.3092134383173237E-6</v>
      </c>
      <c r="K18" s="14">
        <v>0</v>
      </c>
      <c r="M18" s="21"/>
      <c r="N18" s="12"/>
    </row>
    <row r="19" spans="1:14">
      <c r="A19" s="2" t="s">
        <v>383</v>
      </c>
      <c r="B19" s="3" t="s">
        <v>384</v>
      </c>
      <c r="D19" s="14">
        <v>1.4403964620721851E-6</v>
      </c>
      <c r="E19" s="14">
        <v>1.420885740869432E-4</v>
      </c>
      <c r="F19" s="14">
        <v>9.8878240632770464E-7</v>
      </c>
      <c r="G19" s="14">
        <v>3.3189161901396417E-7</v>
      </c>
      <c r="H19" s="14">
        <v>0</v>
      </c>
      <c r="I19" s="14">
        <v>6.7676144957524236E-8</v>
      </c>
      <c r="J19" s="14">
        <v>5.0826792806853757E-6</v>
      </c>
      <c r="K19" s="14">
        <v>0</v>
      </c>
      <c r="M19" s="21"/>
      <c r="N19" s="12"/>
    </row>
    <row r="20" spans="1:14">
      <c r="A20" s="2" t="s">
        <v>385</v>
      </c>
      <c r="B20" s="3" t="s">
        <v>386</v>
      </c>
      <c r="D20" s="14">
        <v>2.7367156605400657E-6</v>
      </c>
      <c r="E20" s="14">
        <v>1.3797702841285436E-4</v>
      </c>
      <c r="F20" s="14">
        <v>1.7941070869246139E-6</v>
      </c>
      <c r="G20" s="14">
        <v>5.7510072764087508E-7</v>
      </c>
      <c r="H20" s="14">
        <v>0</v>
      </c>
      <c r="I20" s="14">
        <v>8.0445480979834145E-8</v>
      </c>
      <c r="J20" s="14">
        <v>6.8366026310602035E-6</v>
      </c>
      <c r="K20" s="14">
        <v>0</v>
      </c>
      <c r="M20" s="21"/>
      <c r="N20" s="12"/>
    </row>
    <row r="21" spans="1:14">
      <c r="A21" s="2" t="s">
        <v>387</v>
      </c>
      <c r="B21" s="3" t="s">
        <v>388</v>
      </c>
      <c r="D21" s="14">
        <v>2.2594526966402063E-7</v>
      </c>
      <c r="E21" s="14">
        <v>1.65448623084255E-5</v>
      </c>
      <c r="F21" s="14">
        <v>1.233515842033425E-4</v>
      </c>
      <c r="G21" s="14">
        <v>4.9781031773587386E-6</v>
      </c>
      <c r="H21" s="14">
        <v>0</v>
      </c>
      <c r="I21" s="14">
        <v>3.8551793330089278E-7</v>
      </c>
      <c r="J21" s="14">
        <v>4.5139871079083092E-6</v>
      </c>
      <c r="K21" s="14">
        <v>0</v>
      </c>
      <c r="M21" s="21"/>
      <c r="N21" s="12"/>
    </row>
    <row r="22" spans="1:14">
      <c r="A22" s="2" t="s">
        <v>295</v>
      </c>
      <c r="B22" s="3" t="s">
        <v>296</v>
      </c>
      <c r="D22" s="14">
        <v>7.8953526965347448E-6</v>
      </c>
      <c r="E22" s="14">
        <v>1.3990352120792952E-4</v>
      </c>
      <c r="F22" s="14">
        <v>1.5688817808189912E-7</v>
      </c>
      <c r="G22" s="14">
        <v>6.024011260565799E-8</v>
      </c>
      <c r="H22" s="14">
        <v>0</v>
      </c>
      <c r="I22" s="14">
        <v>5.1218816144552325E-8</v>
      </c>
      <c r="J22" s="14">
        <v>1.9327789887036112E-6</v>
      </c>
      <c r="K22" s="14">
        <v>0</v>
      </c>
      <c r="M22" s="21"/>
      <c r="N22" s="12"/>
    </row>
    <row r="23" spans="1:14">
      <c r="A23" s="2" t="s">
        <v>389</v>
      </c>
      <c r="B23" s="3" t="s">
        <v>390</v>
      </c>
      <c r="D23" s="14">
        <v>9.037236954577577E-6</v>
      </c>
      <c r="E23" s="14">
        <v>1.2177349744177049E-4</v>
      </c>
      <c r="F23" s="14">
        <v>5.6683199201610962E-6</v>
      </c>
      <c r="G23" s="14">
        <v>1.654054858257579E-6</v>
      </c>
      <c r="H23" s="14">
        <v>0</v>
      </c>
      <c r="I23" s="14">
        <v>1.3828664220718841E-7</v>
      </c>
      <c r="J23" s="14">
        <v>1.1728604183026026E-5</v>
      </c>
      <c r="K23" s="14">
        <v>0</v>
      </c>
      <c r="M23" s="21"/>
    </row>
    <row r="24" spans="1:14">
      <c r="A24" s="2" t="s">
        <v>391</v>
      </c>
      <c r="B24" s="3" t="s">
        <v>392</v>
      </c>
      <c r="D24" s="14">
        <v>2.8321220281659069E-7</v>
      </c>
      <c r="E24" s="14">
        <v>7.0056602533291769E-5</v>
      </c>
      <c r="F24" s="14">
        <v>4.2848008971417868E-5</v>
      </c>
      <c r="G24" s="14">
        <v>1.0342516004947699E-5</v>
      </c>
      <c r="H24" s="14">
        <v>0</v>
      </c>
      <c r="I24" s="14">
        <v>6.3976638086371072E-7</v>
      </c>
      <c r="J24" s="14">
        <v>2.5829893906662321E-5</v>
      </c>
      <c r="K24" s="14">
        <v>0</v>
      </c>
      <c r="M24" s="21"/>
    </row>
    <row r="25" spans="1:14">
      <c r="A25" s="2" t="s">
        <v>393</v>
      </c>
      <c r="B25" s="3" t="s">
        <v>394</v>
      </c>
      <c r="D25" s="14">
        <v>2.3301221602343028E-8</v>
      </c>
      <c r="E25" s="14">
        <v>1.4090804848885082E-7</v>
      </c>
      <c r="F25" s="14">
        <v>4.4709248957942798E-5</v>
      </c>
      <c r="G25" s="14">
        <v>9.3302424641875749E-5</v>
      </c>
      <c r="H25" s="14">
        <v>0</v>
      </c>
      <c r="I25" s="14">
        <v>5.9331126828656008E-6</v>
      </c>
      <c r="J25" s="14">
        <v>5.8910044472246244E-6</v>
      </c>
      <c r="K25" s="14">
        <v>0</v>
      </c>
      <c r="M25" s="21"/>
    </row>
    <row r="26" spans="1:14">
      <c r="A26" s="2" t="s">
        <v>395</v>
      </c>
      <c r="B26" s="3" t="s">
        <v>396</v>
      </c>
      <c r="D26" s="14">
        <v>1.8882607015554893E-5</v>
      </c>
      <c r="E26" s="14">
        <v>2.4873623978538893E-5</v>
      </c>
      <c r="F26" s="14">
        <v>6.9932755228001374E-5</v>
      </c>
      <c r="G26" s="14">
        <v>1.508607263517302E-5</v>
      </c>
      <c r="H26" s="14">
        <v>0</v>
      </c>
      <c r="I26" s="14">
        <v>9.1668580863156685E-7</v>
      </c>
      <c r="J26" s="14">
        <v>2.0308255334100234E-5</v>
      </c>
      <c r="K26" s="14">
        <v>0</v>
      </c>
    </row>
    <row r="27" spans="1:14">
      <c r="A27" s="2" t="s">
        <v>397</v>
      </c>
      <c r="B27" s="3" t="s">
        <v>398</v>
      </c>
      <c r="D27" s="14">
        <v>8.5510548909125252E-5</v>
      </c>
      <c r="E27" s="14">
        <v>2.9346533216165604E-6</v>
      </c>
      <c r="F27" s="14">
        <v>4.6327448141142087E-5</v>
      </c>
      <c r="G27" s="14">
        <v>8.8010387663284882E-6</v>
      </c>
      <c r="H27" s="14">
        <v>0</v>
      </c>
      <c r="I27" s="14">
        <v>5.3746272609111315E-7</v>
      </c>
      <c r="J27" s="14">
        <v>5.8888481356964856E-6</v>
      </c>
      <c r="K27" s="14">
        <v>0</v>
      </c>
    </row>
    <row r="28" spans="1:14">
      <c r="A28" s="2" t="s">
        <v>399</v>
      </c>
      <c r="B28" s="3" t="s">
        <v>400</v>
      </c>
      <c r="D28" s="14">
        <v>1.1289269435411085E-4</v>
      </c>
      <c r="E28" s="14">
        <v>5.5152213624101532E-6</v>
      </c>
      <c r="F28" s="14">
        <v>2.1462708273513646E-5</v>
      </c>
      <c r="G28" s="14">
        <v>4.5204334293501592E-6</v>
      </c>
      <c r="H28" s="14">
        <v>0</v>
      </c>
      <c r="I28" s="14">
        <v>2.7465410186735828E-7</v>
      </c>
      <c r="J28" s="14">
        <v>5.3342884787478088E-6</v>
      </c>
      <c r="K28" s="14">
        <v>0</v>
      </c>
    </row>
    <row r="29" spans="1:14">
      <c r="A29" s="2" t="s">
        <v>297</v>
      </c>
      <c r="B29" s="3" t="s">
        <v>298</v>
      </c>
      <c r="D29" s="14">
        <v>1.3785393672846344E-4</v>
      </c>
      <c r="E29" s="14">
        <v>1.1256316162219167E-5</v>
      </c>
      <c r="F29" s="14">
        <v>1.8794806428573662E-7</v>
      </c>
      <c r="G29" s="14">
        <v>5.9147094097713791E-8</v>
      </c>
      <c r="H29" s="14">
        <v>0</v>
      </c>
      <c r="I29" s="14">
        <v>7.2773743626702371E-9</v>
      </c>
      <c r="J29" s="14">
        <v>6.3537457657124726E-7</v>
      </c>
      <c r="K29" s="14">
        <v>0</v>
      </c>
    </row>
    <row r="30" spans="1:14">
      <c r="A30" s="2" t="s">
        <v>401</v>
      </c>
      <c r="B30" s="3" t="s">
        <v>402</v>
      </c>
      <c r="D30" s="14">
        <v>1.3542377296679476E-4</v>
      </c>
      <c r="E30" s="14">
        <v>2.2949436125389574E-6</v>
      </c>
      <c r="F30" s="14">
        <v>8.2854021669913351E-6</v>
      </c>
      <c r="G30" s="14">
        <v>1.754725344758209E-6</v>
      </c>
      <c r="H30" s="14">
        <v>0</v>
      </c>
      <c r="I30" s="14">
        <v>1.0660965684177962E-7</v>
      </c>
      <c r="J30" s="14">
        <v>2.1345462520749282E-6</v>
      </c>
      <c r="K30" s="14">
        <v>0</v>
      </c>
    </row>
    <row r="31" spans="1:14">
      <c r="A31" s="2" t="s">
        <v>299</v>
      </c>
      <c r="B31" s="3" t="s">
        <v>300</v>
      </c>
      <c r="D31" s="14">
        <v>1.4969220758363134E-4</v>
      </c>
      <c r="E31" s="14">
        <v>8.6348799338554582E-8</v>
      </c>
      <c r="F31" s="14">
        <v>1.3658967683288765E-7</v>
      </c>
      <c r="G31" s="14">
        <v>3.0740677365476171E-8</v>
      </c>
      <c r="H31" s="14">
        <v>0</v>
      </c>
      <c r="I31" s="14">
        <v>1.8724586666366018E-9</v>
      </c>
      <c r="J31" s="14">
        <v>5.22408041651113E-8</v>
      </c>
      <c r="K31" s="14">
        <v>0</v>
      </c>
    </row>
    <row r="32" spans="1:14">
      <c r="A32" s="2" t="s">
        <v>343</v>
      </c>
      <c r="B32" s="3" t="s">
        <v>344</v>
      </c>
      <c r="D32" s="14">
        <v>2.7366435814569661E-7</v>
      </c>
      <c r="E32" s="14">
        <v>1.0071063838244248E-4</v>
      </c>
      <c r="F32" s="14">
        <v>2.1549486367436769E-5</v>
      </c>
      <c r="G32" s="14">
        <v>5.6199503474400548E-6</v>
      </c>
      <c r="H32" s="14">
        <v>0</v>
      </c>
      <c r="I32" s="14">
        <v>3.6652652282846993E-7</v>
      </c>
      <c r="J32" s="14">
        <v>2.1479734021706537E-5</v>
      </c>
      <c r="K32" s="14">
        <v>0</v>
      </c>
    </row>
    <row r="33" spans="1:11">
      <c r="A33" s="2" t="s">
        <v>345</v>
      </c>
      <c r="B33" s="3" t="s">
        <v>346</v>
      </c>
      <c r="D33" s="14">
        <v>1.1137947949334964E-8</v>
      </c>
      <c r="E33" s="14">
        <v>1.2161924246349939E-4</v>
      </c>
      <c r="F33" s="14">
        <v>9.8134986778725476E-6</v>
      </c>
      <c r="G33" s="14">
        <v>2.7499159731775588E-6</v>
      </c>
      <c r="H33" s="14">
        <v>0</v>
      </c>
      <c r="I33" s="14">
        <v>2.0292700545515339E-7</v>
      </c>
      <c r="J33" s="14">
        <v>1.5603277932045969E-5</v>
      </c>
      <c r="K33" s="14">
        <v>0</v>
      </c>
    </row>
    <row r="34" spans="1:11">
      <c r="A34" s="2" t="s">
        <v>347</v>
      </c>
      <c r="B34" s="3" t="s">
        <v>348</v>
      </c>
      <c r="D34" s="14">
        <v>1.0250085899753236E-8</v>
      </c>
      <c r="E34" s="14">
        <v>3.1678500416480711E-5</v>
      </c>
      <c r="F34" s="14">
        <v>7.665600631321817E-5</v>
      </c>
      <c r="G34" s="14">
        <v>1.6720210651743508E-5</v>
      </c>
      <c r="H34" s="14">
        <v>0</v>
      </c>
      <c r="I34" s="14">
        <v>1.0162998365675836E-6</v>
      </c>
      <c r="J34" s="14">
        <v>2.3918732696090263E-5</v>
      </c>
      <c r="K34" s="14">
        <v>0</v>
      </c>
    </row>
    <row r="35" spans="1:11">
      <c r="A35" s="2" t="s">
        <v>349</v>
      </c>
      <c r="B35" s="3" t="s">
        <v>350</v>
      </c>
      <c r="D35" s="14">
        <v>1.6837509502922192E-6</v>
      </c>
      <c r="E35" s="14">
        <v>3.388558313836204E-6</v>
      </c>
      <c r="F35" s="14">
        <v>1.1326521094617182E-4</v>
      </c>
      <c r="G35" s="14">
        <v>2.0360671335397624E-5</v>
      </c>
      <c r="H35" s="14">
        <v>0</v>
      </c>
      <c r="I35" s="14">
        <v>1.2489743838896277E-6</v>
      </c>
      <c r="J35" s="14">
        <v>1.0052834070412476E-5</v>
      </c>
      <c r="K35" s="14">
        <v>0</v>
      </c>
    </row>
    <row r="36" spans="1:11">
      <c r="A36" s="2" t="s">
        <v>351</v>
      </c>
      <c r="B36" s="3" t="s">
        <v>352</v>
      </c>
      <c r="D36" s="14">
        <v>4.4524056648511864E-8</v>
      </c>
      <c r="E36" s="14">
        <v>7.3517687292341693E-7</v>
      </c>
      <c r="F36" s="14">
        <v>9.4801107500949795E-5</v>
      </c>
      <c r="G36" s="14">
        <v>4.3763189508013199E-5</v>
      </c>
      <c r="H36" s="14">
        <v>0</v>
      </c>
      <c r="I36" s="14">
        <v>2.730890453031477E-6</v>
      </c>
      <c r="J36" s="14">
        <v>7.9251116084335575E-6</v>
      </c>
      <c r="K36" s="14">
        <v>0</v>
      </c>
    </row>
    <row r="37" spans="1:11">
      <c r="A37" s="2" t="s">
        <v>353</v>
      </c>
      <c r="B37" s="3" t="s">
        <v>354</v>
      </c>
      <c r="D37" s="14">
        <v>2.9629370118146987E-7</v>
      </c>
      <c r="E37" s="14">
        <v>1.1028070379155265E-7</v>
      </c>
      <c r="F37" s="14">
        <v>3.9159857553381613E-5</v>
      </c>
      <c r="G37" s="14">
        <v>9.8681708227985155E-5</v>
      </c>
      <c r="H37" s="14">
        <v>0</v>
      </c>
      <c r="I37" s="14">
        <v>6.2900939412171522E-6</v>
      </c>
      <c r="J37" s="14">
        <v>5.4617658724430319E-6</v>
      </c>
      <c r="K37" s="14">
        <v>0</v>
      </c>
    </row>
    <row r="38" spans="1:11">
      <c r="A38" s="2" t="s">
        <v>355</v>
      </c>
      <c r="B38" s="3" t="s">
        <v>356</v>
      </c>
      <c r="D38" s="14">
        <v>1.6581199635597184E-8</v>
      </c>
      <c r="E38" s="14">
        <v>4.026178804222855E-7</v>
      </c>
      <c r="F38" s="14">
        <v>7.4685214474287892E-5</v>
      </c>
      <c r="G38" s="14">
        <v>6.3405975400975206E-5</v>
      </c>
      <c r="H38" s="14">
        <v>0</v>
      </c>
      <c r="I38" s="14">
        <v>3.9867550904751449E-6</v>
      </c>
      <c r="J38" s="14">
        <v>7.5028559542038443E-6</v>
      </c>
      <c r="K38" s="14">
        <v>0</v>
      </c>
    </row>
    <row r="39" spans="1:11">
      <c r="A39" s="2" t="s">
        <v>357</v>
      </c>
      <c r="B39" s="3" t="s">
        <v>358</v>
      </c>
      <c r="D39" s="14">
        <v>3.3772883718033583E-6</v>
      </c>
      <c r="E39" s="14">
        <v>6.1044319213814217E-7</v>
      </c>
      <c r="F39" s="14">
        <v>8.7334699250402522E-5</v>
      </c>
      <c r="G39" s="14">
        <v>4.7982446131080933E-5</v>
      </c>
      <c r="H39" s="14">
        <v>0</v>
      </c>
      <c r="I39" s="14">
        <v>3.0006513818551671E-6</v>
      </c>
      <c r="J39" s="14">
        <v>7.694471672719853E-6</v>
      </c>
      <c r="K39" s="14">
        <v>0</v>
      </c>
    </row>
    <row r="40" spans="1:11">
      <c r="A40" s="2" t="s">
        <v>359</v>
      </c>
      <c r="B40" s="3" t="s">
        <v>360</v>
      </c>
      <c r="D40" s="14">
        <v>1.6581199635597184E-8</v>
      </c>
      <c r="E40" s="14">
        <v>4.026178804222855E-7</v>
      </c>
      <c r="F40" s="14">
        <v>7.4685214474287892E-5</v>
      </c>
      <c r="G40" s="14">
        <v>6.3405975400975206E-5</v>
      </c>
      <c r="H40" s="14">
        <v>0</v>
      </c>
      <c r="I40" s="14">
        <v>3.9867550904751449E-6</v>
      </c>
      <c r="J40" s="14">
        <v>7.5028559542038443E-6</v>
      </c>
      <c r="K40" s="14">
        <v>0</v>
      </c>
    </row>
    <row r="41" spans="1:11">
      <c r="A41" s="2" t="s">
        <v>313</v>
      </c>
      <c r="B41" s="3" t="s">
        <v>314</v>
      </c>
      <c r="D41" s="14">
        <v>6.5458680158219573E-12</v>
      </c>
      <c r="E41" s="14">
        <v>1.4310076738880748E-4</v>
      </c>
      <c r="F41" s="14">
        <v>6.8297300313145645E-6</v>
      </c>
      <c r="G41" s="14">
        <v>1.625264640454386E-9</v>
      </c>
      <c r="H41" s="14">
        <v>0</v>
      </c>
      <c r="I41" s="14">
        <v>5.6462480547899907E-8</v>
      </c>
      <c r="J41" s="14">
        <v>1.1408288821535233E-8</v>
      </c>
      <c r="K41" s="14">
        <v>0</v>
      </c>
    </row>
    <row r="42" spans="1:11">
      <c r="A42" s="2" t="s">
        <v>315</v>
      </c>
      <c r="B42" s="3" t="s">
        <v>316</v>
      </c>
      <c r="D42" s="14">
        <v>4.2675850561927248E-7</v>
      </c>
      <c r="E42" s="14">
        <v>1.0015192372757063E-7</v>
      </c>
      <c r="F42" s="14">
        <v>3.713649141326802E-5</v>
      </c>
      <c r="G42" s="14">
        <v>1.0062280631108806E-4</v>
      </c>
      <c r="H42" s="14">
        <v>0</v>
      </c>
      <c r="I42" s="14">
        <v>6.4196832437976204E-6</v>
      </c>
      <c r="J42" s="14">
        <v>5.2941086024994211E-6</v>
      </c>
      <c r="K42" s="14">
        <v>0</v>
      </c>
    </row>
    <row r="43" spans="1:11">
      <c r="A43" s="2" t="s">
        <v>317</v>
      </c>
      <c r="B43" s="3" t="s">
        <v>318</v>
      </c>
      <c r="D43" s="14">
        <v>6.3590190893288023E-16</v>
      </c>
      <c r="E43" s="14">
        <v>6.5518996744444148E-5</v>
      </c>
      <c r="F43" s="14">
        <v>4.6559554163425359E-5</v>
      </c>
      <c r="G43" s="14">
        <v>1.1114869510064326E-5</v>
      </c>
      <c r="H43" s="14">
        <v>0</v>
      </c>
      <c r="I43" s="14">
        <v>6.8491857391350283E-7</v>
      </c>
      <c r="J43" s="14">
        <v>2.6121661007516744E-5</v>
      </c>
      <c r="K43" s="14">
        <v>0</v>
      </c>
    </row>
    <row r="44" spans="1:11">
      <c r="A44" s="2" t="s">
        <v>307</v>
      </c>
      <c r="B44" s="3" t="s">
        <v>308</v>
      </c>
      <c r="D44" s="14">
        <v>1.4889071557526707E-8</v>
      </c>
      <c r="E44" s="14">
        <v>1.1030234033179287E-6</v>
      </c>
      <c r="F44" s="14">
        <v>1.0781676614809959E-4</v>
      </c>
      <c r="G44" s="14">
        <v>3.1288292057863573E-5</v>
      </c>
      <c r="H44" s="14">
        <v>0</v>
      </c>
      <c r="I44" s="14">
        <v>1.9413207045648576E-6</v>
      </c>
      <c r="J44" s="14">
        <v>7.8357086145965021E-6</v>
      </c>
      <c r="K44" s="14">
        <v>0</v>
      </c>
    </row>
    <row r="45" spans="1:11">
      <c r="A45" s="2" t="s">
        <v>319</v>
      </c>
      <c r="B45" s="3" t="s">
        <v>320</v>
      </c>
      <c r="D45" s="14">
        <v>1.376025213412941E-9</v>
      </c>
      <c r="E45" s="14">
        <v>4.4324464935092421E-8</v>
      </c>
      <c r="F45" s="14">
        <v>2.3439323661839097E-5</v>
      </c>
      <c r="G45" s="14">
        <v>1.1511730965837499E-4</v>
      </c>
      <c r="H45" s="14">
        <v>0</v>
      </c>
      <c r="I45" s="14">
        <v>7.399719008655396E-6</v>
      </c>
      <c r="J45" s="14">
        <v>3.9979471809819745E-6</v>
      </c>
      <c r="K45" s="14">
        <v>0</v>
      </c>
    </row>
    <row r="46" spans="1:11">
      <c r="A46" s="2" t="s">
        <v>321</v>
      </c>
      <c r="B46" s="3" t="s">
        <v>322</v>
      </c>
      <c r="D46" s="14">
        <v>2.0485218907939728E-9</v>
      </c>
      <c r="E46" s="14">
        <v>8.9445339997627693E-8</v>
      </c>
      <c r="F46" s="14">
        <v>3.4934883036975716E-5</v>
      </c>
      <c r="G46" s="14">
        <v>1.0326540411568168E-4</v>
      </c>
      <c r="H46" s="14">
        <v>0</v>
      </c>
      <c r="I46" s="14">
        <v>6.5955076902428091E-6</v>
      </c>
      <c r="J46" s="14">
        <v>5.1127112952113535E-6</v>
      </c>
      <c r="K46" s="14">
        <v>0</v>
      </c>
    </row>
    <row r="47" spans="1:11">
      <c r="A47" s="2" t="s">
        <v>323</v>
      </c>
      <c r="B47" s="3" t="s">
        <v>324</v>
      </c>
      <c r="D47" s="14">
        <v>1.959896089328752E-8</v>
      </c>
      <c r="E47" s="14">
        <v>2.0183206161412346E-7</v>
      </c>
      <c r="F47" s="14">
        <v>5.3858187094872593E-5</v>
      </c>
      <c r="G47" s="14">
        <v>8.4090568008663748E-5</v>
      </c>
      <c r="H47" s="14">
        <v>0</v>
      </c>
      <c r="I47" s="14">
        <v>5.3278626566576045E-6</v>
      </c>
      <c r="J47" s="14">
        <v>6.5019512172986352E-6</v>
      </c>
      <c r="K47" s="14">
        <v>0</v>
      </c>
    </row>
    <row r="48" spans="1:11">
      <c r="A48" s="2" t="s">
        <v>325</v>
      </c>
      <c r="B48" s="3" t="s">
        <v>326</v>
      </c>
      <c r="D48" s="14">
        <v>1.3510801362301458E-8</v>
      </c>
      <c r="E48" s="14">
        <v>1.0169467646114226E-5</v>
      </c>
      <c r="F48" s="14">
        <v>1.0235281541542958E-4</v>
      </c>
      <c r="G48" s="14">
        <v>2.0099967197095138E-5</v>
      </c>
      <c r="H48" s="14">
        <v>0</v>
      </c>
      <c r="I48" s="14">
        <v>1.2246760166720649E-6</v>
      </c>
      <c r="J48" s="14">
        <v>1.6139562923326658E-5</v>
      </c>
      <c r="K48" s="14">
        <v>0</v>
      </c>
    </row>
    <row r="49" spans="1:11">
      <c r="A49" s="2" t="s">
        <v>275</v>
      </c>
      <c r="B49" s="3" t="s">
        <v>276</v>
      </c>
      <c r="D49" s="14">
        <v>1.9125286958744636E-10</v>
      </c>
      <c r="E49" s="14">
        <v>1.0255694373049335E-6</v>
      </c>
      <c r="F49" s="14">
        <v>1.0559093715651645E-4</v>
      </c>
      <c r="G49" s="14">
        <v>3.3428908751934312E-5</v>
      </c>
      <c r="H49" s="14">
        <v>0</v>
      </c>
      <c r="I49" s="14">
        <v>2.076345439017853E-6</v>
      </c>
      <c r="J49" s="14">
        <v>7.8780479623568371E-6</v>
      </c>
      <c r="K49" s="14">
        <v>0</v>
      </c>
    </row>
    <row r="50" spans="1:11">
      <c r="A50" s="2" t="s">
        <v>327</v>
      </c>
      <c r="B50" s="3" t="s">
        <v>328</v>
      </c>
      <c r="D50" s="14">
        <v>9.9555100502996579E-9</v>
      </c>
      <c r="E50" s="14">
        <v>9.0535858708975898E-7</v>
      </c>
      <c r="F50" s="14">
        <v>1.0164410576975331E-4</v>
      </c>
      <c r="G50" s="14">
        <v>3.7202982233173615E-5</v>
      </c>
      <c r="H50" s="14">
        <v>0</v>
      </c>
      <c r="I50" s="14">
        <v>2.3148803094658966E-6</v>
      </c>
      <c r="J50" s="14">
        <v>7.9227175904670887E-6</v>
      </c>
      <c r="K50" s="14">
        <v>0</v>
      </c>
    </row>
    <row r="51" spans="1:11">
      <c r="A51" s="2" t="s">
        <v>329</v>
      </c>
      <c r="B51" s="3" t="s">
        <v>330</v>
      </c>
      <c r="D51" s="14">
        <v>6.908544603975586E-9</v>
      </c>
      <c r="E51" s="14">
        <v>6.3788688906158671E-6</v>
      </c>
      <c r="F51" s="14">
        <v>1.0854385711515139E-4</v>
      </c>
      <c r="G51" s="14">
        <v>2.0506937395135974E-5</v>
      </c>
      <c r="H51" s="14">
        <v>0</v>
      </c>
      <c r="I51" s="14">
        <v>1.2528405052018365E-6</v>
      </c>
      <c r="J51" s="14">
        <v>1.3310587549290914E-5</v>
      </c>
      <c r="K51" s="14">
        <v>0</v>
      </c>
    </row>
    <row r="52" spans="1:11">
      <c r="A52" s="2" t="s">
        <v>277</v>
      </c>
      <c r="B52" s="3" t="s">
        <v>278</v>
      </c>
      <c r="D52" s="14">
        <v>2.0981515515315813E-8</v>
      </c>
      <c r="E52" s="14">
        <v>9.734955362378243E-6</v>
      </c>
      <c r="F52" s="14">
        <v>1.0300434358182523E-4</v>
      </c>
      <c r="G52" s="14">
        <v>2.0153528515934544E-5</v>
      </c>
      <c r="H52" s="14">
        <v>0</v>
      </c>
      <c r="I52" s="14">
        <v>1.2282238360260516E-6</v>
      </c>
      <c r="J52" s="14">
        <v>1.585796718832057E-5</v>
      </c>
      <c r="K52" s="14">
        <v>0</v>
      </c>
    </row>
    <row r="53" spans="1:11">
      <c r="A53" s="2" t="s">
        <v>331</v>
      </c>
      <c r="B53" s="3" t="s">
        <v>332</v>
      </c>
      <c r="D53" s="14">
        <v>6.613292917564077E-9</v>
      </c>
      <c r="E53" s="14">
        <v>5.9884560835245459E-7</v>
      </c>
      <c r="F53" s="14">
        <v>8.792987247946261E-5</v>
      </c>
      <c r="G53" s="14">
        <v>5.0458228449136978E-5</v>
      </c>
      <c r="H53" s="14">
        <v>0</v>
      </c>
      <c r="I53" s="14">
        <v>3.1571855114738422E-6</v>
      </c>
      <c r="J53" s="14">
        <v>7.849254658656559E-6</v>
      </c>
      <c r="K53" s="14">
        <v>0</v>
      </c>
    </row>
    <row r="54" spans="1:11">
      <c r="A54" s="2" t="s">
        <v>333</v>
      </c>
      <c r="B54" s="3" t="s">
        <v>334</v>
      </c>
      <c r="D54" s="14">
        <v>1.0840912695814993E-11</v>
      </c>
      <c r="E54" s="14">
        <v>9.6410194042900552E-7</v>
      </c>
      <c r="F54" s="14">
        <v>1.0365363367242714E-4</v>
      </c>
      <c r="G54" s="14">
        <v>3.5284184689372434E-5</v>
      </c>
      <c r="H54" s="14">
        <v>0</v>
      </c>
      <c r="I54" s="14">
        <v>2.1935305697668732E-6</v>
      </c>
      <c r="J54" s="14">
        <v>7.9045382870918166E-6</v>
      </c>
      <c r="K54" s="14">
        <v>0</v>
      </c>
    </row>
    <row r="55" spans="1:11">
      <c r="A55" s="2" t="s">
        <v>335</v>
      </c>
      <c r="B55" s="3" t="s">
        <v>336</v>
      </c>
      <c r="D55" s="14">
        <v>5.0953304467666356E-8</v>
      </c>
      <c r="E55" s="14">
        <v>2.0895341072674448E-7</v>
      </c>
      <c r="F55" s="14">
        <v>5.4801322441148908E-5</v>
      </c>
      <c r="G55" s="14">
        <v>8.311637506592139E-5</v>
      </c>
      <c r="H55" s="14">
        <v>0</v>
      </c>
      <c r="I55" s="14">
        <v>5.2642205723808015E-6</v>
      </c>
      <c r="J55" s="14">
        <v>6.558175205354451E-6</v>
      </c>
      <c r="K55" s="14">
        <v>0</v>
      </c>
    </row>
    <row r="56" spans="1:11">
      <c r="A56" s="2" t="s">
        <v>337</v>
      </c>
      <c r="B56" s="3" t="s">
        <v>338</v>
      </c>
      <c r="D56" s="14">
        <v>3.824113334175406E-9</v>
      </c>
      <c r="E56" s="14">
        <v>1.0767821928467445E-6</v>
      </c>
      <c r="F56" s="14">
        <v>1.0709012837353514E-4</v>
      </c>
      <c r="G56" s="14">
        <v>3.1992265444549108E-5</v>
      </c>
      <c r="H56" s="14">
        <v>0</v>
      </c>
      <c r="I56" s="14">
        <v>1.9857027121577095E-6</v>
      </c>
      <c r="J56" s="14">
        <v>7.851297163577079E-6</v>
      </c>
      <c r="K56" s="14">
        <v>0</v>
      </c>
    </row>
    <row r="57" spans="1:11">
      <c r="A57" s="2" t="s">
        <v>279</v>
      </c>
      <c r="B57" s="3" t="s">
        <v>280</v>
      </c>
      <c r="D57" s="14">
        <v>4.1036134416266694E-7</v>
      </c>
      <c r="E57" s="14">
        <v>1.2311856747458259E-5</v>
      </c>
      <c r="F57" s="14">
        <v>9.8943012250368178E-5</v>
      </c>
      <c r="G57" s="14">
        <v>1.9755166001803808E-5</v>
      </c>
      <c r="H57" s="14">
        <v>0</v>
      </c>
      <c r="I57" s="14">
        <v>1.2025115082445515E-6</v>
      </c>
      <c r="J57" s="14">
        <v>1.7377092147962515E-5</v>
      </c>
      <c r="K57" s="14">
        <v>0</v>
      </c>
    </row>
    <row r="58" spans="1:11">
      <c r="A58" s="2" t="s">
        <v>339</v>
      </c>
      <c r="B58" s="3" t="s">
        <v>340</v>
      </c>
      <c r="D58" s="14">
        <v>3.7993209177752474E-11</v>
      </c>
      <c r="E58" s="14">
        <v>9.5214499466105332E-7</v>
      </c>
      <c r="F58" s="14">
        <v>1.0325822684088601E-4</v>
      </c>
      <c r="G58" s="14">
        <v>3.5663192551163592E-5</v>
      </c>
      <c r="H58" s="14">
        <v>0</v>
      </c>
      <c r="I58" s="14">
        <v>2.217487517238897E-6</v>
      </c>
      <c r="J58" s="14">
        <v>7.9089101028412217E-6</v>
      </c>
      <c r="K58" s="14">
        <v>0</v>
      </c>
    </row>
    <row r="59" spans="1:11">
      <c r="A59" s="2" t="s">
        <v>281</v>
      </c>
      <c r="B59" s="3" t="s">
        <v>282</v>
      </c>
      <c r="D59" s="14">
        <v>3.1760578974892347E-9</v>
      </c>
      <c r="E59" s="14">
        <v>9.7361110929388791E-6</v>
      </c>
      <c r="F59" s="14">
        <v>1.030165722221553E-4</v>
      </c>
      <c r="G59" s="14">
        <v>2.0155921135925442E-5</v>
      </c>
      <c r="H59" s="14">
        <v>0</v>
      </c>
      <c r="I59" s="14">
        <v>1.2283696503384707E-6</v>
      </c>
      <c r="J59" s="14">
        <v>1.585984984074442E-5</v>
      </c>
      <c r="K59" s="14">
        <v>0</v>
      </c>
    </row>
    <row r="60" spans="1:11">
      <c r="A60" s="2" t="s">
        <v>341</v>
      </c>
      <c r="B60" s="3" t="s">
        <v>342</v>
      </c>
      <c r="D60" s="14">
        <v>5.5435727320848526E-8</v>
      </c>
      <c r="E60" s="14">
        <v>6.7799557570725117E-7</v>
      </c>
      <c r="F60" s="14">
        <v>9.2089143601458841E-5</v>
      </c>
      <c r="G60" s="14">
        <v>4.6377142845392429E-5</v>
      </c>
      <c r="H60" s="14">
        <v>0</v>
      </c>
      <c r="I60" s="14">
        <v>2.8971288751111515E-6</v>
      </c>
      <c r="J60" s="14">
        <v>7.9031533750094367E-6</v>
      </c>
      <c r="K60" s="14">
        <v>0</v>
      </c>
    </row>
    <row r="61" spans="1:11">
      <c r="A61" s="2" t="s">
        <v>483</v>
      </c>
      <c r="B61" s="3" t="s">
        <v>484</v>
      </c>
      <c r="D61" s="14">
        <v>9.9399149973875001E-18</v>
      </c>
      <c r="E61" s="14">
        <v>4.6393831794582771E-5</v>
      </c>
      <c r="F61" s="14">
        <v>7.4735018868850013E-5</v>
      </c>
      <c r="G61" s="14">
        <v>1.2452075509944243E-5</v>
      </c>
      <c r="H61" s="14">
        <v>0</v>
      </c>
      <c r="I61" s="14">
        <v>2.5917489659037225E-6</v>
      </c>
      <c r="J61" s="14">
        <v>1.3827324860709286E-5</v>
      </c>
      <c r="K61" s="14">
        <v>0</v>
      </c>
    </row>
    <row r="62" spans="1:11">
      <c r="A62" s="2" t="s">
        <v>485</v>
      </c>
      <c r="B62" s="3" t="s">
        <v>486</v>
      </c>
      <c r="D62" s="14">
        <v>2.9156327007966879E-11</v>
      </c>
      <c r="E62" s="14">
        <v>3.3963303221788471E-5</v>
      </c>
      <c r="F62" s="14">
        <v>7.436207448302255E-5</v>
      </c>
      <c r="G62" s="14">
        <v>1.6339811879187808E-5</v>
      </c>
      <c r="H62" s="14">
        <v>0</v>
      </c>
      <c r="I62" s="14">
        <v>9.9349785256215537E-7</v>
      </c>
      <c r="J62" s="14">
        <v>2.4341283407111977E-5</v>
      </c>
      <c r="K62" s="14">
        <v>0</v>
      </c>
    </row>
    <row r="63" spans="1:11">
      <c r="A63" s="2" t="s">
        <v>487</v>
      </c>
      <c r="B63" s="3" t="s">
        <v>488</v>
      </c>
      <c r="D63" s="14">
        <v>8.5333371110029077E-17</v>
      </c>
      <c r="E63" s="14">
        <v>1.4146555182593704E-4</v>
      </c>
      <c r="F63" s="14">
        <v>4.8933646787917365E-6</v>
      </c>
      <c r="G63" s="14">
        <v>6.4566067435121923E-7</v>
      </c>
      <c r="H63" s="14">
        <v>0</v>
      </c>
      <c r="I63" s="14">
        <v>4.0732458871413013E-7</v>
      </c>
      <c r="J63" s="14">
        <v>2.5880982321205182E-6</v>
      </c>
      <c r="K63" s="14">
        <v>0</v>
      </c>
    </row>
    <row r="64" spans="1:11">
      <c r="A64" s="2" t="s">
        <v>489</v>
      </c>
      <c r="B64" s="3" t="s">
        <v>490</v>
      </c>
      <c r="D64" s="14">
        <v>1.5419875635401618E-18</v>
      </c>
      <c r="E64" s="14">
        <v>1.4781968426705568E-4</v>
      </c>
      <c r="F64" s="14">
        <v>1.8283268814961207E-6</v>
      </c>
      <c r="G64" s="14">
        <v>2.2700279550147186E-8</v>
      </c>
      <c r="H64" s="14">
        <v>0</v>
      </c>
      <c r="I64" s="14">
        <v>5.3911596076608237E-8</v>
      </c>
      <c r="J64" s="14">
        <v>2.7537697581987141E-7</v>
      </c>
      <c r="K64" s="14">
        <v>0</v>
      </c>
    </row>
    <row r="65" spans="1:11">
      <c r="A65" s="2" t="s">
        <v>491</v>
      </c>
      <c r="B65" s="3" t="s">
        <v>492</v>
      </c>
      <c r="D65" s="14">
        <v>2.5677307346619395E-16</v>
      </c>
      <c r="E65" s="14">
        <v>1.4954528258995814E-4</v>
      </c>
      <c r="F65" s="14">
        <v>2.393316847050395E-7</v>
      </c>
      <c r="G65" s="14">
        <v>1.0644952267190996E-8</v>
      </c>
      <c r="H65" s="14">
        <v>0</v>
      </c>
      <c r="I65" s="14">
        <v>8.2047672958921469E-8</v>
      </c>
      <c r="J65" s="14">
        <v>1.2269309985391751E-7</v>
      </c>
      <c r="K65" s="14">
        <v>0</v>
      </c>
    </row>
    <row r="66" spans="1:11">
      <c r="A66" s="2" t="s">
        <v>493</v>
      </c>
      <c r="B66" s="3" t="s">
        <v>494</v>
      </c>
      <c r="D66" s="14">
        <v>3.3425793453408385E-15</v>
      </c>
      <c r="E66" s="14">
        <v>1.1524713808961895E-4</v>
      </c>
      <c r="F66" s="14">
        <v>3.0016313426846389E-5</v>
      </c>
      <c r="G66" s="14">
        <v>7.52263846727954E-7</v>
      </c>
      <c r="H66" s="14">
        <v>0</v>
      </c>
      <c r="I66" s="14">
        <v>2.8938827043773183E-6</v>
      </c>
      <c r="J66" s="14">
        <v>1.0904019290867612E-6</v>
      </c>
      <c r="K66" s="14">
        <v>0</v>
      </c>
    </row>
    <row r="67" spans="1:11">
      <c r="A67" s="2" t="s">
        <v>495</v>
      </c>
      <c r="B67" s="3" t="s">
        <v>496</v>
      </c>
      <c r="D67" s="14">
        <v>2.0062914573361693E-16</v>
      </c>
      <c r="E67" s="14">
        <v>1.4957228665300954E-4</v>
      </c>
      <c r="F67" s="14">
        <v>2.0184707387006324E-7</v>
      </c>
      <c r="G67" s="14">
        <v>1.1034112103562003E-8</v>
      </c>
      <c r="H67" s="14">
        <v>0</v>
      </c>
      <c r="I67" s="14">
        <v>7.6846546095102127E-8</v>
      </c>
      <c r="J67" s="14">
        <v>1.3798561472108386E-7</v>
      </c>
      <c r="K67" s="14">
        <v>0</v>
      </c>
    </row>
    <row r="68" spans="1:11">
      <c r="A68" s="2" t="s">
        <v>497</v>
      </c>
      <c r="B68" s="3" t="s">
        <v>498</v>
      </c>
      <c r="D68" s="14">
        <v>1.814860747182898E-15</v>
      </c>
      <c r="E68" s="14">
        <v>1.4986376637416587E-4</v>
      </c>
      <c r="F68" s="14">
        <v>2.4011803773449243E-8</v>
      </c>
      <c r="G68" s="14">
        <v>1.8526392530563036E-9</v>
      </c>
      <c r="H68" s="14">
        <v>0</v>
      </c>
      <c r="I68" s="14">
        <v>5.4603465050505427E-8</v>
      </c>
      <c r="J68" s="14">
        <v>5.5765715942228568E-8</v>
      </c>
      <c r="K68" s="14">
        <v>0</v>
      </c>
    </row>
    <row r="69" spans="1:11">
      <c r="A69" s="2" t="s">
        <v>499</v>
      </c>
      <c r="B69" s="3" t="s">
        <v>500</v>
      </c>
      <c r="D69" s="14">
        <v>9.5119313508934265E-16</v>
      </c>
      <c r="E69" s="14">
        <v>1.2175416237403541E-6</v>
      </c>
      <c r="F69" s="14">
        <v>1.1075858316399799E-4</v>
      </c>
      <c r="G69" s="14">
        <v>2.8495937326331366E-5</v>
      </c>
      <c r="H69" s="14">
        <v>0</v>
      </c>
      <c r="I69" s="14">
        <v>1.765478020887018E-6</v>
      </c>
      <c r="J69" s="14">
        <v>7.76245986409203E-6</v>
      </c>
      <c r="K69" s="14">
        <v>0</v>
      </c>
    </row>
    <row r="70" spans="1:11">
      <c r="A70" s="2" t="s">
        <v>501</v>
      </c>
      <c r="B70" s="3" t="s">
        <v>411</v>
      </c>
      <c r="D70" s="14">
        <v>3.2516310823378341E-17</v>
      </c>
      <c r="E70" s="14">
        <v>1.4540467710962644E-4</v>
      </c>
      <c r="F70" s="14">
        <v>4.5364899245883304E-6</v>
      </c>
      <c r="G70" s="14">
        <v>4.3113727738110922E-10</v>
      </c>
      <c r="H70" s="14">
        <v>0</v>
      </c>
      <c r="I70" s="14">
        <v>5.4806720027535664E-8</v>
      </c>
      <c r="J70" s="14">
        <v>3.5951084477479593E-9</v>
      </c>
      <c r="K70" s="14">
        <v>0</v>
      </c>
    </row>
    <row r="71" spans="1:11">
      <c r="A71" s="2" t="s">
        <v>502</v>
      </c>
      <c r="B71" s="3" t="s">
        <v>412</v>
      </c>
      <c r="D71" s="14">
        <v>1.4851763224252279E-12</v>
      </c>
      <c r="E71" s="14">
        <v>1.414801661315306E-4</v>
      </c>
      <c r="F71" s="14">
        <v>8.4566262217188165E-6</v>
      </c>
      <c r="G71" s="14">
        <v>7.6853464390112328E-10</v>
      </c>
      <c r="H71" s="14">
        <v>0</v>
      </c>
      <c r="I71" s="14">
        <v>5.7513152689416099E-8</v>
      </c>
      <c r="J71" s="14">
        <v>4.9244742409358481E-9</v>
      </c>
      <c r="K71" s="14">
        <v>0</v>
      </c>
    </row>
    <row r="72" spans="1:11">
      <c r="A72" s="2" t="s">
        <v>503</v>
      </c>
      <c r="B72" s="3" t="s">
        <v>413</v>
      </c>
      <c r="D72" s="14">
        <v>2.0000479663331765E-14</v>
      </c>
      <c r="E72" s="14">
        <v>5.8089487254192782E-7</v>
      </c>
      <c r="F72" s="14">
        <v>1.4844279307895029E-4</v>
      </c>
      <c r="G72" s="14">
        <v>6.8174737838533315E-8</v>
      </c>
      <c r="H72" s="14">
        <v>0</v>
      </c>
      <c r="I72" s="14">
        <v>9.0259205641481663E-7</v>
      </c>
      <c r="J72" s="14">
        <v>5.545234253954789E-9</v>
      </c>
      <c r="K72" s="14">
        <v>0</v>
      </c>
    </row>
    <row r="73" spans="1:11">
      <c r="A73" s="2" t="s">
        <v>504</v>
      </c>
      <c r="B73" s="3" t="s">
        <v>414</v>
      </c>
      <c r="D73" s="14">
        <v>2.6251166603563143E-14</v>
      </c>
      <c r="E73" s="14">
        <v>5.4128468571930745E-6</v>
      </c>
      <c r="F73" s="14">
        <v>1.4446655425342608E-4</v>
      </c>
      <c r="G73" s="14">
        <v>8.3508690490586803E-9</v>
      </c>
      <c r="H73" s="14">
        <v>0</v>
      </c>
      <c r="I73" s="14">
        <v>1.0773122285357196E-7</v>
      </c>
      <c r="J73" s="14">
        <v>4.5167712269978888E-9</v>
      </c>
      <c r="K73" s="14">
        <v>0</v>
      </c>
    </row>
    <row r="74" spans="1:11">
      <c r="A74" s="2" t="s">
        <v>505</v>
      </c>
      <c r="B74" s="3" t="s">
        <v>415</v>
      </c>
      <c r="D74" s="14">
        <v>1.8360250885590954E-13</v>
      </c>
      <c r="E74" s="14">
        <v>1.4224458518526695E-4</v>
      </c>
      <c r="F74" s="14">
        <v>7.6930280766364331E-6</v>
      </c>
      <c r="G74" s="14">
        <v>7.022013767858014E-10</v>
      </c>
      <c r="H74" s="14">
        <v>0</v>
      </c>
      <c r="I74" s="14">
        <v>5.6998829865827915E-8</v>
      </c>
      <c r="J74" s="14">
        <v>4.6855232514682596E-9</v>
      </c>
      <c r="K74" s="14">
        <v>0</v>
      </c>
    </row>
    <row r="75" spans="1:11">
      <c r="A75" s="2" t="s">
        <v>506</v>
      </c>
      <c r="B75" s="3" t="s">
        <v>416</v>
      </c>
      <c r="D75" s="14">
        <v>1.1265618064445341E-13</v>
      </c>
      <c r="E75" s="14">
        <v>6.4040122666360754E-6</v>
      </c>
      <c r="F75" s="14">
        <v>1.4347417278241217E-4</v>
      </c>
      <c r="G75" s="14">
        <v>8.4011374196370802E-9</v>
      </c>
      <c r="H75" s="14">
        <v>0</v>
      </c>
      <c r="I75" s="14">
        <v>1.0853578271854239E-7</v>
      </c>
      <c r="J75" s="14">
        <v>4.8779181573710746E-9</v>
      </c>
      <c r="K75" s="14">
        <v>0</v>
      </c>
    </row>
    <row r="76" spans="1:11">
      <c r="A76" s="2" t="s">
        <v>507</v>
      </c>
      <c r="B76" s="3" t="s">
        <v>417</v>
      </c>
      <c r="D76" s="14">
        <v>2.6027704183383188E-12</v>
      </c>
      <c r="E76" s="14">
        <v>6.7157327684322745E-5</v>
      </c>
      <c r="F76" s="14">
        <v>8.2728467769532918E-5</v>
      </c>
      <c r="G76" s="14">
        <v>6.0161865535289475E-9</v>
      </c>
      <c r="H76" s="14">
        <v>0</v>
      </c>
      <c r="I76" s="14">
        <v>9.6871716675539504E-8</v>
      </c>
      <c r="J76" s="14">
        <v>1.131404014482088E-8</v>
      </c>
      <c r="K76" s="14">
        <v>0</v>
      </c>
    </row>
    <row r="77" spans="1:11">
      <c r="A77" s="2" t="s">
        <v>508</v>
      </c>
      <c r="B77" s="3" t="s">
        <v>418</v>
      </c>
      <c r="D77" s="14">
        <v>8.1272466699833354E-13</v>
      </c>
      <c r="E77" s="14">
        <v>5.679903869778585E-6</v>
      </c>
      <c r="F77" s="14">
        <v>1.4419910333075031E-4</v>
      </c>
      <c r="G77" s="14">
        <v>8.3912927693112795E-9</v>
      </c>
      <c r="H77" s="14">
        <v>0</v>
      </c>
      <c r="I77" s="14">
        <v>1.0796915530687779E-7</v>
      </c>
      <c r="J77" s="14">
        <v>4.6315386702131227E-9</v>
      </c>
      <c r="K77" s="14">
        <v>0</v>
      </c>
    </row>
    <row r="78" spans="1:11">
      <c r="A78" s="2" t="s">
        <v>509</v>
      </c>
      <c r="B78" s="3" t="s">
        <v>419</v>
      </c>
      <c r="D78" s="14">
        <v>8.0484477734939205E-14</v>
      </c>
      <c r="E78" s="14">
        <v>6.4489537454583048E-7</v>
      </c>
      <c r="F78" s="14">
        <v>1.4853569626645125E-4</v>
      </c>
      <c r="G78" s="14">
        <v>5.7318550013745479E-8</v>
      </c>
      <c r="H78" s="14">
        <v>0</v>
      </c>
      <c r="I78" s="14">
        <v>7.5682481044742694E-7</v>
      </c>
      <c r="J78" s="14">
        <v>5.2649180572712533E-9</v>
      </c>
      <c r="K78" s="14">
        <v>0</v>
      </c>
    </row>
    <row r="79" spans="1:11">
      <c r="A79" s="2" t="s">
        <v>510</v>
      </c>
      <c r="B79" s="3" t="s">
        <v>420</v>
      </c>
      <c r="D79" s="14">
        <v>2.0216789187037719E-18</v>
      </c>
      <c r="E79" s="14">
        <v>6.4489541977410422E-7</v>
      </c>
      <c r="F79" s="14">
        <v>1.4853570668366527E-4</v>
      </c>
      <c r="G79" s="14">
        <v>5.7309483046936536E-8</v>
      </c>
      <c r="H79" s="14">
        <v>0</v>
      </c>
      <c r="I79" s="14">
        <v>7.5682432828837718E-7</v>
      </c>
      <c r="J79" s="14">
        <v>5.2640852232713442E-9</v>
      </c>
      <c r="K79" s="14">
        <v>0</v>
      </c>
    </row>
    <row r="80" spans="1:11">
      <c r="A80" s="2" t="s">
        <v>511</v>
      </c>
      <c r="B80" s="3" t="s">
        <v>421</v>
      </c>
      <c r="D80" s="14">
        <v>2.2881312453615938E-13</v>
      </c>
      <c r="E80" s="14">
        <v>2.4990679417035256E-5</v>
      </c>
      <c r="F80" s="14">
        <v>1.2488194027877013E-4</v>
      </c>
      <c r="G80" s="14">
        <v>8.1670271039595531E-9</v>
      </c>
      <c r="H80" s="14">
        <v>0</v>
      </c>
      <c r="I80" s="14">
        <v>1.1050420615377122E-7</v>
      </c>
      <c r="J80" s="14">
        <v>8.7088421237319157E-9</v>
      </c>
      <c r="K80" s="14">
        <v>0</v>
      </c>
    </row>
    <row r="81" spans="1:11">
      <c r="A81" s="2" t="s">
        <v>512</v>
      </c>
      <c r="B81" s="3" t="s">
        <v>422</v>
      </c>
      <c r="D81" s="14">
        <v>2.9923472082441789E-13</v>
      </c>
      <c r="E81" s="14">
        <v>1.2066161002935884E-4</v>
      </c>
      <c r="F81" s="14">
        <v>2.9257060534514451E-5</v>
      </c>
      <c r="G81" s="14">
        <v>2.3910851897992364E-9</v>
      </c>
      <c r="H81" s="14">
        <v>0</v>
      </c>
      <c r="I81" s="14">
        <v>7.0250618662239305E-8</v>
      </c>
      <c r="J81" s="14">
        <v>8.6874330399172161E-9</v>
      </c>
      <c r="K81" s="14">
        <v>0</v>
      </c>
    </row>
    <row r="82" spans="1:11">
      <c r="A82" s="2" t="s">
        <v>513</v>
      </c>
      <c r="B82" s="3" t="s">
        <v>423</v>
      </c>
      <c r="D82" s="14">
        <v>7.5326384479701422E-17</v>
      </c>
      <c r="E82" s="14">
        <v>9.1235579027871077E-5</v>
      </c>
      <c r="F82" s="14">
        <v>5.8663207766600559E-5</v>
      </c>
      <c r="G82" s="14">
        <v>4.4613000289078877E-9</v>
      </c>
      <c r="H82" s="14">
        <v>0</v>
      </c>
      <c r="I82" s="14">
        <v>8.5833534308822194E-8</v>
      </c>
      <c r="J82" s="14">
        <v>1.0918371115322994E-8</v>
      </c>
      <c r="K82" s="14">
        <v>0</v>
      </c>
    </row>
    <row r="83" spans="1:11">
      <c r="A83" s="2" t="s">
        <v>514</v>
      </c>
      <c r="B83" s="3" t="s">
        <v>424</v>
      </c>
      <c r="D83" s="14">
        <v>2.8681417545499444E-14</v>
      </c>
      <c r="E83" s="14">
        <v>4.3518883399781071E-7</v>
      </c>
      <c r="F83" s="14">
        <v>1.4798555244677268E-4</v>
      </c>
      <c r="G83" s="14">
        <v>1.0969420305919707E-7</v>
      </c>
      <c r="H83" s="14">
        <v>0</v>
      </c>
      <c r="I83" s="14">
        <v>1.4631777348218737E-6</v>
      </c>
      <c r="J83" s="14">
        <v>6.3867526669773214E-9</v>
      </c>
      <c r="K83" s="14">
        <v>0</v>
      </c>
    </row>
    <row r="84" spans="1:11">
      <c r="A84" s="2" t="s">
        <v>403</v>
      </c>
      <c r="B84" s="3" t="s">
        <v>404</v>
      </c>
      <c r="D84" s="14">
        <v>6.4425035549816608E-48</v>
      </c>
      <c r="E84" s="14">
        <v>5.2603153070667772E-5</v>
      </c>
      <c r="F84" s="14">
        <v>5.7183844675490473E-5</v>
      </c>
      <c r="G84" s="14">
        <v>1.323027607158381E-5</v>
      </c>
      <c r="H84" s="14">
        <v>0</v>
      </c>
      <c r="I84" s="14">
        <v>8.0901370629110697E-7</v>
      </c>
      <c r="J84" s="14">
        <v>2.6173712475966799E-5</v>
      </c>
      <c r="K84" s="14">
        <v>0</v>
      </c>
    </row>
    <row r="85" spans="1:11">
      <c r="A85" s="2" t="s">
        <v>405</v>
      </c>
      <c r="B85" s="3" t="s">
        <v>406</v>
      </c>
      <c r="D85" s="14">
        <v>1.4699310207637615E-12</v>
      </c>
      <c r="E85" s="14">
        <v>6.8966063696186761E-6</v>
      </c>
      <c r="F85" s="14">
        <v>1.0839476911080235E-4</v>
      </c>
      <c r="G85" s="14">
        <v>5.6667247342667616E-6</v>
      </c>
      <c r="H85" s="14">
        <v>0</v>
      </c>
      <c r="I85" s="14">
        <v>2.8142341625539231E-5</v>
      </c>
      <c r="J85" s="14">
        <v>8.9955668984192242E-7</v>
      </c>
      <c r="K85" s="14">
        <v>0</v>
      </c>
    </row>
    <row r="86" spans="1:11">
      <c r="A86" s="2" t="s">
        <v>407</v>
      </c>
      <c r="B86" s="3" t="s">
        <v>408</v>
      </c>
      <c r="D86" s="14">
        <v>3.068715484256242E-9</v>
      </c>
      <c r="E86" s="14">
        <v>5.4396847908379197E-8</v>
      </c>
      <c r="F86" s="14">
        <v>2.6380031453606316E-5</v>
      </c>
      <c r="G86" s="14">
        <v>1.1206522422024584E-4</v>
      </c>
      <c r="H86" s="14">
        <v>0</v>
      </c>
      <c r="I86" s="14">
        <v>7.1903540005095503E-6</v>
      </c>
      <c r="J86" s="14">
        <v>4.306924762245632E-6</v>
      </c>
      <c r="K86" s="14">
        <v>0</v>
      </c>
    </row>
    <row r="87" spans="1:11">
      <c r="A87" s="2" t="s">
        <v>409</v>
      </c>
      <c r="B87" s="3" t="s">
        <v>410</v>
      </c>
      <c r="D87" s="14">
        <v>3.7526066448552237E-10</v>
      </c>
      <c r="E87" s="14">
        <v>1.8616162157047397E-8</v>
      </c>
      <c r="F87" s="14">
        <v>1.4039502792291792E-5</v>
      </c>
      <c r="G87" s="14">
        <v>1.2498194613836793E-4</v>
      </c>
      <c r="H87" s="14">
        <v>0</v>
      </c>
      <c r="I87" s="14">
        <v>8.0944337921861022E-6</v>
      </c>
      <c r="J87" s="14">
        <v>2.865125854332631E-6</v>
      </c>
      <c r="K87" s="14">
        <v>0</v>
      </c>
    </row>
    <row r="88" spans="1:11">
      <c r="A88" s="2" t="s">
        <v>301</v>
      </c>
      <c r="B88" s="3" t="s">
        <v>302</v>
      </c>
      <c r="D88" s="14">
        <v>4.5896786548676672E-11</v>
      </c>
      <c r="E88" s="14">
        <v>5.1743927482648704E-9</v>
      </c>
      <c r="F88" s="14">
        <v>6.4476427167906793E-6</v>
      </c>
      <c r="G88" s="14">
        <v>1.3313631103615176E-4</v>
      </c>
      <c r="H88" s="14">
        <v>0</v>
      </c>
      <c r="I88" s="14">
        <v>8.7149544641369682E-6</v>
      </c>
      <c r="J88" s="14">
        <v>1.6958714933857494E-6</v>
      </c>
      <c r="K88" s="14">
        <v>0</v>
      </c>
    </row>
    <row r="89" spans="1:11">
      <c r="A89" s="2" t="s">
        <v>303</v>
      </c>
      <c r="B89" s="3" t="s">
        <v>304</v>
      </c>
      <c r="D89" s="14">
        <v>1.4249891242517523E-17</v>
      </c>
      <c r="E89" s="14">
        <v>1.4081304347489371E-7</v>
      </c>
      <c r="F89" s="14">
        <v>1.609359351010472E-5</v>
      </c>
      <c r="G89" s="14">
        <v>4.1856133130609544E-5</v>
      </c>
      <c r="H89" s="14">
        <v>0</v>
      </c>
      <c r="I89" s="14">
        <v>9.1164633122101834E-5</v>
      </c>
      <c r="J89" s="14">
        <v>7.4482719369471844E-7</v>
      </c>
      <c r="K89" s="14">
        <v>0</v>
      </c>
    </row>
    <row r="90" spans="1:11">
      <c r="A90" s="2" t="s">
        <v>425</v>
      </c>
      <c r="B90" s="3" t="s">
        <v>426</v>
      </c>
      <c r="D90" s="14">
        <v>1.8963818736386964E-17</v>
      </c>
      <c r="E90" s="14">
        <v>1.481477089428824E-4</v>
      </c>
      <c r="F90" s="14">
        <v>1.3945577835095192E-7</v>
      </c>
      <c r="G90" s="14">
        <v>4.682327654031164E-8</v>
      </c>
      <c r="H90" s="14">
        <v>0</v>
      </c>
      <c r="I90" s="14">
        <v>5.3294787950460266E-8</v>
      </c>
      <c r="J90" s="14">
        <v>1.6127172142568661E-6</v>
      </c>
      <c r="K90" s="14">
        <v>0</v>
      </c>
    </row>
    <row r="91" spans="1:11">
      <c r="A91" s="2" t="s">
        <v>427</v>
      </c>
      <c r="B91" s="3" t="s">
        <v>428</v>
      </c>
      <c r="D91" s="14">
        <v>1.0955342885007811E-8</v>
      </c>
      <c r="E91" s="14">
        <v>1.2244557213597716E-4</v>
      </c>
      <c r="F91" s="14">
        <v>9.3981994870563654E-6</v>
      </c>
      <c r="G91" s="14">
        <v>2.643262012282416E-6</v>
      </c>
      <c r="H91" s="14">
        <v>0</v>
      </c>
      <c r="I91" s="14">
        <v>1.9689467914862677E-7</v>
      </c>
      <c r="J91" s="14">
        <v>1.5305116342650405E-5</v>
      </c>
      <c r="K91" s="14">
        <v>0</v>
      </c>
    </row>
    <row r="92" spans="1:11">
      <c r="A92" s="2" t="s">
        <v>429</v>
      </c>
      <c r="B92" s="3" t="s">
        <v>430</v>
      </c>
      <c r="D92" s="14">
        <v>7.037381585531322E-8</v>
      </c>
      <c r="E92" s="14">
        <v>2.2717901398112256E-5</v>
      </c>
      <c r="F92" s="14">
        <v>8.6224321300909238E-5</v>
      </c>
      <c r="G92" s="14">
        <v>1.8193880587049148E-5</v>
      </c>
      <c r="H92" s="14">
        <v>0</v>
      </c>
      <c r="I92" s="14">
        <v>1.1054102311698462E-6</v>
      </c>
      <c r="J92" s="14">
        <v>2.168811266690417E-5</v>
      </c>
      <c r="K92" s="14">
        <v>0</v>
      </c>
    </row>
    <row r="93" spans="1:11">
      <c r="A93" s="2" t="s">
        <v>431</v>
      </c>
      <c r="B93" s="3" t="s">
        <v>432</v>
      </c>
      <c r="D93" s="14">
        <v>1.4059180651726729E-21</v>
      </c>
      <c r="E93" s="14">
        <v>1.4928383712339651E-4</v>
      </c>
      <c r="F93" s="14">
        <v>6.541003232850049E-7</v>
      </c>
      <c r="G93" s="14">
        <v>5.240422289734642E-10</v>
      </c>
      <c r="H93" s="14">
        <v>0</v>
      </c>
      <c r="I93" s="14">
        <v>5.1858793072038311E-8</v>
      </c>
      <c r="J93" s="14">
        <v>9.6797180174228795E-9</v>
      </c>
      <c r="K93" s="14">
        <v>0</v>
      </c>
    </row>
    <row r="94" spans="1:11">
      <c r="A94" s="2" t="s">
        <v>433</v>
      </c>
      <c r="B94" s="3" t="s">
        <v>434</v>
      </c>
      <c r="D94" s="14">
        <v>2.9712986948792379E-22</v>
      </c>
      <c r="E94" s="14">
        <v>1.4994549498971262E-4</v>
      </c>
      <c r="F94" s="14">
        <v>2.5454524975731825E-9</v>
      </c>
      <c r="G94" s="14">
        <v>3.5518992505023392E-12</v>
      </c>
      <c r="H94" s="14">
        <v>0</v>
      </c>
      <c r="I94" s="14">
        <v>5.1711123780215728E-8</v>
      </c>
      <c r="J94" s="14">
        <v>2.4488211034076422E-10</v>
      </c>
      <c r="K94" s="14">
        <v>0</v>
      </c>
    </row>
    <row r="95" spans="1:11">
      <c r="A95" s="2" t="s">
        <v>435</v>
      </c>
      <c r="B95" s="3" t="s">
        <v>436</v>
      </c>
      <c r="D95" s="14">
        <v>1.6440611557366813E-12</v>
      </c>
      <c r="E95" s="14">
        <v>1.4536621423652066E-4</v>
      </c>
      <c r="F95" s="14">
        <v>5.7983956367503305E-7</v>
      </c>
      <c r="G95" s="14">
        <v>2.0111251223588196E-7</v>
      </c>
      <c r="H95" s="14">
        <v>0</v>
      </c>
      <c r="I95" s="14">
        <v>6.1991543379359667E-8</v>
      </c>
      <c r="J95" s="14">
        <v>3.7908405001279136E-6</v>
      </c>
      <c r="K95" s="14">
        <v>0</v>
      </c>
    </row>
    <row r="96" spans="1:11">
      <c r="A96" s="2" t="s">
        <v>437</v>
      </c>
      <c r="B96" s="163" t="s">
        <v>438</v>
      </c>
      <c r="D96" s="14">
        <v>5.7658729877939448E-12</v>
      </c>
      <c r="E96" s="14">
        <v>7.9546702521950816E-8</v>
      </c>
      <c r="F96" s="14">
        <v>3.2725308982329796E-5</v>
      </c>
      <c r="G96" s="14">
        <v>1.0553081960217899E-4</v>
      </c>
      <c r="H96" s="14">
        <v>0</v>
      </c>
      <c r="I96" s="14">
        <v>6.7475960572998598E-6</v>
      </c>
      <c r="J96" s="14">
        <v>4.9167228897964145E-6</v>
      </c>
      <c r="K96" s="14">
        <v>0</v>
      </c>
    </row>
    <row r="97" spans="1:11">
      <c r="A97" s="2" t="s">
        <v>439</v>
      </c>
      <c r="B97" s="3" t="s">
        <v>440</v>
      </c>
      <c r="D97" s="14">
        <v>5.5057287549520617E-9</v>
      </c>
      <c r="E97" s="14">
        <v>1.0646624122522006E-4</v>
      </c>
      <c r="F97" s="14">
        <v>1.8190033377384092E-5</v>
      </c>
      <c r="G97" s="14">
        <v>4.8231309275377004E-6</v>
      </c>
      <c r="H97" s="14">
        <v>0</v>
      </c>
      <c r="I97" s="14">
        <v>3.2094365915965253E-7</v>
      </c>
      <c r="J97" s="14">
        <v>2.0194145081943519E-5</v>
      </c>
      <c r="K97" s="14">
        <v>0</v>
      </c>
    </row>
    <row r="98" spans="1:11">
      <c r="A98" s="2" t="s">
        <v>441</v>
      </c>
      <c r="B98" s="3" t="s">
        <v>442</v>
      </c>
      <c r="D98" s="14">
        <v>3.6382787543971937E-21</v>
      </c>
      <c r="E98" s="14">
        <v>1.1990935872459432E-4</v>
      </c>
      <c r="F98" s="14">
        <v>1.0693371493377895E-5</v>
      </c>
      <c r="G98" s="14">
        <v>2.9744742259146072E-6</v>
      </c>
      <c r="H98" s="14">
        <v>0</v>
      </c>
      <c r="I98" s="14">
        <v>2.1564633256348712E-7</v>
      </c>
      <c r="J98" s="14">
        <v>1.620714922354965E-5</v>
      </c>
      <c r="K98" s="14">
        <v>0</v>
      </c>
    </row>
    <row r="99" spans="1:11">
      <c r="A99" s="2" t="s">
        <v>443</v>
      </c>
      <c r="B99" s="3" t="s">
        <v>444</v>
      </c>
      <c r="D99" s="14">
        <v>5.2555062946093413E-33</v>
      </c>
      <c r="E99" s="14">
        <v>1.3884545581654986E-4</v>
      </c>
      <c r="F99" s="14">
        <v>2.377022238846619E-6</v>
      </c>
      <c r="G99" s="14">
        <v>7.4667016822729163E-7</v>
      </c>
      <c r="H99" s="14">
        <v>0</v>
      </c>
      <c r="I99" s="14">
        <v>9.0765508475591896E-8</v>
      </c>
      <c r="J99" s="14">
        <v>7.9400862679006161E-6</v>
      </c>
      <c r="K99" s="14">
        <v>0</v>
      </c>
    </row>
    <row r="100" spans="1:11">
      <c r="A100" s="2" t="s">
        <v>445</v>
      </c>
      <c r="B100" s="3" t="s">
        <v>446</v>
      </c>
      <c r="D100" s="14">
        <v>6.1867784111162209E-12</v>
      </c>
      <c r="E100" s="14">
        <v>5.3441873090141626E-7</v>
      </c>
      <c r="F100" s="14">
        <v>8.4097531012213264E-5</v>
      </c>
      <c r="G100" s="14">
        <v>5.419744347129019E-5</v>
      </c>
      <c r="H100" s="14">
        <v>0</v>
      </c>
      <c r="I100" s="14">
        <v>3.3960512998631783E-6</v>
      </c>
      <c r="J100" s="14">
        <v>7.7745492989535166E-6</v>
      </c>
      <c r="K100" s="14">
        <v>0</v>
      </c>
    </row>
    <row r="101" spans="1:11">
      <c r="A101" s="2" t="s">
        <v>447</v>
      </c>
      <c r="B101" s="3" t="s">
        <v>448</v>
      </c>
      <c r="D101" s="14">
        <v>6.2851778693671259E-13</v>
      </c>
      <c r="E101" s="14">
        <v>3.2241458720753072E-5</v>
      </c>
      <c r="F101" s="14">
        <v>7.6091519533118241E-5</v>
      </c>
      <c r="G101" s="14">
        <v>1.662768591248511E-5</v>
      </c>
      <c r="H101" s="14">
        <v>0</v>
      </c>
      <c r="I101" s="14">
        <v>1.0107481953514746E-6</v>
      </c>
      <c r="J101" s="14">
        <v>2.4028587009774283E-5</v>
      </c>
      <c r="K101" s="14">
        <v>0</v>
      </c>
    </row>
    <row r="102" spans="1:11">
      <c r="A102" s="2" t="s">
        <v>449</v>
      </c>
      <c r="B102" s="3" t="s">
        <v>450</v>
      </c>
      <c r="D102" s="14">
        <v>2.564991907851364E-8</v>
      </c>
      <c r="E102" s="14">
        <v>6.523837116872181E-6</v>
      </c>
      <c r="F102" s="14">
        <v>1.0826913913143875E-4</v>
      </c>
      <c r="G102" s="14">
        <v>2.0492749861605677E-5</v>
      </c>
      <c r="H102" s="14">
        <v>0</v>
      </c>
      <c r="I102" s="14">
        <v>1.25179900985577E-6</v>
      </c>
      <c r="J102" s="14">
        <v>1.3436824961149055E-5</v>
      </c>
      <c r="K102" s="14">
        <v>0</v>
      </c>
    </row>
    <row r="103" spans="1:11">
      <c r="A103" s="2" t="s">
        <v>451</v>
      </c>
      <c r="B103" s="3" t="s">
        <v>452</v>
      </c>
      <c r="D103" s="14">
        <v>5.1328239154769232E-23</v>
      </c>
      <c r="E103" s="14">
        <v>1.3417474080745995E-4</v>
      </c>
      <c r="F103" s="14">
        <v>1.5754054347318067E-5</v>
      </c>
      <c r="G103" s="14">
        <v>1.5288593989596637E-9</v>
      </c>
      <c r="H103" s="14">
        <v>0</v>
      </c>
      <c r="I103" s="14">
        <v>6.2224138157746148E-8</v>
      </c>
      <c r="J103" s="14">
        <v>7.4518476652618807E-9</v>
      </c>
      <c r="K103" s="14">
        <v>0</v>
      </c>
    </row>
    <row r="104" spans="1:11">
      <c r="A104" s="2" t="s">
        <v>453</v>
      </c>
      <c r="B104" s="3" t="s">
        <v>454</v>
      </c>
      <c r="D104" s="14">
        <v>1.3162791124123498E-24</v>
      </c>
      <c r="E104" s="14">
        <v>1.6651395059186218E-6</v>
      </c>
      <c r="F104" s="14">
        <v>1.4797631192658994E-4</v>
      </c>
      <c r="G104" s="14">
        <v>1.5669597800474141E-7</v>
      </c>
      <c r="H104" s="14">
        <v>0</v>
      </c>
      <c r="I104" s="14">
        <v>1.5798393945505896E-7</v>
      </c>
      <c r="J104" s="14">
        <v>4.3868650031585364E-8</v>
      </c>
      <c r="K104" s="14">
        <v>0</v>
      </c>
    </row>
    <row r="105" spans="1:11">
      <c r="A105" s="2" t="s">
        <v>455</v>
      </c>
      <c r="B105" s="163">
        <v>354656</v>
      </c>
      <c r="D105" s="14">
        <v>4.3749950893544911E-14</v>
      </c>
      <c r="E105" s="14">
        <v>1.4780008365855758E-4</v>
      </c>
      <c r="F105" s="14">
        <v>1.499671900767184E-7</v>
      </c>
      <c r="G105" s="14">
        <v>5.8008523250972517E-8</v>
      </c>
      <c r="H105" s="14">
        <v>0</v>
      </c>
      <c r="I105" s="14">
        <v>5.3786814368313369E-8</v>
      </c>
      <c r="J105" s="14">
        <v>1.9381537699964511E-6</v>
      </c>
      <c r="K105" s="14">
        <v>0</v>
      </c>
    </row>
    <row r="106" spans="1:11">
      <c r="A106" s="2" t="s">
        <v>457</v>
      </c>
      <c r="B106" s="3" t="s">
        <v>458</v>
      </c>
      <c r="D106" s="14">
        <v>6.6013777743360629E-14</v>
      </c>
      <c r="E106" s="14">
        <v>1.4511622955667744E-4</v>
      </c>
      <c r="F106" s="14">
        <v>6.2947544858788158E-7</v>
      </c>
      <c r="G106" s="14">
        <v>2.1734732213051986E-7</v>
      </c>
      <c r="H106" s="14">
        <v>0</v>
      </c>
      <c r="I106" s="14">
        <v>6.2738497179320758E-8</v>
      </c>
      <c r="J106" s="14">
        <v>3.9742091094110362E-6</v>
      </c>
      <c r="K106" s="14">
        <v>0</v>
      </c>
    </row>
    <row r="107" spans="1:11">
      <c r="A107" s="2" t="s">
        <v>459</v>
      </c>
      <c r="B107" s="3" t="s">
        <v>460</v>
      </c>
      <c r="D107" s="14">
        <v>5.7961102955787462E-24</v>
      </c>
      <c r="E107" s="14">
        <v>3.3916090489094631E-6</v>
      </c>
      <c r="F107" s="14">
        <v>1.1550065678110219E-4</v>
      </c>
      <c r="G107" s="14">
        <v>2.0214948841878121E-5</v>
      </c>
      <c r="H107" s="14">
        <v>0</v>
      </c>
      <c r="I107" s="14">
        <v>1.5005477989379842E-6</v>
      </c>
      <c r="J107" s="14">
        <v>9.3922375291722168E-6</v>
      </c>
      <c r="K107" s="14">
        <v>0</v>
      </c>
    </row>
    <row r="108" spans="1:11">
      <c r="A108" s="2" t="s">
        <v>461</v>
      </c>
      <c r="B108" s="3" t="s">
        <v>462</v>
      </c>
      <c r="D108" s="14">
        <v>1.2838059192643951E-13</v>
      </c>
      <c r="E108" s="14">
        <v>1.4994365332919517E-4</v>
      </c>
      <c r="F108" s="14">
        <v>1.3185312693581613E-9</v>
      </c>
      <c r="G108" s="14">
        <v>3.8216597238447741E-11</v>
      </c>
      <c r="H108" s="14">
        <v>0</v>
      </c>
      <c r="I108" s="14">
        <v>5.1472988360032787E-8</v>
      </c>
      <c r="J108" s="14">
        <v>3.5168061975769932E-9</v>
      </c>
      <c r="K108" s="14">
        <v>0</v>
      </c>
    </row>
    <row r="109" spans="1:11">
      <c r="A109" s="2" t="s">
        <v>463</v>
      </c>
      <c r="B109" s="3" t="s">
        <v>464</v>
      </c>
      <c r="D109" s="14">
        <v>3.2955219569483628E-16</v>
      </c>
      <c r="E109" s="14">
        <v>1.3882112035263104E-4</v>
      </c>
      <c r="F109" s="14">
        <v>8.6989270248076548E-6</v>
      </c>
      <c r="G109" s="14">
        <v>4.323861391211022E-7</v>
      </c>
      <c r="H109" s="14">
        <v>0</v>
      </c>
      <c r="I109" s="14">
        <v>8.8834029381198323E-7</v>
      </c>
      <c r="J109" s="14">
        <v>1.1592261892986506E-6</v>
      </c>
      <c r="K109" s="14">
        <v>0</v>
      </c>
    </row>
    <row r="110" spans="1:11">
      <c r="A110" s="2" t="s">
        <v>465</v>
      </c>
      <c r="B110" s="3" t="s">
        <v>466</v>
      </c>
      <c r="D110" s="14">
        <v>2.4460993189041264E-15</v>
      </c>
      <c r="E110" s="14">
        <v>1.4951097985218035E-4</v>
      </c>
      <c r="F110" s="14">
        <v>3.3837218988692349E-8</v>
      </c>
      <c r="G110" s="14">
        <v>6.4738284631959433E-9</v>
      </c>
      <c r="H110" s="14">
        <v>0</v>
      </c>
      <c r="I110" s="14">
        <v>5.1464858140897339E-8</v>
      </c>
      <c r="J110" s="14">
        <v>3.9724423978074717E-7</v>
      </c>
      <c r="K110" s="14">
        <v>0</v>
      </c>
    </row>
    <row r="111" spans="1:11">
      <c r="A111" s="2" t="s">
        <v>467</v>
      </c>
      <c r="B111" s="3" t="s">
        <v>468</v>
      </c>
      <c r="D111" s="14">
        <v>4.3324288416271291E-34</v>
      </c>
      <c r="E111" s="14">
        <v>1.4994602207056849E-4</v>
      </c>
      <c r="F111" s="14">
        <v>2.3960535674464366E-9</v>
      </c>
      <c r="G111" s="14">
        <v>1.9795590978567799E-12</v>
      </c>
      <c r="H111" s="14">
        <v>0</v>
      </c>
      <c r="I111" s="14">
        <v>5.1224375604897376E-8</v>
      </c>
      <c r="J111" s="14">
        <v>3.5552070007826875E-10</v>
      </c>
      <c r="K111" s="14">
        <v>0</v>
      </c>
    </row>
    <row r="112" spans="1:11">
      <c r="A112" s="2" t="s">
        <v>469</v>
      </c>
      <c r="B112" s="3" t="s">
        <v>470</v>
      </c>
      <c r="D112" s="14">
        <v>2.7513824227361752E-17</v>
      </c>
      <c r="E112" s="14">
        <v>1.4941633119848144E-4</v>
      </c>
      <c r="F112" s="14">
        <v>1.1683410681455674E-8</v>
      </c>
      <c r="G112" s="14">
        <v>5.4583979873923963E-9</v>
      </c>
      <c r="H112" s="14">
        <v>0</v>
      </c>
      <c r="I112" s="14">
        <v>5.1343879984671339E-8</v>
      </c>
      <c r="J112" s="14">
        <v>5.1518311283749578E-7</v>
      </c>
      <c r="K112" s="14">
        <v>0</v>
      </c>
    </row>
    <row r="113" spans="1:11">
      <c r="A113" s="2" t="s">
        <v>471</v>
      </c>
      <c r="B113" s="3" t="s">
        <v>472</v>
      </c>
      <c r="D113" s="14">
        <v>3.4609693315911332E-13</v>
      </c>
      <c r="E113" s="14">
        <v>1.4652605631563836E-4</v>
      </c>
      <c r="F113" s="14">
        <v>3.3932545120231882E-7</v>
      </c>
      <c r="G113" s="14">
        <v>1.2351280667161384E-7</v>
      </c>
      <c r="H113" s="14">
        <v>0</v>
      </c>
      <c r="I113" s="14">
        <v>5.7119225653341095E-8</v>
      </c>
      <c r="J113" s="14">
        <v>2.9539858547374444E-6</v>
      </c>
      <c r="K113" s="14">
        <v>0</v>
      </c>
    </row>
    <row r="114" spans="1:11">
      <c r="A114" s="2" t="s">
        <v>473</v>
      </c>
      <c r="B114" s="3" t="s">
        <v>474</v>
      </c>
      <c r="D114" s="14">
        <v>2.6946929638082363E-20</v>
      </c>
      <c r="E114" s="14">
        <v>1.4967715740618758E-4</v>
      </c>
      <c r="F114" s="14">
        <v>3.3943537476845564E-9</v>
      </c>
      <c r="G114" s="14">
        <v>1.7101165291072799E-9</v>
      </c>
      <c r="H114" s="14">
        <v>0</v>
      </c>
      <c r="I114" s="14">
        <v>5.1222836099686873E-8</v>
      </c>
      <c r="J114" s="14">
        <v>2.6651528743587467E-7</v>
      </c>
      <c r="K114" s="14">
        <v>0</v>
      </c>
    </row>
    <row r="115" spans="1:11">
      <c r="A115" s="2" t="s">
        <v>475</v>
      </c>
      <c r="B115" s="3" t="s">
        <v>476</v>
      </c>
      <c r="D115" s="14">
        <v>1.3902021544690536E-16</v>
      </c>
      <c r="E115" s="14">
        <v>1.4582418674871853E-4</v>
      </c>
      <c r="F115" s="14">
        <v>4.1165286032497841E-6</v>
      </c>
      <c r="G115" s="14">
        <v>4.9307727890409157E-10</v>
      </c>
      <c r="H115" s="14">
        <v>0</v>
      </c>
      <c r="I115" s="14">
        <v>5.4509918168847677E-8</v>
      </c>
      <c r="J115" s="14">
        <v>4.2816524448641761E-9</v>
      </c>
      <c r="K115" s="14">
        <v>0</v>
      </c>
    </row>
    <row r="116" spans="1:11">
      <c r="A116" s="2" t="s">
        <v>477</v>
      </c>
      <c r="B116" s="3" t="s">
        <v>478</v>
      </c>
      <c r="D116" s="14">
        <v>3.752022259795912E-21</v>
      </c>
      <c r="E116" s="14">
        <v>1.9217267903166522E-5</v>
      </c>
      <c r="F116" s="14">
        <v>1.1780836392700838E-4</v>
      </c>
      <c r="G116" s="14">
        <v>2.8533802125068275E-6</v>
      </c>
      <c r="H116" s="14">
        <v>0</v>
      </c>
      <c r="I116" s="14">
        <v>8.9588543356940672E-6</v>
      </c>
      <c r="J116" s="14">
        <v>1.1621336216241654E-6</v>
      </c>
      <c r="K116" s="14">
        <v>0</v>
      </c>
    </row>
    <row r="117" spans="1:11">
      <c r="A117" s="2" t="s">
        <v>291</v>
      </c>
      <c r="B117" s="3" t="s">
        <v>479</v>
      </c>
      <c r="D117" s="14">
        <v>4.1809590224791467E-14</v>
      </c>
      <c r="E117" s="14">
        <v>8.6272626711444151E-5</v>
      </c>
      <c r="F117" s="14">
        <v>3.1210059410316586E-5</v>
      </c>
      <c r="G117" s="14">
        <v>7.8305118432047674E-6</v>
      </c>
      <c r="H117" s="14">
        <v>0</v>
      </c>
      <c r="I117" s="14">
        <v>4.9397768881000121E-7</v>
      </c>
      <c r="J117" s="14">
        <v>2.4192824304414885E-5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876F8-99DB-45A7-97B5-7C0D39AA29FD}">
  <dimension ref="A1:D117"/>
  <sheetViews>
    <sheetView tabSelected="1" topLeftCell="A94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5.2741011264931573E-8</v>
      </c>
      <c r="B2">
        <f>'Mass Balance'!E2</f>
        <v>1.4832065676949709E-4</v>
      </c>
      <c r="C2">
        <f>SUM('Mass Balance'!E2:H2)</f>
        <v>1.4844855422238606E-4</v>
      </c>
      <c r="D2">
        <f>Concentrations!F2/Concentrations!E2</f>
        <v>1.0030487243621815</v>
      </c>
    </row>
    <row r="3" spans="1:4">
      <c r="A3">
        <f>'Mass Balance'!I3</f>
        <v>6.1443301279708309E-7</v>
      </c>
      <c r="B3">
        <f>'Mass Balance'!E3</f>
        <v>8.4590170461361296E-5</v>
      </c>
      <c r="C3">
        <f>SUM('Mass Balance'!E3:H3)</f>
        <v>1.263603763180259E-4</v>
      </c>
      <c r="D3">
        <f>Concentrations!F3/Concentrations!E3</f>
        <v>0.67205582832727206</v>
      </c>
    </row>
    <row r="4" spans="1:4">
      <c r="A4">
        <f>'Mass Balance'!I4</f>
        <v>6.1122325635986295E-8</v>
      </c>
      <c r="B4">
        <f>'Mass Balance'!E4</f>
        <v>1.498742504889421E-4</v>
      </c>
      <c r="C4">
        <f>SUM('Mass Balance'!E4:H4)</f>
        <v>1.4993757132102006E-4</v>
      </c>
      <c r="D4">
        <f>Concentrations!F4/Concentrations!E4</f>
        <v>1.0034896895616316</v>
      </c>
    </row>
    <row r="5" spans="1:4">
      <c r="A5">
        <f>'Mass Balance'!I5</f>
        <v>9.0226275065320794E-8</v>
      </c>
      <c r="B5">
        <f>'Mass Balance'!E5</f>
        <v>8.2103153200993175E-5</v>
      </c>
      <c r="C5">
        <f>SUM('Mass Balance'!E5:H5)</f>
        <v>1.498978745167929E-4</v>
      </c>
      <c r="D5">
        <f>Concentrations!F5/Concentrations!E5</f>
        <v>0.54987088407343221</v>
      </c>
    </row>
    <row r="6" spans="1:4">
      <c r="A6">
        <f>'Mass Balance'!I6</f>
        <v>1.0529818544574122E-7</v>
      </c>
      <c r="B6">
        <f>'Mass Balance'!E6</f>
        <v>4.8600877300436049E-5</v>
      </c>
      <c r="C6">
        <f>SUM('Mass Balance'!E6:H6)</f>
        <v>1.4985007923721424E-4</v>
      </c>
      <c r="D6">
        <f>Concentrations!F6/Concentrations!E6</f>
        <v>0.32559932375393774</v>
      </c>
    </row>
    <row r="7" spans="1:4">
      <c r="A7">
        <f>'Mass Balance'!I7</f>
        <v>1.2573518214587287E-7</v>
      </c>
      <c r="B7">
        <f>'Mass Balance'!E7</f>
        <v>1.6165446490164565E-5</v>
      </c>
      <c r="C7">
        <f>SUM('Mass Balance'!E7:H7)</f>
        <v>1.4963814326884943E-4</v>
      </c>
      <c r="D7">
        <f>Concentrations!F7/Concentrations!E7</f>
        <v>0.10845304645239194</v>
      </c>
    </row>
    <row r="8" spans="1:4">
      <c r="A8">
        <f>'Mass Balance'!I8</f>
        <v>1.0900554683037313E-7</v>
      </c>
      <c r="B8">
        <f>'Mass Balance'!E8</f>
        <v>3.4453691949612141E-5</v>
      </c>
      <c r="C8">
        <f>SUM('Mass Balance'!E8:H8)</f>
        <v>1.4986898960651178E-4</v>
      </c>
      <c r="D8">
        <f>Concentrations!F8/Concentrations!E8</f>
        <v>0.23079178670061071</v>
      </c>
    </row>
    <row r="9" spans="1:4">
      <c r="A9">
        <f>'Mass Balance'!I9</f>
        <v>8.6334059302159389E-8</v>
      </c>
      <c r="B9">
        <f>'Mass Balance'!E9</f>
        <v>9.2088395255903789E-5</v>
      </c>
      <c r="C9">
        <f>SUM('Mass Balance'!E9:H9)</f>
        <v>1.4985955129129917E-4</v>
      </c>
      <c r="D9">
        <f>Concentrations!F9/Concentrations!E9</f>
        <v>0.61690293913234817</v>
      </c>
    </row>
    <row r="10" spans="1:4">
      <c r="A10">
        <f>'Mass Balance'!I10</f>
        <v>1.2805932595327842E-6</v>
      </c>
      <c r="B10">
        <f>'Mass Balance'!E10</f>
        <v>1.6468290320908345E-6</v>
      </c>
      <c r="C10">
        <f>SUM('Mass Balance'!E10:H10)</f>
        <v>1.4130378809932995E-4</v>
      </c>
      <c r="D10">
        <f>Concentrations!F10/Concentrations!E10</f>
        <v>1.1700140373438875E-2</v>
      </c>
    </row>
    <row r="11" spans="1:4">
      <c r="A11">
        <f>'Mass Balance'!I11</f>
        <v>7.9114466675903804E-6</v>
      </c>
      <c r="B11">
        <f>'Mass Balance'!E11</f>
        <v>8.9238317557644108E-8</v>
      </c>
      <c r="C11">
        <f>SUM('Mass Balance'!E11:H11)</f>
        <v>1.4099730462813965E-4</v>
      </c>
      <c r="D11">
        <f>Concentrations!F11/Concentrations!E11</f>
        <v>6.3538495264243858E-4</v>
      </c>
    </row>
    <row r="12" spans="1:4">
      <c r="A12">
        <f>'Mass Balance'!I12</f>
        <v>4.8206046886799632E-8</v>
      </c>
      <c r="B12">
        <f>'Mass Balance'!E12</f>
        <v>1.4076274982039371E-4</v>
      </c>
      <c r="C12">
        <f>SUM('Mass Balance'!E12:H12)</f>
        <v>1.4076866778309829E-4</v>
      </c>
      <c r="D12">
        <f>Concentrations!F12/Concentrations!E12</f>
        <v>1.0038714521286256</v>
      </c>
    </row>
    <row r="13" spans="1:4">
      <c r="A13">
        <f>'Mass Balance'!I13</f>
        <v>4.1845538665719719E-7</v>
      </c>
      <c r="B13">
        <f>'Mass Balance'!E13</f>
        <v>9.4879513722794079E-5</v>
      </c>
      <c r="C13">
        <f>SUM('Mass Balance'!E13:H13)</f>
        <v>1.2682711006654977E-4</v>
      </c>
      <c r="D13">
        <f>Concentrations!F13/Concentrations!E13</f>
        <v>0.75102901537292643</v>
      </c>
    </row>
    <row r="14" spans="1:4">
      <c r="A14">
        <f>'Mass Balance'!I14</f>
        <v>2.3506851847174555E-7</v>
      </c>
      <c r="B14">
        <f>'Mass Balance'!E14</f>
        <v>1.319714890930794E-6</v>
      </c>
      <c r="C14">
        <f>SUM('Mass Balance'!E14:H14)</f>
        <v>1.4971548998464677E-4</v>
      </c>
      <c r="D14">
        <f>Concentrations!F14/Concentrations!E14</f>
        <v>8.8493168107598615E-3</v>
      </c>
    </row>
    <row r="15" spans="1:4">
      <c r="A15">
        <f>'Mass Balance'!I15</f>
        <v>1.0009075710113166E-7</v>
      </c>
      <c r="B15">
        <f>'Mass Balance'!E15</f>
        <v>1.2589406210224342E-4</v>
      </c>
      <c r="C15">
        <f>SUM('Mass Balance'!E15:H15)</f>
        <v>1.3009045681821652E-4</v>
      </c>
      <c r="D15">
        <f>Concentrations!F15/Concentrations!E15</f>
        <v>0.97152989827926495</v>
      </c>
    </row>
    <row r="16" spans="1:4">
      <c r="A16">
        <f>'Mass Balance'!I16</f>
        <v>4.6766643822555397E-7</v>
      </c>
      <c r="B16">
        <f>'Mass Balance'!E16</f>
        <v>8.9150725542773388E-5</v>
      </c>
      <c r="C16">
        <f>SUM('Mass Balance'!E16:H16)</f>
        <v>1.2570782696735451E-4</v>
      </c>
      <c r="D16">
        <f>Concentrations!F16/Concentrations!E16</f>
        <v>0.7119654604094906</v>
      </c>
    </row>
    <row r="17" spans="1:4">
      <c r="A17">
        <f>'Mass Balance'!I17</f>
        <v>4.3578204157732389E-7</v>
      </c>
      <c r="B17">
        <f>'Mass Balance'!E17</f>
        <v>9.2610478264122881E-5</v>
      </c>
      <c r="C17">
        <f>SUM('Mass Balance'!E17:H17)</f>
        <v>1.2618555406789065E-4</v>
      </c>
      <c r="D17">
        <f>Concentrations!F17/Concentrations!E17</f>
        <v>0.73679530590858944</v>
      </c>
    </row>
    <row r="18" spans="1:4">
      <c r="A18">
        <f>'Mass Balance'!I18</f>
        <v>6.4379995022428512E-6</v>
      </c>
      <c r="B18">
        <f>'Mass Balance'!E18</f>
        <v>1.0043767124019964E-7</v>
      </c>
      <c r="C18">
        <f>SUM('Mass Balance'!E18:H18)</f>
        <v>1.3825278203115899E-4</v>
      </c>
      <c r="D18">
        <f>Concentrations!F18/Concentrations!E18</f>
        <v>7.2932166972692724E-4</v>
      </c>
    </row>
    <row r="19" spans="1:4">
      <c r="A19">
        <f>'Mass Balance'!I19</f>
        <v>6.7676144957524236E-8</v>
      </c>
      <c r="B19">
        <f>'Mass Balance'!E19</f>
        <v>1.420885740869432E-4</v>
      </c>
      <c r="C19">
        <f>SUM('Mass Balance'!E19:H19)</f>
        <v>1.4340924811228486E-4</v>
      </c>
      <c r="D19">
        <f>Concentrations!F19/Concentrations!E19</f>
        <v>0.99466848831057531</v>
      </c>
    </row>
    <row r="20" spans="1:4">
      <c r="A20">
        <f>'Mass Balance'!I20</f>
        <v>8.0445480979834145E-8</v>
      </c>
      <c r="B20">
        <f>'Mass Balance'!E20</f>
        <v>1.3797702841285436E-4</v>
      </c>
      <c r="C20">
        <f>SUM('Mass Balance'!E20:H20)</f>
        <v>1.4034623622741986E-4</v>
      </c>
      <c r="D20">
        <f>Concentrations!F20/Concentrations!E20</f>
        <v>0.98696642602903828</v>
      </c>
    </row>
    <row r="21" spans="1:4">
      <c r="A21">
        <f>'Mass Balance'!I21</f>
        <v>3.8551793330089278E-7</v>
      </c>
      <c r="B21">
        <f>'Mass Balance'!E21</f>
        <v>1.65448623084255E-5</v>
      </c>
      <c r="C21">
        <f>SUM('Mass Balance'!E21:H21)</f>
        <v>1.4487454968912673E-4</v>
      </c>
      <c r="D21">
        <f>Concentrations!F21/Concentrations!E21</f>
        <v>0.11464824746831957</v>
      </c>
    </row>
    <row r="22" spans="1:4">
      <c r="A22">
        <f>'Mass Balance'!I22</f>
        <v>5.1218816144552325E-8</v>
      </c>
      <c r="B22">
        <f>'Mass Balance'!E22</f>
        <v>1.3990352120792952E-4</v>
      </c>
      <c r="C22">
        <f>SUM('Mass Balance'!E22:H22)</f>
        <v>1.4012064949861709E-4</v>
      </c>
      <c r="D22">
        <f>Concentrations!F22/Concentrations!E22</f>
        <v>1.002358011511207</v>
      </c>
    </row>
    <row r="23" spans="1:4">
      <c r="A23">
        <f>'Mass Balance'!I23</f>
        <v>1.3828664220718841E-7</v>
      </c>
      <c r="B23">
        <f>'Mass Balance'!E23</f>
        <v>1.2177349744177049E-4</v>
      </c>
      <c r="C23">
        <f>SUM('Mass Balance'!E23:H23)</f>
        <v>1.2909587222018916E-4</v>
      </c>
      <c r="D23">
        <f>Concentrations!F23/Concentrations!E23</f>
        <v>0.94697123184535315</v>
      </c>
    </row>
    <row r="24" spans="1:4">
      <c r="A24">
        <f>'Mass Balance'!I24</f>
        <v>6.3976638086371072E-7</v>
      </c>
      <c r="B24">
        <f>'Mass Balance'!E24</f>
        <v>7.0056602533291769E-5</v>
      </c>
      <c r="C24">
        <f>SUM('Mass Balance'!E24:H24)</f>
        <v>1.2324712750965734E-4</v>
      </c>
      <c r="D24">
        <f>Concentrations!F24/Concentrations!E24</f>
        <v>0.57064843187288916</v>
      </c>
    </row>
    <row r="25" spans="1:4">
      <c r="A25">
        <f>'Mass Balance'!I25</f>
        <v>5.9331126828656008E-6</v>
      </c>
      <c r="B25">
        <f>'Mass Balance'!E25</f>
        <v>1.4090804848885082E-7</v>
      </c>
      <c r="C25">
        <f>SUM('Mass Balance'!E25:H25)</f>
        <v>1.381525816483074E-4</v>
      </c>
      <c r="D25">
        <f>Concentrations!F25/Concentrations!E25</f>
        <v>1.0239368137133337E-3</v>
      </c>
    </row>
    <row r="26" spans="1:4">
      <c r="A26">
        <f>'Mass Balance'!I26</f>
        <v>9.1668580863156685E-7</v>
      </c>
      <c r="B26">
        <f>'Mass Balance'!E26</f>
        <v>2.4873623978538893E-5</v>
      </c>
      <c r="C26">
        <f>SUM('Mass Balance'!E26:H26)</f>
        <v>1.0989245184171328E-4</v>
      </c>
      <c r="D26">
        <f>Concentrations!F26/Concentrations!E26</f>
        <v>0.22723099168919014</v>
      </c>
    </row>
    <row r="27" spans="1:4">
      <c r="A27">
        <f>'Mass Balance'!I27</f>
        <v>5.3746272609111315E-7</v>
      </c>
      <c r="B27">
        <f>'Mass Balance'!E27</f>
        <v>2.9346533216165604E-6</v>
      </c>
      <c r="C27">
        <f>SUM('Mass Balance'!E27:H27)</f>
        <v>5.8063140229087134E-5</v>
      </c>
      <c r="D27">
        <f>Concentrations!F27/Concentrations!E27</f>
        <v>5.0740255117250999E-2</v>
      </c>
    </row>
    <row r="28" spans="1:4">
      <c r="A28">
        <f>'Mass Balance'!I28</f>
        <v>2.7465410186735828E-7</v>
      </c>
      <c r="B28">
        <f>'Mass Balance'!E28</f>
        <v>5.5152213624101532E-6</v>
      </c>
      <c r="C28">
        <f>SUM('Mass Balance'!E28:H28)</f>
        <v>3.149836306527396E-5</v>
      </c>
      <c r="D28">
        <f>Concentrations!F28/Concentrations!E28</f>
        <v>0.17578075519766784</v>
      </c>
    </row>
    <row r="29" spans="1:4">
      <c r="A29">
        <f>'Mass Balance'!I29</f>
        <v>7.2773743626702371E-9</v>
      </c>
      <c r="B29">
        <f>'Mass Balance'!E29</f>
        <v>1.1256316162219167E-5</v>
      </c>
      <c r="C29">
        <f>SUM('Mass Balance'!E29:H29)</f>
        <v>1.1503411320602618E-5</v>
      </c>
      <c r="D29">
        <f>Concentrations!F29/Concentrations!E29</f>
        <v>0.98234942729794872</v>
      </c>
    </row>
    <row r="30" spans="1:4">
      <c r="A30">
        <f>'Mass Balance'!I30</f>
        <v>1.0660965684177962E-7</v>
      </c>
      <c r="B30">
        <f>'Mass Balance'!E30</f>
        <v>2.2949436125389574E-6</v>
      </c>
      <c r="C30">
        <f>SUM('Mass Balance'!E30:H30)</f>
        <v>1.2335071124288501E-5</v>
      </c>
      <c r="D30">
        <f>Concentrations!F30/Concentrations!E30</f>
        <v>0.18677843130853469</v>
      </c>
    </row>
    <row r="31" spans="1:4">
      <c r="A31">
        <f>'Mass Balance'!I31</f>
        <v>1.8724586666366018E-9</v>
      </c>
      <c r="B31">
        <f>'Mass Balance'!E31</f>
        <v>8.6348799338554582E-8</v>
      </c>
      <c r="C31">
        <f>SUM('Mass Balance'!E31:H31)</f>
        <v>2.5367915353691839E-7</v>
      </c>
      <c r="D31">
        <f>Concentrations!F31/Concentrations!E31</f>
        <v>0.34171802338874768</v>
      </c>
    </row>
    <row r="32" spans="1:4">
      <c r="A32">
        <f>'Mass Balance'!I32</f>
        <v>3.6652652282846993E-7</v>
      </c>
      <c r="B32">
        <f>'Mass Balance'!E32</f>
        <v>1.0071063838244248E-4</v>
      </c>
      <c r="C32">
        <f>SUM('Mass Balance'!E32:H32)</f>
        <v>1.2788007509731932E-4</v>
      </c>
      <c r="D32">
        <f>Concentrations!F32/Concentrations!E32</f>
        <v>0.79062187913500204</v>
      </c>
    </row>
    <row r="33" spans="1:4">
      <c r="A33">
        <f>'Mass Balance'!I33</f>
        <v>2.0292700545515339E-7</v>
      </c>
      <c r="B33">
        <f>'Mass Balance'!E33</f>
        <v>1.2161924246349939E-4</v>
      </c>
      <c r="C33">
        <f>SUM('Mass Balance'!E33:H33)</f>
        <v>1.3418265711454951E-4</v>
      </c>
      <c r="D33">
        <f>Concentrations!F33/Concentrations!E33</f>
        <v>0.90991802583642023</v>
      </c>
    </row>
    <row r="34" spans="1:4">
      <c r="A34">
        <f>'Mass Balance'!I34</f>
        <v>1.0162998365675836E-6</v>
      </c>
      <c r="B34">
        <f>'Mass Balance'!E34</f>
        <v>3.1678500416480711E-5</v>
      </c>
      <c r="C34">
        <f>SUM('Mass Balance'!E34:H34)</f>
        <v>1.250547173814424E-4</v>
      </c>
      <c r="D34">
        <f>Concentrations!F34/Concentrations!E34</f>
        <v>0.25430851284398487</v>
      </c>
    </row>
    <row r="35" spans="1:4">
      <c r="A35">
        <f>'Mass Balance'!I35</f>
        <v>1.2489743838896277E-6</v>
      </c>
      <c r="B35">
        <f>'Mass Balance'!E35</f>
        <v>3.388558313836204E-6</v>
      </c>
      <c r="C35">
        <f>SUM('Mass Balance'!E35:H35)</f>
        <v>1.3701444059540565E-4</v>
      </c>
      <c r="D35">
        <f>Concentrations!F35/Concentrations!E35</f>
        <v>2.4828185657071924E-2</v>
      </c>
    </row>
    <row r="36" spans="1:4">
      <c r="A36">
        <f>'Mass Balance'!I36</f>
        <v>2.730890453031477E-6</v>
      </c>
      <c r="B36">
        <f>'Mass Balance'!E36</f>
        <v>7.3517687292341693E-7</v>
      </c>
      <c r="C36">
        <f>SUM('Mass Balance'!E36:H36)</f>
        <v>1.392994738818864E-4</v>
      </c>
      <c r="D36">
        <f>Concentrations!F36/Concentrations!E36</f>
        <v>5.2983265655727266E-3</v>
      </c>
    </row>
    <row r="37" spans="1:4">
      <c r="A37">
        <f>'Mass Balance'!I37</f>
        <v>6.2900939412171522E-6</v>
      </c>
      <c r="B37">
        <f>'Mass Balance'!E37</f>
        <v>1.1028070379155265E-7</v>
      </c>
      <c r="C37">
        <f>SUM('Mass Balance'!E37:H37)</f>
        <v>1.3795184648515832E-4</v>
      </c>
      <c r="D37">
        <f>Concentrations!F37/Concentrations!E37</f>
        <v>8.0254311530271666E-4</v>
      </c>
    </row>
    <row r="38" spans="1:4">
      <c r="A38">
        <f>'Mass Balance'!I38</f>
        <v>3.9867550904751449E-6</v>
      </c>
      <c r="B38">
        <f>'Mass Balance'!E38</f>
        <v>4.026178804222855E-7</v>
      </c>
      <c r="C38">
        <f>SUM('Mass Balance'!E38:H38)</f>
        <v>1.3849380775568537E-4</v>
      </c>
      <c r="D38">
        <f>Concentrations!F38/Concentrations!E38</f>
        <v>2.9184957454671031E-3</v>
      </c>
    </row>
    <row r="39" spans="1:4">
      <c r="A39">
        <f>'Mass Balance'!I39</f>
        <v>3.0006513818551671E-6</v>
      </c>
      <c r="B39">
        <f>'Mass Balance'!E39</f>
        <v>6.1044319213814217E-7</v>
      </c>
      <c r="C39">
        <f>SUM('Mass Balance'!E39:H39)</f>
        <v>1.3592758857362158E-4</v>
      </c>
      <c r="D39">
        <f>Concentrations!F39/Concentrations!E39</f>
        <v>4.5085200424820789E-3</v>
      </c>
    </row>
    <row r="40" spans="1:4">
      <c r="A40">
        <f>'Mass Balance'!I40</f>
        <v>3.9867550904751449E-6</v>
      </c>
      <c r="B40">
        <f>'Mass Balance'!E40</f>
        <v>4.026178804222855E-7</v>
      </c>
      <c r="C40">
        <f>SUM('Mass Balance'!E40:H40)</f>
        <v>1.3849380775568537E-4</v>
      </c>
      <c r="D40">
        <f>Concentrations!F40/Concentrations!E40</f>
        <v>2.9184957454671031E-3</v>
      </c>
    </row>
    <row r="41" spans="1:4">
      <c r="A41">
        <f>'Mass Balance'!I41</f>
        <v>5.6462480547899907E-8</v>
      </c>
      <c r="B41">
        <f>'Mass Balance'!E41</f>
        <v>1.4310076738880748E-4</v>
      </c>
      <c r="C41">
        <f>SUM('Mass Balance'!E41:H41)</f>
        <v>1.499321226847625E-4</v>
      </c>
      <c r="D41">
        <f>Concentrations!F41/Concentrations!E41</f>
        <v>0.95817235250460908</v>
      </c>
    </row>
    <row r="42" spans="1:4">
      <c r="A42">
        <f>'Mass Balance'!I42</f>
        <v>6.4196832437976204E-6</v>
      </c>
      <c r="B42">
        <f>'Mass Balance'!E42</f>
        <v>1.0015192372757063E-7</v>
      </c>
      <c r="C42">
        <f>SUM('Mass Balance'!E42:H42)</f>
        <v>1.3785944964808366E-4</v>
      </c>
      <c r="D42">
        <f>Concentrations!F42/Concentrations!E42</f>
        <v>7.2932166972692735E-4</v>
      </c>
    </row>
    <row r="43" spans="1:4">
      <c r="A43">
        <f>'Mass Balance'!I43</f>
        <v>6.8491857391350283E-7</v>
      </c>
      <c r="B43">
        <f>'Mass Balance'!E43</f>
        <v>6.5518996744444148E-5</v>
      </c>
      <c r="C43">
        <f>SUM('Mass Balance'!E43:H43)</f>
        <v>1.2319342041793382E-4</v>
      </c>
      <c r="D43">
        <f>Concentrations!F43/Concentrations!E43</f>
        <v>0.53391987495413606</v>
      </c>
    </row>
    <row r="44" spans="1:4">
      <c r="A44">
        <f>'Mass Balance'!I44</f>
        <v>1.9413207045648576E-6</v>
      </c>
      <c r="B44">
        <f>'Mass Balance'!E44</f>
        <v>1.1030234033179287E-6</v>
      </c>
      <c r="C44">
        <f>SUM('Mass Balance'!E44:H44)</f>
        <v>1.4020808160928108E-4</v>
      </c>
      <c r="D44">
        <f>Concentrations!F44/Concentrations!E44</f>
        <v>7.8978347458445244E-3</v>
      </c>
    </row>
    <row r="45" spans="1:4">
      <c r="A45">
        <f>'Mass Balance'!I45</f>
        <v>7.399719008655396E-6</v>
      </c>
      <c r="B45">
        <f>'Mass Balance'!E45</f>
        <v>4.4324464935092421E-8</v>
      </c>
      <c r="C45">
        <f>SUM('Mass Balance'!E45:H45)</f>
        <v>1.3860095778514919E-4</v>
      </c>
      <c r="D45">
        <f>Concentrations!F45/Concentrations!E45</f>
        <v>3.2105070844138669E-4</v>
      </c>
    </row>
    <row r="46" spans="1:4">
      <c r="A46">
        <f>'Mass Balance'!I46</f>
        <v>6.5955076902428091E-6</v>
      </c>
      <c r="B46">
        <f>'Mass Balance'!E46</f>
        <v>8.9445339997627693E-8</v>
      </c>
      <c r="C46">
        <f>SUM('Mass Balance'!E46:H46)</f>
        <v>1.3828973249265501E-4</v>
      </c>
      <c r="D46">
        <f>Concentrations!F46/Concentrations!E46</f>
        <v>6.4932802139476542E-4</v>
      </c>
    </row>
    <row r="47" spans="1:4">
      <c r="A47">
        <f>'Mass Balance'!I47</f>
        <v>5.3278626566576045E-6</v>
      </c>
      <c r="B47">
        <f>'Mass Balance'!E47</f>
        <v>2.0183206161412346E-7</v>
      </c>
      <c r="C47">
        <f>SUM('Mass Balance'!E47:H47)</f>
        <v>1.3815058716515045E-4</v>
      </c>
      <c r="D47">
        <f>Concentrations!F47/Concentrations!E47</f>
        <v>1.4666746427414959E-3</v>
      </c>
    </row>
    <row r="48" spans="1:4">
      <c r="A48">
        <f>'Mass Balance'!I48</f>
        <v>1.2246760166720649E-6</v>
      </c>
      <c r="B48">
        <f>'Mass Balance'!E48</f>
        <v>1.0169467646114226E-5</v>
      </c>
      <c r="C48">
        <f>SUM('Mass Balance'!E48:H48)</f>
        <v>1.3262225025863894E-4</v>
      </c>
      <c r="D48">
        <f>Concentrations!F48/Concentrations!E48</f>
        <v>7.6980049987451241E-2</v>
      </c>
    </row>
    <row r="49" spans="1:4">
      <c r="A49">
        <f>'Mass Balance'!I49</f>
        <v>2.076345439017853E-6</v>
      </c>
      <c r="B49">
        <f>'Mass Balance'!E49</f>
        <v>1.0255694373049335E-6</v>
      </c>
      <c r="C49">
        <f>SUM('Mass Balance'!E49:H49)</f>
        <v>1.4004541534575569E-4</v>
      </c>
      <c r="D49">
        <f>Concentrations!F49/Concentrations!E49</f>
        <v>7.3517805761136139E-3</v>
      </c>
    </row>
    <row r="50" spans="1:4">
      <c r="A50">
        <f>'Mass Balance'!I50</f>
        <v>2.3148803094658966E-6</v>
      </c>
      <c r="B50">
        <f>'Mass Balance'!E50</f>
        <v>9.0535858708975898E-7</v>
      </c>
      <c r="C50">
        <f>SUM('Mass Balance'!E50:H50)</f>
        <v>1.3975244659001669E-4</v>
      </c>
      <c r="D50">
        <f>Concentrations!F50/Concentrations!E50</f>
        <v>6.5036560878853978E-3</v>
      </c>
    </row>
    <row r="51" spans="1:4">
      <c r="A51">
        <f>'Mass Balance'!I51</f>
        <v>1.2528405052018365E-6</v>
      </c>
      <c r="B51">
        <f>'Mass Balance'!E51</f>
        <v>6.3788688906158671E-6</v>
      </c>
      <c r="C51">
        <f>SUM('Mass Balance'!E51:H51)</f>
        <v>1.3542966340090323E-4</v>
      </c>
      <c r="D51">
        <f>Concentrations!F51/Concentrations!E51</f>
        <v>4.7285309840487073E-2</v>
      </c>
    </row>
    <row r="52" spans="1:4">
      <c r="A52">
        <f>'Mass Balance'!I52</f>
        <v>1.2282238360260516E-6</v>
      </c>
      <c r="B52">
        <f>'Mass Balance'!E52</f>
        <v>9.734955362378243E-6</v>
      </c>
      <c r="C52">
        <f>SUM('Mass Balance'!E52:H52)</f>
        <v>1.3289282746013802E-4</v>
      </c>
      <c r="D52">
        <f>Concentrations!F52/Concentrations!E52</f>
        <v>7.354087369021306E-2</v>
      </c>
    </row>
    <row r="53" spans="1:4">
      <c r="A53">
        <f>'Mass Balance'!I53</f>
        <v>3.1571855114738422E-6</v>
      </c>
      <c r="B53">
        <f>'Mass Balance'!E53</f>
        <v>5.9884560835245459E-7</v>
      </c>
      <c r="C53">
        <f>SUM('Mass Balance'!E53:H53)</f>
        <v>1.3898694653695205E-4</v>
      </c>
      <c r="D53">
        <f>Concentrations!F53/Concentrations!E53</f>
        <v>4.3255089750456228E-3</v>
      </c>
    </row>
    <row r="54" spans="1:4">
      <c r="A54">
        <f>'Mass Balance'!I54</f>
        <v>2.1935305697668732E-6</v>
      </c>
      <c r="B54">
        <f>'Mass Balance'!E54</f>
        <v>9.6410194042900552E-7</v>
      </c>
      <c r="C54">
        <f>SUM('Mass Balance'!E54:H54)</f>
        <v>1.3990192030222858E-4</v>
      </c>
      <c r="D54">
        <f>Concentrations!F54/Concentrations!E54</f>
        <v>6.9182403118300565E-3</v>
      </c>
    </row>
    <row r="55" spans="1:4">
      <c r="A55">
        <f>'Mass Balance'!I55</f>
        <v>5.2642205723808015E-6</v>
      </c>
      <c r="B55">
        <f>'Mass Balance'!E55</f>
        <v>2.0895341072674448E-7</v>
      </c>
      <c r="C55">
        <f>SUM('Mass Balance'!E55:H55)</f>
        <v>1.3812665091779704E-4</v>
      </c>
      <c r="D55">
        <f>Concentrations!F55/Concentrations!E55</f>
        <v>1.5186872432767795E-3</v>
      </c>
    </row>
    <row r="56" spans="1:4">
      <c r="A56">
        <f>'Mass Balance'!I56</f>
        <v>1.9857027121577095E-6</v>
      </c>
      <c r="B56">
        <f>'Mass Balance'!E56</f>
        <v>1.0767821928467445E-6</v>
      </c>
      <c r="C56">
        <f>SUM('Mass Balance'!E56:H56)</f>
        <v>1.4015917601093101E-4</v>
      </c>
      <c r="D56">
        <f>Concentrations!F56/Concentrations!E56</f>
        <v>7.7126334484831222E-3</v>
      </c>
    </row>
    <row r="57" spans="1:4">
      <c r="A57">
        <f>'Mass Balance'!I57</f>
        <v>1.2025115082445515E-6</v>
      </c>
      <c r="B57">
        <f>'Mass Balance'!E57</f>
        <v>1.2311856747458259E-5</v>
      </c>
      <c r="C57">
        <f>SUM('Mass Balance'!E57:H57)</f>
        <v>1.3101003499963024E-4</v>
      </c>
      <c r="D57">
        <f>Concentrations!F57/Concentrations!E57</f>
        <v>9.4344231965447362E-2</v>
      </c>
    </row>
    <row r="58" spans="1:4">
      <c r="A58">
        <f>'Mass Balance'!I58</f>
        <v>2.217487517238897E-6</v>
      </c>
      <c r="B58">
        <f>'Mass Balance'!E58</f>
        <v>9.5214499466105332E-7</v>
      </c>
      <c r="C58">
        <f>SUM('Mass Balance'!E58:H58)</f>
        <v>1.3987356438671065E-4</v>
      </c>
      <c r="D58">
        <f>Concentrations!F58/Concentrations!E58</f>
        <v>6.8338243025118017E-3</v>
      </c>
    </row>
    <row r="59" spans="1:4">
      <c r="A59">
        <f>'Mass Balance'!I59</f>
        <v>1.2283696503384707E-6</v>
      </c>
      <c r="B59">
        <f>'Mass Balance'!E59</f>
        <v>9.7361110929388791E-6</v>
      </c>
      <c r="C59">
        <f>SUM('Mass Balance'!E59:H59)</f>
        <v>1.3290860445101961E-4</v>
      </c>
      <c r="D59">
        <f>Concentrations!F59/Concentrations!E59</f>
        <v>7.354087369021306E-2</v>
      </c>
    </row>
    <row r="60" spans="1:4">
      <c r="A60">
        <f>'Mass Balance'!I60</f>
        <v>2.8971288751111515E-6</v>
      </c>
      <c r="B60">
        <f>'Mass Balance'!E60</f>
        <v>6.7799557570725117E-7</v>
      </c>
      <c r="C60">
        <f>SUM('Mass Balance'!E60:H60)</f>
        <v>1.3914428202255853E-4</v>
      </c>
      <c r="D60">
        <f>Concentrations!F60/Concentrations!E60</f>
        <v>4.8916779614992965E-3</v>
      </c>
    </row>
    <row r="61" spans="1:4">
      <c r="A61">
        <f>'Mass Balance'!I61</f>
        <v>2.5917489659037225E-6</v>
      </c>
      <c r="B61">
        <f>'Mass Balance'!E61</f>
        <v>4.6393831794582771E-5</v>
      </c>
      <c r="C61">
        <f>SUM('Mass Balance'!E61:H61)</f>
        <v>1.3358092617337704E-4</v>
      </c>
      <c r="D61">
        <f>Concentrations!F61/Concentrations!E61</f>
        <v>0.3486680521941608</v>
      </c>
    </row>
    <row r="62" spans="1:4">
      <c r="A62">
        <f>'Mass Balance'!I62</f>
        <v>9.9349785256215537E-7</v>
      </c>
      <c r="B62">
        <f>'Mass Balance'!E62</f>
        <v>3.3963303221788471E-5</v>
      </c>
      <c r="C62">
        <f>SUM('Mass Balance'!E62:H62)</f>
        <v>1.2466518958399882E-4</v>
      </c>
      <c r="D62">
        <f>Concentrations!F62/Concentrations!E62</f>
        <v>0.27350236304920528</v>
      </c>
    </row>
    <row r="63" spans="1:4">
      <c r="A63">
        <f>'Mass Balance'!I63</f>
        <v>4.0732458871413013E-7</v>
      </c>
      <c r="B63">
        <f>'Mass Balance'!E63</f>
        <v>1.4146555182593704E-4</v>
      </c>
      <c r="C63">
        <f>SUM('Mass Balance'!E63:H63)</f>
        <v>1.4700457717907998E-4</v>
      </c>
      <c r="D63">
        <f>Concentrations!F63/Concentrations!E63</f>
        <v>0.96608692190690337</v>
      </c>
    </row>
    <row r="64" spans="1:4">
      <c r="A64">
        <f>'Mass Balance'!I64</f>
        <v>5.3911596076608237E-8</v>
      </c>
      <c r="B64">
        <f>'Mass Balance'!E64</f>
        <v>1.4781968426705568E-4</v>
      </c>
      <c r="C64">
        <f>SUM('Mass Balance'!E64:H64)</f>
        <v>1.4967071142810194E-4</v>
      </c>
      <c r="D64">
        <f>Concentrations!F64/Concentrations!E64</f>
        <v>0.99149792496629263</v>
      </c>
    </row>
    <row r="65" spans="1:4">
      <c r="A65">
        <f>'Mass Balance'!I65</f>
        <v>8.2047672958921469E-8</v>
      </c>
      <c r="B65">
        <f>'Mass Balance'!E65</f>
        <v>1.4954528258995814E-4</v>
      </c>
      <c r="C65">
        <f>SUM('Mass Balance'!E65:H65)</f>
        <v>1.4979525922693035E-4</v>
      </c>
      <c r="D65">
        <f>Concentrations!F65/Concentrations!E65</f>
        <v>1.0022383372267636</v>
      </c>
    </row>
    <row r="66" spans="1:4">
      <c r="A66">
        <f>'Mass Balance'!I66</f>
        <v>2.8938827043773183E-6</v>
      </c>
      <c r="B66">
        <f>'Mass Balance'!E66</f>
        <v>1.1524713808961895E-4</v>
      </c>
      <c r="C66">
        <f>SUM('Mass Balance'!E66:H66)</f>
        <v>1.4601571536319331E-4</v>
      </c>
      <c r="D66">
        <f>Concentrations!F66/Concentrations!E66</f>
        <v>0.7923679692326443</v>
      </c>
    </row>
    <row r="67" spans="1:4">
      <c r="A67">
        <f>'Mass Balance'!I67</f>
        <v>7.6846546095102127E-8</v>
      </c>
      <c r="B67">
        <f>'Mass Balance'!E67</f>
        <v>1.4957228665300954E-4</v>
      </c>
      <c r="C67">
        <f>SUM('Mass Balance'!E67:H67)</f>
        <v>1.4978516783898315E-4</v>
      </c>
      <c r="D67">
        <f>Concentrations!F67/Concentrations!E67</f>
        <v>1.0024868513093348</v>
      </c>
    </row>
    <row r="68" spans="1:4">
      <c r="A68">
        <f>'Mass Balance'!I68</f>
        <v>5.4603465050505427E-8</v>
      </c>
      <c r="B68">
        <f>'Mass Balance'!E68</f>
        <v>1.4986376637416587E-4</v>
      </c>
      <c r="C68">
        <f>SUM('Mass Balance'!E68:H68)</f>
        <v>1.4988963081719237E-4</v>
      </c>
      <c r="D68">
        <f>Concentrations!F68/Concentrations!E68</f>
        <v>1.0037404250867852</v>
      </c>
    </row>
    <row r="69" spans="1:4">
      <c r="A69">
        <f>'Mass Balance'!I69</f>
        <v>1.765478020887018E-6</v>
      </c>
      <c r="B69">
        <f>'Mass Balance'!E69</f>
        <v>1.2175416237403541E-6</v>
      </c>
      <c r="C69">
        <f>SUM('Mass Balance'!E69:H69)</f>
        <v>1.4047206211406971E-4</v>
      </c>
      <c r="D69">
        <f>Concentrations!F69/Concentrations!E69</f>
        <v>8.7014218033396352E-3</v>
      </c>
    </row>
    <row r="70" spans="1:4">
      <c r="A70">
        <f>'Mass Balance'!I70</f>
        <v>5.4806720027535664E-8</v>
      </c>
      <c r="B70">
        <f>'Mass Balance'!E70</f>
        <v>1.4540467710962644E-4</v>
      </c>
      <c r="C70">
        <f>SUM('Mass Balance'!E70:H70)</f>
        <v>1.4994159817149216E-4</v>
      </c>
      <c r="D70">
        <f>Concentrations!F70/Concentrations!E70</f>
        <v>0.97353731667672894</v>
      </c>
    </row>
    <row r="71" spans="1:4">
      <c r="A71">
        <f>'Mass Balance'!I71</f>
        <v>5.7513152689416099E-8</v>
      </c>
      <c r="B71">
        <f>'Mass Balance'!E71</f>
        <v>1.414801661315306E-4</v>
      </c>
      <c r="C71">
        <f>SUM('Mass Balance'!E71:H71)</f>
        <v>1.4993756088789334E-4</v>
      </c>
      <c r="D71">
        <f>Concentrations!F71/Concentrations!E71</f>
        <v>0.94728679146870587</v>
      </c>
    </row>
    <row r="72" spans="1:4">
      <c r="A72">
        <f>'Mass Balance'!I72</f>
        <v>9.0259205641481663E-7</v>
      </c>
      <c r="B72">
        <f>'Mass Balance'!E72</f>
        <v>5.8089487254192782E-7</v>
      </c>
      <c r="C72">
        <f>SUM('Mass Balance'!E72:H72)</f>
        <v>1.4909186268933074E-4</v>
      </c>
      <c r="D72">
        <f>Concentrations!F72/Concentrations!E72</f>
        <v>3.9114696490280682E-3</v>
      </c>
    </row>
    <row r="73" spans="1:4">
      <c r="A73">
        <f>'Mass Balance'!I73</f>
        <v>1.0773122285357196E-7</v>
      </c>
      <c r="B73">
        <f>'Mass Balance'!E73</f>
        <v>5.4128468571930745E-6</v>
      </c>
      <c r="C73">
        <f>SUM('Mass Balance'!E73:H73)</f>
        <v>1.498877519796682E-4</v>
      </c>
      <c r="D73">
        <f>Concentrations!F73/Concentrations!E73</f>
        <v>3.625400215439354E-2</v>
      </c>
    </row>
    <row r="74" spans="1:4">
      <c r="A74">
        <f>'Mass Balance'!I74</f>
        <v>5.6998829865827915E-8</v>
      </c>
      <c r="B74">
        <f>'Mass Balance'!E74</f>
        <v>1.4224458518526695E-4</v>
      </c>
      <c r="C74">
        <f>SUM('Mass Balance'!E74:H74)</f>
        <v>1.4993831546328019E-4</v>
      </c>
      <c r="D74">
        <f>Concentrations!F74/Concentrations!E74</f>
        <v>0.95240020044659923</v>
      </c>
    </row>
    <row r="75" spans="1:4">
      <c r="A75">
        <f>'Mass Balance'!I75</f>
        <v>1.0853578271854239E-7</v>
      </c>
      <c r="B75">
        <f>'Mass Balance'!E75</f>
        <v>6.4040122666360754E-6</v>
      </c>
      <c r="C75">
        <f>SUM('Mass Balance'!E75:H75)</f>
        <v>1.4988658618646789E-4</v>
      </c>
      <c r="D75">
        <f>Concentrations!F75/Concentrations!E75</f>
        <v>4.2892933501575733E-2</v>
      </c>
    </row>
    <row r="76" spans="1:4">
      <c r="A76">
        <f>'Mass Balance'!I76</f>
        <v>9.6871716675539504E-8</v>
      </c>
      <c r="B76">
        <f>'Mass Balance'!E76</f>
        <v>6.7157327684322745E-5</v>
      </c>
      <c r="C76">
        <f>SUM('Mass Balance'!E76:H76)</f>
        <v>1.4989181164040918E-4</v>
      </c>
      <c r="D76">
        <f>Concentrations!F76/Concentrations!E76</f>
        <v>0.44979213802343765</v>
      </c>
    </row>
    <row r="77" spans="1:4">
      <c r="A77">
        <f>'Mass Balance'!I77</f>
        <v>1.0796915530687779E-7</v>
      </c>
      <c r="B77">
        <f>'Mass Balance'!E77</f>
        <v>5.679903869778585E-6</v>
      </c>
      <c r="C77">
        <f>SUM('Mass Balance'!E77:H77)</f>
        <v>1.498873984932982E-4</v>
      </c>
      <c r="D77">
        <f>Concentrations!F77/Concentrations!E77</f>
        <v>3.8042778263146559E-2</v>
      </c>
    </row>
    <row r="78" spans="1:4">
      <c r="A78">
        <f>'Mass Balance'!I78</f>
        <v>7.5682481044742694E-7</v>
      </c>
      <c r="B78">
        <f>'Mass Balance'!E78</f>
        <v>6.4489537454583048E-7</v>
      </c>
      <c r="C78">
        <f>SUM('Mass Balance'!E78:H78)</f>
        <v>1.4923791019101081E-4</v>
      </c>
      <c r="D78">
        <f>Concentrations!F78/Concentrations!E78</f>
        <v>4.3381689881233443E-3</v>
      </c>
    </row>
    <row r="79" spans="1:4">
      <c r="A79">
        <f>'Mass Balance'!I79</f>
        <v>7.5682432828837718E-7</v>
      </c>
      <c r="B79">
        <f>'Mass Balance'!E79</f>
        <v>6.4489541977410422E-7</v>
      </c>
      <c r="C79">
        <f>SUM('Mass Balance'!E79:H79)</f>
        <v>1.4923791158648632E-4</v>
      </c>
      <c r="D79">
        <f>Concentrations!F79/Concentrations!E79</f>
        <v>4.3381692518061638E-3</v>
      </c>
    </row>
    <row r="80" spans="1:4">
      <c r="A80">
        <f>'Mass Balance'!I80</f>
        <v>1.1050420615377122E-7</v>
      </c>
      <c r="B80">
        <f>'Mass Balance'!E80</f>
        <v>2.4990679417035256E-5</v>
      </c>
      <c r="C80">
        <f>SUM('Mass Balance'!E80:H80)</f>
        <v>1.4988078672290936E-4</v>
      </c>
      <c r="D80">
        <f>Concentrations!F80/Concentrations!E80</f>
        <v>0.16738959617862056</v>
      </c>
    </row>
    <row r="81" spans="1:4">
      <c r="A81">
        <f>'Mass Balance'!I81</f>
        <v>7.0250618662239305E-8</v>
      </c>
      <c r="B81">
        <f>'Mass Balance'!E81</f>
        <v>1.2066161002935884E-4</v>
      </c>
      <c r="C81">
        <f>SUM('Mass Balance'!E81:H81)</f>
        <v>1.499210616490631E-4</v>
      </c>
      <c r="D81">
        <f>Concentrations!F81/Concentrations!E81</f>
        <v>0.80798412745827086</v>
      </c>
    </row>
    <row r="82" spans="1:4">
      <c r="A82">
        <f>'Mass Balance'!I82</f>
        <v>8.5833534308822194E-8</v>
      </c>
      <c r="B82">
        <f>'Mass Balance'!E82</f>
        <v>9.1235579027871077E-5</v>
      </c>
      <c r="C82">
        <f>SUM('Mass Balance'!E82:H82)</f>
        <v>1.4990324809450054E-4</v>
      </c>
      <c r="D82">
        <f>Concentrations!F82/Concentrations!E82</f>
        <v>0.61101173560083721</v>
      </c>
    </row>
    <row r="83" spans="1:4">
      <c r="A83">
        <f>'Mass Balance'!I83</f>
        <v>1.4631777348218737E-6</v>
      </c>
      <c r="B83">
        <f>'Mass Balance'!E83</f>
        <v>4.3518883399781071E-7</v>
      </c>
      <c r="C83">
        <f>SUM('Mass Balance'!E83:H83)</f>
        <v>1.4853043548382968E-4</v>
      </c>
      <c r="D83">
        <f>Concentrations!F83/Concentrations!E83</f>
        <v>2.9414309087652819E-3</v>
      </c>
    </row>
    <row r="84" spans="1:4">
      <c r="A84">
        <f>'Mass Balance'!I84</f>
        <v>8.0901370629110697E-7</v>
      </c>
      <c r="B84">
        <f>'Mass Balance'!E84</f>
        <v>5.2603153070667772E-5</v>
      </c>
      <c r="C84">
        <f>SUM('Mass Balance'!E84:H84)</f>
        <v>1.2301727381774206E-4</v>
      </c>
      <c r="D84">
        <f>Concentrations!F84/Concentrations!E84</f>
        <v>0.42928136943734024</v>
      </c>
    </row>
    <row r="85" spans="1:4">
      <c r="A85">
        <f>'Mass Balance'!I85</f>
        <v>2.8142341625539231E-5</v>
      </c>
      <c r="B85">
        <f>'Mass Balance'!E85</f>
        <v>6.8966063696186761E-6</v>
      </c>
      <c r="C85">
        <f>SUM('Mass Balance'!E85:H85)</f>
        <v>1.2095810021468779E-4</v>
      </c>
      <c r="D85">
        <f>Concentrations!F85/Concentrations!E85</f>
        <v>5.7239633469175162E-2</v>
      </c>
    </row>
    <row r="86" spans="1:4">
      <c r="A86">
        <f>'Mass Balance'!I86</f>
        <v>7.1903540005095503E-6</v>
      </c>
      <c r="B86">
        <f>'Mass Balance'!E86</f>
        <v>5.4396847908379197E-8</v>
      </c>
      <c r="C86">
        <f>SUM('Mass Balance'!E86:H86)</f>
        <v>1.3849965252176052E-4</v>
      </c>
      <c r="D86">
        <f>Concentrations!F86/Concentrations!E86</f>
        <v>3.942951301225698E-4</v>
      </c>
    </row>
    <row r="87" spans="1:4">
      <c r="A87">
        <f>'Mass Balance'!I87</f>
        <v>8.0944337921861022E-6</v>
      </c>
      <c r="B87">
        <f>'Mass Balance'!E87</f>
        <v>1.8616162157047397E-8</v>
      </c>
      <c r="C87">
        <f>SUM('Mass Balance'!E87:H87)</f>
        <v>1.3904006509281677E-4</v>
      </c>
      <c r="D87">
        <f>Concentrations!F87/Concentrations!E87</f>
        <v>1.3441463378141344E-4</v>
      </c>
    </row>
    <row r="88" spans="1:4">
      <c r="A88">
        <f>'Mass Balance'!I88</f>
        <v>8.7149544641369682E-6</v>
      </c>
      <c r="B88">
        <f>'Mass Balance'!E88</f>
        <v>5.1743927482648704E-9</v>
      </c>
      <c r="C88">
        <f>SUM('Mass Balance'!E88:H88)</f>
        <v>1.395891281456907E-4</v>
      </c>
      <c r="D88">
        <f>Concentrations!F88/Concentrations!E88</f>
        <v>3.7213811818105853E-5</v>
      </c>
    </row>
    <row r="89" spans="1:4">
      <c r="A89">
        <f>'Mass Balance'!I89</f>
        <v>9.1164633122101834E-5</v>
      </c>
      <c r="B89">
        <f>'Mass Balance'!E89</f>
        <v>1.4081304347489371E-7</v>
      </c>
      <c r="C89">
        <f>SUM('Mass Balance'!E89:H89)</f>
        <v>5.8090539684189158E-5</v>
      </c>
      <c r="D89">
        <f>Concentrations!F89/Concentrations!E89</f>
        <v>2.4335139283741215E-3</v>
      </c>
    </row>
    <row r="90" spans="1:4">
      <c r="A90">
        <f>'Mass Balance'!I90</f>
        <v>5.3294787950460266E-8</v>
      </c>
      <c r="B90">
        <f>'Mass Balance'!E90</f>
        <v>1.481477089428824E-4</v>
      </c>
      <c r="C90">
        <f>SUM('Mass Balance'!E90:H90)</f>
        <v>1.4833398799777366E-4</v>
      </c>
      <c r="D90">
        <f>Concentrations!F90/Concentrations!E90</f>
        <v>1.0026529338867345</v>
      </c>
    </row>
    <row r="91" spans="1:4">
      <c r="A91">
        <f>'Mass Balance'!I91</f>
        <v>1.9689467914862677E-7</v>
      </c>
      <c r="B91">
        <f>'Mass Balance'!E91</f>
        <v>1.2244557213597716E-4</v>
      </c>
      <c r="C91">
        <f>SUM('Mass Balance'!E91:H91)</f>
        <v>1.3448703363531592E-4</v>
      </c>
      <c r="D91">
        <f>Concentrations!F91/Concentrations!E91</f>
        <v>0.9140270164622144</v>
      </c>
    </row>
    <row r="92" spans="1:4">
      <c r="A92">
        <f>'Mass Balance'!I92</f>
        <v>1.1054102311698462E-6</v>
      </c>
      <c r="B92">
        <f>'Mass Balance'!E92</f>
        <v>2.2717901398112256E-5</v>
      </c>
      <c r="C92">
        <f>SUM('Mass Balance'!E92:H92)</f>
        <v>1.2713610328607064E-4</v>
      </c>
      <c r="D92">
        <f>Concentrations!F92/Concentrations!E92</f>
        <v>0.17938894525213353</v>
      </c>
    </row>
    <row r="93" spans="1:4">
      <c r="A93">
        <f>'Mass Balance'!I93</f>
        <v>5.1858793072038311E-8</v>
      </c>
      <c r="B93">
        <f>'Mass Balance'!E93</f>
        <v>1.4928383712339651E-4</v>
      </c>
      <c r="C93">
        <f>SUM('Mass Balance'!E93:H93)</f>
        <v>1.4993846148891047E-4</v>
      </c>
      <c r="D93">
        <f>Concentrations!F93/Concentrations!E93</f>
        <v>0.99953061655693265</v>
      </c>
    </row>
    <row r="94" spans="1:4">
      <c r="A94">
        <f>'Mass Balance'!I94</f>
        <v>5.1711123780215728E-8</v>
      </c>
      <c r="B94">
        <f>'Mass Balance'!E94</f>
        <v>1.4994549498971262E-4</v>
      </c>
      <c r="C94">
        <f>SUM('Mass Balance'!E94:H94)</f>
        <v>1.4994804399410944E-4</v>
      </c>
      <c r="D94">
        <f>Concentrations!F94/Concentrations!E94</f>
        <v>1.0038965912204807</v>
      </c>
    </row>
    <row r="95" spans="1:4">
      <c r="A95">
        <f>'Mass Balance'!I95</f>
        <v>6.1991543379359667E-8</v>
      </c>
      <c r="B95">
        <f>'Mass Balance'!E95</f>
        <v>1.4536621423652066E-4</v>
      </c>
      <c r="C95">
        <f>SUM('Mass Balance'!E95:H95)</f>
        <v>1.4614716631243155E-4</v>
      </c>
      <c r="D95">
        <f>Concentrations!F95/Concentrations!E95</f>
        <v>0.99854914344707935</v>
      </c>
    </row>
    <row r="96" spans="1:4">
      <c r="A96">
        <f>'Mass Balance'!I96</f>
        <v>6.7475960572998598E-6</v>
      </c>
      <c r="B96">
        <f>'Mass Balance'!E96</f>
        <v>7.9546702521950816E-8</v>
      </c>
      <c r="C96">
        <f>SUM('Mass Balance'!E96:H96)</f>
        <v>1.3833567528703073E-4</v>
      </c>
      <c r="D96">
        <f>Concentrations!F96/Concentrations!E96</f>
        <v>5.7727712584221193E-4</v>
      </c>
    </row>
    <row r="97" spans="1:4">
      <c r="A97">
        <f>'Mass Balance'!I97</f>
        <v>3.2094365915965253E-7</v>
      </c>
      <c r="B97">
        <f>'Mass Balance'!E97</f>
        <v>1.0646624122522006E-4</v>
      </c>
      <c r="C97">
        <f>SUM('Mass Balance'!E97:H97)</f>
        <v>1.2947940553014185E-4</v>
      </c>
      <c r="D97">
        <f>Concentrations!F97/Concentrations!E97</f>
        <v>0.82548196091787929</v>
      </c>
    </row>
    <row r="98" spans="1:4">
      <c r="A98">
        <f>'Mass Balance'!I98</f>
        <v>2.1564633256348712E-7</v>
      </c>
      <c r="B98">
        <f>'Mass Balance'!E98</f>
        <v>1.1990935872459432E-4</v>
      </c>
      <c r="C98">
        <f>SUM('Mass Balance'!E98:H98)</f>
        <v>1.3357720444388683E-4</v>
      </c>
      <c r="D98">
        <f>Concentrations!F98/Concentrations!E98</f>
        <v>0.90119151188221702</v>
      </c>
    </row>
    <row r="99" spans="1:4">
      <c r="A99">
        <f>'Mass Balance'!I99</f>
        <v>9.0765508475591896E-8</v>
      </c>
      <c r="B99">
        <f>'Mass Balance'!E99</f>
        <v>1.3884545581654986E-4</v>
      </c>
      <c r="C99">
        <f>SUM('Mass Balance'!E99:H99)</f>
        <v>1.4196914822362376E-4</v>
      </c>
      <c r="D99">
        <f>Concentrations!F99/Concentrations!E99</f>
        <v>0.98182493204176757</v>
      </c>
    </row>
    <row r="100" spans="1:4">
      <c r="A100">
        <f>'Mass Balance'!I100</f>
        <v>3.3960512998631783E-6</v>
      </c>
      <c r="B100">
        <f>'Mass Balance'!E100</f>
        <v>5.3441873090141626E-7</v>
      </c>
      <c r="C100">
        <f>SUM('Mass Balance'!E100:H100)</f>
        <v>1.3882939321440487E-4</v>
      </c>
      <c r="D100">
        <f>Concentrations!F100/Concentrations!E100</f>
        <v>3.8645293340741366E-3</v>
      </c>
    </row>
    <row r="101" spans="1:4">
      <c r="A101">
        <f>'Mass Balance'!I101</f>
        <v>1.0107481953514746E-6</v>
      </c>
      <c r="B101">
        <f>'Mass Balance'!E101</f>
        <v>3.2241458720753072E-5</v>
      </c>
      <c r="C101">
        <f>SUM('Mass Balance'!E101:H101)</f>
        <v>1.2496066416635643E-4</v>
      </c>
      <c r="D101">
        <f>Concentrations!F101/Concentrations!E101</f>
        <v>0.25902263682185783</v>
      </c>
    </row>
    <row r="102" spans="1:4">
      <c r="A102">
        <f>'Mass Balance'!I102</f>
        <v>1.25179900985577E-6</v>
      </c>
      <c r="B102">
        <f>'Mass Balance'!E102</f>
        <v>6.523837116872181E-6</v>
      </c>
      <c r="C102">
        <f>SUM('Mass Balance'!E102:H102)</f>
        <v>1.3528572610991662E-4</v>
      </c>
      <c r="D102">
        <f>Concentrations!F102/Concentrations!E102</f>
        <v>4.8411383565722312E-2</v>
      </c>
    </row>
    <row r="103" spans="1:4">
      <c r="A103">
        <f>'Mass Balance'!I103</f>
        <v>6.2224138157746148E-8</v>
      </c>
      <c r="B103">
        <f>'Mass Balance'!E103</f>
        <v>1.3417474080745995E-4</v>
      </c>
      <c r="C103">
        <f>SUM('Mass Balance'!E103:H103)</f>
        <v>1.49930324014177E-4</v>
      </c>
      <c r="D103">
        <f>Concentrations!F103/Concentrations!E103</f>
        <v>0.89841635177396051</v>
      </c>
    </row>
    <row r="104" spans="1:4">
      <c r="A104">
        <f>'Mass Balance'!I104</f>
        <v>1.5798393945505896E-7</v>
      </c>
      <c r="B104">
        <f>'Mass Balance'!E104</f>
        <v>1.6651395059186218E-6</v>
      </c>
      <c r="C104">
        <f>SUM('Mass Balance'!E104:H104)</f>
        <v>1.497981474105133E-4</v>
      </c>
      <c r="D104">
        <f>Concentrations!F104/Concentrations!E104</f>
        <v>1.1159392286885951E-2</v>
      </c>
    </row>
    <row r="105" spans="1:4">
      <c r="A105">
        <f>'Mass Balance'!I105</f>
        <v>5.3786814368313369E-8</v>
      </c>
      <c r="B105">
        <f>'Mass Balance'!E105</f>
        <v>1.4780008365855758E-4</v>
      </c>
      <c r="C105">
        <f>SUM('Mass Balance'!E105:H105)</f>
        <v>1.4800805937188527E-4</v>
      </c>
      <c r="D105">
        <f>Concentrations!F105/Concentrations!E105</f>
        <v>1.0025029928797253</v>
      </c>
    </row>
    <row r="106" spans="1:4">
      <c r="A106">
        <f>'Mass Balance'!I106</f>
        <v>6.2738497179320758E-8</v>
      </c>
      <c r="B106">
        <f>'Mass Balance'!E106</f>
        <v>1.4511622955667744E-4</v>
      </c>
      <c r="C106">
        <f>SUM('Mass Balance'!E106:H106)</f>
        <v>1.4596305232739585E-4</v>
      </c>
      <c r="D106">
        <f>Concentrations!F106/Concentrations!E106</f>
        <v>0.99808932727434774</v>
      </c>
    </row>
    <row r="107" spans="1:4">
      <c r="A107">
        <f>'Mass Balance'!I107</f>
        <v>1.5005477989379842E-6</v>
      </c>
      <c r="B107">
        <f>'Mass Balance'!E107</f>
        <v>3.3916090489094631E-6</v>
      </c>
      <c r="C107">
        <f>SUM('Mass Balance'!E107:H107)</f>
        <v>1.3910721467188977E-4</v>
      </c>
      <c r="D107">
        <f>Concentrations!F107/Concentrations!E107</f>
        <v>2.4476679023712523E-2</v>
      </c>
    </row>
    <row r="108" spans="1:4">
      <c r="A108">
        <f>'Mass Balance'!I108</f>
        <v>5.1472988360032787E-8</v>
      </c>
      <c r="B108">
        <f>'Mass Balance'!E108</f>
        <v>1.4994365332919517E-4</v>
      </c>
      <c r="C108">
        <f>SUM('Mass Balance'!E108:H108)</f>
        <v>1.4994501007706176E-4</v>
      </c>
      <c r="D108">
        <f>Concentrations!F108/Concentrations!E108</f>
        <v>1.0039045732856162</v>
      </c>
    </row>
    <row r="109" spans="1:4">
      <c r="A109">
        <f>'Mass Balance'!I109</f>
        <v>8.8834029381198323E-7</v>
      </c>
      <c r="B109">
        <f>'Mass Balance'!E109</f>
        <v>1.3882112035263104E-4</v>
      </c>
      <c r="C109">
        <f>SUM('Mass Balance'!E109:H109)</f>
        <v>1.479524335165598E-4</v>
      </c>
      <c r="D109">
        <f>Concentrations!F109/Concentrations!E109</f>
        <v>0.94195421656590006</v>
      </c>
    </row>
    <row r="110" spans="1:4">
      <c r="A110">
        <f>'Mass Balance'!I110</f>
        <v>5.1464858140897339E-8</v>
      </c>
      <c r="B110">
        <f>'Mass Balance'!E110</f>
        <v>1.4951097985218035E-4</v>
      </c>
      <c r="C110">
        <f>SUM('Mass Balance'!E110:H110)</f>
        <v>1.4955129089963223E-4</v>
      </c>
      <c r="D110">
        <f>Concentrations!F110/Concentrations!E110</f>
        <v>1.0036430554508318</v>
      </c>
    </row>
    <row r="111" spans="1:4">
      <c r="A111">
        <f>'Mass Balance'!I111</f>
        <v>5.1224375604897376E-8</v>
      </c>
      <c r="B111">
        <f>'Mass Balance'!E111</f>
        <v>1.4994602207056849E-4</v>
      </c>
      <c r="C111">
        <f>SUM('Mass Balance'!E111:H111)</f>
        <v>1.4994842010369503E-4</v>
      </c>
      <c r="D111">
        <f>Concentrations!F111/Concentrations!E111</f>
        <v>1.0038976020249861</v>
      </c>
    </row>
    <row r="112" spans="1:4">
      <c r="A112">
        <f>'Mass Balance'!I112</f>
        <v>5.1343879984671339E-8</v>
      </c>
      <c r="B112">
        <f>'Mass Balance'!E112</f>
        <v>1.4941633119848144E-4</v>
      </c>
      <c r="C112">
        <f>SUM('Mass Balance'!E112:H112)</f>
        <v>1.494334730071503E-4</v>
      </c>
      <c r="D112">
        <f>Concentrations!F112/Concentrations!E112</f>
        <v>1.0037984960831403</v>
      </c>
    </row>
    <row r="113" spans="1:4">
      <c r="A113">
        <f>'Mass Balance'!I113</f>
        <v>5.7119225653341095E-8</v>
      </c>
      <c r="B113">
        <f>'Mass Balance'!E113</f>
        <v>1.4652605631563836E-4</v>
      </c>
      <c r="C113">
        <f>SUM('Mass Balance'!E113:H113)</f>
        <v>1.469888945735123E-4</v>
      </c>
      <c r="D113">
        <f>Concentrations!F113/Concentrations!E113</f>
        <v>1.0007525362272784</v>
      </c>
    </row>
    <row r="114" spans="1:4">
      <c r="A114">
        <f>'Mass Balance'!I114</f>
        <v>5.1222836099686873E-8</v>
      </c>
      <c r="B114">
        <f>'Mass Balance'!E114</f>
        <v>1.4967715740618758E-4</v>
      </c>
      <c r="C114">
        <f>SUM('Mass Balance'!E114:H114)</f>
        <v>1.4968226187646436E-4</v>
      </c>
      <c r="D114">
        <f>Concentrations!F114/Concentrations!E114</f>
        <v>1.0038794214981379</v>
      </c>
    </row>
    <row r="115" spans="1:4">
      <c r="A115">
        <f>'Mass Balance'!I115</f>
        <v>5.4509918168847677E-8</v>
      </c>
      <c r="B115">
        <f>'Mass Balance'!E115</f>
        <v>1.4582418674871853E-4</v>
      </c>
      <c r="C115">
        <f>SUM('Mass Balance'!E115:H115)</f>
        <v>1.4994120842924723E-4</v>
      </c>
      <c r="D115">
        <f>Concentrations!F115/Concentrations!E115</f>
        <v>0.97634862444837534</v>
      </c>
    </row>
    <row r="116" spans="1:4">
      <c r="A116">
        <f>'Mass Balance'!I116</f>
        <v>8.9588543356940672E-6</v>
      </c>
      <c r="B116">
        <f>'Mass Balance'!E116</f>
        <v>1.9217267903166522E-5</v>
      </c>
      <c r="C116">
        <f>SUM('Mass Balance'!E116:H116)</f>
        <v>1.3987901204268175E-4</v>
      </c>
      <c r="D116">
        <f>Concentrations!F116/Concentrations!E116</f>
        <v>0.13792260480320312</v>
      </c>
    </row>
    <row r="117" spans="1:4">
      <c r="A117">
        <f>'Mass Balance'!I117</f>
        <v>4.9397768881000121E-7</v>
      </c>
      <c r="B117">
        <f>'Mass Balance'!E117</f>
        <v>8.6272626711444151E-5</v>
      </c>
      <c r="C117">
        <f>SUM('Mass Balance'!E117:H117)</f>
        <v>1.2531319796496549E-4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0.98612691542712749</v>
      </c>
      <c r="M2" s="115">
        <v>0.90932778042985474</v>
      </c>
      <c r="N2" s="115">
        <v>1.1555446817845192</v>
      </c>
      <c r="O2" s="115">
        <v>0.82453834603871412</v>
      </c>
      <c r="P2" s="115">
        <v>0.95430734232653514</v>
      </c>
      <c r="Q2" s="111">
        <v>0.82453834603871412</v>
      </c>
      <c r="R2" s="68">
        <v>0.95430734232653525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0.64324758094480117</v>
      </c>
      <c r="M3" s="115">
        <v>10.593672634432467</v>
      </c>
      <c r="N3" s="115">
        <v>292.44651369874737</v>
      </c>
      <c r="O3" s="115">
        <v>2.8972755890889585</v>
      </c>
      <c r="P3" s="115">
        <v>2.684392574708327</v>
      </c>
      <c r="Q3" s="111">
        <v>2.897275589088959</v>
      </c>
      <c r="R3" s="68">
        <v>2.6843925747083275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1.0993420665856344</v>
      </c>
      <c r="M4" s="115">
        <v>1.0538332006204534</v>
      </c>
      <c r="N4" s="115">
        <v>3.0592730389154235</v>
      </c>
      <c r="O4" s="115">
        <v>0.82787073552493229</v>
      </c>
      <c r="P4" s="115">
        <v>0.96225217285150988</v>
      </c>
      <c r="Q4" s="111">
        <v>0.8278707355249324</v>
      </c>
      <c r="R4" s="68">
        <v>0.96225217285150999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0.54832756446919262</v>
      </c>
      <c r="M5" s="115">
        <v>1.5556254321607033</v>
      </c>
      <c r="N5" s="115">
        <v>44.994148878324388</v>
      </c>
      <c r="O5" s="115">
        <v>2.6260400099785053</v>
      </c>
      <c r="P5" s="115">
        <v>4.293138088578174</v>
      </c>
      <c r="Q5" s="111">
        <v>2.6260400099785053</v>
      </c>
      <c r="R5" s="68">
        <v>4.293138088578174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0.32491568450245684</v>
      </c>
      <c r="M6" s="115">
        <v>1.8154859559610554</v>
      </c>
      <c r="N6" s="115">
        <v>63.974797583301978</v>
      </c>
      <c r="O6" s="115">
        <v>3.5073698556289665</v>
      </c>
      <c r="P6" s="115">
        <v>5.9342299190379304</v>
      </c>
      <c r="Q6" s="111">
        <v>3.5073698556289665</v>
      </c>
      <c r="R6" s="68">
        <v>5.9342299190379304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0.10813816908710068</v>
      </c>
      <c r="M7" s="115">
        <v>2.1678479680322909</v>
      </c>
      <c r="N7" s="115">
        <v>84.504930447177841</v>
      </c>
      <c r="O7" s="115">
        <v>4.3728227471048982</v>
      </c>
      <c r="P7" s="115">
        <v>7.504820231750724</v>
      </c>
      <c r="Q7" s="111">
        <v>4.372822747104899</v>
      </c>
      <c r="R7" s="68">
        <v>7.504820231750724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0.230417050064948</v>
      </c>
      <c r="M8" s="115">
        <v>1.8794059798340192</v>
      </c>
      <c r="N8" s="115">
        <v>70.273669554621748</v>
      </c>
      <c r="O8" s="115">
        <v>3.8750249017598621</v>
      </c>
      <c r="P8" s="115">
        <v>6.6288443994762511</v>
      </c>
      <c r="Q8" s="111">
        <v>3.8750249017598621</v>
      </c>
      <c r="R8" s="68">
        <v>6.6288443994762511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0.61477862452167664</v>
      </c>
      <c r="M9" s="115">
        <v>1.4885182638303343</v>
      </c>
      <c r="N9" s="115">
        <v>39.5465035619901</v>
      </c>
      <c r="O9" s="115">
        <v>2.3635756889698847</v>
      </c>
      <c r="P9" s="115">
        <v>3.8001171619688479</v>
      </c>
      <c r="Q9" s="111">
        <v>2.3635756889698847</v>
      </c>
      <c r="R9" s="68">
        <v>3.8001171619688479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1.1005762519310128E-2</v>
      </c>
      <c r="M10" s="115">
        <v>22.079194129875585</v>
      </c>
      <c r="N10" s="115">
        <v>729.64837209740961</v>
      </c>
      <c r="O10" s="115">
        <v>7.9058880428279323</v>
      </c>
      <c r="P10" s="115">
        <v>8.0651061885774347</v>
      </c>
      <c r="Q10" s="111">
        <v>7.9058880428279323</v>
      </c>
      <c r="R10" s="68">
        <v>8.0651061885774347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5.9684804742030854E-4</v>
      </c>
      <c r="M11" s="115">
        <v>136.40425288948933</v>
      </c>
      <c r="N11" s="115">
        <v>5165.0551216130907</v>
      </c>
      <c r="O11" s="115">
        <v>20.966766799719672</v>
      </c>
      <c r="P11" s="115">
        <v>9.6241885029362386</v>
      </c>
      <c r="Q11" s="111">
        <v>20.966766799719672</v>
      </c>
      <c r="R11" s="68">
        <v>9.6241885029362404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0.93590278914125946</v>
      </c>
      <c r="M12" s="115">
        <v>0.83113873942757976</v>
      </c>
      <c r="N12" s="115">
        <v>6.2786829552816642E-2</v>
      </c>
      <c r="O12" s="115">
        <v>0.77354582871942124</v>
      </c>
      <c r="P12" s="115">
        <v>0.8988876040216921</v>
      </c>
      <c r="Q12" s="111">
        <v>0.77354582871942135</v>
      </c>
      <c r="R12" s="68">
        <v>0.8988876040216921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0.63378210939953272</v>
      </c>
      <c r="M13" s="115">
        <v>7.2147480458137441</v>
      </c>
      <c r="N13" s="115">
        <v>217.58930922030237</v>
      </c>
      <c r="O13" s="115">
        <v>2.6145147839073317</v>
      </c>
      <c r="P13" s="115">
        <v>2.4713641335985135</v>
      </c>
      <c r="Q13" s="111">
        <v>2.6145147839073317</v>
      </c>
      <c r="R13" s="68">
        <v>2.4713641335985135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8.8316527747111257E-3</v>
      </c>
      <c r="M14" s="115">
        <v>4.0529054908921642</v>
      </c>
      <c r="N14" s="115">
        <v>167.75396404985429</v>
      </c>
      <c r="O14" s="115">
        <v>4.9612114516137762</v>
      </c>
      <c r="P14" s="115">
        <v>8.3117998057079401</v>
      </c>
      <c r="Q14" s="111">
        <v>4.9612114516137762</v>
      </c>
      <c r="R14" s="68">
        <v>8.3117998057079401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0.83937042300742137</v>
      </c>
      <c r="M15" s="115">
        <v>1.7257027086402008</v>
      </c>
      <c r="N15" s="115">
        <v>32.020665217634587</v>
      </c>
      <c r="O15" s="115">
        <v>0.98618561889853695</v>
      </c>
      <c r="P15" s="115">
        <v>1.0501767670501294</v>
      </c>
      <c r="Q15" s="111">
        <v>0.98618561889853695</v>
      </c>
      <c r="R15" s="68">
        <v>1.0501767670501294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0.5955548707065258</v>
      </c>
      <c r="M16" s="115">
        <v>8.0632144521647238</v>
      </c>
      <c r="N16" s="115">
        <v>246.53011893872639</v>
      </c>
      <c r="O16" s="115">
        <v>2.8710785223676649</v>
      </c>
      <c r="P16" s="115">
        <v>2.7028855162835925</v>
      </c>
      <c r="Q16" s="111">
        <v>2.8710785223676654</v>
      </c>
      <c r="R16" s="68">
        <v>2.7028855162835925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0.61864171648852762</v>
      </c>
      <c r="M17" s="115">
        <v>7.5134834754711015</v>
      </c>
      <c r="N17" s="115">
        <v>227.82702036134526</v>
      </c>
      <c r="O17" s="115">
        <v>2.7038566010177991</v>
      </c>
      <c r="P17" s="115">
        <v>2.5515439866903602</v>
      </c>
      <c r="Q17" s="111">
        <v>2.7038566010177991</v>
      </c>
      <c r="R17" s="68">
        <v>2.5515439866903602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6.7125986162455795E-4</v>
      </c>
      <c r="M18" s="115">
        <v>110.9999914179802</v>
      </c>
      <c r="N18" s="115">
        <v>3703.4095129620159</v>
      </c>
      <c r="O18" s="115">
        <v>22.335532385294719</v>
      </c>
      <c r="P18" s="115">
        <v>9.5674602012177274</v>
      </c>
      <c r="Q18" s="111">
        <v>22.335532385294719</v>
      </c>
      <c r="R18" s="68">
        <v>9.5674602012177292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0.94590306265215796</v>
      </c>
      <c r="M19" s="115">
        <v>1.1668300854745557</v>
      </c>
      <c r="N19" s="115">
        <v>10.706912640845928</v>
      </c>
      <c r="O19" s="115">
        <v>0.87674719638279563</v>
      </c>
      <c r="P19" s="115">
        <v>0.9848231578986486</v>
      </c>
      <c r="Q19" s="111">
        <v>0.87674719638279575</v>
      </c>
      <c r="R19" s="68">
        <v>0.9848231578986486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0.91916943302737086</v>
      </c>
      <c r="M20" s="115">
        <v>1.3869910513764505</v>
      </c>
      <c r="N20" s="115">
        <v>18.660010794454902</v>
      </c>
      <c r="O20" s="115">
        <v>0.9275535807968498</v>
      </c>
      <c r="P20" s="115">
        <v>1.0201787500003097</v>
      </c>
      <c r="Q20" s="111">
        <v>0.9275535807968498</v>
      </c>
      <c r="R20" s="68">
        <v>1.0201787500003097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0.11059142084086061</v>
      </c>
      <c r="M21" s="115">
        <v>6.6468609189809094</v>
      </c>
      <c r="N21" s="115">
        <v>227.80550322588002</v>
      </c>
      <c r="O21" s="115">
        <v>4.8458090812375278</v>
      </c>
      <c r="P21" s="115">
        <v>7.1210303782603326</v>
      </c>
      <c r="Q21" s="111">
        <v>4.8458090812375287</v>
      </c>
      <c r="R21" s="68">
        <v>7.1210303782603335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0.9302991799178929</v>
      </c>
      <c r="M22" s="115">
        <v>0.88308303697503998</v>
      </c>
      <c r="N22" s="115">
        <v>1.910969469234538</v>
      </c>
      <c r="O22" s="115">
        <v>0.78502322491273169</v>
      </c>
      <c r="P22" s="115">
        <v>0.90585824609900112</v>
      </c>
      <c r="Q22" s="111">
        <v>0.7850232249127318</v>
      </c>
      <c r="R22" s="68">
        <v>0.90585824609900112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0.81245426191913506</v>
      </c>
      <c r="M23" s="115">
        <v>2.3842524518480759</v>
      </c>
      <c r="N23" s="115">
        <v>54.302257245281154</v>
      </c>
      <c r="O23" s="115">
        <v>1.1740639012121874</v>
      </c>
      <c r="P23" s="115">
        <v>1.2068838008092626</v>
      </c>
      <c r="Q23" s="111">
        <v>1.1740639012121874</v>
      </c>
      <c r="R23" s="68">
        <v>1.2068838008092626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0.4680722006551935</v>
      </c>
      <c r="M24" s="115">
        <v>11.030454842477772</v>
      </c>
      <c r="N24" s="115">
        <v>347.6915813059835</v>
      </c>
      <c r="O24" s="115">
        <v>3.7870357532886905</v>
      </c>
      <c r="P24" s="115">
        <v>3.5469061349316515</v>
      </c>
      <c r="Q24" s="111">
        <v>3.7870357532886909</v>
      </c>
      <c r="R24" s="68">
        <v>3.5469061349316515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9.4173307252658905E-4</v>
      </c>
      <c r="M25" s="115">
        <v>102.29504625630345</v>
      </c>
      <c r="N25" s="115">
        <v>3410.0512289983712</v>
      </c>
      <c r="O25" s="115">
        <v>20.932278772565187</v>
      </c>
      <c r="P25" s="115">
        <v>9.3997313587374265</v>
      </c>
      <c r="Q25" s="111">
        <v>20.932278772565187</v>
      </c>
      <c r="R25" s="68">
        <v>9.3997313587374283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0.16621684662026787</v>
      </c>
      <c r="M26" s="115">
        <v>15.804927735027015</v>
      </c>
      <c r="N26" s="115">
        <v>514.33273716240615</v>
      </c>
      <c r="O26" s="115">
        <v>5.3404988454213367</v>
      </c>
      <c r="P26" s="115">
        <v>5.0943522634414462</v>
      </c>
      <c r="Q26" s="111">
        <v>5.3404988454213367</v>
      </c>
      <c r="R26" s="68">
        <v>5.0943522634414462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1.9611823127567377E-2</v>
      </c>
      <c r="M27" s="115">
        <v>9.266598725708846</v>
      </c>
      <c r="N27" s="115">
        <v>304.86102642701178</v>
      </c>
      <c r="O27" s="115">
        <v>3.230222698739043</v>
      </c>
      <c r="P27" s="115">
        <v>3.2057809834403148</v>
      </c>
      <c r="Q27" s="111">
        <v>3.2302226987390434</v>
      </c>
      <c r="R27" s="68">
        <v>3.2057809834403153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3.6855815202629677E-2</v>
      </c>
      <c r="M28" s="115">
        <v>4.7354155494372119</v>
      </c>
      <c r="N28" s="115">
        <v>154.57813083897133</v>
      </c>
      <c r="O28" s="115">
        <v>1.6060130445972371</v>
      </c>
      <c r="P28" s="115">
        <v>1.5423923144948251</v>
      </c>
      <c r="Q28" s="111">
        <v>1.6060130445972371</v>
      </c>
      <c r="R28" s="68">
        <v>1.5423923144948251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7.5009684888269729E-2</v>
      </c>
      <c r="M29" s="115">
        <v>0.12547197177017649</v>
      </c>
      <c r="N29" s="115">
        <v>1.9235407273869647</v>
      </c>
      <c r="O29" s="115">
        <v>7.9396821691357145E-2</v>
      </c>
      <c r="P29" s="115">
        <v>8.6385590755855432E-2</v>
      </c>
      <c r="Q29" s="111">
        <v>7.9396821691357158E-2</v>
      </c>
      <c r="R29" s="68">
        <v>8.6385590755855432E-2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1.5336052909703184E-2</v>
      </c>
      <c r="M30" s="115">
        <v>1.8380975317548209</v>
      </c>
      <c r="N30" s="115">
        <v>59.962139784903101</v>
      </c>
      <c r="O30" s="115">
        <v>0.62277920520694474</v>
      </c>
      <c r="P30" s="115">
        <v>0.59714753443166213</v>
      </c>
      <c r="Q30" s="111">
        <v>0.62277920520694474</v>
      </c>
      <c r="R30" s="68">
        <v>0.59714753443166213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5.7699836049196073E-4</v>
      </c>
      <c r="M31" s="115">
        <v>3.2283770114424168E-2</v>
      </c>
      <c r="N31" s="115">
        <v>1.0425128251355316</v>
      </c>
      <c r="O31" s="115">
        <v>1.0886714887043916E-2</v>
      </c>
      <c r="P31" s="115">
        <v>1.0279079376932754E-2</v>
      </c>
      <c r="Q31" s="111">
        <v>1.0886714887043916E-2</v>
      </c>
      <c r="R31" s="68">
        <v>1.0279079376932754E-2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0.67267302826326125</v>
      </c>
      <c r="M32" s="115">
        <v>6.3194228073874124</v>
      </c>
      <c r="N32" s="115">
        <v>187.11148783872864</v>
      </c>
      <c r="O32" s="115">
        <v>2.3452588681033246</v>
      </c>
      <c r="P32" s="115">
        <v>2.230468855351214</v>
      </c>
      <c r="Q32" s="111">
        <v>2.3452588681033251</v>
      </c>
      <c r="R32" s="68">
        <v>2.230468855351214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0.81184183480191752</v>
      </c>
      <c r="M33" s="115">
        <v>3.4987414733647135</v>
      </c>
      <c r="N33" s="115">
        <v>90.737622812588612</v>
      </c>
      <c r="O33" s="115">
        <v>1.5208548996606144</v>
      </c>
      <c r="P33" s="115">
        <v>1.5123169770871487</v>
      </c>
      <c r="Q33" s="111">
        <v>1.5208548996606144</v>
      </c>
      <c r="R33" s="68">
        <v>1.512316977087149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0.21168822202938456</v>
      </c>
      <c r="M34" s="115">
        <v>17.522410975303167</v>
      </c>
      <c r="N34" s="115">
        <v>569.25875444140945</v>
      </c>
      <c r="O34" s="115">
        <v>5.9140002250767951</v>
      </c>
      <c r="P34" s="115">
        <v>5.6249719015927306</v>
      </c>
      <c r="Q34" s="111">
        <v>5.914000225076796</v>
      </c>
      <c r="R34" s="68">
        <v>5.6249719015927315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2.2645492630226336E-2</v>
      </c>
      <c r="M35" s="115">
        <v>21.534041101545302</v>
      </c>
      <c r="N35" s="115">
        <v>710.16631226454945</v>
      </c>
      <c r="O35" s="115">
        <v>7.6496192467799879</v>
      </c>
      <c r="P35" s="115">
        <v>7.7331970763491293</v>
      </c>
      <c r="Q35" s="111">
        <v>7.6496192467799879</v>
      </c>
      <c r="R35" s="68">
        <v>7.7331970763491293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4.9132846002921931E-3</v>
      </c>
      <c r="M36" s="115">
        <v>47.084318155715117</v>
      </c>
      <c r="N36" s="115">
        <v>1561.6256720419369</v>
      </c>
      <c r="O36" s="115">
        <v>11.976926845698705</v>
      </c>
      <c r="P36" s="115">
        <v>8.4398272038366855</v>
      </c>
      <c r="Q36" s="111">
        <v>11.976926845698705</v>
      </c>
      <c r="R36" s="68">
        <v>8.4398272038366855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7.370433169088331E-4</v>
      </c>
      <c r="M37" s="115">
        <v>108.44989553822677</v>
      </c>
      <c r="N37" s="115">
        <v>3617.4674521873221</v>
      </c>
      <c r="O37" s="115">
        <v>21.916301279260665</v>
      </c>
      <c r="P37" s="115">
        <v>9.5034922684603718</v>
      </c>
      <c r="Q37" s="111">
        <v>21.916301279260665</v>
      </c>
      <c r="R37" s="68">
        <v>9.5034922684603735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2.6907790564442455E-3</v>
      </c>
      <c r="M38" s="115">
        <v>68.737156732330078</v>
      </c>
      <c r="N38" s="115">
        <v>2284.536817018874</v>
      </c>
      <c r="O38" s="115">
        <v>15.497561754645281</v>
      </c>
      <c r="P38" s="115">
        <v>8.7978574812982373</v>
      </c>
      <c r="Q38" s="111">
        <v>15.497561754645281</v>
      </c>
      <c r="R38" s="68">
        <v>8.7978574812982373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4.0796861581570421E-3</v>
      </c>
      <c r="M39" s="115">
        <v>51.735368652675284</v>
      </c>
      <c r="N39" s="115">
        <v>1716.9211793090215</v>
      </c>
      <c r="O39" s="115">
        <v>12.637534007890311</v>
      </c>
      <c r="P39" s="115">
        <v>8.343559069415587</v>
      </c>
      <c r="Q39" s="111">
        <v>12.637534007890311</v>
      </c>
      <c r="R39" s="68">
        <v>8.3435590694155888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2.6907790564442455E-3</v>
      </c>
      <c r="M40" s="115">
        <v>68.737156732330078</v>
      </c>
      <c r="N40" s="115">
        <v>2284.536817018874</v>
      </c>
      <c r="O40" s="115">
        <v>15.497561754645281</v>
      </c>
      <c r="P40" s="115">
        <v>8.7978574812982373</v>
      </c>
      <c r="Q40" s="111">
        <v>15.497561754645281</v>
      </c>
      <c r="R40" s="68">
        <v>8.7978574812982373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0.95209325639305031</v>
      </c>
      <c r="M41" s="115">
        <v>0.97349104392930874</v>
      </c>
      <c r="N41" s="115">
        <v>5.476311433129891</v>
      </c>
      <c r="O41" s="115">
        <v>1.0088004805160198</v>
      </c>
      <c r="P41" s="115">
        <v>1.2954765990312851</v>
      </c>
      <c r="Q41" s="111">
        <v>1.0088004805160198</v>
      </c>
      <c r="R41" s="68">
        <v>1.2954765990312851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6.6935011169289938E-4</v>
      </c>
      <c r="M42" s="115">
        <v>110.68419385857966</v>
      </c>
      <c r="N42" s="115">
        <v>3692.8732266910542</v>
      </c>
      <c r="O42" s="115">
        <v>22.271987275740369</v>
      </c>
      <c r="P42" s="115">
        <v>9.5402405542374957</v>
      </c>
      <c r="Q42" s="111">
        <v>22.271987275740369</v>
      </c>
      <c r="R42" s="68">
        <v>9.5402405542374957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0.43776661817402063</v>
      </c>
      <c r="M43" s="115">
        <v>11.808940929543153</v>
      </c>
      <c r="N43" s="115">
        <v>374.17291037151819</v>
      </c>
      <c r="O43" s="115">
        <v>4.0328466953158904</v>
      </c>
      <c r="P43" s="115">
        <v>3.7779584507393125</v>
      </c>
      <c r="Q43" s="111">
        <v>4.0328466953158904</v>
      </c>
      <c r="R43" s="68">
        <v>3.7779584507393129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7.3715858439362758E-3</v>
      </c>
      <c r="M44" s="115">
        <v>33.471046630428575</v>
      </c>
      <c r="N44" s="115">
        <v>1108.2808532775225</v>
      </c>
      <c r="O44" s="115">
        <v>9.7618473133320318</v>
      </c>
      <c r="P44" s="115">
        <v>8.2312643054753902</v>
      </c>
      <c r="Q44" s="111">
        <v>9.7618473133320318</v>
      </c>
      <c r="R44" s="68">
        <v>8.2312643054753902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2.9623892743675439E-4</v>
      </c>
      <c r="M45" s="115">
        <v>127.58136221819647</v>
      </c>
      <c r="N45" s="115">
        <v>4264.8975677379922</v>
      </c>
      <c r="O45" s="115">
        <v>24.990564350646935</v>
      </c>
      <c r="P45" s="115">
        <v>9.8995068115904132</v>
      </c>
      <c r="Q45" s="111">
        <v>24.990564350646935</v>
      </c>
      <c r="R45" s="68">
        <v>9.8995068115904132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5.9779521734901414E-4</v>
      </c>
      <c r="M46" s="115">
        <v>113.71564983177257</v>
      </c>
      <c r="N46" s="115">
        <v>3795.0964919057642</v>
      </c>
      <c r="O46" s="115">
        <v>22.77204354336147</v>
      </c>
      <c r="P46" s="115">
        <v>9.6203284734175494</v>
      </c>
      <c r="Q46" s="111">
        <v>22.77204354336147</v>
      </c>
      <c r="R46" s="68">
        <v>9.6203284734175494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1.3489005202082138E-3</v>
      </c>
      <c r="M47" s="115">
        <v>91.859700976855251</v>
      </c>
      <c r="N47" s="115">
        <v>3059.2520489931808</v>
      </c>
      <c r="O47" s="115">
        <v>19.246146624583876</v>
      </c>
      <c r="P47" s="115">
        <v>9.2061495869545951</v>
      </c>
      <c r="Q47" s="111">
        <v>19.246146624583876</v>
      </c>
      <c r="R47" s="68">
        <v>9.2061495869545951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6.796026153085219E-2</v>
      </c>
      <c r="M48" s="115">
        <v>21.115103735725253</v>
      </c>
      <c r="N48" s="115">
        <v>693.36724609833857</v>
      </c>
      <c r="O48" s="115">
        <v>7.285332171010702</v>
      </c>
      <c r="P48" s="115">
        <v>7.1516371206487204</v>
      </c>
      <c r="Q48" s="111">
        <v>7.285332171010702</v>
      </c>
      <c r="R48" s="68">
        <v>7.1516371206487204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6.8539670822585167E-3</v>
      </c>
      <c r="M49" s="115">
        <v>35.799059293411254</v>
      </c>
      <c r="N49" s="115">
        <v>1185.741918410117</v>
      </c>
      <c r="O49" s="115">
        <v>10.14136623823099</v>
      </c>
      <c r="P49" s="115">
        <v>8.2671132814097916</v>
      </c>
      <c r="Q49" s="111">
        <v>10.141366238230992</v>
      </c>
      <c r="R49" s="68">
        <v>8.2671132814097916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6.0506048539492952E-3</v>
      </c>
      <c r="M50" s="115">
        <v>39.91172947354994</v>
      </c>
      <c r="N50" s="115">
        <v>1322.6524123653057</v>
      </c>
      <c r="O50" s="115">
        <v>10.810643912188521</v>
      </c>
      <c r="P50" s="115">
        <v>8.3294570774386028</v>
      </c>
      <c r="Q50" s="111">
        <v>10.810643912188523</v>
      </c>
      <c r="R50" s="68">
        <v>8.3294570774386045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4.2629032795384665E-2</v>
      </c>
      <c r="M51" s="115">
        <v>21.600698365548904</v>
      </c>
      <c r="N51" s="115">
        <v>710.83496029599382</v>
      </c>
      <c r="O51" s="115">
        <v>7.5433026916832358</v>
      </c>
      <c r="P51" s="115">
        <v>7.4999902729982129</v>
      </c>
      <c r="Q51" s="111">
        <v>7.5433026916832366</v>
      </c>
      <c r="R51" s="68">
        <v>7.4999902729982129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6.50565934374287E-2</v>
      </c>
      <c r="M52" s="115">
        <v>21.176273034931921</v>
      </c>
      <c r="N52" s="115">
        <v>695.53512611661881</v>
      </c>
      <c r="O52" s="115">
        <v>7.3143988676982383</v>
      </c>
      <c r="P52" s="115">
        <v>7.1888180725908555</v>
      </c>
      <c r="Q52" s="111">
        <v>7.3143988676982383</v>
      </c>
      <c r="R52" s="68">
        <v>7.1888180725908564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4.0021809527302117E-3</v>
      </c>
      <c r="M53" s="115">
        <v>54.434232956445548</v>
      </c>
      <c r="N53" s="115">
        <v>1806.7579412457844</v>
      </c>
      <c r="O53" s="115">
        <v>13.17353754731683</v>
      </c>
      <c r="P53" s="115">
        <v>8.5598787562968095</v>
      </c>
      <c r="Q53" s="111">
        <v>13.17353754731683</v>
      </c>
      <c r="R53" s="68">
        <v>8.5598787562968095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6.443183718142521E-3</v>
      </c>
      <c r="M54" s="115">
        <v>37.819492582187465</v>
      </c>
      <c r="N54" s="115">
        <v>1252.9913135062068</v>
      </c>
      <c r="O54" s="115">
        <v>10.470329470530151</v>
      </c>
      <c r="P54" s="115">
        <v>8.2978616484506631</v>
      </c>
      <c r="Q54" s="111">
        <v>10.470329470530151</v>
      </c>
      <c r="R54" s="68">
        <v>8.2978616484506649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1.3964937745720313E-3</v>
      </c>
      <c r="M55" s="115">
        <v>90.762423661737941</v>
      </c>
      <c r="N55" s="115">
        <v>3022.4182833511354</v>
      </c>
      <c r="O55" s="115">
        <v>19.067677296223575</v>
      </c>
      <c r="P55" s="115">
        <v>9.1845526480767994</v>
      </c>
      <c r="Q55" s="111">
        <v>19.067677296223575</v>
      </c>
      <c r="R55" s="68">
        <v>9.1845526480768012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7.196218046356586E-3</v>
      </c>
      <c r="M56" s="115">
        <v>34.236253657891538</v>
      </c>
      <c r="N56" s="115">
        <v>1133.7386912173372</v>
      </c>
      <c r="O56" s="115">
        <v>9.886779925063081</v>
      </c>
      <c r="P56" s="115">
        <v>8.24333022779064</v>
      </c>
      <c r="Q56" s="111">
        <v>9.886779925063081</v>
      </c>
      <c r="R56" s="68">
        <v>8.24333022779064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8.2276876822436992E-2</v>
      </c>
      <c r="M57" s="115">
        <v>20.732957038699162</v>
      </c>
      <c r="N57" s="115">
        <v>680.06223270483281</v>
      </c>
      <c r="O57" s="115">
        <v>7.1198319628766162</v>
      </c>
      <c r="P57" s="115">
        <v>6.9517285812114311</v>
      </c>
      <c r="Q57" s="111">
        <v>7.1198319628766171</v>
      </c>
      <c r="R57" s="68">
        <v>6.9517285812114311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6.3632761166671622E-3</v>
      </c>
      <c r="M58" s="115">
        <v>38.232543400670636</v>
      </c>
      <c r="N58" s="115">
        <v>1266.7420634074144</v>
      </c>
      <c r="O58" s="115">
        <v>10.537574108241092</v>
      </c>
      <c r="P58" s="115">
        <v>8.304176719527625</v>
      </c>
      <c r="Q58" s="111">
        <v>10.537574108241092</v>
      </c>
      <c r="R58" s="68">
        <v>8.304176719527625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6.5064316933881178E-2</v>
      </c>
      <c r="M59" s="115">
        <v>21.178787074801217</v>
      </c>
      <c r="N59" s="115">
        <v>695.61769980815882</v>
      </c>
      <c r="O59" s="115">
        <v>7.3152672306222986</v>
      </c>
      <c r="P59" s="115">
        <v>7.1896715266060074</v>
      </c>
      <c r="Q59" s="111">
        <v>7.3152672306222994</v>
      </c>
      <c r="R59" s="68">
        <v>7.1896715266060074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4.5311418102013199E-3</v>
      </c>
      <c r="M60" s="115">
        <v>49.950497846743986</v>
      </c>
      <c r="N60" s="115">
        <v>1657.1886993976884</v>
      </c>
      <c r="O60" s="115">
        <v>12.442896243269697</v>
      </c>
      <c r="P60" s="115">
        <v>8.4849529101884205</v>
      </c>
      <c r="Q60" s="111">
        <v>12.442896243269697</v>
      </c>
      <c r="R60" s="68">
        <v>8.4849529101884205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0.57166055764207169</v>
      </c>
      <c r="M61" s="115">
        <v>44.685326998340045</v>
      </c>
      <c r="N61" s="115">
        <v>888.91566515528916</v>
      </c>
      <c r="O61" s="115">
        <v>4.9170576925677931</v>
      </c>
      <c r="P61" s="115">
        <v>4.9444119829521194</v>
      </c>
      <c r="Q61" s="111">
        <v>4.9170576925677931</v>
      </c>
      <c r="R61" s="68">
        <v>4.9444119829521194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0.22695468412340805</v>
      </c>
      <c r="M62" s="115">
        <v>17.129273320037161</v>
      </c>
      <c r="N62" s="115">
        <v>555.79549941818163</v>
      </c>
      <c r="O62" s="115">
        <v>5.7781570352741261</v>
      </c>
      <c r="P62" s="115">
        <v>5.4855542544687568</v>
      </c>
      <c r="Q62" s="111">
        <v>5.7781570352741261</v>
      </c>
      <c r="R62" s="68">
        <v>5.4855542544687568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1.7975736686197274</v>
      </c>
      <c r="M63" s="115">
        <v>7.0228377364505192</v>
      </c>
      <c r="N63" s="115">
        <v>113.9857938504869</v>
      </c>
      <c r="O63" s="115">
        <v>1.0840215226945045</v>
      </c>
      <c r="P63" s="115">
        <v>1.2134329015148047</v>
      </c>
      <c r="Q63" s="111">
        <v>1.0840215226945045</v>
      </c>
      <c r="R63" s="68">
        <v>1.2134329015148047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0.98298089757131057</v>
      </c>
      <c r="M64" s="115">
        <v>0.92951027718290058</v>
      </c>
      <c r="N64" s="115">
        <v>2.2600780641763412</v>
      </c>
      <c r="O64" s="115">
        <v>0.87634761981667753</v>
      </c>
      <c r="P64" s="115">
        <v>1.047750140074718</v>
      </c>
      <c r="Q64" s="111">
        <v>0.87634761981667753</v>
      </c>
      <c r="R64" s="68">
        <v>1.0477501400747182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1.267142272680136</v>
      </c>
      <c r="M65" s="115">
        <v>1.4146150510158875</v>
      </c>
      <c r="N65" s="115">
        <v>9.5863400902094167</v>
      </c>
      <c r="O65" s="115">
        <v>0.83631942289056249</v>
      </c>
      <c r="P65" s="115">
        <v>0.97132342309544661</v>
      </c>
      <c r="Q65" s="111">
        <v>0.8363194228905626</v>
      </c>
      <c r="R65" s="68">
        <v>0.97132342309544673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1.7595949727601328</v>
      </c>
      <c r="M66" s="115">
        <v>49.894529385815829</v>
      </c>
      <c r="N66" s="115">
        <v>883.04136413250285</v>
      </c>
      <c r="O66" s="115">
        <v>2.1092795772402035</v>
      </c>
      <c r="P66" s="115">
        <v>2.5718602339951944</v>
      </c>
      <c r="Q66" s="111">
        <v>2.109279577240204</v>
      </c>
      <c r="R66" s="68">
        <v>2.5718602339951944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1.2287279934009807</v>
      </c>
      <c r="M67" s="115">
        <v>1.3249404499155537</v>
      </c>
      <c r="N67" s="115">
        <v>7.9826915336689233</v>
      </c>
      <c r="O67" s="115">
        <v>0.83456935223754791</v>
      </c>
      <c r="P67" s="115">
        <v>0.96914335197450596</v>
      </c>
      <c r="Q67" s="111">
        <v>0.83456935223754802</v>
      </c>
      <c r="R67" s="68">
        <v>0.96914335197450607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1.0327916188150896</v>
      </c>
      <c r="M68" s="115">
        <v>0.94143905259492111</v>
      </c>
      <c r="N68" s="115">
        <v>1.0589109512489834</v>
      </c>
      <c r="O68" s="115">
        <v>0.82583727715417343</v>
      </c>
      <c r="P68" s="115">
        <v>0.95966252092365645</v>
      </c>
      <c r="Q68" s="111">
        <v>0.82583727715417343</v>
      </c>
      <c r="R68" s="68">
        <v>0.95966252092365656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8.136899883070663E-3</v>
      </c>
      <c r="M69" s="115">
        <v>30.439276222189964</v>
      </c>
      <c r="N69" s="115">
        <v>1007.4440134467498</v>
      </c>
      <c r="O69" s="115">
        <v>9.2684724825678444</v>
      </c>
      <c r="P69" s="115">
        <v>8.1868581813586214</v>
      </c>
      <c r="Q69" s="111">
        <v>9.2684724825678444</v>
      </c>
      <c r="R69" s="68">
        <v>8.1868581813586214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0.96715689858239084</v>
      </c>
      <c r="M70" s="115">
        <v>0.94494344875061476</v>
      </c>
      <c r="N70" s="115">
        <v>3.7180851086817563</v>
      </c>
      <c r="O70" s="115">
        <v>0.94720493328714406</v>
      </c>
      <c r="P70" s="115">
        <v>1.1824993286265197</v>
      </c>
      <c r="Q70" s="111">
        <v>0.94720493328714406</v>
      </c>
      <c r="R70" s="68">
        <v>1.1824993286265197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0.94147527798991082</v>
      </c>
      <c r="M71" s="115">
        <v>0.99160608085200164</v>
      </c>
      <c r="N71" s="115">
        <v>6.6466266705099386</v>
      </c>
      <c r="O71" s="115">
        <v>1.0522289143806407</v>
      </c>
      <c r="P71" s="115">
        <v>1.3756347402458002</v>
      </c>
      <c r="Q71" s="111">
        <v>1.0522289143806407</v>
      </c>
      <c r="R71" s="68">
        <v>1.3756347402458002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3.8877658165067724E-3</v>
      </c>
      <c r="M72" s="115">
        <v>15.561932007152009</v>
      </c>
      <c r="N72" s="115">
        <v>653.06849391362948</v>
      </c>
      <c r="O72" s="115">
        <v>6.2334446020766157</v>
      </c>
      <c r="P72" s="115">
        <v>8.7877902778368462</v>
      </c>
      <c r="Q72" s="111">
        <v>6.2334446020766157</v>
      </c>
      <c r="R72" s="68">
        <v>8.7877902778368462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3.6222450127008803E-2</v>
      </c>
      <c r="M73" s="115">
        <v>1.8574348767857234</v>
      </c>
      <c r="N73" s="115">
        <v>76.624372236391935</v>
      </c>
      <c r="O73" s="115">
        <v>4.6125489005092435</v>
      </c>
      <c r="P73" s="115">
        <v>8.0465333895693227</v>
      </c>
      <c r="Q73" s="111">
        <v>4.6125489005092435</v>
      </c>
      <c r="R73" s="68">
        <v>8.0465333895693227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0.94648377101269499</v>
      </c>
      <c r="M74" s="115">
        <v>0.98273844596255022</v>
      </c>
      <c r="N74" s="115">
        <v>6.0855093300337968</v>
      </c>
      <c r="O74" s="115">
        <v>1.0317960583916037</v>
      </c>
      <c r="P74" s="115">
        <v>1.3380231527795352</v>
      </c>
      <c r="Q74" s="111">
        <v>1.0317960583916037</v>
      </c>
      <c r="R74" s="68">
        <v>1.3380231527795354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4.2854392554078823E-2</v>
      </c>
      <c r="M75" s="115">
        <v>1.8713065985955586</v>
      </c>
      <c r="N75" s="115">
        <v>76.961468274612088</v>
      </c>
      <c r="O75" s="115">
        <v>4.5888098266190358</v>
      </c>
      <c r="P75" s="115">
        <v>7.9986641086356443</v>
      </c>
      <c r="Q75" s="111">
        <v>4.5888098266190358</v>
      </c>
      <c r="R75" s="68">
        <v>7.9986641086356451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0.44873849365486368</v>
      </c>
      <c r="M76" s="115">
        <v>1.6702020116472327</v>
      </c>
      <c r="N76" s="115">
        <v>53.500658960691077</v>
      </c>
      <c r="O76" s="115">
        <v>3.0192467277622828</v>
      </c>
      <c r="P76" s="115">
        <v>5.0266430137314853</v>
      </c>
      <c r="Q76" s="111">
        <v>3.0192467277622828</v>
      </c>
      <c r="R76" s="68">
        <v>5.0266430137314861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3.8009369040765913E-2</v>
      </c>
      <c r="M77" s="115">
        <v>1.8615371604634101</v>
      </c>
      <c r="N77" s="115">
        <v>76.730267151796411</v>
      </c>
      <c r="O77" s="115">
        <v>4.6061927176678044</v>
      </c>
      <c r="P77" s="115">
        <v>8.0336465431633002</v>
      </c>
      <c r="Q77" s="111">
        <v>4.6061927176678044</v>
      </c>
      <c r="R77" s="68">
        <v>8.0336465431633002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4.3161009709242098E-3</v>
      </c>
      <c r="M78" s="115">
        <v>13.048703628403914</v>
      </c>
      <c r="N78" s="115">
        <v>547.55840718858894</v>
      </c>
      <c r="O78" s="115">
        <v>5.9571392323562273</v>
      </c>
      <c r="P78" s="115">
        <v>8.691965412996419</v>
      </c>
      <c r="Q78" s="111">
        <v>5.9571392323562282</v>
      </c>
      <c r="R78" s="68">
        <v>8.691965412996419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4.3161012782521446E-3</v>
      </c>
      <c r="M79" s="115">
        <v>13.048695315316849</v>
      </c>
      <c r="N79" s="115">
        <v>547.55814418458669</v>
      </c>
      <c r="O79" s="115">
        <v>5.9571381078068599</v>
      </c>
      <c r="P79" s="115">
        <v>8.6919657021850316</v>
      </c>
      <c r="Q79" s="111">
        <v>5.9571381078068599</v>
      </c>
      <c r="R79" s="68">
        <v>8.6919657021850316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0.16716741071872865</v>
      </c>
      <c r="M80" s="115">
        <v>1.9052449336857107</v>
      </c>
      <c r="N80" s="115">
        <v>73.790296065606015</v>
      </c>
      <c r="O80" s="115">
        <v>4.1190050002103344</v>
      </c>
      <c r="P80" s="115">
        <v>7.0928302123996971</v>
      </c>
      <c r="Q80" s="111">
        <v>4.1190050002103344</v>
      </c>
      <c r="R80" s="68">
        <v>7.0928302123996971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0.80432634045368245</v>
      </c>
      <c r="M81" s="115">
        <v>1.211217563142057</v>
      </c>
      <c r="N81" s="115">
        <v>21.01020575123847</v>
      </c>
      <c r="O81" s="115">
        <v>1.6063845460834119</v>
      </c>
      <c r="P81" s="115">
        <v>2.3993043430413046</v>
      </c>
      <c r="Q81" s="111">
        <v>1.6063845460834119</v>
      </c>
      <c r="R81" s="68">
        <v>2.3993043430413046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0.60910155683321832</v>
      </c>
      <c r="M82" s="115">
        <v>1.4798885225658995</v>
      </c>
      <c r="N82" s="115">
        <v>39.560810724832798</v>
      </c>
      <c r="O82" s="115">
        <v>2.3851769553686282</v>
      </c>
      <c r="P82" s="115">
        <v>3.8448330449596821</v>
      </c>
      <c r="Q82" s="111">
        <v>2.3851769553686286</v>
      </c>
      <c r="R82" s="68">
        <v>3.8448330449596821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2.9125988338240733E-3</v>
      </c>
      <c r="M83" s="115">
        <v>25.227202324515062</v>
      </c>
      <c r="N83" s="115">
        <v>1058.81219148282</v>
      </c>
      <c r="O83" s="115">
        <v>7.2934880247022296</v>
      </c>
      <c r="P83" s="115">
        <v>9.1514352727409722</v>
      </c>
      <c r="Q83" s="111">
        <v>7.2934880247022296</v>
      </c>
      <c r="R83" s="68">
        <v>9.1514352727409722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0.35149031186459329</v>
      </c>
      <c r="M84" s="115">
        <v>13.948512177432878</v>
      </c>
      <c r="N84" s="115">
        <v>447.13316121708982</v>
      </c>
      <c r="O84" s="115">
        <v>4.7182752789529347</v>
      </c>
      <c r="P84" s="115">
        <v>4.4332262418299138</v>
      </c>
      <c r="Q84" s="111">
        <v>4.7182752789529347</v>
      </c>
      <c r="R84" s="68">
        <v>4.4332262418299138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0.107477028817263</v>
      </c>
      <c r="M85" s="115">
        <v>485.21278664722809</v>
      </c>
      <c r="N85" s="115">
        <v>8699.4629617770242</v>
      </c>
      <c r="O85" s="115">
        <v>8.6385797409223581</v>
      </c>
      <c r="P85" s="115">
        <v>7.7826236756381961</v>
      </c>
      <c r="Q85" s="111">
        <v>8.6385797409223581</v>
      </c>
      <c r="R85" s="68">
        <v>7.782623675638197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3.6355594051860809E-4</v>
      </c>
      <c r="M86" s="115">
        <v>123.97162069844052</v>
      </c>
      <c r="N86" s="115">
        <v>4142.2741437300065</v>
      </c>
      <c r="O86" s="115">
        <v>24.415040981703896</v>
      </c>
      <c r="P86" s="115">
        <v>9.8252129308048719</v>
      </c>
      <c r="Q86" s="111">
        <v>24.4150409817039</v>
      </c>
      <c r="R86" s="68">
        <v>9.8252129308048719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1.2442089712035183E-4</v>
      </c>
      <c r="M87" s="115">
        <v>139.5592033135535</v>
      </c>
      <c r="N87" s="115">
        <v>4674.2857305304587</v>
      </c>
      <c r="O87" s="115">
        <v>26.882653707127485</v>
      </c>
      <c r="P87" s="115">
        <v>10.155881879139129</v>
      </c>
      <c r="Q87" s="111">
        <v>26.882653707127485</v>
      </c>
      <c r="R87" s="68">
        <v>10.155881879139129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3.4583500947042932E-5</v>
      </c>
      <c r="M88" s="115">
        <v>150.25783558856841</v>
      </c>
      <c r="N88" s="115">
        <v>5046.2003901308281</v>
      </c>
      <c r="O88" s="115">
        <v>28.525859875103162</v>
      </c>
      <c r="P88" s="115">
        <v>10.404457166625587</v>
      </c>
      <c r="Q88" s="111">
        <v>28.525859875103162</v>
      </c>
      <c r="R88" s="68">
        <v>10.404457166625589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2.1665308649345479E-3</v>
      </c>
      <c r="M89" s="115">
        <v>1571.8040193465831</v>
      </c>
      <c r="N89" s="115">
        <v>28326.810809035534</v>
      </c>
      <c r="O89" s="115">
        <v>21.640079004848676</v>
      </c>
      <c r="P89" s="115">
        <v>7.4671483740150251</v>
      </c>
      <c r="Q89" s="111">
        <v>21.640079004848676</v>
      </c>
      <c r="R89" s="68">
        <v>7.467148374015026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0.98503517067275359</v>
      </c>
      <c r="M90" s="115">
        <v>0.91887565431828033</v>
      </c>
      <c r="N90" s="115">
        <v>1.5024817685607676</v>
      </c>
      <c r="O90" s="115">
        <v>0.82586569890995665</v>
      </c>
      <c r="P90" s="115">
        <v>0.95512132758696255</v>
      </c>
      <c r="Q90" s="111">
        <v>0.82586569890995665</v>
      </c>
      <c r="R90" s="68">
        <v>0.95512132758696255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0.81732406899934817</v>
      </c>
      <c r="M91" s="115">
        <v>3.3947358473901166</v>
      </c>
      <c r="N91" s="115">
        <v>87.178258283353159</v>
      </c>
      <c r="O91" s="115">
        <v>1.4911697363955367</v>
      </c>
      <c r="P91" s="115">
        <v>1.4871064030361487</v>
      </c>
      <c r="Q91" s="111">
        <v>1.4911697363955367</v>
      </c>
      <c r="R91" s="68">
        <v>1.4871064030361487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0.15181364031319264</v>
      </c>
      <c r="M92" s="115">
        <v>19.058797089135279</v>
      </c>
      <c r="N92" s="115">
        <v>622.00419469265148</v>
      </c>
      <c r="O92" s="115">
        <v>6.4616173152152525</v>
      </c>
      <c r="P92" s="115">
        <v>6.2023043082284373</v>
      </c>
      <c r="Q92" s="111">
        <v>6.4616173152152534</v>
      </c>
      <c r="R92" s="68">
        <v>6.2023043082284373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0.99243825730093826</v>
      </c>
      <c r="M93" s="115">
        <v>0.89411712193169501</v>
      </c>
      <c r="N93" s="115">
        <v>0.62172572936913462</v>
      </c>
      <c r="O93" s="115">
        <v>0.84265601241656729</v>
      </c>
      <c r="P93" s="115">
        <v>0.9909738525259838</v>
      </c>
      <c r="Q93" s="111">
        <v>0.84265601241656729</v>
      </c>
      <c r="R93" s="68">
        <v>0.99097385252598391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1.0022241278355148</v>
      </c>
      <c r="M94" s="115">
        <v>0.89157109965889181</v>
      </c>
      <c r="N94" s="115">
        <v>0.15144838178931797</v>
      </c>
      <c r="O94" s="115">
        <v>0.82491248574123521</v>
      </c>
      <c r="P94" s="115">
        <v>0.95880564532120083</v>
      </c>
      <c r="Q94" s="111">
        <v>0.82491248574123521</v>
      </c>
      <c r="R94" s="68">
        <v>0.95880564532120094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0.97650698439749928</v>
      </c>
      <c r="M95" s="115">
        <v>1.0688197134372355</v>
      </c>
      <c r="N95" s="115">
        <v>6.5972587993756813</v>
      </c>
      <c r="O95" s="115">
        <v>0.84994506555308369</v>
      </c>
      <c r="P95" s="115">
        <v>0.96683677954691327</v>
      </c>
      <c r="Q95" s="111">
        <v>0.8499450655530838</v>
      </c>
      <c r="R95" s="68">
        <v>0.96683677954691327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5.3163990282440951E-4</v>
      </c>
      <c r="M96" s="115">
        <v>116.33786305689414</v>
      </c>
      <c r="N96" s="115">
        <v>3883.7143938879894</v>
      </c>
      <c r="O96" s="115">
        <v>23.193121069648829</v>
      </c>
      <c r="P96" s="115">
        <v>9.6720639152056691</v>
      </c>
      <c r="Q96" s="111">
        <v>23.193121069648832</v>
      </c>
      <c r="R96" s="68">
        <v>9.6720639152056691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0.71104114140646368</v>
      </c>
      <c r="M97" s="115">
        <v>5.533511364821595</v>
      </c>
      <c r="N97" s="115">
        <v>160.24962610348908</v>
      </c>
      <c r="O97" s="115">
        <v>2.1128075341479766</v>
      </c>
      <c r="P97" s="115">
        <v>2.0251286219736504</v>
      </c>
      <c r="Q97" s="111">
        <v>2.1128075341479766</v>
      </c>
      <c r="R97" s="68">
        <v>2.0251286219736504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0.80049134230616126</v>
      </c>
      <c r="M98" s="115">
        <v>3.7180402166118469</v>
      </c>
      <c r="N98" s="115">
        <v>98.237699475228766</v>
      </c>
      <c r="O98" s="115">
        <v>1.5836996593106123</v>
      </c>
      <c r="P98" s="115">
        <v>1.5658936653963267</v>
      </c>
      <c r="Q98" s="111">
        <v>1.5836996593106123</v>
      </c>
      <c r="R98" s="68">
        <v>1.5658936653963267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0.925264971318842</v>
      </c>
      <c r="M99" s="115">
        <v>1.5649225599239982</v>
      </c>
      <c r="N99" s="115">
        <v>24.288280724461728</v>
      </c>
      <c r="O99" s="115">
        <v>0.98457901150977234</v>
      </c>
      <c r="P99" s="115">
        <v>1.0700041922487733</v>
      </c>
      <c r="Q99" s="111">
        <v>0.98457901150977234</v>
      </c>
      <c r="R99" s="68">
        <v>1.0700041922487733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3.5716135023280689E-3</v>
      </c>
      <c r="M100" s="115">
        <v>58.552608618330659</v>
      </c>
      <c r="N100" s="115">
        <v>1944.2261253537151</v>
      </c>
      <c r="O100" s="115">
        <v>13.843308526352322</v>
      </c>
      <c r="P100" s="115">
        <v>8.6277414982441591</v>
      </c>
      <c r="Q100" s="111">
        <v>13.843308526352324</v>
      </c>
      <c r="R100" s="68">
        <v>8.6277414982441609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0.21544978753653501</v>
      </c>
      <c r="M101" s="115">
        <v>17.426693023301286</v>
      </c>
      <c r="N101" s="115">
        <v>565.97830721509206</v>
      </c>
      <c r="O101" s="115">
        <v>5.8807879230886106</v>
      </c>
      <c r="P101" s="115">
        <v>5.590743804841277</v>
      </c>
      <c r="Q101" s="111">
        <v>5.8807879230886106</v>
      </c>
      <c r="R101" s="68">
        <v>5.590743804841277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4.359781273079362E-2</v>
      </c>
      <c r="M102" s="115">
        <v>21.582741549237412</v>
      </c>
      <c r="N102" s="115">
        <v>710.17963202171768</v>
      </c>
      <c r="O102" s="115">
        <v>7.5324925153999205</v>
      </c>
      <c r="P102" s="115">
        <v>7.4846549995179927</v>
      </c>
      <c r="Q102" s="111">
        <v>7.5324925153999214</v>
      </c>
      <c r="R102" s="68">
        <v>7.4846549995179927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0.89349176364128158</v>
      </c>
      <c r="M103" s="115">
        <v>1.0728299682370026</v>
      </c>
      <c r="N103" s="115">
        <v>11.859919675905056</v>
      </c>
      <c r="O103" s="115">
        <v>1.2471119197997027</v>
      </c>
      <c r="P103" s="115">
        <v>1.7349285644785701</v>
      </c>
      <c r="Q103" s="111">
        <v>1.2471119197997027</v>
      </c>
      <c r="R103" s="68">
        <v>1.7349285644785701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1.1143133082250111E-2</v>
      </c>
      <c r="M104" s="115">
        <v>2.7238610250872233</v>
      </c>
      <c r="N104" s="115">
        <v>112.5442468072157</v>
      </c>
      <c r="O104" s="115">
        <v>4.8054443126684232</v>
      </c>
      <c r="P104" s="115">
        <v>8.250444942394763</v>
      </c>
      <c r="Q104" s="111">
        <v>4.8054443126684241</v>
      </c>
      <c r="R104" s="68">
        <v>8.250444942394763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0.98277909129913221</v>
      </c>
      <c r="M105" s="115">
        <v>0.9273588684191959</v>
      </c>
      <c r="N105" s="115">
        <v>1.8384836973278411</v>
      </c>
      <c r="O105" s="115">
        <v>0.8277283953937582</v>
      </c>
      <c r="P105" s="115">
        <v>0.95572199816795789</v>
      </c>
      <c r="Q105" s="111">
        <v>0.8277283953937582</v>
      </c>
      <c r="R105" s="68">
        <v>0.95572199816795789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0.97352579445713572</v>
      </c>
      <c r="M106" s="115">
        <v>1.0816982272296682</v>
      </c>
      <c r="N106" s="115">
        <v>7.1036391837239083</v>
      </c>
      <c r="O106" s="115">
        <v>0.8528070585476536</v>
      </c>
      <c r="P106" s="115">
        <v>0.96852101912567601</v>
      </c>
      <c r="Q106" s="111">
        <v>0.8528070585476536</v>
      </c>
      <c r="R106" s="68">
        <v>0.96852101912567601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2.6001547443100164E-2</v>
      </c>
      <c r="M107" s="115">
        <v>25.871513774792827</v>
      </c>
      <c r="N107" s="115">
        <v>754.41850677408513</v>
      </c>
      <c r="O107" s="115">
        <v>7.0843379424769601</v>
      </c>
      <c r="P107" s="115">
        <v>7.1285146380707118</v>
      </c>
      <c r="Q107" s="111">
        <v>7.084337942476961</v>
      </c>
      <c r="R107" s="68">
        <v>7.1285146380707118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0.99954670816547841</v>
      </c>
      <c r="M108" s="115">
        <v>0.88746531655228933</v>
      </c>
      <c r="N108" s="115">
        <v>7.8389461481813305E-2</v>
      </c>
      <c r="O108" s="115">
        <v>0.82481961273886706</v>
      </c>
      <c r="P108" s="115">
        <v>0.95869814849177692</v>
      </c>
      <c r="Q108" s="111">
        <v>0.82481961273886706</v>
      </c>
      <c r="R108" s="68">
        <v>0.95869814849177692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1.9941405418817479</v>
      </c>
      <c r="M109" s="115">
        <v>15.316211962275572</v>
      </c>
      <c r="N109" s="115">
        <v>261.10208615182404</v>
      </c>
      <c r="O109" s="115">
        <v>1.2268571097069636</v>
      </c>
      <c r="P109" s="115">
        <v>1.4266427228955794</v>
      </c>
      <c r="Q109" s="111">
        <v>1.2268571097069636</v>
      </c>
      <c r="R109" s="68">
        <v>1.4266427228955794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0.99387693815753464</v>
      </c>
      <c r="M110" s="115">
        <v>0.88732514036029886</v>
      </c>
      <c r="N110" s="115">
        <v>0.22351362333654864</v>
      </c>
      <c r="O110" s="115">
        <v>0.82393791945866346</v>
      </c>
      <c r="P110" s="115">
        <v>0.95727678912113989</v>
      </c>
      <c r="Q110" s="111">
        <v>0.82393791945866346</v>
      </c>
      <c r="R110" s="68">
        <v>0.95727678912113989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0.99672883233202647</v>
      </c>
      <c r="M111" s="115">
        <v>0.8831788897396099</v>
      </c>
      <c r="N111" s="115">
        <v>3.2445773788434724E-3</v>
      </c>
      <c r="O111" s="115">
        <v>0.82482307365469154</v>
      </c>
      <c r="P111" s="115">
        <v>0.958753809708077</v>
      </c>
      <c r="Q111" s="111">
        <v>0.82482307365469154</v>
      </c>
      <c r="R111" s="68">
        <v>0.958753809708077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0.99323794488346073</v>
      </c>
      <c r="M112" s="115">
        <v>0.88523931008054024</v>
      </c>
      <c r="N112" s="115">
        <v>0.16895971632531318</v>
      </c>
      <c r="O112" s="115">
        <v>0.82193826011920912</v>
      </c>
      <c r="P112" s="115">
        <v>0.95473065845214278</v>
      </c>
      <c r="Q112" s="111">
        <v>0.82193826011920923</v>
      </c>
      <c r="R112" s="68">
        <v>0.95473065845214289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0.9746268652362029</v>
      </c>
      <c r="M113" s="115">
        <v>0.98481423540243274</v>
      </c>
      <c r="N113" s="115">
        <v>3.9443910452703861</v>
      </c>
      <c r="O113" s="115">
        <v>0.83958261378313293</v>
      </c>
      <c r="P113" s="115">
        <v>0.96263838027139059</v>
      </c>
      <c r="Q113" s="111">
        <v>0.83958261378313293</v>
      </c>
      <c r="R113" s="68">
        <v>0.96263838027139059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0.99495058779292411</v>
      </c>
      <c r="M114" s="115">
        <v>0.88315234654632535</v>
      </c>
      <c r="N114" s="115">
        <v>5.2404068004166277E-2</v>
      </c>
      <c r="O114" s="115">
        <v>0.82234528052572942</v>
      </c>
      <c r="P114" s="115">
        <v>0.95563993124833102</v>
      </c>
      <c r="Q114" s="111">
        <v>0.82234528052572942</v>
      </c>
      <c r="R114" s="68">
        <v>0.95563993124833113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0.96989722603996353</v>
      </c>
      <c r="M115" s="115">
        <v>0.93982617532495993</v>
      </c>
      <c r="N115" s="115">
        <v>3.3986745573760606</v>
      </c>
      <c r="O115" s="115">
        <v>0.9359416134029086</v>
      </c>
      <c r="P115" s="115">
        <v>1.1617975276127575</v>
      </c>
      <c r="Q115" s="111">
        <v>0.9359416134029086</v>
      </c>
      <c r="R115" s="68">
        <v>1.1617975276127577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0.29762965511529393</v>
      </c>
      <c r="M116" s="115">
        <v>154.46300578782871</v>
      </c>
      <c r="N116" s="115">
        <v>2772.4502326914367</v>
      </c>
      <c r="O116" s="115">
        <v>5.5336677235189518</v>
      </c>
      <c r="P116" s="115">
        <v>7.1957612860734832</v>
      </c>
      <c r="Q116" s="111">
        <v>5.5336677235189518</v>
      </c>
      <c r="R116" s="68">
        <v>7.1957612860734832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0.57634559470290814</v>
      </c>
      <c r="M117" s="115">
        <v>8.5168567036207108</v>
      </c>
      <c r="N117" s="115">
        <v>261.9739596116944</v>
      </c>
      <c r="O117" s="115">
        <v>3.0096103300966019</v>
      </c>
      <c r="P117" s="115">
        <v>2.8288848025158124</v>
      </c>
      <c r="Q117" s="111">
        <v>3.0096103300966019</v>
      </c>
      <c r="R117" s="68">
        <v>2.8288848025158129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2025-02-02T13:42:18Z</dcterms:modified>
</cp:coreProperties>
</file>