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6540095E-95A2-4D40-9F5E-60DD4F369F8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<sst xmlns="http://schemas.openxmlformats.org/spreadsheetml/2006/main" count="2915" uniqueCount="495">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</sst>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0.14599999999999999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0.14599999999999999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9.7333333333333332E-4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9.7333333333333322E-6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1.1799233857048328E-8</v>
      </c>
      <c r="E2" s="14">
        <v>1.2921440103578615E-4</v>
      </c>
      <c r="F2" s="14">
        <v>6.1669793344620211E-6</v>
      </c>
      <c r="G2" s="14">
        <v>1.7962552417393321E-6</v>
      </c>
      <c r="H2" s="14">
        <v>0</v>
      </c>
      <c r="I2" s="14">
        <v>2.0203477400162146E-7</v>
      </c>
      <c r="J2" s="14">
        <v>1.2608530380153815E-5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4.2979753840822802E-7</v>
      </c>
      <c r="E3" s="14">
        <v>1.008651256346853E-7</v>
      </c>
      <c r="F3" s="14">
        <v>3.740094780625289E-5</v>
      </c>
      <c r="G3" s="14">
        <v>1.0133936146738749E-4</v>
      </c>
      <c r="H3" s="14">
        <v>0</v>
      </c>
      <c r="I3" s="14">
        <v>5.3972190521641328E-6</v>
      </c>
      <c r="J3" s="14">
        <v>5.3318090101525521E-6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6.3620059744619777E-16</v>
      </c>
      <c r="E4" s="14">
        <v>6.5549771572222988E-5</v>
      </c>
      <c r="F4" s="14">
        <v>4.6581423580419458E-5</v>
      </c>
      <c r="G4" s="14">
        <v>1.1120090258426677E-5</v>
      </c>
      <c r="H4" s="14">
        <v>0</v>
      </c>
      <c r="I4" s="14">
        <v>6.1478401532747179E-7</v>
      </c>
      <c r="J4" s="14">
        <v>2.6133930572967193E-5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1.492045942020944E-8</v>
      </c>
      <c r="E5" s="14">
        <v>1.1053487025809093E-6</v>
      </c>
      <c r="F5" s="14">
        <v>1.0804405620024808E-4</v>
      </c>
      <c r="G5" s="14">
        <v>3.135425134960954E-5</v>
      </c>
      <c r="H5" s="14">
        <v>0</v>
      </c>
      <c r="I5" s="14">
        <v>1.6291961052064162E-6</v>
      </c>
      <c r="J5" s="14">
        <v>7.852227182934803E-6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1.3873752357605584E-9</v>
      </c>
      <c r="E6" s="14">
        <v>4.4690071366323212E-8</v>
      </c>
      <c r="F6" s="14">
        <v>2.3632660851290059E-5</v>
      </c>
      <c r="G6" s="14">
        <v>1.160668446120111E-4</v>
      </c>
      <c r="H6" s="14">
        <v>0</v>
      </c>
      <c r="I6" s="14">
        <v>6.2234931951661859E-6</v>
      </c>
      <c r="J6" s="14">
        <v>4.0309238949305456E-6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2.0635206500553038E-9</v>
      </c>
      <c r="E7" s="14">
        <v>9.0100236158465083E-8</v>
      </c>
      <c r="F7" s="14">
        <v>3.5190667416361225E-5</v>
      </c>
      <c r="G7" s="14">
        <v>1.0402148729122193E-4</v>
      </c>
      <c r="H7" s="14">
        <v>0</v>
      </c>
      <c r="I7" s="14">
        <v>5.5455362611779894E-6</v>
      </c>
      <c r="J7" s="14">
        <v>5.1501452744303145E-6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1.9714238769731291E-8</v>
      </c>
      <c r="E8" s="14">
        <v>2.030192047278746E-7</v>
      </c>
      <c r="F8" s="14">
        <v>5.4174972126038942E-5</v>
      </c>
      <c r="G8" s="14">
        <v>8.458517495041794E-5</v>
      </c>
      <c r="H8" s="14">
        <v>0</v>
      </c>
      <c r="I8" s="14">
        <v>4.4769248511112975E-6</v>
      </c>
      <c r="J8" s="14">
        <v>6.5401946289341919E-6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1.3528051639324021E-8</v>
      </c>
      <c r="E9" s="14">
        <v>1.018245178594156E-5</v>
      </c>
      <c r="F9" s="14">
        <v>1.0248349711021656E-4</v>
      </c>
      <c r="G9" s="14">
        <v>2.0125630367842493E-5</v>
      </c>
      <c r="H9" s="14">
        <v>0</v>
      </c>
      <c r="I9" s="14">
        <v>1.0347231423743849E-6</v>
      </c>
      <c r="J9" s="14">
        <v>1.6160169541985663E-5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1.9168452044521454E-10</v>
      </c>
      <c r="E10" s="14">
        <v>1.0278841106913691E-6</v>
      </c>
      <c r="F10" s="14">
        <v>1.0582925210935597E-4</v>
      </c>
      <c r="G10" s="14">
        <v>3.35043565983805E-5</v>
      </c>
      <c r="H10" s="14">
        <v>0</v>
      </c>
      <c r="I10" s="14">
        <v>1.7424870633857369E-6</v>
      </c>
      <c r="J10" s="14">
        <v>7.8958284336659762E-6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9.9806001936554338E-9</v>
      </c>
      <c r="E11" s="14">
        <v>9.0764029607540569E-7</v>
      </c>
      <c r="F11" s="14">
        <v>1.0190027197039472E-4</v>
      </c>
      <c r="G11" s="14">
        <v>3.7296742186483546E-5</v>
      </c>
      <c r="H11" s="14">
        <v>0</v>
      </c>
      <c r="I11" s="14">
        <v>1.9426803110902538E-6</v>
      </c>
      <c r="J11" s="14">
        <v>7.9426846357623903E-6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6.917697383700745E-9</v>
      </c>
      <c r="E12" s="14">
        <v>6.3873199299010275E-6</v>
      </c>
      <c r="F12" s="14">
        <v>1.0868766135636922E-4</v>
      </c>
      <c r="G12" s="14">
        <v>2.0534105994540731E-5</v>
      </c>
      <c r="H12" s="14">
        <v>0</v>
      </c>
      <c r="I12" s="14">
        <v>1.0557729513764587E-6</v>
      </c>
      <c r="J12" s="14">
        <v>1.332822207042884E-5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2.1008425836352611E-8</v>
      </c>
      <c r="E13" s="14">
        <v>9.7474411513046565E-6</v>
      </c>
      <c r="F13" s="14">
        <v>1.031364541508615E-4</v>
      </c>
      <c r="G13" s="14">
        <v>2.0179376883369783E-5</v>
      </c>
      <c r="H13" s="14">
        <v>0</v>
      </c>
      <c r="I13" s="14">
        <v>1.0374132029779161E-6</v>
      </c>
      <c r="J13" s="14">
        <v>1.5878306185649774E-5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6.6361285519314587E-9</v>
      </c>
      <c r="E14" s="14">
        <v>6.0091341625470694E-7</v>
      </c>
      <c r="F14" s="14">
        <v>8.8233493450579517E-5</v>
      </c>
      <c r="G14" s="14">
        <v>5.0632460207816536E-5</v>
      </c>
      <c r="H14" s="14">
        <v>0</v>
      </c>
      <c r="I14" s="14">
        <v>2.6501387402305088E-6</v>
      </c>
      <c r="J14" s="14">
        <v>7.8763580565667726E-6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1.0866781805841581E-11</v>
      </c>
      <c r="E15" s="14">
        <v>9.6640252709302638E-7</v>
      </c>
      <c r="F15" s="14">
        <v>1.0390097698468929E-4</v>
      </c>
      <c r="G15" s="14">
        <v>3.5368381516848059E-5</v>
      </c>
      <c r="H15" s="14">
        <v>0</v>
      </c>
      <c r="I15" s="14">
        <v>1.8408276260554729E-6</v>
      </c>
      <c r="J15" s="14">
        <v>7.9234004785323116E-6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5.124934601263113E-8</v>
      </c>
      <c r="E16" s="14">
        <v>2.1016744171420398E-7</v>
      </c>
      <c r="F16" s="14">
        <v>5.5119721185471475E-5</v>
      </c>
      <c r="G16" s="14">
        <v>8.3599285847537166E-5</v>
      </c>
      <c r="H16" s="14">
        <v>0</v>
      </c>
      <c r="I16" s="14">
        <v>4.4232976096586636E-6</v>
      </c>
      <c r="J16" s="14">
        <v>6.5962785696058288E-6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3.8323620463677437E-9</v>
      </c>
      <c r="E17" s="14">
        <v>1.0791048401185316E-6</v>
      </c>
      <c r="F17" s="14">
        <v>1.073211245732815E-4</v>
      </c>
      <c r="G17" s="14">
        <v>3.2061273595451596E-5</v>
      </c>
      <c r="H17" s="14">
        <v>0</v>
      </c>
      <c r="I17" s="14">
        <v>1.6664320127860802E-6</v>
      </c>
      <c r="J17" s="14">
        <v>7.8682326163159137E-6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4.1087154807603288E-7</v>
      </c>
      <c r="E18" s="14">
        <v>1.2327164128581525E-5</v>
      </c>
      <c r="F18" s="14">
        <v>9.9066028496338783E-5</v>
      </c>
      <c r="G18" s="14">
        <v>1.9779727679327014E-5</v>
      </c>
      <c r="H18" s="14">
        <v>0</v>
      </c>
      <c r="I18" s="14">
        <v>1.0175109909993797E-6</v>
      </c>
      <c r="J18" s="14">
        <v>1.7398697156677217E-5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3.8084875020407582E-11</v>
      </c>
      <c r="E19" s="14">
        <v>9.5444222553873782E-7</v>
      </c>
      <c r="F19" s="14">
        <v>1.0350735695069483E-4</v>
      </c>
      <c r="G19" s="14">
        <v>3.5749236785586634E-5</v>
      </c>
      <c r="H19" s="14">
        <v>0</v>
      </c>
      <c r="I19" s="14">
        <v>1.8609341007311358E-6</v>
      </c>
      <c r="J19" s="14">
        <v>7.9279918525736182E-6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3.1801319071776807E-9</v>
      </c>
      <c r="E20" s="14">
        <v>9.7485998485600451E-6</v>
      </c>
      <c r="F20" s="14">
        <v>1.0314871418141722E-4</v>
      </c>
      <c r="G20" s="14">
        <v>2.0181775645080396E-5</v>
      </c>
      <c r="H20" s="14">
        <v>0</v>
      </c>
      <c r="I20" s="14">
        <v>1.0375365222996063E-6</v>
      </c>
      <c r="J20" s="14">
        <v>1.5880193670735547E-5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5.5611152740859666E-8</v>
      </c>
      <c r="E21" s="14">
        <v>6.801410812211548E-7</v>
      </c>
      <c r="F21" s="14">
        <v>9.2380558136371545E-5</v>
      </c>
      <c r="G21" s="14">
        <v>4.6523902528285785E-5</v>
      </c>
      <c r="H21" s="14">
        <v>0</v>
      </c>
      <c r="I21" s="14">
        <v>2.4316243313974639E-6</v>
      </c>
      <c r="J21" s="14">
        <v>7.9281627699831737E-6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2.7366176523961008E-7</v>
      </c>
      <c r="E22" s="14">
        <v>1.0070968417258843E-4</v>
      </c>
      <c r="F22" s="14">
        <v>2.1549282191069987E-5</v>
      </c>
      <c r="G22" s="14">
        <v>5.6198970997187929E-6</v>
      </c>
      <c r="H22" s="14">
        <v>0</v>
      </c>
      <c r="I22" s="14">
        <v>3.6794426515617235E-7</v>
      </c>
      <c r="J22" s="14">
        <v>2.147953050622699E-5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1.1134989745020906E-8</v>
      </c>
      <c r="E23" s="14">
        <v>1.2158694077118009E-4</v>
      </c>
      <c r="F23" s="14">
        <v>9.8108922431633074E-6</v>
      </c>
      <c r="G23" s="14">
        <v>2.7491856040528194E-6</v>
      </c>
      <c r="H23" s="14">
        <v>0</v>
      </c>
      <c r="I23" s="14">
        <v>2.427126418741276E-7</v>
      </c>
      <c r="J23" s="14">
        <v>1.5599133749984606E-5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1.0259939734788511E-8</v>
      </c>
      <c r="E24" s="14">
        <v>3.1708954280021142E-5</v>
      </c>
      <c r="F24" s="14">
        <v>7.6729698928876299E-5</v>
      </c>
      <c r="G24" s="14">
        <v>1.6736284487526805E-5</v>
      </c>
      <c r="H24" s="14">
        <v>0</v>
      </c>
      <c r="I24" s="14">
        <v>8.7307559252584931E-7</v>
      </c>
      <c r="J24" s="14">
        <v>2.3941726771315109E-5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1.6860004732188265E-6</v>
      </c>
      <c r="E25" s="14">
        <v>3.3930854914534148E-6</v>
      </c>
      <c r="F25" s="14">
        <v>1.1341653539754997E-4</v>
      </c>
      <c r="G25" s="14">
        <v>2.0387873575112557E-5</v>
      </c>
      <c r="H25" s="14">
        <v>0</v>
      </c>
      <c r="I25" s="14">
        <v>1.0502402169264409E-6</v>
      </c>
      <c r="J25" s="14">
        <v>1.0066264845738746E-5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4.4656751666753986E-8</v>
      </c>
      <c r="E26" s="14">
        <v>7.3736792009896713E-7</v>
      </c>
      <c r="F26" s="14">
        <v>9.5083643182469548E-5</v>
      </c>
      <c r="G26" s="14">
        <v>4.3893616914391352E-5</v>
      </c>
      <c r="H26" s="14">
        <v>0</v>
      </c>
      <c r="I26" s="14">
        <v>2.2919844177592134E-6</v>
      </c>
      <c r="J26" s="14">
        <v>7.9487308136141155E-6</v>
      </c>
      <c r="K26" s="14">
        <v>0</v>
      </c>
    </row>
    <row r="27" spans="1:13">
      <c r="A27" s="2" t="s">
        <v>353</v>
      </c>
      <c r="B27" s="3" t="s">
        <v>354</v>
      </c>
      <c r="D27" s="14">
        <v>2.9835981556107732E-7</v>
      </c>
      <c r="E27" s="14">
        <v>1.1104971287608058E-7</v>
      </c>
      <c r="F27" s="14">
        <v>3.943292695874459E-5</v>
      </c>
      <c r="G27" s="14">
        <v>9.936983523021659E-5</v>
      </c>
      <c r="H27" s="14">
        <v>0</v>
      </c>
      <c r="I27" s="14">
        <v>5.2879764401831684E-6</v>
      </c>
      <c r="J27" s="14">
        <v>5.4998518424184521E-6</v>
      </c>
      <c r="K27" s="14">
        <v>0</v>
      </c>
    </row>
    <row r="28" spans="1:13">
      <c r="A28" s="2" t="s">
        <v>355</v>
      </c>
      <c r="B28" s="3" t="s">
        <v>356</v>
      </c>
      <c r="D28" s="14">
        <v>1.6653770378298805E-8</v>
      </c>
      <c r="E28" s="14">
        <v>4.0438001339512961E-7</v>
      </c>
      <c r="F28" s="14">
        <v>7.5012088379816018E-5</v>
      </c>
      <c r="G28" s="14">
        <v>6.3683483592643733E-5</v>
      </c>
      <c r="H28" s="14">
        <v>0</v>
      </c>
      <c r="I28" s="14">
        <v>3.3477006275755186E-6</v>
      </c>
      <c r="J28" s="14">
        <v>7.5356936161912747E-6</v>
      </c>
      <c r="K28" s="14">
        <v>0</v>
      </c>
    </row>
    <row r="29" spans="1:13">
      <c r="A29" s="2" t="s">
        <v>357</v>
      </c>
      <c r="B29" s="3" t="s">
        <v>358</v>
      </c>
      <c r="D29" s="14">
        <v>3.3883663542733796E-6</v>
      </c>
      <c r="E29" s="14">
        <v>6.1244553195546708E-7</v>
      </c>
      <c r="F29" s="14">
        <v>8.7621169388812391E-5</v>
      </c>
      <c r="G29" s="14">
        <v>4.813983532578125E-5</v>
      </c>
      <c r="H29" s="14">
        <v>0</v>
      </c>
      <c r="I29" s="14">
        <v>2.518472773509998E-6</v>
      </c>
      <c r="J29" s="14">
        <v>7.7197106256674669E-6</v>
      </c>
      <c r="K29" s="14">
        <v>0</v>
      </c>
    </row>
    <row r="30" spans="1:13">
      <c r="A30" s="2" t="s">
        <v>359</v>
      </c>
      <c r="B30" s="3" t="s">
        <v>360</v>
      </c>
      <c r="D30" s="14">
        <v>1.6653770378298805E-8</v>
      </c>
      <c r="E30" s="14">
        <v>4.0438001339512961E-7</v>
      </c>
      <c r="F30" s="14">
        <v>7.5012088379816018E-5</v>
      </c>
      <c r="G30" s="14">
        <v>6.3683483592643733E-5</v>
      </c>
      <c r="H30" s="14">
        <v>0</v>
      </c>
      <c r="I30" s="14">
        <v>3.3477006275755186E-6</v>
      </c>
      <c r="J30" s="14">
        <v>7.5356936161912747E-6</v>
      </c>
      <c r="K30" s="14">
        <v>0</v>
      </c>
    </row>
    <row r="31" spans="1:13">
      <c r="A31" s="2" t="s">
        <v>283</v>
      </c>
      <c r="B31" s="3" t="s">
        <v>284</v>
      </c>
      <c r="D31" s="14">
        <v>3.0979524578756758E-12</v>
      </c>
      <c r="E31" s="14">
        <v>1.4824220242609992E-4</v>
      </c>
      <c r="F31" s="14">
        <v>9.1220706808056355E-8</v>
      </c>
      <c r="G31" s="14">
        <v>3.6609094609376318E-8</v>
      </c>
      <c r="H31" s="14">
        <v>0</v>
      </c>
      <c r="I31" s="14">
        <v>1.3205574735355249E-7</v>
      </c>
      <c r="J31" s="14">
        <v>1.4979089271765797E-6</v>
      </c>
      <c r="K31" s="14">
        <v>0</v>
      </c>
    </row>
    <row r="32" spans="1:13">
      <c r="A32" s="2" t="s">
        <v>361</v>
      </c>
      <c r="B32" s="3" t="s">
        <v>362</v>
      </c>
      <c r="D32" s="14">
        <v>3.0493717580861846E-12</v>
      </c>
      <c r="E32" s="14">
        <v>7.9805652587194989E-5</v>
      </c>
      <c r="F32" s="14">
        <v>3.5876258791096862E-5</v>
      </c>
      <c r="G32" s="14">
        <v>8.8455697129562044E-6</v>
      </c>
      <c r="H32" s="14">
        <v>0</v>
      </c>
      <c r="I32" s="14">
        <v>5.2529164518634105E-7</v>
      </c>
      <c r="J32" s="14">
        <v>2.4947224214193836E-5</v>
      </c>
      <c r="K32" s="14">
        <v>0</v>
      </c>
    </row>
    <row r="33" spans="1:11">
      <c r="A33" s="2" t="s">
        <v>364</v>
      </c>
      <c r="B33" s="3" t="s">
        <v>365</v>
      </c>
      <c r="D33" s="14">
        <v>1.4071754209357889E-14</v>
      </c>
      <c r="E33" s="14">
        <v>1.4923459241686116E-4</v>
      </c>
      <c r="F33" s="14">
        <v>6.2981221317713432E-7</v>
      </c>
      <c r="G33" s="14">
        <v>1.9259206987839253E-10</v>
      </c>
      <c r="H33" s="14">
        <v>0</v>
      </c>
      <c r="I33" s="14">
        <v>1.3179087127457412E-7</v>
      </c>
      <c r="J33" s="14">
        <v>3.6118925454737314E-9</v>
      </c>
      <c r="K33" s="14">
        <v>0</v>
      </c>
    </row>
    <row r="34" spans="1:11">
      <c r="A34" s="2" t="s">
        <v>285</v>
      </c>
      <c r="B34" s="3" t="s">
        <v>286</v>
      </c>
      <c r="D34" s="14">
        <v>4.1845039260774346E-14</v>
      </c>
      <c r="E34" s="14">
        <v>8.2087082988548923E-5</v>
      </c>
      <c r="F34" s="14">
        <v>6.7776072298408603E-5</v>
      </c>
      <c r="G34" s="14">
        <v>5.5660987177665955E-9</v>
      </c>
      <c r="H34" s="14">
        <v>0</v>
      </c>
      <c r="I34" s="14">
        <v>1.1896887655034847E-7</v>
      </c>
      <c r="J34" s="14">
        <v>1.2309695929270927E-8</v>
      </c>
      <c r="K34" s="14">
        <v>0</v>
      </c>
    </row>
    <row r="35" spans="1:11">
      <c r="A35" s="2" t="s">
        <v>287</v>
      </c>
      <c r="B35" s="3" t="s">
        <v>288</v>
      </c>
      <c r="D35" s="14">
        <v>1.2191660291665546E-15</v>
      </c>
      <c r="E35" s="14">
        <v>4.8607593032885762E-5</v>
      </c>
      <c r="F35" s="14">
        <v>1.0123383524089055E-4</v>
      </c>
      <c r="G35" s="14">
        <v>1.9604375530758103E-8</v>
      </c>
      <c r="H35" s="14">
        <v>0</v>
      </c>
      <c r="I35" s="14">
        <v>1.0916507338166864E-7</v>
      </c>
      <c r="J35" s="14">
        <v>2.9802276092053565E-8</v>
      </c>
      <c r="K35" s="14">
        <v>0</v>
      </c>
    </row>
    <row r="36" spans="1:11">
      <c r="A36" s="2" t="s">
        <v>366</v>
      </c>
      <c r="B36" s="3" t="s">
        <v>305</v>
      </c>
      <c r="D36" s="14">
        <v>2.1495968995086752E-12</v>
      </c>
      <c r="E36" s="14">
        <v>1.6215903463875134E-5</v>
      </c>
      <c r="F36" s="14">
        <v>1.3361731010830743E-4</v>
      </c>
      <c r="G36" s="14">
        <v>3.8256435976188291E-8</v>
      </c>
      <c r="H36" s="14">
        <v>0</v>
      </c>
      <c r="I36" s="14">
        <v>9.5215825294129992E-8</v>
      </c>
      <c r="J36" s="14">
        <v>3.3312016950219837E-8</v>
      </c>
      <c r="K36" s="14">
        <v>0</v>
      </c>
    </row>
    <row r="37" spans="1:11">
      <c r="A37" s="2" t="s">
        <v>289</v>
      </c>
      <c r="B37" s="3" t="s">
        <v>290</v>
      </c>
      <c r="D37" s="14">
        <v>5.0917412433793681E-19</v>
      </c>
      <c r="E37" s="14">
        <v>3.2498973338471873E-5</v>
      </c>
      <c r="F37" s="14">
        <v>1.0885069740534092E-4</v>
      </c>
      <c r="G37" s="14">
        <v>3.7162140153137802E-6</v>
      </c>
      <c r="H37" s="14">
        <v>0</v>
      </c>
      <c r="I37" s="14">
        <v>2.7399483823057397E-7</v>
      </c>
      <c r="J37" s="14">
        <v>4.6601204026423006E-6</v>
      </c>
      <c r="K37" s="14">
        <v>0</v>
      </c>
    </row>
    <row r="38" spans="1:11">
      <c r="A38" s="2" t="s">
        <v>291</v>
      </c>
      <c r="B38" s="3" t="s">
        <v>292</v>
      </c>
      <c r="D38" s="14">
        <v>1.4098856857888758E-16</v>
      </c>
      <c r="E38" s="14">
        <v>9.2009401155288654E-5</v>
      </c>
      <c r="F38" s="14">
        <v>5.7699729668080681E-5</v>
      </c>
      <c r="G38" s="14">
        <v>4.8204860025793314E-8</v>
      </c>
      <c r="H38" s="14">
        <v>0</v>
      </c>
      <c r="I38" s="14">
        <v>1.2348874397326989E-7</v>
      </c>
      <c r="J38" s="14">
        <v>1.19175572490568E-7</v>
      </c>
      <c r="K38" s="14">
        <v>0</v>
      </c>
    </row>
    <row r="39" spans="1:11">
      <c r="A39" s="2" t="s">
        <v>367</v>
      </c>
      <c r="B39" s="3" t="s">
        <v>368</v>
      </c>
      <c r="D39" s="14">
        <v>1.8006566514921342E-9</v>
      </c>
      <c r="E39" s="14">
        <v>1.649103903195991E-6</v>
      </c>
      <c r="F39" s="14">
        <v>1.190555358147092E-4</v>
      </c>
      <c r="G39" s="14">
        <v>2.0794340413100443E-5</v>
      </c>
      <c r="H39" s="14">
        <v>0</v>
      </c>
      <c r="I39" s="14">
        <v>1.0751575557789003E-6</v>
      </c>
      <c r="J39" s="14">
        <v>7.4240616565639533E-6</v>
      </c>
      <c r="K39" s="14">
        <v>0</v>
      </c>
    </row>
    <row r="40" spans="1:11">
      <c r="A40" s="2" t="s">
        <v>369</v>
      </c>
      <c r="B40" s="3" t="s">
        <v>370</v>
      </c>
      <c r="D40" s="14">
        <v>1.0488687770567605E-16</v>
      </c>
      <c r="E40" s="14">
        <v>1.4702583129214598E-7</v>
      </c>
      <c r="F40" s="14">
        <v>1.3414522490361351E-4</v>
      </c>
      <c r="G40" s="14">
        <v>9.7050012320273495E-6</v>
      </c>
      <c r="H40" s="14">
        <v>0</v>
      </c>
      <c r="I40" s="14">
        <v>5.8247185151432678E-6</v>
      </c>
      <c r="J40" s="14">
        <v>1.7802951781882827E-7</v>
      </c>
      <c r="K40" s="14">
        <v>0</v>
      </c>
    </row>
    <row r="41" spans="1:11">
      <c r="A41" s="2" t="s">
        <v>371</v>
      </c>
      <c r="B41" s="3" t="s">
        <v>372</v>
      </c>
      <c r="D41" s="14">
        <v>9.7391450776025407E-6</v>
      </c>
      <c r="E41" s="14">
        <v>1.3983566280778421E-4</v>
      </c>
      <c r="F41" s="14">
        <v>4.2809437321653572E-9</v>
      </c>
      <c r="G41" s="14">
        <v>2.1430636745869657E-9</v>
      </c>
      <c r="H41" s="14">
        <v>0</v>
      </c>
      <c r="I41" s="14">
        <v>1.230135156710491E-7</v>
      </c>
      <c r="J41" s="14">
        <v>2.9575459153541531E-7</v>
      </c>
      <c r="K41" s="14">
        <v>0</v>
      </c>
    </row>
    <row r="42" spans="1:11">
      <c r="A42" s="2" t="s">
        <v>293</v>
      </c>
      <c r="B42" s="3" t="s">
        <v>294</v>
      </c>
      <c r="D42" s="14">
        <v>2.4653877330544876E-12</v>
      </c>
      <c r="E42" s="14">
        <v>9.4886044082793296E-5</v>
      </c>
      <c r="F42" s="14">
        <v>2.5427514758931111E-5</v>
      </c>
      <c r="G42" s="14">
        <v>6.5222804715710283E-6</v>
      </c>
      <c r="H42" s="14">
        <v>0</v>
      </c>
      <c r="I42" s="14">
        <v>4.0815999941039802E-7</v>
      </c>
      <c r="J42" s="14">
        <v>2.2755998221906411E-5</v>
      </c>
      <c r="K42" s="14">
        <v>0</v>
      </c>
    </row>
    <row r="43" spans="1:11">
      <c r="A43" s="2" t="s">
        <v>373</v>
      </c>
      <c r="B43" s="3" t="s">
        <v>374</v>
      </c>
      <c r="D43" s="14">
        <v>5.0281854389588461E-12</v>
      </c>
      <c r="E43" s="14">
        <v>1.3213992747705889E-6</v>
      </c>
      <c r="F43" s="14">
        <v>1.4835276272200535E-4</v>
      </c>
      <c r="G43" s="14">
        <v>1.2526148610509944E-7</v>
      </c>
      <c r="H43" s="14">
        <v>0</v>
      </c>
      <c r="I43" s="14">
        <v>1.7389590219815049E-7</v>
      </c>
      <c r="J43" s="14">
        <v>2.6675586735301947E-8</v>
      </c>
      <c r="K43" s="14">
        <v>0</v>
      </c>
    </row>
    <row r="44" spans="1:11">
      <c r="A44" s="2" t="s">
        <v>375</v>
      </c>
      <c r="B44" s="3" t="s">
        <v>376</v>
      </c>
      <c r="D44" s="14">
        <v>1.0936498353352959E-5</v>
      </c>
      <c r="E44" s="14">
        <v>1.2584483680176355E-4</v>
      </c>
      <c r="F44" s="14">
        <v>3.2143782162863728E-6</v>
      </c>
      <c r="G44" s="14">
        <v>9.8037568527996108E-7</v>
      </c>
      <c r="H44" s="14">
        <v>0</v>
      </c>
      <c r="I44" s="14">
        <v>1.5870248152382435E-7</v>
      </c>
      <c r="J44" s="14">
        <v>8.8652084617933162E-6</v>
      </c>
      <c r="K44" s="14">
        <v>0</v>
      </c>
    </row>
    <row r="45" spans="1:11">
      <c r="A45" s="2" t="s">
        <v>377</v>
      </c>
      <c r="B45" s="3" t="s">
        <v>378</v>
      </c>
      <c r="D45" s="14">
        <v>9.4482259058873222E-8</v>
      </c>
      <c r="E45" s="14">
        <v>8.916355560183151E-5</v>
      </c>
      <c r="F45" s="14">
        <v>2.9185621973257273E-5</v>
      </c>
      <c r="G45" s="14">
        <v>7.3767405388518995E-6</v>
      </c>
      <c r="H45" s="14">
        <v>0</v>
      </c>
      <c r="I45" s="14">
        <v>4.4614660584035798E-7</v>
      </c>
      <c r="J45" s="14">
        <v>2.3733453021160046E-5</v>
      </c>
      <c r="K45" s="14">
        <v>0</v>
      </c>
    </row>
    <row r="46" spans="1:11">
      <c r="A46" s="2" t="s">
        <v>379</v>
      </c>
      <c r="B46" s="3" t="s">
        <v>380</v>
      </c>
      <c r="D46" s="14">
        <v>2.8285562411590538E-7</v>
      </c>
      <c r="E46" s="14">
        <v>9.2619392562393659E-5</v>
      </c>
      <c r="F46" s="14">
        <v>2.6753678430652941E-5</v>
      </c>
      <c r="G46" s="14">
        <v>6.8246291698379266E-6</v>
      </c>
      <c r="H46" s="14">
        <v>0</v>
      </c>
      <c r="I46" s="14">
        <v>4.2138561393207565E-7</v>
      </c>
      <c r="J46" s="14">
        <v>2.3098058599067454E-5</v>
      </c>
      <c r="K46" s="14">
        <v>0</v>
      </c>
    </row>
    <row r="47" spans="1:11">
      <c r="A47" s="2" t="s">
        <v>381</v>
      </c>
      <c r="B47" s="3" t="s">
        <v>382</v>
      </c>
      <c r="D47" s="14">
        <v>5.0641911119578852E-12</v>
      </c>
      <c r="E47" s="14">
        <v>1.0115496325738882E-7</v>
      </c>
      <c r="F47" s="14">
        <v>3.7508420054275306E-5</v>
      </c>
      <c r="G47" s="14">
        <v>1.0163056181467482E-4</v>
      </c>
      <c r="H47" s="14">
        <v>0</v>
      </c>
      <c r="I47" s="14">
        <v>5.4127280512304201E-6</v>
      </c>
      <c r="J47" s="14">
        <v>5.3471300523709388E-6</v>
      </c>
      <c r="K47" s="14">
        <v>0</v>
      </c>
    </row>
    <row r="48" spans="1:11">
      <c r="A48" s="2" t="s">
        <v>383</v>
      </c>
      <c r="B48" s="3" t="s">
        <v>384</v>
      </c>
      <c r="D48" s="14">
        <v>1.4396923355177345E-6</v>
      </c>
      <c r="E48" s="14">
        <v>1.4201911519785739E-4</v>
      </c>
      <c r="F48" s="14">
        <v>9.8829904777524919E-7</v>
      </c>
      <c r="G48" s="14">
        <v>3.3172937638958892E-7</v>
      </c>
      <c r="H48" s="14">
        <v>0</v>
      </c>
      <c r="I48" s="14">
        <v>1.4096938982219204E-7</v>
      </c>
      <c r="J48" s="14">
        <v>5.0801946526378037E-6</v>
      </c>
      <c r="K48" s="14">
        <v>0</v>
      </c>
    </row>
    <row r="49" spans="1:11">
      <c r="A49" s="2" t="s">
        <v>385</v>
      </c>
      <c r="B49" s="3" t="s">
        <v>386</v>
      </c>
      <c r="D49" s="14">
        <v>2.7354587834673631E-6</v>
      </c>
      <c r="E49" s="14">
        <v>1.3791366042542613E-4</v>
      </c>
      <c r="F49" s="14">
        <v>1.7932831167562685E-6</v>
      </c>
      <c r="G49" s="14">
        <v>5.7483660414076554E-7</v>
      </c>
      <c r="H49" s="14">
        <v>0</v>
      </c>
      <c r="I49" s="14">
        <v>1.4929824984495933E-7</v>
      </c>
      <c r="J49" s="14">
        <v>6.8334628203644657E-6</v>
      </c>
      <c r="K49" s="14">
        <v>0</v>
      </c>
    </row>
    <row r="50" spans="1:11">
      <c r="A50" s="2" t="s">
        <v>387</v>
      </c>
      <c r="B50" s="3" t="s">
        <v>388</v>
      </c>
      <c r="D50" s="14">
        <v>8.9077462900778125E-7</v>
      </c>
      <c r="E50" s="14">
        <v>1.3094983302096058E-5</v>
      </c>
      <c r="F50" s="14">
        <v>9.7630727008666496E-5</v>
      </c>
      <c r="G50" s="14">
        <v>1.9601173762781518E-5</v>
      </c>
      <c r="H50" s="14">
        <v>0</v>
      </c>
      <c r="I50" s="14">
        <v>1.0086145359205631E-6</v>
      </c>
      <c r="J50" s="14">
        <v>1.777372676152755E-5</v>
      </c>
      <c r="K50" s="14">
        <v>0</v>
      </c>
    </row>
    <row r="51" spans="1:11">
      <c r="A51" s="2" t="s">
        <v>295</v>
      </c>
      <c r="B51" s="3" t="s">
        <v>296</v>
      </c>
      <c r="D51" s="14">
        <v>7.8914253757252692E-6</v>
      </c>
      <c r="E51" s="14">
        <v>1.3983393014198515E-4</v>
      </c>
      <c r="F51" s="14">
        <v>1.5681013847680182E-7</v>
      </c>
      <c r="G51" s="14">
        <v>6.0210147858433334E-8</v>
      </c>
      <c r="H51" s="14">
        <v>0</v>
      </c>
      <c r="I51" s="14">
        <v>1.2580661371780249E-7</v>
      </c>
      <c r="J51" s="14">
        <v>1.9318175822365156E-6</v>
      </c>
      <c r="K51" s="14">
        <v>0</v>
      </c>
    </row>
    <row r="52" spans="1:11">
      <c r="A52" s="2" t="s">
        <v>389</v>
      </c>
      <c r="B52" s="3" t="s">
        <v>390</v>
      </c>
      <c r="D52" s="14">
        <v>9.0342139875547319E-6</v>
      </c>
      <c r="E52" s="14">
        <v>1.2173276405513105E-4</v>
      </c>
      <c r="F52" s="14">
        <v>5.6664238600843588E-6</v>
      </c>
      <c r="G52" s="14">
        <v>1.6535015748463305E-6</v>
      </c>
      <c r="H52" s="14">
        <v>0</v>
      </c>
      <c r="I52" s="14">
        <v>1.884155720720029E-7</v>
      </c>
      <c r="J52" s="14">
        <v>1.1724680950311481E-5</v>
      </c>
      <c r="K52" s="14">
        <v>0</v>
      </c>
    </row>
    <row r="53" spans="1:11">
      <c r="A53" s="2" t="s">
        <v>391</v>
      </c>
      <c r="B53" s="3" t="s">
        <v>392</v>
      </c>
      <c r="D53" s="14">
        <v>2.8332644048653084E-7</v>
      </c>
      <c r="E53" s="14">
        <v>7.0084860860290864E-5</v>
      </c>
      <c r="F53" s="14">
        <v>4.2865292325234505E-5</v>
      </c>
      <c r="G53" s="14">
        <v>1.0346687805872848E-5</v>
      </c>
      <c r="H53" s="14">
        <v>0</v>
      </c>
      <c r="I53" s="14">
        <v>5.7951980638468899E-7</v>
      </c>
      <c r="J53" s="14">
        <v>2.5840312761730543E-5</v>
      </c>
      <c r="K53" s="14">
        <v>0</v>
      </c>
    </row>
    <row r="54" spans="1:11">
      <c r="A54" s="2" t="s">
        <v>393</v>
      </c>
      <c r="B54" s="3" t="s">
        <v>394</v>
      </c>
      <c r="D54" s="14">
        <v>2.3454237083142136E-8</v>
      </c>
      <c r="E54" s="14">
        <v>1.418333696224783E-7</v>
      </c>
      <c r="F54" s="14">
        <v>4.5002847608786863E-5</v>
      </c>
      <c r="G54" s="14">
        <v>9.3915127083401973E-5</v>
      </c>
      <c r="H54" s="14">
        <v>0</v>
      </c>
      <c r="I54" s="14">
        <v>4.9870479483091354E-6</v>
      </c>
      <c r="J54" s="14">
        <v>5.9296897527963764E-6</v>
      </c>
      <c r="K54" s="14">
        <v>0</v>
      </c>
    </row>
    <row r="55" spans="1:11">
      <c r="A55" s="2" t="s">
        <v>395</v>
      </c>
      <c r="B55" s="3" t="s">
        <v>396</v>
      </c>
      <c r="D55" s="14">
        <v>1.8899265913906224E-5</v>
      </c>
      <c r="E55" s="14">
        <v>2.4895568362232649E-5</v>
      </c>
      <c r="F55" s="14">
        <v>6.9994452358054031E-5</v>
      </c>
      <c r="G55" s="14">
        <v>1.5099382097703437E-5</v>
      </c>
      <c r="H55" s="14">
        <v>0</v>
      </c>
      <c r="I55" s="14">
        <v>7.8515927869067448E-7</v>
      </c>
      <c r="J55" s="14">
        <v>2.0326171989412975E-5</v>
      </c>
      <c r="K55" s="14">
        <v>0</v>
      </c>
    </row>
    <row r="56" spans="1:11">
      <c r="A56" s="2" t="s">
        <v>397</v>
      </c>
      <c r="B56" s="3" t="s">
        <v>398</v>
      </c>
      <c r="D56" s="14">
        <v>8.5559031143001669E-5</v>
      </c>
      <c r="E56" s="14">
        <v>2.9363171929224979E-6</v>
      </c>
      <c r="F56" s="14">
        <v>4.6353714586678107E-5</v>
      </c>
      <c r="G56" s="14">
        <v>8.8060287240035106E-6</v>
      </c>
      <c r="H56" s="14">
        <v>0</v>
      </c>
      <c r="I56" s="14">
        <v>4.5272139557319198E-7</v>
      </c>
      <c r="J56" s="14">
        <v>5.8921869578210046E-6</v>
      </c>
      <c r="K56" s="14">
        <v>0</v>
      </c>
    </row>
    <row r="57" spans="1:11">
      <c r="A57" s="2" t="s">
        <v>399</v>
      </c>
      <c r="B57" s="3" t="s">
        <v>400</v>
      </c>
      <c r="D57" s="14">
        <v>1.1292342284411296E-4</v>
      </c>
      <c r="E57" s="14">
        <v>5.5167225616282596E-6</v>
      </c>
      <c r="F57" s="14">
        <v>2.1468550251334919E-5</v>
      </c>
      <c r="G57" s="14">
        <v>4.5216638552358522E-6</v>
      </c>
      <c r="H57" s="14">
        <v>0</v>
      </c>
      <c r="I57" s="14">
        <v>2.3390005820832685E-7</v>
      </c>
      <c r="J57" s="14">
        <v>5.3357404294796557E-6</v>
      </c>
      <c r="K57" s="14">
        <v>0</v>
      </c>
    </row>
    <row r="58" spans="1:11">
      <c r="A58" s="2" t="s">
        <v>297</v>
      </c>
      <c r="B58" s="3" t="s">
        <v>298</v>
      </c>
      <c r="D58" s="14">
        <v>1.3784887305307437E-4</v>
      </c>
      <c r="E58" s="14">
        <v>1.125590269320642E-5</v>
      </c>
      <c r="F58" s="14">
        <v>1.8794116054392022E-7</v>
      </c>
      <c r="G58" s="14">
        <v>5.9144921496104963E-8</v>
      </c>
      <c r="H58" s="14">
        <v>0</v>
      </c>
      <c r="I58" s="14">
        <v>1.2786933800176422E-8</v>
      </c>
      <c r="J58" s="14">
        <v>6.3535123787898655E-7</v>
      </c>
      <c r="K58" s="14">
        <v>0</v>
      </c>
    </row>
    <row r="59" spans="1:11">
      <c r="A59" s="2" t="s">
        <v>401</v>
      </c>
      <c r="B59" s="3" t="s">
        <v>402</v>
      </c>
      <c r="D59" s="14">
        <v>1.3543799170812908E-4</v>
      </c>
      <c r="E59" s="14">
        <v>2.2951845688266804E-6</v>
      </c>
      <c r="F59" s="14">
        <v>8.286272088037561E-6</v>
      </c>
      <c r="G59" s="14">
        <v>1.7549095811388921E-6</v>
      </c>
      <c r="H59" s="14">
        <v>0</v>
      </c>
      <c r="I59" s="14">
        <v>9.0871686333948755E-8</v>
      </c>
      <c r="J59" s="14">
        <v>2.1347703675338282E-6</v>
      </c>
      <c r="K59" s="14">
        <v>0</v>
      </c>
    </row>
    <row r="60" spans="1:11">
      <c r="A60" s="2" t="s">
        <v>299</v>
      </c>
      <c r="B60" s="3" t="s">
        <v>300</v>
      </c>
      <c r="D60" s="14">
        <v>1.4969245543715483E-4</v>
      </c>
      <c r="E60" s="14">
        <v>8.634894231095448E-8</v>
      </c>
      <c r="F60" s="14">
        <v>1.3658990299183889E-7</v>
      </c>
      <c r="G60" s="14">
        <v>3.0740728264486365E-8</v>
      </c>
      <c r="H60" s="14">
        <v>0</v>
      </c>
      <c r="I60" s="14">
        <v>1.6240986148139046E-9</v>
      </c>
      <c r="J60" s="14">
        <v>5.2240890663049929E-8</v>
      </c>
      <c r="K60" s="14">
        <v>0</v>
      </c>
    </row>
    <row r="61" spans="1:11">
      <c r="A61" s="2" t="s">
        <v>403</v>
      </c>
      <c r="B61" s="3" t="s">
        <v>404</v>
      </c>
      <c r="D61" s="14">
        <v>6.4467182127980051E-48</v>
      </c>
      <c r="E61" s="14">
        <v>5.2637565824709987E-5</v>
      </c>
      <c r="F61" s="14">
        <v>5.722125409806562E-5</v>
      </c>
      <c r="G61" s="14">
        <v>1.3238931260670105E-5</v>
      </c>
      <c r="H61" s="14">
        <v>0</v>
      </c>
      <c r="I61" s="14">
        <v>7.1141361167809785E-7</v>
      </c>
      <c r="J61" s="14">
        <v>2.6190835204876164E-5</v>
      </c>
      <c r="K61" s="14">
        <v>0</v>
      </c>
    </row>
    <row r="62" spans="1:11">
      <c r="A62" s="2" t="s">
        <v>405</v>
      </c>
      <c r="B62" s="3" t="s">
        <v>406</v>
      </c>
      <c r="D62" s="14">
        <v>1.330272438842893E-11</v>
      </c>
      <c r="E62" s="14">
        <v>6.1795621331872191E-7</v>
      </c>
      <c r="F62" s="14">
        <v>8.9178318157292767E-5</v>
      </c>
      <c r="G62" s="14">
        <v>4.9711267084766832E-5</v>
      </c>
      <c r="H62" s="14">
        <v>0</v>
      </c>
      <c r="I62" s="14">
        <v>2.6010961886761632E-6</v>
      </c>
      <c r="J62" s="14">
        <v>7.8913490532210952E-6</v>
      </c>
      <c r="K62" s="14">
        <v>0</v>
      </c>
    </row>
    <row r="63" spans="1:11">
      <c r="A63" s="2" t="s">
        <v>407</v>
      </c>
      <c r="B63" s="3" t="s">
        <v>408</v>
      </c>
      <c r="D63" s="14">
        <v>3.0932830762336059E-9</v>
      </c>
      <c r="E63" s="14">
        <v>5.4832339426287611E-8</v>
      </c>
      <c r="F63" s="14">
        <v>2.65912253073302E-5</v>
      </c>
      <c r="G63" s="14">
        <v>1.1296239853230562E-4</v>
      </c>
      <c r="H63" s="14">
        <v>0</v>
      </c>
      <c r="I63" s="14">
        <v>6.0470452997364528E-6</v>
      </c>
      <c r="J63" s="14">
        <v>4.3414052381251688E-6</v>
      </c>
      <c r="K63" s="14">
        <v>0</v>
      </c>
    </row>
    <row r="64" spans="1:11">
      <c r="A64" s="2" t="s">
        <v>409</v>
      </c>
      <c r="B64" s="3" t="s">
        <v>410</v>
      </c>
      <c r="D64" s="14">
        <v>3.7866185589277568E-10</v>
      </c>
      <c r="E64" s="14">
        <v>1.8784890555083445E-8</v>
      </c>
      <c r="F64" s="14">
        <v>1.416675043847053E-5</v>
      </c>
      <c r="G64" s="14">
        <v>1.2611472546084342E-4</v>
      </c>
      <c r="H64" s="14">
        <v>0</v>
      </c>
      <c r="I64" s="14">
        <v>6.8082665007404734E-6</v>
      </c>
      <c r="J64" s="14">
        <v>2.8910940475345903E-6</v>
      </c>
      <c r="K64" s="14">
        <v>0</v>
      </c>
    </row>
    <row r="65" spans="1:11">
      <c r="A65" s="2" t="s">
        <v>301</v>
      </c>
      <c r="B65" s="3" t="s">
        <v>302</v>
      </c>
      <c r="D65" s="14">
        <v>4.6347316063167972E-11</v>
      </c>
      <c r="E65" s="14">
        <v>5.2251853380726693E-9</v>
      </c>
      <c r="F65" s="14">
        <v>6.51093371298555E-6</v>
      </c>
      <c r="G65" s="14">
        <v>1.3444319637786659E-4</v>
      </c>
      <c r="H65" s="14">
        <v>0</v>
      </c>
      <c r="I65" s="14">
        <v>7.3280799625279236E-6</v>
      </c>
      <c r="J65" s="14">
        <v>1.712518413965786E-6</v>
      </c>
      <c r="K65" s="14">
        <v>0</v>
      </c>
    </row>
    <row r="66" spans="1:11">
      <c r="A66" s="2" t="s">
        <v>303</v>
      </c>
      <c r="B66" s="3" t="s">
        <v>304</v>
      </c>
      <c r="D66" s="14">
        <v>4.495566611027396E-17</v>
      </c>
      <c r="E66" s="14">
        <v>1.0885328680075357E-8</v>
      </c>
      <c r="F66" s="14">
        <v>1.0193025749600718E-5</v>
      </c>
      <c r="G66" s="14">
        <v>1.304063311654088E-4</v>
      </c>
      <c r="H66" s="14">
        <v>0</v>
      </c>
      <c r="I66" s="14">
        <v>7.0691854908135359E-6</v>
      </c>
      <c r="J66" s="14">
        <v>2.3205722654519145E-6</v>
      </c>
      <c r="K66" s="14">
        <v>0</v>
      </c>
    </row>
    <row r="67" spans="1:11">
      <c r="A67" s="2" t="s">
        <v>411</v>
      </c>
      <c r="B67" s="3" t="s">
        <v>412</v>
      </c>
      <c r="D67" s="14">
        <v>5.9515499338454484E-7</v>
      </c>
      <c r="E67" s="14">
        <v>1.3338506098730578E-4</v>
      </c>
      <c r="F67" s="14">
        <v>4.1614891438691701E-6</v>
      </c>
      <c r="G67" s="14">
        <v>1.2506745756956253E-6</v>
      </c>
      <c r="H67" s="14">
        <v>0</v>
      </c>
      <c r="I67" s="14">
        <v>1.786665340690312E-7</v>
      </c>
      <c r="J67" s="14">
        <v>1.042895376567583E-5</v>
      </c>
      <c r="K67" s="14">
        <v>0</v>
      </c>
    </row>
    <row r="68" spans="1:11">
      <c r="A68" s="2" t="s">
        <v>413</v>
      </c>
      <c r="B68" s="3" t="s">
        <v>414</v>
      </c>
      <c r="D68" s="14">
        <v>1.3134491656184157E-6</v>
      </c>
      <c r="E68" s="14">
        <v>1.2512104961836875E-4</v>
      </c>
      <c r="F68" s="14">
        <v>7.4788005840195799E-6</v>
      </c>
      <c r="G68" s="14">
        <v>2.1425329450190572E-6</v>
      </c>
      <c r="H68" s="14">
        <v>0</v>
      </c>
      <c r="I68" s="14">
        <v>2.1564109180843591E-7</v>
      </c>
      <c r="J68" s="14">
        <v>1.3728526595165722E-5</v>
      </c>
      <c r="K68" s="14">
        <v>0</v>
      </c>
    </row>
    <row r="69" spans="1:11">
      <c r="A69" s="2" t="s">
        <v>415</v>
      </c>
      <c r="B69" s="3" t="s">
        <v>416</v>
      </c>
      <c r="D69" s="14">
        <v>1.5196253360677088E-7</v>
      </c>
      <c r="E69" s="14">
        <v>2.2120433603868198E-7</v>
      </c>
      <c r="F69" s="14">
        <v>5.6526905357365839E-5</v>
      </c>
      <c r="G69" s="14">
        <v>8.2082535927587022E-5</v>
      </c>
      <c r="H69" s="14">
        <v>0</v>
      </c>
      <c r="I69" s="14">
        <v>4.3409174751567792E-6</v>
      </c>
      <c r="J69" s="14">
        <v>6.6764743702448759E-6</v>
      </c>
      <c r="K69" s="14">
        <v>0</v>
      </c>
    </row>
    <row r="70" spans="1:11">
      <c r="A70" s="2" t="s">
        <v>417</v>
      </c>
      <c r="B70" s="3" t="s">
        <v>418</v>
      </c>
      <c r="D70" s="14">
        <v>4.0825276105141821E-7</v>
      </c>
      <c r="E70" s="14">
        <v>4.2189680895785408E-6</v>
      </c>
      <c r="F70" s="14">
        <v>1.1260244349913834E-4</v>
      </c>
      <c r="G70" s="14">
        <v>2.0579905218868668E-5</v>
      </c>
      <c r="H70" s="14">
        <v>0</v>
      </c>
      <c r="I70" s="14">
        <v>1.0592866904121277E-6</v>
      </c>
      <c r="J70" s="14">
        <v>1.1131143740950865E-5</v>
      </c>
      <c r="K70" s="14">
        <v>0</v>
      </c>
    </row>
    <row r="71" spans="1:11">
      <c r="A71" s="2" t="s">
        <v>419</v>
      </c>
      <c r="B71" s="3" t="s">
        <v>420</v>
      </c>
      <c r="D71" s="14">
        <v>3.2159076119100854E-6</v>
      </c>
      <c r="E71" s="14">
        <v>1.2487073661320155E-4</v>
      </c>
      <c r="F71" s="14">
        <v>6.7533964928397908E-6</v>
      </c>
      <c r="G71" s="14">
        <v>1.9490267660034015E-6</v>
      </c>
      <c r="H71" s="14">
        <v>0</v>
      </c>
      <c r="I71" s="14">
        <v>2.0581670205465051E-7</v>
      </c>
      <c r="J71" s="14">
        <v>1.3005115813990496E-5</v>
      </c>
      <c r="K71" s="14">
        <v>0</v>
      </c>
    </row>
    <row r="72" spans="1:11">
      <c r="A72" s="2" t="s">
        <v>421</v>
      </c>
      <c r="B72" s="3" t="s">
        <v>422</v>
      </c>
      <c r="D72" s="14">
        <v>1.7248393078897805E-6</v>
      </c>
      <c r="E72" s="14">
        <v>4.9141199251110853E-6</v>
      </c>
      <c r="F72" s="14">
        <v>1.1009493140450109E-4</v>
      </c>
      <c r="G72" s="14">
        <v>2.038275482503944E-5</v>
      </c>
      <c r="H72" s="14">
        <v>0</v>
      </c>
      <c r="I72" s="14">
        <v>1.0485987309527889E-6</v>
      </c>
      <c r="J72" s="14">
        <v>1.1834755806505772E-5</v>
      </c>
      <c r="K72" s="14">
        <v>0</v>
      </c>
    </row>
    <row r="73" spans="1:11">
      <c r="A73" s="2" t="s">
        <v>423</v>
      </c>
      <c r="B73" s="3" t="s">
        <v>424</v>
      </c>
      <c r="D73" s="14">
        <v>1.8758140326471035E-6</v>
      </c>
      <c r="E73" s="14">
        <v>4.8400170373546194E-5</v>
      </c>
      <c r="F73" s="14">
        <v>5.9622264209338577E-5</v>
      </c>
      <c r="G73" s="14">
        <v>1.3667970101242529E-5</v>
      </c>
      <c r="H73" s="14">
        <v>0</v>
      </c>
      <c r="I73" s="14">
        <v>7.2979736454843102E-7</v>
      </c>
      <c r="J73" s="14">
        <v>2.5703983918677149E-5</v>
      </c>
      <c r="K73" s="14">
        <v>0</v>
      </c>
    </row>
    <row r="74" spans="1:11">
      <c r="A74" s="2" t="s">
        <v>425</v>
      </c>
      <c r="B74" s="3" t="s">
        <v>426</v>
      </c>
      <c r="D74" s="14">
        <v>6.313081951170306E-7</v>
      </c>
      <c r="E74" s="14">
        <v>4.4120308147472944E-6</v>
      </c>
      <c r="F74" s="14">
        <v>1.1201085475043443E-4</v>
      </c>
      <c r="G74" s="14">
        <v>2.0547342809081681E-5</v>
      </c>
      <c r="H74" s="14">
        <v>0</v>
      </c>
      <c r="I74" s="14">
        <v>1.0574441852383192E-6</v>
      </c>
      <c r="J74" s="14">
        <v>1.1341019245381232E-5</v>
      </c>
      <c r="K74" s="14">
        <v>0</v>
      </c>
    </row>
    <row r="75" spans="1:11">
      <c r="A75" s="2" t="s">
        <v>427</v>
      </c>
      <c r="B75" s="3" t="s">
        <v>428</v>
      </c>
      <c r="D75" s="14">
        <v>6.4010744634802506E-14</v>
      </c>
      <c r="E75" s="14">
        <v>6.4569884065631198E-7</v>
      </c>
      <c r="F75" s="14">
        <v>1.4872075480905732E-4</v>
      </c>
      <c r="G75" s="14">
        <v>5.7388092552158154E-8</v>
      </c>
      <c r="H75" s="14">
        <v>0</v>
      </c>
      <c r="I75" s="14">
        <v>5.708868879301114E-7</v>
      </c>
      <c r="J75" s="14">
        <v>5.2713057932860285E-9</v>
      </c>
      <c r="K75" s="14">
        <v>0</v>
      </c>
    </row>
    <row r="76" spans="1:11">
      <c r="A76" s="2" t="s">
        <v>429</v>
      </c>
      <c r="B76" s="3" t="s">
        <v>430</v>
      </c>
      <c r="D76" s="14">
        <v>1.6078772098587583E-15</v>
      </c>
      <c r="E76" s="14">
        <v>6.4569884092493504E-7</v>
      </c>
      <c r="F76" s="14">
        <v>1.48720754870928E-4</v>
      </c>
      <c r="G76" s="14">
        <v>5.7388092576032697E-8</v>
      </c>
      <c r="H76" s="14">
        <v>0</v>
      </c>
      <c r="I76" s="14">
        <v>5.7088688816761129E-7</v>
      </c>
      <c r="J76" s="14">
        <v>5.2713057954789926E-9</v>
      </c>
      <c r="K76" s="14">
        <v>0</v>
      </c>
    </row>
    <row r="77" spans="1:11">
      <c r="A77" s="2" t="s">
        <v>431</v>
      </c>
      <c r="B77" s="3" t="s">
        <v>432</v>
      </c>
      <c r="D77" s="14">
        <v>3.2746146513326454E-6</v>
      </c>
      <c r="E77" s="14">
        <v>1.7924923489533718E-5</v>
      </c>
      <c r="F77" s="14">
        <v>8.9573364027693004E-5</v>
      </c>
      <c r="G77" s="14">
        <v>1.8521426832065451E-5</v>
      </c>
      <c r="H77" s="14">
        <v>0</v>
      </c>
      <c r="I77" s="14">
        <v>9.5549995996374155E-7</v>
      </c>
      <c r="J77" s="14">
        <v>1.975017103941144E-5</v>
      </c>
      <c r="K77" s="14">
        <v>0</v>
      </c>
    </row>
    <row r="78" spans="1:11">
      <c r="A78" s="2" t="s">
        <v>433</v>
      </c>
      <c r="B78" s="3" t="s">
        <v>434</v>
      </c>
      <c r="D78" s="14">
        <v>4.6791078962309677E-6</v>
      </c>
      <c r="E78" s="14">
        <v>9.4562766596659504E-5</v>
      </c>
      <c r="F78" s="14">
        <v>2.2928822066574977E-5</v>
      </c>
      <c r="G78" s="14">
        <v>5.9248491774766284E-6</v>
      </c>
      <c r="H78" s="14">
        <v>0</v>
      </c>
      <c r="I78" s="14">
        <v>3.7793955729845057E-7</v>
      </c>
      <c r="J78" s="14">
        <v>2.1526514705759432E-5</v>
      </c>
      <c r="K78" s="14">
        <v>0</v>
      </c>
    </row>
    <row r="79" spans="1:11">
      <c r="A79" s="2" t="s">
        <v>435</v>
      </c>
      <c r="B79" s="3" t="s">
        <v>436</v>
      </c>
      <c r="D79" s="14">
        <v>1.1225989588409236E-6</v>
      </c>
      <c r="E79" s="14">
        <v>6.814621593743435E-5</v>
      </c>
      <c r="F79" s="14">
        <v>4.3817068589262847E-5</v>
      </c>
      <c r="G79" s="14">
        <v>1.0537531230797711E-5</v>
      </c>
      <c r="H79" s="14">
        <v>0</v>
      </c>
      <c r="I79" s="14">
        <v>5.8753817370761998E-7</v>
      </c>
      <c r="J79" s="14">
        <v>2.5789047109956517E-5</v>
      </c>
      <c r="K79" s="14">
        <v>0</v>
      </c>
    </row>
    <row r="80" spans="1:11">
      <c r="A80" s="2" t="s">
        <v>437</v>
      </c>
      <c r="B80" s="3" t="s">
        <v>438</v>
      </c>
      <c r="D80" s="14">
        <v>2.2837477565013104E-14</v>
      </c>
      <c r="E80" s="14">
        <v>4.3623977531819557E-7</v>
      </c>
      <c r="F80" s="14">
        <v>1.4834292405131865E-4</v>
      </c>
      <c r="G80" s="14">
        <v>1.0995552193817862E-7</v>
      </c>
      <c r="H80" s="14">
        <v>0</v>
      </c>
      <c r="I80" s="14">
        <v>1.1044786610868731E-6</v>
      </c>
      <c r="J80" s="14">
        <v>6.4019675005849478E-9</v>
      </c>
      <c r="K80" s="14">
        <v>0</v>
      </c>
    </row>
    <row r="81" spans="1:11">
      <c r="A81" s="2" t="s">
        <v>440</v>
      </c>
      <c r="B81" s="3" t="s">
        <v>441</v>
      </c>
      <c r="D81" s="14">
        <v>2.1919339216948031E-17</v>
      </c>
      <c r="E81" s="14">
        <v>1.4781025550071611E-4</v>
      </c>
      <c r="F81" s="14">
        <v>1.3913812354028823E-7</v>
      </c>
      <c r="G81" s="14">
        <v>5.4117994902087521E-8</v>
      </c>
      <c r="H81" s="14">
        <v>0</v>
      </c>
      <c r="I81" s="14">
        <v>1.3252181486335814E-7</v>
      </c>
      <c r="J81" s="14">
        <v>1.8639665659561931E-6</v>
      </c>
      <c r="K81" s="14">
        <v>0</v>
      </c>
    </row>
    <row r="82" spans="1:11">
      <c r="A82" s="2" t="s">
        <v>442</v>
      </c>
      <c r="B82" s="3" t="s">
        <v>443</v>
      </c>
      <c r="D82" s="14">
        <v>1.0952327550274052E-8</v>
      </c>
      <c r="E82" s="14">
        <v>1.2241187037141058E-4</v>
      </c>
      <c r="F82" s="14">
        <v>9.3956127385040334E-6</v>
      </c>
      <c r="G82" s="14">
        <v>2.6425344841858774E-6</v>
      </c>
      <c r="H82" s="14">
        <v>0</v>
      </c>
      <c r="I82" s="14">
        <v>2.3812629658315483E-7</v>
      </c>
      <c r="J82" s="14">
        <v>1.5300903781766036E-5</v>
      </c>
      <c r="K82" s="14">
        <v>0</v>
      </c>
    </row>
    <row r="83" spans="1:11">
      <c r="A83" s="2" t="s">
        <v>444</v>
      </c>
      <c r="B83" s="3" t="s">
        <v>445</v>
      </c>
      <c r="D83" s="14">
        <v>7.0450820912020924E-8</v>
      </c>
      <c r="E83" s="14">
        <v>2.274275998030195E-5</v>
      </c>
      <c r="F83" s="14">
        <v>8.6318670437312637E-5</v>
      </c>
      <c r="G83" s="14">
        <v>1.8213788855334889E-5</v>
      </c>
      <c r="H83" s="14">
        <v>0</v>
      </c>
      <c r="I83" s="14">
        <v>9.4248548154148014E-7</v>
      </c>
      <c r="J83" s="14">
        <v>2.1711844424597001E-5</v>
      </c>
      <c r="K83" s="14">
        <v>0</v>
      </c>
    </row>
    <row r="84" spans="1:11">
      <c r="A84" s="2" t="s">
        <v>446</v>
      </c>
      <c r="B84" s="3" t="s">
        <v>447</v>
      </c>
      <c r="D84" s="14">
        <v>6.8545515956456984E-19</v>
      </c>
      <c r="E84" s="14">
        <v>1.4493262554459669E-4</v>
      </c>
      <c r="F84" s="14">
        <v>6.3503510527334667E-7</v>
      </c>
      <c r="G84" s="14">
        <v>2.2054300588828383E-7</v>
      </c>
      <c r="H84" s="14">
        <v>0</v>
      </c>
      <c r="I84" s="14">
        <v>1.3809008607315951E-7</v>
      </c>
      <c r="J84" s="14">
        <v>4.0737062581678321E-6</v>
      </c>
      <c r="K84" s="14">
        <v>0</v>
      </c>
    </row>
    <row r="85" spans="1:11">
      <c r="A85" s="2" t="s">
        <v>448</v>
      </c>
      <c r="B85" s="3" t="s">
        <v>449</v>
      </c>
      <c r="D85" s="14">
        <v>4.6814486774372978E-12</v>
      </c>
      <c r="E85" s="14">
        <v>1.4906214848585256E-4</v>
      </c>
      <c r="F85" s="14">
        <v>2.5304569368189796E-8</v>
      </c>
      <c r="G85" s="14">
        <v>1.116591985408261E-8</v>
      </c>
      <c r="H85" s="14">
        <v>0</v>
      </c>
      <c r="I85" s="14">
        <v>1.3155326435142568E-7</v>
      </c>
      <c r="J85" s="14">
        <v>7.6982307912502513E-7</v>
      </c>
      <c r="K85" s="14">
        <v>0</v>
      </c>
    </row>
    <row r="86" spans="1:11">
      <c r="A86" s="2" t="s">
        <v>450</v>
      </c>
      <c r="B86" s="3" t="s">
        <v>451</v>
      </c>
      <c r="D86" s="14">
        <v>1.7229898491306328E-12</v>
      </c>
      <c r="E86" s="14">
        <v>1.4507408123644292E-4</v>
      </c>
      <c r="F86" s="14">
        <v>6.0464630488652177E-7</v>
      </c>
      <c r="G86" s="14">
        <v>2.1076425539511667E-7</v>
      </c>
      <c r="H86" s="14">
        <v>0</v>
      </c>
      <c r="I86" s="14">
        <v>1.3773687759665746E-7</v>
      </c>
      <c r="J86" s="14">
        <v>3.9727696026889012E-6</v>
      </c>
      <c r="K86" s="14">
        <v>0</v>
      </c>
    </row>
    <row r="87" spans="1:11">
      <c r="A87" s="2" t="s">
        <v>452</v>
      </c>
      <c r="B87" s="3" t="s">
        <v>453</v>
      </c>
      <c r="D87" s="14">
        <v>5.8090940512848516E-12</v>
      </c>
      <c r="E87" s="14">
        <v>8.0142985701873751E-8</v>
      </c>
      <c r="F87" s="14">
        <v>3.2970618350100999E-5</v>
      </c>
      <c r="G87" s="14">
        <v>1.0632188008234026E-4</v>
      </c>
      <c r="H87" s="14">
        <v>0</v>
      </c>
      <c r="I87" s="14">
        <v>5.6737740603291427E-6</v>
      </c>
      <c r="J87" s="14">
        <v>4.9535787124336709E-6</v>
      </c>
      <c r="K87" s="14">
        <v>0</v>
      </c>
    </row>
    <row r="88" spans="1:11">
      <c r="A88" s="2" t="s">
        <v>454</v>
      </c>
      <c r="B88" s="3" t="s">
        <v>455</v>
      </c>
      <c r="D88" s="14">
        <v>5.5052846682445157E-9</v>
      </c>
      <c r="E88" s="14">
        <v>1.0645765376211847E-4</v>
      </c>
      <c r="F88" s="14">
        <v>1.8188566187046129E-5</v>
      </c>
      <c r="G88" s="14">
        <v>4.8227418985046679E-6</v>
      </c>
      <c r="H88" s="14">
        <v>0</v>
      </c>
      <c r="I88" s="14">
        <v>3.3301662575091619E-7</v>
      </c>
      <c r="J88" s="14">
        <v>2.0192516241911567E-5</v>
      </c>
      <c r="K88" s="14">
        <v>0</v>
      </c>
    </row>
    <row r="89" spans="1:11">
      <c r="A89" s="2" t="s">
        <v>456</v>
      </c>
      <c r="B89" s="3" t="s">
        <v>457</v>
      </c>
      <c r="D89" s="14">
        <v>3.6373859596514389E-21</v>
      </c>
      <c r="E89" s="14">
        <v>1.198799342487191E-4</v>
      </c>
      <c r="F89" s="14">
        <v>1.0690747454229674E-5</v>
      </c>
      <c r="G89" s="14">
        <v>2.9737443217100243E-6</v>
      </c>
      <c r="H89" s="14">
        <v>0</v>
      </c>
      <c r="I89" s="14">
        <v>2.5240181310188887E-7</v>
      </c>
      <c r="J89" s="14">
        <v>1.6203172162239286E-5</v>
      </c>
      <c r="K89" s="14">
        <v>0</v>
      </c>
    </row>
    <row r="90" spans="1:11">
      <c r="A90" s="2" t="s">
        <v>458</v>
      </c>
      <c r="B90" s="3" t="s">
        <v>459</v>
      </c>
      <c r="D90" s="14">
        <v>5.2531316024431716E-33</v>
      </c>
      <c r="E90" s="14">
        <v>1.3878271871801875E-4</v>
      </c>
      <c r="F90" s="14">
        <v>2.3759481851260116E-6</v>
      </c>
      <c r="G90" s="14">
        <v>7.4633278649852832E-7</v>
      </c>
      <c r="H90" s="14">
        <v>0</v>
      </c>
      <c r="I90" s="14">
        <v>1.5850175781634051E-7</v>
      </c>
      <c r="J90" s="14">
        <v>7.9364985525403613E-6</v>
      </c>
      <c r="K90" s="14">
        <v>0</v>
      </c>
    </row>
    <row r="91" spans="1:11">
      <c r="A91" s="2" t="s">
        <v>460</v>
      </c>
      <c r="B91" s="3" t="s">
        <v>461</v>
      </c>
      <c r="D91" s="14">
        <v>6.2097835031977589E-12</v>
      </c>
      <c r="E91" s="14">
        <v>5.3640592864756396E-7</v>
      </c>
      <c r="F91" s="14">
        <v>8.4410241653552827E-5</v>
      </c>
      <c r="G91" s="14">
        <v>5.4398972780211415E-5</v>
      </c>
      <c r="H91" s="14">
        <v>0</v>
      </c>
      <c r="I91" s="14">
        <v>2.8509150245273915E-6</v>
      </c>
      <c r="J91" s="14">
        <v>7.803458403277266E-6</v>
      </c>
      <c r="K91" s="14">
        <v>0</v>
      </c>
    </row>
    <row r="92" spans="1:11">
      <c r="A92" s="2" t="s">
        <v>462</v>
      </c>
      <c r="B92" s="3" t="s">
        <v>463</v>
      </c>
      <c r="D92" s="14">
        <v>6.2911680801080289E-13</v>
      </c>
      <c r="E92" s="14">
        <v>3.2272187068676635E-5</v>
      </c>
      <c r="F92" s="14">
        <v>7.6164040032469633E-5</v>
      </c>
      <c r="G92" s="14">
        <v>1.6643533251227066E-5</v>
      </c>
      <c r="H92" s="14">
        <v>0</v>
      </c>
      <c r="I92" s="14">
        <v>8.6875109757817188E-7</v>
      </c>
      <c r="J92" s="14">
        <v>2.4051487920931652E-5</v>
      </c>
      <c r="K92" s="14">
        <v>0</v>
      </c>
    </row>
    <row r="93" spans="1:11">
      <c r="A93" s="2" t="s">
        <v>464</v>
      </c>
      <c r="B93" s="3" t="s">
        <v>465</v>
      </c>
      <c r="D93" s="14">
        <v>2.5683854466333668E-8</v>
      </c>
      <c r="E93" s="14">
        <v>6.5324682919631468E-6</v>
      </c>
      <c r="F93" s="14">
        <v>1.0841238150246222E-4</v>
      </c>
      <c r="G93" s="14">
        <v>2.0519862204998408E-5</v>
      </c>
      <c r="H93" s="14">
        <v>0</v>
      </c>
      <c r="I93" s="14">
        <v>1.0550019800998148E-6</v>
      </c>
      <c r="J93" s="14">
        <v>1.3454602166010042E-5</v>
      </c>
      <c r="K93" s="14">
        <v>0</v>
      </c>
    </row>
    <row r="94" spans="1:11">
      <c r="A94" s="2" t="s">
        <v>466</v>
      </c>
      <c r="B94" s="3" t="s">
        <v>467</v>
      </c>
      <c r="D94" s="14">
        <v>2.1384313621648553E-22</v>
      </c>
      <c r="E94" s="14">
        <v>1.341110287963255E-4</v>
      </c>
      <c r="F94" s="14">
        <v>1.5746573636120502E-5</v>
      </c>
      <c r="G94" s="14">
        <v>2.0693052660060568E-9</v>
      </c>
      <c r="H94" s="14">
        <v>0</v>
      </c>
      <c r="I94" s="14">
        <v>1.3024221537892614E-7</v>
      </c>
      <c r="J94" s="14">
        <v>1.0086046909018732E-8</v>
      </c>
      <c r="K94" s="14">
        <v>0</v>
      </c>
    </row>
    <row r="95" spans="1:11">
      <c r="A95" s="2" t="s">
        <v>468</v>
      </c>
      <c r="B95" s="3" t="s">
        <v>469</v>
      </c>
      <c r="D95" s="14">
        <v>2.5097243780458098E-22</v>
      </c>
      <c r="E95" s="14">
        <v>1.258934511606921E-6</v>
      </c>
      <c r="F95" s="14">
        <v>1.1187800500950899E-4</v>
      </c>
      <c r="G95" s="14">
        <v>2.767835459356136E-5</v>
      </c>
      <c r="H95" s="14">
        <v>0</v>
      </c>
      <c r="I95" s="14">
        <v>1.4358659560788063E-6</v>
      </c>
      <c r="J95" s="14">
        <v>7.7488399292439147E-6</v>
      </c>
      <c r="K95" s="14">
        <v>0</v>
      </c>
    </row>
    <row r="96" spans="1:11">
      <c r="A96" s="2" t="s">
        <v>470</v>
      </c>
      <c r="B96" s="163">
        <v>354656</v>
      </c>
      <c r="D96" s="14">
        <v>4.3726946363138146E-14</v>
      </c>
      <c r="E96" s="14">
        <v>1.4772236765090034E-4</v>
      </c>
      <c r="F96" s="14">
        <v>1.4988833456457093E-7</v>
      </c>
      <c r="G96" s="14">
        <v>5.7978021300462321E-8</v>
      </c>
      <c r="H96" s="14">
        <v>0</v>
      </c>
      <c r="I96" s="14">
        <v>1.326312964798798E-7</v>
      </c>
      <c r="J96" s="14">
        <v>1.9371346530277631E-6</v>
      </c>
      <c r="K96" s="14">
        <v>0</v>
      </c>
    </row>
    <row r="97" spans="1:11">
      <c r="A97" s="2" t="s">
        <v>472</v>
      </c>
      <c r="B97" s="3" t="s">
        <v>473</v>
      </c>
      <c r="D97" s="14">
        <v>6.8520753876178838E-14</v>
      </c>
      <c r="E97" s="14">
        <v>1.4486025404067778E-4</v>
      </c>
      <c r="F97" s="14">
        <v>6.5078991883993602E-7</v>
      </c>
      <c r="G97" s="14">
        <v>2.2559858543978815E-7</v>
      </c>
      <c r="H97" s="14">
        <v>0</v>
      </c>
      <c r="I97" s="14">
        <v>1.3827342166551371E-7</v>
      </c>
      <c r="J97" s="14">
        <v>4.1250839648562338E-6</v>
      </c>
      <c r="K97" s="14">
        <v>0</v>
      </c>
    </row>
    <row r="98" spans="1:11">
      <c r="A98" s="2" t="s">
        <v>474</v>
      </c>
      <c r="B98" s="3" t="s">
        <v>475</v>
      </c>
      <c r="D98" s="14">
        <v>5.9033994809428476E-24</v>
      </c>
      <c r="E98" s="14">
        <v>2.9818053028382381E-6</v>
      </c>
      <c r="F98" s="14">
        <v>1.1580327909539331E-4</v>
      </c>
      <c r="G98" s="14">
        <v>2.0588106799347005E-5</v>
      </c>
      <c r="H98" s="14">
        <v>0</v>
      </c>
      <c r="I98" s="14">
        <v>1.0611952137863176E-6</v>
      </c>
      <c r="J98" s="14">
        <v>9.5656135886350936E-6</v>
      </c>
      <c r="K98" s="14">
        <v>0</v>
      </c>
    </row>
    <row r="99" spans="1:11">
      <c r="A99" s="2" t="s">
        <v>476</v>
      </c>
      <c r="B99" s="3" t="s">
        <v>477</v>
      </c>
      <c r="D99" s="14">
        <v>2.038994629174522E-11</v>
      </c>
      <c r="E99" s="14">
        <v>1.493183532936888E-4</v>
      </c>
      <c r="F99" s="14">
        <v>1.2428959307574432E-8</v>
      </c>
      <c r="G99" s="14">
        <v>5.7800330474004982E-9</v>
      </c>
      <c r="H99" s="14">
        <v>0</v>
      </c>
      <c r="I99" s="14">
        <v>1.3152130206769515E-7</v>
      </c>
      <c r="J99" s="14">
        <v>5.3189602194220727E-7</v>
      </c>
      <c r="K99" s="14">
        <v>0</v>
      </c>
    </row>
    <row r="100" spans="1:11">
      <c r="A100" s="2" t="s">
        <v>478</v>
      </c>
      <c r="B100" s="3" t="s">
        <v>479</v>
      </c>
      <c r="D100" s="14">
        <v>7.3297385877762123E-15</v>
      </c>
      <c r="E100" s="14">
        <v>7.5656386723796143E-5</v>
      </c>
      <c r="F100" s="14">
        <v>3.884249963177947E-5</v>
      </c>
      <c r="G100" s="14">
        <v>9.4973561795363695E-6</v>
      </c>
      <c r="H100" s="14">
        <v>0</v>
      </c>
      <c r="I100" s="14">
        <v>5.4136859653978331E-7</v>
      </c>
      <c r="J100" s="14">
        <v>2.5462388861018473E-5</v>
      </c>
      <c r="K100" s="14">
        <v>0</v>
      </c>
    </row>
    <row r="101" spans="1:11">
      <c r="A101" s="2" t="s">
        <v>480</v>
      </c>
      <c r="B101" s="3" t="s">
        <v>481</v>
      </c>
      <c r="D101" s="14">
        <v>5.5039607088691208E-15</v>
      </c>
      <c r="E101" s="14">
        <v>1.4892665495905161E-4</v>
      </c>
      <c r="F101" s="14">
        <v>3.3704974993041404E-8</v>
      </c>
      <c r="G101" s="14">
        <v>1.4560945106705415E-8</v>
      </c>
      <c r="H101" s="14">
        <v>0</v>
      </c>
      <c r="I101" s="14">
        <v>1.3159674980372346E-7</v>
      </c>
      <c r="J101" s="14">
        <v>8.9348236554090961E-7</v>
      </c>
      <c r="K101" s="14">
        <v>0</v>
      </c>
    </row>
    <row r="102" spans="1:11">
      <c r="A102" s="2" t="s">
        <v>482</v>
      </c>
      <c r="B102" s="3" t="s">
        <v>483</v>
      </c>
      <c r="D102" s="14">
        <v>3.4386531807044547E-31</v>
      </c>
      <c r="E102" s="14">
        <v>1.4963923713643096E-4</v>
      </c>
      <c r="F102" s="14">
        <v>2.3911513157846149E-9</v>
      </c>
      <c r="G102" s="14">
        <v>1.2557483471124165E-9</v>
      </c>
      <c r="H102" s="14">
        <v>0</v>
      </c>
      <c r="I102" s="14">
        <v>1.3158870787679437E-7</v>
      </c>
      <c r="J102" s="14">
        <v>2.2552725602932966E-7</v>
      </c>
      <c r="K102" s="14">
        <v>0</v>
      </c>
    </row>
    <row r="103" spans="1:11">
      <c r="A103" s="2" t="s">
        <v>484</v>
      </c>
      <c r="B103" s="3" t="s">
        <v>485</v>
      </c>
      <c r="D103" s="14">
        <v>2.7499112527436169E-17</v>
      </c>
      <c r="E103" s="14">
        <v>1.4933643797061138E-4</v>
      </c>
      <c r="F103" s="14">
        <v>1.1677163537088081E-8</v>
      </c>
      <c r="G103" s="14">
        <v>5.4554793704600019E-9</v>
      </c>
      <c r="H103" s="14">
        <v>0</v>
      </c>
      <c r="I103" s="14">
        <v>1.3152174311455064E-7</v>
      </c>
      <c r="J103" s="14">
        <v>5.1490764333895709E-7</v>
      </c>
      <c r="K103" s="14">
        <v>0</v>
      </c>
    </row>
    <row r="104" spans="1:11">
      <c r="A104" s="2" t="s">
        <v>486</v>
      </c>
      <c r="B104" s="3" t="s">
        <v>487</v>
      </c>
      <c r="D104" s="14">
        <v>3.4591788378970201E-13</v>
      </c>
      <c r="E104" s="14">
        <v>1.464502527026269E-4</v>
      </c>
      <c r="F104" s="14">
        <v>3.3914990498320486E-7</v>
      </c>
      <c r="G104" s="14">
        <v>1.234489087053796E-7</v>
      </c>
      <c r="H104" s="14">
        <v>0</v>
      </c>
      <c r="I104" s="14">
        <v>1.346904945036524E-7</v>
      </c>
      <c r="J104" s="14">
        <v>2.9524576432629511E-6</v>
      </c>
      <c r="K104" s="14">
        <v>0</v>
      </c>
    </row>
    <row r="105" spans="1:11">
      <c r="A105" s="2" t="s">
        <v>488</v>
      </c>
      <c r="B105" s="3" t="s">
        <v>489</v>
      </c>
      <c r="D105" s="14">
        <v>2.7358566392734299E-20</v>
      </c>
      <c r="E105" s="14">
        <v>1.4959271566435583E-4</v>
      </c>
      <c r="F105" s="14">
        <v>3.3924387918702249E-9</v>
      </c>
      <c r="G105" s="14">
        <v>1.7362312791585417E-9</v>
      </c>
      <c r="H105" s="14">
        <v>0</v>
      </c>
      <c r="I105" s="14">
        <v>1.3157049167168039E-7</v>
      </c>
      <c r="J105" s="14">
        <v>2.7058517390136673E-7</v>
      </c>
      <c r="K105" s="14">
        <v>0</v>
      </c>
    </row>
    <row r="106" spans="1:11">
      <c r="A106" s="2" t="s">
        <v>490</v>
      </c>
      <c r="B106" s="3" t="s">
        <v>491</v>
      </c>
      <c r="D106" s="14">
        <v>1.6186619993979781E-12</v>
      </c>
      <c r="E106" s="14">
        <v>1.3485693381669279E-4</v>
      </c>
      <c r="F106" s="14">
        <v>3.8069296855369383E-6</v>
      </c>
      <c r="G106" s="14">
        <v>1.1525782259043397E-6</v>
      </c>
      <c r="H106" s="14">
        <v>0</v>
      </c>
      <c r="I106" s="14">
        <v>1.7510647718106938E-7</v>
      </c>
      <c r="J106" s="14">
        <v>1.0008450176022864E-5</v>
      </c>
      <c r="K106" s="14">
        <v>0</v>
      </c>
    </row>
    <row r="107" spans="1:11">
      <c r="A107" s="2" t="s">
        <v>492</v>
      </c>
      <c r="B107" s="3" t="s">
        <v>493</v>
      </c>
      <c r="D107" s="14">
        <v>2.745624882622177E-20</v>
      </c>
      <c r="E107" s="14">
        <v>2.1940085315831909E-6</v>
      </c>
      <c r="F107" s="14">
        <v>1.1793966404971915E-4</v>
      </c>
      <c r="G107" s="14">
        <v>2.0471772268041997E-5</v>
      </c>
      <c r="H107" s="14">
        <v>0</v>
      </c>
      <c r="I107" s="14">
        <v>1.0567476819399747E-6</v>
      </c>
      <c r="J107" s="14">
        <v>8.337807468715623E-6</v>
      </c>
      <c r="K107" s="14">
        <v>0</v>
      </c>
    </row>
    <row r="108" spans="1:11">
      <c r="A108" s="2" t="s">
        <v>291</v>
      </c>
      <c r="B108" s="3" t="s">
        <v>494</v>
      </c>
      <c r="D108" s="14">
        <v>4.1817256302159507E-14</v>
      </c>
      <c r="E108" s="14">
        <v>8.6288445393893721E-5</v>
      </c>
      <c r="F108" s="14">
        <v>3.1215781990442674E-5</v>
      </c>
      <c r="G108" s="14">
        <v>7.831947621678045E-6</v>
      </c>
      <c r="H108" s="14">
        <v>0</v>
      </c>
      <c r="I108" s="14">
        <v>4.6656472618918095E-7</v>
      </c>
      <c r="J108" s="14">
        <v>2.4197260225979087E-5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1.5241062202984246E-5</v>
      </c>
      <c r="J2" s="67" t="s">
        <v>231</v>
      </c>
      <c r="K2" s="68">
        <v>1.3837998219289143E-3</v>
      </c>
      <c r="L2" s="67" t="s">
        <v>231</v>
      </c>
      <c r="M2" s="68">
        <v>5.8984244623720344E-2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1.0388472980042359E-3</v>
      </c>
      <c r="J3" s="67" t="s">
        <v>231</v>
      </c>
      <c r="K3" s="68">
        <v>3.6967253781946117E-2</v>
      </c>
      <c r="L3" s="67" t="s">
        <v>231</v>
      </c>
      <c r="M3" s="68">
        <v>3.719170916540457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2.1624780742927553E-3</v>
      </c>
      <c r="J4" s="67" t="s">
        <v>231</v>
      </c>
      <c r="K4" s="68">
        <v>4.210849420051177E-3</v>
      </c>
      <c r="L4" s="67" t="s">
        <v>231</v>
      </c>
      <c r="M4" s="68">
        <v>0.37434866255711868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1.6480514351197208E-3</v>
      </c>
      <c r="J5" s="67" t="s">
        <v>231</v>
      </c>
      <c r="K5" s="68">
        <v>1.115887743292066E-2</v>
      </c>
      <c r="L5" s="67" t="s">
        <v>231</v>
      </c>
      <c r="M5" s="68">
        <v>1.1106172358452449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2.7975540230609666E-3</v>
      </c>
      <c r="J6" s="67" t="s">
        <v>231</v>
      </c>
      <c r="K6" s="68">
        <v>4.2626665720316342E-2</v>
      </c>
      <c r="L6" s="67" t="s">
        <v>231</v>
      </c>
      <c r="M6" s="68">
        <v>4.3000761983562956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4.1217178302352202E-4</v>
      </c>
      <c r="J7" s="67" t="s">
        <v>231</v>
      </c>
      <c r="K7" s="68">
        <v>3.7983125076561576E-2</v>
      </c>
      <c r="L7" s="67" t="s">
        <v>231</v>
      </c>
      <c r="M7" s="68">
        <v>3.8228832287287502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8.0639246676432138E-4</v>
      </c>
      <c r="J8" s="67" t="s">
        <v>231</v>
      </c>
      <c r="K8" s="68">
        <v>3.0663868843228071E-2</v>
      </c>
      <c r="L8" s="67" t="s">
        <v>231</v>
      </c>
      <c r="M8" s="68">
        <v>3.0772460682493228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2.4906338025039053E-4</v>
      </c>
      <c r="J9" s="67" t="s">
        <v>231</v>
      </c>
      <c r="K9" s="68">
        <v>7.0871448107834578E-3</v>
      </c>
      <c r="L9" s="67" t="s">
        <v>231</v>
      </c>
      <c r="M9" s="68">
        <v>0.69425252127579351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9.9196651710446184E-4</v>
      </c>
      <c r="J10" s="67" t="s">
        <v>231</v>
      </c>
      <c r="K10" s="68">
        <v>1.1934842899902308E-2</v>
      </c>
      <c r="L10" s="67" t="s">
        <v>231</v>
      </c>
      <c r="M10" s="68">
        <v>1.1884180953337757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2.4421287815002237E-4</v>
      </c>
      <c r="J11" s="67" t="s">
        <v>231</v>
      </c>
      <c r="K11" s="68">
        <v>1.3306029528015437E-2</v>
      </c>
      <c r="L11" s="67" t="s">
        <v>231</v>
      </c>
      <c r="M11" s="68">
        <v>1.3259857964378887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5.2284751734028401E-4</v>
      </c>
      <c r="J12" s="67" t="s">
        <v>231</v>
      </c>
      <c r="K12" s="68">
        <v>7.2313215847702658E-3</v>
      </c>
      <c r="L12" s="67" t="s">
        <v>231</v>
      </c>
      <c r="M12" s="68">
        <v>0.71177670941762339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1.1581784802011578E-2</v>
      </c>
      <c r="J13" s="67" t="s">
        <v>232</v>
      </c>
      <c r="K13" s="68">
        <v>7.1055698834103856E-3</v>
      </c>
      <c r="L13" s="67" t="s">
        <v>231</v>
      </c>
      <c r="M13" s="68">
        <v>0.69642720054863516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2.3273838389731645E-3</v>
      </c>
      <c r="J14" s="67" t="s">
        <v>231</v>
      </c>
      <c r="K14" s="68">
        <v>1.815163520705828E-2</v>
      </c>
      <c r="L14" s="67" t="s">
        <v>231</v>
      </c>
      <c r="M14" s="68">
        <v>1.8129966583646155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1.1710185886584668E-3</v>
      </c>
      <c r="J15" s="67" t="s">
        <v>231</v>
      </c>
      <c r="K15" s="68">
        <v>1.2608408397640226E-2</v>
      </c>
      <c r="L15" s="67" t="s">
        <v>231</v>
      </c>
      <c r="M15" s="68">
        <v>1.255981261959898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8.4869596205028124E-4</v>
      </c>
      <c r="J16" s="67" t="s">
        <v>231</v>
      </c>
      <c r="K16" s="68">
        <v>3.0296558970264825E-2</v>
      </c>
      <c r="L16" s="67" t="s">
        <v>231</v>
      </c>
      <c r="M16" s="68">
        <v>3.0399787023952207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6.943168784255511E-4</v>
      </c>
      <c r="J17" s="67" t="s">
        <v>231</v>
      </c>
      <c r="K17" s="68">
        <v>1.1413917895795071E-2</v>
      </c>
      <c r="L17" s="67" t="s">
        <v>231</v>
      </c>
      <c r="M17" s="68">
        <v>1.1361841951415004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1.8713970362099141E-3</v>
      </c>
      <c r="J18" s="67" t="s">
        <v>231</v>
      </c>
      <c r="K18" s="68">
        <v>6.9692533630094514E-3</v>
      </c>
      <c r="L18" s="67" t="s">
        <v>231</v>
      </c>
      <c r="M18" s="68">
        <v>0.68090775682008875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7.1196081348292315E-3</v>
      </c>
      <c r="J19" s="67" t="s">
        <v>231</v>
      </c>
      <c r="K19" s="68">
        <v>1.274612397761052E-2</v>
      </c>
      <c r="L19" s="67" t="s">
        <v>231</v>
      </c>
      <c r="M19" s="68">
        <v>1.2697983195432325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1.1984035346568392E-3</v>
      </c>
      <c r="J20" s="67" t="s">
        <v>231</v>
      </c>
      <c r="K20" s="68">
        <v>7.1064145362986749E-3</v>
      </c>
      <c r="L20" s="67" t="s">
        <v>231</v>
      </c>
      <c r="M20" s="68">
        <v>0.69650998620215465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3.3586030056351082E-3</v>
      </c>
      <c r="J21" s="67" t="s">
        <v>231</v>
      </c>
      <c r="K21" s="68">
        <v>1.6654961173955232E-2</v>
      </c>
      <c r="L21" s="67" t="s">
        <v>231</v>
      </c>
      <c r="M21" s="68">
        <v>1.6624328449637233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1.0341500256571942E-4</v>
      </c>
      <c r="J22" s="67" t="s">
        <v>231</v>
      </c>
      <c r="K22" s="68">
        <v>2.5201661996998108E-3</v>
      </c>
      <c r="L22" s="67" t="s">
        <v>231</v>
      </c>
      <c r="M22" s="68">
        <v>0.18710971500093945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3.3463826852122749E-5</v>
      </c>
      <c r="J23" s="67" t="s">
        <v>231</v>
      </c>
      <c r="K23" s="68">
        <v>1.662415355302244E-3</v>
      </c>
      <c r="L23" s="67" t="s">
        <v>231</v>
      </c>
      <c r="M23" s="68">
        <v>9.0713523182344991E-2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9.9106285572714208E-5</v>
      </c>
      <c r="J24" s="67" t="s">
        <v>231</v>
      </c>
      <c r="K24" s="68">
        <v>5.9799698118208865E-3</v>
      </c>
      <c r="L24" s="67" t="s">
        <v>231</v>
      </c>
      <c r="M24" s="68">
        <v>0.56980600662187997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4.4202718488155505E-4</v>
      </c>
      <c r="J25" s="67" t="s">
        <v>231</v>
      </c>
      <c r="K25" s="68">
        <v>7.1934261433317867E-3</v>
      </c>
      <c r="L25" s="67" t="s">
        <v>231</v>
      </c>
      <c r="M25" s="68">
        <v>0.7111151078099156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8.8891803951160508E-4</v>
      </c>
      <c r="J26" s="67" t="s">
        <v>231</v>
      </c>
      <c r="K26" s="68">
        <v>1.5698523409309682E-2</v>
      </c>
      <c r="L26" s="67" t="s">
        <v>231</v>
      </c>
      <c r="M26" s="68">
        <v>1.5662797840577138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5.7145098825017249E-4</v>
      </c>
      <c r="J27" s="67" t="s">
        <v>231</v>
      </c>
      <c r="K27" s="68">
        <v>3.6219016713583352E-2</v>
      </c>
      <c r="L27" s="67" t="s">
        <v>231</v>
      </c>
      <c r="M27" s="68">
        <v>3.642692765755998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3.1389701396374931E-4</v>
      </c>
      <c r="J28" s="67" t="s">
        <v>231</v>
      </c>
      <c r="K28" s="68">
        <v>2.292945635325698E-2</v>
      </c>
      <c r="L28" s="67" t="s">
        <v>231</v>
      </c>
      <c r="M28" s="68">
        <v>2.2945355226121849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1.9421271583680195E-4</v>
      </c>
      <c r="J29" s="67" t="s">
        <v>231</v>
      </c>
      <c r="K29" s="68">
        <v>1.7249813517191768E-2</v>
      </c>
      <c r="L29" s="67" t="s">
        <v>231</v>
      </c>
      <c r="M29" s="68">
        <v>1.7225529230729208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3.1389701396374931E-4</v>
      </c>
      <c r="J30" s="67" t="s">
        <v>231</v>
      </c>
      <c r="K30" s="68">
        <v>2.292945635325698E-2</v>
      </c>
      <c r="L30" s="67" t="s">
        <v>231</v>
      </c>
      <c r="M30" s="68">
        <v>2.2945355226121849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8.2395167313729742E-8</v>
      </c>
      <c r="J31" s="67" t="s">
        <v>231</v>
      </c>
      <c r="K31" s="68">
        <v>9.0449142022981167E-4</v>
      </c>
      <c r="L31" s="67" t="s">
        <v>231</v>
      </c>
      <c r="M31" s="68">
        <v>1.1549334553967046E-3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1.0322450553583954E-5</v>
      </c>
      <c r="J32" s="67" t="s">
        <v>231</v>
      </c>
      <c r="K32" s="68">
        <v>3.5978879807283641E-3</v>
      </c>
      <c r="L32" s="67" t="s">
        <v>231</v>
      </c>
      <c r="M32" s="68">
        <v>0.29766341840903282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8.1271213487647832E-8</v>
      </c>
      <c r="J33" s="67" t="s">
        <v>231</v>
      </c>
      <c r="K33" s="68">
        <v>9.0267720051078165E-4</v>
      </c>
      <c r="L33" s="67" t="s">
        <v>231</v>
      </c>
      <c r="M33" s="68">
        <v>5.9086145961621274E-4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1.9347495571706052E-10</v>
      </c>
      <c r="J34" s="67" t="s">
        <v>231</v>
      </c>
      <c r="K34" s="68">
        <v>8.1485531883800327E-4</v>
      </c>
      <c r="L34" s="67" t="s">
        <v>231</v>
      </c>
      <c r="M34" s="68">
        <v>4.4991112217222531E-2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1.9746423081110571E-7</v>
      </c>
      <c r="J35" s="67" t="s">
        <v>231</v>
      </c>
      <c r="K35" s="68">
        <v>7.4770598206622368E-4</v>
      </c>
      <c r="L35" s="67" t="s">
        <v>231</v>
      </c>
      <c r="M35" s="68">
        <v>6.367959245068848E-2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1.7996922019765934E-7</v>
      </c>
      <c r="J36" s="67" t="s">
        <v>231</v>
      </c>
      <c r="K36" s="68">
        <v>6.5216318694609596E-4</v>
      </c>
      <c r="L36" s="67" t="s">
        <v>231</v>
      </c>
      <c r="M36" s="68">
        <v>7.73892477248697E-2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2.0150757892317064E-6</v>
      </c>
      <c r="J37" s="67" t="s">
        <v>231</v>
      </c>
      <c r="K37" s="68">
        <v>1.8766769741820138E-3</v>
      </c>
      <c r="L37" s="67" t="s">
        <v>231</v>
      </c>
      <c r="M37" s="68">
        <v>0.18212685187493571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1.0526597892811464E-6</v>
      </c>
      <c r="J38" s="67" t="s">
        <v>231</v>
      </c>
      <c r="K38" s="68">
        <v>8.4581331488541034E-4</v>
      </c>
      <c r="L38" s="67" t="s">
        <v>231</v>
      </c>
      <c r="M38" s="68">
        <v>4.0324532703046735E-2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2.2276360656291861E-4</v>
      </c>
      <c r="J39" s="67" t="s">
        <v>231</v>
      </c>
      <c r="K39" s="68">
        <v>7.3640928478006882E-3</v>
      </c>
      <c r="L39" s="67" t="s">
        <v>231</v>
      </c>
      <c r="M39" s="68">
        <v>0.73065628243070113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7.9579004807315981E-10</v>
      </c>
      <c r="J40" s="67" t="s">
        <v>231</v>
      </c>
      <c r="K40" s="68">
        <v>3.9895332295501844E-2</v>
      </c>
      <c r="L40" s="67" t="s">
        <v>231</v>
      </c>
      <c r="M40" s="68">
        <v>5.4662014669826711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2.677982738245045E-8</v>
      </c>
      <c r="J41" s="67" t="s">
        <v>231</v>
      </c>
      <c r="K41" s="68">
        <v>8.4255832651403508E-4</v>
      </c>
      <c r="L41" s="67" t="s">
        <v>231</v>
      </c>
      <c r="M41" s="68">
        <v>6.5766245379007119E-5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1.1403823953182765E-3</v>
      </c>
      <c r="J42" s="67" t="s">
        <v>231</v>
      </c>
      <c r="K42" s="68">
        <v>2.7956164343177952E-3</v>
      </c>
      <c r="L42" s="67" t="s">
        <v>231</v>
      </c>
      <c r="M42" s="68">
        <v>0.21760428544083132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4.705415558298567E-9</v>
      </c>
      <c r="J43" s="67" t="s">
        <v>231</v>
      </c>
      <c r="K43" s="68">
        <v>1.1910678232750034E-3</v>
      </c>
      <c r="L43" s="67" t="s">
        <v>231</v>
      </c>
      <c r="M43" s="68">
        <v>0.16447508335129424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1.1739848182744174E-6</v>
      </c>
      <c r="J44" s="67" t="s">
        <v>231</v>
      </c>
      <c r="K44" s="68">
        <v>1.0870032981083861E-3</v>
      </c>
      <c r="L44" s="67" t="s">
        <v>231</v>
      </c>
      <c r="M44" s="68">
        <v>3.2008144953846268E-2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1.0061732617266227E-4</v>
      </c>
      <c r="J45" s="67" t="s">
        <v>231</v>
      </c>
      <c r="K45" s="68">
        <v>3.0557986701394385E-3</v>
      </c>
      <c r="L45" s="67" t="s">
        <v>231</v>
      </c>
      <c r="M45" s="68">
        <v>0.2465655981338348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2.2538919081080755E-6</v>
      </c>
      <c r="J46" s="67" t="s">
        <v>231</v>
      </c>
      <c r="K46" s="68">
        <v>2.8862028351512034E-3</v>
      </c>
      <c r="L46" s="67" t="s">
        <v>231</v>
      </c>
      <c r="M46" s="68">
        <v>0.22784895003984076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2.6347274570987672E-3</v>
      </c>
      <c r="J47" s="142" t="s">
        <v>231</v>
      </c>
      <c r="K47" s="143">
        <v>3.7073479802948089E-2</v>
      </c>
      <c r="L47" s="142" t="s">
        <v>231</v>
      </c>
      <c r="M47" s="143">
        <v>3.7298580162698745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1.8932070437258511E-6</v>
      </c>
      <c r="J48" s="142" t="s">
        <v>231</v>
      </c>
      <c r="K48" s="143">
        <v>9.6554376590542504E-4</v>
      </c>
      <c r="L48" s="142" t="s">
        <v>231</v>
      </c>
      <c r="M48" s="143">
        <v>1.0701678650271029E-2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5.3680668857821989E-6</v>
      </c>
      <c r="J49" s="142" t="s">
        <v>231</v>
      </c>
      <c r="K49" s="143">
        <v>1.0225907523627351E-3</v>
      </c>
      <c r="L49" s="142" t="s">
        <v>231</v>
      </c>
      <c r="M49" s="143">
        <v>1.8651440908996179E-2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8.2528154978609867E-6</v>
      </c>
      <c r="J50" s="142" t="s">
        <v>231</v>
      </c>
      <c r="K50" s="143">
        <v>6.9083187391819397E-3</v>
      </c>
      <c r="L50" s="142" t="s">
        <v>231</v>
      </c>
      <c r="M50" s="143">
        <v>0.67429517529420613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4.1520864864260302E-8</v>
      </c>
      <c r="J51" s="142" t="s">
        <v>231</v>
      </c>
      <c r="K51" s="143">
        <v>8.6168913505344164E-4</v>
      </c>
      <c r="L51" s="142" t="s">
        <v>231</v>
      </c>
      <c r="M51" s="143">
        <v>1.9100189112985907E-3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1.2088445415501927E-5</v>
      </c>
      <c r="J52" s="142" t="s">
        <v>231</v>
      </c>
      <c r="K52" s="143">
        <v>1.2905176169315268E-3</v>
      </c>
      <c r="L52" s="142" t="s">
        <v>231</v>
      </c>
      <c r="M52" s="143">
        <v>5.4284093072565126E-2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1.9148200976093586E-4</v>
      </c>
      <c r="J53" s="142" t="s">
        <v>231</v>
      </c>
      <c r="K53" s="143">
        <v>3.9693137423608841E-3</v>
      </c>
      <c r="L53" s="142" t="s">
        <v>231</v>
      </c>
      <c r="M53" s="143">
        <v>0.34783182765028359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9.0333003650290176E-4</v>
      </c>
      <c r="J54" s="67" t="s">
        <v>231</v>
      </c>
      <c r="K54" s="68">
        <v>3.4157862659651615E-2</v>
      </c>
      <c r="L54" s="67" t="s">
        <v>231</v>
      </c>
      <c r="M54" s="68">
        <v>3.4324445025039241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2.0860384434066896E-4</v>
      </c>
      <c r="J55" s="67" t="s">
        <v>231</v>
      </c>
      <c r="K55" s="68">
        <v>5.377803278703251E-3</v>
      </c>
      <c r="L55" s="67" t="s">
        <v>231</v>
      </c>
      <c r="M55" s="68">
        <v>0.51478649954702249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6.175402606288253E-5</v>
      </c>
      <c r="J56" s="67" t="s">
        <v>231</v>
      </c>
      <c r="K56" s="68">
        <v>3.1008314765287128E-3</v>
      </c>
      <c r="L56" s="67" t="s">
        <v>231</v>
      </c>
      <c r="M56" s="68">
        <v>0.30503387461675668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3.0228653465685212E-5</v>
      </c>
      <c r="J57" s="67" t="s">
        <v>231</v>
      </c>
      <c r="K57" s="68">
        <v>1.6020551932077181E-3</v>
      </c>
      <c r="L57" s="67" t="s">
        <v>231</v>
      </c>
      <c r="M57" s="68">
        <v>0.1546202057719438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3.2781030487284459E-7</v>
      </c>
      <c r="J58" s="67" t="s">
        <v>231</v>
      </c>
      <c r="K58" s="68">
        <v>8.7581738357372775E-5</v>
      </c>
      <c r="L58" s="67" t="s">
        <v>231</v>
      </c>
      <c r="M58" s="68">
        <v>1.9234700715459179E-3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7.3394483446205139E-6</v>
      </c>
      <c r="J59" s="67" t="s">
        <v>231</v>
      </c>
      <c r="K59" s="68">
        <v>6.2240881050649847E-4</v>
      </c>
      <c r="L59" s="67" t="s">
        <v>231</v>
      </c>
      <c r="M59" s="68">
        <v>5.9968435475362576E-2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1.1533369984989537E-7</v>
      </c>
      <c r="J60" s="67" t="s">
        <v>231</v>
      </c>
      <c r="K60" s="68">
        <v>1.112396311516373E-5</v>
      </c>
      <c r="L60" s="67" t="s">
        <v>231</v>
      </c>
      <c r="M60" s="68">
        <v>1.0425145512806741E-3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4.1709026722975495E-2</v>
      </c>
      <c r="J61" s="67" t="s">
        <v>232</v>
      </c>
      <c r="K61" s="68">
        <v>4.8726959703979311E-3</v>
      </c>
      <c r="L61" s="67" t="s">
        <v>231</v>
      </c>
      <c r="M61" s="68">
        <v>0.4474256737872091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4.0222169422378012E-5</v>
      </c>
      <c r="J62" s="67" t="s">
        <v>231</v>
      </c>
      <c r="K62" s="68">
        <v>1.7815727319699753E-2</v>
      </c>
      <c r="L62" s="67" t="s">
        <v>231</v>
      </c>
      <c r="M62" s="68">
        <v>1.7791919565085728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2.7148587978191276E-4</v>
      </c>
      <c r="J63" s="67" t="s">
        <v>231</v>
      </c>
      <c r="K63" s="68">
        <v>4.1418118491345572E-2</v>
      </c>
      <c r="L63" s="67" t="s">
        <v>231</v>
      </c>
      <c r="M63" s="68">
        <v>4.1754364559559658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1.9404477089899702E-4</v>
      </c>
      <c r="J64" s="67" t="s">
        <v>231</v>
      </c>
      <c r="K64" s="68">
        <v>4.6631962333838865E-2</v>
      </c>
      <c r="L64" s="67" t="s">
        <v>231</v>
      </c>
      <c r="M64" s="68">
        <v>4.7166513232139424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2.9427825013759356E-4</v>
      </c>
      <c r="J65" s="67" t="s">
        <v>231</v>
      </c>
      <c r="K65" s="68">
        <v>5.0192328510465234E-2</v>
      </c>
      <c r="L65" s="67" t="s">
        <v>231</v>
      </c>
      <c r="M65" s="68">
        <v>5.0957346251557638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1.1659237147031055E-6</v>
      </c>
      <c r="J66" s="67" t="s">
        <v>231</v>
      </c>
      <c r="K66" s="68">
        <v>4.8419078704202305E-2</v>
      </c>
      <c r="L66" s="67" t="s">
        <v>231</v>
      </c>
      <c r="M66" s="68">
        <v>4.9053121645624378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4.0815069874745522E-4</v>
      </c>
      <c r="J67" s="67" t="s">
        <v>231</v>
      </c>
      <c r="K67" s="68">
        <v>1.2237433840344603E-3</v>
      </c>
      <c r="L67" s="67" t="s">
        <v>231</v>
      </c>
      <c r="M67" s="68">
        <v>4.0908381268792149E-2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1.6706131500322864E-4</v>
      </c>
      <c r="J68" s="67" t="s">
        <v>231</v>
      </c>
      <c r="K68" s="68">
        <v>1.4769937795098349E-3</v>
      </c>
      <c r="L68" s="67" t="s">
        <v>231</v>
      </c>
      <c r="M68" s="68">
        <v>7.0501033287053219E-2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2.1904401954898569E-7</v>
      </c>
      <c r="J69" s="67" t="s">
        <v>231</v>
      </c>
      <c r="K69" s="68">
        <v>2.9732311473676571E-2</v>
      </c>
      <c r="L69" s="67" t="s">
        <v>231</v>
      </c>
      <c r="M69" s="68">
        <v>2.982762943640116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2.4390552512399853E-4</v>
      </c>
      <c r="J70" s="67" t="s">
        <v>231</v>
      </c>
      <c r="K70" s="68">
        <v>7.2553882904940253E-3</v>
      </c>
      <c r="L70" s="67" t="s">
        <v>231</v>
      </c>
      <c r="M70" s="68">
        <v>0.71632703763695149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3.1174296490207566E-4</v>
      </c>
      <c r="J71" s="67" t="s">
        <v>231</v>
      </c>
      <c r="K71" s="68">
        <v>1.4097034387304831E-3</v>
      </c>
      <c r="L71" s="67" t="s">
        <v>231</v>
      </c>
      <c r="M71" s="68">
        <v>6.4074581292400165E-2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1.4873454967580193E-6</v>
      </c>
      <c r="J72" s="67" t="s">
        <v>231</v>
      </c>
      <c r="K72" s="68">
        <v>7.1821830887177328E-3</v>
      </c>
      <c r="L72" s="67" t="s">
        <v>231</v>
      </c>
      <c r="M72" s="68">
        <v>0.70832220098983734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6.0314199105888045E-3</v>
      </c>
      <c r="J73" s="67" t="s">
        <v>231</v>
      </c>
      <c r="K73" s="68">
        <v>4.9986120859481578E-3</v>
      </c>
      <c r="L73" s="67" t="s">
        <v>231</v>
      </c>
      <c r="M73" s="68">
        <v>0.46245767736414345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5.1218618252881536E-2</v>
      </c>
      <c r="J74" s="67" t="s">
        <v>232</v>
      </c>
      <c r="K74" s="68">
        <v>7.2427683920432825E-3</v>
      </c>
      <c r="L74" s="67" t="s">
        <v>231</v>
      </c>
      <c r="M74" s="68">
        <v>0.71486435122310543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2.2672941846334986E-13</v>
      </c>
      <c r="J75" s="67" t="s">
        <v>231</v>
      </c>
      <c r="K75" s="68">
        <v>3.9101841639048729E-3</v>
      </c>
      <c r="L75" s="67" t="s">
        <v>231</v>
      </c>
      <c r="M75" s="68">
        <v>0.54824054040537173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1.2473473600521564E-13</v>
      </c>
      <c r="J76" s="67" t="s">
        <v>231</v>
      </c>
      <c r="K76" s="68">
        <v>3.9101841655315847E-3</v>
      </c>
      <c r="L76" s="67" t="s">
        <v>231</v>
      </c>
      <c r="M76" s="68">
        <v>0.54824054063345029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2.9597469004666404E-7</v>
      </c>
      <c r="J77" s="67" t="s">
        <v>231</v>
      </c>
      <c r="K77" s="68">
        <v>6.5445202737242584E-3</v>
      </c>
      <c r="L77" s="67" t="s">
        <v>231</v>
      </c>
      <c r="M77" s="68">
        <v>0.63480803312767453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1.0958385921683844E-3</v>
      </c>
      <c r="J78" s="67" t="s">
        <v>231</v>
      </c>
      <c r="K78" s="68">
        <v>2.5886271047839086E-3</v>
      </c>
      <c r="L78" s="67" t="s">
        <v>231</v>
      </c>
      <c r="M78" s="68">
        <v>0.1974900742128089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2.0754153468490152E-5</v>
      </c>
      <c r="J79" s="67" t="s">
        <v>231</v>
      </c>
      <c r="K79" s="68">
        <v>4.0242340664905481E-3</v>
      </c>
      <c r="L79" s="67" t="s">
        <v>231</v>
      </c>
      <c r="M79" s="68">
        <v>0.35441071889830938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1.3452068532952497E-14</v>
      </c>
      <c r="J80" s="67" t="s">
        <v>231</v>
      </c>
      <c r="K80" s="68">
        <v>7.5649223362114614E-3</v>
      </c>
      <c r="L80" s="67" t="s">
        <v>231</v>
      </c>
      <c r="M80" s="68">
        <v>1.061369006021067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2.240128340854133E-5</v>
      </c>
      <c r="J81" s="67" t="s">
        <v>231</v>
      </c>
      <c r="K81" s="68">
        <v>9.0768366344765852E-4</v>
      </c>
      <c r="L81" s="67" t="s">
        <v>231</v>
      </c>
      <c r="M81" s="68">
        <v>1.7139954746886138E-3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3.7975868201186665E-5</v>
      </c>
      <c r="J82" s="67" t="s">
        <v>231</v>
      </c>
      <c r="K82" s="68">
        <v>1.6310020313914718E-3</v>
      </c>
      <c r="L82" s="67" t="s">
        <v>231</v>
      </c>
      <c r="M82" s="68">
        <v>8.7154263449691655E-2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3.3127819298227599E-5</v>
      </c>
      <c r="J83" s="67" t="s">
        <v>231</v>
      </c>
      <c r="K83" s="68">
        <v>6.4553800105580841E-3</v>
      </c>
      <c r="L83" s="67" t="s">
        <v>231</v>
      </c>
      <c r="M83" s="68">
        <v>0.62268480960179917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6.2870927718317013E-6</v>
      </c>
      <c r="J84" s="67" t="s">
        <v>231</v>
      </c>
      <c r="K84" s="68">
        <v>9.458225073504077E-4</v>
      </c>
      <c r="L84" s="67" t="s">
        <v>231</v>
      </c>
      <c r="M84" s="68">
        <v>7.0845335782974287E-3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3.3305977727877941E-8</v>
      </c>
      <c r="J85" s="67" t="s">
        <v>231</v>
      </c>
      <c r="K85" s="68">
        <v>9.0104975583168284E-4</v>
      </c>
      <c r="L85" s="67" t="s">
        <v>231</v>
      </c>
      <c r="M85" s="68">
        <v>3.4810677824398948E-4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2.4650268948346176E-6</v>
      </c>
      <c r="J86" s="67" t="s">
        <v>231</v>
      </c>
      <c r="K86" s="68">
        <v>9.4340327120998274E-4</v>
      </c>
      <c r="L86" s="67" t="s">
        <v>231</v>
      </c>
      <c r="M86" s="68">
        <v>6.7672922484620949E-3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3.0340223239561015E-3</v>
      </c>
      <c r="J87" s="67" t="s">
        <v>231</v>
      </c>
      <c r="K87" s="68">
        <v>3.8861466166637965E-2</v>
      </c>
      <c r="L87" s="67" t="s">
        <v>231</v>
      </c>
      <c r="M87" s="68">
        <v>3.9128267705834401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1.1670343822194428E-4</v>
      </c>
      <c r="J88" s="67" t="s">
        <v>231</v>
      </c>
      <c r="K88" s="68">
        <v>2.2809357928144946E-3</v>
      </c>
      <c r="L88" s="67" t="s">
        <v>231</v>
      </c>
      <c r="M88" s="68">
        <v>0.16023670052505809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3.0807074274372898E-5</v>
      </c>
      <c r="J89" s="67" t="s">
        <v>231</v>
      </c>
      <c r="K89" s="68">
        <v>1.7287795417937595E-3</v>
      </c>
      <c r="L89" s="67" t="s">
        <v>231</v>
      </c>
      <c r="M89" s="68">
        <v>9.8213592993057625E-2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1.8875560327047563E-6</v>
      </c>
      <c r="J90" s="67" t="s">
        <v>231</v>
      </c>
      <c r="K90" s="68">
        <v>1.0856284781941134E-3</v>
      </c>
      <c r="L90" s="67" t="s">
        <v>231</v>
      </c>
      <c r="M90" s="68">
        <v>2.4277306103419934E-2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2.4344851734450883E-3</v>
      </c>
      <c r="J91" s="67" t="s">
        <v>231</v>
      </c>
      <c r="K91" s="68">
        <v>1.9526815236488984E-2</v>
      </c>
      <c r="L91" s="67" t="s">
        <v>231</v>
      </c>
      <c r="M91" s="68">
        <v>1.9514555908475379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2.2526459798974888E-2</v>
      </c>
      <c r="J92" s="67" t="s">
        <v>232</v>
      </c>
      <c r="K92" s="68">
        <v>5.9503499834121371E-3</v>
      </c>
      <c r="L92" s="67" t="s">
        <v>231</v>
      </c>
      <c r="M92" s="68">
        <v>0.56651772382436916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6.3378254595360456E-3</v>
      </c>
      <c r="J93" s="67" t="s">
        <v>231</v>
      </c>
      <c r="K93" s="68">
        <v>7.2260409595877742E-3</v>
      </c>
      <c r="L93" s="67" t="s">
        <v>231</v>
      </c>
      <c r="M93" s="68">
        <v>0.71111921476117079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6.4779054672008592E-9</v>
      </c>
      <c r="J94" s="67" t="s">
        <v>231</v>
      </c>
      <c r="K94" s="68">
        <v>8.9206996834880923E-4</v>
      </c>
      <c r="L94" s="67" t="s">
        <v>231</v>
      </c>
      <c r="M94" s="68">
        <v>1.1870717867165098E-2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4.6904275856092462E-5</v>
      </c>
      <c r="J95" s="67" t="s">
        <v>231</v>
      </c>
      <c r="K95" s="68">
        <v>9.8346983293068936E-3</v>
      </c>
      <c r="L95" s="67" t="s">
        <v>231</v>
      </c>
      <c r="M95" s="68">
        <v>0.9779310655911897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9.884387252678683E-8</v>
      </c>
      <c r="J96" s="67" t="s">
        <v>231</v>
      </c>
      <c r="K96" s="68">
        <v>9.0843353753342331E-4</v>
      </c>
      <c r="L96" s="67" t="s">
        <v>231</v>
      </c>
      <c r="M96" s="68">
        <v>1.8375169887200891E-3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3.5722992380621804E-8</v>
      </c>
      <c r="J97" s="67" t="s">
        <v>231</v>
      </c>
      <c r="K97" s="68">
        <v>9.4707823058571053E-4</v>
      </c>
      <c r="L97" s="67" t="s">
        <v>231</v>
      </c>
      <c r="M97" s="68">
        <v>7.2486035221871001E-3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9.3736002471881795E-6</v>
      </c>
      <c r="J98" s="67" t="s">
        <v>231</v>
      </c>
      <c r="K98" s="68">
        <v>7.268460368399436E-3</v>
      </c>
      <c r="L98" s="67" t="s">
        <v>231</v>
      </c>
      <c r="M98" s="68">
        <v>0.71909188214133568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4.2184849555248075E-8</v>
      </c>
      <c r="J99" s="67" t="s">
        <v>231</v>
      </c>
      <c r="K99" s="68">
        <v>9.0083083608010384E-4</v>
      </c>
      <c r="L99" s="67" t="s">
        <v>231</v>
      </c>
      <c r="M99" s="68">
        <v>1.7901865714216165E-4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6.1569535747400077E-5</v>
      </c>
      <c r="J100" s="67" t="s">
        <v>231</v>
      </c>
      <c r="K100" s="68">
        <v>3.708004085888927E-3</v>
      </c>
      <c r="L100" s="67" t="s">
        <v>231</v>
      </c>
      <c r="M100" s="68">
        <v>0.3187650505506438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1.3196358396131512E-5</v>
      </c>
      <c r="J101" s="67" t="s">
        <v>231</v>
      </c>
      <c r="K101" s="68">
        <v>9.0134760139536627E-4</v>
      </c>
      <c r="L101" s="67" t="s">
        <v>231</v>
      </c>
      <c r="M101" s="68">
        <v>4.5515313476530024E-4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6.4653081503979116E-11</v>
      </c>
      <c r="J102" s="67" t="s">
        <v>231</v>
      </c>
      <c r="K102" s="68">
        <v>9.0129251970407105E-4</v>
      </c>
      <c r="L102" s="67" t="s">
        <v>231</v>
      </c>
      <c r="M102" s="68">
        <v>3.8306333797641107E-5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9.2272518933588561E-9</v>
      </c>
      <c r="J103" s="67" t="s">
        <v>231</v>
      </c>
      <c r="K103" s="68">
        <v>9.0083385694897692E-4</v>
      </c>
      <c r="L103" s="67" t="s">
        <v>231</v>
      </c>
      <c r="M103" s="68">
        <v>1.6886937320813875E-4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4.3298739902055987E-7</v>
      </c>
      <c r="J104" s="67" t="s">
        <v>231</v>
      </c>
      <c r="K104" s="68">
        <v>9.2253763358666043E-4</v>
      </c>
      <c r="L104" s="67" t="s">
        <v>231</v>
      </c>
      <c r="M104" s="68">
        <v>3.9423504587707573E-3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5.8181187249268667E-8</v>
      </c>
      <c r="J105" s="67" t="s">
        <v>231</v>
      </c>
      <c r="K105" s="68">
        <v>9.0116775117589311E-4</v>
      </c>
      <c r="L105" s="67" t="s">
        <v>231</v>
      </c>
      <c r="M105" s="68">
        <v>5.3134371704675913E-5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5.5278639178394985E-7</v>
      </c>
      <c r="J106" s="67" t="s">
        <v>231</v>
      </c>
      <c r="K106" s="68">
        <v>1.1993594327470505E-3</v>
      </c>
      <c r="L106" s="67" t="s">
        <v>231</v>
      </c>
      <c r="M106" s="68">
        <v>3.766503578131488E-2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6.621857691028618E-5</v>
      </c>
      <c r="J107" s="67" t="s">
        <v>231</v>
      </c>
      <c r="K107" s="68">
        <v>7.2379978215066764E-3</v>
      </c>
      <c r="L107" s="67" t="s">
        <v>231</v>
      </c>
      <c r="M107" s="68">
        <v>0.71717214844627386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8.2246636389800745E-5</v>
      </c>
      <c r="J108" s="67" t="s">
        <v>231</v>
      </c>
      <c r="K108" s="68">
        <v>3.1956488095149383E-3</v>
      </c>
      <c r="L108" s="67" t="s">
        <v>231</v>
      </c>
      <c r="M108" s="68">
        <v>0.26202199434803108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0.91451757074658346</v>
      </c>
      <c r="F2" s="14">
        <v>0.86480067920639259</v>
      </c>
      <c r="G2" s="14">
        <v>1.1237365578141264E-6</v>
      </c>
      <c r="H2" s="14">
        <v>11.685196556127826</v>
      </c>
      <c r="I2" s="14">
        <v>31.513249855076001</v>
      </c>
      <c r="J2" s="14">
        <v>0</v>
      </c>
      <c r="K2" s="14">
        <v>1.1563358170783085</v>
      </c>
      <c r="L2" s="14">
        <v>0.86480067920639259</v>
      </c>
      <c r="M2" s="14">
        <v>0.70956895728884517</v>
      </c>
      <c r="N2" s="14">
        <v>1.3837998219289143</v>
      </c>
      <c r="O2" s="14">
        <v>254.77138521533243</v>
      </c>
      <c r="P2" s="8">
        <v>1.3837998219289143</v>
      </c>
      <c r="Q2" s="54">
        <v>0.13449099072164072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0.92560782932850061</v>
      </c>
      <c r="F3" s="14">
        <v>6.7506584759817879E-4</v>
      </c>
      <c r="G3" s="14">
        <v>4.0933098896021718E-5</v>
      </c>
      <c r="H3" s="14">
        <v>70.867340848591951</v>
      </c>
      <c r="I3" s="14">
        <v>1777.8835345155701</v>
      </c>
      <c r="J3" s="14">
        <v>0</v>
      </c>
      <c r="K3" s="14">
        <v>1481.3369741009808</v>
      </c>
      <c r="L3" s="14">
        <v>6.7506584759817879E-4</v>
      </c>
      <c r="M3" s="14">
        <v>5.5389152795430575E-4</v>
      </c>
      <c r="N3" s="14">
        <v>36.967253781946113</v>
      </c>
      <c r="O3" s="14">
        <v>13489.720577569957</v>
      </c>
      <c r="P3" s="8">
        <v>36.96725378194612</v>
      </c>
      <c r="Q3" s="54">
        <v>5.6872629441627243E-2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0.82167523607379422</v>
      </c>
      <c r="F4" s="14">
        <v>0.43870873929743037</v>
      </c>
      <c r="G4" s="14">
        <v>6.0590533090114076E-14</v>
      </c>
      <c r="H4" s="14">
        <v>88.262512468583168</v>
      </c>
      <c r="I4" s="14">
        <v>195.08930277941542</v>
      </c>
      <c r="J4" s="14">
        <v>0</v>
      </c>
      <c r="K4" s="14">
        <v>2.2794166389332675</v>
      </c>
      <c r="L4" s="14">
        <v>0.43870873929743043</v>
      </c>
      <c r="M4" s="14">
        <v>0.35996052059354167</v>
      </c>
      <c r="N4" s="14">
        <v>4.2108494200511775</v>
      </c>
      <c r="O4" s="14">
        <v>1336.1867379706396</v>
      </c>
      <c r="P4" s="8">
        <v>4.2108494200511775</v>
      </c>
      <c r="Q4" s="54">
        <v>0.27876192611165013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0.93669104168292361</v>
      </c>
      <c r="F5" s="14">
        <v>7.3978310551246953E-3</v>
      </c>
      <c r="G5" s="14">
        <v>1.4209961352580417E-6</v>
      </c>
      <c r="H5" s="14">
        <v>204.72194975035637</v>
      </c>
      <c r="I5" s="14">
        <v>550.07458508086904</v>
      </c>
      <c r="J5" s="14">
        <v>0</v>
      </c>
      <c r="K5" s="14">
        <v>135.17475494486598</v>
      </c>
      <c r="L5" s="14">
        <v>7.3978310551246953E-3</v>
      </c>
      <c r="M5" s="14">
        <v>6.0699203807298126E-3</v>
      </c>
      <c r="N5" s="14">
        <v>11.15887743292066</v>
      </c>
      <c r="O5" s="14">
        <v>3912.1908392076539</v>
      </c>
      <c r="P5" s="8">
        <v>11.15887743292066</v>
      </c>
      <c r="Q5" s="54">
        <v>8.3757089951304584E-2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0.93162797023111665</v>
      </c>
      <c r="F6" s="14">
        <v>2.9909981984651109E-4</v>
      </c>
      <c r="G6" s="14">
        <v>1.3213097483433891E-7</v>
      </c>
      <c r="H6" s="14">
        <v>44.779181543296303</v>
      </c>
      <c r="I6" s="14">
        <v>2036.2604317896685</v>
      </c>
      <c r="J6" s="14">
        <v>0</v>
      </c>
      <c r="K6" s="14">
        <v>3343.3654373752861</v>
      </c>
      <c r="L6" s="14">
        <v>2.9909981984651115E-4</v>
      </c>
      <c r="M6" s="14">
        <v>2.4541140218406238E-4</v>
      </c>
      <c r="N6" s="14">
        <v>42.626665720316346</v>
      </c>
      <c r="O6" s="14">
        <v>15110.726731194942</v>
      </c>
      <c r="P6" s="8">
        <v>42.626665720316346</v>
      </c>
      <c r="Q6" s="54">
        <v>4.2996521545925828E-2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0.92868169962494429</v>
      </c>
      <c r="F7" s="14">
        <v>6.030190505229929E-4</v>
      </c>
      <c r="G7" s="14">
        <v>1.9652577619574323E-7</v>
      </c>
      <c r="H7" s="14">
        <v>66.679300091634886</v>
      </c>
      <c r="I7" s="14">
        <v>1824.9383735302092</v>
      </c>
      <c r="J7" s="14">
        <v>0</v>
      </c>
      <c r="K7" s="14">
        <v>1658.3224014775474</v>
      </c>
      <c r="L7" s="14">
        <v>6.030190505229929E-4</v>
      </c>
      <c r="M7" s="14">
        <v>4.9477713095411567E-4</v>
      </c>
      <c r="N7" s="14">
        <v>37.983125076561571</v>
      </c>
      <c r="O7" s="14">
        <v>13464.638008390313</v>
      </c>
      <c r="P7" s="8">
        <v>37.983125076561578</v>
      </c>
      <c r="Q7" s="54">
        <v>5.4934882927256699E-2</v>
      </c>
    </row>
    <row r="8" spans="1:20">
      <c r="A8" s="2" t="s">
        <v>323</v>
      </c>
      <c r="B8" s="16" t="s">
        <v>324</v>
      </c>
      <c r="D8" s="14">
        <v>1</v>
      </c>
      <c r="E8" s="14">
        <v>0.92642110854123183</v>
      </c>
      <c r="F8" s="14">
        <v>1.3587583483978918E-3</v>
      </c>
      <c r="G8" s="14">
        <v>1.8775465494982182E-6</v>
      </c>
      <c r="H8" s="14">
        <v>102.6507733174908</v>
      </c>
      <c r="I8" s="14">
        <v>1483.9504377266305</v>
      </c>
      <c r="J8" s="14">
        <v>0</v>
      </c>
      <c r="K8" s="14">
        <v>735.96603927335354</v>
      </c>
      <c r="L8" s="14">
        <v>1.358758348397892E-3</v>
      </c>
      <c r="M8" s="14">
        <v>1.1148612248604703E-3</v>
      </c>
      <c r="N8" s="14">
        <v>30.663868843228069</v>
      </c>
      <c r="O8" s="14">
        <v>9813.6645845867115</v>
      </c>
      <c r="P8" s="8">
        <v>30.663868843228073</v>
      </c>
      <c r="Q8" s="54">
        <v>6.976207604196473E-2</v>
      </c>
    </row>
    <row r="9" spans="1:20">
      <c r="A9" s="2" t="s">
        <v>325</v>
      </c>
      <c r="B9" s="16" t="s">
        <v>326</v>
      </c>
      <c r="D9" s="14">
        <v>1</v>
      </c>
      <c r="E9" s="14">
        <v>0.88527719509333758</v>
      </c>
      <c r="F9" s="14">
        <v>6.8148682731035748E-2</v>
      </c>
      <c r="G9" s="14">
        <v>1.2883858704118115E-6</v>
      </c>
      <c r="H9" s="14">
        <v>194.18579867783944</v>
      </c>
      <c r="I9" s="14">
        <v>353.08123452355255</v>
      </c>
      <c r="J9" s="14">
        <v>0</v>
      </c>
      <c r="K9" s="14">
        <v>14.673797936003064</v>
      </c>
      <c r="L9" s="14">
        <v>6.8148682731035748E-2</v>
      </c>
      <c r="M9" s="14">
        <v>5.5915994180814839E-2</v>
      </c>
      <c r="N9" s="14">
        <v>7.0871448107834585</v>
      </c>
      <c r="O9" s="14">
        <v>2156.9725231619454</v>
      </c>
      <c r="P9" s="8">
        <v>7.0871448107834585</v>
      </c>
      <c r="Q9" s="54">
        <v>0.17237514178118044</v>
      </c>
    </row>
    <row r="10" spans="1:20">
      <c r="A10" s="2" t="s">
        <v>275</v>
      </c>
      <c r="B10" s="16" t="s">
        <v>276</v>
      </c>
      <c r="D10" s="14">
        <v>1</v>
      </c>
      <c r="E10" s="14">
        <v>0.93574328545618568</v>
      </c>
      <c r="F10" s="14">
        <v>6.8793793102455226E-3</v>
      </c>
      <c r="G10" s="14">
        <v>1.8255668613829952E-8</v>
      </c>
      <c r="H10" s="14">
        <v>200.5253374817265</v>
      </c>
      <c r="I10" s="14">
        <v>587.79572979614909</v>
      </c>
      <c r="J10" s="14">
        <v>0</v>
      </c>
      <c r="K10" s="14">
        <v>145.3619512607323</v>
      </c>
      <c r="L10" s="14">
        <v>6.8793793102455234E-3</v>
      </c>
      <c r="M10" s="14">
        <v>5.644530724056452E-3</v>
      </c>
      <c r="N10" s="14">
        <v>11.934842899902309</v>
      </c>
      <c r="O10" s="14">
        <v>4421.7399459848066</v>
      </c>
      <c r="P10" s="8">
        <v>11.934842899902309</v>
      </c>
      <c r="Q10" s="54">
        <v>8.4222169959103768E-2</v>
      </c>
    </row>
    <row r="11" spans="1:20">
      <c r="A11" s="2" t="s">
        <v>327</v>
      </c>
      <c r="B11" s="16" t="s">
        <v>328</v>
      </c>
      <c r="D11" s="14">
        <v>1</v>
      </c>
      <c r="E11" s="14">
        <v>0.93403102968635798</v>
      </c>
      <c r="F11" s="14">
        <v>6.0746165924935487E-3</v>
      </c>
      <c r="G11" s="14">
        <v>9.5053335177670794E-7</v>
      </c>
      <c r="H11" s="14">
        <v>193.08070329391148</v>
      </c>
      <c r="I11" s="14">
        <v>654.32881028918507</v>
      </c>
      <c r="J11" s="14">
        <v>0</v>
      </c>
      <c r="K11" s="14">
        <v>164.6194430173104</v>
      </c>
      <c r="L11" s="14">
        <v>6.0746165924935487E-3</v>
      </c>
      <c r="M11" s="14">
        <v>4.9842229141409565E-3</v>
      </c>
      <c r="N11" s="14">
        <v>13.306029528015436</v>
      </c>
      <c r="O11" s="14">
        <v>5068.3997075163606</v>
      </c>
      <c r="P11" s="8">
        <v>13.306029528015438</v>
      </c>
      <c r="Q11" s="54">
        <v>8.4721969448132178E-2</v>
      </c>
    </row>
    <row r="12" spans="1:20">
      <c r="A12" s="2" t="s">
        <v>329</v>
      </c>
      <c r="B12" s="16" t="s">
        <v>330</v>
      </c>
      <c r="D12" s="14">
        <v>1</v>
      </c>
      <c r="E12" s="14">
        <v>0.90406058187207328</v>
      </c>
      <c r="F12" s="14">
        <v>4.2748784728392018E-2</v>
      </c>
      <c r="G12" s="14">
        <v>6.5882832225721371E-7</v>
      </c>
      <c r="H12" s="14">
        <v>205.9414532294399</v>
      </c>
      <c r="I12" s="14">
        <v>360.24747358843388</v>
      </c>
      <c r="J12" s="14">
        <v>0</v>
      </c>
      <c r="K12" s="14">
        <v>23.392477852963157</v>
      </c>
      <c r="L12" s="14">
        <v>4.2748784728392018E-2</v>
      </c>
      <c r="M12" s="14">
        <v>3.5075377869645652E-2</v>
      </c>
      <c r="N12" s="14">
        <v>7.2313215847702654</v>
      </c>
      <c r="O12" s="14">
        <v>1984.2746428609607</v>
      </c>
      <c r="P12" s="8">
        <v>7.2313215847702663</v>
      </c>
      <c r="Q12" s="54">
        <v>0.14216770208457435</v>
      </c>
    </row>
    <row r="13" spans="1:20">
      <c r="A13" s="2" t="s">
        <v>277</v>
      </c>
      <c r="B13" s="16" t="s">
        <v>278</v>
      </c>
      <c r="D13" s="14">
        <v>1</v>
      </c>
      <c r="E13" s="14">
        <v>0.88708848123690631</v>
      </c>
      <c r="F13" s="14">
        <v>6.5237261950686271E-2</v>
      </c>
      <c r="G13" s="14">
        <v>2.0008024606050102E-6</v>
      </c>
      <c r="H13" s="14">
        <v>195.42302211395614</v>
      </c>
      <c r="I13" s="14">
        <v>354.02415584859267</v>
      </c>
      <c r="J13" s="14">
        <v>0</v>
      </c>
      <c r="K13" s="14">
        <v>15.32866294658279</v>
      </c>
      <c r="L13" s="14">
        <v>6.5237261950686271E-2</v>
      </c>
      <c r="M13" s="14">
        <v>5.3527173430538089E-2</v>
      </c>
      <c r="N13" s="14">
        <v>7.1055698834103849</v>
      </c>
      <c r="O13" s="14">
        <v>2891.4695526561882</v>
      </c>
      <c r="P13" s="8">
        <v>7.1055698834103858</v>
      </c>
      <c r="Q13" s="54">
        <v>0.16936859931359763</v>
      </c>
    </row>
    <row r="14" spans="1:20">
      <c r="A14" s="2" t="s">
        <v>331</v>
      </c>
      <c r="B14" s="16" t="s">
        <v>332</v>
      </c>
      <c r="D14" s="14">
        <v>1</v>
      </c>
      <c r="E14" s="14">
        <v>0.9297791138310052</v>
      </c>
      <c r="F14" s="14">
        <v>4.0217679016859792E-3</v>
      </c>
      <c r="G14" s="14">
        <v>6.3201224304109125E-7</v>
      </c>
      <c r="H14" s="14">
        <v>167.18488223923663</v>
      </c>
      <c r="I14" s="14">
        <v>888.28877557572878</v>
      </c>
      <c r="J14" s="14">
        <v>0</v>
      </c>
      <c r="K14" s="14">
        <v>248.64686984566825</v>
      </c>
      <c r="L14" s="14">
        <v>4.0217679016859792E-3</v>
      </c>
      <c r="M14" s="14">
        <v>3.2998605633333461E-3</v>
      </c>
      <c r="N14" s="14">
        <v>18.15163520705828</v>
      </c>
      <c r="O14" s="14">
        <v>6914.1393667205703</v>
      </c>
      <c r="P14" s="8">
        <v>18.15163520705828</v>
      </c>
      <c r="Q14" s="54">
        <v>8.4014485936712263E-2</v>
      </c>
    </row>
    <row r="15" spans="1:20">
      <c r="A15" s="2" t="s">
        <v>333</v>
      </c>
      <c r="B15" s="16" t="s">
        <v>334</v>
      </c>
      <c r="D15" s="14">
        <v>1</v>
      </c>
      <c r="E15" s="14">
        <v>0.93490507352420271</v>
      </c>
      <c r="F15" s="14">
        <v>6.4678979673895819E-3</v>
      </c>
      <c r="G15" s="14">
        <v>1.034931600556341E-9</v>
      </c>
      <c r="H15" s="14">
        <v>196.87164048940673</v>
      </c>
      <c r="I15" s="14">
        <v>620.49792134821155</v>
      </c>
      <c r="J15" s="14">
        <v>0</v>
      </c>
      <c r="K15" s="14">
        <v>154.60973643089116</v>
      </c>
      <c r="L15" s="14">
        <v>6.4678979673895819E-3</v>
      </c>
      <c r="M15" s="14">
        <v>5.3069102822431522E-3</v>
      </c>
      <c r="N15" s="14">
        <v>12.608408397640227</v>
      </c>
      <c r="O15" s="14">
        <v>4847.6808607247149</v>
      </c>
      <c r="P15" s="8">
        <v>12.608408397640227</v>
      </c>
      <c r="Q15" s="54">
        <v>8.4516271771011328E-2</v>
      </c>
    </row>
    <row r="16" spans="1:20">
      <c r="A16" s="2" t="s">
        <v>335</v>
      </c>
      <c r="B16" s="16" t="s">
        <v>336</v>
      </c>
      <c r="D16" s="14">
        <v>1</v>
      </c>
      <c r="E16" s="14">
        <v>0.92619449649815244</v>
      </c>
      <c r="F16" s="14">
        <v>1.4065997666249041E-3</v>
      </c>
      <c r="G16" s="14">
        <v>4.88089009644106E-6</v>
      </c>
      <c r="H16" s="14">
        <v>104.4408844654227</v>
      </c>
      <c r="I16" s="14">
        <v>1466.6541376760906</v>
      </c>
      <c r="J16" s="14">
        <v>0</v>
      </c>
      <c r="K16" s="14">
        <v>710.93428545027518</v>
      </c>
      <c r="L16" s="14">
        <v>1.4065997666249041E-3</v>
      </c>
      <c r="M16" s="14">
        <v>1.1541151085157338E-3</v>
      </c>
      <c r="N16" s="14">
        <v>30.296558970264826</v>
      </c>
      <c r="O16" s="14">
        <v>11310.311394779264</v>
      </c>
      <c r="P16" s="8">
        <v>30.296558970264826</v>
      </c>
      <c r="Q16" s="54">
        <v>7.0360304742462201E-2</v>
      </c>
    </row>
    <row r="17" spans="1:21">
      <c r="A17" s="2" t="s">
        <v>337</v>
      </c>
      <c r="B17" s="16" t="s">
        <v>338</v>
      </c>
      <c r="D17" s="14">
        <v>1</v>
      </c>
      <c r="E17" s="14">
        <v>0.93641002005901086</v>
      </c>
      <c r="F17" s="14">
        <v>7.222187242201878E-3</v>
      </c>
      <c r="G17" s="14">
        <v>3.6498686155883272E-7</v>
      </c>
      <c r="H17" s="14">
        <v>203.35213842140649</v>
      </c>
      <c r="I17" s="14">
        <v>562.47848413072973</v>
      </c>
      <c r="J17" s="14">
        <v>0</v>
      </c>
      <c r="K17" s="14">
        <v>138.46220908766179</v>
      </c>
      <c r="L17" s="14">
        <v>7.2221872422018789E-3</v>
      </c>
      <c r="M17" s="14">
        <v>5.9258046322266415E-3</v>
      </c>
      <c r="N17" s="14">
        <v>11.413917895795072</v>
      </c>
      <c r="O17" s="14">
        <v>4443.6665151909374</v>
      </c>
      <c r="P17" s="8">
        <v>11.413917895795072</v>
      </c>
      <c r="Q17" s="54">
        <v>8.3927814574036433E-2</v>
      </c>
    </row>
    <row r="18" spans="1:21">
      <c r="A18" s="2" t="s">
        <v>279</v>
      </c>
      <c r="B18" s="16" t="s">
        <v>280</v>
      </c>
      <c r="D18" s="14">
        <v>1</v>
      </c>
      <c r="E18" s="14">
        <v>0.87448613536164899</v>
      </c>
      <c r="F18" s="14">
        <v>8.2502722805127021E-2</v>
      </c>
      <c r="G18" s="14">
        <v>3.913062362628884E-5</v>
      </c>
      <c r="H18" s="14">
        <v>187.7103768689154</v>
      </c>
      <c r="I18" s="14">
        <v>347.01276630398274</v>
      </c>
      <c r="J18" s="14">
        <v>0</v>
      </c>
      <c r="K18" s="14">
        <v>12.120812089584229</v>
      </c>
      <c r="L18" s="14">
        <v>8.2502722805127021E-2</v>
      </c>
      <c r="M18" s="14">
        <v>6.7693484061606718E-2</v>
      </c>
      <c r="N18" s="14">
        <v>6.9692533630094511</v>
      </c>
      <c r="O18" s="14">
        <v>2026.8679555640385</v>
      </c>
      <c r="P18" s="8">
        <v>6.9692533630094511</v>
      </c>
      <c r="Q18" s="54">
        <v>0.18558610300455702</v>
      </c>
    </row>
    <row r="19" spans="1:21">
      <c r="A19" s="2" t="s">
        <v>339</v>
      </c>
      <c r="B19" s="16" t="s">
        <v>340</v>
      </c>
      <c r="D19" s="14">
        <v>1</v>
      </c>
      <c r="E19" s="14">
        <v>0.93474023974546816</v>
      </c>
      <c r="F19" s="14">
        <v>6.3878505669082873E-3</v>
      </c>
      <c r="G19" s="14">
        <v>3.6271309543245316E-9</v>
      </c>
      <c r="H19" s="14">
        <v>196.12580898646132</v>
      </c>
      <c r="I19" s="14">
        <v>627.17959272959013</v>
      </c>
      <c r="J19" s="14">
        <v>0</v>
      </c>
      <c r="K19" s="14">
        <v>156.54718117239847</v>
      </c>
      <c r="L19" s="14">
        <v>6.3878505669082881E-3</v>
      </c>
      <c r="M19" s="14">
        <v>5.2412313901482504E-3</v>
      </c>
      <c r="N19" s="14">
        <v>12.746123977610521</v>
      </c>
      <c r="O19" s="14">
        <v>4405.697752861076</v>
      </c>
      <c r="P19" s="8">
        <v>12.746123977610521</v>
      </c>
      <c r="Q19" s="54">
        <v>8.4565246427451959E-2</v>
      </c>
    </row>
    <row r="20" spans="1:21">
      <c r="A20" s="2" t="s">
        <v>281</v>
      </c>
      <c r="B20" s="16" t="s">
        <v>282</v>
      </c>
      <c r="D20" s="14">
        <v>1</v>
      </c>
      <c r="E20" s="14">
        <v>0.88719393116705114</v>
      </c>
      <c r="F20" s="14">
        <v>6.5245016830679695E-2</v>
      </c>
      <c r="G20" s="14">
        <v>3.0286970544549338E-7</v>
      </c>
      <c r="H20" s="14">
        <v>195.44625242803019</v>
      </c>
      <c r="I20" s="14">
        <v>354.06623938737539</v>
      </c>
      <c r="J20" s="14">
        <v>0</v>
      </c>
      <c r="K20" s="14">
        <v>15.326841015232556</v>
      </c>
      <c r="L20" s="14">
        <v>6.5245016830679695E-2</v>
      </c>
      <c r="M20" s="14">
        <v>5.3533536309572693E-2</v>
      </c>
      <c r="N20" s="14">
        <v>7.1064145362986748</v>
      </c>
      <c r="O20" s="14">
        <v>2069.8142978423521</v>
      </c>
      <c r="P20" s="8">
        <v>7.1064145362986748</v>
      </c>
      <c r="Q20" s="54">
        <v>0.16938873248784586</v>
      </c>
    </row>
    <row r="21" spans="1:21">
      <c r="A21" s="2" t="s">
        <v>341</v>
      </c>
      <c r="B21" s="16" t="s">
        <v>342</v>
      </c>
      <c r="D21" s="14">
        <v>1</v>
      </c>
      <c r="E21" s="14">
        <v>0.93056401163919</v>
      </c>
      <c r="F21" s="14">
        <v>4.5520194674998002E-3</v>
      </c>
      <c r="G21" s="14">
        <v>5.2963002610342536E-6</v>
      </c>
      <c r="H21" s="14">
        <v>175.0427431718424</v>
      </c>
      <c r="I21" s="14">
        <v>816.20881628571544</v>
      </c>
      <c r="J21" s="14">
        <v>0</v>
      </c>
      <c r="K21" s="14">
        <v>219.68271602081936</v>
      </c>
      <c r="L21" s="14">
        <v>4.5520194674998002E-3</v>
      </c>
      <c r="M21" s="14">
        <v>3.7349319730835863E-3</v>
      </c>
      <c r="N21" s="14">
        <v>16.654961173955233</v>
      </c>
      <c r="O21" s="14">
        <v>5584.0753824037101</v>
      </c>
      <c r="P21" s="8">
        <v>16.654961173955233</v>
      </c>
      <c r="Q21" s="54">
        <v>8.4567069546487211E-2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0.85252575642251482</v>
      </c>
      <c r="F22" s="14">
        <v>0.67402551555375778</v>
      </c>
      <c r="G22" s="14">
        <v>2.6063025260915244E-5</v>
      </c>
      <c r="H22" s="14">
        <v>40.83159426836059</v>
      </c>
      <c r="I22" s="14">
        <v>98.594685959978818</v>
      </c>
      <c r="J22" s="14">
        <v>0</v>
      </c>
      <c r="K22" s="14">
        <v>1.4836233598344299</v>
      </c>
      <c r="L22" s="14">
        <v>0.67402551555375778</v>
      </c>
      <c r="M22" s="14">
        <v>0.55303793551185831</v>
      </c>
      <c r="N22" s="14">
        <v>2.520166199699811</v>
      </c>
      <c r="O22" s="14">
        <v>413.81128999070893</v>
      </c>
      <c r="P22" s="8">
        <v>2.520166199699811</v>
      </c>
      <c r="Q22" s="54">
        <v>0.2291149920664213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0.89431345745597479</v>
      </c>
      <c r="F23" s="14">
        <v>0.81375193568728399</v>
      </c>
      <c r="G23" s="14">
        <v>1.0604752138115148E-6</v>
      </c>
      <c r="H23" s="14">
        <v>18.589685165915014</v>
      </c>
      <c r="I23" s="14">
        <v>48.231326386891567</v>
      </c>
      <c r="J23" s="14">
        <v>0</v>
      </c>
      <c r="K23" s="14">
        <v>1.2288757250763569</v>
      </c>
      <c r="L23" s="14">
        <v>0.81375193568728399</v>
      </c>
      <c r="M23" s="14">
        <v>0.66768346323141659</v>
      </c>
      <c r="N23" s="14">
        <v>1.662415355302244</v>
      </c>
      <c r="O23" s="14">
        <v>251.29070510748721</v>
      </c>
      <c r="P23" s="8">
        <v>1.6624153553022443</v>
      </c>
      <c r="Q23" s="54">
        <v>0.16639075999983582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0.83449958464282836</v>
      </c>
      <c r="F24" s="14">
        <v>0.21222034833944078</v>
      </c>
      <c r="G24" s="14">
        <v>9.7713711759890565E-7</v>
      </c>
      <c r="H24" s="14">
        <v>145.38748470682944</v>
      </c>
      <c r="I24" s="14">
        <v>293.61902609696148</v>
      </c>
      <c r="J24" s="14">
        <v>0</v>
      </c>
      <c r="K24" s="14">
        <v>4.7120834916382606</v>
      </c>
      <c r="L24" s="14">
        <v>0.21222034833944078</v>
      </c>
      <c r="M24" s="14">
        <v>0.17412679581251117</v>
      </c>
      <c r="N24" s="14">
        <v>5.9799698118208857</v>
      </c>
      <c r="O24" s="14">
        <v>1053.9696793334313</v>
      </c>
      <c r="P24" s="8">
        <v>5.9799698118208866</v>
      </c>
      <c r="Q24" s="54">
        <v>0.2553784188940279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0.9146499630941064</v>
      </c>
      <c r="F25" s="14">
        <v>2.270909909493446E-2</v>
      </c>
      <c r="G25" s="14">
        <v>1.6057147363988822E-4</v>
      </c>
      <c r="H25" s="14">
        <v>214.90172691668556</v>
      </c>
      <c r="I25" s="14">
        <v>357.68199254583431</v>
      </c>
      <c r="J25" s="14">
        <v>0</v>
      </c>
      <c r="K25" s="14">
        <v>44.035212309371708</v>
      </c>
      <c r="L25" s="14">
        <v>2.2709099094934463E-2</v>
      </c>
      <c r="M25" s="14">
        <v>1.8632815807393725E-2</v>
      </c>
      <c r="N25" s="14">
        <v>7.193426143331787</v>
      </c>
      <c r="O25" s="14">
        <v>1383.2958473627027</v>
      </c>
      <c r="P25" s="8">
        <v>7.1934261433317879</v>
      </c>
      <c r="Q25" s="54">
        <v>0.10737349168787999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0.93143085344639931</v>
      </c>
      <c r="F26" s="14">
        <v>4.9350248348091347E-3</v>
      </c>
      <c r="G26" s="14">
        <v>4.2530239682622841E-6</v>
      </c>
      <c r="H26" s="14">
        <v>180.16455052006509</v>
      </c>
      <c r="I26" s="14">
        <v>770.0634546384448</v>
      </c>
      <c r="J26" s="14">
        <v>0</v>
      </c>
      <c r="K26" s="14">
        <v>202.63322545947747</v>
      </c>
      <c r="L26" s="14">
        <v>4.9350248348091347E-3</v>
      </c>
      <c r="M26" s="14">
        <v>4.0491878769608955E-3</v>
      </c>
      <c r="N26" s="14">
        <v>15.698523409309683</v>
      </c>
      <c r="O26" s="14">
        <v>3490.8806505281941</v>
      </c>
      <c r="P26" s="8">
        <v>15.698523409309685</v>
      </c>
      <c r="Q26" s="54">
        <v>8.4786462011883904E-2</v>
      </c>
    </row>
    <row r="27" spans="1:21">
      <c r="A27" s="2" t="s">
        <v>353</v>
      </c>
      <c r="B27" s="16" t="s">
        <v>354</v>
      </c>
      <c r="D27" s="14">
        <v>1</v>
      </c>
      <c r="E27" s="14">
        <v>0.92609207934558191</v>
      </c>
      <c r="F27" s="14">
        <v>7.4322882241517401E-4</v>
      </c>
      <c r="G27" s="14">
        <v>2.8415220529626408E-5</v>
      </c>
      <c r="H27" s="14">
        <v>74.717536302002031</v>
      </c>
      <c r="I27" s="14">
        <v>1743.3304426353789</v>
      </c>
      <c r="J27" s="14">
        <v>0</v>
      </c>
      <c r="K27" s="14">
        <v>1345.4806512352818</v>
      </c>
      <c r="L27" s="14">
        <v>7.4322882241517401E-4</v>
      </c>
      <c r="M27" s="14">
        <v>6.0981924879165031E-4</v>
      </c>
      <c r="N27" s="14">
        <v>36.219016713583351</v>
      </c>
      <c r="O27" s="14">
        <v>8561.8133609239685</v>
      </c>
      <c r="P27" s="8">
        <v>36.219016713583351</v>
      </c>
      <c r="Q27" s="54">
        <v>5.8665086319130172E-2</v>
      </c>
    </row>
    <row r="28" spans="1:21">
      <c r="A28" s="2" t="s">
        <v>355</v>
      </c>
      <c r="B28" s="16" t="s">
        <v>356</v>
      </c>
      <c r="D28" s="14">
        <v>1</v>
      </c>
      <c r="E28" s="14">
        <v>0.92733301323903261</v>
      </c>
      <c r="F28" s="14">
        <v>2.7064174537693056E-3</v>
      </c>
      <c r="G28" s="14">
        <v>1.5860733693617909E-6</v>
      </c>
      <c r="H28" s="14">
        <v>142.13295509287559</v>
      </c>
      <c r="I28" s="14">
        <v>1117.2540981165566</v>
      </c>
      <c r="J28" s="14">
        <v>0</v>
      </c>
      <c r="K28" s="14">
        <v>369.49214859934898</v>
      </c>
      <c r="L28" s="14">
        <v>2.7064174537693056E-3</v>
      </c>
      <c r="M28" s="14">
        <v>2.2206155208177153E-3</v>
      </c>
      <c r="N28" s="14">
        <v>22.929456353256978</v>
      </c>
      <c r="O28" s="14">
        <v>5924.971521681603</v>
      </c>
      <c r="P28" s="8">
        <v>22.929456353256981</v>
      </c>
      <c r="Q28" s="54">
        <v>8.0380731906040295E-2</v>
      </c>
    </row>
    <row r="29" spans="1:21">
      <c r="A29" s="2" t="s">
        <v>357</v>
      </c>
      <c r="B29" s="16" t="s">
        <v>358</v>
      </c>
      <c r="D29" s="14">
        <v>1</v>
      </c>
      <c r="E29" s="14">
        <v>0.90915633497699422</v>
      </c>
      <c r="F29" s="14">
        <v>4.0989495579933288E-3</v>
      </c>
      <c r="G29" s="14">
        <v>3.227015575498457E-4</v>
      </c>
      <c r="H29" s="14">
        <v>166.02465019859861</v>
      </c>
      <c r="I29" s="14">
        <v>844.55851448739031</v>
      </c>
      <c r="J29" s="14">
        <v>0</v>
      </c>
      <c r="K29" s="14">
        <v>243.96494415255927</v>
      </c>
      <c r="L29" s="14">
        <v>4.0989495579933288E-3</v>
      </c>
      <c r="M29" s="14">
        <v>3.3631881123335266E-3</v>
      </c>
      <c r="N29" s="14">
        <v>17.249813517191768</v>
      </c>
      <c r="O29" s="14">
        <v>4077.6834173289622</v>
      </c>
      <c r="P29" s="8">
        <v>17.249813517191772</v>
      </c>
      <c r="Q29" s="54">
        <v>8.2343580007119666E-2</v>
      </c>
    </row>
    <row r="30" spans="1:21">
      <c r="A30" s="2" t="s">
        <v>359</v>
      </c>
      <c r="B30" s="16" t="s">
        <v>360</v>
      </c>
      <c r="D30" s="14">
        <v>1</v>
      </c>
      <c r="E30" s="14">
        <v>0.92733301323903261</v>
      </c>
      <c r="F30" s="14">
        <v>2.7064174537693056E-3</v>
      </c>
      <c r="G30" s="14">
        <v>1.5860733693617909E-6</v>
      </c>
      <c r="H30" s="14">
        <v>142.13295509287559</v>
      </c>
      <c r="I30" s="14">
        <v>1117.2540981165566</v>
      </c>
      <c r="J30" s="14">
        <v>0</v>
      </c>
      <c r="K30" s="14">
        <v>369.49214859934898</v>
      </c>
      <c r="L30" s="14">
        <v>2.7064174537693056E-3</v>
      </c>
      <c r="M30" s="14">
        <v>2.2206155208177153E-3</v>
      </c>
      <c r="N30" s="14">
        <v>22.929456353256978</v>
      </c>
      <c r="O30" s="14">
        <v>5924.971521681603</v>
      </c>
      <c r="P30" s="8">
        <v>22.929456353256981</v>
      </c>
      <c r="Q30" s="54">
        <v>8.0380731906040295E-2</v>
      </c>
    </row>
    <row r="31" spans="1:21">
      <c r="A31" s="2" t="s">
        <v>283</v>
      </c>
      <c r="B31" s="16" t="s">
        <v>284</v>
      </c>
      <c r="D31" s="14">
        <v>1</v>
      </c>
      <c r="E31" s="14">
        <v>0.98913354818344923</v>
      </c>
      <c r="F31" s="14">
        <v>0.99214914372924712</v>
      </c>
      <c r="G31" s="14">
        <v>2.9504309122625484E-10</v>
      </c>
      <c r="H31" s="14">
        <v>0.17284505610136491</v>
      </c>
      <c r="I31" s="14">
        <v>0.64226481770835642</v>
      </c>
      <c r="J31" s="14">
        <v>0</v>
      </c>
      <c r="K31" s="14">
        <v>1.0079129799389266</v>
      </c>
      <c r="L31" s="14">
        <v>0.99214914372924723</v>
      </c>
      <c r="M31" s="14">
        <v>0.81405837242984735</v>
      </c>
      <c r="N31" s="14">
        <v>0.90449142022981166</v>
      </c>
      <c r="O31" s="14">
        <v>175.64318889442711</v>
      </c>
      <c r="P31" s="8">
        <v>0.90449142022981166</v>
      </c>
      <c r="Q31" s="54">
        <v>1.5977695223216855E-2</v>
      </c>
    </row>
    <row r="32" spans="1:21">
      <c r="A32" s="2" t="s">
        <v>361</v>
      </c>
      <c r="B32" s="16" t="s">
        <v>362</v>
      </c>
      <c r="D32" s="14">
        <v>1</v>
      </c>
      <c r="E32" s="14">
        <v>0.83018320727498707</v>
      </c>
      <c r="F32" s="14">
        <v>0.53411989692078921</v>
      </c>
      <c r="G32" s="14">
        <v>2.9041635791296994E-10</v>
      </c>
      <c r="H32" s="14">
        <v>67.978359085752729</v>
      </c>
      <c r="I32" s="14">
        <v>155.18543356063515</v>
      </c>
      <c r="J32" s="14">
        <v>0</v>
      </c>
      <c r="K32" s="14">
        <v>1.8722388096100102</v>
      </c>
      <c r="L32" s="14">
        <v>0.53411989692078932</v>
      </c>
      <c r="M32" s="14">
        <v>0.43824537542350761</v>
      </c>
      <c r="N32" s="14">
        <v>3.5978879807283639</v>
      </c>
      <c r="O32" s="14">
        <v>921.38313298472667</v>
      </c>
      <c r="P32" s="8">
        <v>3.5978879807283639</v>
      </c>
      <c r="Q32" s="54">
        <v>0.266103724951401</v>
      </c>
    </row>
    <row r="33" spans="1:17">
      <c r="A33" s="2" t="s">
        <v>364</v>
      </c>
      <c r="B33" s="16" t="s">
        <v>365</v>
      </c>
      <c r="D33" s="14">
        <v>1</v>
      </c>
      <c r="E33" s="14">
        <v>0.99909731481405462</v>
      </c>
      <c r="F33" s="14">
        <v>0.99879096949455204</v>
      </c>
      <c r="G33" s="14">
        <v>1.3401670675578941E-12</v>
      </c>
      <c r="H33" s="14">
        <v>1.1933686015937819</v>
      </c>
      <c r="I33" s="14">
        <v>3.3788082434805704E-3</v>
      </c>
      <c r="J33" s="14">
        <v>0</v>
      </c>
      <c r="K33" s="14">
        <v>1.0012104940296565</v>
      </c>
      <c r="L33" s="14">
        <v>0.99879096949455215</v>
      </c>
      <c r="M33" s="14">
        <v>0.81950799047028</v>
      </c>
      <c r="N33" s="14">
        <v>0.90267720051078171</v>
      </c>
      <c r="O33" s="14">
        <v>267.32785293126796</v>
      </c>
      <c r="P33" s="8">
        <v>0.90267720051078171</v>
      </c>
      <c r="Q33" s="54">
        <v>3.8526853818386473E-5</v>
      </c>
    </row>
    <row r="34" spans="1:17">
      <c r="A34" s="2" t="s">
        <v>285</v>
      </c>
      <c r="B34" s="16" t="s">
        <v>286</v>
      </c>
      <c r="D34" s="14">
        <v>1</v>
      </c>
      <c r="E34" s="14">
        <v>0.99912480923783542</v>
      </c>
      <c r="F34" s="14">
        <v>0.5493889578368909</v>
      </c>
      <c r="G34" s="14">
        <v>3.9852418343594609E-12</v>
      </c>
      <c r="H34" s="14">
        <v>128.42214699562038</v>
      </c>
      <c r="I34" s="14">
        <v>9.7650854697659564E-2</v>
      </c>
      <c r="J34" s="14">
        <v>0</v>
      </c>
      <c r="K34" s="14">
        <v>1.8202040389331808</v>
      </c>
      <c r="L34" s="14">
        <v>0.54938895783689101</v>
      </c>
      <c r="M34" s="14">
        <v>0.45077363990516905</v>
      </c>
      <c r="N34" s="14">
        <v>0.81485531883800333</v>
      </c>
      <c r="O34" s="14">
        <v>180.11561967595225</v>
      </c>
      <c r="P34" s="8">
        <v>0.81485531883800333</v>
      </c>
      <c r="Q34" s="54">
        <v>1.3130342324555659E-4</v>
      </c>
    </row>
    <row r="35" spans="1:17">
      <c r="A35" s="2" t="s">
        <v>287</v>
      </c>
      <c r="B35" s="16" t="s">
        <v>288</v>
      </c>
      <c r="D35" s="14">
        <v>1</v>
      </c>
      <c r="E35" s="14">
        <v>0.99907355099538053</v>
      </c>
      <c r="F35" s="14">
        <v>0.32531884319755983</v>
      </c>
      <c r="G35" s="14">
        <v>1.1611105039681473E-13</v>
      </c>
      <c r="H35" s="14">
        <v>191.81793853435377</v>
      </c>
      <c r="I35" s="14">
        <v>0.34393641282031762</v>
      </c>
      <c r="J35" s="14">
        <v>0</v>
      </c>
      <c r="K35" s="14">
        <v>3.073907401646327</v>
      </c>
      <c r="L35" s="14">
        <v>0.32531884319755983</v>
      </c>
      <c r="M35" s="14">
        <v>0.26692411084359785</v>
      </c>
      <c r="N35" s="14">
        <v>0.74770598206622363</v>
      </c>
      <c r="O35" s="14">
        <v>172.16677943056865</v>
      </c>
      <c r="P35" s="8">
        <v>0.74770598206622363</v>
      </c>
      <c r="Q35" s="54">
        <v>3.1789094498190477E-4</v>
      </c>
    </row>
    <row r="36" spans="1:17">
      <c r="A36" s="2" t="s">
        <v>366</v>
      </c>
      <c r="B36" s="16" t="s">
        <v>305</v>
      </c>
      <c r="D36" s="14">
        <v>1</v>
      </c>
      <c r="E36" s="14">
        <v>0.99914313338772509</v>
      </c>
      <c r="F36" s="14">
        <v>0.10852911298656774</v>
      </c>
      <c r="G36" s="14">
        <v>2.0472351423892142E-10</v>
      </c>
      <c r="H36" s="14">
        <v>253.17816831193613</v>
      </c>
      <c r="I36" s="14">
        <v>0.67116554344189994</v>
      </c>
      <c r="J36" s="14">
        <v>0</v>
      </c>
      <c r="K36" s="14">
        <v>9.2141175071039818</v>
      </c>
      <c r="L36" s="14">
        <v>0.10852911298656774</v>
      </c>
      <c r="M36" s="14">
        <v>8.9048137205478842E-2</v>
      </c>
      <c r="N36" s="14">
        <v>0.65216318694609599</v>
      </c>
      <c r="O36" s="14">
        <v>134.52822220324066</v>
      </c>
      <c r="P36" s="8">
        <v>0.65216318694609599</v>
      </c>
      <c r="Q36" s="54">
        <v>3.5532818080234502E-4</v>
      </c>
    </row>
    <row r="37" spans="1:17">
      <c r="A37" s="2" t="s">
        <v>289</v>
      </c>
      <c r="B37" s="16" t="s">
        <v>290</v>
      </c>
      <c r="D37" s="14">
        <v>1</v>
      </c>
      <c r="E37" s="14">
        <v>0.96710589839417727</v>
      </c>
      <c r="F37" s="14">
        <v>0.21750775448656967</v>
      </c>
      <c r="G37" s="14">
        <v>4.8492773746470168E-17</v>
      </c>
      <c r="H37" s="14">
        <v>206.25037404377164</v>
      </c>
      <c r="I37" s="14">
        <v>65.196737110768069</v>
      </c>
      <c r="J37" s="14">
        <v>0</v>
      </c>
      <c r="K37" s="14">
        <v>4.5975372342954621</v>
      </c>
      <c r="L37" s="14">
        <v>0.21750775448656967</v>
      </c>
      <c r="M37" s="14">
        <v>0.1784651125562304</v>
      </c>
      <c r="N37" s="14">
        <v>1.8766769741820137</v>
      </c>
      <c r="O37" s="14">
        <v>653.8717913444973</v>
      </c>
      <c r="P37" s="8">
        <v>1.8766769741820137</v>
      </c>
      <c r="Q37" s="54">
        <v>4.9707950961517887E-2</v>
      </c>
    </row>
    <row r="38" spans="1:17">
      <c r="A38" s="2" t="s">
        <v>291</v>
      </c>
      <c r="B38" s="16" t="s">
        <v>292</v>
      </c>
      <c r="D38" s="14">
        <v>1</v>
      </c>
      <c r="E38" s="14">
        <v>0.99838223788930103</v>
      </c>
      <c r="F38" s="14">
        <v>0.61579662928151546</v>
      </c>
      <c r="G38" s="14">
        <v>1.3427482721798817E-14</v>
      </c>
      <c r="H38" s="14">
        <v>109.32948625905844</v>
      </c>
      <c r="I38" s="14">
        <v>0.84569929869812821</v>
      </c>
      <c r="J38" s="14">
        <v>0</v>
      </c>
      <c r="K38" s="14">
        <v>1.6239127537394225</v>
      </c>
      <c r="L38" s="14">
        <v>0.61579662928151546</v>
      </c>
      <c r="M38" s="14">
        <v>0.50526113432548347</v>
      </c>
      <c r="N38" s="14">
        <v>0.84581331488541034</v>
      </c>
      <c r="O38" s="14">
        <v>260.78961937861857</v>
      </c>
      <c r="P38" s="8">
        <v>0.84581331488541034</v>
      </c>
      <c r="Q38" s="54">
        <v>1.2712061065660589E-3</v>
      </c>
    </row>
    <row r="39" spans="1:17">
      <c r="A39" s="2" t="s">
        <v>367</v>
      </c>
      <c r="B39" s="16" t="s">
        <v>368</v>
      </c>
      <c r="D39" s="14">
        <v>1</v>
      </c>
      <c r="E39" s="14">
        <v>0.94332653420670431</v>
      </c>
      <c r="F39" s="14">
        <v>1.103705286820803E-2</v>
      </c>
      <c r="G39" s="14">
        <v>1.7149110966591751E-7</v>
      </c>
      <c r="H39" s="14">
        <v>225.58650866816203</v>
      </c>
      <c r="I39" s="14">
        <v>364.81298970351651</v>
      </c>
      <c r="J39" s="14">
        <v>0</v>
      </c>
      <c r="K39" s="14">
        <v>90.603896886321564</v>
      </c>
      <c r="L39" s="14">
        <v>1.103705286820803E-2</v>
      </c>
      <c r="M39" s="14">
        <v>9.0559018783646882E-3</v>
      </c>
      <c r="N39" s="14">
        <v>7.3640928478006877</v>
      </c>
      <c r="O39" s="14">
        <v>2049.7216032568431</v>
      </c>
      <c r="P39" s="8">
        <v>7.3640928478006886</v>
      </c>
      <c r="Q39" s="54">
        <v>7.9189991003348864E-2</v>
      </c>
    </row>
    <row r="40" spans="1:17">
      <c r="A40" s="2" t="s">
        <v>369</v>
      </c>
      <c r="B40" s="16" t="s">
        <v>370</v>
      </c>
      <c r="D40" s="14">
        <v>1</v>
      </c>
      <c r="E40" s="14">
        <v>0.9599816797795534</v>
      </c>
      <c r="F40" s="14">
        <v>9.8400826644019714E-4</v>
      </c>
      <c r="G40" s="14">
        <v>9.9892264481596229E-15</v>
      </c>
      <c r="H40" s="14">
        <v>254.17846161818534</v>
      </c>
      <c r="I40" s="14">
        <v>170.26317950925173</v>
      </c>
      <c r="J40" s="14">
        <v>0</v>
      </c>
      <c r="K40" s="14">
        <v>1016.2516252202387</v>
      </c>
      <c r="L40" s="14">
        <v>9.8400826644019714E-4</v>
      </c>
      <c r="M40" s="14">
        <v>8.0737878261418177E-4</v>
      </c>
      <c r="N40" s="14">
        <v>39.895332295501838</v>
      </c>
      <c r="O40" s="14">
        <v>16233.410711039698</v>
      </c>
      <c r="P40" s="8">
        <v>39.895332295501845</v>
      </c>
      <c r="Q40" s="54">
        <v>1.8989815234008354E-3</v>
      </c>
    </row>
    <row r="41" spans="1:17">
      <c r="A41" s="2" t="s">
        <v>371</v>
      </c>
      <c r="B41" s="16" t="s">
        <v>372</v>
      </c>
      <c r="D41" s="14">
        <v>1</v>
      </c>
      <c r="E41" s="14">
        <v>0.93228057876793979</v>
      </c>
      <c r="F41" s="14">
        <v>0.93588621085629697</v>
      </c>
      <c r="G41" s="14">
        <v>9.2753762643833716E-4</v>
      </c>
      <c r="H41" s="14">
        <v>8.1115350389672543E-3</v>
      </c>
      <c r="I41" s="14">
        <v>3.7597608326087113E-2</v>
      </c>
      <c r="J41" s="14">
        <v>0</v>
      </c>
      <c r="K41" s="14">
        <v>1.0685059662168133</v>
      </c>
      <c r="L41" s="14">
        <v>0.93588621085629708</v>
      </c>
      <c r="M41" s="14">
        <v>0.76789463600759178</v>
      </c>
      <c r="N41" s="14">
        <v>0.84255832651403506</v>
      </c>
      <c r="O41" s="14">
        <v>118.11825179400257</v>
      </c>
      <c r="P41" s="8">
        <v>0.84255832651403517</v>
      </c>
      <c r="Q41" s="54">
        <v>3.1547156430444308E-3</v>
      </c>
    </row>
    <row r="42" spans="1:17">
      <c r="A42" s="2" t="s">
        <v>293</v>
      </c>
      <c r="B42" s="16" t="s">
        <v>294</v>
      </c>
      <c r="D42" s="14">
        <v>1</v>
      </c>
      <c r="E42" s="14">
        <v>0.84557226208863634</v>
      </c>
      <c r="F42" s="14">
        <v>0.63504930342308663</v>
      </c>
      <c r="G42" s="14">
        <v>2.3479883171947499E-10</v>
      </c>
      <c r="H42" s="14">
        <v>48.180071924607986</v>
      </c>
      <c r="I42" s="14">
        <v>114.42597318545664</v>
      </c>
      <c r="J42" s="14">
        <v>0</v>
      </c>
      <c r="K42" s="14">
        <v>1.5746808863654065</v>
      </c>
      <c r="L42" s="14">
        <v>0.63504930342308663</v>
      </c>
      <c r="M42" s="14">
        <v>0.52105795345864259</v>
      </c>
      <c r="N42" s="14">
        <v>2.7956164343177949</v>
      </c>
      <c r="O42" s="14">
        <v>923.55984524122675</v>
      </c>
      <c r="P42" s="8">
        <v>2.7956164343177949</v>
      </c>
      <c r="Q42" s="54">
        <v>0.24273064770033512</v>
      </c>
    </row>
    <row r="43" spans="1:17">
      <c r="A43" s="2" t="s">
        <v>373</v>
      </c>
      <c r="B43" s="16" t="s">
        <v>374</v>
      </c>
      <c r="D43" s="14">
        <v>1</v>
      </c>
      <c r="E43" s="14">
        <v>0.99866282321920707</v>
      </c>
      <c r="F43" s="14">
        <v>8.8438051886179005E-3</v>
      </c>
      <c r="G43" s="14">
        <v>4.7887480371036631E-10</v>
      </c>
      <c r="H43" s="14">
        <v>281.09891375247338</v>
      </c>
      <c r="I43" s="14">
        <v>2.197569931668411</v>
      </c>
      <c r="J43" s="14">
        <v>0</v>
      </c>
      <c r="K43" s="14">
        <v>113.07349932210332</v>
      </c>
      <c r="L43" s="14">
        <v>8.8438051886179005E-3</v>
      </c>
      <c r="M43" s="14">
        <v>7.2563421572609879E-3</v>
      </c>
      <c r="N43" s="14">
        <v>1.1910678232750034</v>
      </c>
      <c r="O43" s="14">
        <v>317.22900405106435</v>
      </c>
      <c r="P43" s="8">
        <v>1.1910678232750034</v>
      </c>
      <c r="Q43" s="54">
        <v>2.8453959184322086E-4</v>
      </c>
    </row>
    <row r="44" spans="1:17">
      <c r="A44" s="2" t="s">
        <v>375</v>
      </c>
      <c r="B44" s="16" t="s">
        <v>376</v>
      </c>
      <c r="D44" s="14">
        <v>1</v>
      </c>
      <c r="E44" s="14">
        <v>0.86693060468886596</v>
      </c>
      <c r="F44" s="14">
        <v>0.84224900218855558</v>
      </c>
      <c r="G44" s="14">
        <v>1.0415712717479007E-3</v>
      </c>
      <c r="H44" s="14">
        <v>6.0906059881127277</v>
      </c>
      <c r="I44" s="14">
        <v>17.199573425964225</v>
      </c>
      <c r="J44" s="14">
        <v>0</v>
      </c>
      <c r="K44" s="14">
        <v>1.187297340099583</v>
      </c>
      <c r="L44" s="14">
        <v>0.8422490021885557</v>
      </c>
      <c r="M44" s="14">
        <v>0.69106530629570995</v>
      </c>
      <c r="N44" s="14">
        <v>1.0870032981083861</v>
      </c>
      <c r="O44" s="14">
        <v>162.39829273739289</v>
      </c>
      <c r="P44" s="8">
        <v>1.0870032981083861</v>
      </c>
      <c r="Q44" s="54">
        <v>9.4562223592462066E-2</v>
      </c>
    </row>
    <row r="45" spans="1:17">
      <c r="A45" s="2" t="s">
        <v>377</v>
      </c>
      <c r="B45" s="16" t="s">
        <v>378</v>
      </c>
      <c r="D45" s="14">
        <v>1</v>
      </c>
      <c r="E45" s="14">
        <v>0.83817278742627133</v>
      </c>
      <c r="F45" s="14">
        <v>0.59675007450265127</v>
      </c>
      <c r="G45" s="14">
        <v>8.9983103865593544E-6</v>
      </c>
      <c r="H45" s="14">
        <v>55.300935980857346</v>
      </c>
      <c r="I45" s="14">
        <v>129.41650068161229</v>
      </c>
      <c r="J45" s="14">
        <v>0</v>
      </c>
      <c r="K45" s="14">
        <v>1.6757434020153728</v>
      </c>
      <c r="L45" s="14">
        <v>0.59675007450265127</v>
      </c>
      <c r="M45" s="14">
        <v>0.48963343612942539</v>
      </c>
      <c r="N45" s="14">
        <v>3.0557986701394388</v>
      </c>
      <c r="O45" s="14">
        <v>679.12069645178883</v>
      </c>
      <c r="P45" s="8">
        <v>3.0557986701394388</v>
      </c>
      <c r="Q45" s="54">
        <v>0.25315683222570723</v>
      </c>
    </row>
    <row r="46" spans="1:17">
      <c r="A46" s="2" t="s">
        <v>379</v>
      </c>
      <c r="B46" s="16" t="s">
        <v>380</v>
      </c>
      <c r="D46" s="14">
        <v>1</v>
      </c>
      <c r="E46" s="14">
        <v>0.84131800108589694</v>
      </c>
      <c r="F46" s="14">
        <v>0.61987915397648641</v>
      </c>
      <c r="G46" s="14">
        <v>2.6938630868181465E-5</v>
      </c>
      <c r="H46" s="14">
        <v>50.692887734297678</v>
      </c>
      <c r="I46" s="14">
        <v>119.73033631294608</v>
      </c>
      <c r="J46" s="14">
        <v>0</v>
      </c>
      <c r="K46" s="14">
        <v>1.6132176628058255</v>
      </c>
      <c r="L46" s="14">
        <v>0.61987915397648652</v>
      </c>
      <c r="M46" s="14">
        <v>0.5086108458377071</v>
      </c>
      <c r="N46" s="14">
        <v>2.8862028351512032</v>
      </c>
      <c r="O46" s="14">
        <v>371.05023648703872</v>
      </c>
      <c r="P46" s="8">
        <v>2.8862028351512032</v>
      </c>
      <c r="Q46" s="54">
        <v>0.24637929172338624</v>
      </c>
    </row>
    <row r="47" spans="1:17">
      <c r="A47" s="2" t="s">
        <v>381</v>
      </c>
      <c r="B47" s="16" t="s">
        <v>382</v>
      </c>
      <c r="D47" s="14">
        <v>1</v>
      </c>
      <c r="E47" s="14">
        <v>0.92826757888138356</v>
      </c>
      <c r="F47" s="14">
        <v>6.7700566058314282E-4</v>
      </c>
      <c r="G47" s="14">
        <v>4.8230391542456042E-10</v>
      </c>
      <c r="H47" s="14">
        <v>71.070979335825584</v>
      </c>
      <c r="I47" s="14">
        <v>1782.9923125381547</v>
      </c>
      <c r="J47" s="14">
        <v>0</v>
      </c>
      <c r="K47" s="14">
        <v>1477.0925240693616</v>
      </c>
      <c r="L47" s="14">
        <v>6.7700566058314282E-4</v>
      </c>
      <c r="M47" s="14">
        <v>5.5548314450846873E-4</v>
      </c>
      <c r="N47" s="14">
        <v>37.073479802948086</v>
      </c>
      <c r="O47" s="14">
        <v>14506.481912095558</v>
      </c>
      <c r="P47" s="8">
        <v>37.073479802948086</v>
      </c>
      <c r="Q47" s="54">
        <v>5.7036053891956692E-2</v>
      </c>
    </row>
    <row r="48" spans="1:17">
      <c r="A48" s="2" t="s">
        <v>383</v>
      </c>
      <c r="B48" s="16" t="s">
        <v>384</v>
      </c>
      <c r="D48" s="14">
        <v>1</v>
      </c>
      <c r="E48" s="14">
        <v>0.95559429081348168</v>
      </c>
      <c r="F48" s="14">
        <v>0.95049952868166199</v>
      </c>
      <c r="G48" s="14">
        <v>1.3711355576359374E-4</v>
      </c>
      <c r="H48" s="14">
        <v>1.8726296948901948</v>
      </c>
      <c r="I48" s="14">
        <v>5.8198136208699811</v>
      </c>
      <c r="J48" s="14">
        <v>0</v>
      </c>
      <c r="K48" s="14">
        <v>1.0520783754485339</v>
      </c>
      <c r="L48" s="14">
        <v>0.95049952868166199</v>
      </c>
      <c r="M48" s="14">
        <v>0.77988486328330364</v>
      </c>
      <c r="N48" s="14">
        <v>0.96554376590542501</v>
      </c>
      <c r="O48" s="14">
        <v>89.921090918772222</v>
      </c>
      <c r="P48" s="8">
        <v>0.96554376590542501</v>
      </c>
      <c r="Q48" s="54">
        <v>5.4188742961469923E-2</v>
      </c>
    </row>
    <row r="49" spans="1:17">
      <c r="A49" s="2" t="s">
        <v>385</v>
      </c>
      <c r="B49" s="16" t="s">
        <v>386</v>
      </c>
      <c r="D49" s="14">
        <v>1</v>
      </c>
      <c r="E49" s="14">
        <v>0.93521186764215458</v>
      </c>
      <c r="F49" s="14">
        <v>0.92302271458671925</v>
      </c>
      <c r="G49" s="14">
        <v>2.6051988413974884E-4</v>
      </c>
      <c r="H49" s="14">
        <v>3.3979140456955217</v>
      </c>
      <c r="I49" s="14">
        <v>10.084852704223957</v>
      </c>
      <c r="J49" s="14">
        <v>0</v>
      </c>
      <c r="K49" s="14">
        <v>1.0833969567560937</v>
      </c>
      <c r="L49" s="14">
        <v>0.92302271458671925</v>
      </c>
      <c r="M49" s="14">
        <v>0.75734013731840311</v>
      </c>
      <c r="N49" s="14">
        <v>1.0225907523627351</v>
      </c>
      <c r="O49" s="14">
        <v>113.63028440254713</v>
      </c>
      <c r="P49" s="8">
        <v>1.0225907523627351</v>
      </c>
      <c r="Q49" s="54">
        <v>7.2890270083887654E-2</v>
      </c>
    </row>
    <row r="50" spans="1:17">
      <c r="A50" s="2" t="s">
        <v>387</v>
      </c>
      <c r="B50" s="16" t="s">
        <v>388</v>
      </c>
      <c r="D50" s="14">
        <v>1</v>
      </c>
      <c r="E50" s="14">
        <v>0.8688458938236272</v>
      </c>
      <c r="F50" s="14">
        <v>8.7641550501113955E-2</v>
      </c>
      <c r="G50" s="14">
        <v>8.4835678953122019E-5</v>
      </c>
      <c r="H50" s="14">
        <v>184.99076665277113</v>
      </c>
      <c r="I50" s="14">
        <v>343.8802414523073</v>
      </c>
      <c r="J50" s="14">
        <v>0</v>
      </c>
      <c r="K50" s="14">
        <v>11.410113060326216</v>
      </c>
      <c r="L50" s="14">
        <v>8.7641550501113955E-2</v>
      </c>
      <c r="M50" s="14">
        <v>7.1909892186164004E-2</v>
      </c>
      <c r="N50" s="14">
        <v>6.9083187391819401</v>
      </c>
      <c r="O50" s="14">
        <v>1364.0475350514739</v>
      </c>
      <c r="P50" s="8">
        <v>6.9083187391819401</v>
      </c>
      <c r="Q50" s="54">
        <v>0.18958641878962723</v>
      </c>
    </row>
    <row r="51" spans="1:17">
      <c r="A51" s="2" t="s">
        <v>295</v>
      </c>
      <c r="B51" s="16" t="s">
        <v>296</v>
      </c>
      <c r="D51" s="14">
        <v>1</v>
      </c>
      <c r="E51" s="14">
        <v>0.93367300285546928</v>
      </c>
      <c r="F51" s="14">
        <v>0.93587461454390575</v>
      </c>
      <c r="G51" s="14">
        <v>7.5156432149764473E-4</v>
      </c>
      <c r="H51" s="14">
        <v>0.29712395497347621</v>
      </c>
      <c r="I51" s="14">
        <v>1.0563183834812866</v>
      </c>
      <c r="J51" s="14">
        <v>0</v>
      </c>
      <c r="K51" s="14">
        <v>1.0685192059487001</v>
      </c>
      <c r="L51" s="14">
        <v>0.93587461454390575</v>
      </c>
      <c r="M51" s="14">
        <v>0.76788512123327468</v>
      </c>
      <c r="N51" s="14">
        <v>0.86168913505344169</v>
      </c>
      <c r="O51" s="14">
        <v>50.046904963903891</v>
      </c>
      <c r="P51" s="8">
        <v>0.86168913505344169</v>
      </c>
      <c r="Q51" s="54">
        <v>2.0606054210522841E-2</v>
      </c>
    </row>
    <row r="52" spans="1:17">
      <c r="A52" s="2" t="s">
        <v>389</v>
      </c>
      <c r="B52" s="16" t="s">
        <v>390</v>
      </c>
      <c r="D52" s="14">
        <v>1</v>
      </c>
      <c r="E52" s="14">
        <v>0.86035126326707834</v>
      </c>
      <c r="F52" s="14">
        <v>0.81472789559573089</v>
      </c>
      <c r="G52" s="14">
        <v>8.6040133214806958E-4</v>
      </c>
      <c r="H52" s="14">
        <v>10.736743709421628</v>
      </c>
      <c r="I52" s="14">
        <v>29.008799558707555</v>
      </c>
      <c r="J52" s="14">
        <v>0</v>
      </c>
      <c r="K52" s="14">
        <v>1.2274036588237816</v>
      </c>
      <c r="L52" s="14">
        <v>0.81472789559573089</v>
      </c>
      <c r="M52" s="14">
        <v>0.66848423833629722</v>
      </c>
      <c r="N52" s="14">
        <v>1.2905176169315269</v>
      </c>
      <c r="O52" s="14">
        <v>138.27896265421313</v>
      </c>
      <c r="P52" s="8">
        <v>1.2905176169315271</v>
      </c>
      <c r="Q52" s="54">
        <v>0.12506326346998917</v>
      </c>
    </row>
    <row r="53" spans="1:17">
      <c r="A53" s="2" t="s">
        <v>391</v>
      </c>
      <c r="B53" s="16" t="s">
        <v>392</v>
      </c>
      <c r="D53" s="14">
        <v>1</v>
      </c>
      <c r="E53" s="14">
        <v>0.82197893994265481</v>
      </c>
      <c r="F53" s="14">
        <v>0.46906099311081567</v>
      </c>
      <c r="G53" s="14">
        <v>2.6983470522526742E-5</v>
      </c>
      <c r="H53" s="14">
        <v>81.221184487711284</v>
      </c>
      <c r="I53" s="14">
        <v>181.52083869952364</v>
      </c>
      <c r="J53" s="14">
        <v>0</v>
      </c>
      <c r="K53" s="14">
        <v>2.1319189075348031</v>
      </c>
      <c r="L53" s="14">
        <v>0.46906099311081567</v>
      </c>
      <c r="M53" s="14">
        <v>0.38486454484742427</v>
      </c>
      <c r="N53" s="14">
        <v>3.969313742360884</v>
      </c>
      <c r="O53" s="14">
        <v>643.10821253731046</v>
      </c>
      <c r="P53" s="8">
        <v>3.969313742360884</v>
      </c>
      <c r="Q53" s="54">
        <v>0.27563000279179251</v>
      </c>
    </row>
    <row r="54" spans="1:17">
      <c r="A54" s="2" t="s">
        <v>393</v>
      </c>
      <c r="B54" s="16" t="s">
        <v>394</v>
      </c>
      <c r="D54" s="14">
        <v>1</v>
      </c>
      <c r="E54" s="14">
        <v>0.9270653870787422</v>
      </c>
      <c r="F54" s="14">
        <v>9.4925637854932545E-4</v>
      </c>
      <c r="G54" s="14">
        <v>2.2337368650611555E-6</v>
      </c>
      <c r="H54" s="14">
        <v>85.271425664671185</v>
      </c>
      <c r="I54" s="14">
        <v>1647.6338084807362</v>
      </c>
      <c r="J54" s="14">
        <v>0</v>
      </c>
      <c r="K54" s="14">
        <v>1053.4561816990074</v>
      </c>
      <c r="L54" s="14">
        <v>9.4925637854932556E-4</v>
      </c>
      <c r="M54" s="14">
        <v>7.7886485859972158E-4</v>
      </c>
      <c r="N54" s="14">
        <v>34.15786265965162</v>
      </c>
      <c r="O54" s="14">
        <v>7972.1035661360902</v>
      </c>
      <c r="P54" s="8">
        <v>34.15786265965162</v>
      </c>
      <c r="Q54" s="54">
        <v>6.3250024029828031E-2</v>
      </c>
    </row>
    <row r="55" spans="1:17">
      <c r="A55" s="2" t="s">
        <v>395</v>
      </c>
      <c r="B55" s="16" t="s">
        <v>396</v>
      </c>
      <c r="D55" s="14">
        <v>1</v>
      </c>
      <c r="E55" s="14">
        <v>0.73326268545326756</v>
      </c>
      <c r="F55" s="14">
        <v>0.16662000718422465</v>
      </c>
      <c r="G55" s="14">
        <v>1.7999300870386878E-3</v>
      </c>
      <c r="H55" s="14">
        <v>132.62553501222908</v>
      </c>
      <c r="I55" s="14">
        <v>264.90144031058662</v>
      </c>
      <c r="J55" s="14">
        <v>0</v>
      </c>
      <c r="K55" s="14">
        <v>6.0016802117547776</v>
      </c>
      <c r="L55" s="14">
        <v>0.16662000718422465</v>
      </c>
      <c r="M55" s="14">
        <v>0.13671171589465633</v>
      </c>
      <c r="N55" s="14">
        <v>5.3778032787032508</v>
      </c>
      <c r="O55" s="14">
        <v>689.2730462313956</v>
      </c>
      <c r="P55" s="8">
        <v>5.3778032787032508</v>
      </c>
      <c r="Q55" s="54">
        <v>0.2168125012204051</v>
      </c>
    </row>
    <row r="56" spans="1:17">
      <c r="A56" s="2" t="s">
        <v>397</v>
      </c>
      <c r="B56" s="16" t="s">
        <v>398</v>
      </c>
      <c r="D56" s="14">
        <v>1</v>
      </c>
      <c r="E56" s="14">
        <v>0.38730707002402748</v>
      </c>
      <c r="F56" s="14">
        <v>1.965205954173415E-2</v>
      </c>
      <c r="G56" s="14">
        <v>8.1484791564763494E-3</v>
      </c>
      <c r="H56" s="14">
        <v>87.831049315367039</v>
      </c>
      <c r="I56" s="14">
        <v>154.4917320000616</v>
      </c>
      <c r="J56" s="14">
        <v>0</v>
      </c>
      <c r="K56" s="14">
        <v>50.885251893133507</v>
      </c>
      <c r="L56" s="14">
        <v>1.965205954173415E-2</v>
      </c>
      <c r="M56" s="14">
        <v>1.6124514853992872E-2</v>
      </c>
      <c r="N56" s="14">
        <v>3.1008314765287128</v>
      </c>
      <c r="O56" s="14">
        <v>562.64587141613492</v>
      </c>
      <c r="P56" s="8">
        <v>3.1008314765287128</v>
      </c>
      <c r="Q56" s="54">
        <v>6.2849994216757396E-2</v>
      </c>
    </row>
    <row r="57" spans="1:17">
      <c r="A57" s="2" t="s">
        <v>399</v>
      </c>
      <c r="B57" s="16" t="s">
        <v>400</v>
      </c>
      <c r="D57" s="14">
        <v>1</v>
      </c>
      <c r="E57" s="14">
        <v>0.21004624445466025</v>
      </c>
      <c r="F57" s="14">
        <v>3.692208747667413E-2</v>
      </c>
      <c r="G57" s="14">
        <v>1.0754611699439328E-2</v>
      </c>
      <c r="H57" s="14">
        <v>40.678623335104817</v>
      </c>
      <c r="I57" s="14">
        <v>79.327436056769344</v>
      </c>
      <c r="J57" s="14">
        <v>0</v>
      </c>
      <c r="K57" s="14">
        <v>27.084059118590169</v>
      </c>
      <c r="L57" s="14">
        <v>3.6922087476674137E-2</v>
      </c>
      <c r="M57" s="14">
        <v>3.0294572774611127E-2</v>
      </c>
      <c r="N57" s="14">
        <v>1.6020551932077183</v>
      </c>
      <c r="O57" s="14">
        <v>235.50211340153456</v>
      </c>
      <c r="P57" s="8">
        <v>1.6020551932077183</v>
      </c>
      <c r="Q57" s="54">
        <v>5.6914564581116343E-2</v>
      </c>
    </row>
    <row r="58" spans="1:17">
      <c r="A58" s="2" t="s">
        <v>297</v>
      </c>
      <c r="B58" s="16" t="s">
        <v>298</v>
      </c>
      <c r="D58" s="14">
        <v>1</v>
      </c>
      <c r="E58" s="14">
        <v>7.6686591834976309E-2</v>
      </c>
      <c r="F58" s="14">
        <v>7.5333029570520529E-2</v>
      </c>
      <c r="G58" s="14">
        <v>1.3128464100292796E-2</v>
      </c>
      <c r="H58" s="14">
        <v>0.35611103634970481</v>
      </c>
      <c r="I58" s="14">
        <v>1.0376302016860519</v>
      </c>
      <c r="J58" s="14">
        <v>0</v>
      </c>
      <c r="K58" s="14">
        <v>13.27438980884053</v>
      </c>
      <c r="L58" s="14">
        <v>7.5333029570520529E-2</v>
      </c>
      <c r="M58" s="14">
        <v>6.1810750762612096E-2</v>
      </c>
      <c r="N58" s="14">
        <v>8.7581738357372763E-2</v>
      </c>
      <c r="O58" s="14">
        <v>7.4383170386916699</v>
      </c>
      <c r="P58" s="8">
        <v>8.7581738357372776E-2</v>
      </c>
      <c r="Q58" s="54">
        <v>6.7770798707091923E-3</v>
      </c>
    </row>
    <row r="59" spans="1:17">
      <c r="A59" s="2" t="s">
        <v>401</v>
      </c>
      <c r="B59" s="16" t="s">
        <v>402</v>
      </c>
      <c r="D59" s="14">
        <v>1</v>
      </c>
      <c r="E59" s="14">
        <v>8.2242441586687559E-2</v>
      </c>
      <c r="F59" s="14">
        <v>1.5361114226545302E-2</v>
      </c>
      <c r="G59" s="14">
        <v>1.2898856353155149E-2</v>
      </c>
      <c r="H59" s="14">
        <v>15.700833879107094</v>
      </c>
      <c r="I59" s="14">
        <v>30.787887388401614</v>
      </c>
      <c r="J59" s="14">
        <v>0</v>
      </c>
      <c r="K59" s="14">
        <v>65.09944430150226</v>
      </c>
      <c r="L59" s="14">
        <v>1.5361114226545304E-2</v>
      </c>
      <c r="M59" s="14">
        <v>1.260379422288042E-2</v>
      </c>
      <c r="N59" s="14">
        <v>0.62240881050649843</v>
      </c>
      <c r="O59" s="14">
        <v>103.21405304629265</v>
      </c>
      <c r="P59" s="8">
        <v>0.62240881050649843</v>
      </c>
      <c r="Q59" s="54">
        <v>2.2770883920360838E-2</v>
      </c>
    </row>
    <row r="60" spans="1:17">
      <c r="A60" s="2" t="s">
        <v>299</v>
      </c>
      <c r="B60" s="16" t="s">
        <v>300</v>
      </c>
      <c r="D60" s="14">
        <v>1</v>
      </c>
      <c r="E60" s="14">
        <v>1.6911971571151984E-3</v>
      </c>
      <c r="F60" s="14">
        <v>5.7791254969007512E-4</v>
      </c>
      <c r="G60" s="14">
        <v>1.4256424327348078E-2</v>
      </c>
      <c r="H60" s="14">
        <v>0.25881063929028131</v>
      </c>
      <c r="I60" s="14">
        <v>0.53931102218397131</v>
      </c>
      <c r="J60" s="14">
        <v>0</v>
      </c>
      <c r="K60" s="14">
        <v>1730.3656072813842</v>
      </c>
      <c r="L60" s="14">
        <v>5.7791254969007512E-4</v>
      </c>
      <c r="M60" s="14">
        <v>4.7417724702070662E-4</v>
      </c>
      <c r="N60" s="14">
        <v>1.112396311516373E-2</v>
      </c>
      <c r="O60" s="14">
        <v>0.91372233027954874</v>
      </c>
      <c r="P60" s="8">
        <v>1.112396311516373E-2</v>
      </c>
      <c r="Q60" s="54">
        <v>5.5723616707253269E-4</v>
      </c>
    </row>
    <row r="61" spans="1:17">
      <c r="A61" s="2" t="s">
        <v>403</v>
      </c>
      <c r="B61" s="16" t="s">
        <v>404</v>
      </c>
      <c r="D61" s="14">
        <v>1</v>
      </c>
      <c r="E61" s="14">
        <v>0.82065167455630483</v>
      </c>
      <c r="F61" s="14">
        <v>0.35229047468457697</v>
      </c>
      <c r="G61" s="14">
        <v>6.1397316312361942E-46</v>
      </c>
      <c r="H61" s="14">
        <v>108.42287042986511</v>
      </c>
      <c r="I61" s="14">
        <v>232.26195194158078</v>
      </c>
      <c r="J61" s="14">
        <v>0</v>
      </c>
      <c r="K61" s="14">
        <v>2.8385666711407662</v>
      </c>
      <c r="L61" s="14">
        <v>0.35229047468457697</v>
      </c>
      <c r="M61" s="14">
        <v>0.28905433447869544</v>
      </c>
      <c r="N61" s="14">
        <v>4.8726959703979311</v>
      </c>
      <c r="O61" s="14">
        <v>5859.9529009602556</v>
      </c>
      <c r="P61" s="8">
        <v>4.872695970397932</v>
      </c>
      <c r="Q61" s="54">
        <v>0.27936890885201249</v>
      </c>
    </row>
    <row r="62" spans="1:17">
      <c r="A62" s="2" t="s">
        <v>405</v>
      </c>
      <c r="B62" s="16" t="s">
        <v>406</v>
      </c>
      <c r="D62" s="14">
        <v>1</v>
      </c>
      <c r="E62" s="14">
        <v>0.93005027636918891</v>
      </c>
      <c r="F62" s="14">
        <v>4.1358312131929923E-3</v>
      </c>
      <c r="G62" s="14">
        <v>1.2669261322313265E-9</v>
      </c>
      <c r="H62" s="14">
        <v>168.97513672368646</v>
      </c>
      <c r="I62" s="14">
        <v>872.1274927152075</v>
      </c>
      <c r="J62" s="14">
        <v>0</v>
      </c>
      <c r="K62" s="14">
        <v>241.78936432658924</v>
      </c>
      <c r="L62" s="14">
        <v>4.1358312131929923E-3</v>
      </c>
      <c r="M62" s="14">
        <v>3.3934495104248502E-3</v>
      </c>
      <c r="N62" s="14">
        <v>17.81572731969975</v>
      </c>
      <c r="O62" s="14">
        <v>5680.7228131594629</v>
      </c>
      <c r="P62" s="8">
        <v>17.815727319699754</v>
      </c>
      <c r="Q62" s="54">
        <v>8.4174389901025035E-2</v>
      </c>
    </row>
    <row r="63" spans="1:17">
      <c r="A63" s="2" t="s">
        <v>407</v>
      </c>
      <c r="B63" s="16" t="s">
        <v>408</v>
      </c>
      <c r="D63" s="14">
        <v>1</v>
      </c>
      <c r="E63" s="14">
        <v>0.93072304119374749</v>
      </c>
      <c r="F63" s="14">
        <v>3.6697956263556257E-4</v>
      </c>
      <c r="G63" s="14">
        <v>2.9459838821272436E-7</v>
      </c>
      <c r="H63" s="14">
        <v>50.38507144787441</v>
      </c>
      <c r="I63" s="14">
        <v>1981.796465479046</v>
      </c>
      <c r="J63" s="14">
        <v>0</v>
      </c>
      <c r="K63" s="14">
        <v>2724.9473862201771</v>
      </c>
      <c r="L63" s="14">
        <v>3.6697956263556257E-4</v>
      </c>
      <c r="M63" s="14">
        <v>3.0110673114247912E-4</v>
      </c>
      <c r="N63" s="14">
        <v>41.418118491345567</v>
      </c>
      <c r="O63" s="14">
        <v>20120.507781910765</v>
      </c>
      <c r="P63" s="8">
        <v>41.418118491345574</v>
      </c>
      <c r="Q63" s="54">
        <v>4.6308322540001813E-2</v>
      </c>
    </row>
    <row r="64" spans="1:17">
      <c r="A64" s="2" t="s">
        <v>409</v>
      </c>
      <c r="B64" s="16" t="s">
        <v>410</v>
      </c>
      <c r="D64" s="14">
        <v>1</v>
      </c>
      <c r="E64" s="14">
        <v>0.93533507193246024</v>
      </c>
      <c r="F64" s="14">
        <v>1.2572272115671365E-4</v>
      </c>
      <c r="G64" s="14">
        <v>3.6063033894550064E-8</v>
      </c>
      <c r="H64" s="14">
        <v>26.843168179609158</v>
      </c>
      <c r="I64" s="14">
        <v>2212.5390431726914</v>
      </c>
      <c r="J64" s="14">
        <v>0</v>
      </c>
      <c r="K64" s="14">
        <v>7954.0117394810268</v>
      </c>
      <c r="L64" s="14">
        <v>1.2572272115671365E-4</v>
      </c>
      <c r="M64" s="14">
        <v>1.0315549270908356E-4</v>
      </c>
      <c r="N64" s="14">
        <v>46.631962333838864</v>
      </c>
      <c r="O64" s="14">
        <v>26332.602810295473</v>
      </c>
      <c r="P64" s="8">
        <v>46.631962333838871</v>
      </c>
      <c r="Q64" s="54">
        <v>3.083833650703564E-2</v>
      </c>
    </row>
    <row r="65" spans="1:17">
      <c r="A65" s="2" t="s">
        <v>301</v>
      </c>
      <c r="B65" s="16" t="s">
        <v>302</v>
      </c>
      <c r="D65" s="14">
        <v>1</v>
      </c>
      <c r="E65" s="14">
        <v>0.93972903517460149</v>
      </c>
      <c r="F65" s="14">
        <v>3.4970899474997799E-5</v>
      </c>
      <c r="G65" s="14">
        <v>4.4140301012540922E-9</v>
      </c>
      <c r="H65" s="14">
        <v>12.336921541961404</v>
      </c>
      <c r="I65" s="14">
        <v>2358.6525680327472</v>
      </c>
      <c r="J65" s="14">
        <v>0</v>
      </c>
      <c r="K65" s="14">
        <v>28595.203869861656</v>
      </c>
      <c r="L65" s="14">
        <v>3.4970899474997799E-5</v>
      </c>
      <c r="M65" s="14">
        <v>2.8693623019235693E-5</v>
      </c>
      <c r="N65" s="14">
        <v>50.192328510465231</v>
      </c>
      <c r="O65" s="14">
        <v>32302.778782765217</v>
      </c>
      <c r="P65" s="8">
        <v>50.192328510465238</v>
      </c>
      <c r="Q65" s="54">
        <v>1.8266863082301722E-2</v>
      </c>
    </row>
    <row r="66" spans="1:17">
      <c r="A66" s="2" t="s">
        <v>303</v>
      </c>
      <c r="B66" s="16" t="s">
        <v>304</v>
      </c>
      <c r="D66" s="14">
        <v>1</v>
      </c>
      <c r="E66" s="14">
        <v>0.93740161495793073</v>
      </c>
      <c r="F66" s="14">
        <v>7.2852867485775596E-5</v>
      </c>
      <c r="G66" s="14">
        <v>4.2814920105022817E-15</v>
      </c>
      <c r="H66" s="14">
        <v>19.313751988784141</v>
      </c>
      <c r="I66" s="14">
        <v>2287.8303713229611</v>
      </c>
      <c r="J66" s="14">
        <v>0</v>
      </c>
      <c r="K66" s="14">
        <v>13726.29567662863</v>
      </c>
      <c r="L66" s="14">
        <v>7.2852867485775596E-5</v>
      </c>
      <c r="M66" s="14">
        <v>5.9775777772078881E-5</v>
      </c>
      <c r="N66" s="14">
        <v>48.419078704202306</v>
      </c>
      <c r="O66" s="14">
        <v>31245.315678608789</v>
      </c>
      <c r="P66" s="8">
        <v>48.419078704202306</v>
      </c>
      <c r="Q66" s="54">
        <v>2.4752770831487095E-2</v>
      </c>
    </row>
    <row r="67" spans="1:17">
      <c r="A67" s="2" t="s">
        <v>411</v>
      </c>
      <c r="B67" s="16" t="s">
        <v>412</v>
      </c>
      <c r="D67" s="14">
        <v>1</v>
      </c>
      <c r="E67" s="14">
        <v>0.92531483137913728</v>
      </c>
      <c r="F67" s="14">
        <v>0.89271389576662863</v>
      </c>
      <c r="G67" s="14">
        <v>5.6681427941385217E-5</v>
      </c>
      <c r="H67" s="14">
        <v>7.8851924053910309</v>
      </c>
      <c r="I67" s="14">
        <v>21.941659222730269</v>
      </c>
      <c r="J67" s="14">
        <v>0</v>
      </c>
      <c r="K67" s="14">
        <v>1.1201797179837087</v>
      </c>
      <c r="L67" s="14">
        <v>0.89271389576662863</v>
      </c>
      <c r="M67" s="14">
        <v>0.73247175147651877</v>
      </c>
      <c r="N67" s="14">
        <v>1.2237433840344603</v>
      </c>
      <c r="O67" s="14">
        <v>367.24538954874157</v>
      </c>
      <c r="P67" s="8">
        <v>1.2237433840344605</v>
      </c>
      <c r="Q67" s="54">
        <v>0.11124217350054222</v>
      </c>
    </row>
    <row r="68" spans="1:17">
      <c r="A68" s="2" t="s">
        <v>413</v>
      </c>
      <c r="B68" s="16" t="s">
        <v>414</v>
      </c>
      <c r="D68" s="14">
        <v>1</v>
      </c>
      <c r="E68" s="14">
        <v>0.89828255431604931</v>
      </c>
      <c r="F68" s="14">
        <v>0.83740486993407615</v>
      </c>
      <c r="G68" s="14">
        <v>1.2509039672556338E-4</v>
      </c>
      <c r="H68" s="14">
        <v>14.170836334734689</v>
      </c>
      <c r="I68" s="14">
        <v>37.588297281036091</v>
      </c>
      <c r="J68" s="14">
        <v>0</v>
      </c>
      <c r="K68" s="14">
        <v>1.1941654937816684</v>
      </c>
      <c r="L68" s="14">
        <v>0.83740486993407626</v>
      </c>
      <c r="M68" s="14">
        <v>0.68709069578090953</v>
      </c>
      <c r="N68" s="14">
        <v>1.4769937795098351</v>
      </c>
      <c r="O68" s="14">
        <v>484.67550874615233</v>
      </c>
      <c r="P68" s="8">
        <v>1.4769937795098351</v>
      </c>
      <c r="Q68" s="54">
        <v>0.14643761701510108</v>
      </c>
    </row>
    <row r="69" spans="1:17">
      <c r="A69" s="2" t="s">
        <v>415</v>
      </c>
      <c r="B69" s="16" t="s">
        <v>416</v>
      </c>
      <c r="D69" s="14">
        <v>1</v>
      </c>
      <c r="E69" s="14">
        <v>0.92553763747327711</v>
      </c>
      <c r="F69" s="14">
        <v>1.480467026246332E-3</v>
      </c>
      <c r="G69" s="14">
        <v>1.4472622248263894E-5</v>
      </c>
      <c r="H69" s="14">
        <v>107.10721797287752</v>
      </c>
      <c r="I69" s="14">
        <v>1440.0444899576671</v>
      </c>
      <c r="J69" s="14">
        <v>0</v>
      </c>
      <c r="K69" s="14">
        <v>675.46252788585366</v>
      </c>
      <c r="L69" s="14">
        <v>1.4804670262463322E-3</v>
      </c>
      <c r="M69" s="14">
        <v>1.2147231950351155E-3</v>
      </c>
      <c r="N69" s="14">
        <v>29.732311473676571</v>
      </c>
      <c r="O69" s="14">
        <v>13798.171108703824</v>
      </c>
      <c r="P69" s="8">
        <v>29.732311473676575</v>
      </c>
      <c r="Q69" s="54">
        <v>7.1215726615945357E-2</v>
      </c>
    </row>
    <row r="70" spans="1:17">
      <c r="A70" s="2" t="s">
        <v>417</v>
      </c>
      <c r="B70" s="16" t="s">
        <v>418</v>
      </c>
      <c r="D70" s="14">
        <v>1</v>
      </c>
      <c r="E70" s="14">
        <v>0.91600877871723707</v>
      </c>
      <c r="F70" s="14">
        <v>2.8236531223846659E-2</v>
      </c>
      <c r="G70" s="14">
        <v>3.8881215338230302E-5</v>
      </c>
      <c r="H70" s="14">
        <v>213.35918504460045</v>
      </c>
      <c r="I70" s="14">
        <v>361.05096875208187</v>
      </c>
      <c r="J70" s="14">
        <v>0</v>
      </c>
      <c r="K70" s="14">
        <v>35.415114982518382</v>
      </c>
      <c r="L70" s="14">
        <v>2.8236531223846659E-2</v>
      </c>
      <c r="M70" s="14">
        <v>2.3168073869166184E-2</v>
      </c>
      <c r="N70" s="14">
        <v>7.2553882904940261</v>
      </c>
      <c r="O70" s="14">
        <v>2278.5546926296488</v>
      </c>
      <c r="P70" s="8">
        <v>7.2553882904940261</v>
      </c>
      <c r="Q70" s="54">
        <v>0.11873219990347593</v>
      </c>
    </row>
    <row r="71" spans="1:17">
      <c r="A71" s="2" t="s">
        <v>419</v>
      </c>
      <c r="B71" s="16" t="s">
        <v>420</v>
      </c>
      <c r="D71" s="14">
        <v>1</v>
      </c>
      <c r="E71" s="14">
        <v>0.89048773248029833</v>
      </c>
      <c r="F71" s="14">
        <v>0.83572958563799493</v>
      </c>
      <c r="G71" s="14">
        <v>3.062769154200081E-4</v>
      </c>
      <c r="H71" s="14">
        <v>12.796340178944577</v>
      </c>
      <c r="I71" s="14">
        <v>34.193452035147395</v>
      </c>
      <c r="J71" s="14">
        <v>0</v>
      </c>
      <c r="K71" s="14">
        <v>1.1965592904511106</v>
      </c>
      <c r="L71" s="14">
        <v>0.83572958563799493</v>
      </c>
      <c r="M71" s="14">
        <v>0.6857161250159749</v>
      </c>
      <c r="N71" s="14">
        <v>1.4097034387304832</v>
      </c>
      <c r="O71" s="14">
        <v>301.73292402587259</v>
      </c>
      <c r="P71" s="8">
        <v>1.4097034387304832</v>
      </c>
      <c r="Q71" s="54">
        <v>0.138721235349232</v>
      </c>
    </row>
    <row r="72" spans="1:17">
      <c r="A72" s="2" t="s">
        <v>421</v>
      </c>
      <c r="B72" s="16" t="s">
        <v>422</v>
      </c>
      <c r="D72" s="14">
        <v>1</v>
      </c>
      <c r="E72" s="14">
        <v>0.90261204103101089</v>
      </c>
      <c r="F72" s="14">
        <v>3.2889014033047004E-2</v>
      </c>
      <c r="G72" s="14">
        <v>1.642704102752172E-4</v>
      </c>
      <c r="H72" s="14">
        <v>208.60794945524688</v>
      </c>
      <c r="I72" s="14">
        <v>357.59218991297269</v>
      </c>
      <c r="J72" s="14">
        <v>0</v>
      </c>
      <c r="K72" s="14">
        <v>30.405289711488351</v>
      </c>
      <c r="L72" s="14">
        <v>3.2889014033047004E-2</v>
      </c>
      <c r="M72" s="14">
        <v>2.6985436014115068E-2</v>
      </c>
      <c r="N72" s="14">
        <v>7.1821830887177329</v>
      </c>
      <c r="O72" s="14">
        <v>2973.9265515453517</v>
      </c>
      <c r="P72" s="8">
        <v>7.1821830887177329</v>
      </c>
      <c r="Q72" s="54">
        <v>0.12623739526939493</v>
      </c>
    </row>
    <row r="73" spans="1:17">
      <c r="A73" s="2" t="s">
        <v>423</v>
      </c>
      <c r="B73" s="16" t="s">
        <v>424</v>
      </c>
      <c r="D73" s="14">
        <v>1</v>
      </c>
      <c r="E73" s="14">
        <v>0.81126936456084875</v>
      </c>
      <c r="F73" s="14">
        <v>0.32393061359434416</v>
      </c>
      <c r="G73" s="14">
        <v>1.7864895549020034E-4</v>
      </c>
      <c r="H73" s="14">
        <v>112.97230599010643</v>
      </c>
      <c r="I73" s="14">
        <v>239.78894914460577</v>
      </c>
      <c r="J73" s="14">
        <v>0</v>
      </c>
      <c r="K73" s="14">
        <v>3.0870808686587807</v>
      </c>
      <c r="L73" s="14">
        <v>0.32393061359434422</v>
      </c>
      <c r="M73" s="14">
        <v>0.26578506845415945</v>
      </c>
      <c r="N73" s="14">
        <v>4.9986120859481584</v>
      </c>
      <c r="O73" s="14">
        <v>2140.2557368404227</v>
      </c>
      <c r="P73" s="8">
        <v>4.9986120859481584</v>
      </c>
      <c r="Q73" s="54">
        <v>0.27417582846588967</v>
      </c>
    </row>
    <row r="74" spans="1:17">
      <c r="A74" s="2" t="s">
        <v>425</v>
      </c>
      <c r="B74" s="16" t="s">
        <v>426</v>
      </c>
      <c r="D74" s="14">
        <v>1</v>
      </c>
      <c r="E74" s="14">
        <v>0.9131348558284228</v>
      </c>
      <c r="F74" s="14">
        <v>2.9528653266877564E-2</v>
      </c>
      <c r="G74" s="14">
        <v>6.0124590011145764E-5</v>
      </c>
      <c r="H74" s="14">
        <v>212.23824228898442</v>
      </c>
      <c r="I74" s="14">
        <v>360.47969840494176</v>
      </c>
      <c r="J74" s="14">
        <v>0</v>
      </c>
      <c r="K74" s="14">
        <v>33.86541170577884</v>
      </c>
      <c r="L74" s="14">
        <v>2.9528653266877564E-2</v>
      </c>
      <c r="M74" s="14">
        <v>2.4228260005473044E-2</v>
      </c>
      <c r="N74" s="14">
        <v>7.2427683920432822</v>
      </c>
      <c r="O74" s="14">
        <v>3825.4854093094204</v>
      </c>
      <c r="P74" s="8">
        <v>7.242768392043283</v>
      </c>
      <c r="Q74" s="54">
        <v>0.12097087195073317</v>
      </c>
    </row>
    <row r="75" spans="1:17">
      <c r="A75" s="2" t="s">
        <v>427</v>
      </c>
      <c r="B75" s="16" t="s">
        <v>428</v>
      </c>
      <c r="D75" s="14">
        <v>1</v>
      </c>
      <c r="E75" s="14">
        <v>0.99615894494843882</v>
      </c>
      <c r="F75" s="14">
        <v>4.3215058962948628E-3</v>
      </c>
      <c r="G75" s="14">
        <v>6.0962613937907143E-12</v>
      </c>
      <c r="H75" s="14">
        <v>281.7961854044591</v>
      </c>
      <c r="I75" s="14">
        <v>1.0068086412659325</v>
      </c>
      <c r="J75" s="14">
        <v>0</v>
      </c>
      <c r="K75" s="14">
        <v>231.4008181401237</v>
      </c>
      <c r="L75" s="14">
        <v>4.3215058962948636E-3</v>
      </c>
      <c r="M75" s="14">
        <v>3.5457955879099352E-3</v>
      </c>
      <c r="N75" s="14">
        <v>3.9101841639048733</v>
      </c>
      <c r="O75" s="14">
        <v>2205.6957850171002</v>
      </c>
      <c r="P75" s="8">
        <v>3.9101841639048733</v>
      </c>
      <c r="Q75" s="54">
        <v>5.6227261795050985E-5</v>
      </c>
    </row>
    <row r="76" spans="1:17">
      <c r="A76" s="2" t="s">
        <v>429</v>
      </c>
      <c r="B76" s="16" t="s">
        <v>430</v>
      </c>
      <c r="D76" s="14">
        <v>1</v>
      </c>
      <c r="E76" s="14">
        <v>0.99615894536285998</v>
      </c>
      <c r="F76" s="14">
        <v>4.321505898092692E-3</v>
      </c>
      <c r="G76" s="14">
        <v>1.5313116284369126E-13</v>
      </c>
      <c r="H76" s="14">
        <v>281.79618552169171</v>
      </c>
      <c r="I76" s="14">
        <v>1.0068086416847841</v>
      </c>
      <c r="J76" s="14">
        <v>0</v>
      </c>
      <c r="K76" s="14">
        <v>231.40081804385656</v>
      </c>
      <c r="L76" s="14">
        <v>4.321505898092692E-3</v>
      </c>
      <c r="M76" s="14">
        <v>3.5457955893850542E-3</v>
      </c>
      <c r="N76" s="14">
        <v>3.9101841655315845</v>
      </c>
      <c r="O76" s="14">
        <v>1955.6004067073113</v>
      </c>
      <c r="P76" s="8">
        <v>3.910184165531585</v>
      </c>
      <c r="Q76" s="54">
        <v>5.62272618184426E-5</v>
      </c>
    </row>
    <row r="77" spans="1:17">
      <c r="A77" s="2" t="s">
        <v>431</v>
      </c>
      <c r="B77" s="16" t="s">
        <v>432</v>
      </c>
      <c r="D77" s="14">
        <v>1</v>
      </c>
      <c r="E77" s="14">
        <v>0.84013142899528126</v>
      </c>
      <c r="F77" s="14">
        <v>0.11996716994554051</v>
      </c>
      <c r="G77" s="14">
        <v>3.118680620316805E-4</v>
      </c>
      <c r="H77" s="14">
        <v>169.72366990240451</v>
      </c>
      <c r="I77" s="14">
        <v>324.93731284325349</v>
      </c>
      <c r="J77" s="14">
        <v>0</v>
      </c>
      <c r="K77" s="14">
        <v>8.3356138221311156</v>
      </c>
      <c r="L77" s="14">
        <v>0.11996716994554051</v>
      </c>
      <c r="M77" s="14">
        <v>9.8433062940315993E-2</v>
      </c>
      <c r="N77" s="14">
        <v>6.5445202737242578</v>
      </c>
      <c r="O77" s="14">
        <v>2382.5980508520533</v>
      </c>
      <c r="P77" s="8">
        <v>6.5445202737242587</v>
      </c>
      <c r="Q77" s="54">
        <v>0.21066849108705543</v>
      </c>
    </row>
    <row r="78" spans="1:17">
      <c r="A78" s="2" t="s">
        <v>433</v>
      </c>
      <c r="B78" s="16" t="s">
        <v>434</v>
      </c>
      <c r="D78" s="14">
        <v>1</v>
      </c>
      <c r="E78" s="14">
        <v>0.82277625227140749</v>
      </c>
      <c r="F78" s="14">
        <v>0.63288568553421665</v>
      </c>
      <c r="G78" s="14">
        <v>4.4562932345056832E-4</v>
      </c>
      <c r="H78" s="14">
        <v>43.445547344578927</v>
      </c>
      <c r="I78" s="14">
        <v>103.94472241187067</v>
      </c>
      <c r="J78" s="14">
        <v>0</v>
      </c>
      <c r="K78" s="14">
        <v>1.5800641772390593</v>
      </c>
      <c r="L78" s="14">
        <v>0.63288568553421665</v>
      </c>
      <c r="M78" s="14">
        <v>0.51928270498082474</v>
      </c>
      <c r="N78" s="14">
        <v>2.5886271047839085</v>
      </c>
      <c r="O78" s="14">
        <v>683.52698701819099</v>
      </c>
      <c r="P78" s="8">
        <v>2.5886271047839085</v>
      </c>
      <c r="Q78" s="54">
        <v>0.229616156861434</v>
      </c>
    </row>
    <row r="79" spans="1:17">
      <c r="A79" s="2" t="s">
        <v>435</v>
      </c>
      <c r="B79" s="16" t="s">
        <v>436</v>
      </c>
      <c r="D79" s="14">
        <v>1</v>
      </c>
      <c r="E79" s="14">
        <v>0.81667210504996612</v>
      </c>
      <c r="F79" s="14">
        <v>0.45608611234994739</v>
      </c>
      <c r="G79" s="14">
        <v>1.0691418655627844E-4</v>
      </c>
      <c r="H79" s="14">
        <v>83.024610787598235</v>
      </c>
      <c r="I79" s="14">
        <v>184.86896896136335</v>
      </c>
      <c r="J79" s="14">
        <v>0</v>
      </c>
      <c r="K79" s="14">
        <v>2.1925684052241352</v>
      </c>
      <c r="L79" s="14">
        <v>0.45608611234994745</v>
      </c>
      <c r="M79" s="14">
        <v>0.37421865518313185</v>
      </c>
      <c r="N79" s="14">
        <v>4.024234066490548</v>
      </c>
      <c r="O79" s="14">
        <v>1610.1362923435333</v>
      </c>
      <c r="P79" s="8">
        <v>4.024234066490548</v>
      </c>
      <c r="Q79" s="54">
        <v>0.27508316917286957</v>
      </c>
    </row>
    <row r="80" spans="1:17">
      <c r="A80" s="2" t="s">
        <v>437</v>
      </c>
      <c r="B80" s="16" t="s">
        <v>438</v>
      </c>
      <c r="D80" s="14">
        <v>1</v>
      </c>
      <c r="E80" s="14">
        <v>0.99259412899050037</v>
      </c>
      <c r="F80" s="14">
        <v>2.9196471211249643E-3</v>
      </c>
      <c r="G80" s="14">
        <v>2.1749978633345811E-12</v>
      </c>
      <c r="H80" s="14">
        <v>281.08027143269413</v>
      </c>
      <c r="I80" s="14">
        <v>1.9290442445294493</v>
      </c>
      <c r="J80" s="14">
        <v>0</v>
      </c>
      <c r="K80" s="14">
        <v>342.5071450465876</v>
      </c>
      <c r="L80" s="14">
        <v>2.9196471211249643E-3</v>
      </c>
      <c r="M80" s="14">
        <v>2.3955704628830332E-3</v>
      </c>
      <c r="N80" s="14">
        <v>7.5649223362114615</v>
      </c>
      <c r="O80" s="14">
        <v>3888.9752745995884</v>
      </c>
      <c r="P80" s="8">
        <v>7.5649223362114624</v>
      </c>
      <c r="Q80" s="54">
        <v>6.8287653339572796E-5</v>
      </c>
    </row>
    <row r="81" spans="1:17">
      <c r="A81" s="2" t="s">
        <v>440</v>
      </c>
      <c r="B81" s="16" t="s">
        <v>441</v>
      </c>
      <c r="D81" s="14">
        <v>1</v>
      </c>
      <c r="E81" s="14">
        <v>0.98669007746105664</v>
      </c>
      <c r="F81" s="14">
        <v>0.9892582276126326</v>
      </c>
      <c r="G81" s="14">
        <v>2.0875561158998121E-15</v>
      </c>
      <c r="H81" s="14">
        <v>0.26363900928506939</v>
      </c>
      <c r="I81" s="14">
        <v>0.94943850705416699</v>
      </c>
      <c r="J81" s="14">
        <v>0</v>
      </c>
      <c r="K81" s="14">
        <v>1.0108584109664576</v>
      </c>
      <c r="L81" s="14">
        <v>0.98925822761263271</v>
      </c>
      <c r="M81" s="14">
        <v>0.81168637575616509</v>
      </c>
      <c r="N81" s="14">
        <v>0.9076836634476585</v>
      </c>
      <c r="O81" s="14">
        <v>251.66437252749779</v>
      </c>
      <c r="P81" s="8">
        <v>0.90768366344765861</v>
      </c>
      <c r="Q81" s="54">
        <v>1.9882310036866066E-2</v>
      </c>
    </row>
    <row r="82" spans="1:17">
      <c r="A82" s="2" t="s">
        <v>442</v>
      </c>
      <c r="B82" s="16" t="s">
        <v>443</v>
      </c>
      <c r="D82" s="14">
        <v>1</v>
      </c>
      <c r="E82" s="14">
        <v>0.89633345062733671</v>
      </c>
      <c r="F82" s="14">
        <v>0.81927298963218609</v>
      </c>
      <c r="G82" s="14">
        <v>1.0430788143118145E-6</v>
      </c>
      <c r="H82" s="14">
        <v>17.802813283507717</v>
      </c>
      <c r="I82" s="14">
        <v>46.36025410852416</v>
      </c>
      <c r="J82" s="14">
        <v>0</v>
      </c>
      <c r="K82" s="14">
        <v>1.2205943716623096</v>
      </c>
      <c r="L82" s="14">
        <v>0.81927298963218609</v>
      </c>
      <c r="M82" s="14">
        <v>0.67221348799320868</v>
      </c>
      <c r="N82" s="14">
        <v>1.6310020313914717</v>
      </c>
      <c r="O82" s="14">
        <v>269.42522556555718</v>
      </c>
      <c r="P82" s="8">
        <v>1.6310020313914717</v>
      </c>
      <c r="Q82" s="54">
        <v>0.16320964033883778</v>
      </c>
    </row>
    <row r="83" spans="1:17">
      <c r="A83" s="2" t="s">
        <v>444</v>
      </c>
      <c r="B83" s="16" t="s">
        <v>445</v>
      </c>
      <c r="D83" s="14">
        <v>1</v>
      </c>
      <c r="E83" s="14">
        <v>0.84850146181966324</v>
      </c>
      <c r="F83" s="14">
        <v>0.15221178228072285</v>
      </c>
      <c r="G83" s="14">
        <v>6.7096019916210397E-6</v>
      </c>
      <c r="H83" s="14">
        <v>163.55667431656934</v>
      </c>
      <c r="I83" s="14">
        <v>319.54015535675239</v>
      </c>
      <c r="J83" s="14">
        <v>0</v>
      </c>
      <c r="K83" s="14">
        <v>6.5697936455123349</v>
      </c>
      <c r="L83" s="14">
        <v>0.15221178228072285</v>
      </c>
      <c r="M83" s="14">
        <v>0.12488976736133311</v>
      </c>
      <c r="N83" s="14">
        <v>6.4553800105580841</v>
      </c>
      <c r="O83" s="14">
        <v>1163.5176931029891</v>
      </c>
      <c r="P83" s="8">
        <v>6.4553800105580841</v>
      </c>
      <c r="Q83" s="54">
        <v>0.23159300719570142</v>
      </c>
    </row>
    <row r="84" spans="1:17">
      <c r="A84" s="2" t="s">
        <v>446</v>
      </c>
      <c r="B84" s="16" t="s">
        <v>447</v>
      </c>
      <c r="D84" s="14">
        <v>1</v>
      </c>
      <c r="E84" s="14">
        <v>0.9719213577050555</v>
      </c>
      <c r="F84" s="14">
        <v>0.96999894752768667</v>
      </c>
      <c r="G84" s="14">
        <v>6.5281443768054262E-17</v>
      </c>
      <c r="H84" s="14">
        <v>1.2032649410211966</v>
      </c>
      <c r="I84" s="14">
        <v>3.869175541899716</v>
      </c>
      <c r="J84" s="14">
        <v>0</v>
      </c>
      <c r="K84" s="14">
        <v>1.030928953633176</v>
      </c>
      <c r="L84" s="14">
        <v>0.96999894752768667</v>
      </c>
      <c r="M84" s="14">
        <v>0.79588413644646694</v>
      </c>
      <c r="N84" s="14">
        <v>0.94582250735040774</v>
      </c>
      <c r="O84" s="14">
        <v>367.82091488350005</v>
      </c>
      <c r="P84" s="8">
        <v>0.94582250735040774</v>
      </c>
      <c r="Q84" s="54">
        <v>4.3452866753790217E-2</v>
      </c>
    </row>
    <row r="85" spans="1:17">
      <c r="A85" s="2" t="s">
        <v>448</v>
      </c>
      <c r="B85" s="16" t="s">
        <v>449</v>
      </c>
      <c r="D85" s="14">
        <v>1</v>
      </c>
      <c r="E85" s="14">
        <v>0.99399079316716576</v>
      </c>
      <c r="F85" s="14">
        <v>0.99763684404517627</v>
      </c>
      <c r="G85" s="14">
        <v>4.4585225499402836E-10</v>
      </c>
      <c r="H85" s="14">
        <v>4.7947114916230479E-2</v>
      </c>
      <c r="I85" s="14">
        <v>0.19589333077337912</v>
      </c>
      <c r="J85" s="14">
        <v>0</v>
      </c>
      <c r="K85" s="14">
        <v>1.0023687536892099</v>
      </c>
      <c r="L85" s="14">
        <v>0.99763684404517639</v>
      </c>
      <c r="M85" s="14">
        <v>0.81856103053906726</v>
      </c>
      <c r="N85" s="14">
        <v>0.90104975583168279</v>
      </c>
      <c r="O85" s="14">
        <v>161.50415823527084</v>
      </c>
      <c r="P85" s="8">
        <v>0.9010497558316829</v>
      </c>
      <c r="Q85" s="54">
        <v>8.2114461773336034E-3</v>
      </c>
    </row>
    <row r="86" spans="1:17">
      <c r="A86" s="2" t="s">
        <v>450</v>
      </c>
      <c r="B86" s="16" t="s">
        <v>451</v>
      </c>
      <c r="D86" s="14">
        <v>1</v>
      </c>
      <c r="E86" s="14">
        <v>0.97259661197816394</v>
      </c>
      <c r="F86" s="14">
        <v>0.97094567620038597</v>
      </c>
      <c r="G86" s="14">
        <v>1.6409427134577454E-10</v>
      </c>
      <c r="H86" s="14">
        <v>1.1456842217798273</v>
      </c>
      <c r="I86" s="14">
        <v>3.6976185157038013</v>
      </c>
      <c r="J86" s="14">
        <v>0</v>
      </c>
      <c r="K86" s="14">
        <v>1.0299237377659609</v>
      </c>
      <c r="L86" s="14">
        <v>0.97094567620038597</v>
      </c>
      <c r="M86" s="14">
        <v>0.79666092732241667</v>
      </c>
      <c r="N86" s="14">
        <v>0.94340327120998269</v>
      </c>
      <c r="O86" s="14">
        <v>246.31316008021435</v>
      </c>
      <c r="P86" s="8">
        <v>0.94340327120998269</v>
      </c>
      <c r="Q86" s="54">
        <v>4.237620909534829E-2</v>
      </c>
    </row>
    <row r="87" spans="1:17">
      <c r="A87" s="2" t="s">
        <v>452</v>
      </c>
      <c r="B87" s="16" t="s">
        <v>453</v>
      </c>
      <c r="D87" s="14">
        <v>1</v>
      </c>
      <c r="E87" s="14">
        <v>0.929150942787621</v>
      </c>
      <c r="F87" s="14">
        <v>5.3637758572601933E-4</v>
      </c>
      <c r="G87" s="14">
        <v>5.5324705250331914E-10</v>
      </c>
      <c r="H87" s="14">
        <v>62.472749640179245</v>
      </c>
      <c r="I87" s="14">
        <v>1865.296141795443</v>
      </c>
      <c r="J87" s="14">
        <v>0</v>
      </c>
      <c r="K87" s="14">
        <v>1864.3582927620655</v>
      </c>
      <c r="L87" s="14">
        <v>5.3637758572601944E-4</v>
      </c>
      <c r="M87" s="14">
        <v>4.4009780908819892E-4</v>
      </c>
      <c r="N87" s="14">
        <v>38.861466166637967</v>
      </c>
      <c r="O87" s="14">
        <v>16178.028365171385</v>
      </c>
      <c r="P87" s="8">
        <v>38.861466166637967</v>
      </c>
      <c r="Q87" s="54">
        <v>5.283817293262584E-2</v>
      </c>
    </row>
    <row r="88" spans="1:17">
      <c r="A88" s="2" t="s">
        <v>454</v>
      </c>
      <c r="B88" s="16" t="s">
        <v>455</v>
      </c>
      <c r="D88" s="14">
        <v>1</v>
      </c>
      <c r="E88" s="14">
        <v>0.86312641231779519</v>
      </c>
      <c r="F88" s="14">
        <v>0.71249528336010759</v>
      </c>
      <c r="G88" s="14">
        <v>5.2431282554709672E-7</v>
      </c>
      <c r="H88" s="14">
        <v>34.463707342439989</v>
      </c>
      <c r="I88" s="14">
        <v>84.609506991309971</v>
      </c>
      <c r="J88" s="14">
        <v>0</v>
      </c>
      <c r="K88" s="14">
        <v>1.4035180630025061</v>
      </c>
      <c r="L88" s="14">
        <v>0.71249528336010759</v>
      </c>
      <c r="M88" s="14">
        <v>0.58460237999696829</v>
      </c>
      <c r="N88" s="14">
        <v>2.2809357928144944</v>
      </c>
      <c r="O88" s="14">
        <v>436.2745890916284</v>
      </c>
      <c r="P88" s="8">
        <v>2.2809357928144944</v>
      </c>
      <c r="Q88" s="54">
        <v>0.21538683991372343</v>
      </c>
    </row>
    <row r="89" spans="1:17">
      <c r="A89" s="2" t="s">
        <v>456</v>
      </c>
      <c r="B89" s="16" t="s">
        <v>457</v>
      </c>
      <c r="D89" s="14">
        <v>1</v>
      </c>
      <c r="E89" s="14">
        <v>0.89029617349772538</v>
      </c>
      <c r="F89" s="14">
        <v>0.80232735461736771</v>
      </c>
      <c r="G89" s="14">
        <v>3.4641771044299423E-19</v>
      </c>
      <c r="H89" s="14">
        <v>20.256835406680448</v>
      </c>
      <c r="I89" s="14">
        <v>52.170953012456565</v>
      </c>
      <c r="J89" s="14">
        <v>0</v>
      </c>
      <c r="K89" s="14">
        <v>1.246374056979402</v>
      </c>
      <c r="L89" s="14">
        <v>0.80232735461736782</v>
      </c>
      <c r="M89" s="14">
        <v>0.65830959446355031</v>
      </c>
      <c r="N89" s="14">
        <v>1.7287795417937595</v>
      </c>
      <c r="O89" s="14">
        <v>678.47681897237885</v>
      </c>
      <c r="P89" s="8">
        <v>1.7287795417937597</v>
      </c>
      <c r="Q89" s="54">
        <v>0.17283383639721908</v>
      </c>
    </row>
    <row r="90" spans="1:17">
      <c r="A90" s="2" t="s">
        <v>458</v>
      </c>
      <c r="B90" s="16" t="s">
        <v>459</v>
      </c>
      <c r="D90" s="14">
        <v>1</v>
      </c>
      <c r="E90" s="14">
        <v>0.94603333126428868</v>
      </c>
      <c r="F90" s="14">
        <v>0.92883911117780726</v>
      </c>
      <c r="G90" s="14">
        <v>5.0029824785173064E-31</v>
      </c>
      <c r="H90" s="14">
        <v>4.5019482058625355</v>
      </c>
      <c r="I90" s="14">
        <v>13.093557657868917</v>
      </c>
      <c r="J90" s="14">
        <v>0</v>
      </c>
      <c r="K90" s="14">
        <v>1.076612717924806</v>
      </c>
      <c r="L90" s="14">
        <v>0.92883911117780726</v>
      </c>
      <c r="M90" s="14">
        <v>0.76211249072139087</v>
      </c>
      <c r="N90" s="14">
        <v>1.0856284781941132</v>
      </c>
      <c r="O90" s="14">
        <v>847.81070376091088</v>
      </c>
      <c r="P90" s="8">
        <v>1.0856284781941132</v>
      </c>
      <c r="Q90" s="54">
        <v>8.4655984560430525E-2</v>
      </c>
    </row>
    <row r="91" spans="1:17">
      <c r="A91" s="2" t="s">
        <v>460</v>
      </c>
      <c r="B91" s="16" t="s">
        <v>461</v>
      </c>
      <c r="D91" s="14">
        <v>1</v>
      </c>
      <c r="E91" s="14">
        <v>0.92897080241607877</v>
      </c>
      <c r="F91" s="14">
        <v>3.5900349164353254E-3</v>
      </c>
      <c r="G91" s="14">
        <v>5.9140795268550079E-10</v>
      </c>
      <c r="H91" s="14">
        <v>159.94058218423683</v>
      </c>
      <c r="I91" s="14">
        <v>954.36794351248091</v>
      </c>
      <c r="J91" s="14">
        <v>0</v>
      </c>
      <c r="K91" s="14">
        <v>278.54882286017875</v>
      </c>
      <c r="L91" s="14">
        <v>3.5900349164353254E-3</v>
      </c>
      <c r="M91" s="14">
        <v>2.9456236489351847E-3</v>
      </c>
      <c r="N91" s="14">
        <v>19.526815236488986</v>
      </c>
      <c r="O91" s="14">
        <v>5983.0161884602248</v>
      </c>
      <c r="P91" s="8">
        <v>19.526815236488986</v>
      </c>
      <c r="Q91" s="54">
        <v>8.3236889634957539E-2</v>
      </c>
    </row>
    <row r="92" spans="1:17">
      <c r="A92" s="2" t="s">
        <v>462</v>
      </c>
      <c r="B92" s="16" t="s">
        <v>463</v>
      </c>
      <c r="D92" s="14">
        <v>1</v>
      </c>
      <c r="E92" s="14">
        <v>0.83386506901582236</v>
      </c>
      <c r="F92" s="14">
        <v>0.21598992893011879</v>
      </c>
      <c r="G92" s="14">
        <v>5.9915886477219315E-11</v>
      </c>
      <c r="H92" s="14">
        <v>144.31567385264066</v>
      </c>
      <c r="I92" s="14">
        <v>291.99181142503625</v>
      </c>
      <c r="J92" s="14">
        <v>0</v>
      </c>
      <c r="K92" s="14">
        <v>4.6298454976738252</v>
      </c>
      <c r="L92" s="14">
        <v>0.21598992893011879</v>
      </c>
      <c r="M92" s="14">
        <v>0.17721973668716245</v>
      </c>
      <c r="N92" s="14">
        <v>5.9503499834121367</v>
      </c>
      <c r="O92" s="14">
        <v>2004.1968814128759</v>
      </c>
      <c r="P92" s="8">
        <v>5.9503499834121367</v>
      </c>
      <c r="Q92" s="54">
        <v>0.25654920448993768</v>
      </c>
    </row>
    <row r="93" spans="1:17">
      <c r="A93" s="2" t="s">
        <v>464</v>
      </c>
      <c r="B93" s="16" t="s">
        <v>465</v>
      </c>
      <c r="D93" s="14">
        <v>1</v>
      </c>
      <c r="E93" s="14">
        <v>0.90309807999615865</v>
      </c>
      <c r="F93" s="14">
        <v>4.3720227548161399E-2</v>
      </c>
      <c r="G93" s="14">
        <v>2.4460813777460635E-6</v>
      </c>
      <c r="H93" s="14">
        <v>205.41985277865359</v>
      </c>
      <c r="I93" s="14">
        <v>359.9975825438317</v>
      </c>
      <c r="J93" s="14">
        <v>0</v>
      </c>
      <c r="K93" s="14">
        <v>22.872708036535681</v>
      </c>
      <c r="L93" s="14">
        <v>4.3720227548161406E-2</v>
      </c>
      <c r="M93" s="14">
        <v>3.5872446703266433E-2</v>
      </c>
      <c r="N93" s="14">
        <v>7.2260409595877739</v>
      </c>
      <c r="O93" s="14">
        <v>3360.7593898946775</v>
      </c>
      <c r="P93" s="8">
        <v>7.2260409595877739</v>
      </c>
      <c r="Q93" s="54">
        <v>0.14351575643744049</v>
      </c>
    </row>
    <row r="94" spans="1:17">
      <c r="A94" s="2" t="s">
        <v>466</v>
      </c>
      <c r="B94" s="16" t="s">
        <v>467</v>
      </c>
      <c r="D94" s="14">
        <v>1</v>
      </c>
      <c r="E94" s="14">
        <v>0.99906447825141353</v>
      </c>
      <c r="F94" s="14">
        <v>0.89757262242007918</v>
      </c>
      <c r="G94" s="14">
        <v>2.036601297299862E-20</v>
      </c>
      <c r="H94" s="14">
        <v>29.836618228210742</v>
      </c>
      <c r="I94" s="14">
        <v>3.6303601158000999E-2</v>
      </c>
      <c r="J94" s="14">
        <v>0</v>
      </c>
      <c r="K94" s="14">
        <v>1.1141159779403154</v>
      </c>
      <c r="L94" s="14">
        <v>0.89757262242007929</v>
      </c>
      <c r="M94" s="14">
        <v>0.73645833669567506</v>
      </c>
      <c r="N94" s="14">
        <v>0.89206996834880925</v>
      </c>
      <c r="O94" s="14">
        <v>295.04322133168517</v>
      </c>
      <c r="P94" s="8">
        <v>0.89206996834880925</v>
      </c>
      <c r="Q94" s="54">
        <v>1.0758450036286652E-4</v>
      </c>
    </row>
    <row r="95" spans="1:17">
      <c r="A95" s="2" t="s">
        <v>468</v>
      </c>
      <c r="B95" s="16" t="s">
        <v>469</v>
      </c>
      <c r="D95" s="14">
        <v>1</v>
      </c>
      <c r="E95" s="14">
        <v>0.93876862743118195</v>
      </c>
      <c r="F95" s="14">
        <v>8.4257436631425351E-3</v>
      </c>
      <c r="G95" s="14">
        <v>2.3902136933769618E-20</v>
      </c>
      <c r="H95" s="14">
        <v>211.98651851127218</v>
      </c>
      <c r="I95" s="14">
        <v>485.58516830809407</v>
      </c>
      <c r="J95" s="14">
        <v>0</v>
      </c>
      <c r="K95" s="14">
        <v>118.68388595470653</v>
      </c>
      <c r="L95" s="14">
        <v>8.4257436631425368E-3</v>
      </c>
      <c r="M95" s="14">
        <v>6.9133226756084507E-3</v>
      </c>
      <c r="N95" s="14">
        <v>9.8346983293068924</v>
      </c>
      <c r="O95" s="14">
        <v>4858.3409746776051</v>
      </c>
      <c r="P95" s="8">
        <v>9.8346983293068941</v>
      </c>
      <c r="Q95" s="54">
        <v>8.2654292578601782E-2</v>
      </c>
    </row>
    <row r="96" spans="1:17">
      <c r="A96" s="2" t="s">
        <v>470</v>
      </c>
      <c r="B96" s="164">
        <v>354656</v>
      </c>
      <c r="D96" s="14">
        <v>1</v>
      </c>
      <c r="E96" s="14">
        <v>0.98620156004510262</v>
      </c>
      <c r="F96" s="14">
        <v>0.98867001552786959</v>
      </c>
      <c r="G96" s="14">
        <v>4.1644710822036326E-12</v>
      </c>
      <c r="H96" s="14">
        <v>0.28400851630394675</v>
      </c>
      <c r="I96" s="14">
        <v>1.0171582684291633</v>
      </c>
      <c r="J96" s="14">
        <v>0</v>
      </c>
      <c r="K96" s="14">
        <v>1.0114598241012509</v>
      </c>
      <c r="L96" s="14">
        <v>0.98867001552786959</v>
      </c>
      <c r="M96" s="14">
        <v>0.81120374774061699</v>
      </c>
      <c r="N96" s="14">
        <v>0.90843353753342326</v>
      </c>
      <c r="O96" s="14">
        <v>179.13400926621574</v>
      </c>
      <c r="P96" s="8">
        <v>0.90843353753342337</v>
      </c>
      <c r="Q96" s="54">
        <v>2.0662769632296147E-2</v>
      </c>
    </row>
    <row r="97" spans="1:17">
      <c r="A97" s="2" t="s">
        <v>472</v>
      </c>
      <c r="B97" s="16" t="s">
        <v>473</v>
      </c>
      <c r="D97" s="14">
        <v>1</v>
      </c>
      <c r="E97" s="14">
        <v>0.97157761696638345</v>
      </c>
      <c r="F97" s="14">
        <v>0.9695145825866075</v>
      </c>
      <c r="G97" s="14">
        <v>6.5257860834456033E-12</v>
      </c>
      <c r="H97" s="14">
        <v>1.2331171722751555</v>
      </c>
      <c r="I97" s="14">
        <v>3.9578699199962832</v>
      </c>
      <c r="J97" s="14">
        <v>0</v>
      </c>
      <c r="K97" s="14">
        <v>1.0314440009061638</v>
      </c>
      <c r="L97" s="14">
        <v>0.96951458258660761</v>
      </c>
      <c r="M97" s="14">
        <v>0.7954867150123115</v>
      </c>
      <c r="N97" s="14">
        <v>0.9470782305857105</v>
      </c>
      <c r="O97" s="14">
        <v>151.70299097521911</v>
      </c>
      <c r="P97" s="8">
        <v>0.9470782305857105</v>
      </c>
      <c r="Q97" s="54">
        <v>4.4000895625133173E-2</v>
      </c>
    </row>
    <row r="98" spans="1:17">
      <c r="A98" s="2" t="s">
        <v>474</v>
      </c>
      <c r="B98" s="16" t="s">
        <v>475</v>
      </c>
      <c r="D98" s="14">
        <v>1</v>
      </c>
      <c r="E98" s="14">
        <v>0.92915460798385718</v>
      </c>
      <c r="F98" s="14">
        <v>1.995650044023781E-2</v>
      </c>
      <c r="G98" s="14">
        <v>5.6222852199455682E-22</v>
      </c>
      <c r="H98" s="14">
        <v>219.42413046724519</v>
      </c>
      <c r="I98" s="14">
        <v>361.19485612889486</v>
      </c>
      <c r="J98" s="14">
        <v>0</v>
      </c>
      <c r="K98" s="14">
        <v>50.10898594142909</v>
      </c>
      <c r="L98" s="14">
        <v>1.9956500440237813E-2</v>
      </c>
      <c r="M98" s="14">
        <v>1.6374308611215124E-2</v>
      </c>
      <c r="N98" s="14">
        <v>7.2684603683994364</v>
      </c>
      <c r="O98" s="14">
        <v>3862.6778935785119</v>
      </c>
      <c r="P98" s="8">
        <v>7.2684603683994364</v>
      </c>
      <c r="Q98" s="54">
        <v>0.10203321161210771</v>
      </c>
    </row>
    <row r="99" spans="1:17">
      <c r="A99" s="2" t="s">
        <v>476</v>
      </c>
      <c r="B99" s="16" t="s">
        <v>477</v>
      </c>
      <c r="D99" s="14">
        <v>1</v>
      </c>
      <c r="E99" s="14">
        <v>0.99557708190695859</v>
      </c>
      <c r="F99" s="14">
        <v>0.9993515607490161</v>
      </c>
      <c r="G99" s="14">
        <v>1.941899646832878E-9</v>
      </c>
      <c r="H99" s="14">
        <v>2.3550400385732972E-2</v>
      </c>
      <c r="I99" s="14">
        <v>0.10140408855088594</v>
      </c>
      <c r="J99" s="14">
        <v>0</v>
      </c>
      <c r="K99" s="14">
        <v>1.0006488599972745</v>
      </c>
      <c r="L99" s="14">
        <v>0.99935156074901621</v>
      </c>
      <c r="M99" s="14">
        <v>0.81996795559456781</v>
      </c>
      <c r="N99" s="14">
        <v>0.90083083608010384</v>
      </c>
      <c r="O99" s="14">
        <v>116.35131078810622</v>
      </c>
      <c r="P99" s="8">
        <v>0.90083083608010395</v>
      </c>
      <c r="Q99" s="54">
        <v>5.6735575673835456E-3</v>
      </c>
    </row>
    <row r="100" spans="1:17">
      <c r="A100" s="2" t="s">
        <v>478</v>
      </c>
      <c r="B100" s="16" t="s">
        <v>479</v>
      </c>
      <c r="D100" s="14">
        <v>1</v>
      </c>
      <c r="E100" s="14">
        <v>0.82664161690074667</v>
      </c>
      <c r="F100" s="14">
        <v>0.50634986580884345</v>
      </c>
      <c r="G100" s="14">
        <v>6.9807034169297253E-13</v>
      </c>
      <c r="H100" s="14">
        <v>73.598794209071301</v>
      </c>
      <c r="I100" s="14">
        <v>166.62028385151524</v>
      </c>
      <c r="J100" s="14">
        <v>0</v>
      </c>
      <c r="K100" s="14">
        <v>1.9749190579967859</v>
      </c>
      <c r="L100" s="14">
        <v>0.50634986580884345</v>
      </c>
      <c r="M100" s="14">
        <v>0.41546006489615611</v>
      </c>
      <c r="N100" s="14">
        <v>3.7080040858889269</v>
      </c>
      <c r="O100" s="14">
        <v>1111.6596249495003</v>
      </c>
      <c r="P100" s="8">
        <v>3.7080040858889269</v>
      </c>
      <c r="Q100" s="54">
        <v>0.27159881451753048</v>
      </c>
    </row>
    <row r="101" spans="1:17">
      <c r="A101" s="2" t="s">
        <v>480</v>
      </c>
      <c r="B101" s="16" t="s">
        <v>481</v>
      </c>
      <c r="D101" s="14">
        <v>1</v>
      </c>
      <c r="E101" s="14">
        <v>0.9931661391943426</v>
      </c>
      <c r="F101" s="14">
        <v>0.99673001869857214</v>
      </c>
      <c r="G101" s="14">
        <v>5.241867341780114E-13</v>
      </c>
      <c r="H101" s="14">
        <v>6.3864209097016456E-2</v>
      </c>
      <c r="I101" s="14">
        <v>0.25545517731062134</v>
      </c>
      <c r="J101" s="14">
        <v>0</v>
      </c>
      <c r="K101" s="14">
        <v>1.0032807091590332</v>
      </c>
      <c r="L101" s="14">
        <v>0.99673001869857225</v>
      </c>
      <c r="M101" s="14">
        <v>0.81781698034217853</v>
      </c>
      <c r="N101" s="14">
        <v>0.90134760139536629</v>
      </c>
      <c r="O101" s="14">
        <v>214.66494474832044</v>
      </c>
      <c r="P101" s="8">
        <v>0.9013476013953664</v>
      </c>
      <c r="Q101" s="54">
        <v>9.5304785657697056E-3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0.99761922690729254</v>
      </c>
      <c r="F102" s="14">
        <v>1.0014991585626136</v>
      </c>
      <c r="G102" s="14">
        <v>3.2749077911470991E-29</v>
      </c>
      <c r="H102" s="14">
        <v>4.5307551079744861E-3</v>
      </c>
      <c r="I102" s="14">
        <v>2.2030672756358186E-2</v>
      </c>
      <c r="J102" s="14">
        <v>0</v>
      </c>
      <c r="K102" s="14">
        <v>0.99850308554950229</v>
      </c>
      <c r="L102" s="14">
        <v>1.0014991585626136</v>
      </c>
      <c r="M102" s="14">
        <v>0.82173005960062451</v>
      </c>
      <c r="N102" s="14">
        <v>0.90129251970407109</v>
      </c>
      <c r="O102" s="14">
        <v>414.98211484734543</v>
      </c>
      <c r="P102" s="8">
        <v>0.90129251970407109</v>
      </c>
      <c r="Q102" s="54">
        <v>2.4056240643128505E-3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0.99569047075679296</v>
      </c>
      <c r="F103" s="14">
        <v>0.99947259710998293</v>
      </c>
      <c r="G103" s="14">
        <v>2.6189630978510637E-15</v>
      </c>
      <c r="H103" s="14">
        <v>2.2125897258390332E-2</v>
      </c>
      <c r="I103" s="14">
        <v>9.5710164394035124E-2</v>
      </c>
      <c r="J103" s="14">
        <v>0</v>
      </c>
      <c r="K103" s="14">
        <v>1.0005276811906021</v>
      </c>
      <c r="L103" s="14">
        <v>0.99947259710998293</v>
      </c>
      <c r="M103" s="14">
        <v>0.82006726592874102</v>
      </c>
      <c r="N103" s="14">
        <v>0.900833856948977</v>
      </c>
      <c r="O103" s="14">
        <v>184.89614913877753</v>
      </c>
      <c r="P103" s="8">
        <v>0.900833856948977</v>
      </c>
      <c r="Q103" s="54">
        <v>5.4923481956155439E-3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0.97941901010876997</v>
      </c>
      <c r="F104" s="14">
        <v>0.98015605839556208</v>
      </c>
      <c r="G104" s="14">
        <v>3.2944560360923995E-11</v>
      </c>
      <c r="H104" s="14">
        <v>0.64262146616493276</v>
      </c>
      <c r="I104" s="14">
        <v>2.1657703281645544</v>
      </c>
      <c r="J104" s="14">
        <v>0</v>
      </c>
      <c r="K104" s="14">
        <v>1.0202456960138786</v>
      </c>
      <c r="L104" s="14">
        <v>0.98015605839556208</v>
      </c>
      <c r="M104" s="14">
        <v>0.80421804591355872</v>
      </c>
      <c r="N104" s="14">
        <v>0.92253763358666041</v>
      </c>
      <c r="O104" s="14">
        <v>139.45078869295958</v>
      </c>
      <c r="P104" s="8">
        <v>0.92253763358666041</v>
      </c>
      <c r="Q104" s="54">
        <v>3.1492881528138152E-2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0.99731896222951255</v>
      </c>
      <c r="F105" s="14">
        <v>1.0011878016215472</v>
      </c>
      <c r="G105" s="14">
        <v>2.6055777516889808E-18</v>
      </c>
      <c r="H105" s="14">
        <v>6.4279952854900428E-3</v>
      </c>
      <c r="I105" s="14">
        <v>3.0460197879974411E-2</v>
      </c>
      <c r="J105" s="14">
        <v>0</v>
      </c>
      <c r="K105" s="14">
        <v>0.99881360757729631</v>
      </c>
      <c r="L105" s="14">
        <v>1.0011878016215472</v>
      </c>
      <c r="M105" s="14">
        <v>0.8214745912304795</v>
      </c>
      <c r="N105" s="14">
        <v>0.90116775117589309</v>
      </c>
      <c r="O105" s="14">
        <v>305.82028803905109</v>
      </c>
      <c r="P105" s="8">
        <v>0.90116775117589321</v>
      </c>
      <c r="Q105" s="54">
        <v>2.8862418549479123E-3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0.93210961152089389</v>
      </c>
      <c r="F106" s="14">
        <v>0.90256478399855866</v>
      </c>
      <c r="G106" s="14">
        <v>1.5415828565695028E-10</v>
      </c>
      <c r="H106" s="14">
        <v>7.213372907262654</v>
      </c>
      <c r="I106" s="14">
        <v>20.220670629900695</v>
      </c>
      <c r="J106" s="14">
        <v>0</v>
      </c>
      <c r="K106" s="14">
        <v>1.1079537089512645</v>
      </c>
      <c r="L106" s="14">
        <v>0.90256478399855866</v>
      </c>
      <c r="M106" s="14">
        <v>0.7405544052708174</v>
      </c>
      <c r="N106" s="14">
        <v>1.1993594327470505</v>
      </c>
      <c r="O106" s="14">
        <v>230.43292781369081</v>
      </c>
      <c r="P106" s="8">
        <v>1.1993594327470507</v>
      </c>
      <c r="Q106" s="54">
        <v>0.10675680187757725</v>
      </c>
    </row>
    <row r="107" spans="1:17">
      <c r="A107" s="2" t="s">
        <v>492</v>
      </c>
      <c r="B107" s="16" t="s">
        <v>493</v>
      </c>
      <c r="D107" s="14">
        <v>1</v>
      </c>
      <c r="E107" s="14">
        <v>0.93736963232896242</v>
      </c>
      <c r="F107" s="14">
        <v>1.4683967522879133E-2</v>
      </c>
      <c r="G107" s="14">
        <v>2.6148808405925495E-18</v>
      </c>
      <c r="H107" s="14">
        <v>223.4721541036061</v>
      </c>
      <c r="I107" s="14">
        <v>359.15389943933326</v>
      </c>
      <c r="J107" s="14">
        <v>0</v>
      </c>
      <c r="K107" s="14">
        <v>68.10148540861978</v>
      </c>
      <c r="L107" s="14">
        <v>1.4683967522879133E-2</v>
      </c>
      <c r="M107" s="14">
        <v>1.204819535252233E-2</v>
      </c>
      <c r="N107" s="14">
        <v>7.237997821506676</v>
      </c>
      <c r="O107" s="14">
        <v>3290.393809656935</v>
      </c>
      <c r="P107" s="8">
        <v>7.237997821506676</v>
      </c>
      <c r="Q107" s="54">
        <v>8.8936612999633333E-2</v>
      </c>
    </row>
    <row r="108" spans="1:17">
      <c r="A108" s="2" t="s">
        <v>291</v>
      </c>
      <c r="B108" s="16" t="s">
        <v>494</v>
      </c>
      <c r="D108" s="14">
        <v>1</v>
      </c>
      <c r="E108" s="14">
        <v>0.83557450004009637</v>
      </c>
      <c r="F108" s="14">
        <v>0.57750765848178354</v>
      </c>
      <c r="G108" s="14">
        <v>3.9825958383009047E-12</v>
      </c>
      <c r="H108" s="14">
        <v>59.147684535475733</v>
      </c>
      <c r="I108" s="14">
        <v>137.40258985400081</v>
      </c>
      <c r="J108" s="14">
        <v>0</v>
      </c>
      <c r="K108" s="14">
        <v>1.7315787683732389</v>
      </c>
      <c r="L108" s="14">
        <v>0.57750765848178365</v>
      </c>
      <c r="M108" s="14">
        <v>0.47384503378430343</v>
      </c>
      <c r="N108" s="14">
        <v>3.1956488095149385</v>
      </c>
      <c r="O108" s="14">
        <v>985.31439743774092</v>
      </c>
      <c r="P108" s="8">
        <v>3.1956488095149385</v>
      </c>
      <c r="Q108" s="54">
        <v>0.25810410907711034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7.8661559046988875E-5</v>
      </c>
      <c r="E2" s="20">
        <v>0.91451757074658346</v>
      </c>
      <c r="F2" s="20">
        <v>4.111319556308015E-2</v>
      </c>
      <c r="G2" s="20">
        <v>1.1975034944928882E-2</v>
      </c>
      <c r="H2" s="20">
        <v>0</v>
      </c>
      <c r="I2" s="20">
        <v>0.86142934023857443</v>
      </c>
      <c r="J2" s="20">
        <v>1.3468984933441433E-3</v>
      </c>
      <c r="K2" s="20">
        <v>8.4056869201025453E-2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2.8653169227215208E-3</v>
      </c>
      <c r="E3" s="20">
        <v>0.92560782932850061</v>
      </c>
      <c r="F3" s="20">
        <v>0.24933965204168598</v>
      </c>
      <c r="G3" s="20">
        <v>0.67559574311591675</v>
      </c>
      <c r="H3" s="20">
        <v>0</v>
      </c>
      <c r="I3" s="20">
        <v>6.7243417089790202E-4</v>
      </c>
      <c r="J3" s="20">
        <v>3.5981460347760889E-2</v>
      </c>
      <c r="K3" s="20">
        <v>3.554539340101702E-2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4.2413373163079856E-12</v>
      </c>
      <c r="E4" s="20">
        <v>0.82167523607379422</v>
      </c>
      <c r="F4" s="20">
        <v>0.31054282386946308</v>
      </c>
      <c r="G4" s="20">
        <v>7.4133935056177866E-2</v>
      </c>
      <c r="H4" s="20">
        <v>0</v>
      </c>
      <c r="I4" s="20">
        <v>0.43699847714815332</v>
      </c>
      <c r="J4" s="20">
        <v>4.0985601021831458E-3</v>
      </c>
      <c r="K4" s="20">
        <v>0.17422620381978132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9.9469729468062946E-5</v>
      </c>
      <c r="E5" s="20">
        <v>0.93669104168292372</v>
      </c>
      <c r="F5" s="20">
        <v>0.72029370800165404</v>
      </c>
      <c r="G5" s="20">
        <v>0.20902834233073031</v>
      </c>
      <c r="H5" s="20">
        <v>0</v>
      </c>
      <c r="I5" s="20">
        <v>7.3689913505393971E-3</v>
      </c>
      <c r="J5" s="20">
        <v>1.0861307368042776E-2</v>
      </c>
      <c r="K5" s="20">
        <v>5.234818121956536E-2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9.2491682384037252E-6</v>
      </c>
      <c r="E6" s="20">
        <v>0.93162797023111676</v>
      </c>
      <c r="F6" s="20">
        <v>0.15755107234193375</v>
      </c>
      <c r="G6" s="20">
        <v>0.77377896408007418</v>
      </c>
      <c r="H6" s="20">
        <v>0</v>
      </c>
      <c r="I6" s="20">
        <v>2.9793380910882151E-4</v>
      </c>
      <c r="J6" s="20">
        <v>4.1489954634441245E-2</v>
      </c>
      <c r="K6" s="20">
        <v>2.6872825966203644E-2</v>
      </c>
      <c r="L6" s="20">
        <v>0</v>
      </c>
    </row>
    <row r="7" spans="1:14">
      <c r="A7" s="2" t="s">
        <v>321</v>
      </c>
      <c r="B7" s="3" t="s">
        <v>322</v>
      </c>
      <c r="D7" s="20">
        <v>1.3756804333702027E-5</v>
      </c>
      <c r="E7" s="20">
        <v>0.92868169962494429</v>
      </c>
      <c r="F7" s="20">
        <v>0.23460444944240821</v>
      </c>
      <c r="G7" s="20">
        <v>0.69347658194147965</v>
      </c>
      <c r="H7" s="20">
        <v>0</v>
      </c>
      <c r="I7" s="20">
        <v>6.0066824105643399E-4</v>
      </c>
      <c r="J7" s="20">
        <v>3.6970241741186599E-2</v>
      </c>
      <c r="K7" s="20">
        <v>3.4334301829535438E-2</v>
      </c>
      <c r="L7" s="20">
        <v>0</v>
      </c>
    </row>
    <row r="8" spans="1:14">
      <c r="A8" s="2" t="s">
        <v>323</v>
      </c>
      <c r="B8" s="3" t="s">
        <v>324</v>
      </c>
      <c r="D8" s="20">
        <v>1.3142825846487532E-4</v>
      </c>
      <c r="E8" s="20">
        <v>0.92642110854123194</v>
      </c>
      <c r="F8" s="20">
        <v>0.36116648084025971</v>
      </c>
      <c r="G8" s="20">
        <v>0.56390116633611975</v>
      </c>
      <c r="H8" s="20">
        <v>0</v>
      </c>
      <c r="I8" s="20">
        <v>1.3534613648524976E-3</v>
      </c>
      <c r="J8" s="20">
        <v>2.9846165674075324E-2</v>
      </c>
      <c r="K8" s="20">
        <v>4.3601297526227954E-2</v>
      </c>
      <c r="L8" s="20">
        <v>0</v>
      </c>
    </row>
    <row r="9" spans="1:14">
      <c r="A9" s="2" t="s">
        <v>325</v>
      </c>
      <c r="B9" s="3" t="s">
        <v>326</v>
      </c>
      <c r="D9" s="20">
        <v>9.0187010928826822E-5</v>
      </c>
      <c r="E9" s="20">
        <v>0.88527719509333758</v>
      </c>
      <c r="F9" s="20">
        <v>0.68322331406811054</v>
      </c>
      <c r="G9" s="20">
        <v>0.13417086911894999</v>
      </c>
      <c r="H9" s="20">
        <v>0</v>
      </c>
      <c r="I9" s="20">
        <v>6.7883011906277088E-2</v>
      </c>
      <c r="J9" s="20">
        <v>6.8981542824959E-3</v>
      </c>
      <c r="K9" s="20">
        <v>0.10773446361323777</v>
      </c>
      <c r="L9" s="20">
        <v>0</v>
      </c>
    </row>
    <row r="10" spans="1:14">
      <c r="A10" s="2" t="s">
        <v>275</v>
      </c>
      <c r="B10" s="3" t="s">
        <v>276</v>
      </c>
      <c r="D10" s="20">
        <v>1.277896802968097E-6</v>
      </c>
      <c r="E10" s="20">
        <v>0.93574328545618568</v>
      </c>
      <c r="F10" s="20">
        <v>0.70552834739570658</v>
      </c>
      <c r="G10" s="20">
        <v>0.22336237732253669</v>
      </c>
      <c r="H10" s="20">
        <v>0</v>
      </c>
      <c r="I10" s="20">
        <v>6.8525607379424629E-3</v>
      </c>
      <c r="J10" s="20">
        <v>1.1616580422571582E-2</v>
      </c>
      <c r="K10" s="20">
        <v>5.2638856224439853E-2</v>
      </c>
      <c r="L10" s="20">
        <v>0</v>
      </c>
    </row>
    <row r="11" spans="1:14">
      <c r="A11" s="2" t="s">
        <v>327</v>
      </c>
      <c r="B11" s="3" t="s">
        <v>328</v>
      </c>
      <c r="D11" s="20">
        <v>6.6537334624369572E-5</v>
      </c>
      <c r="E11" s="20">
        <v>0.93403102968635798</v>
      </c>
      <c r="F11" s="20">
        <v>0.67933514646929827</v>
      </c>
      <c r="G11" s="20">
        <v>0.24864494790989036</v>
      </c>
      <c r="H11" s="20">
        <v>0</v>
      </c>
      <c r="I11" s="20">
        <v>6.0509353071693719E-3</v>
      </c>
      <c r="J11" s="20">
        <v>1.2951202073935027E-2</v>
      </c>
      <c r="K11" s="20">
        <v>5.2951230905082615E-2</v>
      </c>
      <c r="L11" s="20">
        <v>0</v>
      </c>
    </row>
    <row r="12" spans="1:14">
      <c r="A12" s="2" t="s">
        <v>329</v>
      </c>
      <c r="B12" s="3" t="s">
        <v>330</v>
      </c>
      <c r="D12" s="20">
        <v>4.6117982558004969E-5</v>
      </c>
      <c r="E12" s="20">
        <v>0.90406058187207339</v>
      </c>
      <c r="F12" s="20">
        <v>0.72458440904246157</v>
      </c>
      <c r="G12" s="20">
        <v>0.13689403996360491</v>
      </c>
      <c r="H12" s="20">
        <v>0</v>
      </c>
      <c r="I12" s="20">
        <v>4.2582132866006858E-2</v>
      </c>
      <c r="J12" s="20">
        <v>7.0384863425097246E-3</v>
      </c>
      <c r="K12" s="20">
        <v>8.8854813802858951E-2</v>
      </c>
      <c r="L12" s="20">
        <v>0</v>
      </c>
    </row>
    <row r="13" spans="1:14">
      <c r="A13" s="2" t="s">
        <v>277</v>
      </c>
      <c r="B13" s="3" t="s">
        <v>278</v>
      </c>
      <c r="D13" s="20">
        <v>1.4005617224235076E-4</v>
      </c>
      <c r="E13" s="20">
        <v>0.88708848123690642</v>
      </c>
      <c r="F13" s="20">
        <v>0.68757636100574349</v>
      </c>
      <c r="G13" s="20">
        <v>0.13452917922246524</v>
      </c>
      <c r="H13" s="20">
        <v>0</v>
      </c>
      <c r="I13" s="20">
        <v>6.4982941008697712E-2</v>
      </c>
      <c r="J13" s="20">
        <v>6.9160880198527756E-3</v>
      </c>
      <c r="K13" s="20">
        <v>0.1058553745709985</v>
      </c>
      <c r="L13" s="20">
        <v>0</v>
      </c>
    </row>
    <row r="14" spans="1:14">
      <c r="A14" s="2" t="s">
        <v>331</v>
      </c>
      <c r="B14" s="3" t="s">
        <v>332</v>
      </c>
      <c r="D14" s="20">
        <v>4.4240857012876399E-5</v>
      </c>
      <c r="E14" s="20">
        <v>0.92977911383100531</v>
      </c>
      <c r="F14" s="20">
        <v>0.58822328967053028</v>
      </c>
      <c r="G14" s="20">
        <v>0.33754973471877697</v>
      </c>
      <c r="H14" s="20">
        <v>0</v>
      </c>
      <c r="I14" s="20">
        <v>4.0060894416980471E-3</v>
      </c>
      <c r="J14" s="20">
        <v>1.7667591601536727E-2</v>
      </c>
      <c r="K14" s="20">
        <v>5.2509053710445161E-2</v>
      </c>
      <c r="L14" s="20">
        <v>0</v>
      </c>
    </row>
    <row r="15" spans="1:14">
      <c r="A15" s="2" t="s">
        <v>333</v>
      </c>
      <c r="B15" s="3" t="s">
        <v>334</v>
      </c>
      <c r="D15" s="20">
        <v>7.2445212038943888E-8</v>
      </c>
      <c r="E15" s="20">
        <v>0.93490507352420271</v>
      </c>
      <c r="F15" s="20">
        <v>0.69267317989792876</v>
      </c>
      <c r="G15" s="20">
        <v>0.2357892101123204</v>
      </c>
      <c r="H15" s="20">
        <v>0</v>
      </c>
      <c r="I15" s="20">
        <v>6.4426835139535102E-3</v>
      </c>
      <c r="J15" s="20">
        <v>1.2272184173703155E-2</v>
      </c>
      <c r="K15" s="20">
        <v>5.2822669856882082E-2</v>
      </c>
      <c r="L15" s="20">
        <v>0</v>
      </c>
    </row>
    <row r="16" spans="1:14">
      <c r="A16" s="2" t="s">
        <v>335</v>
      </c>
      <c r="B16" s="3" t="s">
        <v>336</v>
      </c>
      <c r="D16" s="20">
        <v>3.4166230675087422E-4</v>
      </c>
      <c r="E16" s="20">
        <v>0.92619449649815233</v>
      </c>
      <c r="F16" s="20">
        <v>0.36746480790314323</v>
      </c>
      <c r="G16" s="20">
        <v>0.55732857231691446</v>
      </c>
      <c r="H16" s="20">
        <v>0</v>
      </c>
      <c r="I16" s="20">
        <v>1.4011162780946935E-3</v>
      </c>
      <c r="J16" s="20">
        <v>2.9488650731057765E-2</v>
      </c>
      <c r="K16" s="20">
        <v>4.3975190464038867E-2</v>
      </c>
      <c r="L16" s="20">
        <v>0</v>
      </c>
    </row>
    <row r="17" spans="1:12">
      <c r="A17" s="2" t="s">
        <v>337</v>
      </c>
      <c r="B17" s="3" t="s">
        <v>338</v>
      </c>
      <c r="D17" s="20">
        <v>2.5549080309118295E-5</v>
      </c>
      <c r="E17" s="20">
        <v>0.93641002005901097</v>
      </c>
      <c r="F17" s="20">
        <v>0.71547416382187679</v>
      </c>
      <c r="G17" s="20">
        <v>0.21374182396967734</v>
      </c>
      <c r="H17" s="20">
        <v>0</v>
      </c>
      <c r="I17" s="20">
        <v>7.1940322674568782E-3</v>
      </c>
      <c r="J17" s="20">
        <v>1.1109546751907203E-2</v>
      </c>
      <c r="K17" s="20">
        <v>5.2454884108772762E-2</v>
      </c>
      <c r="L17" s="20">
        <v>0</v>
      </c>
    </row>
    <row r="18" spans="1:12">
      <c r="A18" s="2" t="s">
        <v>279</v>
      </c>
      <c r="B18" s="3" t="s">
        <v>280</v>
      </c>
      <c r="D18" s="20">
        <v>2.7391436538402197E-3</v>
      </c>
      <c r="E18" s="20">
        <v>0.87448613536164899</v>
      </c>
      <c r="F18" s="20">
        <v>0.66044018997559206</v>
      </c>
      <c r="G18" s="20">
        <v>0.13186485119551344</v>
      </c>
      <c r="H18" s="20">
        <v>0</v>
      </c>
      <c r="I18" s="20">
        <v>8.2181094190543522E-2</v>
      </c>
      <c r="J18" s="20">
        <v>6.7834066066625323E-3</v>
      </c>
      <c r="K18" s="20">
        <v>0.11599131437784814</v>
      </c>
      <c r="L18" s="20">
        <v>0</v>
      </c>
    </row>
    <row r="19" spans="1:12">
      <c r="A19" s="2" t="s">
        <v>339</v>
      </c>
      <c r="B19" s="3" t="s">
        <v>340</v>
      </c>
      <c r="D19" s="20">
        <v>2.5389916680271725E-7</v>
      </c>
      <c r="E19" s="20">
        <v>0.93474023974546827</v>
      </c>
      <c r="F19" s="20">
        <v>0.69004904633796571</v>
      </c>
      <c r="G19" s="20">
        <v>0.23832824523724427</v>
      </c>
      <c r="H19" s="20">
        <v>0</v>
      </c>
      <c r="I19" s="20">
        <v>6.3629481702582522E-3</v>
      </c>
      <c r="J19" s="20">
        <v>1.2406227338207574E-2</v>
      </c>
      <c r="K19" s="20">
        <v>5.2853279017157466E-2</v>
      </c>
      <c r="L19" s="20">
        <v>0</v>
      </c>
    </row>
    <row r="20" spans="1:12">
      <c r="A20" s="2" t="s">
        <v>281</v>
      </c>
      <c r="B20" s="3" t="s">
        <v>282</v>
      </c>
      <c r="D20" s="20">
        <v>2.1200879381184543E-5</v>
      </c>
      <c r="E20" s="20">
        <v>0.88719393116705125</v>
      </c>
      <c r="F20" s="20">
        <v>0.68765809454278159</v>
      </c>
      <c r="G20" s="20">
        <v>0.13454517096720267</v>
      </c>
      <c r="H20" s="20">
        <v>0</v>
      </c>
      <c r="I20" s="20">
        <v>6.4990665657066973E-2</v>
      </c>
      <c r="J20" s="20">
        <v>6.9169101486640438E-3</v>
      </c>
      <c r="K20" s="20">
        <v>0.10586795780490366</v>
      </c>
      <c r="L20" s="20">
        <v>0</v>
      </c>
    </row>
    <row r="21" spans="1:12">
      <c r="A21" s="2" t="s">
        <v>341</v>
      </c>
      <c r="B21" s="3" t="s">
        <v>342</v>
      </c>
      <c r="D21" s="20">
        <v>3.7074101827239787E-4</v>
      </c>
      <c r="E21" s="20">
        <v>0.93056401163919011</v>
      </c>
      <c r="F21" s="20">
        <v>0.61587038757581047</v>
      </c>
      <c r="G21" s="20">
        <v>0.31015935018857194</v>
      </c>
      <c r="H21" s="20">
        <v>0</v>
      </c>
      <c r="I21" s="20">
        <v>4.5342738748076995E-3</v>
      </c>
      <c r="J21" s="20">
        <v>1.6210828875983095E-2</v>
      </c>
      <c r="K21" s="20">
        <v>5.2854418466554504E-2</v>
      </c>
      <c r="L21" s="20">
        <v>0</v>
      </c>
    </row>
    <row r="22" spans="1:12">
      <c r="A22" s="2" t="s">
        <v>343</v>
      </c>
      <c r="B22" s="3" t="s">
        <v>344</v>
      </c>
      <c r="D22" s="20">
        <v>1.8244117682640676E-3</v>
      </c>
      <c r="E22" s="20">
        <v>0.85252575642251494</v>
      </c>
      <c r="F22" s="20">
        <v>0.14366188127379995</v>
      </c>
      <c r="G22" s="20">
        <v>3.746598066479196E-2</v>
      </c>
      <c r="H22" s="20">
        <v>0</v>
      </c>
      <c r="I22" s="20">
        <v>0.67139789448392306</v>
      </c>
      <c r="J22" s="20">
        <v>2.4529617677078162E-3</v>
      </c>
      <c r="K22" s="20">
        <v>0.1431968700415133</v>
      </c>
      <c r="L22" s="20">
        <v>0</v>
      </c>
    </row>
    <row r="23" spans="1:12">
      <c r="A23" s="2" t="s">
        <v>345</v>
      </c>
      <c r="B23" s="3" t="s">
        <v>346</v>
      </c>
      <c r="D23" s="20">
        <v>7.4233264966806057E-5</v>
      </c>
      <c r="E23" s="20">
        <v>0.89431345745597479</v>
      </c>
      <c r="F23" s="20">
        <v>6.5405948287755394E-2</v>
      </c>
      <c r="G23" s="20">
        <v>1.8327904027018799E-2</v>
      </c>
      <c r="H23" s="20">
        <v>0</v>
      </c>
      <c r="I23" s="20">
        <v>0.81057960514120064</v>
      </c>
      <c r="J23" s="20">
        <v>1.6180842791608508E-3</v>
      </c>
      <c r="K23" s="20">
        <v>0.10399422499989738</v>
      </c>
      <c r="L23" s="20">
        <v>0</v>
      </c>
    </row>
    <row r="24" spans="1:12">
      <c r="A24" s="2" t="s">
        <v>347</v>
      </c>
      <c r="B24" s="3" t="s">
        <v>348</v>
      </c>
      <c r="D24" s="20">
        <v>6.8399598231923411E-5</v>
      </c>
      <c r="E24" s="20">
        <v>0.83449958464282847</v>
      </c>
      <c r="F24" s="20">
        <v>0.51153132619250874</v>
      </c>
      <c r="G24" s="20">
        <v>0.11157522991684538</v>
      </c>
      <c r="H24" s="20">
        <v>0</v>
      </c>
      <c r="I24" s="20">
        <v>0.2113930285334743</v>
      </c>
      <c r="J24" s="20">
        <v>5.8205039501723291E-3</v>
      </c>
      <c r="K24" s="20">
        <v>0.15961151180876743</v>
      </c>
      <c r="L24" s="20">
        <v>0</v>
      </c>
    </row>
    <row r="25" spans="1:12">
      <c r="A25" s="2" t="s">
        <v>349</v>
      </c>
      <c r="B25" s="3" t="s">
        <v>350</v>
      </c>
      <c r="D25" s="20">
        <v>1.1240003154792177E-2</v>
      </c>
      <c r="E25" s="20">
        <v>0.91464996309410651</v>
      </c>
      <c r="F25" s="20">
        <v>0.75611023598366667</v>
      </c>
      <c r="G25" s="20">
        <v>0.13591915716741707</v>
      </c>
      <c r="H25" s="20">
        <v>0</v>
      </c>
      <c r="I25" s="20">
        <v>2.2620569943022768E-2</v>
      </c>
      <c r="J25" s="20">
        <v>7.0016014461762735E-3</v>
      </c>
      <c r="K25" s="20">
        <v>6.7108432304924984E-2</v>
      </c>
      <c r="L25" s="20">
        <v>0</v>
      </c>
    </row>
    <row r="26" spans="1:12">
      <c r="A26" s="2" t="s">
        <v>351</v>
      </c>
      <c r="B26" s="3" t="s">
        <v>352</v>
      </c>
      <c r="D26" s="20">
        <v>2.9771167777835995E-4</v>
      </c>
      <c r="E26" s="20">
        <v>0.93143085344639931</v>
      </c>
      <c r="F26" s="20">
        <v>0.63389095454979716</v>
      </c>
      <c r="G26" s="20">
        <v>0.29262411276260908</v>
      </c>
      <c r="H26" s="20">
        <v>0</v>
      </c>
      <c r="I26" s="20">
        <v>4.9157861339931153E-3</v>
      </c>
      <c r="J26" s="20">
        <v>1.5279896118394759E-2</v>
      </c>
      <c r="K26" s="20">
        <v>5.2991538757427445E-2</v>
      </c>
      <c r="L26" s="20">
        <v>0</v>
      </c>
    </row>
    <row r="27" spans="1:12">
      <c r="A27" s="2" t="s">
        <v>353</v>
      </c>
      <c r="B27" s="3" t="s">
        <v>354</v>
      </c>
      <c r="D27" s="20">
        <v>1.9890654370738493E-3</v>
      </c>
      <c r="E27" s="20">
        <v>0.92609207934558191</v>
      </c>
      <c r="F27" s="20">
        <v>0.26288617972496398</v>
      </c>
      <c r="G27" s="20">
        <v>0.66246556820144409</v>
      </c>
      <c r="H27" s="20">
        <v>0</v>
      </c>
      <c r="I27" s="20">
        <v>7.4033141917387074E-4</v>
      </c>
      <c r="J27" s="20">
        <v>3.5253176267887799E-2</v>
      </c>
      <c r="K27" s="20">
        <v>3.6665678949456354E-2</v>
      </c>
      <c r="L27" s="20">
        <v>0</v>
      </c>
    </row>
    <row r="28" spans="1:12">
      <c r="A28" s="2" t="s">
        <v>355</v>
      </c>
      <c r="B28" s="3" t="s">
        <v>356</v>
      </c>
      <c r="D28" s="20">
        <v>1.1102513585532539E-4</v>
      </c>
      <c r="E28" s="20">
        <v>0.92733301323903261</v>
      </c>
      <c r="F28" s="20">
        <v>0.50008058919877352</v>
      </c>
      <c r="G28" s="20">
        <v>0.42455655728429159</v>
      </c>
      <c r="H28" s="20">
        <v>0</v>
      </c>
      <c r="I28" s="20">
        <v>2.6958667559675315E-3</v>
      </c>
      <c r="J28" s="20">
        <v>2.2318004183836792E-2</v>
      </c>
      <c r="K28" s="20">
        <v>5.0237957441275176E-2</v>
      </c>
      <c r="L28" s="20">
        <v>0</v>
      </c>
    </row>
    <row r="29" spans="1:12">
      <c r="A29" s="2" t="s">
        <v>357</v>
      </c>
      <c r="B29" s="3" t="s">
        <v>358</v>
      </c>
      <c r="D29" s="20">
        <v>2.2589109028489204E-2</v>
      </c>
      <c r="E29" s="20">
        <v>0.90915633497699422</v>
      </c>
      <c r="F29" s="20">
        <v>0.58414112925874939</v>
      </c>
      <c r="G29" s="20">
        <v>0.32093223550520839</v>
      </c>
      <c r="H29" s="20">
        <v>0</v>
      </c>
      <c r="I29" s="20">
        <v>4.0829702130364479E-3</v>
      </c>
      <c r="J29" s="20">
        <v>1.6789818490066655E-2</v>
      </c>
      <c r="K29" s="20">
        <v>5.1464737504449791E-2</v>
      </c>
      <c r="L29" s="20">
        <v>0</v>
      </c>
    </row>
    <row r="30" spans="1:12">
      <c r="A30" s="2" t="s">
        <v>359</v>
      </c>
      <c r="B30" s="3" t="s">
        <v>360</v>
      </c>
      <c r="D30" s="20">
        <v>1.1102513585532539E-4</v>
      </c>
      <c r="E30" s="20">
        <v>0.92733301323903261</v>
      </c>
      <c r="F30" s="20">
        <v>0.50008058919877352</v>
      </c>
      <c r="G30" s="20">
        <v>0.42455655728429159</v>
      </c>
      <c r="H30" s="20">
        <v>0</v>
      </c>
      <c r="I30" s="20">
        <v>2.6958667559675315E-3</v>
      </c>
      <c r="J30" s="20">
        <v>2.2318004183836792E-2</v>
      </c>
      <c r="K30" s="20">
        <v>5.0237957441275176E-2</v>
      </c>
      <c r="L30" s="20">
        <v>0</v>
      </c>
    </row>
    <row r="31" spans="1:12">
      <c r="A31" s="2" t="s">
        <v>283</v>
      </c>
      <c r="B31" s="3" t="s">
        <v>284</v>
      </c>
      <c r="D31" s="20">
        <v>2.0653016385837842E-8</v>
      </c>
      <c r="E31" s="20">
        <v>0.98913354818344923</v>
      </c>
      <c r="F31" s="20">
        <v>6.0813804538704247E-4</v>
      </c>
      <c r="G31" s="20">
        <v>2.440606307291755E-4</v>
      </c>
      <c r="H31" s="20">
        <v>0</v>
      </c>
      <c r="I31" s="20">
        <v>0.98828134950733304</v>
      </c>
      <c r="J31" s="20">
        <v>8.8037164902368345E-4</v>
      </c>
      <c r="K31" s="20">
        <v>9.9860595145105317E-3</v>
      </c>
      <c r="L31" s="20">
        <v>0</v>
      </c>
    </row>
    <row r="32" spans="1:12">
      <c r="A32" s="2" t="s">
        <v>361</v>
      </c>
      <c r="B32" s="3" t="s">
        <v>362</v>
      </c>
      <c r="D32" s="20">
        <v>2.0329145053907899E-8</v>
      </c>
      <c r="E32" s="20">
        <v>0.83018320727498718</v>
      </c>
      <c r="F32" s="20">
        <v>0.23917505860731247</v>
      </c>
      <c r="G32" s="20">
        <v>5.8970464753041373E-2</v>
      </c>
      <c r="H32" s="20">
        <v>0</v>
      </c>
      <c r="I32" s="20">
        <v>0.53203768391463335</v>
      </c>
      <c r="J32" s="20">
        <v>3.5019443012422745E-3</v>
      </c>
      <c r="K32" s="20">
        <v>0.16631482809462561</v>
      </c>
      <c r="L32" s="20">
        <v>0</v>
      </c>
    </row>
    <row r="33" spans="1:12">
      <c r="A33" s="2" t="s">
        <v>364</v>
      </c>
      <c r="B33" s="3" t="s">
        <v>365</v>
      </c>
      <c r="D33" s="20">
        <v>9.3811694729052609E-11</v>
      </c>
      <c r="E33" s="20">
        <v>0.99909731481405462</v>
      </c>
      <c r="F33" s="20">
        <v>4.198748087847563E-3</v>
      </c>
      <c r="G33" s="20">
        <v>1.283947132522617E-6</v>
      </c>
      <c r="H33" s="20">
        <v>0</v>
      </c>
      <c r="I33" s="20">
        <v>0.99489728277907452</v>
      </c>
      <c r="J33" s="20">
        <v>8.7860580849716101E-4</v>
      </c>
      <c r="K33" s="20">
        <v>2.4079283636491546E-5</v>
      </c>
      <c r="L33" s="20">
        <v>0</v>
      </c>
    </row>
    <row r="34" spans="1:12">
      <c r="A34" s="2" t="s">
        <v>285</v>
      </c>
      <c r="B34" s="3" t="s">
        <v>286</v>
      </c>
      <c r="D34" s="20">
        <v>2.7896692840516237E-10</v>
      </c>
      <c r="E34" s="20">
        <v>0.99912480923783553</v>
      </c>
      <c r="F34" s="20">
        <v>0.45184048198939075</v>
      </c>
      <c r="G34" s="20">
        <v>3.7107324785110646E-5</v>
      </c>
      <c r="H34" s="20">
        <v>0</v>
      </c>
      <c r="I34" s="20">
        <v>0.54724721992365966</v>
      </c>
      <c r="J34" s="20">
        <v>7.9312584366898991E-4</v>
      </c>
      <c r="K34" s="20">
        <v>8.2064639528472869E-5</v>
      </c>
      <c r="L34" s="20">
        <v>0</v>
      </c>
    </row>
    <row r="35" spans="1:12">
      <c r="A35" s="2" t="s">
        <v>287</v>
      </c>
      <c r="B35" s="3" t="s">
        <v>288</v>
      </c>
      <c r="D35" s="20">
        <v>8.127773527777033E-12</v>
      </c>
      <c r="E35" s="20">
        <v>0.99907355099538064</v>
      </c>
      <c r="F35" s="20">
        <v>0.67489223493927042</v>
      </c>
      <c r="G35" s="20">
        <v>1.3069583687172072E-4</v>
      </c>
      <c r="H35" s="20">
        <v>0</v>
      </c>
      <c r="I35" s="20">
        <v>0.32405062021923847</v>
      </c>
      <c r="J35" s="20">
        <v>7.2776715587779108E-4</v>
      </c>
      <c r="K35" s="20">
        <v>1.9868184061369048E-4</v>
      </c>
      <c r="L35" s="20">
        <v>0</v>
      </c>
    </row>
    <row r="36" spans="1:12">
      <c r="A36" s="2" t="s">
        <v>366</v>
      </c>
      <c r="B36" s="3" t="s">
        <v>305</v>
      </c>
      <c r="D36" s="20">
        <v>1.4330645996724504E-8</v>
      </c>
      <c r="E36" s="20">
        <v>0.9991431333877252</v>
      </c>
      <c r="F36" s="20">
        <v>0.89078206738871635</v>
      </c>
      <c r="G36" s="20">
        <v>2.5504290650792198E-4</v>
      </c>
      <c r="H36" s="20">
        <v>0</v>
      </c>
      <c r="I36" s="20">
        <v>0.10810602309250091</v>
      </c>
      <c r="J36" s="20">
        <v>6.347721686275334E-4</v>
      </c>
      <c r="K36" s="20">
        <v>2.2208011300146562E-4</v>
      </c>
      <c r="L36" s="20">
        <v>0</v>
      </c>
    </row>
    <row r="37" spans="1:12">
      <c r="A37" s="2" t="s">
        <v>289</v>
      </c>
      <c r="B37" s="3" t="s">
        <v>290</v>
      </c>
      <c r="D37" s="20">
        <v>3.3944941622529123E-15</v>
      </c>
      <c r="E37" s="20">
        <v>0.96710589839417738</v>
      </c>
      <c r="F37" s="20">
        <v>0.72567131603560631</v>
      </c>
      <c r="G37" s="20">
        <v>2.4774760102091873E-2</v>
      </c>
      <c r="H37" s="20">
        <v>0</v>
      </c>
      <c r="I37" s="20">
        <v>0.2166598222564792</v>
      </c>
      <c r="J37" s="20">
        <v>1.8266322548704933E-3</v>
      </c>
      <c r="K37" s="20">
        <v>3.1067469350948677E-2</v>
      </c>
      <c r="L37" s="20">
        <v>0</v>
      </c>
    </row>
    <row r="38" spans="1:12">
      <c r="A38" s="2" t="s">
        <v>291</v>
      </c>
      <c r="B38" s="3" t="s">
        <v>292</v>
      </c>
      <c r="D38" s="20">
        <v>9.3992379052591742E-13</v>
      </c>
      <c r="E38" s="20">
        <v>0.99838223788930114</v>
      </c>
      <c r="F38" s="20">
        <v>0.38466486445387132</v>
      </c>
      <c r="G38" s="20">
        <v>3.2136573350528879E-4</v>
      </c>
      <c r="H38" s="20">
        <v>0</v>
      </c>
      <c r="I38" s="20">
        <v>0.61339600770192448</v>
      </c>
      <c r="J38" s="20">
        <v>8.2325829315513276E-4</v>
      </c>
      <c r="K38" s="20">
        <v>7.9450381660378688E-4</v>
      </c>
      <c r="L38" s="20">
        <v>0</v>
      </c>
    </row>
    <row r="39" spans="1:12">
      <c r="A39" s="2" t="s">
        <v>367</v>
      </c>
      <c r="B39" s="3" t="s">
        <v>368</v>
      </c>
      <c r="D39" s="20">
        <v>1.200437767661423E-5</v>
      </c>
      <c r="E39" s="20">
        <v>0.94332653420670431</v>
      </c>
      <c r="F39" s="20">
        <v>0.79370357209806142</v>
      </c>
      <c r="G39" s="20">
        <v>0.13862893608733631</v>
      </c>
      <c r="H39" s="20">
        <v>0</v>
      </c>
      <c r="I39" s="20">
        <v>1.0994026021306608E-2</v>
      </c>
      <c r="J39" s="20">
        <v>7.1677170385260032E-3</v>
      </c>
      <c r="K39" s="20">
        <v>4.949374437709303E-2</v>
      </c>
      <c r="L39" s="20">
        <v>0</v>
      </c>
    </row>
    <row r="40" spans="1:12">
      <c r="A40" s="2" t="s">
        <v>369</v>
      </c>
      <c r="B40" s="3" t="s">
        <v>370</v>
      </c>
      <c r="D40" s="20">
        <v>6.9924585137117384E-13</v>
      </c>
      <c r="E40" s="20">
        <v>0.95998167977955351</v>
      </c>
      <c r="F40" s="20">
        <v>0.89430149935742353</v>
      </c>
      <c r="G40" s="20">
        <v>6.4700008213515667E-2</v>
      </c>
      <c r="H40" s="20">
        <v>0</v>
      </c>
      <c r="I40" s="20">
        <v>9.8017220861430689E-4</v>
      </c>
      <c r="J40" s="20">
        <v>3.8831456767621793E-2</v>
      </c>
      <c r="K40" s="20">
        <v>1.1868634521255219E-3</v>
      </c>
      <c r="L40" s="20">
        <v>0</v>
      </c>
    </row>
    <row r="41" spans="1:12">
      <c r="A41" s="2" t="s">
        <v>371</v>
      </c>
      <c r="B41" s="3" t="s">
        <v>372</v>
      </c>
      <c r="D41" s="20">
        <v>6.4927633850683619E-2</v>
      </c>
      <c r="E41" s="20">
        <v>0.9322805787679399</v>
      </c>
      <c r="F41" s="20">
        <v>2.8539624881102387E-5</v>
      </c>
      <c r="G41" s="20">
        <v>1.4287091163913108E-5</v>
      </c>
      <c r="H41" s="20">
        <v>0</v>
      </c>
      <c r="I41" s="20">
        <v>0.93223775205189485</v>
      </c>
      <c r="J41" s="20">
        <v>8.2009010447366094E-4</v>
      </c>
      <c r="K41" s="20">
        <v>1.9716972769027691E-3</v>
      </c>
      <c r="L41" s="20">
        <v>0</v>
      </c>
    </row>
    <row r="42" spans="1:12">
      <c r="A42" s="2" t="s">
        <v>293</v>
      </c>
      <c r="B42" s="3" t="s">
        <v>294</v>
      </c>
      <c r="D42" s="20">
        <v>1.6435918220363254E-8</v>
      </c>
      <c r="E42" s="20">
        <v>0.84557226208863634</v>
      </c>
      <c r="F42" s="20">
        <v>0.16951676505954077</v>
      </c>
      <c r="G42" s="20">
        <v>4.3481869810473528E-2</v>
      </c>
      <c r="H42" s="20">
        <v>0</v>
      </c>
      <c r="I42" s="20">
        <v>0.63257362721862209</v>
      </c>
      <c r="J42" s="20">
        <v>2.7210666627359875E-3</v>
      </c>
      <c r="K42" s="20">
        <v>0.15170665481270945</v>
      </c>
      <c r="L42" s="20">
        <v>0</v>
      </c>
    </row>
    <row r="43" spans="1:12">
      <c r="A43" s="2" t="s">
        <v>373</v>
      </c>
      <c r="B43" s="3" t="s">
        <v>374</v>
      </c>
      <c r="D43" s="20">
        <v>3.3521236259725648E-8</v>
      </c>
      <c r="E43" s="20">
        <v>0.99866282321920719</v>
      </c>
      <c r="F43" s="20">
        <v>0.98901841814670255</v>
      </c>
      <c r="G43" s="20">
        <v>8.3507657403399636E-4</v>
      </c>
      <c r="H43" s="20">
        <v>0</v>
      </c>
      <c r="I43" s="20">
        <v>8.8093284984705946E-3</v>
      </c>
      <c r="J43" s="20">
        <v>1.1593060146543367E-3</v>
      </c>
      <c r="K43" s="20">
        <v>1.77837244902013E-4</v>
      </c>
      <c r="L43" s="20">
        <v>0</v>
      </c>
    </row>
    <row r="44" spans="1:12">
      <c r="A44" s="2" t="s">
        <v>375</v>
      </c>
      <c r="B44" s="3" t="s">
        <v>376</v>
      </c>
      <c r="D44" s="20">
        <v>7.2909989022353072E-2</v>
      </c>
      <c r="E44" s="20">
        <v>0.86693060468886607</v>
      </c>
      <c r="F44" s="20">
        <v>2.1429188108575824E-2</v>
      </c>
      <c r="G44" s="20">
        <v>6.535837901866408E-3</v>
      </c>
      <c r="H44" s="20">
        <v>0</v>
      </c>
      <c r="I44" s="20">
        <v>0.83896557867842381</v>
      </c>
      <c r="J44" s="20">
        <v>1.0580165434921627E-3</v>
      </c>
      <c r="K44" s="20">
        <v>5.9101389745288786E-2</v>
      </c>
      <c r="L44" s="20">
        <v>0</v>
      </c>
    </row>
    <row r="45" spans="1:12">
      <c r="A45" s="2" t="s">
        <v>377</v>
      </c>
      <c r="B45" s="3" t="s">
        <v>378</v>
      </c>
      <c r="D45" s="20">
        <v>6.2988172705915496E-4</v>
      </c>
      <c r="E45" s="20">
        <v>0.83817278742627133</v>
      </c>
      <c r="F45" s="20">
        <v>0.19457081315504854</v>
      </c>
      <c r="G45" s="20">
        <v>4.9178270259012676E-2</v>
      </c>
      <c r="H45" s="20">
        <v>0</v>
      </c>
      <c r="I45" s="20">
        <v>0.59442370401221012</v>
      </c>
      <c r="J45" s="20">
        <v>2.9743107056023868E-3</v>
      </c>
      <c r="K45" s="20">
        <v>0.15822302014106701</v>
      </c>
      <c r="L45" s="20">
        <v>0</v>
      </c>
    </row>
    <row r="46" spans="1:12">
      <c r="A46" s="2" t="s">
        <v>379</v>
      </c>
      <c r="B46" s="3" t="s">
        <v>380</v>
      </c>
      <c r="D46" s="20">
        <v>1.8857041607727031E-3</v>
      </c>
      <c r="E46" s="20">
        <v>0.84131800108589694</v>
      </c>
      <c r="F46" s="20">
        <v>0.17835785620435296</v>
      </c>
      <c r="G46" s="20">
        <v>4.5497527798919517E-2</v>
      </c>
      <c r="H46" s="20">
        <v>0</v>
      </c>
      <c r="I46" s="20">
        <v>0.61746261708262451</v>
      </c>
      <c r="J46" s="20">
        <v>2.8092374262138381E-3</v>
      </c>
      <c r="K46" s="20">
        <v>0.1539870573271164</v>
      </c>
      <c r="L46" s="20">
        <v>0</v>
      </c>
    </row>
    <row r="47" spans="1:12">
      <c r="A47" s="2" t="s">
        <v>381</v>
      </c>
      <c r="B47" s="3" t="s">
        <v>382</v>
      </c>
      <c r="D47" s="20">
        <v>3.3761274079719242E-8</v>
      </c>
      <c r="E47" s="20">
        <v>0.92826757888138356</v>
      </c>
      <c r="F47" s="20">
        <v>0.25005613369516877</v>
      </c>
      <c r="G47" s="20">
        <v>0.67753707876449887</v>
      </c>
      <c r="H47" s="20">
        <v>0</v>
      </c>
      <c r="I47" s="20">
        <v>6.7436642171592555E-4</v>
      </c>
      <c r="J47" s="20">
        <v>3.6084853674869473E-2</v>
      </c>
      <c r="K47" s="20">
        <v>3.5647533682472927E-2</v>
      </c>
      <c r="L47" s="20">
        <v>0</v>
      </c>
    </row>
    <row r="48" spans="1:12">
      <c r="A48" s="2" t="s">
        <v>383</v>
      </c>
      <c r="B48" s="3" t="s">
        <v>384</v>
      </c>
      <c r="D48" s="20">
        <v>9.5979489034515638E-3</v>
      </c>
      <c r="E48" s="20">
        <v>0.95559429081348179</v>
      </c>
      <c r="F48" s="20">
        <v>6.5886603185016631E-3</v>
      </c>
      <c r="G48" s="20">
        <v>2.2115291759305933E-3</v>
      </c>
      <c r="H48" s="20">
        <v>0</v>
      </c>
      <c r="I48" s="20">
        <v>0.94679410131904951</v>
      </c>
      <c r="J48" s="20">
        <v>9.3979593214794715E-4</v>
      </c>
      <c r="K48" s="20">
        <v>3.3867964350918697E-2</v>
      </c>
      <c r="L48" s="20">
        <v>0</v>
      </c>
    </row>
    <row r="49" spans="1:12">
      <c r="A49" s="2" t="s">
        <v>385</v>
      </c>
      <c r="B49" s="3" t="s">
        <v>386</v>
      </c>
      <c r="D49" s="20">
        <v>1.8236391889782422E-2</v>
      </c>
      <c r="E49" s="20">
        <v>0.93521186764215469</v>
      </c>
      <c r="F49" s="20">
        <v>1.1955220778375126E-2</v>
      </c>
      <c r="G49" s="20">
        <v>3.8322440276051042E-3</v>
      </c>
      <c r="H49" s="20">
        <v>0</v>
      </c>
      <c r="I49" s="20">
        <v>0.91942440283617444</v>
      </c>
      <c r="J49" s="20">
        <v>9.9532166563306231E-4</v>
      </c>
      <c r="K49" s="20">
        <v>4.5556418802429777E-2</v>
      </c>
      <c r="L49" s="20">
        <v>0</v>
      </c>
    </row>
    <row r="50" spans="1:12">
      <c r="A50" s="2" t="s">
        <v>387</v>
      </c>
      <c r="B50" s="3" t="s">
        <v>388</v>
      </c>
      <c r="D50" s="20">
        <v>5.938497526718543E-3</v>
      </c>
      <c r="E50" s="20">
        <v>0.86884589382362731</v>
      </c>
      <c r="F50" s="20">
        <v>0.65087151339111005</v>
      </c>
      <c r="G50" s="20">
        <v>0.13067449175187681</v>
      </c>
      <c r="H50" s="20">
        <v>0</v>
      </c>
      <c r="I50" s="20">
        <v>8.7299888680640411E-2</v>
      </c>
      <c r="J50" s="20">
        <v>6.7240969061370887E-3</v>
      </c>
      <c r="K50" s="20">
        <v>0.11849151174351701</v>
      </c>
      <c r="L50" s="20">
        <v>0</v>
      </c>
    </row>
    <row r="51" spans="1:12">
      <c r="A51" s="2" t="s">
        <v>295</v>
      </c>
      <c r="B51" s="3" t="s">
        <v>296</v>
      </c>
      <c r="D51" s="20">
        <v>5.2609502504835134E-2</v>
      </c>
      <c r="E51" s="20">
        <v>0.93367300285546939</v>
      </c>
      <c r="F51" s="20">
        <v>1.0454009231786791E-3</v>
      </c>
      <c r="G51" s="20">
        <v>4.0140098572288895E-4</v>
      </c>
      <c r="H51" s="20">
        <v>0</v>
      </c>
      <c r="I51" s="20">
        <v>0.93222620094656783</v>
      </c>
      <c r="J51" s="20">
        <v>8.3871075811868339E-4</v>
      </c>
      <c r="K51" s="20">
        <v>1.2878783881576773E-2</v>
      </c>
      <c r="L51" s="20">
        <v>0</v>
      </c>
    </row>
    <row r="52" spans="1:12">
      <c r="A52" s="2" t="s">
        <v>389</v>
      </c>
      <c r="B52" s="3" t="s">
        <v>390</v>
      </c>
      <c r="D52" s="20">
        <v>6.0228093250364885E-2</v>
      </c>
      <c r="E52" s="20">
        <v>0.86035126326707834</v>
      </c>
      <c r="F52" s="20">
        <v>3.7776159067229066E-2</v>
      </c>
      <c r="G52" s="20">
        <v>1.1023343832308873E-2</v>
      </c>
      <c r="H52" s="20">
        <v>0</v>
      </c>
      <c r="I52" s="20">
        <v>0.8115517603675404</v>
      </c>
      <c r="J52" s="20">
        <v>1.256103813813353E-3</v>
      </c>
      <c r="K52" s="20">
        <v>7.8164539668743219E-2</v>
      </c>
      <c r="L52" s="20">
        <v>0</v>
      </c>
    </row>
    <row r="53" spans="1:12">
      <c r="A53" s="2" t="s">
        <v>391</v>
      </c>
      <c r="B53" s="3" t="s">
        <v>392</v>
      </c>
      <c r="D53" s="20">
        <v>1.8888429365768726E-3</v>
      </c>
      <c r="E53" s="20">
        <v>0.82197893994265492</v>
      </c>
      <c r="F53" s="20">
        <v>0.28576861550156341</v>
      </c>
      <c r="G53" s="20">
        <v>6.8977918705819E-2</v>
      </c>
      <c r="H53" s="20">
        <v>0</v>
      </c>
      <c r="I53" s="20">
        <v>0.46723240573527247</v>
      </c>
      <c r="J53" s="20">
        <v>3.8634653758979273E-3</v>
      </c>
      <c r="K53" s="20">
        <v>0.1722687517448703</v>
      </c>
      <c r="L53" s="20">
        <v>0</v>
      </c>
    </row>
    <row r="54" spans="1:12">
      <c r="A54" s="2" t="s">
        <v>393</v>
      </c>
      <c r="B54" s="3" t="s">
        <v>394</v>
      </c>
      <c r="D54" s="20">
        <v>1.5636158055428093E-4</v>
      </c>
      <c r="E54" s="20">
        <v>0.9270653870787422</v>
      </c>
      <c r="F54" s="20">
        <v>0.30001898405857913</v>
      </c>
      <c r="G54" s="20">
        <v>0.62610084722267989</v>
      </c>
      <c r="H54" s="20">
        <v>0</v>
      </c>
      <c r="I54" s="20">
        <v>9.4555579748318891E-4</v>
      </c>
      <c r="J54" s="20">
        <v>3.3246986322060905E-2</v>
      </c>
      <c r="K54" s="20">
        <v>3.9531265018642514E-2</v>
      </c>
      <c r="L54" s="20">
        <v>0</v>
      </c>
    </row>
    <row r="55" spans="1:12">
      <c r="A55" s="2" t="s">
        <v>395</v>
      </c>
      <c r="B55" s="3" t="s">
        <v>396</v>
      </c>
      <c r="D55" s="20">
        <v>0.1259951060927082</v>
      </c>
      <c r="E55" s="20">
        <v>0.73326268545326756</v>
      </c>
      <c r="F55" s="20">
        <v>0.46662968238702696</v>
      </c>
      <c r="G55" s="20">
        <v>0.10066254731802293</v>
      </c>
      <c r="H55" s="20">
        <v>0</v>
      </c>
      <c r="I55" s="20">
        <v>0.1659704557482177</v>
      </c>
      <c r="J55" s="20">
        <v>5.234395191271164E-3</v>
      </c>
      <c r="K55" s="20">
        <v>0.13550781326275319</v>
      </c>
      <c r="L55" s="20">
        <v>0</v>
      </c>
    </row>
    <row r="56" spans="1:12">
      <c r="A56" s="2" t="s">
        <v>397</v>
      </c>
      <c r="B56" s="3" t="s">
        <v>398</v>
      </c>
      <c r="D56" s="20">
        <v>0.5703935409533446</v>
      </c>
      <c r="E56" s="20">
        <v>0.38730707002402753</v>
      </c>
      <c r="F56" s="20">
        <v>0.30902476391118744</v>
      </c>
      <c r="G56" s="20">
        <v>5.8706858160023419E-2</v>
      </c>
      <c r="H56" s="20">
        <v>0</v>
      </c>
      <c r="I56" s="20">
        <v>1.9575447952816655E-2</v>
      </c>
      <c r="J56" s="20">
        <v>3.0181426371546139E-3</v>
      </c>
      <c r="K56" s="20">
        <v>3.9281246385473374E-2</v>
      </c>
      <c r="L56" s="20">
        <v>0</v>
      </c>
    </row>
    <row r="57" spans="1:12">
      <c r="A57" s="2" t="s">
        <v>399</v>
      </c>
      <c r="B57" s="3" t="s">
        <v>400</v>
      </c>
      <c r="D57" s="20">
        <v>0.7528228189607532</v>
      </c>
      <c r="E57" s="20">
        <v>0.21004624445466025</v>
      </c>
      <c r="F57" s="20">
        <v>0.14312366834223283</v>
      </c>
      <c r="G57" s="20">
        <v>3.0144425701572355E-2</v>
      </c>
      <c r="H57" s="20">
        <v>0</v>
      </c>
      <c r="I57" s="20">
        <v>3.6778150410855068E-2</v>
      </c>
      <c r="J57" s="20">
        <v>1.559333721388846E-3</v>
      </c>
      <c r="K57" s="20">
        <v>3.5571602863197715E-2</v>
      </c>
      <c r="L57" s="20">
        <v>0</v>
      </c>
    </row>
    <row r="58" spans="1:12">
      <c r="A58" s="2" t="s">
        <v>297</v>
      </c>
      <c r="B58" s="3" t="s">
        <v>298</v>
      </c>
      <c r="D58" s="20">
        <v>0.91899248702049596</v>
      </c>
      <c r="E58" s="20">
        <v>7.6686591834976323E-2</v>
      </c>
      <c r="F58" s="20">
        <v>1.2529410702928018E-3</v>
      </c>
      <c r="G58" s="20">
        <v>3.9429947664069981E-4</v>
      </c>
      <c r="H58" s="20">
        <v>0</v>
      </c>
      <c r="I58" s="20">
        <v>7.5039351288042816E-2</v>
      </c>
      <c r="J58" s="20">
        <v>8.5246225334509491E-5</v>
      </c>
      <c r="K58" s="20">
        <v>4.235674919193245E-3</v>
      </c>
      <c r="L58" s="20">
        <v>0</v>
      </c>
    </row>
    <row r="59" spans="1:12">
      <c r="A59" s="2" t="s">
        <v>401</v>
      </c>
      <c r="B59" s="3" t="s">
        <v>402</v>
      </c>
      <c r="D59" s="20">
        <v>0.90291994472086079</v>
      </c>
      <c r="E59" s="20">
        <v>8.2242441586687573E-2</v>
      </c>
      <c r="F59" s="20">
        <v>5.5241813920250418E-2</v>
      </c>
      <c r="G59" s="20">
        <v>1.1699397207592615E-2</v>
      </c>
      <c r="H59" s="20">
        <v>0</v>
      </c>
      <c r="I59" s="20">
        <v>1.5301230458844539E-2</v>
      </c>
      <c r="J59" s="20">
        <v>6.058112422263252E-4</v>
      </c>
      <c r="K59" s="20">
        <v>1.4231802450225524E-2</v>
      </c>
      <c r="L59" s="20">
        <v>0</v>
      </c>
    </row>
    <row r="60" spans="1:12">
      <c r="A60" s="2" t="s">
        <v>299</v>
      </c>
      <c r="B60" s="3" t="s">
        <v>300</v>
      </c>
      <c r="D60" s="20">
        <v>0.99794970291436569</v>
      </c>
      <c r="E60" s="20">
        <v>1.6911971571151986E-3</v>
      </c>
      <c r="F60" s="20">
        <v>9.1059935327892608E-4</v>
      </c>
      <c r="G60" s="20">
        <v>2.0493818842990915E-4</v>
      </c>
      <c r="H60" s="20">
        <v>0</v>
      </c>
      <c r="I60" s="20">
        <v>5.7565961540636331E-4</v>
      </c>
      <c r="J60" s="20">
        <v>1.0827324098759365E-5</v>
      </c>
      <c r="K60" s="20">
        <v>3.482726044203329E-4</v>
      </c>
      <c r="L60" s="20">
        <v>0</v>
      </c>
    </row>
    <row r="61" spans="1:12">
      <c r="A61" s="2" t="s">
        <v>403</v>
      </c>
      <c r="B61" s="3" t="s">
        <v>404</v>
      </c>
      <c r="D61" s="20">
        <v>4.2978121418653373E-44</v>
      </c>
      <c r="E61" s="20">
        <v>0.82065167455630483</v>
      </c>
      <c r="F61" s="20">
        <v>0.38147502732043753</v>
      </c>
      <c r="G61" s="20">
        <v>8.8259541737800706E-2</v>
      </c>
      <c r="H61" s="20">
        <v>0</v>
      </c>
      <c r="I61" s="20">
        <v>0.35091710549806665</v>
      </c>
      <c r="J61" s="20">
        <v>4.7427574111873197E-3</v>
      </c>
      <c r="K61" s="20">
        <v>0.17460556803250779</v>
      </c>
      <c r="L61" s="20">
        <v>0</v>
      </c>
    </row>
    <row r="62" spans="1:12">
      <c r="A62" s="2" t="s">
        <v>405</v>
      </c>
      <c r="B62" s="3" t="s">
        <v>406</v>
      </c>
      <c r="D62" s="20">
        <v>8.8684829256192875E-8</v>
      </c>
      <c r="E62" s="20">
        <v>0.93005027636918902</v>
      </c>
      <c r="F62" s="20">
        <v>0.59452212104861857</v>
      </c>
      <c r="G62" s="20">
        <v>0.33140844723177892</v>
      </c>
      <c r="H62" s="20">
        <v>0</v>
      </c>
      <c r="I62" s="20">
        <v>4.1197080887914808E-3</v>
      </c>
      <c r="J62" s="20">
        <v>1.7340641257841093E-2</v>
      </c>
      <c r="K62" s="20">
        <v>5.2608993688140641E-2</v>
      </c>
      <c r="L62" s="20">
        <v>0</v>
      </c>
    </row>
    <row r="63" spans="1:12">
      <c r="A63" s="2" t="s">
        <v>407</v>
      </c>
      <c r="B63" s="3" t="s">
        <v>408</v>
      </c>
      <c r="D63" s="20">
        <v>2.0621887174890709E-5</v>
      </c>
      <c r="E63" s="20">
        <v>0.93072304119374749</v>
      </c>
      <c r="F63" s="20">
        <v>0.17727483538220135</v>
      </c>
      <c r="G63" s="20">
        <v>0.75308265688203757</v>
      </c>
      <c r="H63" s="20">
        <v>0</v>
      </c>
      <c r="I63" s="20">
        <v>3.6554892950858413E-4</v>
      </c>
      <c r="J63" s="20">
        <v>4.0313635331576357E-2</v>
      </c>
      <c r="K63" s="20">
        <v>2.8942701587501129E-2</v>
      </c>
      <c r="L63" s="20">
        <v>0</v>
      </c>
    </row>
    <row r="64" spans="1:12">
      <c r="A64" s="2" t="s">
        <v>409</v>
      </c>
      <c r="B64" s="3" t="s">
        <v>410</v>
      </c>
      <c r="D64" s="20">
        <v>2.5244123726185051E-6</v>
      </c>
      <c r="E64" s="20">
        <v>0.93533507193246035</v>
      </c>
      <c r="F64" s="20">
        <v>9.4445002923136886E-2</v>
      </c>
      <c r="G64" s="20">
        <v>0.84076483640562294</v>
      </c>
      <c r="H64" s="20">
        <v>0</v>
      </c>
      <c r="I64" s="20">
        <v>1.2523260370055634E-4</v>
      </c>
      <c r="J64" s="20">
        <v>4.5388443338269829E-2</v>
      </c>
      <c r="K64" s="20">
        <v>1.9273960316897272E-2</v>
      </c>
      <c r="L64" s="20">
        <v>0</v>
      </c>
    </row>
    <row r="65" spans="1:12">
      <c r="A65" s="2" t="s">
        <v>301</v>
      </c>
      <c r="B65" s="3" t="s">
        <v>302</v>
      </c>
      <c r="D65" s="20">
        <v>3.0898210708778652E-7</v>
      </c>
      <c r="E65" s="20">
        <v>0.93972903517460149</v>
      </c>
      <c r="F65" s="20">
        <v>4.3406224753237008E-2</v>
      </c>
      <c r="G65" s="20">
        <v>0.89628797585244402</v>
      </c>
      <c r="H65" s="20">
        <v>0</v>
      </c>
      <c r="I65" s="20">
        <v>3.4834568920484466E-5</v>
      </c>
      <c r="J65" s="20">
        <v>4.8853866416852833E-2</v>
      </c>
      <c r="K65" s="20">
        <v>1.1416789426438576E-2</v>
      </c>
      <c r="L65" s="20">
        <v>0</v>
      </c>
    </row>
    <row r="66" spans="1:12">
      <c r="A66" s="2" t="s">
        <v>303</v>
      </c>
      <c r="B66" s="3" t="s">
        <v>304</v>
      </c>
      <c r="D66" s="20">
        <v>2.9970444073515978E-13</v>
      </c>
      <c r="E66" s="20">
        <v>0.93740161495793084</v>
      </c>
      <c r="F66" s="20">
        <v>6.7953504997338141E-2</v>
      </c>
      <c r="G66" s="20">
        <v>0.86937554110272552</v>
      </c>
      <c r="H66" s="20">
        <v>0</v>
      </c>
      <c r="I66" s="20">
        <v>7.2568857867169053E-5</v>
      </c>
      <c r="J66" s="20">
        <v>4.7127903272090252E-2</v>
      </c>
      <c r="K66" s="20">
        <v>1.5470481769679433E-2</v>
      </c>
      <c r="L66" s="20">
        <v>0</v>
      </c>
    </row>
    <row r="67" spans="1:12">
      <c r="A67" s="2" t="s">
        <v>411</v>
      </c>
      <c r="B67" s="3" t="s">
        <v>412</v>
      </c>
      <c r="D67" s="20">
        <v>3.9676999558969656E-3</v>
      </c>
      <c r="E67" s="20">
        <v>0.92531483137913728</v>
      </c>
      <c r="F67" s="20">
        <v>2.7743260959127807E-2</v>
      </c>
      <c r="G67" s="20">
        <v>8.3378305046375046E-3</v>
      </c>
      <c r="H67" s="20">
        <v>0</v>
      </c>
      <c r="I67" s="20">
        <v>0.88923373991537202</v>
      </c>
      <c r="J67" s="20">
        <v>1.1911102271268748E-3</v>
      </c>
      <c r="K67" s="20">
        <v>6.9526358437838887E-2</v>
      </c>
      <c r="L67" s="20">
        <v>0</v>
      </c>
    </row>
    <row r="68" spans="1:12">
      <c r="A68" s="2" t="s">
        <v>413</v>
      </c>
      <c r="B68" s="3" t="s">
        <v>414</v>
      </c>
      <c r="D68" s="20">
        <v>8.7563277707894405E-3</v>
      </c>
      <c r="E68" s="20">
        <v>0.89828255431604942</v>
      </c>
      <c r="F68" s="20">
        <v>4.985867056013054E-2</v>
      </c>
      <c r="G68" s="20">
        <v>1.4283552966793716E-2</v>
      </c>
      <c r="H68" s="20">
        <v>0</v>
      </c>
      <c r="I68" s="20">
        <v>0.8341403307891252</v>
      </c>
      <c r="J68" s="20">
        <v>1.4376072787229063E-3</v>
      </c>
      <c r="K68" s="20">
        <v>9.1523510634438171E-2</v>
      </c>
      <c r="L68" s="20">
        <v>0</v>
      </c>
    </row>
    <row r="69" spans="1:12">
      <c r="A69" s="2" t="s">
        <v>415</v>
      </c>
      <c r="B69" s="3" t="s">
        <v>416</v>
      </c>
      <c r="D69" s="20">
        <v>1.0130835573784727E-3</v>
      </c>
      <c r="E69" s="20">
        <v>0.92553763747327722</v>
      </c>
      <c r="F69" s="20">
        <v>0.37684603571577235</v>
      </c>
      <c r="G69" s="20">
        <v>0.54721690618391361</v>
      </c>
      <c r="H69" s="20">
        <v>0</v>
      </c>
      <c r="I69" s="20">
        <v>1.4746955735912134E-3</v>
      </c>
      <c r="J69" s="20">
        <v>2.8939449834378534E-2</v>
      </c>
      <c r="K69" s="20">
        <v>4.4509829134965845E-2</v>
      </c>
      <c r="L69" s="20">
        <v>0</v>
      </c>
    </row>
    <row r="70" spans="1:12">
      <c r="A70" s="2" t="s">
        <v>417</v>
      </c>
      <c r="B70" s="3" t="s">
        <v>418</v>
      </c>
      <c r="D70" s="20">
        <v>2.7216850736761218E-3</v>
      </c>
      <c r="E70" s="20">
        <v>0.91600877871723707</v>
      </c>
      <c r="F70" s="20">
        <v>0.75068295666092233</v>
      </c>
      <c r="G70" s="20">
        <v>0.13719936812579114</v>
      </c>
      <c r="H70" s="20">
        <v>0</v>
      </c>
      <c r="I70" s="20">
        <v>2.8126453930523612E-2</v>
      </c>
      <c r="J70" s="20">
        <v>7.061911269414186E-3</v>
      </c>
      <c r="K70" s="20">
        <v>7.4207624939672437E-2</v>
      </c>
      <c r="L70" s="20">
        <v>0</v>
      </c>
    </row>
    <row r="71" spans="1:12">
      <c r="A71" s="2" t="s">
        <v>419</v>
      </c>
      <c r="B71" s="3" t="s">
        <v>420</v>
      </c>
      <c r="D71" s="20">
        <v>2.1439384079400572E-2</v>
      </c>
      <c r="E71" s="20">
        <v>0.89048773248029833</v>
      </c>
      <c r="F71" s="20">
        <v>4.5022643285598615E-2</v>
      </c>
      <c r="G71" s="20">
        <v>1.2993511773356012E-2</v>
      </c>
      <c r="H71" s="20">
        <v>0</v>
      </c>
      <c r="I71" s="20">
        <v>0.8324715774213437</v>
      </c>
      <c r="J71" s="20">
        <v>1.3721113470310036E-3</v>
      </c>
      <c r="K71" s="20">
        <v>8.6700772093269998E-2</v>
      </c>
      <c r="L71" s="20">
        <v>0</v>
      </c>
    </row>
    <row r="72" spans="1:12">
      <c r="A72" s="2" t="s">
        <v>421</v>
      </c>
      <c r="B72" s="3" t="s">
        <v>422</v>
      </c>
      <c r="D72" s="20">
        <v>1.1498928719265205E-2</v>
      </c>
      <c r="E72" s="20">
        <v>0.902612041031011</v>
      </c>
      <c r="F72" s="20">
        <v>0.73396620936334078</v>
      </c>
      <c r="G72" s="20">
        <v>0.13588503216692963</v>
      </c>
      <c r="H72" s="20">
        <v>0</v>
      </c>
      <c r="I72" s="20">
        <v>3.2760799500740574E-2</v>
      </c>
      <c r="J72" s="20">
        <v>6.9906582063519263E-3</v>
      </c>
      <c r="K72" s="20">
        <v>7.8898372043371828E-2</v>
      </c>
      <c r="L72" s="20">
        <v>0</v>
      </c>
    </row>
    <row r="73" spans="1:12">
      <c r="A73" s="2" t="s">
        <v>423</v>
      </c>
      <c r="B73" s="3" t="s">
        <v>424</v>
      </c>
      <c r="D73" s="20">
        <v>1.2505426884314027E-2</v>
      </c>
      <c r="E73" s="20">
        <v>0.81126936456084886</v>
      </c>
      <c r="F73" s="20">
        <v>0.3974817613955906</v>
      </c>
      <c r="G73" s="20">
        <v>9.1119800674950208E-2</v>
      </c>
      <c r="H73" s="20">
        <v>0</v>
      </c>
      <c r="I73" s="20">
        <v>0.32266780249030802</v>
      </c>
      <c r="J73" s="20">
        <v>4.8653157636562071E-3</v>
      </c>
      <c r="K73" s="20">
        <v>0.17135989279118102</v>
      </c>
      <c r="L73" s="20">
        <v>0</v>
      </c>
    </row>
    <row r="74" spans="1:12">
      <c r="A74" s="2" t="s">
        <v>425</v>
      </c>
      <c r="B74" s="3" t="s">
        <v>426</v>
      </c>
      <c r="D74" s="20">
        <v>4.2087213007802049E-3</v>
      </c>
      <c r="E74" s="20">
        <v>0.91313485582842291</v>
      </c>
      <c r="F74" s="20">
        <v>0.74673903166956301</v>
      </c>
      <c r="G74" s="20">
        <v>0.13698228539387788</v>
      </c>
      <c r="H74" s="20">
        <v>0</v>
      </c>
      <c r="I74" s="20">
        <v>2.941353876498197E-2</v>
      </c>
      <c r="J74" s="20">
        <v>7.049627901588796E-3</v>
      </c>
      <c r="K74" s="20">
        <v>7.5606794969208233E-2</v>
      </c>
      <c r="L74" s="20">
        <v>0</v>
      </c>
    </row>
    <row r="75" spans="1:12">
      <c r="A75" s="2" t="s">
        <v>427</v>
      </c>
      <c r="B75" s="3" t="s">
        <v>428</v>
      </c>
      <c r="D75" s="20">
        <v>4.2673829756535009E-10</v>
      </c>
      <c r="E75" s="20">
        <v>0.99615894494843893</v>
      </c>
      <c r="F75" s="20">
        <v>0.9914716987270491</v>
      </c>
      <c r="G75" s="20">
        <v>3.8258728368105444E-4</v>
      </c>
      <c r="H75" s="20">
        <v>0</v>
      </c>
      <c r="I75" s="20">
        <v>4.3046589377087477E-3</v>
      </c>
      <c r="J75" s="20">
        <v>3.8059125862007436E-3</v>
      </c>
      <c r="K75" s="20">
        <v>3.5142038621906864E-5</v>
      </c>
      <c r="L75" s="20">
        <v>0</v>
      </c>
    </row>
    <row r="76" spans="1:12">
      <c r="A76" s="2" t="s">
        <v>429</v>
      </c>
      <c r="B76" s="3" t="s">
        <v>430</v>
      </c>
      <c r="D76" s="20">
        <v>1.0719181399058391E-11</v>
      </c>
      <c r="E76" s="20">
        <v>0.99615894536286009</v>
      </c>
      <c r="F76" s="20">
        <v>0.99147169913952027</v>
      </c>
      <c r="G76" s="20">
        <v>3.8258728384021803E-4</v>
      </c>
      <c r="H76" s="20">
        <v>0</v>
      </c>
      <c r="I76" s="20">
        <v>4.3046589394995678E-3</v>
      </c>
      <c r="J76" s="20">
        <v>3.805912587784076E-3</v>
      </c>
      <c r="K76" s="20">
        <v>3.5142038636526626E-5</v>
      </c>
      <c r="L76" s="20">
        <v>0</v>
      </c>
    </row>
    <row r="77" spans="1:12">
      <c r="A77" s="2" t="s">
        <v>431</v>
      </c>
      <c r="B77" s="3" t="s">
        <v>432</v>
      </c>
      <c r="D77" s="20">
        <v>2.1830764342217642E-2</v>
      </c>
      <c r="E77" s="20">
        <v>0.84013142899528126</v>
      </c>
      <c r="F77" s="20">
        <v>0.59715576018462013</v>
      </c>
      <c r="G77" s="20">
        <v>0.12347617888043635</v>
      </c>
      <c r="H77" s="20">
        <v>0</v>
      </c>
      <c r="I77" s="20">
        <v>0.11949948993022481</v>
      </c>
      <c r="J77" s="20">
        <v>6.3699997330916112E-3</v>
      </c>
      <c r="K77" s="20">
        <v>0.13166780692940963</v>
      </c>
      <c r="L77" s="20">
        <v>0</v>
      </c>
    </row>
    <row r="78" spans="1:12">
      <c r="A78" s="2" t="s">
        <v>433</v>
      </c>
      <c r="B78" s="3" t="s">
        <v>434</v>
      </c>
      <c r="D78" s="20">
        <v>3.119405264153979E-2</v>
      </c>
      <c r="E78" s="20">
        <v>0.8227762522714076</v>
      </c>
      <c r="F78" s="20">
        <v>0.15285881377716654</v>
      </c>
      <c r="G78" s="20">
        <v>3.9498994516510864E-2</v>
      </c>
      <c r="H78" s="20">
        <v>0</v>
      </c>
      <c r="I78" s="20">
        <v>0.63041844397773017</v>
      </c>
      <c r="J78" s="20">
        <v>2.5195970486563374E-3</v>
      </c>
      <c r="K78" s="20">
        <v>0.14351009803839623</v>
      </c>
      <c r="L78" s="20">
        <v>0</v>
      </c>
    </row>
    <row r="79" spans="1:12">
      <c r="A79" s="2" t="s">
        <v>435</v>
      </c>
      <c r="B79" s="3" t="s">
        <v>436</v>
      </c>
      <c r="D79" s="20">
        <v>7.4839930589394926E-3</v>
      </c>
      <c r="E79" s="20">
        <v>0.81667210504996623</v>
      </c>
      <c r="F79" s="20">
        <v>0.29211379059508569</v>
      </c>
      <c r="G79" s="20">
        <v>7.025020820531809E-2</v>
      </c>
      <c r="H79" s="20">
        <v>0</v>
      </c>
      <c r="I79" s="20">
        <v>0.45430810624956242</v>
      </c>
      <c r="J79" s="20">
        <v>3.9169211580508002E-3</v>
      </c>
      <c r="K79" s="20">
        <v>0.17192698073304347</v>
      </c>
      <c r="L79" s="20">
        <v>0</v>
      </c>
    </row>
    <row r="80" spans="1:12">
      <c r="A80" s="2" t="s">
        <v>437</v>
      </c>
      <c r="B80" s="3" t="s">
        <v>438</v>
      </c>
      <c r="D80" s="20">
        <v>1.5224985043342072E-10</v>
      </c>
      <c r="E80" s="20">
        <v>0.99259412899050037</v>
      </c>
      <c r="F80" s="20">
        <v>0.98895282700879117</v>
      </c>
      <c r="G80" s="20">
        <v>7.3303681292119093E-4</v>
      </c>
      <c r="H80" s="20">
        <v>0</v>
      </c>
      <c r="I80" s="20">
        <v>2.9082651687879712E-3</v>
      </c>
      <c r="J80" s="20">
        <v>7.3631910739124888E-3</v>
      </c>
      <c r="K80" s="20">
        <v>4.2679783337232993E-5</v>
      </c>
      <c r="L80" s="20">
        <v>0</v>
      </c>
    </row>
    <row r="81" spans="1:12">
      <c r="A81" s="2" t="s">
        <v>440</v>
      </c>
      <c r="B81" s="3" t="s">
        <v>441</v>
      </c>
      <c r="D81" s="20">
        <v>1.4612892811298691E-13</v>
      </c>
      <c r="E81" s="20">
        <v>0.98669007746105664</v>
      </c>
      <c r="F81" s="20">
        <v>9.2758749026858832E-4</v>
      </c>
      <c r="G81" s="20">
        <v>3.6078663268058353E-4</v>
      </c>
      <c r="H81" s="20">
        <v>0</v>
      </c>
      <c r="I81" s="20">
        <v>0.9854017033381075</v>
      </c>
      <c r="J81" s="20">
        <v>8.8347876575572114E-4</v>
      </c>
      <c r="K81" s="20">
        <v>1.242644377304129E-2</v>
      </c>
      <c r="L81" s="20">
        <v>0</v>
      </c>
    </row>
    <row r="82" spans="1:12">
      <c r="A82" s="2" t="s">
        <v>442</v>
      </c>
      <c r="B82" s="3" t="s">
        <v>443</v>
      </c>
      <c r="D82" s="20">
        <v>7.3015517001827029E-5</v>
      </c>
      <c r="E82" s="20">
        <v>0.89633345062733683</v>
      </c>
      <c r="F82" s="20">
        <v>6.2637418256693569E-2</v>
      </c>
      <c r="G82" s="20">
        <v>1.7616896561239184E-2</v>
      </c>
      <c r="H82" s="20">
        <v>0</v>
      </c>
      <c r="I82" s="20">
        <v>0.81607913580940405</v>
      </c>
      <c r="J82" s="20">
        <v>1.5875086438876993E-3</v>
      </c>
      <c r="K82" s="20">
        <v>0.1020060252117736</v>
      </c>
      <c r="L82" s="20">
        <v>0</v>
      </c>
    </row>
    <row r="83" spans="1:12">
      <c r="A83" s="2" t="s">
        <v>444</v>
      </c>
      <c r="B83" s="3" t="s">
        <v>445</v>
      </c>
      <c r="D83" s="20">
        <v>4.6967213941347287E-4</v>
      </c>
      <c r="E83" s="20">
        <v>0.84850146181966324</v>
      </c>
      <c r="F83" s="20">
        <v>0.57545780291541759</v>
      </c>
      <c r="G83" s="20">
        <v>0.12142525903556593</v>
      </c>
      <c r="H83" s="20">
        <v>0</v>
      </c>
      <c r="I83" s="20">
        <v>0.1516183998686797</v>
      </c>
      <c r="J83" s="20">
        <v>6.2832365436098691E-3</v>
      </c>
      <c r="K83" s="20">
        <v>0.14474562949731337</v>
      </c>
      <c r="L83" s="20">
        <v>0</v>
      </c>
    </row>
    <row r="84" spans="1:12">
      <c r="A84" s="2" t="s">
        <v>446</v>
      </c>
      <c r="B84" s="3" t="s">
        <v>447</v>
      </c>
      <c r="D84" s="20">
        <v>4.5697010637637996E-15</v>
      </c>
      <c r="E84" s="20">
        <v>0.97192135770505561</v>
      </c>
      <c r="F84" s="20">
        <v>4.2335673684889786E-3</v>
      </c>
      <c r="G84" s="20">
        <v>1.4702867059218925E-3</v>
      </c>
      <c r="H84" s="20">
        <v>0</v>
      </c>
      <c r="I84" s="20">
        <v>0.96621750363064474</v>
      </c>
      <c r="J84" s="20">
        <v>9.2060057382106352E-4</v>
      </c>
      <c r="K84" s="20">
        <v>2.7158041721118884E-2</v>
      </c>
      <c r="L84" s="20">
        <v>0</v>
      </c>
    </row>
    <row r="85" spans="1:12">
      <c r="A85" s="2" t="s">
        <v>448</v>
      </c>
      <c r="B85" s="3" t="s">
        <v>449</v>
      </c>
      <c r="D85" s="20">
        <v>3.1209657849581986E-8</v>
      </c>
      <c r="E85" s="20">
        <v>0.99399079316716576</v>
      </c>
      <c r="F85" s="20">
        <v>1.6869712912126534E-4</v>
      </c>
      <c r="G85" s="20">
        <v>7.4439465693884073E-5</v>
      </c>
      <c r="H85" s="20">
        <v>0</v>
      </c>
      <c r="I85" s="20">
        <v>0.99374765657235065</v>
      </c>
      <c r="J85" s="20">
        <v>8.7702176234283791E-4</v>
      </c>
      <c r="K85" s="20">
        <v>5.1321538608335021E-3</v>
      </c>
      <c r="L85" s="20">
        <v>0</v>
      </c>
    </row>
    <row r="86" spans="1:12">
      <c r="A86" s="2" t="s">
        <v>450</v>
      </c>
      <c r="B86" s="3" t="s">
        <v>451</v>
      </c>
      <c r="D86" s="20">
        <v>1.148659899420422E-8</v>
      </c>
      <c r="E86" s="20">
        <v>0.97259661197816394</v>
      </c>
      <c r="F86" s="20">
        <v>4.0309753659101459E-3</v>
      </c>
      <c r="G86" s="20">
        <v>1.4050950359674448E-3</v>
      </c>
      <c r="H86" s="20">
        <v>0</v>
      </c>
      <c r="I86" s="20">
        <v>0.96716054157628639</v>
      </c>
      <c r="J86" s="20">
        <v>9.1824585064438321E-4</v>
      </c>
      <c r="K86" s="20">
        <v>2.648513068459268E-2</v>
      </c>
      <c r="L86" s="20">
        <v>0</v>
      </c>
    </row>
    <row r="87" spans="1:12">
      <c r="A87" s="2" t="s">
        <v>452</v>
      </c>
      <c r="B87" s="3" t="s">
        <v>453</v>
      </c>
      <c r="D87" s="20">
        <v>3.8727293675232349E-8</v>
      </c>
      <c r="E87" s="20">
        <v>0.929150942787621</v>
      </c>
      <c r="F87" s="20">
        <v>0.2198041223340067</v>
      </c>
      <c r="G87" s="20">
        <v>0.7088125338822685</v>
      </c>
      <c r="H87" s="20">
        <v>0</v>
      </c>
      <c r="I87" s="20">
        <v>5.3428657134582517E-4</v>
      </c>
      <c r="J87" s="20">
        <v>3.7825160402194288E-2</v>
      </c>
      <c r="K87" s="20">
        <v>3.3023858082891148E-2</v>
      </c>
      <c r="L87" s="20">
        <v>0</v>
      </c>
    </row>
    <row r="88" spans="1:12">
      <c r="A88" s="2" t="s">
        <v>454</v>
      </c>
      <c r="B88" s="3" t="s">
        <v>455</v>
      </c>
      <c r="D88" s="20">
        <v>3.6701897788296776E-5</v>
      </c>
      <c r="E88" s="20">
        <v>0.8631264123177953</v>
      </c>
      <c r="F88" s="20">
        <v>0.12125710791364087</v>
      </c>
      <c r="G88" s="20">
        <v>3.2151612656697789E-2</v>
      </c>
      <c r="H88" s="20">
        <v>0</v>
      </c>
      <c r="I88" s="20">
        <v>0.70971769174745658</v>
      </c>
      <c r="J88" s="20">
        <v>2.2201108383394417E-3</v>
      </c>
      <c r="K88" s="20">
        <v>0.13461677494607713</v>
      </c>
      <c r="L88" s="20">
        <v>0</v>
      </c>
    </row>
    <row r="89" spans="1:12">
      <c r="A89" s="2" t="s">
        <v>456</v>
      </c>
      <c r="B89" s="3" t="s">
        <v>457</v>
      </c>
      <c r="D89" s="20">
        <v>2.4249239731009599E-17</v>
      </c>
      <c r="E89" s="20">
        <v>0.8902961734977255</v>
      </c>
      <c r="F89" s="20">
        <v>7.1271649694864506E-2</v>
      </c>
      <c r="G89" s="20">
        <v>1.9824962144733498E-2</v>
      </c>
      <c r="H89" s="20">
        <v>0</v>
      </c>
      <c r="I89" s="20">
        <v>0.79919956165812744</v>
      </c>
      <c r="J89" s="20">
        <v>1.6826787540125928E-3</v>
      </c>
      <c r="K89" s="20">
        <v>0.10802114774826192</v>
      </c>
      <c r="L89" s="20">
        <v>0</v>
      </c>
    </row>
    <row r="90" spans="1:12">
      <c r="A90" s="2" t="s">
        <v>458</v>
      </c>
      <c r="B90" s="3" t="s">
        <v>459</v>
      </c>
      <c r="D90" s="20">
        <v>3.5020877349621152E-29</v>
      </c>
      <c r="E90" s="20">
        <v>0.94603333126428868</v>
      </c>
      <c r="F90" s="20">
        <v>1.5839654567506748E-2</v>
      </c>
      <c r="G90" s="20">
        <v>4.9755519099901899E-3</v>
      </c>
      <c r="H90" s="20">
        <v>0</v>
      </c>
      <c r="I90" s="20">
        <v>0.92521812478679177</v>
      </c>
      <c r="J90" s="20">
        <v>1.0566783854422702E-3</v>
      </c>
      <c r="K90" s="20">
        <v>5.2909990350269082E-2</v>
      </c>
      <c r="L90" s="20">
        <v>0</v>
      </c>
    </row>
    <row r="91" spans="1:12">
      <c r="A91" s="2" t="s">
        <v>460</v>
      </c>
      <c r="B91" s="3" t="s">
        <v>461</v>
      </c>
      <c r="D91" s="20">
        <v>4.1398556687985064E-8</v>
      </c>
      <c r="E91" s="20">
        <v>0.92897080241607888</v>
      </c>
      <c r="F91" s="20">
        <v>0.56273494435701898</v>
      </c>
      <c r="G91" s="20">
        <v>0.36265981853474283</v>
      </c>
      <c r="H91" s="20">
        <v>0</v>
      </c>
      <c r="I91" s="20">
        <v>3.5760395243170937E-3</v>
      </c>
      <c r="J91" s="20">
        <v>1.9006100163515949E-2</v>
      </c>
      <c r="K91" s="20">
        <v>5.2023056021848452E-2</v>
      </c>
      <c r="L91" s="20">
        <v>0</v>
      </c>
    </row>
    <row r="92" spans="1:12">
      <c r="A92" s="2" t="s">
        <v>462</v>
      </c>
      <c r="B92" s="3" t="s">
        <v>463</v>
      </c>
      <c r="D92" s="20">
        <v>4.1941120534053532E-9</v>
      </c>
      <c r="E92" s="20">
        <v>0.83386506901582247</v>
      </c>
      <c r="F92" s="20">
        <v>0.50776026688313103</v>
      </c>
      <c r="G92" s="20">
        <v>0.11095688834151379</v>
      </c>
      <c r="H92" s="20">
        <v>0</v>
      </c>
      <c r="I92" s="20">
        <v>0.21514791379117762</v>
      </c>
      <c r="J92" s="20">
        <v>5.7916739838544803E-3</v>
      </c>
      <c r="K92" s="20">
        <v>0.16034325280621106</v>
      </c>
      <c r="L92" s="20">
        <v>0</v>
      </c>
    </row>
    <row r="93" spans="1:12">
      <c r="A93" s="2" t="s">
        <v>464</v>
      </c>
      <c r="B93" s="3" t="s">
        <v>465</v>
      </c>
      <c r="D93" s="20">
        <v>1.7122569644222448E-4</v>
      </c>
      <c r="E93" s="20">
        <v>0.90309807999615865</v>
      </c>
      <c r="F93" s="20">
        <v>0.7227492100164149</v>
      </c>
      <c r="G93" s="20">
        <v>0.13679908136665608</v>
      </c>
      <c r="H93" s="20">
        <v>0</v>
      </c>
      <c r="I93" s="20">
        <v>4.3549788613087656E-2</v>
      </c>
      <c r="J93" s="20">
        <v>7.0333465339987664E-3</v>
      </c>
      <c r="K93" s="20">
        <v>8.9697347773400299E-2</v>
      </c>
      <c r="L93" s="20">
        <v>0</v>
      </c>
    </row>
    <row r="94" spans="1:12">
      <c r="A94" s="2" t="s">
        <v>466</v>
      </c>
      <c r="B94" s="3" t="s">
        <v>467</v>
      </c>
      <c r="D94" s="20">
        <v>1.4256209081099039E-18</v>
      </c>
      <c r="E94" s="20">
        <v>0.99906447825141353</v>
      </c>
      <c r="F94" s="20">
        <v>0.1049771575741367</v>
      </c>
      <c r="G94" s="20">
        <v>1.3795368440040381E-5</v>
      </c>
      <c r="H94" s="20">
        <v>0</v>
      </c>
      <c r="I94" s="20">
        <v>0.89407352530883677</v>
      </c>
      <c r="J94" s="20">
        <v>8.6828143585950771E-4</v>
      </c>
      <c r="K94" s="20">
        <v>6.7240312726791565E-5</v>
      </c>
      <c r="L94" s="20">
        <v>0</v>
      </c>
    </row>
    <row r="95" spans="1:12">
      <c r="A95" s="2" t="s">
        <v>468</v>
      </c>
      <c r="B95" s="3" t="s">
        <v>469</v>
      </c>
      <c r="D95" s="20">
        <v>1.6731495853638735E-18</v>
      </c>
      <c r="E95" s="20">
        <v>0.93876862743118195</v>
      </c>
      <c r="F95" s="20">
        <v>0.74585336673006009</v>
      </c>
      <c r="G95" s="20">
        <v>0.18452236395707577</v>
      </c>
      <c r="H95" s="20">
        <v>0</v>
      </c>
      <c r="I95" s="20">
        <v>8.3928967440461411E-3</v>
      </c>
      <c r="J95" s="20">
        <v>9.5724397071920431E-3</v>
      </c>
      <c r="K95" s="20">
        <v>5.1658932861626115E-2</v>
      </c>
      <c r="L95" s="20">
        <v>0</v>
      </c>
    </row>
    <row r="96" spans="1:12">
      <c r="A96" s="2" t="s">
        <v>470</v>
      </c>
      <c r="B96" s="163">
        <v>354656</v>
      </c>
      <c r="D96" s="20">
        <v>2.9151297575425433E-10</v>
      </c>
      <c r="E96" s="20">
        <v>0.98620156004510273</v>
      </c>
      <c r="F96" s="20">
        <v>9.9925556376380636E-4</v>
      </c>
      <c r="G96" s="20">
        <v>3.865201420030822E-4</v>
      </c>
      <c r="H96" s="20">
        <v>0</v>
      </c>
      <c r="I96" s="20">
        <v>0.98481578433933581</v>
      </c>
      <c r="J96" s="20">
        <v>8.8420864319919881E-4</v>
      </c>
      <c r="K96" s="20">
        <v>1.291423102018509E-2</v>
      </c>
      <c r="L96" s="20">
        <v>0</v>
      </c>
    </row>
    <row r="97" spans="1:12">
      <c r="A97" s="2" t="s">
        <v>472</v>
      </c>
      <c r="B97" s="3" t="s">
        <v>473</v>
      </c>
      <c r="D97" s="20">
        <v>4.5680502584119234E-10</v>
      </c>
      <c r="E97" s="20">
        <v>0.97157761696638356</v>
      </c>
      <c r="F97" s="20">
        <v>4.3385994589329076E-3</v>
      </c>
      <c r="G97" s="20">
        <v>1.5039905695985879E-3</v>
      </c>
      <c r="H97" s="20">
        <v>0</v>
      </c>
      <c r="I97" s="20">
        <v>0.96573502693785207</v>
      </c>
      <c r="J97" s="20">
        <v>9.2182281110342497E-4</v>
      </c>
      <c r="K97" s="20">
        <v>2.750055976570823E-2</v>
      </c>
      <c r="L97" s="20">
        <v>0</v>
      </c>
    </row>
    <row r="98" spans="1:12">
      <c r="A98" s="2" t="s">
        <v>474</v>
      </c>
      <c r="B98" s="3" t="s">
        <v>475</v>
      </c>
      <c r="D98" s="20">
        <v>3.9355996539618988E-20</v>
      </c>
      <c r="E98" s="20">
        <v>0.92915460798385718</v>
      </c>
      <c r="F98" s="20">
        <v>0.77202186063595557</v>
      </c>
      <c r="G98" s="20">
        <v>0.13725404532898006</v>
      </c>
      <c r="H98" s="20">
        <v>0</v>
      </c>
      <c r="I98" s="20">
        <v>1.9878702018921588E-2</v>
      </c>
      <c r="J98" s="20">
        <v>7.0746347585754514E-3</v>
      </c>
      <c r="K98" s="20">
        <v>6.3770757257567312E-2</v>
      </c>
      <c r="L98" s="20">
        <v>0</v>
      </c>
    </row>
    <row r="99" spans="1:12">
      <c r="A99" s="2" t="s">
        <v>476</v>
      </c>
      <c r="B99" s="3" t="s">
        <v>477</v>
      </c>
      <c r="D99" s="20">
        <v>1.3593297527830148E-7</v>
      </c>
      <c r="E99" s="20">
        <v>0.99557708190695871</v>
      </c>
      <c r="F99" s="20">
        <v>8.2859728717162893E-5</v>
      </c>
      <c r="G99" s="20">
        <v>3.8533553649336661E-5</v>
      </c>
      <c r="H99" s="20">
        <v>0</v>
      </c>
      <c r="I99" s="20">
        <v>0.99545568862459222</v>
      </c>
      <c r="J99" s="20">
        <v>8.7680868045130118E-4</v>
      </c>
      <c r="K99" s="20">
        <v>3.545973479614716E-3</v>
      </c>
      <c r="L99" s="20">
        <v>0</v>
      </c>
    </row>
    <row r="100" spans="1:12">
      <c r="A100" s="2" t="s">
        <v>478</v>
      </c>
      <c r="B100" s="3" t="s">
        <v>479</v>
      </c>
      <c r="D100" s="20">
        <v>4.8864923918508091E-11</v>
      </c>
      <c r="E100" s="20">
        <v>0.82664161690074667</v>
      </c>
      <c r="F100" s="20">
        <v>0.25894999754519654</v>
      </c>
      <c r="G100" s="20">
        <v>6.3315707863575807E-2</v>
      </c>
      <c r="H100" s="20">
        <v>0</v>
      </c>
      <c r="I100" s="20">
        <v>0.50437591149197436</v>
      </c>
      <c r="J100" s="20">
        <v>3.6091239769318892E-3</v>
      </c>
      <c r="K100" s="20">
        <v>0.16974925907345653</v>
      </c>
      <c r="L100" s="20">
        <v>0</v>
      </c>
    </row>
    <row r="101" spans="1:12">
      <c r="A101" s="2" t="s">
        <v>480</v>
      </c>
      <c r="B101" s="3" t="s">
        <v>481</v>
      </c>
      <c r="D101" s="20">
        <v>3.6693071392460811E-11</v>
      </c>
      <c r="E101" s="20">
        <v>0.99316613919434271</v>
      </c>
      <c r="F101" s="20">
        <v>2.2469983328694275E-4</v>
      </c>
      <c r="G101" s="20">
        <v>9.7072967378036124E-5</v>
      </c>
      <c r="H101" s="20">
        <v>0</v>
      </c>
      <c r="I101" s="20">
        <v>0.99284436639367768</v>
      </c>
      <c r="J101" s="20">
        <v>8.7731166535815657E-4</v>
      </c>
      <c r="K101" s="20">
        <v>5.9565491036060649E-3</v>
      </c>
      <c r="L101" s="20">
        <v>0</v>
      </c>
    </row>
    <row r="102" spans="1:12">
      <c r="A102" s="2" t="s">
        <v>482</v>
      </c>
      <c r="B102" s="3" t="s">
        <v>483</v>
      </c>
      <c r="D102" s="20">
        <v>2.2924354538029703E-27</v>
      </c>
      <c r="E102" s="20">
        <v>0.99761922690729254</v>
      </c>
      <c r="F102" s="20">
        <v>1.5941008771897436E-5</v>
      </c>
      <c r="G102" s="20">
        <v>8.3716556474161113E-6</v>
      </c>
      <c r="H102" s="20">
        <v>0</v>
      </c>
      <c r="I102" s="20">
        <v>0.99759491424287328</v>
      </c>
      <c r="J102" s="20">
        <v>8.7725805251196267E-4</v>
      </c>
      <c r="K102" s="20">
        <v>1.5035150401955313E-3</v>
      </c>
      <c r="L102" s="20">
        <v>0</v>
      </c>
    </row>
    <row r="103" spans="1:12">
      <c r="A103" s="2" t="s">
        <v>484</v>
      </c>
      <c r="B103" s="3" t="s">
        <v>485</v>
      </c>
      <c r="D103" s="20">
        <v>1.8332741684957449E-13</v>
      </c>
      <c r="E103" s="20">
        <v>0.99569047075679307</v>
      </c>
      <c r="F103" s="20">
        <v>7.7847756913920554E-5</v>
      </c>
      <c r="G103" s="20">
        <v>3.6369862469733358E-5</v>
      </c>
      <c r="H103" s="20">
        <v>0</v>
      </c>
      <c r="I103" s="20">
        <v>0.99557625313740938</v>
      </c>
      <c r="J103" s="20">
        <v>8.7681162076367106E-4</v>
      </c>
      <c r="K103" s="20">
        <v>3.4327176222597147E-3</v>
      </c>
      <c r="L103" s="20">
        <v>0</v>
      </c>
    </row>
    <row r="104" spans="1:12">
      <c r="A104" s="2" t="s">
        <v>486</v>
      </c>
      <c r="B104" s="3" t="s">
        <v>487</v>
      </c>
      <c r="D104" s="20">
        <v>2.3061192252646805E-9</v>
      </c>
      <c r="E104" s="20">
        <v>0.97941901010876997</v>
      </c>
      <c r="F104" s="20">
        <v>2.2609993665546994E-3</v>
      </c>
      <c r="G104" s="20">
        <v>8.2299272470253077E-4</v>
      </c>
      <c r="H104" s="20">
        <v>0</v>
      </c>
      <c r="I104" s="20">
        <v>0.97633501801751277</v>
      </c>
      <c r="J104" s="20">
        <v>8.9793663002434953E-4</v>
      </c>
      <c r="K104" s="20">
        <v>1.9683050955086344E-2</v>
      </c>
      <c r="L104" s="20">
        <v>0</v>
      </c>
    </row>
    <row r="105" spans="1:12">
      <c r="A105" s="2" t="s">
        <v>488</v>
      </c>
      <c r="B105" s="3" t="s">
        <v>489</v>
      </c>
      <c r="D105" s="20">
        <v>1.8239044261822871E-16</v>
      </c>
      <c r="E105" s="20">
        <v>0.99731896222951266</v>
      </c>
      <c r="F105" s="20">
        <v>2.261625861246817E-5</v>
      </c>
      <c r="G105" s="20">
        <v>1.1574875194390278E-5</v>
      </c>
      <c r="H105" s="20">
        <v>0</v>
      </c>
      <c r="I105" s="20">
        <v>0.99728477109570579</v>
      </c>
      <c r="J105" s="20">
        <v>8.7713661114453606E-4</v>
      </c>
      <c r="K105" s="20">
        <v>1.8039011593424452E-3</v>
      </c>
      <c r="L105" s="20">
        <v>0</v>
      </c>
    </row>
    <row r="106" spans="1:12">
      <c r="A106" s="2" t="s">
        <v>490</v>
      </c>
      <c r="B106" s="3" t="s">
        <v>491</v>
      </c>
      <c r="D106" s="20">
        <v>1.0791079995986522E-8</v>
      </c>
      <c r="E106" s="20">
        <v>0.932109611520894</v>
      </c>
      <c r="F106" s="20">
        <v>2.5379531236912927E-2</v>
      </c>
      <c r="G106" s="20">
        <v>7.6838548393622667E-3</v>
      </c>
      <c r="H106" s="20">
        <v>0</v>
      </c>
      <c r="I106" s="20">
        <v>0.89904622544461876</v>
      </c>
      <c r="J106" s="20">
        <v>1.1673765145404627E-3</v>
      </c>
      <c r="K106" s="20">
        <v>6.6723001173485771E-2</v>
      </c>
      <c r="L106" s="20">
        <v>0</v>
      </c>
    </row>
    <row r="107" spans="1:12">
      <c r="A107" s="2" t="s">
        <v>492</v>
      </c>
      <c r="B107" s="3" t="s">
        <v>493</v>
      </c>
      <c r="D107" s="20">
        <v>1.8304165884147849E-16</v>
      </c>
      <c r="E107" s="20">
        <v>0.93736963232896242</v>
      </c>
      <c r="F107" s="20">
        <v>0.78626442699812782</v>
      </c>
      <c r="G107" s="20">
        <v>0.13647848178694666</v>
      </c>
      <c r="H107" s="20">
        <v>0</v>
      </c>
      <c r="I107" s="20">
        <v>1.4626723543887943E-2</v>
      </c>
      <c r="J107" s="20">
        <v>7.0449845462664988E-3</v>
      </c>
      <c r="K107" s="20">
        <v>5.5585383124770835E-2</v>
      </c>
      <c r="L107" s="20">
        <v>0</v>
      </c>
    </row>
    <row r="108" spans="1:12">
      <c r="A108" s="2" t="s">
        <v>291</v>
      </c>
      <c r="B108" s="3" t="s">
        <v>494</v>
      </c>
      <c r="D108" s="20">
        <v>2.7878170868106342E-10</v>
      </c>
      <c r="E108" s="20">
        <v>0.83557450004009648</v>
      </c>
      <c r="F108" s="20">
        <v>0.20810521326961787</v>
      </c>
      <c r="G108" s="20">
        <v>5.2212984144520309E-2</v>
      </c>
      <c r="H108" s="20">
        <v>0</v>
      </c>
      <c r="I108" s="20">
        <v>0.57525630262595828</v>
      </c>
      <c r="J108" s="20">
        <v>3.1104315079278737E-3</v>
      </c>
      <c r="K108" s="20">
        <v>0.16131506817319394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08"/>
  <sheetViews>
    <sheetView tabSelected="1" topLeftCell="A84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2.0203477400162146E-7</v>
      </c>
      <c r="B2">
        <f>'Mass Balance'!E2</f>
        <v>1.2921440103578615E-4</v>
      </c>
      <c r="C2">
        <f>SUM('Mass Balance'!E2:H2)</f>
        <v>1.3717763561198749E-4</v>
      </c>
      <c r="D2">
        <f>Concentrations!F2/Concentrations!E2</f>
        <v>0.94563593622416287</v>
      </c>
    </row>
    <row r="3" spans="1:4">
      <c r="A3">
        <f>'Mass Balance'!I3</f>
        <v>5.3972190521641328E-6</v>
      </c>
      <c r="B3">
        <f>'Mass Balance'!E3</f>
        <v>1.008651256346853E-7</v>
      </c>
      <c r="C3">
        <f>SUM('Mass Balance'!E3:H3)</f>
        <v>1.3884117439927506E-4</v>
      </c>
      <c r="D3">
        <f>Concentrations!F3/Concentrations!E3</f>
        <v>7.2932166972692724E-4</v>
      </c>
    </row>
    <row r="4" spans="1:4">
      <c r="A4">
        <f>'Mass Balance'!I4</f>
        <v>6.1478401532747179E-7</v>
      </c>
      <c r="B4">
        <f>'Mass Balance'!E4</f>
        <v>6.5549771572222988E-5</v>
      </c>
      <c r="C4">
        <f>SUM('Mass Balance'!E4:H4)</f>
        <v>1.2325128541106913E-4</v>
      </c>
      <c r="D4">
        <f>Concentrations!F4/Concentrations!E4</f>
        <v>0.53391987495413595</v>
      </c>
    </row>
    <row r="5" spans="1:4">
      <c r="A5">
        <f>'Mass Balance'!I5</f>
        <v>1.6291961052064162E-6</v>
      </c>
      <c r="B5">
        <f>'Mass Balance'!E5</f>
        <v>1.1053487025809093E-6</v>
      </c>
      <c r="C5">
        <f>SUM('Mass Balance'!E5:H5)</f>
        <v>1.4050365625243853E-4</v>
      </c>
      <c r="D5">
        <f>Concentrations!F5/Concentrations!E5</f>
        <v>7.8978347458445244E-3</v>
      </c>
    </row>
    <row r="6" spans="1:4">
      <c r="A6">
        <f>'Mass Balance'!I6</f>
        <v>6.2234931951661859E-6</v>
      </c>
      <c r="B6">
        <f>'Mass Balance'!E6</f>
        <v>4.4690071366323212E-8</v>
      </c>
      <c r="C6">
        <f>SUM('Mass Balance'!E6:H6)</f>
        <v>1.3974419553466747E-4</v>
      </c>
      <c r="D6">
        <f>Concentrations!F6/Concentrations!E6</f>
        <v>3.2105070844138669E-4</v>
      </c>
    </row>
    <row r="7" spans="1:4">
      <c r="A7">
        <f>'Mass Balance'!I7</f>
        <v>5.5455362611779894E-6</v>
      </c>
      <c r="B7">
        <f>'Mass Balance'!E7</f>
        <v>9.0100236158465083E-8</v>
      </c>
      <c r="C7">
        <f>SUM('Mass Balance'!E7:H7)</f>
        <v>1.3930225494374163E-4</v>
      </c>
      <c r="D7">
        <f>Concentrations!F7/Concentrations!E7</f>
        <v>6.4932802139476542E-4</v>
      </c>
    </row>
    <row r="8" spans="1:4">
      <c r="A8">
        <f>'Mass Balance'!I8</f>
        <v>4.4769248511112975E-6</v>
      </c>
      <c r="B8">
        <f>'Mass Balance'!E8</f>
        <v>2.030192047278746E-7</v>
      </c>
      <c r="C8">
        <f>SUM('Mass Balance'!E8:H8)</f>
        <v>1.3896316628118476E-4</v>
      </c>
      <c r="D8">
        <f>Concentrations!F8/Concentrations!E8</f>
        <v>1.4666746427414959E-3</v>
      </c>
    </row>
    <row r="9" spans="1:4">
      <c r="A9">
        <f>'Mass Balance'!I9</f>
        <v>1.0347231423743849E-6</v>
      </c>
      <c r="B9">
        <f>'Mass Balance'!E9</f>
        <v>1.018245178594156E-5</v>
      </c>
      <c r="C9">
        <f>SUM('Mass Balance'!E9:H9)</f>
        <v>1.3279157926400061E-4</v>
      </c>
      <c r="D9">
        <f>Concentrations!F9/Concentrations!E9</f>
        <v>7.6980049987451241E-2</v>
      </c>
    </row>
    <row r="10" spans="1:4">
      <c r="A10">
        <f>'Mass Balance'!I10</f>
        <v>1.7424870633857369E-6</v>
      </c>
      <c r="B10">
        <f>'Mass Balance'!E10</f>
        <v>1.0278841106913691E-6</v>
      </c>
      <c r="C10">
        <f>SUM('Mass Balance'!E10:H10)</f>
        <v>1.4036149281842784E-4</v>
      </c>
      <c r="D10">
        <f>Concentrations!F10/Concentrations!E10</f>
        <v>7.3517805761136139E-3</v>
      </c>
    </row>
    <row r="11" spans="1:4">
      <c r="A11">
        <f>'Mass Balance'!I11</f>
        <v>1.9426803110902538E-6</v>
      </c>
      <c r="B11">
        <f>'Mass Balance'!E11</f>
        <v>9.0764029607540569E-7</v>
      </c>
      <c r="C11">
        <f>SUM('Mass Balance'!E11:H11)</f>
        <v>1.4010465445295366E-4</v>
      </c>
      <c r="D11">
        <f>Concentrations!F11/Concentrations!E11</f>
        <v>6.5036560878853978E-3</v>
      </c>
    </row>
    <row r="12" spans="1:4">
      <c r="A12">
        <f>'Mass Balance'!I12</f>
        <v>1.0557729513764587E-6</v>
      </c>
      <c r="B12">
        <f>'Mass Balance'!E12</f>
        <v>6.3873199299010275E-6</v>
      </c>
      <c r="C12">
        <f>SUM('Mass Balance'!E12:H12)</f>
        <v>1.3560908728081096E-4</v>
      </c>
      <c r="D12">
        <f>Concentrations!F12/Concentrations!E12</f>
        <v>4.7285309840487073E-2</v>
      </c>
    </row>
    <row r="13" spans="1:4">
      <c r="A13">
        <f>'Mass Balance'!I13</f>
        <v>1.0374132029779161E-6</v>
      </c>
      <c r="B13">
        <f>'Mass Balance'!E13</f>
        <v>9.7474411513046565E-6</v>
      </c>
      <c r="C13">
        <f>SUM('Mass Balance'!E13:H13)</f>
        <v>1.3306327218553593E-4</v>
      </c>
      <c r="D13">
        <f>Concentrations!F13/Concentrations!E13</f>
        <v>7.354087369021306E-2</v>
      </c>
    </row>
    <row r="14" spans="1:4">
      <c r="A14">
        <f>'Mass Balance'!I14</f>
        <v>2.6501387402305088E-6</v>
      </c>
      <c r="B14">
        <f>'Mass Balance'!E14</f>
        <v>6.0091341625470694E-7</v>
      </c>
      <c r="C14">
        <f>SUM('Mass Balance'!E14:H14)</f>
        <v>1.3946686707465075E-4</v>
      </c>
      <c r="D14">
        <f>Concentrations!F14/Concentrations!E14</f>
        <v>4.3255089750456237E-3</v>
      </c>
    </row>
    <row r="15" spans="1:4">
      <c r="A15">
        <f>'Mass Balance'!I15</f>
        <v>1.8408276260554729E-6</v>
      </c>
      <c r="B15">
        <f>'Mass Balance'!E15</f>
        <v>9.6640252709302638E-7</v>
      </c>
      <c r="C15">
        <f>SUM('Mass Balance'!E15:H15)</f>
        <v>1.4023576102863039E-4</v>
      </c>
      <c r="D15">
        <f>Concentrations!F15/Concentrations!E15</f>
        <v>6.9182403118300565E-3</v>
      </c>
    </row>
    <row r="16" spans="1:4">
      <c r="A16">
        <f>'Mass Balance'!I16</f>
        <v>4.4232976096586636E-6</v>
      </c>
      <c r="B16">
        <f>'Mass Balance'!E16</f>
        <v>2.1016744171420398E-7</v>
      </c>
      <c r="C16">
        <f>SUM('Mass Balance'!E16:H16)</f>
        <v>1.3892917447472285E-4</v>
      </c>
      <c r="D16">
        <f>Concentrations!F16/Concentrations!E16</f>
        <v>1.5186872432767797E-3</v>
      </c>
    </row>
    <row r="17" spans="1:4">
      <c r="A17">
        <f>'Mass Balance'!I17</f>
        <v>1.6664320127860802E-6</v>
      </c>
      <c r="B17">
        <f>'Mass Balance'!E17</f>
        <v>1.0791048401185316E-6</v>
      </c>
      <c r="C17">
        <f>SUM('Mass Balance'!E17:H17)</f>
        <v>1.4046150300885162E-4</v>
      </c>
      <c r="D17">
        <f>Concentrations!F17/Concentrations!E17</f>
        <v>7.7126334484831213E-3</v>
      </c>
    </row>
    <row r="18" spans="1:4">
      <c r="A18">
        <f>'Mass Balance'!I18</f>
        <v>1.0175109909993797E-6</v>
      </c>
      <c r="B18">
        <f>'Mass Balance'!E18</f>
        <v>1.2327164128581525E-5</v>
      </c>
      <c r="C18">
        <f>SUM('Mass Balance'!E18:H18)</f>
        <v>1.3117292030424732E-4</v>
      </c>
      <c r="D18">
        <f>Concentrations!F18/Concentrations!E18</f>
        <v>9.4344231965447375E-2</v>
      </c>
    </row>
    <row r="19" spans="1:4">
      <c r="A19">
        <f>'Mass Balance'!I19</f>
        <v>1.8609341007311358E-6</v>
      </c>
      <c r="B19">
        <f>'Mass Balance'!E19</f>
        <v>9.5444222553873782E-7</v>
      </c>
      <c r="C19">
        <f>SUM('Mass Balance'!E19:H19)</f>
        <v>1.4021103596182019E-4</v>
      </c>
      <c r="D19">
        <f>Concentrations!F19/Concentrations!E19</f>
        <v>6.8338243025118008E-3</v>
      </c>
    </row>
    <row r="20" spans="1:4">
      <c r="A20">
        <f>'Mass Balance'!I20</f>
        <v>1.0375365222996063E-6</v>
      </c>
      <c r="B20">
        <f>'Mass Balance'!E20</f>
        <v>9.7485998485600451E-6</v>
      </c>
      <c r="C20">
        <f>SUM('Mass Balance'!E20:H20)</f>
        <v>1.3307908967505767E-4</v>
      </c>
      <c r="D20">
        <f>Concentrations!F20/Concentrations!E20</f>
        <v>7.3540873690213074E-2</v>
      </c>
    </row>
    <row r="21" spans="1:4">
      <c r="A21">
        <f>'Mass Balance'!I21</f>
        <v>2.4316243313974639E-6</v>
      </c>
      <c r="B21">
        <f>'Mass Balance'!E21</f>
        <v>6.801410812211548E-7</v>
      </c>
      <c r="C21">
        <f>SUM('Mass Balance'!E21:H21)</f>
        <v>1.3958460174587849E-4</v>
      </c>
      <c r="D21">
        <f>Concentrations!F21/Concentrations!E21</f>
        <v>4.8916779614992965E-3</v>
      </c>
    </row>
    <row r="22" spans="1:4">
      <c r="A22">
        <f>'Mass Balance'!I22</f>
        <v>3.6794426515617235E-7</v>
      </c>
      <c r="B22">
        <f>'Mass Balance'!E22</f>
        <v>1.0070968417258843E-4</v>
      </c>
      <c r="C22">
        <f>SUM('Mass Balance'!E22:H22)</f>
        <v>1.2787886346337721E-4</v>
      </c>
      <c r="D22">
        <f>Concentrations!F22/Concentrations!E22</f>
        <v>0.79062187913500215</v>
      </c>
    </row>
    <row r="23" spans="1:4">
      <c r="A23">
        <f>'Mass Balance'!I23</f>
        <v>2.427126418741276E-7</v>
      </c>
      <c r="B23">
        <f>'Mass Balance'!E23</f>
        <v>1.2158694077118009E-4</v>
      </c>
      <c r="C23">
        <f>SUM('Mass Balance'!E23:H23)</f>
        <v>1.341470186183962E-4</v>
      </c>
      <c r="D23">
        <f>Concentrations!F23/Concentrations!E23</f>
        <v>0.90991802583642023</v>
      </c>
    </row>
    <row r="24" spans="1:4">
      <c r="A24">
        <f>'Mass Balance'!I24</f>
        <v>8.7307559252584931E-7</v>
      </c>
      <c r="B24">
        <f>'Mass Balance'!E24</f>
        <v>3.1708954280021142E-5</v>
      </c>
      <c r="C24">
        <f>SUM('Mass Balance'!E24:H24)</f>
        <v>1.2517493769642423E-4</v>
      </c>
      <c r="D24">
        <f>Concentrations!F24/Concentrations!E24</f>
        <v>0.25430851284398492</v>
      </c>
    </row>
    <row r="25" spans="1:4">
      <c r="A25">
        <f>'Mass Balance'!I25</f>
        <v>1.0502402169264409E-6</v>
      </c>
      <c r="B25">
        <f>'Mass Balance'!E25</f>
        <v>3.3930854914534148E-6</v>
      </c>
      <c r="C25">
        <f>SUM('Mass Balance'!E25:H25)</f>
        <v>1.3719749446411595E-4</v>
      </c>
      <c r="D25">
        <f>Concentrations!F25/Concentrations!E25</f>
        <v>2.4828185657071927E-2</v>
      </c>
    </row>
    <row r="26" spans="1:4">
      <c r="A26">
        <f>'Mass Balance'!I26</f>
        <v>2.2919844177592134E-6</v>
      </c>
      <c r="B26">
        <f>'Mass Balance'!E26</f>
        <v>7.3736792009896713E-7</v>
      </c>
      <c r="C26">
        <f>SUM('Mass Balance'!E26:H26)</f>
        <v>1.3971462801695987E-4</v>
      </c>
      <c r="D26">
        <f>Concentrations!F26/Concentrations!E26</f>
        <v>5.2983265655727266E-3</v>
      </c>
    </row>
    <row r="27" spans="1:4">
      <c r="A27">
        <f>'Mass Balance'!I27</f>
        <v>5.2879764401831684E-6</v>
      </c>
      <c r="B27">
        <f>'Mass Balance'!E27</f>
        <v>1.1104971287608058E-7</v>
      </c>
      <c r="C27">
        <f>SUM('Mass Balance'!E27:H27)</f>
        <v>1.3891381190183727E-4</v>
      </c>
      <c r="D27">
        <f>Concentrations!F27/Concentrations!E27</f>
        <v>8.0254311530271666E-4</v>
      </c>
    </row>
    <row r="28" spans="1:4">
      <c r="A28">
        <f>'Mass Balance'!I28</f>
        <v>3.3477006275755186E-6</v>
      </c>
      <c r="B28">
        <f>'Mass Balance'!E28</f>
        <v>4.0438001339512961E-7</v>
      </c>
      <c r="C28">
        <f>SUM('Mass Balance'!E28:H28)</f>
        <v>1.390999519858549E-4</v>
      </c>
      <c r="D28">
        <f>Concentrations!F28/Concentrations!E28</f>
        <v>2.9184957454671031E-3</v>
      </c>
    </row>
    <row r="29" spans="1:4">
      <c r="A29">
        <f>'Mass Balance'!I29</f>
        <v>2.518472773509998E-6</v>
      </c>
      <c r="B29">
        <f>'Mass Balance'!E29</f>
        <v>6.1244553195546708E-7</v>
      </c>
      <c r="C29">
        <f>SUM('Mass Balance'!E29:H29)</f>
        <v>1.363734502465491E-4</v>
      </c>
      <c r="D29">
        <f>Concentrations!F29/Concentrations!E29</f>
        <v>4.5085200424820789E-3</v>
      </c>
    </row>
    <row r="30" spans="1:4">
      <c r="A30">
        <f>'Mass Balance'!I30</f>
        <v>3.3477006275755186E-6</v>
      </c>
      <c r="B30">
        <f>'Mass Balance'!E30</f>
        <v>4.0438001339512961E-7</v>
      </c>
      <c r="C30">
        <f>SUM('Mass Balance'!E30:H30)</f>
        <v>1.390999519858549E-4</v>
      </c>
      <c r="D30">
        <f>Concentrations!F30/Concentrations!E30</f>
        <v>2.9184957454671031E-3</v>
      </c>
    </row>
    <row r="31" spans="1:4">
      <c r="A31">
        <f>'Mass Balance'!I31</f>
        <v>1.3205574735355249E-7</v>
      </c>
      <c r="B31">
        <f>'Mass Balance'!E31</f>
        <v>1.4824220242609992E-4</v>
      </c>
      <c r="C31">
        <f>SUM('Mass Balance'!E31:H31)</f>
        <v>1.4837003222751736E-4</v>
      </c>
      <c r="D31">
        <f>Concentrations!F31/Concentrations!E31</f>
        <v>1.0030487243621815</v>
      </c>
    </row>
    <row r="32" spans="1:4">
      <c r="A32">
        <f>'Mass Balance'!I32</f>
        <v>5.2529164518634105E-7</v>
      </c>
      <c r="B32">
        <f>'Mass Balance'!E32</f>
        <v>7.9805652587194989E-5</v>
      </c>
      <c r="C32">
        <f>SUM('Mass Balance'!E32:H32)</f>
        <v>1.2452748109124807E-4</v>
      </c>
      <c r="D32">
        <f>Concentrations!F32/Concentrations!E32</f>
        <v>0.64337593466145493</v>
      </c>
    </row>
    <row r="33" spans="1:4">
      <c r="A33">
        <f>'Mass Balance'!I33</f>
        <v>1.3179087127457412E-7</v>
      </c>
      <c r="B33">
        <f>'Mass Balance'!E33</f>
        <v>1.4923459241686116E-4</v>
      </c>
      <c r="C33">
        <f>SUM('Mass Balance'!E33:H33)</f>
        <v>1.4986459722210815E-4</v>
      </c>
      <c r="D33">
        <f>Concentrations!F33/Concentrations!E33</f>
        <v>0.99969337789726764</v>
      </c>
    </row>
    <row r="34" spans="1:4">
      <c r="A34">
        <f>'Mass Balance'!I34</f>
        <v>1.1896887655034847E-7</v>
      </c>
      <c r="B34">
        <f>'Mass Balance'!E34</f>
        <v>8.2087082988548923E-5</v>
      </c>
      <c r="C34">
        <f>SUM('Mass Balance'!E34:H34)</f>
        <v>1.4986872138567528E-4</v>
      </c>
      <c r="D34">
        <f>Concentrations!F34/Concentrations!E34</f>
        <v>0.54987019915558144</v>
      </c>
    </row>
    <row r="35" spans="1:4">
      <c r="A35">
        <f>'Mass Balance'!I35</f>
        <v>1.0916507338166864E-7</v>
      </c>
      <c r="B35">
        <f>'Mass Balance'!E35</f>
        <v>4.8607593032885762E-5</v>
      </c>
      <c r="C35">
        <f>SUM('Mass Balance'!E35:H35)</f>
        <v>1.4986103264930708E-4</v>
      </c>
      <c r="D35">
        <f>Concentrations!F35/Concentrations!E35</f>
        <v>0.32562051399863756</v>
      </c>
    </row>
    <row r="36" spans="1:4">
      <c r="A36">
        <f>'Mass Balance'!I36</f>
        <v>9.5215825294129992E-8</v>
      </c>
      <c r="B36">
        <f>'Mass Balance'!E36</f>
        <v>1.6215903463875134E-5</v>
      </c>
      <c r="C36">
        <f>SUM('Mass Balance'!E36:H36)</f>
        <v>1.4987147000815876E-4</v>
      </c>
      <c r="D36">
        <f>Concentrations!F36/Concentrations!E36</f>
        <v>0.1086221877125709</v>
      </c>
    </row>
    <row r="37" spans="1:4">
      <c r="A37">
        <f>'Mass Balance'!I37</f>
        <v>2.7399483823057397E-7</v>
      </c>
      <c r="B37">
        <f>'Mass Balance'!E37</f>
        <v>3.2498973338471873E-5</v>
      </c>
      <c r="C37">
        <f>SUM('Mass Balance'!E37:H37)</f>
        <v>1.4506588475912658E-4</v>
      </c>
      <c r="D37">
        <f>Concentrations!F37/Concentrations!E37</f>
        <v>0.22490582970047909</v>
      </c>
    </row>
    <row r="38" spans="1:4">
      <c r="A38">
        <f>'Mass Balance'!I38</f>
        <v>1.2348874397326989E-7</v>
      </c>
      <c r="B38">
        <f>'Mass Balance'!E38</f>
        <v>9.2009401155288654E-5</v>
      </c>
      <c r="C38">
        <f>SUM('Mass Balance'!E38:H38)</f>
        <v>1.4975733568339513E-4</v>
      </c>
      <c r="D38">
        <f>Concentrations!F38/Concentrations!E38</f>
        <v>0.61679445598249316</v>
      </c>
    </row>
    <row r="39" spans="1:4">
      <c r="A39">
        <f>'Mass Balance'!I39</f>
        <v>1.0751575557789003E-6</v>
      </c>
      <c r="B39">
        <f>'Mass Balance'!E39</f>
        <v>1.649103903195991E-6</v>
      </c>
      <c r="C39">
        <f>SUM('Mass Balance'!E39:H39)</f>
        <v>1.4149898013100565E-4</v>
      </c>
      <c r="D39">
        <f>Concentrations!F39/Concentrations!E39</f>
        <v>1.1700140373438877E-2</v>
      </c>
    </row>
    <row r="40" spans="1:4">
      <c r="A40">
        <f>'Mass Balance'!I40</f>
        <v>5.8247185151432678E-6</v>
      </c>
      <c r="B40">
        <f>'Mass Balance'!E40</f>
        <v>1.4702583129214598E-7</v>
      </c>
      <c r="C40">
        <f>SUM('Mass Balance'!E40:H40)</f>
        <v>1.4399725196693301E-4</v>
      </c>
      <c r="D40">
        <f>Concentrations!F40/Concentrations!E40</f>
        <v>1.0250281720648681E-3</v>
      </c>
    </row>
    <row r="41" spans="1:4">
      <c r="A41">
        <f>'Mass Balance'!I41</f>
        <v>1.230135156710491E-7</v>
      </c>
      <c r="B41">
        <f>'Mass Balance'!E41</f>
        <v>1.3983566280778421E-4</v>
      </c>
      <c r="C41">
        <f>SUM('Mass Balance'!E41:H41)</f>
        <v>1.3984208681519096E-4</v>
      </c>
      <c r="D41">
        <f>Concentrations!F41/Concentrations!E41</f>
        <v>1.0038675396339611</v>
      </c>
    </row>
    <row r="42" spans="1:4">
      <c r="A42">
        <f>'Mass Balance'!I42</f>
        <v>4.0815999941039802E-7</v>
      </c>
      <c r="B42">
        <f>'Mass Balance'!E42</f>
        <v>9.4886044082793296E-5</v>
      </c>
      <c r="C42">
        <f>SUM('Mass Balance'!E42:H42)</f>
        <v>1.2683583931329543E-4</v>
      </c>
      <c r="D42">
        <f>Concentrations!F42/Concentrations!E42</f>
        <v>0.75102901537292643</v>
      </c>
    </row>
    <row r="43" spans="1:4">
      <c r="A43">
        <f>'Mass Balance'!I43</f>
        <v>1.7389590219815049E-7</v>
      </c>
      <c r="B43">
        <f>'Mass Balance'!E43</f>
        <v>1.3213992747705889E-6</v>
      </c>
      <c r="C43">
        <f>SUM('Mass Balance'!E43:H43)</f>
        <v>1.4979942348288105E-4</v>
      </c>
      <c r="D43">
        <f>Concentrations!F43/Concentrations!E43</f>
        <v>8.8556467538360335E-3</v>
      </c>
    </row>
    <row r="44" spans="1:4">
      <c r="A44">
        <f>'Mass Balance'!I44</f>
        <v>1.5870248152382435E-7</v>
      </c>
      <c r="B44">
        <f>'Mass Balance'!E44</f>
        <v>1.2584483680176355E-4</v>
      </c>
      <c r="C44">
        <f>SUM('Mass Balance'!E44:H44)</f>
        <v>1.3003959070332987E-4</v>
      </c>
      <c r="D44">
        <f>Concentrations!F44/Concentrations!E44</f>
        <v>0.97152989827926495</v>
      </c>
    </row>
    <row r="45" spans="1:4">
      <c r="A45">
        <f>'Mass Balance'!I45</f>
        <v>4.4614660584035798E-7</v>
      </c>
      <c r="B45">
        <f>'Mass Balance'!E45</f>
        <v>8.916355560183151E-5</v>
      </c>
      <c r="C45">
        <f>SUM('Mass Balance'!E45:H45)</f>
        <v>1.257259181139407E-4</v>
      </c>
      <c r="D45">
        <f>Concentrations!F45/Concentrations!E45</f>
        <v>0.71196546040949049</v>
      </c>
    </row>
    <row r="46" spans="1:4">
      <c r="A46">
        <f>'Mass Balance'!I46</f>
        <v>4.2138561393207565E-7</v>
      </c>
      <c r="B46">
        <f>'Mass Balance'!E46</f>
        <v>9.2619392562393659E-5</v>
      </c>
      <c r="C46">
        <f>SUM('Mass Balance'!E46:H46)</f>
        <v>1.2619770016288452E-4</v>
      </c>
      <c r="D46">
        <f>Concentrations!F46/Concentrations!E46</f>
        <v>0.73679530590858944</v>
      </c>
    </row>
    <row r="47" spans="1:4">
      <c r="A47">
        <f>'Mass Balance'!I47</f>
        <v>5.4127280512304201E-6</v>
      </c>
      <c r="B47">
        <f>'Mass Balance'!E47</f>
        <v>1.0115496325738882E-7</v>
      </c>
      <c r="C47">
        <f>SUM('Mass Balance'!E47:H47)</f>
        <v>1.3924013683220751E-4</v>
      </c>
      <c r="D47">
        <f>Concentrations!F47/Concentrations!E47</f>
        <v>7.2932166972692724E-4</v>
      </c>
    </row>
    <row r="48" spans="1:4">
      <c r="A48">
        <f>'Mass Balance'!I48</f>
        <v>1.4096938982219204E-7</v>
      </c>
      <c r="B48">
        <f>'Mass Balance'!E48</f>
        <v>1.4201911519785739E-4</v>
      </c>
      <c r="C48">
        <f>SUM('Mass Balance'!E48:H48)</f>
        <v>1.4333914362202224E-4</v>
      </c>
      <c r="D48">
        <f>Concentrations!F48/Concentrations!E48</f>
        <v>0.99466848831057519</v>
      </c>
    </row>
    <row r="49" spans="1:4">
      <c r="A49">
        <f>'Mass Balance'!I49</f>
        <v>1.4929824984495933E-7</v>
      </c>
      <c r="B49">
        <f>'Mass Balance'!E49</f>
        <v>1.3791366042542613E-4</v>
      </c>
      <c r="C49">
        <f>SUM('Mass Balance'!E49:H49)</f>
        <v>1.4028178014632316E-4</v>
      </c>
      <c r="D49">
        <f>Concentrations!F49/Concentrations!E49</f>
        <v>0.98696642602903828</v>
      </c>
    </row>
    <row r="50" spans="1:4">
      <c r="A50">
        <f>'Mass Balance'!I50</f>
        <v>1.0086145359205631E-6</v>
      </c>
      <c r="B50">
        <f>'Mass Balance'!E50</f>
        <v>1.3094983302096058E-5</v>
      </c>
      <c r="C50">
        <f>SUM('Mass Balance'!E50:H50)</f>
        <v>1.3032688407354408E-4</v>
      </c>
      <c r="D50">
        <f>Concentrations!F50/Concentrations!E50</f>
        <v>0.1008712259839544</v>
      </c>
    </row>
    <row r="51" spans="1:4">
      <c r="A51">
        <f>'Mass Balance'!I51</f>
        <v>1.2580661371780249E-7</v>
      </c>
      <c r="B51">
        <f>'Mass Balance'!E51</f>
        <v>1.3983393014198515E-4</v>
      </c>
      <c r="C51">
        <f>SUM('Mass Balance'!E51:H51)</f>
        <v>1.4005095042832037E-4</v>
      </c>
      <c r="D51">
        <f>Concentrations!F51/Concentrations!E51</f>
        <v>1.002358011511207</v>
      </c>
    </row>
    <row r="52" spans="1:4">
      <c r="A52">
        <f>'Mass Balance'!I52</f>
        <v>1.884155720720029E-7</v>
      </c>
      <c r="B52">
        <f>'Mass Balance'!E52</f>
        <v>1.2173276405513105E-4</v>
      </c>
      <c r="C52">
        <f>SUM('Mass Balance'!E52:H52)</f>
        <v>1.2905268949006175E-4</v>
      </c>
      <c r="D52">
        <f>Concentrations!F52/Concentrations!E52</f>
        <v>0.94697123184535315</v>
      </c>
    </row>
    <row r="53" spans="1:4">
      <c r="A53">
        <f>'Mass Balance'!I53</f>
        <v>5.7951980638468899E-7</v>
      </c>
      <c r="B53">
        <f>'Mass Balance'!E53</f>
        <v>7.0084860860290864E-5</v>
      </c>
      <c r="C53">
        <f>SUM('Mass Balance'!E53:H53)</f>
        <v>1.2329684099139822E-4</v>
      </c>
      <c r="D53">
        <f>Concentrations!F53/Concentrations!E53</f>
        <v>0.57064843187288916</v>
      </c>
    </row>
    <row r="54" spans="1:4">
      <c r="A54">
        <f>'Mass Balance'!I54</f>
        <v>4.9870479483091354E-6</v>
      </c>
      <c r="B54">
        <f>'Mass Balance'!E54</f>
        <v>1.418333696224783E-7</v>
      </c>
      <c r="C54">
        <f>SUM('Mass Balance'!E54:H54)</f>
        <v>1.3905980806181131E-4</v>
      </c>
      <c r="D54">
        <f>Concentrations!F54/Concentrations!E54</f>
        <v>1.0239368137133335E-3</v>
      </c>
    </row>
    <row r="55" spans="1:4">
      <c r="A55">
        <f>'Mass Balance'!I55</f>
        <v>7.8515927869067448E-7</v>
      </c>
      <c r="B55">
        <f>'Mass Balance'!E55</f>
        <v>2.4895568362232649E-5</v>
      </c>
      <c r="C55">
        <f>SUM('Mass Balance'!E55:H55)</f>
        <v>1.0998940281799013E-4</v>
      </c>
      <c r="D55">
        <f>Concentrations!F55/Concentrations!E55</f>
        <v>0.22723099168919009</v>
      </c>
    </row>
    <row r="56" spans="1:4">
      <c r="A56">
        <f>'Mass Balance'!I56</f>
        <v>4.5272139557319198E-7</v>
      </c>
      <c r="B56">
        <f>'Mass Balance'!E56</f>
        <v>2.9363171929224979E-6</v>
      </c>
      <c r="C56">
        <f>SUM('Mass Balance'!E56:H56)</f>
        <v>5.8096060503604115E-5</v>
      </c>
      <c r="D56">
        <f>Concentrations!F56/Concentrations!E56</f>
        <v>5.0740255117250999E-2</v>
      </c>
    </row>
    <row r="57" spans="1:4">
      <c r="A57">
        <f>'Mass Balance'!I57</f>
        <v>2.3390005820832685E-7</v>
      </c>
      <c r="B57">
        <f>'Mass Balance'!E57</f>
        <v>5.5167225616282596E-6</v>
      </c>
      <c r="C57">
        <f>SUM('Mass Balance'!E57:H57)</f>
        <v>3.150693666819903E-5</v>
      </c>
      <c r="D57">
        <f>Concentrations!F57/Concentrations!E57</f>
        <v>0.17578075519766784</v>
      </c>
    </row>
    <row r="58" spans="1:4">
      <c r="A58">
        <f>'Mass Balance'!I58</f>
        <v>1.2786933800176422E-8</v>
      </c>
      <c r="B58">
        <f>'Mass Balance'!E58</f>
        <v>1.125590269320642E-5</v>
      </c>
      <c r="C58">
        <f>SUM('Mass Balance'!E58:H58)</f>
        <v>1.1502988775246445E-5</v>
      </c>
      <c r="D58">
        <f>Concentrations!F58/Concentrations!E58</f>
        <v>0.98234942729794872</v>
      </c>
    </row>
    <row r="59" spans="1:4">
      <c r="A59">
        <f>'Mass Balance'!I59</f>
        <v>9.0871686333948755E-8</v>
      </c>
      <c r="B59">
        <f>'Mass Balance'!E59</f>
        <v>2.2951845688266804E-6</v>
      </c>
      <c r="C59">
        <f>SUM('Mass Balance'!E59:H59)</f>
        <v>1.2336366238003134E-5</v>
      </c>
      <c r="D59">
        <f>Concentrations!F59/Concentrations!E59</f>
        <v>0.18677843130853472</v>
      </c>
    </row>
    <row r="60" spans="1:4">
      <c r="A60">
        <f>'Mass Balance'!I60</f>
        <v>1.6240986148139046E-9</v>
      </c>
      <c r="B60">
        <f>'Mass Balance'!E60</f>
        <v>8.634894231095448E-8</v>
      </c>
      <c r="C60">
        <f>SUM('Mass Balance'!E60:H60)</f>
        <v>2.5367957356727974E-7</v>
      </c>
      <c r="D60">
        <f>Concentrations!F60/Concentrations!E60</f>
        <v>0.34171802338874779</v>
      </c>
    </row>
    <row r="61" spans="1:4">
      <c r="A61">
        <f>'Mass Balance'!I61</f>
        <v>7.1141361167809785E-7</v>
      </c>
      <c r="B61">
        <f>'Mass Balance'!E61</f>
        <v>5.2637565824709987E-5</v>
      </c>
      <c r="C61">
        <f>SUM('Mass Balance'!E61:H61)</f>
        <v>1.230977511834457E-4</v>
      </c>
      <c r="D61">
        <f>Concentrations!F61/Concentrations!E61</f>
        <v>0.42928136943734019</v>
      </c>
    </row>
    <row r="62" spans="1:4">
      <c r="A62">
        <f>'Mass Balance'!I62</f>
        <v>2.6010961886761632E-6</v>
      </c>
      <c r="B62">
        <f>'Mass Balance'!E62</f>
        <v>6.1795621331872191E-7</v>
      </c>
      <c r="C62">
        <f>SUM('Mass Balance'!E62:H62)</f>
        <v>1.3950754145537834E-4</v>
      </c>
      <c r="D62">
        <f>Concentrations!F62/Concentrations!E62</f>
        <v>4.4468899351751282E-3</v>
      </c>
    </row>
    <row r="63" spans="1:4">
      <c r="A63">
        <f>'Mass Balance'!I63</f>
        <v>6.0470452997364528E-6</v>
      </c>
      <c r="B63">
        <f>'Mass Balance'!E63</f>
        <v>5.4832339426287611E-8</v>
      </c>
      <c r="C63">
        <f>SUM('Mass Balance'!E63:H63)</f>
        <v>1.396084561790621E-4</v>
      </c>
      <c r="D63">
        <f>Concentrations!F63/Concentrations!E63</f>
        <v>3.942951301225698E-4</v>
      </c>
    </row>
    <row r="64" spans="1:4">
      <c r="A64">
        <f>'Mass Balance'!I64</f>
        <v>6.8082665007404734E-6</v>
      </c>
      <c r="B64">
        <f>'Mass Balance'!E64</f>
        <v>1.8784890555083445E-8</v>
      </c>
      <c r="C64">
        <f>SUM('Mass Balance'!E64:H64)</f>
        <v>1.4030026078986902E-4</v>
      </c>
      <c r="D64">
        <f>Concentrations!F64/Concentrations!E64</f>
        <v>1.3441463378141346E-4</v>
      </c>
    </row>
    <row r="65" spans="1:4">
      <c r="A65">
        <f>'Mass Balance'!I65</f>
        <v>7.3280799625279236E-6</v>
      </c>
      <c r="B65">
        <f>'Mass Balance'!E65</f>
        <v>5.2251853380726693E-9</v>
      </c>
      <c r="C65">
        <f>SUM('Mass Balance'!E65:H65)</f>
        <v>1.4095935527619021E-4</v>
      </c>
      <c r="D65">
        <f>Concentrations!F65/Concentrations!E65</f>
        <v>3.721381181810586E-5</v>
      </c>
    </row>
    <row r="66" spans="1:4">
      <c r="A66">
        <f>'Mass Balance'!I66</f>
        <v>7.0691854908135359E-6</v>
      </c>
      <c r="B66">
        <f>'Mass Balance'!E66</f>
        <v>1.0885328680075357E-8</v>
      </c>
      <c r="C66">
        <f>SUM('Mass Balance'!E66:H66)</f>
        <v>1.406102422436896E-4</v>
      </c>
      <c r="D66">
        <f>Concentrations!F66/Concentrations!E66</f>
        <v>7.7717881346988217E-5</v>
      </c>
    </row>
    <row r="67" spans="1:4">
      <c r="A67">
        <f>'Mass Balance'!I67</f>
        <v>1.786665340690312E-7</v>
      </c>
      <c r="B67">
        <f>'Mass Balance'!E67</f>
        <v>1.3338506098730578E-4</v>
      </c>
      <c r="C67">
        <f>SUM('Mass Balance'!E67:H67)</f>
        <v>1.3879722470687056E-4</v>
      </c>
      <c r="D67">
        <f>Concentrations!F67/Concentrations!E67</f>
        <v>0.96476773687511463</v>
      </c>
    </row>
    <row r="68" spans="1:4">
      <c r="A68">
        <f>'Mass Balance'!I68</f>
        <v>2.1564109180843591E-7</v>
      </c>
      <c r="B68">
        <f>'Mass Balance'!E68</f>
        <v>1.2512104961836875E-4</v>
      </c>
      <c r="C68">
        <f>SUM('Mass Balance'!E68:H68)</f>
        <v>1.3474238314740739E-4</v>
      </c>
      <c r="D68">
        <f>Concentrations!F68/Concentrations!E68</f>
        <v>0.93222880251935281</v>
      </c>
    </row>
    <row r="69" spans="1:4">
      <c r="A69">
        <f>'Mass Balance'!I69</f>
        <v>4.3409174751567792E-6</v>
      </c>
      <c r="B69">
        <f>'Mass Balance'!E69</f>
        <v>2.2120433603868198E-7</v>
      </c>
      <c r="C69">
        <f>SUM('Mass Balance'!E69:H69)</f>
        <v>1.3883064562099153E-4</v>
      </c>
      <c r="D69">
        <f>Concentrations!F69/Concentrations!E69</f>
        <v>1.5995751726402129E-3</v>
      </c>
    </row>
    <row r="70" spans="1:4">
      <c r="A70">
        <f>'Mass Balance'!I70</f>
        <v>1.0592866904121277E-6</v>
      </c>
      <c r="B70">
        <f>'Mass Balance'!E70</f>
        <v>4.2189680895785408E-6</v>
      </c>
      <c r="C70">
        <f>SUM('Mass Balance'!E70:H70)</f>
        <v>1.3740131680758556E-4</v>
      </c>
      <c r="D70">
        <f>Concentrations!F70/Concentrations!E70</f>
        <v>3.0825612024579733E-2</v>
      </c>
    </row>
    <row r="71" spans="1:4">
      <c r="A71">
        <f>'Mass Balance'!I71</f>
        <v>2.0581670205465051E-7</v>
      </c>
      <c r="B71">
        <f>'Mass Balance'!E71</f>
        <v>1.2487073661320155E-4</v>
      </c>
      <c r="C71">
        <f>SUM('Mass Balance'!E71:H71)</f>
        <v>1.3357315987204475E-4</v>
      </c>
      <c r="D71">
        <f>Concentrations!F71/Concentrations!E71</f>
        <v>0.93850769095966757</v>
      </c>
    </row>
    <row r="72" spans="1:4">
      <c r="A72">
        <f>'Mass Balance'!I72</f>
        <v>1.0485987309527889E-6</v>
      </c>
      <c r="B72">
        <f>'Mass Balance'!E72</f>
        <v>4.9141199251110853E-6</v>
      </c>
      <c r="C72">
        <f>SUM('Mass Balance'!E72:H72)</f>
        <v>1.3539180615465161E-4</v>
      </c>
      <c r="D72">
        <f>Concentrations!F72/Concentrations!E72</f>
        <v>3.6437597259925146E-2</v>
      </c>
    </row>
    <row r="73" spans="1:4">
      <c r="A73">
        <f>'Mass Balance'!I73</f>
        <v>7.2979736454843102E-7</v>
      </c>
      <c r="B73">
        <f>'Mass Balance'!E73</f>
        <v>4.8400170373546194E-5</v>
      </c>
      <c r="C73">
        <f>SUM('Mass Balance'!E73:H73)</f>
        <v>1.2169040468412731E-4</v>
      </c>
      <c r="D73">
        <f>Concentrations!F73/Concentrations!E73</f>
        <v>0.39928860591166565</v>
      </c>
    </row>
    <row r="74" spans="1:4">
      <c r="A74">
        <f>'Mass Balance'!I74</f>
        <v>1.0574441852383192E-6</v>
      </c>
      <c r="B74">
        <f>'Mass Balance'!E74</f>
        <v>4.4120308147472944E-6</v>
      </c>
      <c r="C74">
        <f>SUM('Mass Balance'!E74:H74)</f>
        <v>1.3697022837426341E-4</v>
      </c>
      <c r="D74">
        <f>Concentrations!F74/Concentrations!E74</f>
        <v>3.2337669598745414E-2</v>
      </c>
    </row>
    <row r="75" spans="1:4">
      <c r="A75">
        <f>'Mass Balance'!I75</f>
        <v>5.708868879301114E-7</v>
      </c>
      <c r="B75">
        <f>'Mass Balance'!E75</f>
        <v>6.4569884065631198E-7</v>
      </c>
      <c r="C75">
        <f>SUM('Mass Balance'!E75:H75)</f>
        <v>1.494238417422658E-4</v>
      </c>
      <c r="D75">
        <f>Concentrations!F75/Concentrations!E75</f>
        <v>4.3381690424097374E-3</v>
      </c>
    </row>
    <row r="76" spans="1:4">
      <c r="A76">
        <f>'Mass Balance'!I76</f>
        <v>5.7088688816761129E-7</v>
      </c>
      <c r="B76">
        <f>'Mass Balance'!E76</f>
        <v>6.4569884092493504E-7</v>
      </c>
      <c r="C76">
        <f>SUM('Mass Balance'!E76:H76)</f>
        <v>1.4942384180442896E-4</v>
      </c>
      <c r="D76">
        <f>Concentrations!F76/Concentrations!E76</f>
        <v>4.3381690424097374E-3</v>
      </c>
    </row>
    <row r="77" spans="1:4">
      <c r="A77">
        <f>'Mass Balance'!I77</f>
        <v>9.5549995996374155E-7</v>
      </c>
      <c r="B77">
        <f>'Mass Balance'!E77</f>
        <v>1.7924923489533718E-5</v>
      </c>
      <c r="C77">
        <f>SUM('Mass Balance'!E77:H77)</f>
        <v>1.2601971434929218E-4</v>
      </c>
      <c r="D77">
        <f>Concentrations!F77/Concentrations!E77</f>
        <v>0.14279571719987913</v>
      </c>
    </row>
    <row r="78" spans="1:4">
      <c r="A78">
        <f>'Mass Balance'!I78</f>
        <v>3.7793955729845057E-7</v>
      </c>
      <c r="B78">
        <f>'Mass Balance'!E78</f>
        <v>9.4562766596659504E-5</v>
      </c>
      <c r="C78">
        <f>SUM('Mass Balance'!E78:H78)</f>
        <v>1.2341643784071111E-4</v>
      </c>
      <c r="D78">
        <f>Concentrations!F78/Concentrations!E78</f>
        <v>0.76920752608869414</v>
      </c>
    </row>
    <row r="79" spans="1:4">
      <c r="A79">
        <f>'Mass Balance'!I79</f>
        <v>5.8753817370761998E-7</v>
      </c>
      <c r="B79">
        <f>'Mass Balance'!E79</f>
        <v>6.814621593743435E-5</v>
      </c>
      <c r="C79">
        <f>SUM('Mass Balance'!E79:H79)</f>
        <v>1.2250081575749492E-4</v>
      </c>
      <c r="D79">
        <f>Concentrations!F79/Concentrations!E79</f>
        <v>0.5584690716502958</v>
      </c>
    </row>
    <row r="80" spans="1:4">
      <c r="A80">
        <f>'Mass Balance'!I80</f>
        <v>1.1044786610868731E-6</v>
      </c>
      <c r="B80">
        <f>'Mass Balance'!E80</f>
        <v>4.3623977531819557E-7</v>
      </c>
      <c r="C80">
        <f>SUM('Mass Balance'!E80:H80)</f>
        <v>1.4888911934857503E-4</v>
      </c>
      <c r="D80">
        <f>Concentrations!F80/Concentrations!E80</f>
        <v>2.9414309795428046E-3</v>
      </c>
    </row>
    <row r="81" spans="1:4">
      <c r="A81">
        <f>'Mass Balance'!I81</f>
        <v>1.3252181486335814E-7</v>
      </c>
      <c r="B81">
        <f>'Mass Balance'!E81</f>
        <v>1.4781025550071611E-4</v>
      </c>
      <c r="C81">
        <f>SUM('Mass Balance'!E81:H81)</f>
        <v>1.4800351161915848E-4</v>
      </c>
      <c r="D81">
        <f>Concentrations!F81/Concentrations!E81</f>
        <v>1.0026027931264743</v>
      </c>
    </row>
    <row r="82" spans="1:4">
      <c r="A82">
        <f>'Mass Balance'!I82</f>
        <v>2.3812629658315483E-7</v>
      </c>
      <c r="B82">
        <f>'Mass Balance'!E82</f>
        <v>1.2241187037141058E-4</v>
      </c>
      <c r="C82">
        <f>SUM('Mass Balance'!E82:H82)</f>
        <v>1.3445001759410048E-4</v>
      </c>
      <c r="D82">
        <f>Concentrations!F82/Concentrations!E82</f>
        <v>0.9140270164622144</v>
      </c>
    </row>
    <row r="83" spans="1:4">
      <c r="A83">
        <f>'Mass Balance'!I83</f>
        <v>9.4248548154148014E-7</v>
      </c>
      <c r="B83">
        <f>'Mass Balance'!E83</f>
        <v>2.274275998030195E-5</v>
      </c>
      <c r="C83">
        <f>SUM('Mass Balance'!E83:H83)</f>
        <v>1.2727521927294948E-4</v>
      </c>
      <c r="D83">
        <f>Concentrations!F83/Concentrations!E83</f>
        <v>0.17938894525213356</v>
      </c>
    </row>
    <row r="84" spans="1:4">
      <c r="A84">
        <f>'Mass Balance'!I84</f>
        <v>1.3809008607315951E-7</v>
      </c>
      <c r="B84">
        <f>'Mass Balance'!E84</f>
        <v>1.4493262554459669E-4</v>
      </c>
      <c r="C84">
        <f>SUM('Mass Balance'!E84:H84)</f>
        <v>1.4578820365575832E-4</v>
      </c>
      <c r="D84">
        <f>Concentrations!F84/Concentrations!E84</f>
        <v>0.9980220517204107</v>
      </c>
    </row>
    <row r="85" spans="1:4">
      <c r="A85">
        <f>'Mass Balance'!I85</f>
        <v>1.3155326435142568E-7</v>
      </c>
      <c r="B85">
        <f>'Mass Balance'!E85</f>
        <v>1.4906214848585256E-4</v>
      </c>
      <c r="C85">
        <f>SUM('Mass Balance'!E85:H85)</f>
        <v>1.4909861897507485E-4</v>
      </c>
      <c r="D85">
        <f>Concentrations!F85/Concentrations!E85</f>
        <v>1.0036680932087843</v>
      </c>
    </row>
    <row r="86" spans="1:4">
      <c r="A86">
        <f>'Mass Balance'!I86</f>
        <v>1.3773687759665746E-7</v>
      </c>
      <c r="B86">
        <f>'Mass Balance'!E86</f>
        <v>1.4507408123644292E-4</v>
      </c>
      <c r="C86">
        <f>SUM('Mass Balance'!E86:H86)</f>
        <v>1.4588949179672456E-4</v>
      </c>
      <c r="D86">
        <f>Concentrations!F86/Concentrations!E86</f>
        <v>0.9983025482944875</v>
      </c>
    </row>
    <row r="87" spans="1:4">
      <c r="A87">
        <f>'Mass Balance'!I87</f>
        <v>5.6737740603291427E-6</v>
      </c>
      <c r="B87">
        <f>'Mass Balance'!E87</f>
        <v>8.0142985701873751E-8</v>
      </c>
      <c r="C87">
        <f>SUM('Mass Balance'!E87:H87)</f>
        <v>1.3937264141814312E-4</v>
      </c>
      <c r="D87">
        <f>Concentrations!F87/Concentrations!E87</f>
        <v>5.7727712584221193E-4</v>
      </c>
    </row>
    <row r="88" spans="1:4">
      <c r="A88">
        <f>'Mass Balance'!I88</f>
        <v>3.3301662575091619E-7</v>
      </c>
      <c r="B88">
        <f>'Mass Balance'!E88</f>
        <v>1.0645765376211847E-4</v>
      </c>
      <c r="C88">
        <f>SUM('Mass Balance'!E88:H88)</f>
        <v>1.2946896184766926E-4</v>
      </c>
      <c r="D88">
        <f>Concentrations!F88/Concentrations!E88</f>
        <v>0.82548196091787929</v>
      </c>
    </row>
    <row r="89" spans="1:4">
      <c r="A89">
        <f>'Mass Balance'!I89</f>
        <v>2.5240181310188887E-7</v>
      </c>
      <c r="B89">
        <f>'Mass Balance'!E89</f>
        <v>1.198799342487191E-4</v>
      </c>
      <c r="C89">
        <f>SUM('Mass Balance'!E89:H89)</f>
        <v>1.3354442602465881E-4</v>
      </c>
      <c r="D89">
        <f>Concentrations!F89/Concentrations!E89</f>
        <v>0.90119151188221702</v>
      </c>
    </row>
    <row r="90" spans="1:4">
      <c r="A90">
        <f>'Mass Balance'!I90</f>
        <v>1.5850175781634051E-7</v>
      </c>
      <c r="B90">
        <f>'Mass Balance'!E90</f>
        <v>1.3878271871801875E-4</v>
      </c>
      <c r="C90">
        <f>SUM('Mass Balance'!E90:H90)</f>
        <v>1.4190499968964328E-4</v>
      </c>
      <c r="D90">
        <f>Concentrations!F90/Concentrations!E90</f>
        <v>0.98182493204176757</v>
      </c>
    </row>
    <row r="91" spans="1:4">
      <c r="A91">
        <f>'Mass Balance'!I91</f>
        <v>2.8509150245273915E-6</v>
      </c>
      <c r="B91">
        <f>'Mass Balance'!E91</f>
        <v>5.3640592864756396E-7</v>
      </c>
      <c r="C91">
        <f>SUM('Mass Balance'!E91:H91)</f>
        <v>1.3934562036241181E-4</v>
      </c>
      <c r="D91">
        <f>Concentrations!F91/Concentrations!E91</f>
        <v>3.8645293340741366E-3</v>
      </c>
    </row>
    <row r="92" spans="1:4">
      <c r="A92">
        <f>'Mass Balance'!I92</f>
        <v>8.6875109757817188E-7</v>
      </c>
      <c r="B92">
        <f>'Mass Balance'!E92</f>
        <v>3.2272187068676635E-5</v>
      </c>
      <c r="C92">
        <f>SUM('Mass Balance'!E92:H92)</f>
        <v>1.2507976035237335E-4</v>
      </c>
      <c r="D92">
        <f>Concentrations!F92/Concentrations!E92</f>
        <v>0.25902263682185783</v>
      </c>
    </row>
    <row r="93" spans="1:4">
      <c r="A93">
        <f>'Mass Balance'!I93</f>
        <v>1.0550019800998148E-6</v>
      </c>
      <c r="B93">
        <f>'Mass Balance'!E93</f>
        <v>6.5324682919631468E-6</v>
      </c>
      <c r="C93">
        <f>SUM('Mass Balance'!E93:H93)</f>
        <v>1.3546471199942379E-4</v>
      </c>
      <c r="D93">
        <f>Concentrations!F93/Concentrations!E93</f>
        <v>4.8411383565722298E-2</v>
      </c>
    </row>
    <row r="94" spans="1:4">
      <c r="A94">
        <f>'Mass Balance'!I94</f>
        <v>1.3024221537892614E-7</v>
      </c>
      <c r="B94">
        <f>'Mass Balance'!E94</f>
        <v>1.341110287963255E-4</v>
      </c>
      <c r="C94">
        <f>SUM('Mass Balance'!E94:H94)</f>
        <v>1.4985967173771202E-4</v>
      </c>
      <c r="D94">
        <f>Concentrations!F94/Concentrations!E94</f>
        <v>0.89841310742128699</v>
      </c>
    </row>
    <row r="95" spans="1:4">
      <c r="A95">
        <f>'Mass Balance'!I95</f>
        <v>1.4358659560788063E-6</v>
      </c>
      <c r="B95">
        <f>'Mass Balance'!E95</f>
        <v>1.258934511606921E-6</v>
      </c>
      <c r="C95">
        <f>SUM('Mass Balance'!E95:H95)</f>
        <v>1.4081529411467727E-4</v>
      </c>
      <c r="D95">
        <f>Concentrations!F95/Concentrations!E95</f>
        <v>8.9753144885108532E-3</v>
      </c>
    </row>
    <row r="96" spans="1:4">
      <c r="A96">
        <f>'Mass Balance'!I96</f>
        <v>1.326312964798798E-7</v>
      </c>
      <c r="B96">
        <f>'Mass Balance'!E96</f>
        <v>1.4772236765090034E-4</v>
      </c>
      <c r="C96">
        <f>SUM('Mass Balance'!E96:H96)</f>
        <v>1.4793023400676536E-4</v>
      </c>
      <c r="D96">
        <f>Concentrations!F96/Concentrations!E96</f>
        <v>1.0025029928797253</v>
      </c>
    </row>
    <row r="97" spans="1:4">
      <c r="A97">
        <f>'Mass Balance'!I97</f>
        <v>1.3827342166551371E-7</v>
      </c>
      <c r="B97">
        <f>'Mass Balance'!E97</f>
        <v>1.4486025404067778E-4</v>
      </c>
      <c r="C97">
        <f>SUM('Mass Balance'!E97:H97)</f>
        <v>1.457366425449575E-4</v>
      </c>
      <c r="D97">
        <f>Concentrations!F97/Concentrations!E97</f>
        <v>0.99787661392795612</v>
      </c>
    </row>
    <row r="98" spans="1:4">
      <c r="A98">
        <f>'Mass Balance'!I98</f>
        <v>1.0611952137863176E-6</v>
      </c>
      <c r="B98">
        <f>'Mass Balance'!E98</f>
        <v>2.9818053028382381E-6</v>
      </c>
      <c r="C98">
        <f>SUM('Mass Balance'!E98:H98)</f>
        <v>1.3937319119757856E-4</v>
      </c>
      <c r="D98">
        <f>Concentrations!F98/Concentrations!E98</f>
        <v>2.147812674958453E-2</v>
      </c>
    </row>
    <row r="99" spans="1:4">
      <c r="A99">
        <f>'Mass Balance'!I99</f>
        <v>1.3152130206769515E-7</v>
      </c>
      <c r="B99">
        <f>'Mass Balance'!E99</f>
        <v>1.493183532936888E-4</v>
      </c>
      <c r="C99">
        <f>SUM('Mass Balance'!E99:H99)</f>
        <v>1.4933656228604378E-4</v>
      </c>
      <c r="D99">
        <f>Concentrations!F99/Concentrations!E99</f>
        <v>1.0037912472179731</v>
      </c>
    </row>
    <row r="100" spans="1:4">
      <c r="A100">
        <f>'Mass Balance'!I100</f>
        <v>5.4136859653978331E-7</v>
      </c>
      <c r="B100">
        <f>'Mass Balance'!E100</f>
        <v>7.5656386723796143E-5</v>
      </c>
      <c r="C100">
        <f>SUM('Mass Balance'!E100:H100)</f>
        <v>1.23996242535112E-4</v>
      </c>
      <c r="D100">
        <f>Concentrations!F100/Concentrations!E100</f>
        <v>0.61253856018918529</v>
      </c>
    </row>
    <row r="101" spans="1:4">
      <c r="A101">
        <f>'Mass Balance'!I101</f>
        <v>1.3159674980372346E-7</v>
      </c>
      <c r="B101">
        <f>'Mass Balance'!E101</f>
        <v>1.4892665495905161E-4</v>
      </c>
      <c r="C101">
        <f>SUM('Mass Balance'!E101:H101)</f>
        <v>1.4897492087915135E-4</v>
      </c>
      <c r="D101">
        <f>Concentrations!F101/Concentrations!E101</f>
        <v>1.0035884021450032</v>
      </c>
    </row>
    <row r="102" spans="1:4">
      <c r="A102">
        <f>'Mass Balance'!I102</f>
        <v>1.3158870787679437E-7</v>
      </c>
      <c r="B102">
        <f>'Mass Balance'!E102</f>
        <v>1.4963923713643096E-4</v>
      </c>
      <c r="C102">
        <f>SUM('Mass Balance'!E102:H102)</f>
        <v>1.4964288403609386E-4</v>
      </c>
      <c r="D102">
        <f>Concentrations!F102/Concentrations!E102</f>
        <v>1.0038891909364549</v>
      </c>
    </row>
    <row r="103" spans="1:4">
      <c r="A103">
        <f>'Mass Balance'!I103</f>
        <v>1.3152174311455064E-7</v>
      </c>
      <c r="B103">
        <f>'Mass Balance'!E103</f>
        <v>1.4933643797061138E-4</v>
      </c>
      <c r="C103">
        <f>SUM('Mass Balance'!E103:H103)</f>
        <v>1.4935357061351894E-4</v>
      </c>
      <c r="D103">
        <f>Concentrations!F103/Concentrations!E103</f>
        <v>1.0037984960831405</v>
      </c>
    </row>
    <row r="104" spans="1:4">
      <c r="A104">
        <f>'Mass Balance'!I104</f>
        <v>1.346904945036524E-7</v>
      </c>
      <c r="B104">
        <f>'Mass Balance'!E104</f>
        <v>1.464502527026269E-4</v>
      </c>
      <c r="C104">
        <f>SUM('Mass Balance'!E104:H104)</f>
        <v>1.4691285151631549E-4</v>
      </c>
      <c r="D104">
        <f>Concentrations!F104/Concentrations!E104</f>
        <v>1.0007525362272784</v>
      </c>
    </row>
    <row r="105" spans="1:4">
      <c r="A105">
        <f>'Mass Balance'!I105</f>
        <v>1.3157049167168039E-7</v>
      </c>
      <c r="B105">
        <f>'Mass Balance'!E105</f>
        <v>1.4959271566435583E-4</v>
      </c>
      <c r="C105">
        <f>SUM('Mass Balance'!E105:H105)</f>
        <v>1.4959784433442688E-4</v>
      </c>
      <c r="D105">
        <f>Concentrations!F105/Concentrations!E105</f>
        <v>1.0038792397804066</v>
      </c>
    </row>
    <row r="106" spans="1:4">
      <c r="A106">
        <f>'Mass Balance'!I106</f>
        <v>1.7510647718106938E-7</v>
      </c>
      <c r="B106">
        <f>'Mass Balance'!E106</f>
        <v>1.3485693381669279E-4</v>
      </c>
      <c r="C106">
        <f>SUM('Mass Balance'!E106:H106)</f>
        <v>1.3981644172813407E-4</v>
      </c>
      <c r="D106">
        <f>Concentrations!F106/Concentrations!E106</f>
        <v>0.96830326910358977</v>
      </c>
    </row>
    <row r="107" spans="1:4">
      <c r="A107">
        <f>'Mass Balance'!I107</f>
        <v>1.0567476819399747E-6</v>
      </c>
      <c r="B107">
        <f>'Mass Balance'!E107</f>
        <v>2.1940085315831909E-6</v>
      </c>
      <c r="C107">
        <f>SUM('Mass Balance'!E107:H107)</f>
        <v>1.4060544484934435E-4</v>
      </c>
      <c r="D107">
        <f>Concentrations!F107/Concentrations!E107</f>
        <v>1.5665077058658022E-2</v>
      </c>
    </row>
    <row r="108" spans="1:4">
      <c r="A108">
        <f>'Mass Balance'!I108</f>
        <v>4.6656472618918095E-7</v>
      </c>
      <c r="B108">
        <f>'Mass Balance'!E108</f>
        <v>8.6288445393893721E-5</v>
      </c>
      <c r="C108">
        <f>SUM('Mass Balance'!E108:H108)</f>
        <v>1.2533617500601443E-4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0.86488851880507223</v>
      </c>
      <c r="M2" s="115">
        <v>1.3837998219289143</v>
      </c>
      <c r="N2" s="115">
        <v>58.984244623720343</v>
      </c>
      <c r="O2" s="115">
        <v>1.2587447413408539</v>
      </c>
      <c r="P2" s="115">
        <v>1.2919473079828347</v>
      </c>
      <c r="Q2" s="111">
        <v>1.2587447413408539</v>
      </c>
      <c r="R2" s="68">
        <v>1.2919473079828347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6.8157698594430627E-4</v>
      </c>
      <c r="M3" s="115">
        <v>36.967253781946113</v>
      </c>
      <c r="N3" s="115">
        <v>3719.1709165404568</v>
      </c>
      <c r="O3" s="115">
        <v>22.430590557725239</v>
      </c>
      <c r="P3" s="115">
        <v>9.6081785179267705</v>
      </c>
      <c r="Q3" s="111">
        <v>22.430590557725239</v>
      </c>
      <c r="R3" s="68">
        <v>9.6081785179267705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0.4420884463578898</v>
      </c>
      <c r="M4" s="115">
        <v>4.2108494200511775</v>
      </c>
      <c r="N4" s="115">
        <v>374.3486625571187</v>
      </c>
      <c r="O4" s="115">
        <v>4.0347409575707127</v>
      </c>
      <c r="P4" s="115">
        <v>3.7797329898265124</v>
      </c>
      <c r="Q4" s="111">
        <v>4.0347409575707127</v>
      </c>
      <c r="R4" s="68">
        <v>3.7797329898265124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7.4678577962631323E-3</v>
      </c>
      <c r="M5" s="115">
        <v>11.15887743292066</v>
      </c>
      <c r="N5" s="115">
        <v>1110.617235845245</v>
      </c>
      <c r="O5" s="115">
        <v>9.7824264019485927</v>
      </c>
      <c r="P5" s="115">
        <v>8.2486167503694396</v>
      </c>
      <c r="Q5" s="111">
        <v>9.7824264019485927</v>
      </c>
      <c r="R5" s="68">
        <v>8.2486167503694396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3.0199813582053721E-4</v>
      </c>
      <c r="M6" s="115">
        <v>42.626665720316346</v>
      </c>
      <c r="N6" s="115">
        <v>4300.0761983562952</v>
      </c>
      <c r="O6" s="115">
        <v>25.196696811807222</v>
      </c>
      <c r="P6" s="115">
        <v>9.9811620185202763</v>
      </c>
      <c r="Q6" s="111">
        <v>25.196696811807222</v>
      </c>
      <c r="R6" s="68">
        <v>9.9811620185202763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6.0883926300631217E-4</v>
      </c>
      <c r="M7" s="115">
        <v>37.983125076561571</v>
      </c>
      <c r="N7" s="115">
        <v>3822.8832287287501</v>
      </c>
      <c r="O7" s="115">
        <v>22.93877468767111</v>
      </c>
      <c r="P7" s="115">
        <v>9.6907660857448441</v>
      </c>
      <c r="Q7" s="111">
        <v>22.938774687671113</v>
      </c>
      <c r="R7" s="68">
        <v>9.6907660857448441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1.3718067025537545E-3</v>
      </c>
      <c r="M8" s="115">
        <v>30.663868843228069</v>
      </c>
      <c r="N8" s="115">
        <v>3077.2460682493229</v>
      </c>
      <c r="O8" s="115">
        <v>19.359349305312083</v>
      </c>
      <c r="P8" s="115">
        <v>9.2602986502843407</v>
      </c>
      <c r="Q8" s="111">
        <v>19.359349305312083</v>
      </c>
      <c r="R8" s="68">
        <v>9.2602986502843407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6.877601952958938E-2</v>
      </c>
      <c r="M9" s="115">
        <v>7.0871448107834585</v>
      </c>
      <c r="N9" s="115">
        <v>694.25252127579347</v>
      </c>
      <c r="O9" s="115">
        <v>7.294633913726126</v>
      </c>
      <c r="P9" s="115">
        <v>7.1607681646325565</v>
      </c>
      <c r="Q9" s="111">
        <v>7.2946339137261269</v>
      </c>
      <c r="R9" s="68">
        <v>7.1607681646325565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6.9445531196448565E-3</v>
      </c>
      <c r="M10" s="115">
        <v>11.934842899902309</v>
      </c>
      <c r="N10" s="115">
        <v>1188.4180953337757</v>
      </c>
      <c r="O10" s="115">
        <v>10.164254937601184</v>
      </c>
      <c r="P10" s="115">
        <v>8.2857718591706639</v>
      </c>
      <c r="Q10" s="111">
        <v>10.164254937601184</v>
      </c>
      <c r="R10" s="68">
        <v>8.2857718591706639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6.1322444400797602E-3</v>
      </c>
      <c r="M11" s="115">
        <v>13.306029528015436</v>
      </c>
      <c r="N11" s="115">
        <v>1325.9857964378887</v>
      </c>
      <c r="O11" s="115">
        <v>10.837889186830868</v>
      </c>
      <c r="P11" s="115">
        <v>8.3504491984944629</v>
      </c>
      <c r="Q11" s="111">
        <v>10.837889186830868</v>
      </c>
      <c r="R11" s="68">
        <v>8.3504491984944629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4.3145642868091749E-2</v>
      </c>
      <c r="M12" s="115">
        <v>7.2313215847702654</v>
      </c>
      <c r="N12" s="115">
        <v>711.77670941762335</v>
      </c>
      <c r="O12" s="115">
        <v>7.5532964301469718</v>
      </c>
      <c r="P12" s="115">
        <v>7.5099266290391204</v>
      </c>
      <c r="Q12" s="111">
        <v>7.5532964301469718</v>
      </c>
      <c r="R12" s="68">
        <v>7.5099266290391213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6.5838361549578117E-2</v>
      </c>
      <c r="M13" s="115">
        <v>7.1055698834103849</v>
      </c>
      <c r="N13" s="115">
        <v>696.42720054863514</v>
      </c>
      <c r="O13" s="115">
        <v>7.3237801167113163</v>
      </c>
      <c r="P13" s="115">
        <v>7.198038255092321</v>
      </c>
      <c r="Q13" s="111">
        <v>7.3237801167113163</v>
      </c>
      <c r="R13" s="68">
        <v>7.1980382550923219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4.0600731363055996E-3</v>
      </c>
      <c r="M14" s="115">
        <v>18.15163520705828</v>
      </c>
      <c r="N14" s="115">
        <v>1812.9966583646155</v>
      </c>
      <c r="O14" s="115">
        <v>13.219025640843814</v>
      </c>
      <c r="P14" s="115">
        <v>8.5894359321159488</v>
      </c>
      <c r="Q14" s="111">
        <v>13.219025640843814</v>
      </c>
      <c r="R14" s="68">
        <v>8.5894359321159488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6.5292154581172287E-3</v>
      </c>
      <c r="M15" s="115">
        <v>12.608408397640227</v>
      </c>
      <c r="N15" s="115">
        <v>1255.9812619598979</v>
      </c>
      <c r="O15" s="115">
        <v>10.495314276947081</v>
      </c>
      <c r="P15" s="115">
        <v>8.317662407112989</v>
      </c>
      <c r="Q15" s="111">
        <v>10.495314276947081</v>
      </c>
      <c r="R15" s="68">
        <v>8.317662407112989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1.4201044146594343E-3</v>
      </c>
      <c r="M16" s="115">
        <v>30.296558970264826</v>
      </c>
      <c r="N16" s="115">
        <v>3039.9787023952208</v>
      </c>
      <c r="O16" s="115">
        <v>19.178461566343799</v>
      </c>
      <c r="P16" s="115">
        <v>9.2379154119672648</v>
      </c>
      <c r="Q16" s="111">
        <v>19.178461566343799</v>
      </c>
      <c r="R16" s="68">
        <v>9.2379154119672666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7.2905706391235402E-3</v>
      </c>
      <c r="M17" s="115">
        <v>11.413917895795072</v>
      </c>
      <c r="N17" s="115">
        <v>1136.1841951415004</v>
      </c>
      <c r="O17" s="115">
        <v>9.9081059672025784</v>
      </c>
      <c r="P17" s="115">
        <v>8.261111306072964</v>
      </c>
      <c r="Q17" s="111">
        <v>9.9081059672025784</v>
      </c>
      <c r="R17" s="68">
        <v>8.261111306072964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8.3258664442186797E-2</v>
      </c>
      <c r="M18" s="115">
        <v>6.9692533630094511</v>
      </c>
      <c r="N18" s="115">
        <v>680.90775682008882</v>
      </c>
      <c r="O18" s="115">
        <v>7.1286840786561365</v>
      </c>
      <c r="P18" s="115">
        <v>6.9603716933789013</v>
      </c>
      <c r="Q18" s="111">
        <v>7.1286840786561365</v>
      </c>
      <c r="R18" s="68">
        <v>6.9603716933789013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6.4484173923016405E-3</v>
      </c>
      <c r="M19" s="115">
        <v>12.746123977610521</v>
      </c>
      <c r="N19" s="115">
        <v>1269.7983195432325</v>
      </c>
      <c r="O19" s="115">
        <v>10.562998009803435</v>
      </c>
      <c r="P19" s="115">
        <v>8.3242121251442232</v>
      </c>
      <c r="Q19" s="111">
        <v>10.562998009803435</v>
      </c>
      <c r="R19" s="68">
        <v>8.3242121251442232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6.5846187883447954E-2</v>
      </c>
      <c r="M20" s="115">
        <v>7.1064145362986748</v>
      </c>
      <c r="N20" s="115">
        <v>696.50998620215455</v>
      </c>
      <c r="O20" s="115">
        <v>7.3246507086737171</v>
      </c>
      <c r="P20" s="115">
        <v>7.1988938998754897</v>
      </c>
      <c r="Q20" s="111">
        <v>7.3246507086737171</v>
      </c>
      <c r="R20" s="68">
        <v>7.1988938998754906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4.5953262580340415E-3</v>
      </c>
      <c r="M21" s="115">
        <v>16.654961173955233</v>
      </c>
      <c r="N21" s="115">
        <v>1662.4328449637235</v>
      </c>
      <c r="O21" s="115">
        <v>12.482271577645616</v>
      </c>
      <c r="P21" s="115">
        <v>8.5118033999353955</v>
      </c>
      <c r="Q21" s="111">
        <v>12.482271577645616</v>
      </c>
      <c r="R21" s="68">
        <v>8.5118033999353955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0.67758680773877256</v>
      </c>
      <c r="M22" s="115">
        <v>2.520166199699811</v>
      </c>
      <c r="N22" s="115">
        <v>187.10971500093945</v>
      </c>
      <c r="O22" s="115">
        <v>2.3452366473215074</v>
      </c>
      <c r="P22" s="115">
        <v>2.2304477221780448</v>
      </c>
      <c r="Q22" s="111">
        <v>2.3452366473215074</v>
      </c>
      <c r="R22" s="68">
        <v>2.2304477221780452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0.81542213140448672</v>
      </c>
      <c r="M23" s="115">
        <v>1.662415355302244</v>
      </c>
      <c r="N23" s="115">
        <v>90.713523182344986</v>
      </c>
      <c r="O23" s="115">
        <v>1.5204509653321636</v>
      </c>
      <c r="P23" s="115">
        <v>1.5119153104043637</v>
      </c>
      <c r="Q23" s="111">
        <v>1.5204509653321638</v>
      </c>
      <c r="R23" s="68">
        <v>1.5119153104043639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0.21407976511013183</v>
      </c>
      <c r="M24" s="115">
        <v>5.9799698118208857</v>
      </c>
      <c r="N24" s="115">
        <v>569.80600662187999</v>
      </c>
      <c r="O24" s="115">
        <v>5.919685600125006</v>
      </c>
      <c r="P24" s="115">
        <v>5.6303794216602139</v>
      </c>
      <c r="Q24" s="111">
        <v>5.919685600125006</v>
      </c>
      <c r="R24" s="68">
        <v>5.6303794216602139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2.2921527486980401E-2</v>
      </c>
      <c r="M25" s="115">
        <v>7.193426143331787</v>
      </c>
      <c r="N25" s="115">
        <v>711.11510780991557</v>
      </c>
      <c r="O25" s="115">
        <v>7.6598392819178809</v>
      </c>
      <c r="P25" s="115">
        <v>7.7435287730387143</v>
      </c>
      <c r="Q25" s="111">
        <v>7.6598392819178818</v>
      </c>
      <c r="R25" s="68">
        <v>7.7435287730387143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4.9819396613137411E-3</v>
      </c>
      <c r="M26" s="115">
        <v>15.698523409309683</v>
      </c>
      <c r="N26" s="115">
        <v>1566.2797840577139</v>
      </c>
      <c r="O26" s="115">
        <v>12.012621673302148</v>
      </c>
      <c r="P26" s="115">
        <v>8.4649804155849875</v>
      </c>
      <c r="Q26" s="111">
        <v>12.012621673302148</v>
      </c>
      <c r="R26" s="68">
        <v>8.4649804155849875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7.5039331341688557E-4</v>
      </c>
      <c r="M27" s="115">
        <v>36.219016713583351</v>
      </c>
      <c r="N27" s="115">
        <v>3642.6927657559977</v>
      </c>
      <c r="O27" s="115">
        <v>22.069127967915637</v>
      </c>
      <c r="P27" s="115">
        <v>9.5697619932437838</v>
      </c>
      <c r="Q27" s="111">
        <v>22.069127967915637</v>
      </c>
      <c r="R27" s="68">
        <v>9.5697619932437838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2.7322795133712988E-3</v>
      </c>
      <c r="M28" s="115">
        <v>22.929456353256978</v>
      </c>
      <c r="N28" s="115">
        <v>2294.5355226121851</v>
      </c>
      <c r="O28" s="115">
        <v>15.565389752095136</v>
      </c>
      <c r="P28" s="115">
        <v>8.8363629613378194</v>
      </c>
      <c r="Q28" s="111">
        <v>15.565389752095138</v>
      </c>
      <c r="R28" s="68">
        <v>8.8363629613378212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4.1379753323787802E-3</v>
      </c>
      <c r="M29" s="115">
        <v>17.249813517191768</v>
      </c>
      <c r="N29" s="115">
        <v>1722.5529230729207</v>
      </c>
      <c r="O29" s="115">
        <v>12.678986902873321</v>
      </c>
      <c r="P29" s="115">
        <v>8.3709271206250317</v>
      </c>
      <c r="Q29" s="111">
        <v>12.678986902873321</v>
      </c>
      <c r="R29" s="68">
        <v>8.3709271206250317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2.7322795133712988E-3</v>
      </c>
      <c r="M30" s="115">
        <v>22.929456353256978</v>
      </c>
      <c r="N30" s="115">
        <v>2294.5355226121851</v>
      </c>
      <c r="O30" s="115">
        <v>15.565389752095136</v>
      </c>
      <c r="P30" s="115">
        <v>8.8363629613378194</v>
      </c>
      <c r="Q30" s="111">
        <v>15.565389752095138</v>
      </c>
      <c r="R30" s="68">
        <v>8.8363629613378212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0.98560627932704725</v>
      </c>
      <c r="M31" s="115">
        <v>0.90449142022981166</v>
      </c>
      <c r="N31" s="115">
        <v>1.1549334553967048</v>
      </c>
      <c r="O31" s="115">
        <v>0.82410220574677362</v>
      </c>
      <c r="P31" s="115">
        <v>0.95380256060851953</v>
      </c>
      <c r="Q31" s="111">
        <v>0.82410220574677373</v>
      </c>
      <c r="R31" s="68">
        <v>0.95380256060851953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0.55050090543850683</v>
      </c>
      <c r="M32" s="115">
        <v>3.5978879807283639</v>
      </c>
      <c r="N32" s="115">
        <v>297.66341840903283</v>
      </c>
      <c r="O32" s="115">
        <v>3.0480013684593015</v>
      </c>
      <c r="P32" s="115">
        <v>2.7997866480513336</v>
      </c>
      <c r="Q32" s="111">
        <v>3.0480013684593015</v>
      </c>
      <c r="R32" s="68">
        <v>2.7997866480513336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0.992104326962437</v>
      </c>
      <c r="M33" s="115">
        <v>0.90267720051078171</v>
      </c>
      <c r="N33" s="115">
        <v>0.59086145961621273</v>
      </c>
      <c r="O33" s="115">
        <v>0.841541099626952</v>
      </c>
      <c r="P33" s="115">
        <v>0.98929533686051918</v>
      </c>
      <c r="Q33" s="111">
        <v>0.841541099626952</v>
      </c>
      <c r="R33" s="68">
        <v>0.98929533686051918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0.55057468248592012</v>
      </c>
      <c r="M34" s="115">
        <v>0.81485531883800333</v>
      </c>
      <c r="N34" s="115">
        <v>44.991112217222529</v>
      </c>
      <c r="O34" s="115">
        <v>2.6255568069678645</v>
      </c>
      <c r="P34" s="115">
        <v>4.292304027667674</v>
      </c>
      <c r="Q34" s="111">
        <v>2.625556806967865</v>
      </c>
      <c r="R34" s="68">
        <v>4.292304027667674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0.32762405235043651</v>
      </c>
      <c r="M35" s="115">
        <v>0.74770598206622363</v>
      </c>
      <c r="N35" s="115">
        <v>63.679592450688475</v>
      </c>
      <c r="O35" s="115">
        <v>3.5062396496435198</v>
      </c>
      <c r="P35" s="115">
        <v>5.9347213840200999</v>
      </c>
      <c r="Q35" s="111">
        <v>3.5062396496435198</v>
      </c>
      <c r="R35" s="68">
        <v>5.9347213840200999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0.10990252802849536</v>
      </c>
      <c r="M36" s="115">
        <v>0.65216318694609599</v>
      </c>
      <c r="N36" s="115">
        <v>77.389247724869705</v>
      </c>
      <c r="O36" s="115">
        <v>4.3475667000592448</v>
      </c>
      <c r="P36" s="115">
        <v>7.520294504469633</v>
      </c>
      <c r="Q36" s="111">
        <v>4.3475667000592448</v>
      </c>
      <c r="R36" s="68">
        <v>7.520294504469633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0.21947707918134987</v>
      </c>
      <c r="M37" s="115">
        <v>1.8766769741820137</v>
      </c>
      <c r="N37" s="115">
        <v>182.12685187493571</v>
      </c>
      <c r="O37" s="115">
        <v>4.2688655554992394</v>
      </c>
      <c r="P37" s="115">
        <v>6.3778115900966599</v>
      </c>
      <c r="Q37" s="111">
        <v>4.2688655554992394</v>
      </c>
      <c r="R37" s="68">
        <v>6.3778115900966599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0.61636667213791485</v>
      </c>
      <c r="M38" s="115">
        <v>0.84581331488541034</v>
      </c>
      <c r="N38" s="115">
        <v>40.324532703046735</v>
      </c>
      <c r="O38" s="115">
        <v>2.3658880146875347</v>
      </c>
      <c r="P38" s="115">
        <v>3.7977361433158663</v>
      </c>
      <c r="Q38" s="111">
        <v>2.3658880146875347</v>
      </c>
      <c r="R38" s="68">
        <v>3.7977361433158667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1.1140961626005743E-2</v>
      </c>
      <c r="M39" s="115">
        <v>7.3640928478006877</v>
      </c>
      <c r="N39" s="115">
        <v>730.65628243070114</v>
      </c>
      <c r="O39" s="115">
        <v>7.9168089556359842</v>
      </c>
      <c r="P39" s="115">
        <v>8.0762470396742376</v>
      </c>
      <c r="Q39" s="111">
        <v>7.9168089556359842</v>
      </c>
      <c r="R39" s="68">
        <v>8.0762470396742376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9.9948785467526965E-4</v>
      </c>
      <c r="M40" s="115">
        <v>39.895332295501838</v>
      </c>
      <c r="N40" s="115">
        <v>5466.2014669826713</v>
      </c>
      <c r="O40" s="115">
        <v>19.29327498824026</v>
      </c>
      <c r="P40" s="115">
        <v>12.651443227575832</v>
      </c>
      <c r="Q40" s="111">
        <v>19.29327498824026</v>
      </c>
      <c r="R40" s="68">
        <v>12.651443227575834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0.92953393114964122</v>
      </c>
      <c r="M41" s="115">
        <v>0.84255832651403506</v>
      </c>
      <c r="N41" s="115">
        <v>6.5766245379007118E-2</v>
      </c>
      <c r="O41" s="115">
        <v>0.76844643291253945</v>
      </c>
      <c r="P41" s="115">
        <v>0.89293931939414461</v>
      </c>
      <c r="Q41" s="111">
        <v>0.76844643291253945</v>
      </c>
      <c r="R41" s="68">
        <v>0.89293931939414461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0.63878072624747717</v>
      </c>
      <c r="M42" s="115">
        <v>2.7956164343177949</v>
      </c>
      <c r="N42" s="115">
        <v>217.60428544083132</v>
      </c>
      <c r="O42" s="115">
        <v>2.6146947355332655</v>
      </c>
      <c r="P42" s="115">
        <v>2.4715342324623077</v>
      </c>
      <c r="Q42" s="111">
        <v>2.6146947355332655</v>
      </c>
      <c r="R42" s="68">
        <v>2.4715342324623077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8.984530418570261E-3</v>
      </c>
      <c r="M43" s="115">
        <v>1.1910678232750034</v>
      </c>
      <c r="N43" s="115">
        <v>164.47508335129424</v>
      </c>
      <c r="O43" s="115">
        <v>4.9494701225964635</v>
      </c>
      <c r="P43" s="115">
        <v>8.318676531111743</v>
      </c>
      <c r="Q43" s="111">
        <v>4.9494701225964643</v>
      </c>
      <c r="R43" s="68">
        <v>8.318676531111743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0.8405287462305957</v>
      </c>
      <c r="M44" s="115">
        <v>1.0870032981083861</v>
      </c>
      <c r="N44" s="115">
        <v>32.008144953846269</v>
      </c>
      <c r="O44" s="115">
        <v>0.98580001466424194</v>
      </c>
      <c r="P44" s="115">
        <v>1.0497661419098185</v>
      </c>
      <c r="Q44" s="111">
        <v>0.98580001466424194</v>
      </c>
      <c r="R44" s="68">
        <v>1.0497661419098185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0.60053709819493739</v>
      </c>
      <c r="M45" s="115">
        <v>3.0557986701394388</v>
      </c>
      <c r="N45" s="115">
        <v>246.56559813383478</v>
      </c>
      <c r="O45" s="115">
        <v>2.8714917114558998</v>
      </c>
      <c r="P45" s="115">
        <v>2.7032745000029075</v>
      </c>
      <c r="Q45" s="111">
        <v>2.8714917114558998</v>
      </c>
      <c r="R45" s="68">
        <v>2.7032745000029075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0.62363458538566263</v>
      </c>
      <c r="M46" s="115">
        <v>2.8862028351512032</v>
      </c>
      <c r="N46" s="115">
        <v>227.84895003984076</v>
      </c>
      <c r="O46" s="115">
        <v>2.7041168629738404</v>
      </c>
      <c r="P46" s="115">
        <v>2.551789587669588</v>
      </c>
      <c r="Q46" s="111">
        <v>2.7041168629738404</v>
      </c>
      <c r="R46" s="68">
        <v>2.551789587669588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6.8353550879402729E-4</v>
      </c>
      <c r="M47" s="115">
        <v>37.073479802948086</v>
      </c>
      <c r="N47" s="115">
        <v>3729.8580162698745</v>
      </c>
      <c r="O47" s="115">
        <v>22.495045234226939</v>
      </c>
      <c r="P47" s="115">
        <v>9.6357877793302897</v>
      </c>
      <c r="Q47" s="111">
        <v>22.495045234226939</v>
      </c>
      <c r="R47" s="68">
        <v>9.6357877793302897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0.94573316269205931</v>
      </c>
      <c r="M48" s="115">
        <v>0.96554376590542501</v>
      </c>
      <c r="N48" s="115">
        <v>10.701678650271027</v>
      </c>
      <c r="O48" s="115">
        <v>0.8763186053672184</v>
      </c>
      <c r="P48" s="115">
        <v>0.98434173479384801</v>
      </c>
      <c r="Q48" s="111">
        <v>0.8763186053672184</v>
      </c>
      <c r="R48" s="68">
        <v>0.98434173479384801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0.91946125573748583</v>
      </c>
      <c r="M49" s="115">
        <v>1.0225907523627351</v>
      </c>
      <c r="N49" s="115">
        <v>18.651440908996179</v>
      </c>
      <c r="O49" s="115">
        <v>0.92712758812022067</v>
      </c>
      <c r="P49" s="115">
        <v>1.0197102178471811</v>
      </c>
      <c r="Q49" s="111">
        <v>0.92712758812022067</v>
      </c>
      <c r="R49" s="68">
        <v>1.0197102178471813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8.8443189094944724E-2</v>
      </c>
      <c r="M50" s="115">
        <v>6.9083187391819401</v>
      </c>
      <c r="N50" s="115">
        <v>674.29517529420616</v>
      </c>
      <c r="O50" s="115">
        <v>7.0517329869773846</v>
      </c>
      <c r="P50" s="115">
        <v>6.8730493511411499</v>
      </c>
      <c r="Q50" s="111">
        <v>7.0517329869773855</v>
      </c>
      <c r="R50" s="68">
        <v>6.8730493511411499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0.92984435354043382</v>
      </c>
      <c r="M51" s="115">
        <v>0.86168913505344169</v>
      </c>
      <c r="N51" s="115">
        <v>1.9100189112985906</v>
      </c>
      <c r="O51" s="115">
        <v>0.7846327372213493</v>
      </c>
      <c r="P51" s="115">
        <v>0.90540765242990506</v>
      </c>
      <c r="Q51" s="111">
        <v>0.7846327372213493</v>
      </c>
      <c r="R51" s="68">
        <v>0.90540765242990517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0.81473613350944785</v>
      </c>
      <c r="M52" s="115">
        <v>1.2905176169315269</v>
      </c>
      <c r="N52" s="115">
        <v>54.284093072565128</v>
      </c>
      <c r="O52" s="115">
        <v>1.1736711753741997</v>
      </c>
      <c r="P52" s="115">
        <v>1.2064800966739619</v>
      </c>
      <c r="Q52" s="111">
        <v>1.1736711753742</v>
      </c>
      <c r="R52" s="68">
        <v>1.2064800966739622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0.4725758816808564</v>
      </c>
      <c r="M53" s="115">
        <v>3.969313742360884</v>
      </c>
      <c r="N53" s="115">
        <v>347.83182765028357</v>
      </c>
      <c r="O53" s="115">
        <v>3.7885633080202066</v>
      </c>
      <c r="P53" s="115">
        <v>3.5483368299664035</v>
      </c>
      <c r="Q53" s="111">
        <v>3.788563308020207</v>
      </c>
      <c r="R53" s="68">
        <v>3.5483368299664035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9.5839328942353514E-4</v>
      </c>
      <c r="M54" s="115">
        <v>34.15786265965162</v>
      </c>
      <c r="N54" s="115">
        <v>3432.444502503924</v>
      </c>
      <c r="O54" s="115">
        <v>21.069737776014296</v>
      </c>
      <c r="P54" s="115">
        <v>9.4614579256009854</v>
      </c>
      <c r="Q54" s="111">
        <v>21.069737776014296</v>
      </c>
      <c r="R54" s="68">
        <v>9.4614579256009872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0.1680920075699634</v>
      </c>
      <c r="M55" s="115">
        <v>5.3778032787032508</v>
      </c>
      <c r="N55" s="115">
        <v>514.78649954702246</v>
      </c>
      <c r="O55" s="115">
        <v>5.34521042085888</v>
      </c>
      <c r="P55" s="115">
        <v>5.0988466797290188</v>
      </c>
      <c r="Q55" s="111">
        <v>5.34521042085888</v>
      </c>
      <c r="R55" s="68">
        <v>5.0988466797290188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1.9834309929564736E-2</v>
      </c>
      <c r="M56" s="115">
        <v>3.1008314765287128</v>
      </c>
      <c r="N56" s="115">
        <v>305.03387461675669</v>
      </c>
      <c r="O56" s="115">
        <v>3.2320541501137692</v>
      </c>
      <c r="P56" s="115">
        <v>3.2075985770048341</v>
      </c>
      <c r="Q56" s="111">
        <v>3.2320541501137692</v>
      </c>
      <c r="R56" s="68">
        <v>3.2075985770048345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3.7253110418446964E-2</v>
      </c>
      <c r="M57" s="115">
        <v>1.6020551932077183</v>
      </c>
      <c r="N57" s="115">
        <v>154.6202057719438</v>
      </c>
      <c r="O57" s="115">
        <v>1.6064501885246323</v>
      </c>
      <c r="P57" s="115">
        <v>1.5428121413674714</v>
      </c>
      <c r="Q57" s="111">
        <v>1.6064501885246323</v>
      </c>
      <c r="R57" s="68">
        <v>1.5428121413674714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7.5087747049442502E-2</v>
      </c>
      <c r="M58" s="115">
        <v>8.7581738357372763E-2</v>
      </c>
      <c r="N58" s="115">
        <v>1.9234700715459179</v>
      </c>
      <c r="O58" s="115">
        <v>7.9393905273142981E-2</v>
      </c>
      <c r="P58" s="115">
        <v>8.6382417624929597E-2</v>
      </c>
      <c r="Q58" s="111">
        <v>7.9393905273142995E-2</v>
      </c>
      <c r="R58" s="68">
        <v>8.6382417624929597E-2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1.5498413613647666E-2</v>
      </c>
      <c r="M59" s="115">
        <v>0.62240881050649843</v>
      </c>
      <c r="N59" s="115">
        <v>59.968435475362575</v>
      </c>
      <c r="O59" s="115">
        <v>0.62284459355223476</v>
      </c>
      <c r="P59" s="115">
        <v>0.59721023159438691</v>
      </c>
      <c r="Q59" s="111">
        <v>0.62284459355223476</v>
      </c>
      <c r="R59" s="68">
        <v>0.59721023159438691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5.8282580334947443E-4</v>
      </c>
      <c r="M60" s="115">
        <v>1.112396311516373E-2</v>
      </c>
      <c r="N60" s="115">
        <v>1.0425145512806742</v>
      </c>
      <c r="O60" s="115">
        <v>1.088673291276942E-2</v>
      </c>
      <c r="P60" s="115">
        <v>1.0279096396563121E-2</v>
      </c>
      <c r="Q60" s="111">
        <v>1.088673291276942E-2</v>
      </c>
      <c r="R60" s="68">
        <v>1.0279096396563121E-2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0.35517491298201581</v>
      </c>
      <c r="M61" s="115">
        <v>4.8726959703979311</v>
      </c>
      <c r="N61" s="115">
        <v>447.42567378720912</v>
      </c>
      <c r="O61" s="115">
        <v>4.7213619541273282</v>
      </c>
      <c r="P61" s="115">
        <v>4.4361264391634956</v>
      </c>
      <c r="Q61" s="111">
        <v>4.7213619541273282</v>
      </c>
      <c r="R61" s="68">
        <v>4.4361264391634956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4.1752130451095998E-3</v>
      </c>
      <c r="M62" s="115">
        <v>17.81572731969975</v>
      </c>
      <c r="N62" s="115">
        <v>1779.1919565085727</v>
      </c>
      <c r="O62" s="115">
        <v>13.054184478529868</v>
      </c>
      <c r="P62" s="115">
        <v>8.5728121652316212</v>
      </c>
      <c r="Q62" s="111">
        <v>13.054184478529868</v>
      </c>
      <c r="R62" s="68">
        <v>8.5728121652316229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3.7053163070412847E-4</v>
      </c>
      <c r="M63" s="115">
        <v>41.418118491345567</v>
      </c>
      <c r="N63" s="115">
        <v>4175.4364559559663</v>
      </c>
      <c r="O63" s="115">
        <v>24.610503470170631</v>
      </c>
      <c r="P63" s="115">
        <v>9.903871843178182</v>
      </c>
      <c r="Q63" s="111">
        <v>24.610503470170631</v>
      </c>
      <c r="R63" s="68">
        <v>9.9038718431781838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1.2694660487805255E-4</v>
      </c>
      <c r="M64" s="115">
        <v>46.631962333838864</v>
      </c>
      <c r="N64" s="115">
        <v>4716.6513232139423</v>
      </c>
      <c r="O64" s="115">
        <v>27.126305812040222</v>
      </c>
      <c r="P64" s="115">
        <v>10.247930157707748</v>
      </c>
      <c r="Q64" s="111">
        <v>27.126305812040222</v>
      </c>
      <c r="R64" s="68">
        <v>10.247930157707748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3.5313529904936173E-5</v>
      </c>
      <c r="M65" s="115">
        <v>50.192328510465231</v>
      </c>
      <c r="N65" s="115">
        <v>5095.7346251557638</v>
      </c>
      <c r="O65" s="115">
        <v>28.805873853562129</v>
      </c>
      <c r="P65" s="115">
        <v>10.506588827430509</v>
      </c>
      <c r="Q65" s="111">
        <v>28.805873853562129</v>
      </c>
      <c r="R65" s="68">
        <v>10.506588827430511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7.3564050222549686E-5</v>
      </c>
      <c r="M66" s="115">
        <v>48.419078704202306</v>
      </c>
      <c r="N66" s="115">
        <v>4905.3121645624378</v>
      </c>
      <c r="O66" s="115">
        <v>27.976207768617687</v>
      </c>
      <c r="P66" s="115">
        <v>10.374287948172148</v>
      </c>
      <c r="Q66" s="111">
        <v>27.976207768617687</v>
      </c>
      <c r="R66" s="68">
        <v>10.374287948172148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0.89146812583196955</v>
      </c>
      <c r="M67" s="115">
        <v>1.2237433840344603</v>
      </c>
      <c r="N67" s="115">
        <v>40.908381268792148</v>
      </c>
      <c r="O67" s="115">
        <v>1.1104788254276097</v>
      </c>
      <c r="P67" s="115">
        <v>1.1692658963630971</v>
      </c>
      <c r="Q67" s="111">
        <v>1.1104788254276097</v>
      </c>
      <c r="R67" s="68">
        <v>1.1692658963630973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0.83818789669180405</v>
      </c>
      <c r="M68" s="115">
        <v>1.4769937795098351</v>
      </c>
      <c r="N68" s="115">
        <v>70.501033287053218</v>
      </c>
      <c r="O68" s="115">
        <v>1.3461842749446347</v>
      </c>
      <c r="P68" s="115">
        <v>1.3627567221763719</v>
      </c>
      <c r="Q68" s="111">
        <v>1.3461842749446347</v>
      </c>
      <c r="R68" s="68">
        <v>1.3627567221763719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1.4946759141173122E-3</v>
      </c>
      <c r="M69" s="115">
        <v>29.732311473676571</v>
      </c>
      <c r="N69" s="115">
        <v>2982.7629436401162</v>
      </c>
      <c r="O69" s="115">
        <v>18.899031376391257</v>
      </c>
      <c r="P69" s="115">
        <v>9.2010321230550804</v>
      </c>
      <c r="Q69" s="111">
        <v>18.899031376391257</v>
      </c>
      <c r="R69" s="68">
        <v>9.2010321230550804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2.8500074697007535E-2</v>
      </c>
      <c r="M70" s="115">
        <v>7.2553882904940261</v>
      </c>
      <c r="N70" s="115">
        <v>716.32703763695145</v>
      </c>
      <c r="O70" s="115">
        <v>7.6760102796185583</v>
      </c>
      <c r="P70" s="115">
        <v>7.7169093239292694</v>
      </c>
      <c r="Q70" s="111">
        <v>7.6760102796185592</v>
      </c>
      <c r="R70" s="68">
        <v>7.7169093239292694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0.83619994184843383</v>
      </c>
      <c r="M71" s="115">
        <v>1.4097034387304832</v>
      </c>
      <c r="N71" s="115">
        <v>64.074581292400154</v>
      </c>
      <c r="O71" s="115">
        <v>1.2836385927172187</v>
      </c>
      <c r="P71" s="115">
        <v>1.3074176459778266</v>
      </c>
      <c r="Q71" s="111">
        <v>1.2836385927172187</v>
      </c>
      <c r="R71" s="68">
        <v>1.3074176459778266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3.3195390039070412E-2</v>
      </c>
      <c r="M72" s="115">
        <v>7.1821830887177329</v>
      </c>
      <c r="N72" s="115">
        <v>708.32220098983737</v>
      </c>
      <c r="O72" s="115">
        <v>7.5606846676445691</v>
      </c>
      <c r="P72" s="115">
        <v>7.5682522950619049</v>
      </c>
      <c r="Q72" s="111">
        <v>7.56068466764457</v>
      </c>
      <c r="R72" s="68">
        <v>7.5682522950619058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0.32662011297863636</v>
      </c>
      <c r="M73" s="115">
        <v>4.9986120859481584</v>
      </c>
      <c r="N73" s="115">
        <v>462.45767736414342</v>
      </c>
      <c r="O73" s="115">
        <v>4.8594745267221988</v>
      </c>
      <c r="P73" s="115">
        <v>4.5724166366465084</v>
      </c>
      <c r="Q73" s="111">
        <v>4.8594745267221988</v>
      </c>
      <c r="R73" s="68">
        <v>4.5724166366465084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2.9804109934397454E-2</v>
      </c>
      <c r="M74" s="115">
        <v>7.2427683920432822</v>
      </c>
      <c r="N74" s="115">
        <v>714.86435122310547</v>
      </c>
      <c r="O74" s="115">
        <v>7.6517036805004892</v>
      </c>
      <c r="P74" s="115">
        <v>7.682993433464663</v>
      </c>
      <c r="Q74" s="111">
        <v>7.6517036805004892</v>
      </c>
      <c r="R74" s="68">
        <v>7.6829934334646639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4.3918113035845618E-3</v>
      </c>
      <c r="M75" s="115">
        <v>3.9101841639048733</v>
      </c>
      <c r="N75" s="115">
        <v>548.24054040537169</v>
      </c>
      <c r="O75" s="115">
        <v>5.9645608307219131</v>
      </c>
      <c r="P75" s="115">
        <v>8.7027945448614599</v>
      </c>
      <c r="Q75" s="111">
        <v>5.964560830721914</v>
      </c>
      <c r="R75" s="68">
        <v>8.7027945448614599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4.3918113054116385E-3</v>
      </c>
      <c r="M76" s="115">
        <v>3.9101841655315845</v>
      </c>
      <c r="N76" s="115">
        <v>548.24054063345022</v>
      </c>
      <c r="O76" s="115">
        <v>5.9645608332032847</v>
      </c>
      <c r="P76" s="115">
        <v>8.7027945484819895</v>
      </c>
      <c r="Q76" s="111">
        <v>5.9645608332032856</v>
      </c>
      <c r="R76" s="68">
        <v>8.7027945484819895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0.12105237996235316</v>
      </c>
      <c r="M77" s="115">
        <v>6.5445202737242578</v>
      </c>
      <c r="N77" s="115">
        <v>634.80803312767455</v>
      </c>
      <c r="O77" s="115">
        <v>6.6073845073259001</v>
      </c>
      <c r="P77" s="115">
        <v>6.3807754419039577</v>
      </c>
      <c r="Q77" s="111">
        <v>6.6073845073259001</v>
      </c>
      <c r="R77" s="68">
        <v>6.3807754419039577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0.63644303915282152</v>
      </c>
      <c r="M78" s="115">
        <v>2.5886271047839085</v>
      </c>
      <c r="N78" s="115">
        <v>197.49007421280888</v>
      </c>
      <c r="O78" s="115">
        <v>2.4156042707784082</v>
      </c>
      <c r="P78" s="115">
        <v>2.2890949124344027</v>
      </c>
      <c r="Q78" s="111">
        <v>2.4156042707784082</v>
      </c>
      <c r="R78" s="68">
        <v>2.2890949124344031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0.45953689696230532</v>
      </c>
      <c r="M79" s="115">
        <v>4.024234066490548</v>
      </c>
      <c r="N79" s="115">
        <v>354.41071889830937</v>
      </c>
      <c r="O79" s="115">
        <v>3.8459422005020216</v>
      </c>
      <c r="P79" s="115">
        <v>3.6021447046550144</v>
      </c>
      <c r="Q79" s="111">
        <v>3.8459422005020221</v>
      </c>
      <c r="R79" s="68">
        <v>3.6021447046550144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2.9671917848746649E-3</v>
      </c>
      <c r="M80" s="115">
        <v>7.5649223362114615</v>
      </c>
      <c r="N80" s="115">
        <v>1061.369006021067</v>
      </c>
      <c r="O80" s="115">
        <v>7.3111005208755335</v>
      </c>
      <c r="P80" s="115">
        <v>9.1735350262806712</v>
      </c>
      <c r="Q80" s="111">
        <v>7.3111005208755335</v>
      </c>
      <c r="R80" s="68">
        <v>9.1735350262806712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0.98283173777208643</v>
      </c>
      <c r="M81" s="115">
        <v>0.9076836634476585</v>
      </c>
      <c r="N81" s="115">
        <v>1.7139954746886137</v>
      </c>
      <c r="O81" s="115">
        <v>0.82667861619285443</v>
      </c>
      <c r="P81" s="115">
        <v>0.95491656677513126</v>
      </c>
      <c r="Q81" s="111">
        <v>0.82667861619285443</v>
      </c>
      <c r="R81" s="68">
        <v>0.95491656677513137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0.82080284569583384</v>
      </c>
      <c r="M82" s="115">
        <v>1.6310020313914717</v>
      </c>
      <c r="N82" s="115">
        <v>87.154263449691655</v>
      </c>
      <c r="O82" s="115">
        <v>1.4907593087213618</v>
      </c>
      <c r="P82" s="115">
        <v>1.4866970937487134</v>
      </c>
      <c r="Q82" s="111">
        <v>1.4907593087213618</v>
      </c>
      <c r="R82" s="68">
        <v>1.4866970937487136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0.1535750688647978</v>
      </c>
      <c r="M83" s="115">
        <v>6.4553800105580841</v>
      </c>
      <c r="N83" s="115">
        <v>622.6848096017992</v>
      </c>
      <c r="O83" s="115">
        <v>6.4686878030342543</v>
      </c>
      <c r="P83" s="115">
        <v>6.2090910482846464</v>
      </c>
      <c r="Q83" s="111">
        <v>6.4686878030342543</v>
      </c>
      <c r="R83" s="68">
        <v>6.2090910482846473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0.96457266342261216</v>
      </c>
      <c r="M84" s="115">
        <v>0.94582250735040774</v>
      </c>
      <c r="N84" s="115">
        <v>7.0845335782974281</v>
      </c>
      <c r="O84" s="115">
        <v>0.85926207205918181</v>
      </c>
      <c r="P84" s="115">
        <v>0.97561124624138529</v>
      </c>
      <c r="Q84" s="111">
        <v>0.85926207205918192</v>
      </c>
      <c r="R84" s="68">
        <v>0.97561124624138529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0.99091489202945571</v>
      </c>
      <c r="M85" s="115">
        <v>0.90104975583168279</v>
      </c>
      <c r="N85" s="115">
        <v>0.3481067782439895</v>
      </c>
      <c r="O85" s="115">
        <v>0.82153896312231522</v>
      </c>
      <c r="P85" s="115">
        <v>0.95361952451215359</v>
      </c>
      <c r="Q85" s="111">
        <v>0.82153896312231534</v>
      </c>
      <c r="R85" s="68">
        <v>0.9536195245121537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0.96546447640226762</v>
      </c>
      <c r="M86" s="115">
        <v>0.94340327120998269</v>
      </c>
      <c r="N86" s="115">
        <v>6.7672922484620956</v>
      </c>
      <c r="O86" s="115">
        <v>0.85715420555325017</v>
      </c>
      <c r="P86" s="115">
        <v>0.97414884509089683</v>
      </c>
      <c r="Q86" s="111">
        <v>0.85715420555325017</v>
      </c>
      <c r="R86" s="68">
        <v>0.97414884509089683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5.4155812374586927E-4</v>
      </c>
      <c r="M87" s="115">
        <v>38.861466166637967</v>
      </c>
      <c r="N87" s="115">
        <v>3912.8267705834401</v>
      </c>
      <c r="O87" s="115">
        <v>23.366977025273531</v>
      </c>
      <c r="P87" s="115">
        <v>9.7445658397975166</v>
      </c>
      <c r="Q87" s="111">
        <v>23.366977025273535</v>
      </c>
      <c r="R87" s="68">
        <v>9.7445658397975183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0.71579129210546344</v>
      </c>
      <c r="M88" s="115">
        <v>2.2809357928144944</v>
      </c>
      <c r="N88" s="115">
        <v>160.23670052505807</v>
      </c>
      <c r="O88" s="115">
        <v>2.1126371171544633</v>
      </c>
      <c r="P88" s="115">
        <v>2.0249652770756148</v>
      </c>
      <c r="Q88" s="111">
        <v>2.1126371171544633</v>
      </c>
      <c r="R88" s="68">
        <v>2.0249652770756148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0.80426884847590163</v>
      </c>
      <c r="M89" s="115">
        <v>1.7287795417937595</v>
      </c>
      <c r="N89" s="115">
        <v>98.213592993057631</v>
      </c>
      <c r="O89" s="115">
        <v>1.5833110363297653</v>
      </c>
      <c r="P89" s="115">
        <v>1.5655094118161998</v>
      </c>
      <c r="Q89" s="111">
        <v>1.5833110363297653</v>
      </c>
      <c r="R89" s="68">
        <v>1.5655094118161998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0.92587507326057283</v>
      </c>
      <c r="M90" s="115">
        <v>1.0856284781941132</v>
      </c>
      <c r="N90" s="115">
        <v>24.277306103419935</v>
      </c>
      <c r="O90" s="115">
        <v>0.98413413104830183</v>
      </c>
      <c r="P90" s="115">
        <v>1.0695207125551598</v>
      </c>
      <c r="Q90" s="111">
        <v>0.98413413104830183</v>
      </c>
      <c r="R90" s="68">
        <v>1.0695207125551598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3.624261872968272E-3</v>
      </c>
      <c r="M91" s="115">
        <v>19.526815236488986</v>
      </c>
      <c r="N91" s="115">
        <v>1951.4555908475381</v>
      </c>
      <c r="O91" s="115">
        <v>13.894783876882036</v>
      </c>
      <c r="P91" s="115">
        <v>8.6598231366080274</v>
      </c>
      <c r="Q91" s="111">
        <v>13.894783876882038</v>
      </c>
      <c r="R91" s="68">
        <v>8.6598231366080274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0.21787956835420549</v>
      </c>
      <c r="M92" s="115">
        <v>5.9503499834121367</v>
      </c>
      <c r="N92" s="115">
        <v>566.51772382436911</v>
      </c>
      <c r="O92" s="115">
        <v>5.8863927221434702</v>
      </c>
      <c r="P92" s="115">
        <v>5.5960721717205368</v>
      </c>
      <c r="Q92" s="111">
        <v>5.8863927221434702</v>
      </c>
      <c r="R92" s="68">
        <v>5.5960721717205377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4.4125965708928953E-2</v>
      </c>
      <c r="M93" s="115">
        <v>7.2260409595877739</v>
      </c>
      <c r="N93" s="115">
        <v>711.11921476117084</v>
      </c>
      <c r="O93" s="115">
        <v>7.5424581630099237</v>
      </c>
      <c r="P93" s="115">
        <v>7.4945573570782749</v>
      </c>
      <c r="Q93" s="111">
        <v>7.5424581630099237</v>
      </c>
      <c r="R93" s="68">
        <v>7.4945573570782757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0.89339382473288831</v>
      </c>
      <c r="M94" s="115">
        <v>0.89206996834880925</v>
      </c>
      <c r="N94" s="115">
        <v>11.870717867165098</v>
      </c>
      <c r="O94" s="115">
        <v>1.2466082423814346</v>
      </c>
      <c r="P94" s="115">
        <v>1.7341224592584228</v>
      </c>
      <c r="Q94" s="111">
        <v>1.2466082423814346</v>
      </c>
      <c r="R94" s="68">
        <v>1.7341224592584228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8.5053732893984775E-3</v>
      </c>
      <c r="M95" s="115">
        <v>9.8346983293068924</v>
      </c>
      <c r="N95" s="115">
        <v>977.93106559118962</v>
      </c>
      <c r="O95" s="115">
        <v>9.1319079930672551</v>
      </c>
      <c r="P95" s="115">
        <v>8.18809683522238</v>
      </c>
      <c r="Q95" s="111">
        <v>9.1319079930672569</v>
      </c>
      <c r="R95" s="68">
        <v>8.18809683522238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0.98226872877729143</v>
      </c>
      <c r="M96" s="115">
        <v>0.90843353753342326</v>
      </c>
      <c r="N96" s="115">
        <v>1.8375169887200891</v>
      </c>
      <c r="O96" s="115">
        <v>0.82729316055002744</v>
      </c>
      <c r="P96" s="115">
        <v>0.95521946192921403</v>
      </c>
      <c r="Q96" s="111">
        <v>0.82729316055002744</v>
      </c>
      <c r="R96" s="68">
        <v>0.95521946192921403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0.96411652929621261</v>
      </c>
      <c r="M97" s="115">
        <v>0.9470782305857105</v>
      </c>
      <c r="N97" s="115">
        <v>7.2486035221870999</v>
      </c>
      <c r="O97" s="115">
        <v>0.86035746561145465</v>
      </c>
      <c r="P97" s="115">
        <v>0.97637461594451702</v>
      </c>
      <c r="Q97" s="111">
        <v>0.86035746561145465</v>
      </c>
      <c r="R97" s="68">
        <v>0.97637461594451713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2.0143435085520061E-2</v>
      </c>
      <c r="M98" s="115">
        <v>7.2684603683994364</v>
      </c>
      <c r="N98" s="115">
        <v>719.09188214133576</v>
      </c>
      <c r="O98" s="115">
        <v>7.7733996377564187</v>
      </c>
      <c r="P98" s="115">
        <v>7.8874783800890071</v>
      </c>
      <c r="Q98" s="111">
        <v>7.7733996377564187</v>
      </c>
      <c r="R98" s="68">
        <v>7.8874783800890071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0.9925879050091243</v>
      </c>
      <c r="M99" s="115">
        <v>0.90083083608010384</v>
      </c>
      <c r="N99" s="115">
        <v>0.17901865714216167</v>
      </c>
      <c r="O99" s="115">
        <v>0.8214865775270459</v>
      </c>
      <c r="P99" s="115">
        <v>0.95416881822900523</v>
      </c>
      <c r="Q99" s="111">
        <v>0.8214865775270459</v>
      </c>
      <c r="R99" s="68">
        <v>0.95416881822900523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0.5100048497064088</v>
      </c>
      <c r="M100" s="115">
        <v>3.7080040858889269</v>
      </c>
      <c r="N100" s="115">
        <v>318.76505055064382</v>
      </c>
      <c r="O100" s="115">
        <v>3.5233445477198764</v>
      </c>
      <c r="P100" s="115">
        <v>3.3012359824306121</v>
      </c>
      <c r="Q100" s="111">
        <v>3.5233445477198764</v>
      </c>
      <c r="R100" s="68">
        <v>3.3012359824306121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0.99003319325798578</v>
      </c>
      <c r="M101" s="115">
        <v>0.90134760139536629</v>
      </c>
      <c r="N101" s="115">
        <v>0.45515313476530023</v>
      </c>
      <c r="O101" s="115">
        <v>0.82172442712443972</v>
      </c>
      <c r="P101" s="115">
        <v>0.95345525608094872</v>
      </c>
      <c r="Q101" s="111">
        <v>0.82172442712443972</v>
      </c>
      <c r="R101" s="68">
        <v>0.95345525608094872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0.99469580869847085</v>
      </c>
      <c r="M102" s="115">
        <v>0.90129251970407109</v>
      </c>
      <c r="N102" s="115">
        <v>3.8306333797641111E-2</v>
      </c>
      <c r="O102" s="115">
        <v>0.82204932775293782</v>
      </c>
      <c r="P102" s="115">
        <v>0.95534850101506419</v>
      </c>
      <c r="Q102" s="111">
        <v>0.82204932775293782</v>
      </c>
      <c r="R102" s="68">
        <v>0.95534850101506419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0.99270631129961961</v>
      </c>
      <c r="M103" s="115">
        <v>0.900833856948977</v>
      </c>
      <c r="N103" s="115">
        <v>0.16886937320813875</v>
      </c>
      <c r="O103" s="115">
        <v>0.82149876799552968</v>
      </c>
      <c r="P103" s="115">
        <v>0.95422016195260739</v>
      </c>
      <c r="Q103" s="111">
        <v>0.82149876799552968</v>
      </c>
      <c r="R103" s="68">
        <v>0.9542201619526075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0.97416497379102884</v>
      </c>
      <c r="M104" s="115">
        <v>0.92253763358666041</v>
      </c>
      <c r="N104" s="115">
        <v>3.9423504587707572</v>
      </c>
      <c r="O104" s="115">
        <v>0.83914826512770146</v>
      </c>
      <c r="P104" s="115">
        <v>0.96214037009434139</v>
      </c>
      <c r="Q104" s="111">
        <v>0.83914826512770146</v>
      </c>
      <c r="R104" s="68">
        <v>0.96214037009434139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0.99438921678363046</v>
      </c>
      <c r="M105" s="115">
        <v>0.90116775117589309</v>
      </c>
      <c r="N105" s="115">
        <v>5.3134371704675915E-2</v>
      </c>
      <c r="O105" s="115">
        <v>0.82191901457628136</v>
      </c>
      <c r="P105" s="115">
        <v>0.95514014355794852</v>
      </c>
      <c r="Q105" s="111">
        <v>0.82191901457628136</v>
      </c>
      <c r="R105" s="68">
        <v>0.95514014355794852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0.90100832985650181</v>
      </c>
      <c r="M106" s="115">
        <v>1.1993594327470505</v>
      </c>
      <c r="N106" s="115">
        <v>37.665035781314884</v>
      </c>
      <c r="O106" s="115">
        <v>1.0879826911293817</v>
      </c>
      <c r="P106" s="115">
        <v>1.1521526738573595</v>
      </c>
      <c r="Q106" s="111">
        <v>1.0879826911293817</v>
      </c>
      <c r="R106" s="68">
        <v>1.1521526738573598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1.482188240414554E-2</v>
      </c>
      <c r="M107" s="115">
        <v>7.237997821506676</v>
      </c>
      <c r="N107" s="115">
        <v>717.17214844627381</v>
      </c>
      <c r="O107" s="115">
        <v>7.8145640312636333</v>
      </c>
      <c r="P107" s="115">
        <v>7.9930525541915216</v>
      </c>
      <c r="Q107" s="111">
        <v>7.8145640312636333</v>
      </c>
      <c r="R107" s="68">
        <v>7.9930525541915216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0.58129706442631601</v>
      </c>
      <c r="M108" s="115">
        <v>3.1956488095149385</v>
      </c>
      <c r="N108" s="115">
        <v>262.02199434803111</v>
      </c>
      <c r="O108" s="115">
        <v>3.0101621629539461</v>
      </c>
      <c r="P108" s="115">
        <v>2.8294034980984462</v>
      </c>
      <c r="Q108" s="111">
        <v>3.0101621629539461</v>
      </c>
      <c r="R108" s="68">
        <v>2.8294034980984466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2024-10-28T23:18:23Z</dcterms:modified>
</cp:coreProperties>
</file>